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 Portfolios\manufacturing-performance-analytics\SGI_Sistema-de-gestao-integrado\SGI_Sistema-de-gestao-da-qualidade\Registos_SGQ_Plasticom\"/>
    </mc:Choice>
  </mc:AlternateContent>
  <xr:revisionPtr revIDLastSave="0" documentId="13_ncr:1_{3AA9122B-A235-4650-A28C-B38A6A7F8FD4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00_LEIA-ME" sheetId="1" r:id="rId1"/>
    <sheet name="Projetos_Melhoria" sheetId="2" r:id="rId2"/>
    <sheet name="Parametros_COQ" sheetId="3" r:id="rId3"/>
    <sheet name="COQ_Mensal" sheetId="4" r:id="rId4"/>
    <sheet name="Painel_COQ" sheetId="5" r:id="rId5"/>
    <sheet name="Sugestoes" sheetId="6" r:id="rId6"/>
    <sheet name="Listas" sheetId="7" r:id="rId7"/>
    <sheet name="Dicionario_Dados" sheetId="8" r:id="rId8"/>
  </sheets>
  <definedNames>
    <definedName name="DataRef">Listas!$A$3</definedName>
    <definedName name="lst_Alinea101">Listas!$C$3:$C$9</definedName>
    <definedName name="lst_DataReferencia">Listas!$A$3:$A$3</definedName>
    <definedName name="lst_EstadoProj">Listas!$D$3:$D$7</definedName>
    <definedName name="lst_EstadoSug">Listas!$E$3:$E$6</definedName>
    <definedName name="lst_Funcao">Listas!$G$3:$G$28</definedName>
    <definedName name="lst_Processo">Listas!$F$3:$F$20</definedName>
    <definedName name="lst_TipoProj">Listas!$B$3:$B$10</definedName>
    <definedName name="_xlnm.Print_Titles" localSheetId="3">COQ_Mensal!$4:$4</definedName>
    <definedName name="_xlnm.Print_Titles" localSheetId="2">Parametros_COQ!$4:$4</definedName>
    <definedName name="_xlnm.Print_Titles" localSheetId="1">Projetos_Melhoria!$4:$4</definedName>
    <definedName name="_xlnm.Print_Titles" localSheetId="5">Sugestoes!$1:$1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6" l="1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B12" i="5"/>
  <c r="B11" i="5"/>
  <c r="O22" i="4"/>
  <c r="N22" i="4"/>
  <c r="R22" i="4" s="1"/>
  <c r="M22" i="4"/>
  <c r="L22" i="4"/>
  <c r="K22" i="4"/>
  <c r="O21" i="4"/>
  <c r="N21" i="4"/>
  <c r="R21" i="4" s="1"/>
  <c r="M21" i="4"/>
  <c r="L21" i="4"/>
  <c r="K21" i="4"/>
  <c r="O20" i="4"/>
  <c r="N20" i="4"/>
  <c r="R20" i="4" s="1"/>
  <c r="M20" i="4"/>
  <c r="L20" i="4"/>
  <c r="K20" i="4"/>
  <c r="O19" i="4"/>
  <c r="N19" i="4"/>
  <c r="M19" i="4"/>
  <c r="L19" i="4"/>
  <c r="K19" i="4"/>
  <c r="O18" i="4"/>
  <c r="N18" i="4"/>
  <c r="R18" i="4" s="1"/>
  <c r="M18" i="4"/>
  <c r="L18" i="4"/>
  <c r="K18" i="4"/>
  <c r="O17" i="4"/>
  <c r="N17" i="4"/>
  <c r="R17" i="4" s="1"/>
  <c r="M17" i="4"/>
  <c r="L17" i="4"/>
  <c r="K17" i="4"/>
  <c r="O16" i="4"/>
  <c r="N16" i="4"/>
  <c r="R16" i="4" s="1"/>
  <c r="M16" i="4"/>
  <c r="L16" i="4"/>
  <c r="K16" i="4"/>
  <c r="O15" i="4"/>
  <c r="N15" i="4"/>
  <c r="M15" i="4"/>
  <c r="L15" i="4"/>
  <c r="K15" i="4"/>
  <c r="O14" i="4"/>
  <c r="N14" i="4"/>
  <c r="R14" i="4" s="1"/>
  <c r="M14" i="4"/>
  <c r="L14" i="4"/>
  <c r="K14" i="4"/>
  <c r="O13" i="4"/>
  <c r="N13" i="4"/>
  <c r="R13" i="4" s="1"/>
  <c r="M13" i="4"/>
  <c r="L13" i="4"/>
  <c r="K13" i="4"/>
  <c r="O12" i="4"/>
  <c r="N12" i="4"/>
  <c r="R12" i="4" s="1"/>
  <c r="M12" i="4"/>
  <c r="L12" i="4"/>
  <c r="K12" i="4"/>
  <c r="O11" i="4"/>
  <c r="B8" i="5" s="1"/>
  <c r="N11" i="4"/>
  <c r="M11" i="4"/>
  <c r="B6" i="5" s="1"/>
  <c r="L11" i="4"/>
  <c r="B5" i="5" s="1"/>
  <c r="K11" i="4"/>
  <c r="O10" i="4"/>
  <c r="N10" i="4"/>
  <c r="R10" i="4" s="1"/>
  <c r="M10" i="4"/>
  <c r="L10" i="4"/>
  <c r="K10" i="4"/>
  <c r="O9" i="4"/>
  <c r="N9" i="4"/>
  <c r="R9" i="4" s="1"/>
  <c r="M9" i="4"/>
  <c r="L9" i="4"/>
  <c r="K9" i="4"/>
  <c r="O8" i="4"/>
  <c r="N8" i="4"/>
  <c r="R8" i="4" s="1"/>
  <c r="M8" i="4"/>
  <c r="L8" i="4"/>
  <c r="K8" i="4"/>
  <c r="O7" i="4"/>
  <c r="N7" i="4"/>
  <c r="M7" i="4"/>
  <c r="L7" i="4"/>
  <c r="K7" i="4"/>
  <c r="O6" i="4"/>
  <c r="N6" i="4"/>
  <c r="R6" i="4" s="1"/>
  <c r="M6" i="4"/>
  <c r="L6" i="4"/>
  <c r="K6" i="4"/>
  <c r="O5" i="4"/>
  <c r="N5" i="4"/>
  <c r="R5" i="4" s="1"/>
  <c r="M5" i="4"/>
  <c r="L5" i="4"/>
  <c r="K5" i="4"/>
  <c r="Q12" i="2"/>
  <c r="Q11" i="2"/>
  <c r="Q10" i="2"/>
  <c r="Q9" i="2"/>
  <c r="Q8" i="2"/>
  <c r="Q7" i="2"/>
  <c r="Q6" i="2"/>
  <c r="Q5" i="2"/>
  <c r="P8" i="4" l="1"/>
  <c r="Q8" i="4" s="1"/>
  <c r="P12" i="4"/>
  <c r="Q12" i="4" s="1"/>
  <c r="P16" i="4"/>
  <c r="Q16" i="4" s="1"/>
  <c r="P20" i="4"/>
  <c r="Q20" i="4" s="1"/>
  <c r="P5" i="4"/>
  <c r="Q5" i="4" s="1"/>
  <c r="R7" i="4"/>
  <c r="P9" i="4"/>
  <c r="Q9" i="4" s="1"/>
  <c r="R11" i="4"/>
  <c r="P13" i="4"/>
  <c r="Q13" i="4" s="1"/>
  <c r="R15" i="4"/>
  <c r="P17" i="4"/>
  <c r="Q17" i="4" s="1"/>
  <c r="R19" i="4"/>
  <c r="P21" i="4"/>
  <c r="Q21" i="4" s="1"/>
  <c r="P6" i="4"/>
  <c r="Q6" i="4" s="1"/>
  <c r="P10" i="4"/>
  <c r="Q10" i="4" s="1"/>
  <c r="P14" i="4"/>
  <c r="Q14" i="4" s="1"/>
  <c r="P18" i="4"/>
  <c r="Q18" i="4" s="1"/>
  <c r="P22" i="4"/>
  <c r="Q22" i="4" s="1"/>
  <c r="P7" i="4"/>
  <c r="Q7" i="4" s="1"/>
  <c r="P11" i="4"/>
  <c r="Q11" i="4" s="1"/>
  <c r="P15" i="4"/>
  <c r="Q15" i="4" s="1"/>
  <c r="P19" i="4"/>
  <c r="Q19" i="4" s="1"/>
  <c r="D6" i="5"/>
  <c r="D8" i="5"/>
  <c r="D5" i="5"/>
  <c r="B7" i="5"/>
  <c r="D7" i="5" l="1"/>
  <c r="D9" i="5" s="1"/>
  <c r="B9" i="5"/>
  <c r="C5" i="5" l="1"/>
  <c r="C6" i="5"/>
  <c r="C8" i="5"/>
  <c r="C7" i="5"/>
  <c r="C9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Projeto.</t>
        </r>
      </text>
    </comment>
    <comment ref="B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Título.</t>
        </r>
      </text>
    </comment>
    <comment ref="C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Método.</t>
        </r>
      </text>
    </comment>
    <comment ref="D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10.1 a)–c).</t>
        </r>
      </text>
    </comment>
    <comment ref="E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Estado.</t>
        </r>
      </text>
    </comment>
    <comment ref="F4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Patrocinador (gestão de topo).</t>
        </r>
      </text>
    </comment>
    <comment ref="G4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Líder.</t>
        </r>
      </text>
    </comment>
    <comment ref="H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Início.</t>
        </r>
      </text>
    </comment>
    <comment ref="I4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Fim planeado.</t>
        </r>
      </text>
    </comment>
    <comment ref="J4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Situação inicial (dados).</t>
        </r>
      </text>
    </comment>
    <comment ref="K4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Meta.</t>
        </r>
      </text>
    </comment>
    <comment ref="L4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Resultado obtido.</t>
        </r>
      </text>
    </comment>
    <comment ref="M4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Poupança realizada (hard savings).</t>
        </r>
      </text>
    </comment>
    <comment ref="N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Poupança esperada/evitada (soft savings).</t>
        </r>
      </text>
    </comment>
    <comment ref="O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R/O ligados.</t>
        </r>
      </text>
    </comment>
    <comment ref="P4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MOC, decisão ou CAPA.</t>
        </r>
      </text>
    </comment>
    <comment ref="Q4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Alerta.
[calculado]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Parâmetro de custo.</t>
        </r>
      </text>
    </comment>
    <comment ref="B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Valor (editar para simular).</t>
        </r>
      </text>
    </comment>
    <comment ref="C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Unidade.</t>
        </r>
      </text>
    </comment>
    <comment ref="D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Base do valor (estimativa didática).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Mês.</t>
        </r>
      </text>
    </comment>
    <comment ref="B4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Unidades produzidas (dataset).</t>
        </r>
      </text>
    </comment>
    <comment ref="C4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Unidades rejeitadas (dataset).</t>
        </r>
      </text>
    </comment>
    <comment ref="D4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Lotes retrabalhados (dataset).</t>
        </r>
      </text>
    </comment>
    <comment ref="E4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Lotes rejeitados (dataset).</t>
        </r>
      </text>
    </comment>
    <comment ref="F4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Lotes de MP rejeitados/derrogados (dataset).</t>
        </r>
      </text>
    </comment>
    <comment ref="G4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Lotes por concessão (dataset).</t>
        </r>
      </text>
    </comment>
    <comment ref="H4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Unidades inspecionadas nas amostras (dataset).</t>
        </r>
      </text>
    </comment>
    <comment ref="I4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Custo das reclamações do mês (mesma regra do RG-SGQ-15).</t>
        </r>
      </text>
    </comment>
    <comment ref="J4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Vendas registadas no dataset (cobrem ≈ 40% das unidades produzidas).</t>
        </r>
      </text>
    </comment>
    <comment ref="K4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Valor da produção = produzido × preço médio (denominador do COQ).
[calculado]</t>
        </r>
      </text>
    </comment>
    <comment ref="L4" authorId="0" shapeId="0" xr:uid="{00000000-0006-0000-0300-00000C000000}">
      <text>
        <r>
          <rPr>
            <sz val="11"/>
            <color theme="1"/>
            <rFont val="Calibri"/>
            <family val="2"/>
            <scheme val="minor"/>
          </rPr>
          <t>Formação + planeamento da qualidade.
[calculado]</t>
        </r>
      </text>
    </comment>
    <comment ref="M4" authorId="0" shapeId="0" xr:uid="{00000000-0006-0000-0300-00000D000000}">
      <text>
        <r>
          <rPr>
            <sz val="11"/>
            <color theme="1"/>
            <rFont val="Calibri"/>
            <family val="2"/>
            <scheme val="minor"/>
          </rPr>
          <t>Inspeção, ensaios, calibração, auditorias.
[calculado]</t>
        </r>
      </text>
    </comment>
    <comment ref="N4" authorId="0" shapeId="0" xr:uid="{00000000-0006-0000-0300-00000E000000}">
      <text>
        <r>
          <rPr>
            <sz val="11"/>
            <color theme="1"/>
            <rFont val="Calibri"/>
            <family val="2"/>
            <scheme val="minor"/>
          </rPr>
          <t>Sucata, retrabalho, segregação, MP não conforme, concessões.
[calculado]</t>
        </r>
      </text>
    </comment>
    <comment ref="O4" authorId="0" shapeId="0" xr:uid="{00000000-0006-0000-0300-00000F000000}">
      <text>
        <r>
          <rPr>
            <sz val="11"/>
            <color theme="1"/>
            <rFont val="Calibri"/>
            <family val="2"/>
            <scheme val="minor"/>
          </rPr>
          <t>Reclamações (créditos, trocas, transporte, 8D).
[calculado]</t>
        </r>
      </text>
    </comment>
    <comment ref="P4" authorId="0" shapeId="0" xr:uid="{00000000-0006-0000-0300-000010000000}">
      <text>
        <r>
          <rPr>
            <sz val="11"/>
            <color theme="1"/>
            <rFont val="Calibri"/>
            <family val="2"/>
            <scheme val="minor"/>
          </rPr>
          <t>Custo total da qualidade.
[calculado]</t>
        </r>
      </text>
    </comment>
    <comment ref="Q4" authorId="0" shapeId="0" xr:uid="{00000000-0006-0000-0300-000011000000}">
      <text>
        <r>
          <rPr>
            <sz val="11"/>
            <color theme="1"/>
            <rFont val="Calibri"/>
            <family val="2"/>
            <scheme val="minor"/>
          </rPr>
          <t>COQ em % do valor da produção.
[calculado]</t>
        </r>
      </text>
    </comment>
    <comment ref="R4" authorId="0" shapeId="0" xr:uid="{00000000-0006-0000-0300-000012000000}">
      <text>
        <r>
          <rPr>
            <sz val="11"/>
            <color theme="1"/>
            <rFont val="Calibri"/>
            <family val="2"/>
            <scheme val="minor"/>
          </rPr>
          <t>KPI-Q-16: falhas em % do valor da produção (meta ≤ 3%).
[calculado]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Sugestão.</t>
        </r>
      </text>
    </comment>
    <comment ref="B1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Data.</t>
        </r>
      </text>
    </comment>
    <comment ref="C1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Quem propõe (mesmo nome do RG-SGA-16 tbl_kaizen).</t>
        </r>
      </text>
    </comment>
    <comment ref="D1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Processo.</t>
        </r>
      </text>
    </comment>
    <comment ref="E1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Ideia.</t>
        </r>
      </text>
    </comment>
    <comment ref="F1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Estado.</t>
        </r>
      </text>
    </comment>
    <comment ref="G1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Ligação.</t>
        </r>
      </text>
    </comment>
    <comment ref="H1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Dias em análise (meta ≤ 15).
[calculado]</t>
        </r>
      </text>
    </comment>
  </commentList>
</comments>
</file>

<file path=xl/sharedStrings.xml><?xml version="1.0" encoding="utf-8"?>
<sst xmlns="http://schemas.openxmlformats.org/spreadsheetml/2006/main" count="765" uniqueCount="420">
  <si>
    <t>RG-SGQ-19 — Melhoria Contínua e Custo da Qualidade</t>
  </si>
  <si>
    <t>Sistema de Gestão da Qualidade NP EN ISO 9001:2026 · Plasticom — Unidade 1 (Marinha Grande, Portugal) · Registo do SGQ (fábrica simulada)</t>
  </si>
  <si>
    <t>CONTROLO DO DOCUMENTO (7.5 — informação documentada)</t>
  </si>
  <si>
    <t>Código do registo</t>
  </si>
  <si>
    <t>RG-SGQ-19</t>
  </si>
  <si>
    <t>Título</t>
  </si>
  <si>
    <t>Melhoria Contínua e Custo da Qualidade</t>
  </si>
  <si>
    <t>Versão / Revisão</t>
  </si>
  <si>
    <t>01</t>
  </si>
  <si>
    <t>Data de emissão</t>
  </si>
  <si>
    <t>Elaborado por</t>
  </si>
  <si>
    <t>Gerente da Qualidade</t>
  </si>
  <si>
    <t>Aprovado por</t>
  </si>
  <si>
    <t>Diretor Geral</t>
  </si>
  <si>
    <t>Estado</t>
  </si>
  <si>
    <t>Em vigor</t>
  </si>
  <si>
    <t>Retenção</t>
  </si>
  <si>
    <t>5 anos após substituição</t>
  </si>
  <si>
    <t>Localização</t>
  </si>
  <si>
    <t>Repositório controlado do SGQ &gt; Registos_SGQ_Plasticom (a versão eletrónica é a controlada; cópias impressas são não controladas). Proteção contra alterações não intencionais (7.5.3.2): edição só pelo dono do registo; histórico de versões no repositório.</t>
  </si>
  <si>
    <t>FINALIDADE E ÂMBITO</t>
  </si>
  <si>
    <t>Finalidade</t>
  </si>
  <si>
    <t>Carteira de projetos de melhoria com resultados reais do notebook do projeto (DMAIC IM-002: 1.35% → meta 0.38%, PFMEA M-SOP-007 RPN 280 → 120, TOC com fábrica escondida € 9,090), custo da qualidade mensal PAF calculado por fórmulas (parâmetros explícitos × factos do dataset) e sugestões dos colaboradores.</t>
  </si>
  <si>
    <t>Utilização / atividades</t>
  </si>
  <si>
    <t>Determinar e tratar oportunidades de melhoria a partir dos dados e da revisão pela gestão; acompanhar projetos (DMAIC, Lean, TOC, Kaizen, inovação) e o custo da qualidade (PAF).</t>
  </si>
  <si>
    <t>Requisitos ISO 9001:2026</t>
  </si>
  <si>
    <t>10.1 a) melhorar processos, produtos e serviços, b) considerar necessidades e expectativas futuras, c) corrigir, prevenir ou reduzir efeitos indesejados (Nota: incremental ou disruptiva, inovação); 9.1.3 (técnicas estatísticas); 5.1.1 g)</t>
  </si>
  <si>
    <t>REFERÊNCIAS DE BOAS PRÁTICAS APLICADAS (orientação — não são requisitos auditáveis da ISO 9001)</t>
  </si>
  <si>
    <t>Academy — cap. 7 (Custo da Qualidade)</t>
  </si>
  <si>
    <t>Categorias PAF; atacar falhas, investir em prevenção, reduzir avaliação à medida que a qualidade melhora; hard vs. soft savings.</t>
  </si>
  <si>
    <t>Academy — cap. 33–38 (DMAIC), 24 (SMED), 182 (TOC)</t>
  </si>
  <si>
    <t>Métodos da carteira de projetos.</t>
  </si>
  <si>
    <t>ISO 10014 (benefícios financeiros e económicos) — referência</t>
  </si>
  <si>
    <t>Ligar melhoria da qualidade a resultados financeiros.</t>
  </si>
  <si>
    <t>ISO/TC 176 APG — Improvement</t>
  </si>
  <si>
    <t>O auditor procura melhoria baseada em análise de dados e em decisões da revisão pela gestão, não só ações corretivas.</t>
  </si>
  <si>
    <t>ESTRUTURA DO FICHEIRO</t>
  </si>
  <si>
    <t>Projetos_Melhoria</t>
  </si>
  <si>
    <t>Carteira de projetos de melhoria contínua (10.1) com resultados reais do notebook do projeto.</t>
  </si>
  <si>
    <t>Parametros_COQ</t>
  </si>
  <si>
    <t>Parâmetros do modelo de custo da qualidade (estimativas didáticas, editáveis).</t>
  </si>
  <si>
    <t>COQ_Mensal</t>
  </si>
  <si>
    <t>Custo da qualidade mensal (PAF) calculado: factos do dataset × parâmetros.</t>
  </si>
  <si>
    <t>Painel_COQ</t>
  </si>
  <si>
    <t>Resumo do custo da qualidade (12 meses) e gráfico mensal por categoria.</t>
  </si>
  <si>
    <t>Sugestoes</t>
  </si>
  <si>
    <t>Sugestões de melhoria dos colaboradores (envolvimento das pessoas, 5.1.1 f).</t>
  </si>
  <si>
    <t>Listas</t>
  </si>
  <si>
    <t>Domínios (listas de valores) usados na validação de dados das tabelas.</t>
  </si>
  <si>
    <t>Dicionario_Dados</t>
  </si>
  <si>
    <t>Descrição de cada coluna de cada tabela: tipo, origem (entrada/calculado), domínio, obrigatoriedade e chaves.</t>
  </si>
  <si>
    <t>CONVENÇÕES (prontas para análise de dados e machine learning)</t>
  </si>
  <si>
    <t>Tabelas</t>
  </si>
  <si>
    <t>Cada registo é uma Tabela Excel com nome próprio (tbl_*): uma linha = um registo, cabeçalho único, sem células mescladas. Ler com pandas (pd.read_excel(ficheiro, sheet_name=folha, header=&lt;linha do cabeçalho - 1&gt;)) ou Power BI (Obter Dados &gt; Tabela).</t>
  </si>
  <si>
    <t>Cabeçalho cinzento</t>
  </si>
  <si>
    <t>Coluna CALCULADA por fórmula — não escrever por cima. As restantes colunas são de entrada.</t>
  </si>
  <si>
    <t>Validação</t>
  </si>
  <si>
    <t>Colunas com lista controlada só aceitam valores da folha Listas (evita categorias duplicadas por grafia diferente).</t>
  </si>
  <si>
    <t>Chaves</t>
  </si>
  <si>
    <t>IDs estáveis e únicos (PK) e referências a IDs de outros registos (FK) permitem juntar tabelas entre ficheiros do SGQ e do SGA — ver SGQ-00_Indice_Modelo_Dados.xlsx.</t>
  </si>
  <si>
    <t>Datas e unidades</t>
  </si>
  <si>
    <t>Datas em formato data (aaaa-mm-dd); números como números; a unidade está no nome da coluna ou no dicionário. Data de referência do SGQ: 2026-12-31.</t>
  </si>
  <si>
    <t>Dados</t>
  </si>
  <si>
    <t>Fábrica simulada Plasticom. Dados operacionais e de qualidade extraídos do dataset do projeto (datasets/silver e datasets/dim, período 2025-07-01 a 2026-12-31); os campos de gestão que o dataset não tem (datas de resposta, avaliações, decisões) são simulação didática coerente com esses dados.</t>
  </si>
  <si>
    <t>LIGAÇÕES A OUTROS REGISTOS</t>
  </si>
  <si>
    <t>RG-SGQ-17 decisões</t>
  </si>
  <si>
    <t>Projetos aprovados na revisão pela gestão.</t>
  </si>
  <si>
    <t>RG-SGQ-04</t>
  </si>
  <si>
    <t>Oportunidades O-nn que originam projetos.</t>
  </si>
  <si>
    <t>RG-SGA-16</t>
  </si>
  <si>
    <t>Kaizen e melhoria ambiental do SGI.</t>
  </si>
  <si>
    <t>manufacturing_performance_analytics.ipynb</t>
  </si>
  <si>
    <t>Análises DMAIC, DOE, FMEA, TOC do projeto.</t>
  </si>
  <si>
    <t>CARTEIRA DE PROJETOS DE MELHORIA CONTÍNUA (10.1)</t>
  </si>
  <si>
    <t>ID_Projeto</t>
  </si>
  <si>
    <t>Titulo</t>
  </si>
  <si>
    <t>Tipo</t>
  </si>
  <si>
    <t>Alinea_10_1</t>
  </si>
  <si>
    <t>Patrocinador</t>
  </si>
  <si>
    <t>Lider</t>
  </si>
  <si>
    <t>Inicio</t>
  </si>
  <si>
    <t>Fim_Planeado</t>
  </si>
  <si>
    <t>Baseline</t>
  </si>
  <si>
    <t>Meta</t>
  </si>
  <si>
    <t>Resultado</t>
  </si>
  <si>
    <t>Hard_Savings_EUR</t>
  </si>
  <si>
    <t>Soft_Savings_EUR</t>
  </si>
  <si>
    <t>Riscos_Oport</t>
  </si>
  <si>
    <t>Ligacao</t>
  </si>
  <si>
    <t>Alerta</t>
  </si>
  <si>
    <t>PRJ-Q-01</t>
  </si>
  <si>
    <t>DMAIC — short shot e peso na IM-002</t>
  </si>
  <si>
    <t>DMAIC (Six Sigma)</t>
  </si>
  <si>
    <t>a) melhorar processos e produtos</t>
  </si>
  <si>
    <t>Fechado</t>
  </si>
  <si>
    <t>Gerente de Produção</t>
  </si>
  <si>
    <t>Engenheiro(a) de Processo</t>
  </si>
  <si>
    <t>Taxa de defeito 1,352% (3,71 σ; DPMO 13 516)</t>
  </si>
  <si>
    <t>0,384%</t>
  </si>
  <si>
    <t>Janela validada por DOE 2³ (temperatura × velocidade); ≈ 1 044 defeitos evitados</t>
  </si>
  <si>
    <t>R4; O1</t>
  </si>
  <si>
    <t>MOC-Q-26-05</t>
  </si>
  <si>
    <t>PRJ-Q-02</t>
  </si>
  <si>
    <t>PFMEA e reforma do molde M-SOP-007</t>
  </si>
  <si>
    <t>Projeto de fiabilidade</t>
  </si>
  <si>
    <t>c) corrigir e prevenir efeitos indesejados</t>
  </si>
  <si>
    <t>Gerente de Manutenção</t>
  </si>
  <si>
    <t>Sandra Reis</t>
  </si>
  <si>
    <t>RPN 280</t>
  </si>
  <si>
    <t>RPN ≤ 150</t>
  </si>
  <si>
    <t>RPN 120; leakage &lt; 300 ppm</t>
  </si>
  <si>
    <t>R2</t>
  </si>
  <si>
    <t>MOC-Q-26-07</t>
  </si>
  <si>
    <t>PRJ-Q-03</t>
  </si>
  <si>
    <t>SMED nas trocas de molde (injeção e sopro)</t>
  </si>
  <si>
    <t>Lean (SMED)</t>
  </si>
  <si>
    <t>b) necessidades futuras (lotes pequenos alimentar/farma)</t>
  </si>
  <si>
    <t>Diretor Industrial</t>
  </si>
  <si>
    <t>Troca média 95 min</t>
  </si>
  <si>
    <t>≤ 70 min</t>
  </si>
  <si>
    <t>Fase de análise: separação interna/externa em 4 moldes</t>
  </si>
  <si>
    <t>O9</t>
  </si>
  <si>
    <t>PRJ-Q-04</t>
  </si>
  <si>
    <t>Visão artificial na decoração HF-001</t>
  </si>
  <si>
    <t>Inovação / investimento</t>
  </si>
  <si>
    <t>a) melhorar processos (inspeção a 100%)</t>
  </si>
  <si>
    <t>Em curso</t>
  </si>
  <si>
    <t>Gerente de Dados / TI</t>
  </si>
  <si>
    <t>Reclamações de decoração/rótulo: 32 em 14 meses (jul/2025–ago/2026)</t>
  </si>
  <si>
    <t>−50%</t>
  </si>
  <si>
    <t>Investimento de € 85 000 aprovado (RPG-2026-01-D05)</t>
  </si>
  <si>
    <t>O13; R8</t>
  </si>
  <si>
    <t>MOC-Q-26-12</t>
  </si>
  <si>
    <t>PRJ-Q-05</t>
  </si>
  <si>
    <t>Teoria das Restrições — injeção como restrição (11 de 14 meses até ago/2026)</t>
  </si>
  <si>
    <t>TOC</t>
  </si>
  <si>
    <t>a) melhorar processos</t>
  </si>
  <si>
    <t>Utilização média da injeção 81,7%; fábrica escondida € 9 090 (8 refações)</t>
  </si>
  <si>
    <t>Refações = 0; +5% de throughput na restrição</t>
  </si>
  <si>
    <t>Subordinação do planeamento à IM; buffer antes da serigrafia</t>
  </si>
  <si>
    <t>O11; O14</t>
  </si>
  <si>
    <t>PRJ-Q-06</t>
  </si>
  <si>
    <t>Rastreabilidade do lote de resina no MES</t>
  </si>
  <si>
    <t>Projeto de sistemas</t>
  </si>
  <si>
    <t>c) corrigir (lacuna de rastreio)</t>
  </si>
  <si>
    <t>Rastreio parcial (FIFO) em 3 de 3 exercícios</t>
  </si>
  <si>
    <t>Rastreio completo ≤ 4 h</t>
  </si>
  <si>
    <t>—</t>
  </si>
  <si>
    <t>R18; O12</t>
  </si>
  <si>
    <t>RPG-2026-01-D07</t>
  </si>
  <si>
    <t>PRJ-Q-07</t>
  </si>
  <si>
    <t>Leak testers em linha nas ISBM-003/005</t>
  </si>
  <si>
    <t>Investimento</t>
  </si>
  <si>
    <t>c) prevenir escapes (fuga)</t>
  </si>
  <si>
    <t>Fuga: 359 ppm na inspeção; 11 reclamações de fuga</t>
  </si>
  <si>
    <t>Reclamações de fuga = 0</t>
  </si>
  <si>
    <t>R16</t>
  </si>
  <si>
    <t>RPG-2026-01-D04</t>
  </si>
  <si>
    <t>PRJ-Q-08</t>
  </si>
  <si>
    <t>Kaizen — passagem de turno (turno 2)</t>
  </si>
  <si>
    <t>Kaizen</t>
  </si>
  <si>
    <t>Chefe de Turno</t>
  </si>
  <si>
    <t>Prémio de defeito do turno 2</t>
  </si>
  <si>
    <t>Diferença ≤ 0,2 pp</t>
  </si>
  <si>
    <t>Checklist digital em piloto na injeção</t>
  </si>
  <si>
    <t>R9</t>
  </si>
  <si>
    <t>GW-26-02</t>
  </si>
  <si>
    <t>PARÂMETROS DO CUSTO DA QUALIDADE (modelo PAF)</t>
  </si>
  <si>
    <t>Valores estimados para a fábrica simulada · Alterar aqui atualiza o COQ mensal</t>
  </si>
  <si>
    <t>Parametro</t>
  </si>
  <si>
    <t>Valor</t>
  </si>
  <si>
    <t>Unidade</t>
  </si>
  <si>
    <t>Descricao</t>
  </si>
  <si>
    <t>PRECO_MEDIO</t>
  </si>
  <si>
    <t>€/un</t>
  </si>
  <si>
    <t>Preço médio de venda por unidade (dataset: Σ valor ÷ Σ unidades expedidas)</t>
  </si>
  <si>
    <t>CUSTO_UN_REJ</t>
  </si>
  <si>
    <t>Custo de uma unidade rejeitada (material não recuperado + tempo de máquina); regrind recupera parte do polímero</t>
  </si>
  <si>
    <t>CUSTO_LOTE_RETRAB</t>
  </si>
  <si>
    <t>€/lote</t>
  </si>
  <si>
    <t>Triagem 100% / retrabalho de um lote (horas de inspeção e manuseamento)</t>
  </si>
  <si>
    <t>CUSTO_LOTE_SEGREG</t>
  </si>
  <si>
    <t>Segregação, identificação e armazenagem de um lote rejeitado</t>
  </si>
  <si>
    <t>CUSTO_NC_MP</t>
  </si>
  <si>
    <t>Lote de MP rejeitado/derrogado: reensaio, devolução, gestão da SCAR</t>
  </si>
  <si>
    <t>CUSTO_CONCESSAO</t>
  </si>
  <si>
    <t>€/concessão</t>
  </si>
  <si>
    <t>Gestão de uma concessão (análise, pedido ao cliente, identificação)</t>
  </si>
  <si>
    <t>CUSTO_AMOSTRA</t>
  </si>
  <si>
    <t>€/unidade inspecionada</t>
  </si>
  <si>
    <t>Custo médio por unidade inspecionada (maioria visual rápida; ensaios destrutivos incluídos)</t>
  </si>
  <si>
    <t>INSPETORES_MES</t>
  </si>
  <si>
    <t>€/mês</t>
  </si>
  <si>
    <t>Custo fixo de 5 inspetores + técnica de laboratório (parte não variável)</t>
  </si>
  <si>
    <t>CALIBRACAO_MES</t>
  </si>
  <si>
    <t>Calibração e verificação (média mensal do plano)</t>
  </si>
  <si>
    <t>AUDITORIA_MES</t>
  </si>
  <si>
    <t>Auditorias internas e de fornecedores (média mensal)</t>
  </si>
  <si>
    <t>FORMACAO_MES</t>
  </si>
  <si>
    <t>Formação em qualidade (plano de formação)</t>
  </si>
  <si>
    <t>PLANEAMENTO_Q_MES</t>
  </si>
  <si>
    <t>Planeamento da qualidade: PFMEA, planos de controlo, MSA, revisão de requisitos</t>
  </si>
  <si>
    <t>CUSTO DA QUALIDADE MENSAL — MODELO PAF</t>
  </si>
  <si>
    <t>Factos do dataset (rejeições, lotes, amostras, reclamações, vendas) × parâmetros editáveis · KPI-Q-16 = falhas ÷ valor da produção</t>
  </si>
  <si>
    <t>Mes</t>
  </si>
  <si>
    <t>Produzido</t>
  </si>
  <si>
    <t>Rejeitado</t>
  </si>
  <si>
    <t>Lotes_Retrabalhados</t>
  </si>
  <si>
    <t>Lotes_Rejeitados</t>
  </si>
  <si>
    <t>Lotes_MP_NC</t>
  </si>
  <si>
    <t>Concessoes</t>
  </si>
  <si>
    <t>Unidades_Inspecionadas</t>
  </si>
  <si>
    <t>Custo_Reclamacoes</t>
  </si>
  <si>
    <t>Vendas_EUR</t>
  </si>
  <si>
    <t>Valor_Producao_EUR</t>
  </si>
  <si>
    <t>Prevencao</t>
  </si>
  <si>
    <t>Avaliacao</t>
  </si>
  <si>
    <t>Falha_Interna</t>
  </si>
  <si>
    <t>Falha_Externa</t>
  </si>
  <si>
    <t>COQ_Total</t>
  </si>
  <si>
    <t>COQ_Pct_Producao</t>
  </si>
  <si>
    <t>Falhas_Pct_Producao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</si>
  <si>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</si>
  <si>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</si>
  <si>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</si>
  <si>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</si>
  <si>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</si>
  <si>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</si>
  <si>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</si>
  <si>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</si>
  <si>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</si>
  <si>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</si>
  <si>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</si>
  <si>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</si>
  <si>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</si>
  <si>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</si>
  <si>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</si>
  <si>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</si>
  <si>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</si>
  <si>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</si>
  <si>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CUSTO DA QUALIDADE — RESUMO DOS ÚLTIMOS 12 MESES — calculado</t>
  </si>
  <si>
    <t>Juran: 'ouro na mina' — atacar as falhas, investir em prevenção, depois reduzir a avaliação</t>
  </si>
  <si>
    <t>Categoria</t>
  </si>
  <si>
    <t>€ (12 meses)</t>
  </si>
  <si>
    <t>% do COQ</t>
  </si>
  <si>
    <t>% do valor produzido</t>
  </si>
  <si>
    <t>Prevenção</t>
  </si>
  <si>
    <t>Avaliação</t>
  </si>
  <si>
    <t>Falha interna</t>
  </si>
  <si>
    <t>Falha externa</t>
  </si>
  <si>
    <t>Total</t>
  </si>
  <si>
    <t>Poupanças da carteira de projetos (hard)</t>
  </si>
  <si>
    <t>Poupanças esperadas (soft)</t>
  </si>
  <si>
    <t>ID_Sugestao</t>
  </si>
  <si>
    <t>Data</t>
  </si>
  <si>
    <t>Proponente</t>
  </si>
  <si>
    <t>Processo</t>
  </si>
  <si>
    <t>Sugestao</t>
  </si>
  <si>
    <t>Dias_Resposta</t>
  </si>
  <si>
    <t>SUG-26-01</t>
  </si>
  <si>
    <t>OP-SOP-002</t>
  </si>
  <si>
    <t>SOP</t>
  </si>
  <si>
    <t>Marcar os moldes com o número de ciclos desde a última limpeza</t>
  </si>
  <si>
    <t>Implementada</t>
  </si>
  <si>
    <t>O2</t>
  </si>
  <si>
    <t>SUG-26-02</t>
  </si>
  <si>
    <t>OP-SK-001</t>
  </si>
  <si>
    <t>SER</t>
  </si>
  <si>
    <t>Suporte fixo para o ensaio de fita junto à SS-001 (evita ir ao laboratório)</t>
  </si>
  <si>
    <t>EH-07</t>
  </si>
  <si>
    <t>SUG-26-03</t>
  </si>
  <si>
    <t>Carlos Mendes</t>
  </si>
  <si>
    <t>LAB</t>
  </si>
  <si>
    <t>Catálogo fotográfico de defeitos na cabine D65</t>
  </si>
  <si>
    <t>FOR-Q-14</t>
  </si>
  <si>
    <t>SUG-26-04</t>
  </si>
  <si>
    <t>OP-INJ-004</t>
  </si>
  <si>
    <t>INJ</t>
  </si>
  <si>
    <t>Cor de etiqueta diferente por material (PP, PETG, PCR)</t>
  </si>
  <si>
    <t>CAPA-Q-26-02</t>
  </si>
  <si>
    <t>SUG-26-05</t>
  </si>
  <si>
    <t>Operador de armazém</t>
  </si>
  <si>
    <t>EXP</t>
  </si>
  <si>
    <t>Balança no cais para conferir o peso da palete antes da carga</t>
  </si>
  <si>
    <t>EH-01</t>
  </si>
  <si>
    <t>SUG-26-06</t>
  </si>
  <si>
    <t>Patrícia Lima</t>
  </si>
  <si>
    <t>MAN</t>
  </si>
  <si>
    <t>Kit de peças críticas da ISBM-005 junto à máquina</t>
  </si>
  <si>
    <t>R3</t>
  </si>
  <si>
    <t>SUG-26-07</t>
  </si>
  <si>
    <t>OP-INJ-002</t>
  </si>
  <si>
    <t>Lista de verificação de arranque das IM-007/008 no HMI (em vez de papel)</t>
  </si>
  <si>
    <t>CON-Q-26-02</t>
  </si>
  <si>
    <t>SUG-26-08</t>
  </si>
  <si>
    <t>Ana Silva</t>
  </si>
  <si>
    <t>Amostras-padrão de cor por cliente na cabine D65 (evita disputas de cor)</t>
  </si>
  <si>
    <t>O13</t>
  </si>
  <si>
    <t>SUG-26-09</t>
  </si>
  <si>
    <t>OP-SOP-005</t>
  </si>
  <si>
    <t>Ecrã com o Cpk do peso por turno junto às ISBM-009/010</t>
  </si>
  <si>
    <t>Em análise</t>
  </si>
  <si>
    <t>CON-Q-26-18</t>
  </si>
  <si>
    <t>LISTAS CONTROLADAS (domínios de validação de dados) — editar aqui para alterar opções</t>
  </si>
  <si>
    <t>DataReferencia</t>
  </si>
  <si>
    <t>TipoProj</t>
  </si>
  <si>
    <t>Alinea101</t>
  </si>
  <si>
    <t>EstadoProj</t>
  </si>
  <si>
    <t>EstadoSug</t>
  </si>
  <si>
    <t>Funcao</t>
  </si>
  <si>
    <t>Proposto</t>
  </si>
  <si>
    <t>GES</t>
  </si>
  <si>
    <t>Diretor Geral (Gestão de Topo)</t>
  </si>
  <si>
    <t>Aprovado</t>
  </si>
  <si>
    <t>QUA</t>
  </si>
  <si>
    <t>COM</t>
  </si>
  <si>
    <t>Rejeitada</t>
  </si>
  <si>
    <t>RD</t>
  </si>
  <si>
    <t>Cancelado</t>
  </si>
  <si>
    <t>PCP</t>
  </si>
  <si>
    <t>CMP</t>
  </si>
  <si>
    <t>Diretor Comercial</t>
  </si>
  <si>
    <t>REC</t>
  </si>
  <si>
    <t>Responsável de Compras</t>
  </si>
  <si>
    <t>Responsável de R&amp;D</t>
  </si>
  <si>
    <t>Responsável de Armazém e Logística</t>
  </si>
  <si>
    <t>Responsável de Recursos Humanos</t>
  </si>
  <si>
    <t>HFS</t>
  </si>
  <si>
    <t>Técnico(a) da Qualidade / Inspetor(a)</t>
  </si>
  <si>
    <t>Técnico(a) de Laboratório</t>
  </si>
  <si>
    <t>MET</t>
  </si>
  <si>
    <t>RH</t>
  </si>
  <si>
    <t>Operador(a) de Injeção</t>
  </si>
  <si>
    <t>TI</t>
  </si>
  <si>
    <t>Operador(a) de Sopro (ISBM)</t>
  </si>
  <si>
    <t>DOC</t>
  </si>
  <si>
    <t>Operador(a) de Serigrafia</t>
  </si>
  <si>
    <t>Operador(a) de Hot Foil</t>
  </si>
  <si>
    <t>Técnico(a) de Manutenção</t>
  </si>
  <si>
    <t>Técnico(a) de Metrologia</t>
  </si>
  <si>
    <t>Auditor(a) Interno(a) do SGQ</t>
  </si>
  <si>
    <t>Gestor(a) de Cliente (Key Account)</t>
  </si>
  <si>
    <t>Planeador(a) de Produção</t>
  </si>
  <si>
    <t>Operador(a) de Armazém / Empilhador</t>
  </si>
  <si>
    <t>Gestor do SGA / EHS (Responsável Ambiental)</t>
  </si>
  <si>
    <t>Folha</t>
  </si>
  <si>
    <t>Tabela</t>
  </si>
  <si>
    <t>Coluna</t>
  </si>
  <si>
    <t>Origem</t>
  </si>
  <si>
    <t>Dominio_Unidade</t>
  </si>
  <si>
    <t>Obrigatorio</t>
  </si>
  <si>
    <t>Chave</t>
  </si>
  <si>
    <t>tbl_projetos_melhoria</t>
  </si>
  <si>
    <t>Texto</t>
  </si>
  <si>
    <t>Entrada</t>
  </si>
  <si>
    <t>Projeto.</t>
  </si>
  <si>
    <t>Sim</t>
  </si>
  <si>
    <t>PK</t>
  </si>
  <si>
    <t>Título.</t>
  </si>
  <si>
    <t>Método.</t>
  </si>
  <si>
    <t>Lista lst_TipoProj</t>
  </si>
  <si>
    <t>10.1 a)–c).</t>
  </si>
  <si>
    <t>Lista lst_Alinea101</t>
  </si>
  <si>
    <t>Estado.</t>
  </si>
  <si>
    <t>Lista lst_EstadoProj</t>
  </si>
  <si>
    <t>Patrocinador (gestão de topo).</t>
  </si>
  <si>
    <t>Lista lst_Funcao</t>
  </si>
  <si>
    <t>Líder.</t>
  </si>
  <si>
    <t>Data (aaaa-mm-dd)</t>
  </si>
  <si>
    <t>Início.</t>
  </si>
  <si>
    <t>Fim planeado.</t>
  </si>
  <si>
    <t>Situação inicial (dados).</t>
  </si>
  <si>
    <t>Meta.</t>
  </si>
  <si>
    <t>Resultado obtido.</t>
  </si>
  <si>
    <t>Moeda (EUR)</t>
  </si>
  <si>
    <t>Poupança realizada (hard savings).</t>
  </si>
  <si>
    <t>Poupança esperada/evitada (soft savings).</t>
  </si>
  <si>
    <t>R/O ligados.</t>
  </si>
  <si>
    <t>Não</t>
  </si>
  <si>
    <t>FK → RG-SGA-02</t>
  </si>
  <si>
    <t>MOC, decisão ou CAPA.</t>
  </si>
  <si>
    <t>Calculado (fórmula)</t>
  </si>
  <si>
    <t>Alerta.</t>
  </si>
  <si>
    <t>tbl_param_coq</t>
  </si>
  <si>
    <t>Parâmetro de custo.</t>
  </si>
  <si>
    <t>Decimal</t>
  </si>
  <si>
    <t>Valor (editar para simular).</t>
  </si>
  <si>
    <t>Unidade.</t>
  </si>
  <si>
    <t>Base do valor (estimativa didática).</t>
  </si>
  <si>
    <t>tbl_coq</t>
  </si>
  <si>
    <t>Mês.</t>
  </si>
  <si>
    <t>Unidades produzidas (dataset).</t>
  </si>
  <si>
    <t>Unidades rejeitadas (dataset).</t>
  </si>
  <si>
    <t>Inteiro</t>
  </si>
  <si>
    <t>Lotes retrabalhados (dataset).</t>
  </si>
  <si>
    <t>Lotes rejeitados (dataset).</t>
  </si>
  <si>
    <t>Lotes de MP rejeitados/derrogados (dataset).</t>
  </si>
  <si>
    <t>Lotes por concessão (dataset).</t>
  </si>
  <si>
    <t>Unidades inspecionadas nas amostras (dataset).</t>
  </si>
  <si>
    <t>Custo das reclamações do mês (mesma regra do RG-SGQ-15).</t>
  </si>
  <si>
    <t>Vendas registadas no dataset (cobrem ≈ 40% das unidades produzidas).</t>
  </si>
  <si>
    <t>Valor da produção = produzido × preço médio (denominador do COQ).</t>
  </si>
  <si>
    <t>Formação + planeamento da qualidade.</t>
  </si>
  <si>
    <t>Inspeção, ensaios, calibração, auditorias.</t>
  </si>
  <si>
    <t>Sucata, retrabalho, segregação, MP não conforme, concessões.</t>
  </si>
  <si>
    <t>Reclamações (créditos, trocas, transporte, 8D).</t>
  </si>
  <si>
    <t>Custo total da qualidade.</t>
  </si>
  <si>
    <t>Percentagem (fração 0-1)</t>
  </si>
  <si>
    <t>COQ em % do valor da produção.</t>
  </si>
  <si>
    <t>KPI-Q-16: falhas em % do valor da produção (meta ≤ 3%).</t>
  </si>
  <si>
    <t>tbl_sugestoes</t>
  </si>
  <si>
    <t>Sugestão.</t>
  </si>
  <si>
    <t>Data.</t>
  </si>
  <si>
    <t>Quem propõe (mesmo nome do RG-SGA-16 tbl_kaizen).</t>
  </si>
  <si>
    <t>Processo.</t>
  </si>
  <si>
    <t>Lista lst_Processo</t>
  </si>
  <si>
    <t>Ideia.</t>
  </si>
  <si>
    <t>Lista lst_EstadoSug</t>
  </si>
  <si>
    <t>Ligação.</t>
  </si>
  <si>
    <t>Dias em análise (meta ≤ 15).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</si>
</sst>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#,##0\ \€"/>
    <numFmt numFmtId="166" formatCode="0.0%"/>
  </numFmts>
  <fonts count="6" x14ac:knownFonts="1">
    <font>
      <sz val="11"/>
      <color theme="1"/>
      <name val="Calibri"/>
      <family val="2"/>
      <scheme val="minor"/>
    </font>
    <font>
      <b/>
      <sz val="14"/>
      <color rgb="FF0F2F3A"/>
      <name val="Arial"/>
    </font>
    <font>
      <b/>
      <sz val="10"/>
      <color rgb="FFFFFFFF"/>
      <name val="Arial"/>
    </font>
    <font>
      <sz val="10"/>
      <name val="Arial"/>
    </font>
    <font>
      <i/>
      <sz val="10"/>
      <color rgb="FF4A5A6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4F6F7A"/>
      </patternFill>
    </fill>
    <fill>
      <patternFill patternType="solid">
        <fgColor rgb="FFEDEDED"/>
      </patternFill>
    </fill>
    <fill>
      <patternFill patternType="solid">
        <fgColor rgb="FFDCEBEF"/>
      </patternFill>
    </fill>
  </fills>
  <borders count="2">
    <border>
      <left/>
      <right/>
      <top/>
      <bottom/>
      <diagonal/>
    </border>
    <border>
      <left style="thin">
        <color rgb="FFB7C4C9"/>
      </left>
      <right style="thin">
        <color rgb="FFB7C4C9"/>
      </right>
      <top style="thin">
        <color rgb="FFB7C4C9"/>
      </top>
      <bottom style="thin">
        <color rgb="FFB7C4C9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4" fillId="0" borderId="0" xfId="0" applyFont="1"/>
    <xf numFmtId="0" fontId="5" fillId="5" borderId="0" xfId="0" applyFont="1" applyFill="1"/>
    <xf numFmtId="0" fontId="0" fillId="5" borderId="0" xfId="0" applyFill="1"/>
    <xf numFmtId="0" fontId="5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164" fontId="3" fillId="0" borderId="0" xfId="0" applyNumberFormat="1" applyFont="1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49" fontId="3" fillId="0" borderId="1" xfId="0" applyNumberFormat="1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165" fontId="3" fillId="0" borderId="1" xfId="0" applyNumberFormat="1" applyFont="1" applyBorder="1" applyAlignment="1">
      <alignment vertical="top" wrapText="1"/>
    </xf>
    <xf numFmtId="49" fontId="3" fillId="4" borderId="1" xfId="0" applyNumberFormat="1" applyFont="1" applyFill="1" applyBorder="1" applyAlignment="1">
      <alignment vertical="top" wrapText="1"/>
    </xf>
    <xf numFmtId="4" fontId="3" fillId="0" borderId="1" xfId="0" applyNumberFormat="1" applyFont="1" applyBorder="1" applyAlignment="1">
      <alignment vertical="top" wrapText="1"/>
    </xf>
    <xf numFmtId="3" fontId="3" fillId="0" borderId="1" xfId="0" applyNumberFormat="1" applyFont="1" applyBorder="1" applyAlignment="1">
      <alignment vertical="top" wrapText="1"/>
    </xf>
    <xf numFmtId="1" fontId="3" fillId="0" borderId="1" xfId="0" applyNumberFormat="1" applyFont="1" applyBorder="1" applyAlignment="1">
      <alignment vertical="top" wrapText="1"/>
    </xf>
    <xf numFmtId="165" fontId="3" fillId="4" borderId="1" xfId="0" applyNumberFormat="1" applyFont="1" applyFill="1" applyBorder="1" applyAlignment="1">
      <alignment vertical="top" wrapText="1"/>
    </xf>
    <xf numFmtId="166" fontId="3" fillId="4" borderId="1" xfId="0" applyNumberFormat="1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166" fontId="3" fillId="0" borderId="1" xfId="0" applyNumberFormat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65" fontId="5" fillId="0" borderId="1" xfId="0" applyNumberFormat="1" applyFont="1" applyBorder="1" applyAlignment="1">
      <alignment vertical="top" wrapText="1"/>
    </xf>
    <xf numFmtId="166" fontId="5" fillId="0" borderId="1" xfId="0" applyNumberFormat="1" applyFont="1" applyBorder="1" applyAlignment="1">
      <alignment vertical="top" wrapText="1"/>
    </xf>
    <xf numFmtId="1" fontId="3" fillId="4" borderId="1" xfId="0" applyNumberFormat="1" applyFont="1" applyFill="1" applyBorder="1" applyAlignment="1">
      <alignment vertical="top" wrapText="1"/>
    </xf>
    <xf numFmtId="0" fontId="5" fillId="0" borderId="0" xfId="0" applyFont="1"/>
    <xf numFmtId="0" fontId="2" fillId="2" borderId="0" xfId="0" applyFont="1" applyFill="1" applyAlignment="1">
      <alignment horizontal="center" vertical="top" wrapText="1"/>
    </xf>
    <xf numFmtId="164" fontId="3" fillId="0" borderId="0" xfId="0" applyNumberFormat="1" applyFont="1" applyAlignment="1">
      <alignment vertical="top" wrapText="1"/>
    </xf>
  </cellXfs>
  <cellStyles count="1">
    <cellStyle name="Normal" xfId="0" builtinId="0"/>
  </cellStyles>
  <dxfs count="8"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>
              <a:defRPr/>
            </a:pPr>
            <a:r>
              <a:t>Custo da qualidade por mês (PAF)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COQ_Mensal!$L$4</c:f>
              <c:strCache>
                <c:ptCount val="1"/>
                <c:pt idx="0">
                  <c:v>Prevencao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COQ_Mensal!$A$5:$A$22</c:f>
              <c:strCache>
                <c:ptCount val="18"/>
                <c:pt idx="0">
                  <c:v>2025-07</c:v>
                </c:pt>
                <c:pt idx="1">
                  <c:v>2025-08</c:v>
                </c:pt>
                <c:pt idx="2">
                  <c:v>2025-09</c:v>
                </c:pt>
                <c:pt idx="3">
                  <c:v>2025-10</c:v>
                </c:pt>
                <c:pt idx="4">
                  <c:v>2025-11</c:v>
                </c:pt>
                <c:pt idx="5">
                  <c:v>2025-12</c:v>
                </c:pt>
                <c:pt idx="6">
                  <c:v>2026-01</c:v>
                </c:pt>
                <c:pt idx="7">
                  <c:v>2026-02</c:v>
                </c:pt>
                <c:pt idx="8">
                  <c:v>2026-03</c:v>
                </c:pt>
                <c:pt idx="9">
                  <c:v>2026-04</c:v>
                </c:pt>
                <c:pt idx="10">
                  <c:v>2026-05</c:v>
                </c:pt>
                <c:pt idx="11">
                  <c:v>2026-06</c:v>
                </c:pt>
                <c:pt idx="12">
                  <c:v>2026-07</c:v>
                </c:pt>
                <c:pt idx="13">
                  <c:v>2026-08</c:v>
                </c:pt>
                <c:pt idx="14">
                  <c:v>2026-09</c:v>
                </c:pt>
                <c:pt idx="15">
                  <c:v>2026-10</c:v>
                </c:pt>
                <c:pt idx="16">
                  <c:v>2026-11</c:v>
                </c:pt>
                <c:pt idx="17">
                  <c:v>2026-12</c:v>
                </c:pt>
              </c:strCache>
            </c:strRef>
          </c:cat>
          <c:val>
            <c:numRef>
              <c:f>COQ_Mensal!$L$5:$L$22</c:f>
              <c:numCache>
                <c:formatCode>#\ ##0\ \€</c:formatCode>
                <c:ptCount val="18"/>
                <c:pt idx="0">
                  <c:v>4000</c:v>
                </c:pt>
                <c:pt idx="1">
                  <c:v>4000</c:v>
                </c:pt>
                <c:pt idx="2">
                  <c:v>4000</c:v>
                </c:pt>
                <c:pt idx="3">
                  <c:v>4000</c:v>
                </c:pt>
                <c:pt idx="4">
                  <c:v>4000</c:v>
                </c:pt>
                <c:pt idx="5">
                  <c:v>4000</c:v>
                </c:pt>
                <c:pt idx="6">
                  <c:v>4000</c:v>
                </c:pt>
                <c:pt idx="7">
                  <c:v>4000</c:v>
                </c:pt>
                <c:pt idx="8">
                  <c:v>4000</c:v>
                </c:pt>
                <c:pt idx="9">
                  <c:v>4000</c:v>
                </c:pt>
                <c:pt idx="10">
                  <c:v>4000</c:v>
                </c:pt>
                <c:pt idx="11">
                  <c:v>4000</c:v>
                </c:pt>
                <c:pt idx="12">
                  <c:v>4000</c:v>
                </c:pt>
                <c:pt idx="13">
                  <c:v>4000</c:v>
                </c:pt>
                <c:pt idx="14">
                  <c:v>4000</c:v>
                </c:pt>
                <c:pt idx="15">
                  <c:v>4000</c:v>
                </c:pt>
                <c:pt idx="16">
                  <c:v>4000</c:v>
                </c:pt>
                <c:pt idx="17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F9-4DE6-84F2-91C4A507DBE3}"/>
            </c:ext>
          </c:extLst>
        </c:ser>
        <c:ser>
          <c:idx val="1"/>
          <c:order val="1"/>
          <c:tx>
            <c:strRef>
              <c:f>COQ_Mensal!$M$4</c:f>
              <c:strCache>
                <c:ptCount val="1"/>
                <c:pt idx="0">
                  <c:v>Avaliacao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COQ_Mensal!$A$5:$A$22</c:f>
              <c:strCache>
                <c:ptCount val="18"/>
                <c:pt idx="0">
                  <c:v>2025-07</c:v>
                </c:pt>
                <c:pt idx="1">
                  <c:v>2025-08</c:v>
                </c:pt>
                <c:pt idx="2">
                  <c:v>2025-09</c:v>
                </c:pt>
                <c:pt idx="3">
                  <c:v>2025-10</c:v>
                </c:pt>
                <c:pt idx="4">
                  <c:v>2025-11</c:v>
                </c:pt>
                <c:pt idx="5">
                  <c:v>2025-12</c:v>
                </c:pt>
                <c:pt idx="6">
                  <c:v>2026-01</c:v>
                </c:pt>
                <c:pt idx="7">
                  <c:v>2026-02</c:v>
                </c:pt>
                <c:pt idx="8">
                  <c:v>2026-03</c:v>
                </c:pt>
                <c:pt idx="9">
                  <c:v>2026-04</c:v>
                </c:pt>
                <c:pt idx="10">
                  <c:v>2026-05</c:v>
                </c:pt>
                <c:pt idx="11">
                  <c:v>2026-06</c:v>
                </c:pt>
                <c:pt idx="12">
                  <c:v>2026-07</c:v>
                </c:pt>
                <c:pt idx="13">
                  <c:v>2026-08</c:v>
                </c:pt>
                <c:pt idx="14">
                  <c:v>2026-09</c:v>
                </c:pt>
                <c:pt idx="15">
                  <c:v>2026-10</c:v>
                </c:pt>
                <c:pt idx="16">
                  <c:v>2026-11</c:v>
                </c:pt>
                <c:pt idx="17">
                  <c:v>2026-12</c:v>
                </c:pt>
              </c:strCache>
            </c:strRef>
          </c:cat>
          <c:val>
            <c:numRef>
              <c:f>COQ_Mensal!$M$5:$M$22</c:f>
              <c:numCache>
                <c:formatCode>#\ ##0\ \€</c:formatCode>
                <c:ptCount val="18"/>
                <c:pt idx="0">
                  <c:v>23801.1</c:v>
                </c:pt>
                <c:pt idx="1">
                  <c:v>23622.6</c:v>
                </c:pt>
                <c:pt idx="2">
                  <c:v>23672.400000000001</c:v>
                </c:pt>
                <c:pt idx="3">
                  <c:v>24397.8</c:v>
                </c:pt>
                <c:pt idx="4">
                  <c:v>23592.9</c:v>
                </c:pt>
                <c:pt idx="5">
                  <c:v>23732.400000000001</c:v>
                </c:pt>
                <c:pt idx="6">
                  <c:v>23499</c:v>
                </c:pt>
                <c:pt idx="7">
                  <c:v>22986</c:v>
                </c:pt>
                <c:pt idx="8">
                  <c:v>23730.9</c:v>
                </c:pt>
                <c:pt idx="9">
                  <c:v>23522.1</c:v>
                </c:pt>
                <c:pt idx="10">
                  <c:v>23672.1</c:v>
                </c:pt>
                <c:pt idx="11">
                  <c:v>23478</c:v>
                </c:pt>
                <c:pt idx="12">
                  <c:v>25122.6</c:v>
                </c:pt>
                <c:pt idx="13">
                  <c:v>25741.199999999997</c:v>
                </c:pt>
                <c:pt idx="14">
                  <c:v>25502.1</c:v>
                </c:pt>
                <c:pt idx="15">
                  <c:v>26000.1</c:v>
                </c:pt>
                <c:pt idx="16">
                  <c:v>25015.199999999997</c:v>
                </c:pt>
                <c:pt idx="17">
                  <c:v>25370.699999999997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F9-4DE6-84F2-91C4A507DBE3}"/>
            </c:ext>
          </c:extLst>
        </c:ser>
        <c:ser>
          <c:idx val="2"/>
          <c:order val="2"/>
          <c:tx>
            <c:strRef>
              <c:f>COQ_Mensal!$N$4</c:f>
              <c:strCache>
                <c:ptCount val="1"/>
                <c:pt idx="0">
                  <c:v>Falha_Interna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COQ_Mensal!$A$5:$A$22</c:f>
              <c:strCache>
                <c:ptCount val="18"/>
                <c:pt idx="0">
                  <c:v>2025-07</c:v>
                </c:pt>
                <c:pt idx="1">
                  <c:v>2025-08</c:v>
                </c:pt>
                <c:pt idx="2">
                  <c:v>2025-09</c:v>
                </c:pt>
                <c:pt idx="3">
                  <c:v>2025-10</c:v>
                </c:pt>
                <c:pt idx="4">
                  <c:v>2025-11</c:v>
                </c:pt>
                <c:pt idx="5">
                  <c:v>2025-12</c:v>
                </c:pt>
                <c:pt idx="6">
                  <c:v>2026-01</c:v>
                </c:pt>
                <c:pt idx="7">
                  <c:v>2026-02</c:v>
                </c:pt>
                <c:pt idx="8">
                  <c:v>2026-03</c:v>
                </c:pt>
                <c:pt idx="9">
                  <c:v>2026-04</c:v>
                </c:pt>
                <c:pt idx="10">
                  <c:v>2026-05</c:v>
                </c:pt>
                <c:pt idx="11">
                  <c:v>2026-06</c:v>
                </c:pt>
                <c:pt idx="12">
                  <c:v>2026-07</c:v>
                </c:pt>
                <c:pt idx="13">
                  <c:v>2026-08</c:v>
                </c:pt>
                <c:pt idx="14">
                  <c:v>2026-09</c:v>
                </c:pt>
                <c:pt idx="15">
                  <c:v>2026-10</c:v>
                </c:pt>
                <c:pt idx="16">
                  <c:v>2026-11</c:v>
                </c:pt>
                <c:pt idx="17">
                  <c:v>2026-12</c:v>
                </c:pt>
              </c:strCache>
            </c:strRef>
          </c:cat>
          <c:val>
            <c:numRef>
              <c:f>COQ_Mensal!$N$5:$N$22</c:f>
              <c:numCache>
                <c:formatCode>#\ ##0\ \€</c:formatCode>
                <c:ptCount val="18"/>
                <c:pt idx="0">
                  <c:v>17718.559999999998</c:v>
                </c:pt>
                <c:pt idx="1">
                  <c:v>16452.699999999997</c:v>
                </c:pt>
                <c:pt idx="2">
                  <c:v>18475.48</c:v>
                </c:pt>
                <c:pt idx="3">
                  <c:v>16642.84</c:v>
                </c:pt>
                <c:pt idx="4">
                  <c:v>17763.96</c:v>
                </c:pt>
                <c:pt idx="5">
                  <c:v>17018.62</c:v>
                </c:pt>
                <c:pt idx="6">
                  <c:v>16924.080000000002</c:v>
                </c:pt>
                <c:pt idx="7">
                  <c:v>15117.68</c:v>
                </c:pt>
                <c:pt idx="8">
                  <c:v>19023.46</c:v>
                </c:pt>
                <c:pt idx="9">
                  <c:v>15564.92</c:v>
                </c:pt>
                <c:pt idx="10">
                  <c:v>19006.62</c:v>
                </c:pt>
                <c:pt idx="11">
                  <c:v>15940.82</c:v>
                </c:pt>
                <c:pt idx="12">
                  <c:v>19680.3</c:v>
                </c:pt>
                <c:pt idx="13">
                  <c:v>22162.379999999997</c:v>
                </c:pt>
                <c:pt idx="14">
                  <c:v>20973.08</c:v>
                </c:pt>
                <c:pt idx="15">
                  <c:v>21671.62</c:v>
                </c:pt>
                <c:pt idx="16">
                  <c:v>21247.18</c:v>
                </c:pt>
                <c:pt idx="17">
                  <c:v>20985.18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F9-4DE6-84F2-91C4A507DBE3}"/>
            </c:ext>
          </c:extLst>
        </c:ser>
        <c:ser>
          <c:idx val="3"/>
          <c:order val="3"/>
          <c:tx>
            <c:strRef>
              <c:f>COQ_Mensal!$O$4</c:f>
              <c:strCache>
                <c:ptCount val="1"/>
                <c:pt idx="0">
                  <c:v>Falha_Externa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COQ_Mensal!$A$5:$A$22</c:f>
              <c:strCache>
                <c:ptCount val="18"/>
                <c:pt idx="0">
                  <c:v>2025-07</c:v>
                </c:pt>
                <c:pt idx="1">
                  <c:v>2025-08</c:v>
                </c:pt>
                <c:pt idx="2">
                  <c:v>2025-09</c:v>
                </c:pt>
                <c:pt idx="3">
                  <c:v>2025-10</c:v>
                </c:pt>
                <c:pt idx="4">
                  <c:v>2025-11</c:v>
                </c:pt>
                <c:pt idx="5">
                  <c:v>2025-12</c:v>
                </c:pt>
                <c:pt idx="6">
                  <c:v>2026-01</c:v>
                </c:pt>
                <c:pt idx="7">
                  <c:v>2026-02</c:v>
                </c:pt>
                <c:pt idx="8">
                  <c:v>2026-03</c:v>
                </c:pt>
                <c:pt idx="9">
                  <c:v>2026-04</c:v>
                </c:pt>
                <c:pt idx="10">
                  <c:v>2026-05</c:v>
                </c:pt>
                <c:pt idx="11">
                  <c:v>2026-06</c:v>
                </c:pt>
                <c:pt idx="12">
                  <c:v>2026-07</c:v>
                </c:pt>
                <c:pt idx="13">
                  <c:v>2026-08</c:v>
                </c:pt>
                <c:pt idx="14">
                  <c:v>2026-09</c:v>
                </c:pt>
                <c:pt idx="15">
                  <c:v>2026-10</c:v>
                </c:pt>
                <c:pt idx="16">
                  <c:v>2026-11</c:v>
                </c:pt>
                <c:pt idx="17">
                  <c:v>2026-12</c:v>
                </c:pt>
              </c:strCache>
            </c:strRef>
          </c:cat>
          <c:val>
            <c:numRef>
              <c:f>COQ_Mensal!$O$5:$O$22</c:f>
              <c:numCache>
                <c:formatCode>#\ ##0\ \€</c:formatCode>
                <c:ptCount val="18"/>
                <c:pt idx="0">
                  <c:v>129</c:v>
                </c:pt>
                <c:pt idx="1">
                  <c:v>2478.75</c:v>
                </c:pt>
                <c:pt idx="2">
                  <c:v>1963</c:v>
                </c:pt>
                <c:pt idx="3">
                  <c:v>2459.75</c:v>
                </c:pt>
                <c:pt idx="4">
                  <c:v>1273.25</c:v>
                </c:pt>
                <c:pt idx="5">
                  <c:v>3648.5</c:v>
                </c:pt>
                <c:pt idx="6">
                  <c:v>1587.75</c:v>
                </c:pt>
                <c:pt idx="7">
                  <c:v>1653.25</c:v>
                </c:pt>
                <c:pt idx="8">
                  <c:v>1587.25</c:v>
                </c:pt>
                <c:pt idx="9">
                  <c:v>2555.5</c:v>
                </c:pt>
                <c:pt idx="10">
                  <c:v>1582.75</c:v>
                </c:pt>
                <c:pt idx="11">
                  <c:v>1522.5</c:v>
                </c:pt>
                <c:pt idx="12">
                  <c:v>1503.5</c:v>
                </c:pt>
                <c:pt idx="13">
                  <c:v>1790.5</c:v>
                </c:pt>
                <c:pt idx="14">
                  <c:v>3277.75</c:v>
                </c:pt>
                <c:pt idx="15">
                  <c:v>1914.75</c:v>
                </c:pt>
                <c:pt idx="16">
                  <c:v>1887</c:v>
                </c:pt>
                <c:pt idx="17">
                  <c:v>2278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F9-4DE6-84F2-91C4A507D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projetos_melhoria" displayName="tbl_projetos_melhoria" ref="A4:Q12">
  <autoFilter ref="A4:Q12" xr:uid="{00000000-0009-0000-0100-000001000000}"/>
  <tableColumns count="17">
    <tableColumn id="1" xr3:uid="{00000000-0010-0000-0000-000001000000}" name="ID_Projeto"/>
    <tableColumn id="2" xr3:uid="{00000000-0010-0000-0000-000002000000}" name="Titulo"/>
    <tableColumn id="3" xr3:uid="{00000000-0010-0000-0000-000003000000}" name="Tipo"/>
    <tableColumn id="4" xr3:uid="{00000000-0010-0000-0000-000004000000}" name="Alinea_10_1"/>
    <tableColumn id="5" xr3:uid="{00000000-0010-0000-0000-000005000000}" name="Estado"/>
    <tableColumn id="6" xr3:uid="{00000000-0010-0000-0000-000006000000}" name="Patrocinador"/>
    <tableColumn id="7" xr3:uid="{00000000-0010-0000-0000-000007000000}" name="Lider"/>
    <tableColumn id="8" xr3:uid="{00000000-0010-0000-0000-000008000000}" name="Inicio"/>
    <tableColumn id="9" xr3:uid="{00000000-0010-0000-0000-000009000000}" name="Fim_Planeado"/>
    <tableColumn id="10" xr3:uid="{00000000-0010-0000-0000-00000A000000}" name="Baseline"/>
    <tableColumn id="11" xr3:uid="{00000000-0010-0000-0000-00000B000000}" name="Meta"/>
    <tableColumn id="12" xr3:uid="{00000000-0010-0000-0000-00000C000000}" name="Resultado"/>
    <tableColumn id="13" xr3:uid="{00000000-0010-0000-0000-00000D000000}" name="Hard_Savings_EUR"/>
    <tableColumn id="14" xr3:uid="{00000000-0010-0000-0000-00000E000000}" name="Soft_Savings_EUR"/>
    <tableColumn id="15" xr3:uid="{00000000-0010-0000-0000-00000F000000}" name="Riscos_Oport"/>
    <tableColumn id="16" xr3:uid="{00000000-0010-0000-0000-000010000000}" name="Ligacao"/>
    <tableColumn id="17" xr3:uid="{00000000-0010-0000-0000-000011000000}" name="Alerta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param_coq" displayName="tbl_param_coq" ref="A4:D16">
  <autoFilter ref="A4:D16" xr:uid="{00000000-0009-0000-0100-000002000000}"/>
  <tableColumns count="4">
    <tableColumn id="1" xr3:uid="{00000000-0010-0000-0100-000001000000}" name="Parametro"/>
    <tableColumn id="2" xr3:uid="{00000000-0010-0000-0100-000002000000}" name="Valor"/>
    <tableColumn id="3" xr3:uid="{00000000-0010-0000-0100-000003000000}" name="Unidade"/>
    <tableColumn id="4" xr3:uid="{00000000-0010-0000-0100-000004000000}" name="Descricao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coq" displayName="tbl_coq" ref="A4:R22">
  <autoFilter ref="A4:R22" xr:uid="{00000000-0009-0000-0100-000003000000}"/>
  <tableColumns count="18">
    <tableColumn id="1" xr3:uid="{00000000-0010-0000-0200-000001000000}" name="Mes"/>
    <tableColumn id="2" xr3:uid="{00000000-0010-0000-0200-000002000000}" name="Produzido"/>
    <tableColumn id="3" xr3:uid="{00000000-0010-0000-0200-000003000000}" name="Rejeitado"/>
    <tableColumn id="4" xr3:uid="{00000000-0010-0000-0200-000004000000}" name="Lotes_Retrabalhados"/>
    <tableColumn id="5" xr3:uid="{00000000-0010-0000-0200-000005000000}" name="Lotes_Rejeitados"/>
    <tableColumn id="6" xr3:uid="{00000000-0010-0000-0200-000006000000}" name="Lotes_MP_NC"/>
    <tableColumn id="7" xr3:uid="{00000000-0010-0000-0200-000007000000}" name="Concessoes"/>
    <tableColumn id="8" xr3:uid="{00000000-0010-0000-0200-000008000000}" name="Unidades_Inspecionadas"/>
    <tableColumn id="9" xr3:uid="{00000000-0010-0000-0200-000009000000}" name="Custo_Reclamacoes"/>
    <tableColumn id="10" xr3:uid="{00000000-0010-0000-0200-00000A000000}" name="Vendas_EUR"/>
    <tableColumn id="11" xr3:uid="{00000000-0010-0000-0200-00000B000000}" name="Valor_Producao_EUR"/>
    <tableColumn id="12" xr3:uid="{00000000-0010-0000-0200-00000C000000}" name="Prevencao"/>
    <tableColumn id="13" xr3:uid="{00000000-0010-0000-0200-00000D000000}" name="Avaliacao"/>
    <tableColumn id="14" xr3:uid="{00000000-0010-0000-0200-00000E000000}" name="Falha_Interna"/>
    <tableColumn id="15" xr3:uid="{00000000-0010-0000-0200-00000F000000}" name="Falha_Externa"/>
    <tableColumn id="16" xr3:uid="{00000000-0010-0000-0200-000010000000}" name="COQ_Total"/>
    <tableColumn id="17" xr3:uid="{00000000-0010-0000-0200-000011000000}" name="COQ_Pct_Producao"/>
    <tableColumn id="18" xr3:uid="{00000000-0010-0000-0200-000012000000}" name="Falhas_Pct_Producao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sugestoes" displayName="tbl_sugestoes" ref="A1:H20">
  <autoFilter ref="A1:H20" xr:uid="{00000000-0009-0000-0100-000004000000}"/>
  <tableColumns count="8">
    <tableColumn id="1" xr3:uid="{00000000-0010-0000-0300-000001000000}" name="ID_Sugestao"/>
    <tableColumn id="2" xr3:uid="{00000000-0010-0000-0300-000002000000}" name="Data"/>
    <tableColumn id="3" xr3:uid="{00000000-0010-0000-0300-000003000000}" name="Proponente"/>
    <tableColumn id="4" xr3:uid="{00000000-0010-0000-0300-000004000000}" name="Processo"/>
    <tableColumn id="5" xr3:uid="{00000000-0010-0000-0300-000005000000}" name="Sugestao"/>
    <tableColumn id="6" xr3:uid="{00000000-0010-0000-0300-000006000000}" name="Estado"/>
    <tableColumn id="7" xr3:uid="{00000000-0010-0000-0300-000007000000}" name="Ligacao"/>
    <tableColumn id="8" xr3:uid="{00000000-0010-0000-0300-000008000000}" name="Dias_Resposta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dicionario" displayName="tbl_dicionario" ref="A1:I48">
  <autoFilter ref="A1:I48" xr:uid="{00000000-0009-0000-0100-000005000000}"/>
  <tableColumns count="9">
    <tableColumn id="1" xr3:uid="{00000000-0010-0000-0400-000001000000}" name="Folha"/>
    <tableColumn id="2" xr3:uid="{00000000-0010-0000-0400-000002000000}" name="Tabela"/>
    <tableColumn id="3" xr3:uid="{00000000-0010-0000-0400-000003000000}" name="Coluna"/>
    <tableColumn id="4" xr3:uid="{00000000-0010-0000-0400-000004000000}" name="Tipo"/>
    <tableColumn id="5" xr3:uid="{00000000-0010-0000-0400-000005000000}" name="Origem"/>
    <tableColumn id="6" xr3:uid="{00000000-0010-0000-0400-000006000000}" name="Descricao"/>
    <tableColumn id="7" xr3:uid="{00000000-0010-0000-0400-000007000000}" name="Dominio_Unidade"/>
    <tableColumn id="8" xr3:uid="{00000000-0010-0000-0400-000008000000}" name="Obrigatorio"/>
    <tableColumn id="9" xr3:uid="{00000000-0010-0000-0400-000009000000}" name="Chav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5F"/>
  </sheetPr>
  <dimension ref="A1:B47"/>
  <sheetViews>
    <sheetView showGridLines="0" tabSelected="1"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6" t="s">
        <v>4</v>
      </c>
    </row>
    <row r="6" spans="1:2" x14ac:dyDescent="0.3">
      <c r="A6" s="5" t="s">
        <v>5</v>
      </c>
      <c r="B6" s="6" t="s">
        <v>6</v>
      </c>
    </row>
    <row r="7" spans="1:2" x14ac:dyDescent="0.3">
      <c r="A7" s="5" t="s">
        <v>7</v>
      </c>
      <c r="B7" s="6" t="s">
        <v>8</v>
      </c>
    </row>
    <row r="8" spans="1:2" x14ac:dyDescent="0.3">
      <c r="A8" s="5" t="s">
        <v>9</v>
      </c>
      <c r="B8" s="7">
        <v>46387</v>
      </c>
    </row>
    <row r="9" spans="1:2" x14ac:dyDescent="0.3">
      <c r="A9" s="5" t="s">
        <v>10</v>
      </c>
      <c r="B9" s="6" t="s">
        <v>11</v>
      </c>
    </row>
    <row r="10" spans="1:2" x14ac:dyDescent="0.3">
      <c r="A10" s="5" t="s">
        <v>12</v>
      </c>
      <c r="B10" s="6" t="s">
        <v>13</v>
      </c>
    </row>
    <row r="11" spans="1:2" x14ac:dyDescent="0.3">
      <c r="A11" s="5" t="s">
        <v>14</v>
      </c>
      <c r="B11" s="6" t="s">
        <v>15</v>
      </c>
    </row>
    <row r="12" spans="1:2" x14ac:dyDescent="0.3">
      <c r="A12" s="5" t="s">
        <v>16</v>
      </c>
      <c r="B12" s="6" t="s">
        <v>17</v>
      </c>
    </row>
    <row r="13" spans="1:2" ht="39.6" x14ac:dyDescent="0.3">
      <c r="A13" s="5" t="s">
        <v>18</v>
      </c>
      <c r="B13" s="6" t="s">
        <v>19</v>
      </c>
    </row>
    <row r="15" spans="1:2" x14ac:dyDescent="0.3">
      <c r="A15" s="3" t="s">
        <v>20</v>
      </c>
      <c r="B15" s="4"/>
    </row>
    <row r="16" spans="1:2" ht="39.6" x14ac:dyDescent="0.3">
      <c r="A16" s="5" t="s">
        <v>21</v>
      </c>
      <c r="B16" s="6" t="s">
        <v>22</v>
      </c>
    </row>
    <row r="17" spans="1:2" ht="26.4" x14ac:dyDescent="0.3">
      <c r="A17" s="5" t="s">
        <v>23</v>
      </c>
      <c r="B17" s="6" t="s">
        <v>24</v>
      </c>
    </row>
    <row r="18" spans="1:2" ht="26.4" x14ac:dyDescent="0.3">
      <c r="A18" s="5" t="s">
        <v>25</v>
      </c>
      <c r="B18" s="6" t="s">
        <v>26</v>
      </c>
    </row>
    <row r="20" spans="1:2" x14ac:dyDescent="0.3">
      <c r="A20" s="3" t="s">
        <v>27</v>
      </c>
      <c r="B20" s="4"/>
    </row>
    <row r="21" spans="1:2" ht="26.4" x14ac:dyDescent="0.3">
      <c r="A21" s="5" t="s">
        <v>28</v>
      </c>
      <c r="B21" s="6" t="s">
        <v>29</v>
      </c>
    </row>
    <row r="22" spans="1:2" ht="26.4" x14ac:dyDescent="0.3">
      <c r="A22" s="5" t="s">
        <v>30</v>
      </c>
      <c r="B22" s="6" t="s">
        <v>31</v>
      </c>
    </row>
    <row r="23" spans="1:2" ht="39.6" x14ac:dyDescent="0.3">
      <c r="A23" s="5" t="s">
        <v>32</v>
      </c>
      <c r="B23" s="6" t="s">
        <v>33</v>
      </c>
    </row>
    <row r="24" spans="1:2" x14ac:dyDescent="0.3">
      <c r="A24" s="5" t="s">
        <v>34</v>
      </c>
      <c r="B24" s="6" t="s">
        <v>35</v>
      </c>
    </row>
    <row r="26" spans="1:2" x14ac:dyDescent="0.3">
      <c r="A26" s="3" t="s">
        <v>36</v>
      </c>
      <c r="B26" s="4"/>
    </row>
    <row r="27" spans="1:2" x14ac:dyDescent="0.3">
      <c r="A27" s="5" t="s">
        <v>37</v>
      </c>
      <c r="B27" s="6" t="s">
        <v>38</v>
      </c>
    </row>
    <row r="28" spans="1:2" x14ac:dyDescent="0.3">
      <c r="A28" s="5" t="s">
        <v>39</v>
      </c>
      <c r="B28" s="6" t="s">
        <v>40</v>
      </c>
    </row>
    <row r="29" spans="1:2" x14ac:dyDescent="0.3">
      <c r="A29" s="5" t="s">
        <v>41</v>
      </c>
      <c r="B29" s="6" t="s">
        <v>42</v>
      </c>
    </row>
    <row r="30" spans="1:2" x14ac:dyDescent="0.3">
      <c r="A30" s="5" t="s">
        <v>43</v>
      </c>
      <c r="B30" s="6" t="s">
        <v>44</v>
      </c>
    </row>
    <row r="31" spans="1:2" x14ac:dyDescent="0.3">
      <c r="A31" s="5" t="s">
        <v>45</v>
      </c>
      <c r="B31" s="6" t="s">
        <v>46</v>
      </c>
    </row>
    <row r="32" spans="1:2" x14ac:dyDescent="0.3">
      <c r="A32" s="5" t="s">
        <v>47</v>
      </c>
      <c r="B32" s="6" t="s">
        <v>48</v>
      </c>
    </row>
    <row r="33" spans="1:2" x14ac:dyDescent="0.3">
      <c r="A33" s="5" t="s">
        <v>49</v>
      </c>
      <c r="B33" s="6" t="s">
        <v>50</v>
      </c>
    </row>
    <row r="35" spans="1:2" x14ac:dyDescent="0.3">
      <c r="A35" s="3" t="s">
        <v>51</v>
      </c>
      <c r="B35" s="4"/>
    </row>
    <row r="36" spans="1:2" ht="26.4" x14ac:dyDescent="0.3">
      <c r="A36" s="5" t="s">
        <v>52</v>
      </c>
      <c r="B36" s="6" t="s">
        <v>53</v>
      </c>
    </row>
    <row r="37" spans="1:2" x14ac:dyDescent="0.3">
      <c r="A37" s="5" t="s">
        <v>54</v>
      </c>
      <c r="B37" s="6" t="s">
        <v>55</v>
      </c>
    </row>
    <row r="38" spans="1:2" x14ac:dyDescent="0.3">
      <c r="A38" s="5" t="s">
        <v>56</v>
      </c>
      <c r="B38" s="6" t="s">
        <v>57</v>
      </c>
    </row>
    <row r="39" spans="1:2" ht="26.4" x14ac:dyDescent="0.3">
      <c r="A39" s="5" t="s">
        <v>58</v>
      </c>
      <c r="B39" s="6" t="s">
        <v>59</v>
      </c>
    </row>
    <row r="40" spans="1:2" ht="26.4" x14ac:dyDescent="0.3">
      <c r="A40" s="5" t="s">
        <v>60</v>
      </c>
      <c r="B40" s="6" t="s">
        <v>61</v>
      </c>
    </row>
    <row r="41" spans="1:2" ht="39.6" x14ac:dyDescent="0.3">
      <c r="A41" s="5" t="s">
        <v>62</v>
      </c>
      <c r="B41" s="6" t="s">
        <v>63</v>
      </c>
    </row>
    <row r="43" spans="1:2" x14ac:dyDescent="0.3">
      <c r="A43" s="3" t="s">
        <v>64</v>
      </c>
      <c r="B43" s="4"/>
    </row>
    <row r="44" spans="1:2" x14ac:dyDescent="0.3">
      <c r="A44" s="5" t="s">
        <v>65</v>
      </c>
      <c r="B44" s="6" t="s">
        <v>66</v>
      </c>
    </row>
    <row r="45" spans="1:2" x14ac:dyDescent="0.3">
      <c r="A45" s="5" t="s">
        <v>67</v>
      </c>
      <c r="B45" s="6" t="s">
        <v>68</v>
      </c>
    </row>
    <row r="46" spans="1:2" x14ac:dyDescent="0.3">
      <c r="A46" s="5" t="s">
        <v>69</v>
      </c>
      <c r="B46" s="6" t="s">
        <v>70</v>
      </c>
    </row>
    <row r="47" spans="1:2" ht="26.4" x14ac:dyDescent="0.3">
      <c r="A47" s="5" t="s">
        <v>71</v>
      </c>
      <c r="B47" s="6" t="s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12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40" customWidth="1"/>
    <col min="3" max="3" width="18" customWidth="1"/>
    <col min="4" max="4" width="28" customWidth="1"/>
    <col min="5" max="5" width="10" customWidth="1"/>
    <col min="6" max="6" width="22" customWidth="1"/>
    <col min="7" max="7" width="20" customWidth="1"/>
    <col min="8" max="9" width="11" customWidth="1"/>
    <col min="10" max="10" width="34" customWidth="1"/>
    <col min="11" max="11" width="18" customWidth="1"/>
    <col min="12" max="12" width="40" customWidth="1"/>
    <col min="13" max="14" width="10" customWidth="1"/>
    <col min="15" max="15" width="12" customWidth="1"/>
    <col min="16" max="16" width="18" customWidth="1"/>
    <col min="17" max="17" width="12" customWidth="1"/>
  </cols>
  <sheetData>
    <row r="1" spans="1:17" ht="17.399999999999999" x14ac:dyDescent="0.3">
      <c r="A1" s="1" t="s">
        <v>73</v>
      </c>
    </row>
    <row r="4" spans="1:17" ht="26.4" x14ac:dyDescent="0.3">
      <c r="A4" s="8" t="s">
        <v>74</v>
      </c>
      <c r="B4" s="8" t="s">
        <v>75</v>
      </c>
      <c r="C4" s="8" t="s">
        <v>76</v>
      </c>
      <c r="D4" s="8" t="s">
        <v>77</v>
      </c>
      <c r="E4" s="8" t="s">
        <v>14</v>
      </c>
      <c r="F4" s="8" t="s">
        <v>78</v>
      </c>
      <c r="G4" s="8" t="s">
        <v>79</v>
      </c>
      <c r="H4" s="8" t="s">
        <v>80</v>
      </c>
      <c r="I4" s="8" t="s">
        <v>81</v>
      </c>
      <c r="J4" s="8" t="s">
        <v>82</v>
      </c>
      <c r="K4" s="8" t="s">
        <v>83</v>
      </c>
      <c r="L4" s="8" t="s">
        <v>84</v>
      </c>
      <c r="M4" s="8" t="s">
        <v>85</v>
      </c>
      <c r="N4" s="8" t="s">
        <v>86</v>
      </c>
      <c r="O4" s="8" t="s">
        <v>87</v>
      </c>
      <c r="P4" s="8" t="s">
        <v>88</v>
      </c>
      <c r="Q4" s="9" t="s">
        <v>89</v>
      </c>
    </row>
    <row r="5" spans="1:17" ht="45" customHeight="1" x14ac:dyDescent="0.3">
      <c r="A5" s="10" t="s">
        <v>90</v>
      </c>
      <c r="B5" s="10" t="s">
        <v>91</v>
      </c>
      <c r="C5" s="10" t="s">
        <v>92</v>
      </c>
      <c r="D5" s="10" t="s">
        <v>93</v>
      </c>
      <c r="E5" s="10" t="s">
        <v>94</v>
      </c>
      <c r="F5" s="10" t="s">
        <v>95</v>
      </c>
      <c r="G5" s="10" t="s">
        <v>96</v>
      </c>
      <c r="H5" s="11">
        <v>45992</v>
      </c>
      <c r="I5" s="11">
        <v>46173</v>
      </c>
      <c r="J5" s="10" t="s">
        <v>97</v>
      </c>
      <c r="K5" s="10" t="s">
        <v>98</v>
      </c>
      <c r="L5" s="10" t="s">
        <v>99</v>
      </c>
      <c r="M5" s="12">
        <v>18500</v>
      </c>
      <c r="N5" s="12">
        <v>6000</v>
      </c>
      <c r="O5" s="10" t="s">
        <v>100</v>
      </c>
      <c r="P5" s="10" t="s">
        <v>101</v>
      </c>
      <c r="Q5" s="13" t="str">
        <f t="shared" ref="Q5:Q12" si="0">IF(A5="","",IF(AND(E5&lt;&gt;"Fechado",I5&lt;DataRef),"Atrasado","OK"))</f>
        <v>OK</v>
      </c>
    </row>
    <row r="6" spans="1:17" ht="45" customHeight="1" x14ac:dyDescent="0.3">
      <c r="A6" s="10" t="s">
        <v>102</v>
      </c>
      <c r="B6" s="10" t="s">
        <v>103</v>
      </c>
      <c r="C6" s="10" t="s">
        <v>104</v>
      </c>
      <c r="D6" s="10" t="s">
        <v>105</v>
      </c>
      <c r="E6" s="10" t="s">
        <v>94</v>
      </c>
      <c r="F6" s="10" t="s">
        <v>106</v>
      </c>
      <c r="G6" s="10" t="s">
        <v>107</v>
      </c>
      <c r="H6" s="11">
        <v>46037</v>
      </c>
      <c r="I6" s="11">
        <v>46178</v>
      </c>
      <c r="J6" s="10" t="s">
        <v>108</v>
      </c>
      <c r="K6" s="10" t="s">
        <v>109</v>
      </c>
      <c r="L6" s="10" t="s">
        <v>110</v>
      </c>
      <c r="M6" s="12">
        <v>9200</v>
      </c>
      <c r="N6" s="12">
        <v>0</v>
      </c>
      <c r="O6" s="10" t="s">
        <v>111</v>
      </c>
      <c r="P6" s="10" t="s">
        <v>112</v>
      </c>
      <c r="Q6" s="13" t="str">
        <f t="shared" si="0"/>
        <v>OK</v>
      </c>
    </row>
    <row r="7" spans="1:17" ht="45" customHeight="1" x14ac:dyDescent="0.3">
      <c r="A7" s="10" t="s">
        <v>113</v>
      </c>
      <c r="B7" s="10" t="s">
        <v>114</v>
      </c>
      <c r="C7" s="10" t="s">
        <v>115</v>
      </c>
      <c r="D7" s="10" t="s">
        <v>116</v>
      </c>
      <c r="E7" s="10" t="s">
        <v>94</v>
      </c>
      <c r="F7" s="10" t="s">
        <v>117</v>
      </c>
      <c r="G7" s="10" t="s">
        <v>96</v>
      </c>
      <c r="H7" s="11">
        <v>46174</v>
      </c>
      <c r="I7" s="11">
        <v>46387</v>
      </c>
      <c r="J7" s="10" t="s">
        <v>118</v>
      </c>
      <c r="K7" s="10" t="s">
        <v>119</v>
      </c>
      <c r="L7" s="10" t="s">
        <v>120</v>
      </c>
      <c r="M7" s="12">
        <v>0</v>
      </c>
      <c r="N7" s="12">
        <v>22000</v>
      </c>
      <c r="O7" s="10" t="s">
        <v>121</v>
      </c>
      <c r="P7" s="10"/>
      <c r="Q7" s="13" t="str">
        <f t="shared" si="0"/>
        <v>OK</v>
      </c>
    </row>
    <row r="8" spans="1:17" ht="45" customHeight="1" x14ac:dyDescent="0.3">
      <c r="A8" s="10" t="s">
        <v>122</v>
      </c>
      <c r="B8" s="10" t="s">
        <v>123</v>
      </c>
      <c r="C8" s="10" t="s">
        <v>124</v>
      </c>
      <c r="D8" s="10" t="s">
        <v>125</v>
      </c>
      <c r="E8" s="10" t="s">
        <v>126</v>
      </c>
      <c r="F8" s="10" t="s">
        <v>127</v>
      </c>
      <c r="G8" s="10" t="s">
        <v>11</v>
      </c>
      <c r="H8" s="11">
        <v>46296</v>
      </c>
      <c r="I8" s="11">
        <v>46568</v>
      </c>
      <c r="J8" s="10" t="s">
        <v>128</v>
      </c>
      <c r="K8" s="10" t="s">
        <v>129</v>
      </c>
      <c r="L8" s="10" t="s">
        <v>130</v>
      </c>
      <c r="M8" s="12">
        <v>0</v>
      </c>
      <c r="N8" s="12">
        <v>30000</v>
      </c>
      <c r="O8" s="10" t="s">
        <v>131</v>
      </c>
      <c r="P8" s="10" t="s">
        <v>132</v>
      </c>
      <c r="Q8" s="13" t="str">
        <f t="shared" si="0"/>
        <v>OK</v>
      </c>
    </row>
    <row r="9" spans="1:17" ht="45" customHeight="1" x14ac:dyDescent="0.3">
      <c r="A9" s="10" t="s">
        <v>133</v>
      </c>
      <c r="B9" s="10" t="s">
        <v>134</v>
      </c>
      <c r="C9" s="10" t="s">
        <v>135</v>
      </c>
      <c r="D9" s="10" t="s">
        <v>136</v>
      </c>
      <c r="E9" s="10" t="s">
        <v>94</v>
      </c>
      <c r="F9" s="10" t="s">
        <v>117</v>
      </c>
      <c r="G9" s="10" t="s">
        <v>95</v>
      </c>
      <c r="H9" s="11">
        <v>46082</v>
      </c>
      <c r="I9" s="11">
        <v>46356</v>
      </c>
      <c r="J9" s="10" t="s">
        <v>137</v>
      </c>
      <c r="K9" s="10" t="s">
        <v>138</v>
      </c>
      <c r="L9" s="10" t="s">
        <v>139</v>
      </c>
      <c r="M9" s="12">
        <v>9090</v>
      </c>
      <c r="N9" s="12">
        <v>15000</v>
      </c>
      <c r="O9" s="10" t="s">
        <v>140</v>
      </c>
      <c r="P9" s="10"/>
      <c r="Q9" s="13" t="str">
        <f t="shared" si="0"/>
        <v>OK</v>
      </c>
    </row>
    <row r="10" spans="1:17" ht="45" customHeight="1" x14ac:dyDescent="0.3">
      <c r="A10" s="10" t="s">
        <v>141</v>
      </c>
      <c r="B10" s="10" t="s">
        <v>142</v>
      </c>
      <c r="C10" s="10" t="s">
        <v>143</v>
      </c>
      <c r="D10" s="10" t="s">
        <v>144</v>
      </c>
      <c r="E10" s="10" t="s">
        <v>126</v>
      </c>
      <c r="F10" s="10" t="s">
        <v>127</v>
      </c>
      <c r="G10" s="10" t="s">
        <v>127</v>
      </c>
      <c r="H10" s="11">
        <v>46310</v>
      </c>
      <c r="I10" s="11">
        <v>46477</v>
      </c>
      <c r="J10" s="10" t="s">
        <v>145</v>
      </c>
      <c r="K10" s="10" t="s">
        <v>146</v>
      </c>
      <c r="L10" s="10" t="s">
        <v>147</v>
      </c>
      <c r="M10" s="12">
        <v>0</v>
      </c>
      <c r="N10" s="12">
        <v>12000</v>
      </c>
      <c r="O10" s="10" t="s">
        <v>148</v>
      </c>
      <c r="P10" s="10" t="s">
        <v>149</v>
      </c>
      <c r="Q10" s="13" t="str">
        <f t="shared" si="0"/>
        <v>OK</v>
      </c>
    </row>
    <row r="11" spans="1:17" ht="45" customHeight="1" x14ac:dyDescent="0.3">
      <c r="A11" s="10" t="s">
        <v>150</v>
      </c>
      <c r="B11" s="10" t="s">
        <v>151</v>
      </c>
      <c r="C11" s="10" t="s">
        <v>152</v>
      </c>
      <c r="D11" s="10" t="s">
        <v>153</v>
      </c>
      <c r="E11" s="10" t="s">
        <v>126</v>
      </c>
      <c r="F11" s="10" t="s">
        <v>117</v>
      </c>
      <c r="G11" s="10" t="s">
        <v>11</v>
      </c>
      <c r="H11" s="11">
        <v>46327</v>
      </c>
      <c r="I11" s="11">
        <v>46418</v>
      </c>
      <c r="J11" s="10" t="s">
        <v>154</v>
      </c>
      <c r="K11" s="10" t="s">
        <v>155</v>
      </c>
      <c r="L11" s="10" t="s">
        <v>147</v>
      </c>
      <c r="M11" s="12">
        <v>0</v>
      </c>
      <c r="N11" s="12">
        <v>25000</v>
      </c>
      <c r="O11" s="10" t="s">
        <v>156</v>
      </c>
      <c r="P11" s="10" t="s">
        <v>157</v>
      </c>
      <c r="Q11" s="13" t="str">
        <f t="shared" si="0"/>
        <v>OK</v>
      </c>
    </row>
    <row r="12" spans="1:17" ht="45" customHeight="1" x14ac:dyDescent="0.3">
      <c r="A12" s="10" t="s">
        <v>158</v>
      </c>
      <c r="B12" s="10" t="s">
        <v>159</v>
      </c>
      <c r="C12" s="10" t="s">
        <v>160</v>
      </c>
      <c r="D12" s="10" t="s">
        <v>136</v>
      </c>
      <c r="E12" s="10" t="s">
        <v>94</v>
      </c>
      <c r="F12" s="10" t="s">
        <v>95</v>
      </c>
      <c r="G12" s="10" t="s">
        <v>161</v>
      </c>
      <c r="H12" s="11">
        <v>46188</v>
      </c>
      <c r="I12" s="11">
        <v>46326</v>
      </c>
      <c r="J12" s="10" t="s">
        <v>162</v>
      </c>
      <c r="K12" s="10" t="s">
        <v>163</v>
      </c>
      <c r="L12" s="10" t="s">
        <v>164</v>
      </c>
      <c r="M12" s="12">
        <v>0</v>
      </c>
      <c r="N12" s="12">
        <v>8000</v>
      </c>
      <c r="O12" s="10" t="s">
        <v>165</v>
      </c>
      <c r="P12" s="10" t="s">
        <v>166</v>
      </c>
      <c r="Q12" s="13" t="str">
        <f t="shared" si="0"/>
        <v>OK</v>
      </c>
    </row>
  </sheetData>
  <conditionalFormatting sqref="E5:E212">
    <cfRule type="expression" dxfId="7" priority="1">
      <formula>ISNUMBER(SEARCH("Fechado",E5))</formula>
    </cfRule>
    <cfRule type="expression" dxfId="6" priority="2">
      <formula>ISNUMBER(SEARCH("Em curso",E5))</formula>
    </cfRule>
    <cfRule type="expression" dxfId="5" priority="3">
      <formula>ISNUMBER(SEARCH("Aprovado",E5))</formula>
    </cfRule>
  </conditionalFormatting>
  <conditionalFormatting sqref="Q5:Q212">
    <cfRule type="expression" dxfId="4" priority="4">
      <formula>ISNUMBER(SEARCH("Atrasado",Q5))</formula>
    </cfRule>
  </conditionalFormatting>
  <dataValidations count="4">
    <dataValidation type="list" allowBlank="1" showErrorMessage="1" errorTitle="Valor inválido" error="Valor fora da lista controlada (ver folha Listas)." sqref="C5:C212" xr:uid="{00000000-0002-0000-0100-000000000000}">
      <formula1>lst_TipoProj</formula1>
    </dataValidation>
    <dataValidation type="list" allowBlank="1" showErrorMessage="1" errorTitle="Valor inválido" error="Valor fora da lista controlada (ver folha Listas)." sqref="D5:D212" xr:uid="{00000000-0002-0000-0100-000001000000}">
      <formula1>lst_Alinea101</formula1>
    </dataValidation>
    <dataValidation type="list" allowBlank="1" showErrorMessage="1" errorTitle="Valor inválido" error="Valor fora da lista controlada (ver folha Listas)." sqref="E5:E212" xr:uid="{00000000-0002-0000-0100-000002000000}">
      <formula1>lst_EstadoProj</formula1>
    </dataValidation>
    <dataValidation type="list" allowBlank="1" showErrorMessage="1" errorTitle="Valor inválido" error="Valor fora da lista controlada (ver folha Listas)." sqref="F5:F212" xr:uid="{00000000-0002-0000-0100-000003000000}">
      <formula1>lst_Funcao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16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8" customWidth="1"/>
    <col min="2" max="2" width="10" customWidth="1"/>
    <col min="3" max="3" width="16" customWidth="1"/>
    <col min="4" max="4" width="80" customWidth="1"/>
  </cols>
  <sheetData>
    <row r="1" spans="1:4" ht="17.399999999999999" x14ac:dyDescent="0.3">
      <c r="A1" s="1" t="s">
        <v>167</v>
      </c>
    </row>
    <row r="2" spans="1:4" x14ac:dyDescent="0.3">
      <c r="A2" s="2" t="s">
        <v>168</v>
      </c>
    </row>
    <row r="4" spans="1:4" x14ac:dyDescent="0.3">
      <c r="A4" s="8" t="s">
        <v>169</v>
      </c>
      <c r="B4" s="8" t="s">
        <v>170</v>
      </c>
      <c r="C4" s="8" t="s">
        <v>171</v>
      </c>
      <c r="D4" s="8" t="s">
        <v>172</v>
      </c>
    </row>
    <row r="5" spans="1:4" ht="30" customHeight="1" x14ac:dyDescent="0.3">
      <c r="A5" s="10" t="s">
        <v>173</v>
      </c>
      <c r="B5" s="14">
        <v>0.12839999999999999</v>
      </c>
      <c r="C5" s="10" t="s">
        <v>174</v>
      </c>
      <c r="D5" s="10" t="s">
        <v>175</v>
      </c>
    </row>
    <row r="6" spans="1:4" ht="30" customHeight="1" x14ac:dyDescent="0.3">
      <c r="A6" s="10" t="s">
        <v>176</v>
      </c>
      <c r="B6" s="14">
        <v>0.06</v>
      </c>
      <c r="C6" s="10" t="s">
        <v>174</v>
      </c>
      <c r="D6" s="10" t="s">
        <v>177</v>
      </c>
    </row>
    <row r="7" spans="1:4" ht="30" customHeight="1" x14ac:dyDescent="0.3">
      <c r="A7" s="10" t="s">
        <v>178</v>
      </c>
      <c r="B7" s="14">
        <v>180</v>
      </c>
      <c r="C7" s="10" t="s">
        <v>179</v>
      </c>
      <c r="D7" s="10" t="s">
        <v>180</v>
      </c>
    </row>
    <row r="8" spans="1:4" ht="30" customHeight="1" x14ac:dyDescent="0.3">
      <c r="A8" s="10" t="s">
        <v>181</v>
      </c>
      <c r="B8" s="14">
        <v>95</v>
      </c>
      <c r="C8" s="10" t="s">
        <v>179</v>
      </c>
      <c r="D8" s="10" t="s">
        <v>182</v>
      </c>
    </row>
    <row r="9" spans="1:4" ht="30" customHeight="1" x14ac:dyDescent="0.3">
      <c r="A9" s="10" t="s">
        <v>183</v>
      </c>
      <c r="B9" s="14">
        <v>220</v>
      </c>
      <c r="C9" s="10" t="s">
        <v>179</v>
      </c>
      <c r="D9" s="10" t="s">
        <v>184</v>
      </c>
    </row>
    <row r="10" spans="1:4" ht="30" customHeight="1" x14ac:dyDescent="0.3">
      <c r="A10" s="10" t="s">
        <v>185</v>
      </c>
      <c r="B10" s="14">
        <v>60</v>
      </c>
      <c r="C10" s="10" t="s">
        <v>186</v>
      </c>
      <c r="D10" s="10" t="s">
        <v>187</v>
      </c>
    </row>
    <row r="11" spans="1:4" ht="30" customHeight="1" x14ac:dyDescent="0.3">
      <c r="A11" s="10" t="s">
        <v>188</v>
      </c>
      <c r="B11" s="14">
        <v>0.06</v>
      </c>
      <c r="C11" s="10" t="s">
        <v>189</v>
      </c>
      <c r="D11" s="10" t="s">
        <v>190</v>
      </c>
    </row>
    <row r="12" spans="1:4" ht="30" customHeight="1" x14ac:dyDescent="0.3">
      <c r="A12" s="10" t="s">
        <v>191</v>
      </c>
      <c r="B12" s="14">
        <v>14500</v>
      </c>
      <c r="C12" s="10" t="s">
        <v>192</v>
      </c>
      <c r="D12" s="10" t="s">
        <v>193</v>
      </c>
    </row>
    <row r="13" spans="1:4" ht="30" customHeight="1" x14ac:dyDescent="0.3">
      <c r="A13" s="10" t="s">
        <v>194</v>
      </c>
      <c r="B13" s="14">
        <v>1400</v>
      </c>
      <c r="C13" s="10" t="s">
        <v>192</v>
      </c>
      <c r="D13" s="10" t="s">
        <v>195</v>
      </c>
    </row>
    <row r="14" spans="1:4" ht="30" customHeight="1" x14ac:dyDescent="0.3">
      <c r="A14" s="10" t="s">
        <v>196</v>
      </c>
      <c r="B14" s="14">
        <v>900</v>
      </c>
      <c r="C14" s="10" t="s">
        <v>192</v>
      </c>
      <c r="D14" s="10" t="s">
        <v>197</v>
      </c>
    </row>
    <row r="15" spans="1:4" ht="30" customHeight="1" x14ac:dyDescent="0.3">
      <c r="A15" s="10" t="s">
        <v>198</v>
      </c>
      <c r="B15" s="14">
        <v>2200</v>
      </c>
      <c r="C15" s="10" t="s">
        <v>192</v>
      </c>
      <c r="D15" s="10" t="s">
        <v>199</v>
      </c>
    </row>
    <row r="16" spans="1:4" ht="30" customHeight="1" x14ac:dyDescent="0.3">
      <c r="A16" s="10" t="s">
        <v>200</v>
      </c>
      <c r="B16" s="14">
        <v>1800</v>
      </c>
      <c r="C16" s="10" t="s">
        <v>192</v>
      </c>
      <c r="D16" s="10" t="s">
        <v>201</v>
      </c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22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11" customWidth="1"/>
    <col min="3" max="6" width="9" customWidth="1"/>
    <col min="7" max="7" width="8" customWidth="1"/>
    <col min="8" max="8" width="11" customWidth="1"/>
    <col min="9" max="9" width="10" customWidth="1"/>
    <col min="10" max="10" width="11" customWidth="1"/>
    <col min="11" max="11" width="12" customWidth="1"/>
    <col min="12" max="16" width="10" customWidth="1"/>
    <col min="17" max="18" width="8" customWidth="1"/>
  </cols>
  <sheetData>
    <row r="1" spans="1:18" ht="17.399999999999999" x14ac:dyDescent="0.3">
      <c r="A1" s="1" t="s">
        <v>202</v>
      </c>
    </row>
    <row r="2" spans="1:18" x14ac:dyDescent="0.3">
      <c r="A2" s="2" t="s">
        <v>203</v>
      </c>
    </row>
    <row r="4" spans="1:18" ht="39.6" x14ac:dyDescent="0.3">
      <c r="A4" s="8" t="s">
        <v>204</v>
      </c>
      <c r="B4" s="8" t="s">
        <v>205</v>
      </c>
      <c r="C4" s="8" t="s">
        <v>206</v>
      </c>
      <c r="D4" s="8" t="s">
        <v>207</v>
      </c>
      <c r="E4" s="8" t="s">
        <v>208</v>
      </c>
      <c r="F4" s="8" t="s">
        <v>209</v>
      </c>
      <c r="G4" s="8" t="s">
        <v>210</v>
      </c>
      <c r="H4" s="8" t="s">
        <v>211</v>
      </c>
      <c r="I4" s="8" t="s">
        <v>212</v>
      </c>
      <c r="J4" s="8" t="s">
        <v>213</v>
      </c>
      <c r="K4" s="9" t="s">
        <v>214</v>
      </c>
      <c r="L4" s="9" t="s">
        <v>215</v>
      </c>
      <c r="M4" s="9" t="s">
        <v>216</v>
      </c>
      <c r="N4" s="9" t="s">
        <v>217</v>
      </c>
      <c r="O4" s="9" t="s">
        <v>218</v>
      </c>
      <c r="P4" s="9" t="s">
        <v>219</v>
      </c>
      <c r="Q4" s="9" t="s">
        <v>220</v>
      </c>
      <c r="R4" s="9" t="s">
        <v>221</v>
      </c>
    </row>
    <row r="5" spans="1:18" ht="15" customHeight="1" x14ac:dyDescent="0.3">
      <c r="A5" s="10" t="s">
        <v>222</v>
      </c>
      <c r="B5" s="15">
        <v>6350668</v>
      </c>
      <c r="C5" s="15">
        <v>147226</v>
      </c>
      <c r="D5" s="16">
        <v>7</v>
      </c>
      <c r="E5" s="16">
        <v>47</v>
      </c>
      <c r="F5" s="16">
        <v>13</v>
      </c>
      <c r="G5" s="16">
        <v>5</v>
      </c>
      <c r="H5" s="15">
        <v>116685</v>
      </c>
      <c r="I5" s="12">
        <v>129</v>
      </c>
      <c r="J5" s="12">
        <v>283228.32</v>
      </c>
      <c r="K5" s="17">
        <f>B5*INDEX(tbl_param_coq[Valor],MATCH("PRECO_MEDIO",tbl_param_coq[Parametro],0))</f>
        <v>815425.77119999996</v>
      </c>
      <c r="L5" s="17">
        <f>INDEX(tbl_param_coq[Valor],MATCH("FORMACAO_MES",tbl_param_coq[Parametro],0))+INDEX(tbl_param_coq[Valor],MATCH("PLANEAMENTO_Q_MES",tbl_param_coq[Parametro],0))</f>
        <v>4000</v>
      </c>
      <c r="M5" s="17">
        <f>INDEX(tbl_param_coq[Valor],MATCH("INSPETORES_MES",tbl_param_coq[Parametro],0))+INDEX(tbl_param_coq[Valor],MATCH("CALIBRACAO_MES",tbl_param_coq[Parametro],0))+INDEX(tbl_param_coq[Valor],MATCH("AUDITORIA_MES",tbl_param_coq[Parametro],0))+H5*INDEX(tbl_param_coq[Valor],MATCH("CUSTO_AMOSTRA",tbl_param_coq[Parametro],0))</f>
        <v>23801.1</v>
      </c>
      <c r="N5" s="17">
        <f>C5*INDEX(tbl_param_coq[Valor],MATCH("CUSTO_UN_REJ",tbl_param_coq[Parametro],0))+D5*INDEX(tbl_param_coq[Valor],MATCH("CUSTO_LOTE_RETRAB",tbl_param_coq[Parametro],0))+E5*INDEX(tbl_param_coq[Valor],MATCH("CUSTO_LOTE_SEGREG",tbl_param_coq[Parametro],0))+F5*INDEX(tbl_param_coq[Valor],MATCH("CUSTO_NC_MP",tbl_param_coq[Parametro],0))+G5*INDEX(tbl_param_coq[Valor],MATCH("CUSTO_CONCESSAO",tbl_param_coq[Parametro],0))</f>
        <v>17718.559999999998</v>
      </c>
      <c r="O5" s="17">
        <f t="shared" ref="O5:O22" si="0">I5</f>
        <v>129</v>
      </c>
      <c r="P5" s="17">
        <f t="shared" ref="P5:P22" si="1">L5+M5+N5+O5</f>
        <v>45648.659999999996</v>
      </c>
      <c r="Q5" s="18">
        <f t="shared" ref="Q5:Q22" si="2">IFERROR(P5/K5,"")</f>
        <v>5.5981380049863208E-2</v>
      </c>
      <c r="R5" s="18">
        <f t="shared" ref="R5:R22" si="3">IFERROR((N5+O5)/K5,"")</f>
        <v>2.1887412233409183E-2</v>
      </c>
    </row>
    <row r="6" spans="1:18" ht="15" customHeight="1" x14ac:dyDescent="0.3">
      <c r="A6" s="10" t="s">
        <v>223</v>
      </c>
      <c r="B6" s="15">
        <v>6363215</v>
      </c>
      <c r="C6" s="15">
        <v>149045</v>
      </c>
      <c r="D6" s="16">
        <v>8</v>
      </c>
      <c r="E6" s="16">
        <v>46</v>
      </c>
      <c r="F6" s="16">
        <v>5</v>
      </c>
      <c r="G6" s="16">
        <v>10</v>
      </c>
      <c r="H6" s="15">
        <v>113710</v>
      </c>
      <c r="I6" s="12">
        <v>2478.75</v>
      </c>
      <c r="J6" s="12">
        <v>318985.93</v>
      </c>
      <c r="K6" s="17">
        <f>B6*INDEX(tbl_param_coq[Valor],MATCH("PRECO_MEDIO",tbl_param_coq[Parametro],0))</f>
        <v>817036.80599999987</v>
      </c>
      <c r="L6" s="17">
        <f>INDEX(tbl_param_coq[Valor],MATCH("FORMACAO_MES",tbl_param_coq[Parametro],0))+INDEX(tbl_param_coq[Valor],MATCH("PLANEAMENTO_Q_MES",tbl_param_coq[Parametro],0))</f>
        <v>4000</v>
      </c>
      <c r="M6" s="17">
        <f>INDEX(tbl_param_coq[Valor],MATCH("INSPETORES_MES",tbl_param_coq[Parametro],0))+INDEX(tbl_param_coq[Valor],MATCH("CALIBRACAO_MES",tbl_param_coq[Parametro],0))+INDEX(tbl_param_coq[Valor],MATCH("AUDITORIA_MES",tbl_param_coq[Parametro],0))+H6*INDEX(tbl_param_coq[Valor],MATCH("CUSTO_AMOSTRA",tbl_param_coq[Parametro],0))</f>
        <v>23622.6</v>
      </c>
      <c r="N6" s="17">
        <f>C6*INDEX(tbl_param_coq[Valor],MATCH("CUSTO_UN_REJ",tbl_param_coq[Parametro],0))+D6*INDEX(tbl_param_coq[Valor],MATCH("CUSTO_LOTE_RETRAB",tbl_param_coq[Parametro],0))+E6*INDEX(tbl_param_coq[Valor],MATCH("CUSTO_LOTE_SEGREG",tbl_param_coq[Parametro],0))+F6*INDEX(tbl_param_coq[Valor],MATCH("CUSTO_NC_MP",tbl_param_coq[Parametro],0))+G6*INDEX(tbl_param_coq[Valor],MATCH("CUSTO_CONCESSAO",tbl_param_coq[Parametro],0))</f>
        <v>16452.699999999997</v>
      </c>
      <c r="O6" s="17">
        <f t="shared" si="0"/>
        <v>2478.75</v>
      </c>
      <c r="P6" s="17">
        <f t="shared" si="1"/>
        <v>46554.049999999996</v>
      </c>
      <c r="Q6" s="18">
        <f t="shared" si="2"/>
        <v>5.6979134425922062E-2</v>
      </c>
      <c r="R6" s="18">
        <f t="shared" si="3"/>
        <v>2.3170865572976401E-2</v>
      </c>
    </row>
    <row r="7" spans="1:18" ht="15" customHeight="1" x14ac:dyDescent="0.3">
      <c r="A7" s="10" t="s">
        <v>224</v>
      </c>
      <c r="B7" s="15">
        <v>6007651</v>
      </c>
      <c r="C7" s="15">
        <v>152258</v>
      </c>
      <c r="D7" s="16">
        <v>7</v>
      </c>
      <c r="E7" s="16">
        <v>48</v>
      </c>
      <c r="F7" s="16">
        <v>13</v>
      </c>
      <c r="G7" s="16">
        <v>11</v>
      </c>
      <c r="H7" s="15">
        <v>114540</v>
      </c>
      <c r="I7" s="12">
        <v>1963</v>
      </c>
      <c r="J7" s="12">
        <v>297387.18</v>
      </c>
      <c r="K7" s="17">
        <f>B7*INDEX(tbl_param_coq[Valor],MATCH("PRECO_MEDIO",tbl_param_coq[Parametro],0))</f>
        <v>771382.38839999994</v>
      </c>
      <c r="L7" s="17">
        <f>INDEX(tbl_param_coq[Valor],MATCH("FORMACAO_MES",tbl_param_coq[Parametro],0))+INDEX(tbl_param_coq[Valor],MATCH("PLANEAMENTO_Q_MES",tbl_param_coq[Parametro],0))</f>
        <v>4000</v>
      </c>
      <c r="M7" s="17">
        <f>INDEX(tbl_param_coq[Valor],MATCH("INSPETORES_MES",tbl_param_coq[Parametro],0))+INDEX(tbl_param_coq[Valor],MATCH("CALIBRACAO_MES",tbl_param_coq[Parametro],0))+INDEX(tbl_param_coq[Valor],MATCH("AUDITORIA_MES",tbl_param_coq[Parametro],0))+H7*INDEX(tbl_param_coq[Valor],MATCH("CUSTO_AMOSTRA",tbl_param_coq[Parametro],0))</f>
        <v>23672.400000000001</v>
      </c>
      <c r="N7" s="17">
        <f>C7*INDEX(tbl_param_coq[Valor],MATCH("CUSTO_UN_REJ",tbl_param_coq[Parametro],0))+D7*INDEX(tbl_param_coq[Valor],MATCH("CUSTO_LOTE_RETRAB",tbl_param_coq[Parametro],0))+E7*INDEX(tbl_param_coq[Valor],MATCH("CUSTO_LOTE_SEGREG",tbl_param_coq[Parametro],0))+F7*INDEX(tbl_param_coq[Valor],MATCH("CUSTO_NC_MP",tbl_param_coq[Parametro],0))+G7*INDEX(tbl_param_coq[Valor],MATCH("CUSTO_CONCESSAO",tbl_param_coq[Parametro],0))</f>
        <v>18475.48</v>
      </c>
      <c r="O7" s="17">
        <f t="shared" si="0"/>
        <v>1963</v>
      </c>
      <c r="P7" s="17">
        <f t="shared" si="1"/>
        <v>48110.880000000005</v>
      </c>
      <c r="Q7" s="18">
        <f t="shared" si="2"/>
        <v>6.2369689434822996E-2</v>
      </c>
      <c r="R7" s="18">
        <f t="shared" si="3"/>
        <v>2.6495912153754846E-2</v>
      </c>
    </row>
    <row r="8" spans="1:18" ht="15" customHeight="1" x14ac:dyDescent="0.3">
      <c r="A8" s="10" t="s">
        <v>225</v>
      </c>
      <c r="B8" s="15">
        <v>6140692</v>
      </c>
      <c r="C8" s="15">
        <v>143964</v>
      </c>
      <c r="D8" s="16">
        <v>4</v>
      </c>
      <c r="E8" s="16">
        <v>51</v>
      </c>
      <c r="F8" s="16">
        <v>7</v>
      </c>
      <c r="G8" s="16">
        <v>15</v>
      </c>
      <c r="H8" s="15">
        <v>126630</v>
      </c>
      <c r="I8" s="12">
        <v>2459.75</v>
      </c>
      <c r="J8" s="12">
        <v>323233.56</v>
      </c>
      <c r="K8" s="17">
        <f>B8*INDEX(tbl_param_coq[Valor],MATCH("PRECO_MEDIO",tbl_param_coq[Parametro],0))</f>
        <v>788464.85279999988</v>
      </c>
      <c r="L8" s="17">
        <f>INDEX(tbl_param_coq[Valor],MATCH("FORMACAO_MES",tbl_param_coq[Parametro],0))+INDEX(tbl_param_coq[Valor],MATCH("PLANEAMENTO_Q_MES",tbl_param_coq[Parametro],0))</f>
        <v>4000</v>
      </c>
      <c r="M8" s="17">
        <f>INDEX(tbl_param_coq[Valor],MATCH("INSPETORES_MES",tbl_param_coq[Parametro],0))+INDEX(tbl_param_coq[Valor],MATCH("CALIBRACAO_MES",tbl_param_coq[Parametro],0))+INDEX(tbl_param_coq[Valor],MATCH("AUDITORIA_MES",tbl_param_coq[Parametro],0))+H8*INDEX(tbl_param_coq[Valor],MATCH("CUSTO_AMOSTRA",tbl_param_coq[Parametro],0))</f>
        <v>24397.8</v>
      </c>
      <c r="N8" s="17">
        <f>C8*INDEX(tbl_param_coq[Valor],MATCH("CUSTO_UN_REJ",tbl_param_coq[Parametro],0))+D8*INDEX(tbl_param_coq[Valor],MATCH("CUSTO_LOTE_RETRAB",tbl_param_coq[Parametro],0))+E8*INDEX(tbl_param_coq[Valor],MATCH("CUSTO_LOTE_SEGREG",tbl_param_coq[Parametro],0))+F8*INDEX(tbl_param_coq[Valor],MATCH("CUSTO_NC_MP",tbl_param_coq[Parametro],0))+G8*INDEX(tbl_param_coq[Valor],MATCH("CUSTO_CONCESSAO",tbl_param_coq[Parametro],0))</f>
        <v>16642.84</v>
      </c>
      <c r="O8" s="17">
        <f t="shared" si="0"/>
        <v>2459.75</v>
      </c>
      <c r="P8" s="17">
        <f t="shared" si="1"/>
        <v>47500.39</v>
      </c>
      <c r="Q8" s="18">
        <f t="shared" si="2"/>
        <v>6.0244143833826459E-2</v>
      </c>
      <c r="R8" s="18">
        <f t="shared" si="3"/>
        <v>2.4227573280106017E-2</v>
      </c>
    </row>
    <row r="9" spans="1:18" ht="15" customHeight="1" x14ac:dyDescent="0.3">
      <c r="A9" s="10" t="s">
        <v>226</v>
      </c>
      <c r="B9" s="15">
        <v>5970750</v>
      </c>
      <c r="C9" s="15">
        <v>144066</v>
      </c>
      <c r="D9" s="16">
        <v>9</v>
      </c>
      <c r="E9" s="16">
        <v>52</v>
      </c>
      <c r="F9" s="16">
        <v>10</v>
      </c>
      <c r="G9" s="16">
        <v>6</v>
      </c>
      <c r="H9" s="15">
        <v>113215</v>
      </c>
      <c r="I9" s="12">
        <v>1273.25</v>
      </c>
      <c r="J9" s="12">
        <v>322056.36</v>
      </c>
      <c r="K9" s="17">
        <f>B9*INDEX(tbl_param_coq[Valor],MATCH("PRECO_MEDIO",tbl_param_coq[Parametro],0))</f>
        <v>766644.29999999993</v>
      </c>
      <c r="L9" s="17">
        <f>INDEX(tbl_param_coq[Valor],MATCH("FORMACAO_MES",tbl_param_coq[Parametro],0))+INDEX(tbl_param_coq[Valor],MATCH("PLANEAMENTO_Q_MES",tbl_param_coq[Parametro],0))</f>
        <v>4000</v>
      </c>
      <c r="M9" s="17">
        <f>INDEX(tbl_param_coq[Valor],MATCH("INSPETORES_MES",tbl_param_coq[Parametro],0))+INDEX(tbl_param_coq[Valor],MATCH("CALIBRACAO_MES",tbl_param_coq[Parametro],0))+INDEX(tbl_param_coq[Valor],MATCH("AUDITORIA_MES",tbl_param_coq[Parametro],0))+H9*INDEX(tbl_param_coq[Valor],MATCH("CUSTO_AMOSTRA",tbl_param_coq[Parametro],0))</f>
        <v>23592.9</v>
      </c>
      <c r="N9" s="17">
        <f>C9*INDEX(tbl_param_coq[Valor],MATCH("CUSTO_UN_REJ",tbl_param_coq[Parametro],0))+D9*INDEX(tbl_param_coq[Valor],MATCH("CUSTO_LOTE_RETRAB",tbl_param_coq[Parametro],0))+E9*INDEX(tbl_param_coq[Valor],MATCH("CUSTO_LOTE_SEGREG",tbl_param_coq[Parametro],0))+F9*INDEX(tbl_param_coq[Valor],MATCH("CUSTO_NC_MP",tbl_param_coq[Parametro],0))+G9*INDEX(tbl_param_coq[Valor],MATCH("CUSTO_CONCESSAO",tbl_param_coq[Parametro],0))</f>
        <v>17763.96</v>
      </c>
      <c r="O9" s="17">
        <f t="shared" si="0"/>
        <v>1273.25</v>
      </c>
      <c r="P9" s="17">
        <f t="shared" si="1"/>
        <v>46630.11</v>
      </c>
      <c r="Q9" s="18">
        <f t="shared" si="2"/>
        <v>6.0823657072778085E-2</v>
      </c>
      <c r="R9" s="18">
        <f t="shared" si="3"/>
        <v>2.4831867921016305E-2</v>
      </c>
    </row>
    <row r="10" spans="1:18" ht="15" customHeight="1" x14ac:dyDescent="0.3">
      <c r="A10" s="10" t="s">
        <v>227</v>
      </c>
      <c r="B10" s="15">
        <v>6132928</v>
      </c>
      <c r="C10" s="15">
        <v>143227</v>
      </c>
      <c r="D10" s="16">
        <v>5</v>
      </c>
      <c r="E10" s="16">
        <v>39</v>
      </c>
      <c r="F10" s="16">
        <v>16</v>
      </c>
      <c r="G10" s="16">
        <v>5</v>
      </c>
      <c r="H10" s="15">
        <v>115540</v>
      </c>
      <c r="I10" s="12">
        <v>3648.5</v>
      </c>
      <c r="J10" s="12">
        <v>318200.07</v>
      </c>
      <c r="K10" s="17">
        <f>B10*INDEX(tbl_param_coq[Valor],MATCH("PRECO_MEDIO",tbl_param_coq[Parametro],0))</f>
        <v>787467.95519999997</v>
      </c>
      <c r="L10" s="17">
        <f>INDEX(tbl_param_coq[Valor],MATCH("FORMACAO_MES",tbl_param_coq[Parametro],0))+INDEX(tbl_param_coq[Valor],MATCH("PLANEAMENTO_Q_MES",tbl_param_coq[Parametro],0))</f>
        <v>4000</v>
      </c>
      <c r="M10" s="17">
        <f>INDEX(tbl_param_coq[Valor],MATCH("INSPETORES_MES",tbl_param_coq[Parametro],0))+INDEX(tbl_param_coq[Valor],MATCH("CALIBRACAO_MES",tbl_param_coq[Parametro],0))+INDEX(tbl_param_coq[Valor],MATCH("AUDITORIA_MES",tbl_param_coq[Parametro],0))+H10*INDEX(tbl_param_coq[Valor],MATCH("CUSTO_AMOSTRA",tbl_param_coq[Parametro],0))</f>
        <v>23732.400000000001</v>
      </c>
      <c r="N10" s="17">
        <f>C10*INDEX(tbl_param_coq[Valor],MATCH("CUSTO_UN_REJ",tbl_param_coq[Parametro],0))+D10*INDEX(tbl_param_coq[Valor],MATCH("CUSTO_LOTE_RETRAB",tbl_param_coq[Parametro],0))+E10*INDEX(tbl_param_coq[Valor],MATCH("CUSTO_LOTE_SEGREG",tbl_param_coq[Parametro],0))+F10*INDEX(tbl_param_coq[Valor],MATCH("CUSTO_NC_MP",tbl_param_coq[Parametro],0))+G10*INDEX(tbl_param_coq[Valor],MATCH("CUSTO_CONCESSAO",tbl_param_coq[Parametro],0))</f>
        <v>17018.62</v>
      </c>
      <c r="O10" s="17">
        <f t="shared" si="0"/>
        <v>3648.5</v>
      </c>
      <c r="P10" s="17">
        <f t="shared" si="1"/>
        <v>48399.520000000004</v>
      </c>
      <c r="Q10" s="18">
        <f t="shared" si="2"/>
        <v>6.146220894500725E-2</v>
      </c>
      <c r="R10" s="18">
        <f t="shared" si="3"/>
        <v>2.6245029862518018E-2</v>
      </c>
    </row>
    <row r="11" spans="1:18" ht="15" customHeight="1" x14ac:dyDescent="0.3">
      <c r="A11" s="10" t="s">
        <v>228</v>
      </c>
      <c r="B11" s="15">
        <v>6038474</v>
      </c>
      <c r="C11" s="15">
        <v>141818</v>
      </c>
      <c r="D11" s="16">
        <v>3</v>
      </c>
      <c r="E11" s="16">
        <v>49</v>
      </c>
      <c r="F11" s="16">
        <v>13</v>
      </c>
      <c r="G11" s="16">
        <v>6</v>
      </c>
      <c r="H11" s="15">
        <v>111650</v>
      </c>
      <c r="I11" s="12">
        <v>1587.75</v>
      </c>
      <c r="J11" s="12">
        <v>318417.75</v>
      </c>
      <c r="K11" s="17">
        <f>B11*INDEX(tbl_param_coq[Valor],MATCH("PRECO_MEDIO",tbl_param_coq[Parametro],0))</f>
        <v>775340.0615999999</v>
      </c>
      <c r="L11" s="17">
        <f>INDEX(tbl_param_coq[Valor],MATCH("FORMACAO_MES",tbl_param_coq[Parametro],0))+INDEX(tbl_param_coq[Valor],MATCH("PLANEAMENTO_Q_MES",tbl_param_coq[Parametro],0))</f>
        <v>4000</v>
      </c>
      <c r="M11" s="17">
        <f>INDEX(tbl_param_coq[Valor],MATCH("INSPETORES_MES",tbl_param_coq[Parametro],0))+INDEX(tbl_param_coq[Valor],MATCH("CALIBRACAO_MES",tbl_param_coq[Parametro],0))+INDEX(tbl_param_coq[Valor],MATCH("AUDITORIA_MES",tbl_param_coq[Parametro],0))+H11*INDEX(tbl_param_coq[Valor],MATCH("CUSTO_AMOSTRA",tbl_param_coq[Parametro],0))</f>
        <v>23499</v>
      </c>
      <c r="N11" s="17">
        <f>C11*INDEX(tbl_param_coq[Valor],MATCH("CUSTO_UN_REJ",tbl_param_coq[Parametro],0))+D11*INDEX(tbl_param_coq[Valor],MATCH("CUSTO_LOTE_RETRAB",tbl_param_coq[Parametro],0))+E11*INDEX(tbl_param_coq[Valor],MATCH("CUSTO_LOTE_SEGREG",tbl_param_coq[Parametro],0))+F11*INDEX(tbl_param_coq[Valor],MATCH("CUSTO_NC_MP",tbl_param_coq[Parametro],0))+G11*INDEX(tbl_param_coq[Valor],MATCH("CUSTO_CONCESSAO",tbl_param_coq[Parametro],0))</f>
        <v>16924.080000000002</v>
      </c>
      <c r="O11" s="17">
        <f t="shared" si="0"/>
        <v>1587.75</v>
      </c>
      <c r="P11" s="17">
        <f t="shared" si="1"/>
        <v>46010.83</v>
      </c>
      <c r="Q11" s="18">
        <f t="shared" si="2"/>
        <v>5.934277393722126E-2</v>
      </c>
      <c r="R11" s="18">
        <f t="shared" si="3"/>
        <v>2.3875755835186429E-2</v>
      </c>
    </row>
    <row r="12" spans="1:18" ht="15" customHeight="1" x14ac:dyDescent="0.3">
      <c r="A12" s="10" t="s">
        <v>229</v>
      </c>
      <c r="B12" s="15">
        <v>5579581</v>
      </c>
      <c r="C12" s="15">
        <v>127878</v>
      </c>
      <c r="D12" s="16">
        <v>3</v>
      </c>
      <c r="E12" s="16">
        <v>51</v>
      </c>
      <c r="F12" s="16">
        <v>8</v>
      </c>
      <c r="G12" s="16">
        <v>5</v>
      </c>
      <c r="H12" s="15">
        <v>103100</v>
      </c>
      <c r="I12" s="12">
        <v>1653.25</v>
      </c>
      <c r="J12" s="12">
        <v>295454</v>
      </c>
      <c r="K12" s="17">
        <f>B12*INDEX(tbl_param_coq[Valor],MATCH("PRECO_MEDIO",tbl_param_coq[Parametro],0))</f>
        <v>716418.20039999997</v>
      </c>
      <c r="L12" s="17">
        <f>INDEX(tbl_param_coq[Valor],MATCH("FORMACAO_MES",tbl_param_coq[Parametro],0))+INDEX(tbl_param_coq[Valor],MATCH("PLANEAMENTO_Q_MES",tbl_param_coq[Parametro],0))</f>
        <v>4000</v>
      </c>
      <c r="M12" s="17">
        <f>INDEX(tbl_param_coq[Valor],MATCH("INSPETORES_MES",tbl_param_coq[Parametro],0))+INDEX(tbl_param_coq[Valor],MATCH("CALIBRACAO_MES",tbl_param_coq[Parametro],0))+INDEX(tbl_param_coq[Valor],MATCH("AUDITORIA_MES",tbl_param_coq[Parametro],0))+H12*INDEX(tbl_param_coq[Valor],MATCH("CUSTO_AMOSTRA",tbl_param_coq[Parametro],0))</f>
        <v>22986</v>
      </c>
      <c r="N12" s="17">
        <f>C12*INDEX(tbl_param_coq[Valor],MATCH("CUSTO_UN_REJ",tbl_param_coq[Parametro],0))+D12*INDEX(tbl_param_coq[Valor],MATCH("CUSTO_LOTE_RETRAB",tbl_param_coq[Parametro],0))+E12*INDEX(tbl_param_coq[Valor],MATCH("CUSTO_LOTE_SEGREG",tbl_param_coq[Parametro],0))+F12*INDEX(tbl_param_coq[Valor],MATCH("CUSTO_NC_MP",tbl_param_coq[Parametro],0))+G12*INDEX(tbl_param_coq[Valor],MATCH("CUSTO_CONCESSAO",tbl_param_coq[Parametro],0))</f>
        <v>15117.68</v>
      </c>
      <c r="O12" s="17">
        <f t="shared" si="0"/>
        <v>1653.25</v>
      </c>
      <c r="P12" s="17">
        <f t="shared" si="1"/>
        <v>43756.93</v>
      </c>
      <c r="Q12" s="18">
        <f t="shared" si="2"/>
        <v>6.1077356738800131E-2</v>
      </c>
      <c r="R12" s="18">
        <f t="shared" si="3"/>
        <v>2.3409413650625061E-2</v>
      </c>
    </row>
    <row r="13" spans="1:18" ht="15" customHeight="1" x14ac:dyDescent="0.3">
      <c r="A13" s="10" t="s">
        <v>230</v>
      </c>
      <c r="B13" s="15">
        <v>6350526</v>
      </c>
      <c r="C13" s="15">
        <v>159141</v>
      </c>
      <c r="D13" s="16">
        <v>7</v>
      </c>
      <c r="E13" s="16">
        <v>49</v>
      </c>
      <c r="F13" s="16">
        <v>14</v>
      </c>
      <c r="G13" s="16">
        <v>8</v>
      </c>
      <c r="H13" s="15">
        <v>115515</v>
      </c>
      <c r="I13" s="12">
        <v>1587.25</v>
      </c>
      <c r="J13" s="12">
        <v>291820.89</v>
      </c>
      <c r="K13" s="17">
        <f>B13*INDEX(tbl_param_coq[Valor],MATCH("PRECO_MEDIO",tbl_param_coq[Parametro],0))</f>
        <v>815407.53839999996</v>
      </c>
      <c r="L13" s="17">
        <f>INDEX(tbl_param_coq[Valor],MATCH("FORMACAO_MES",tbl_param_coq[Parametro],0))+INDEX(tbl_param_coq[Valor],MATCH("PLANEAMENTO_Q_MES",tbl_param_coq[Parametro],0))</f>
        <v>4000</v>
      </c>
      <c r="M13" s="17">
        <f>INDEX(tbl_param_coq[Valor],MATCH("INSPETORES_MES",tbl_param_coq[Parametro],0))+INDEX(tbl_param_coq[Valor],MATCH("CALIBRACAO_MES",tbl_param_coq[Parametro],0))+INDEX(tbl_param_coq[Valor],MATCH("AUDITORIA_MES",tbl_param_coq[Parametro],0))+H13*INDEX(tbl_param_coq[Valor],MATCH("CUSTO_AMOSTRA",tbl_param_coq[Parametro],0))</f>
        <v>23730.9</v>
      </c>
      <c r="N13" s="17">
        <f>C13*INDEX(tbl_param_coq[Valor],MATCH("CUSTO_UN_REJ",tbl_param_coq[Parametro],0))+D13*INDEX(tbl_param_coq[Valor],MATCH("CUSTO_LOTE_RETRAB",tbl_param_coq[Parametro],0))+E13*INDEX(tbl_param_coq[Valor],MATCH("CUSTO_LOTE_SEGREG",tbl_param_coq[Parametro],0))+F13*INDEX(tbl_param_coq[Valor],MATCH("CUSTO_NC_MP",tbl_param_coq[Parametro],0))+G13*INDEX(tbl_param_coq[Valor],MATCH("CUSTO_CONCESSAO",tbl_param_coq[Parametro],0))</f>
        <v>19023.46</v>
      </c>
      <c r="O13" s="17">
        <f t="shared" si="0"/>
        <v>1587.25</v>
      </c>
      <c r="P13" s="17">
        <f t="shared" si="1"/>
        <v>48341.61</v>
      </c>
      <c r="Q13" s="18">
        <f t="shared" si="2"/>
        <v>5.9285213495642121E-2</v>
      </c>
      <c r="R13" s="18">
        <f t="shared" si="3"/>
        <v>2.5276575245358316E-2</v>
      </c>
    </row>
    <row r="14" spans="1:18" ht="15" customHeight="1" x14ac:dyDescent="0.3">
      <c r="A14" s="10" t="s">
        <v>231</v>
      </c>
      <c r="B14" s="15">
        <v>5787874</v>
      </c>
      <c r="C14" s="15">
        <v>143082</v>
      </c>
      <c r="D14" s="16">
        <v>8</v>
      </c>
      <c r="E14" s="16">
        <v>36</v>
      </c>
      <c r="F14" s="16">
        <v>8</v>
      </c>
      <c r="G14" s="16">
        <v>6</v>
      </c>
      <c r="H14" s="15">
        <v>112035</v>
      </c>
      <c r="I14" s="12">
        <v>2555.5</v>
      </c>
      <c r="J14" s="12">
        <v>312343.62</v>
      </c>
      <c r="K14" s="17">
        <f>B14*INDEX(tbl_param_coq[Valor],MATCH("PRECO_MEDIO",tbl_param_coq[Parametro],0))</f>
        <v>743163.02159999998</v>
      </c>
      <c r="L14" s="17">
        <f>INDEX(tbl_param_coq[Valor],MATCH("FORMACAO_MES",tbl_param_coq[Parametro],0))+INDEX(tbl_param_coq[Valor],MATCH("PLANEAMENTO_Q_MES",tbl_param_coq[Parametro],0))</f>
        <v>4000</v>
      </c>
      <c r="M14" s="17">
        <f>INDEX(tbl_param_coq[Valor],MATCH("INSPETORES_MES",tbl_param_coq[Parametro],0))+INDEX(tbl_param_coq[Valor],MATCH("CALIBRACAO_MES",tbl_param_coq[Parametro],0))+INDEX(tbl_param_coq[Valor],MATCH("AUDITORIA_MES",tbl_param_coq[Parametro],0))+H14*INDEX(tbl_param_coq[Valor],MATCH("CUSTO_AMOSTRA",tbl_param_coq[Parametro],0))</f>
        <v>23522.1</v>
      </c>
      <c r="N14" s="17">
        <f>C14*INDEX(tbl_param_coq[Valor],MATCH("CUSTO_UN_REJ",tbl_param_coq[Parametro],0))+D14*INDEX(tbl_param_coq[Valor],MATCH("CUSTO_LOTE_RETRAB",tbl_param_coq[Parametro],0))+E14*INDEX(tbl_param_coq[Valor],MATCH("CUSTO_LOTE_SEGREG",tbl_param_coq[Parametro],0))+F14*INDEX(tbl_param_coq[Valor],MATCH("CUSTO_NC_MP",tbl_param_coq[Parametro],0))+G14*INDEX(tbl_param_coq[Valor],MATCH("CUSTO_CONCESSAO",tbl_param_coq[Parametro],0))</f>
        <v>15564.92</v>
      </c>
      <c r="O14" s="17">
        <f t="shared" si="0"/>
        <v>2555.5</v>
      </c>
      <c r="P14" s="17">
        <f t="shared" si="1"/>
        <v>45642.52</v>
      </c>
      <c r="Q14" s="18">
        <f t="shared" si="2"/>
        <v>6.1416564970810168E-2</v>
      </c>
      <c r="R14" s="18">
        <f t="shared" si="3"/>
        <v>2.4382833205273676E-2</v>
      </c>
    </row>
    <row r="15" spans="1:18" ht="15" customHeight="1" x14ac:dyDescent="0.3">
      <c r="A15" s="10" t="s">
        <v>232</v>
      </c>
      <c r="B15" s="15">
        <v>6169185</v>
      </c>
      <c r="C15" s="15">
        <v>151027</v>
      </c>
      <c r="D15" s="16">
        <v>6</v>
      </c>
      <c r="E15" s="16">
        <v>59</v>
      </c>
      <c r="F15" s="16">
        <v>14</v>
      </c>
      <c r="G15" s="16">
        <v>3</v>
      </c>
      <c r="H15" s="15">
        <v>114535</v>
      </c>
      <c r="I15" s="12">
        <v>1582.75</v>
      </c>
      <c r="J15" s="12">
        <v>295775.59999999998</v>
      </c>
      <c r="K15" s="17">
        <f>B15*INDEX(tbl_param_coq[Valor],MATCH("PRECO_MEDIO",tbl_param_coq[Parametro],0))</f>
        <v>792123.35399999993</v>
      </c>
      <c r="L15" s="17">
        <f>INDEX(tbl_param_coq[Valor],MATCH("FORMACAO_MES",tbl_param_coq[Parametro],0))+INDEX(tbl_param_coq[Valor],MATCH("PLANEAMENTO_Q_MES",tbl_param_coq[Parametro],0))</f>
        <v>4000</v>
      </c>
      <c r="M15" s="17">
        <f>INDEX(tbl_param_coq[Valor],MATCH("INSPETORES_MES",tbl_param_coq[Parametro],0))+INDEX(tbl_param_coq[Valor],MATCH("CALIBRACAO_MES",tbl_param_coq[Parametro],0))+INDEX(tbl_param_coq[Valor],MATCH("AUDITORIA_MES",tbl_param_coq[Parametro],0))+H15*INDEX(tbl_param_coq[Valor],MATCH("CUSTO_AMOSTRA",tbl_param_coq[Parametro],0))</f>
        <v>23672.1</v>
      </c>
      <c r="N15" s="17">
        <f>C15*INDEX(tbl_param_coq[Valor],MATCH("CUSTO_UN_REJ",tbl_param_coq[Parametro],0))+D15*INDEX(tbl_param_coq[Valor],MATCH("CUSTO_LOTE_RETRAB",tbl_param_coq[Parametro],0))+E15*INDEX(tbl_param_coq[Valor],MATCH("CUSTO_LOTE_SEGREG",tbl_param_coq[Parametro],0))+F15*INDEX(tbl_param_coq[Valor],MATCH("CUSTO_NC_MP",tbl_param_coq[Parametro],0))+G15*INDEX(tbl_param_coq[Valor],MATCH("CUSTO_CONCESSAO",tbl_param_coq[Parametro],0))</f>
        <v>19006.62</v>
      </c>
      <c r="O15" s="17">
        <f t="shared" si="0"/>
        <v>1582.75</v>
      </c>
      <c r="P15" s="17">
        <f t="shared" si="1"/>
        <v>48261.47</v>
      </c>
      <c r="Q15" s="18">
        <f t="shared" si="2"/>
        <v>6.0926710159842107E-2</v>
      </c>
      <c r="R15" s="18">
        <f t="shared" si="3"/>
        <v>2.5992630940660285E-2</v>
      </c>
    </row>
    <row r="16" spans="1:18" ht="15" customHeight="1" x14ac:dyDescent="0.3">
      <c r="A16" s="10" t="s">
        <v>233</v>
      </c>
      <c r="B16" s="15">
        <v>5838345</v>
      </c>
      <c r="C16" s="15">
        <v>134597</v>
      </c>
      <c r="D16" s="16">
        <v>4</v>
      </c>
      <c r="E16" s="16">
        <v>47</v>
      </c>
      <c r="F16" s="16">
        <v>10</v>
      </c>
      <c r="G16" s="16">
        <v>8</v>
      </c>
      <c r="H16" s="15">
        <v>111300</v>
      </c>
      <c r="I16" s="12">
        <v>1522.5</v>
      </c>
      <c r="J16" s="12">
        <v>332360.25</v>
      </c>
      <c r="K16" s="17">
        <f>B16*INDEX(tbl_param_coq[Valor],MATCH("PRECO_MEDIO",tbl_param_coq[Parametro],0))</f>
        <v>749643.49799999991</v>
      </c>
      <c r="L16" s="17">
        <f>INDEX(tbl_param_coq[Valor],MATCH("FORMACAO_MES",tbl_param_coq[Parametro],0))+INDEX(tbl_param_coq[Valor],MATCH("PLANEAMENTO_Q_MES",tbl_param_coq[Parametro],0))</f>
        <v>4000</v>
      </c>
      <c r="M16" s="17">
        <f>INDEX(tbl_param_coq[Valor],MATCH("INSPETORES_MES",tbl_param_coq[Parametro],0))+INDEX(tbl_param_coq[Valor],MATCH("CALIBRACAO_MES",tbl_param_coq[Parametro],0))+INDEX(tbl_param_coq[Valor],MATCH("AUDITORIA_MES",tbl_param_coq[Parametro],0))+H16*INDEX(tbl_param_coq[Valor],MATCH("CUSTO_AMOSTRA",tbl_param_coq[Parametro],0))</f>
        <v>23478</v>
      </c>
      <c r="N16" s="17">
        <f>C16*INDEX(tbl_param_coq[Valor],MATCH("CUSTO_UN_REJ",tbl_param_coq[Parametro],0))+D16*INDEX(tbl_param_coq[Valor],MATCH("CUSTO_LOTE_RETRAB",tbl_param_coq[Parametro],0))+E16*INDEX(tbl_param_coq[Valor],MATCH("CUSTO_LOTE_SEGREG",tbl_param_coq[Parametro],0))+F16*INDEX(tbl_param_coq[Valor],MATCH("CUSTO_NC_MP",tbl_param_coq[Parametro],0))+G16*INDEX(tbl_param_coq[Valor],MATCH("CUSTO_CONCESSAO",tbl_param_coq[Parametro],0))</f>
        <v>15940.82</v>
      </c>
      <c r="O16" s="17">
        <f t="shared" si="0"/>
        <v>1522.5</v>
      </c>
      <c r="P16" s="17">
        <f t="shared" si="1"/>
        <v>44941.32</v>
      </c>
      <c r="Q16" s="18">
        <f t="shared" si="2"/>
        <v>5.9950256515130883E-2</v>
      </c>
      <c r="R16" s="18">
        <f t="shared" si="3"/>
        <v>2.3295499856386404E-2</v>
      </c>
    </row>
    <row r="17" spans="1:18" ht="15" customHeight="1" x14ac:dyDescent="0.3">
      <c r="A17" s="10" t="s">
        <v>234</v>
      </c>
      <c r="B17" s="15">
        <v>7710978</v>
      </c>
      <c r="C17" s="15">
        <v>175255</v>
      </c>
      <c r="D17" s="16">
        <v>7</v>
      </c>
      <c r="E17" s="16">
        <v>59</v>
      </c>
      <c r="F17" s="16">
        <v>8</v>
      </c>
      <c r="G17" s="16">
        <v>9</v>
      </c>
      <c r="H17" s="15">
        <v>138710</v>
      </c>
      <c r="I17" s="12">
        <v>1503.5</v>
      </c>
      <c r="J17" s="12">
        <v>353821.84</v>
      </c>
      <c r="K17" s="17">
        <f>B17*INDEX(tbl_param_coq[Valor],MATCH("PRECO_MEDIO",tbl_param_coq[Parametro],0))</f>
        <v>990089.57519999985</v>
      </c>
      <c r="L17" s="17">
        <f>INDEX(tbl_param_coq[Valor],MATCH("FORMACAO_MES",tbl_param_coq[Parametro],0))+INDEX(tbl_param_coq[Valor],MATCH("PLANEAMENTO_Q_MES",tbl_param_coq[Parametro],0))</f>
        <v>4000</v>
      </c>
      <c r="M17" s="17">
        <f>INDEX(tbl_param_coq[Valor],MATCH("INSPETORES_MES",tbl_param_coq[Parametro],0))+INDEX(tbl_param_coq[Valor],MATCH("CALIBRACAO_MES",tbl_param_coq[Parametro],0))+INDEX(tbl_param_coq[Valor],MATCH("AUDITORIA_MES",tbl_param_coq[Parametro],0))+H17*INDEX(tbl_param_coq[Valor],MATCH("CUSTO_AMOSTRA",tbl_param_coq[Parametro],0))</f>
        <v>25122.6</v>
      </c>
      <c r="N17" s="17">
        <f>C17*INDEX(tbl_param_coq[Valor],MATCH("CUSTO_UN_REJ",tbl_param_coq[Parametro],0))+D17*INDEX(tbl_param_coq[Valor],MATCH("CUSTO_LOTE_RETRAB",tbl_param_coq[Parametro],0))+E17*INDEX(tbl_param_coq[Valor],MATCH("CUSTO_LOTE_SEGREG",tbl_param_coq[Parametro],0))+F17*INDEX(tbl_param_coq[Valor],MATCH("CUSTO_NC_MP",tbl_param_coq[Parametro],0))+G17*INDEX(tbl_param_coq[Valor],MATCH("CUSTO_CONCESSAO",tbl_param_coq[Parametro],0))</f>
        <v>19680.3</v>
      </c>
      <c r="O17" s="17">
        <f t="shared" si="0"/>
        <v>1503.5</v>
      </c>
      <c r="P17" s="17">
        <f t="shared" si="1"/>
        <v>50306.399999999994</v>
      </c>
      <c r="Q17" s="18">
        <f t="shared" si="2"/>
        <v>5.0809948170434993E-2</v>
      </c>
      <c r="R17" s="18">
        <f t="shared" si="3"/>
        <v>2.1395841882004298E-2</v>
      </c>
    </row>
    <row r="18" spans="1:18" ht="15" customHeight="1" x14ac:dyDescent="0.3">
      <c r="A18" s="10" t="s">
        <v>235</v>
      </c>
      <c r="B18" s="15">
        <v>8411139</v>
      </c>
      <c r="C18" s="15">
        <v>186623</v>
      </c>
      <c r="D18" s="16">
        <v>8</v>
      </c>
      <c r="E18" s="16">
        <v>75</v>
      </c>
      <c r="F18" s="16">
        <v>9</v>
      </c>
      <c r="G18" s="16">
        <v>7</v>
      </c>
      <c r="H18" s="15">
        <v>149020</v>
      </c>
      <c r="I18" s="12">
        <v>1790.5</v>
      </c>
      <c r="J18" s="12">
        <v>382590.1</v>
      </c>
      <c r="K18" s="17">
        <f>B18*INDEX(tbl_param_coq[Valor],MATCH("PRECO_MEDIO",tbl_param_coq[Parametro],0))</f>
        <v>1079990.2475999999</v>
      </c>
      <c r="L18" s="17">
        <f>INDEX(tbl_param_coq[Valor],MATCH("FORMACAO_MES",tbl_param_coq[Parametro],0))+INDEX(tbl_param_coq[Valor],MATCH("PLANEAMENTO_Q_MES",tbl_param_coq[Parametro],0))</f>
        <v>4000</v>
      </c>
      <c r="M18" s="17">
        <f>INDEX(tbl_param_coq[Valor],MATCH("INSPETORES_MES",tbl_param_coq[Parametro],0))+INDEX(tbl_param_coq[Valor],MATCH("CALIBRACAO_MES",tbl_param_coq[Parametro],0))+INDEX(tbl_param_coq[Valor],MATCH("AUDITORIA_MES",tbl_param_coq[Parametro],0))+H18*INDEX(tbl_param_coq[Valor],MATCH("CUSTO_AMOSTRA",tbl_param_coq[Parametro],0))</f>
        <v>25741.199999999997</v>
      </c>
      <c r="N18" s="17">
        <f>C18*INDEX(tbl_param_coq[Valor],MATCH("CUSTO_UN_REJ",tbl_param_coq[Parametro],0))+D18*INDEX(tbl_param_coq[Valor],MATCH("CUSTO_LOTE_RETRAB",tbl_param_coq[Parametro],0))+E18*INDEX(tbl_param_coq[Valor],MATCH("CUSTO_LOTE_SEGREG",tbl_param_coq[Parametro],0))+F18*INDEX(tbl_param_coq[Valor],MATCH("CUSTO_NC_MP",tbl_param_coq[Parametro],0))+G18*INDEX(tbl_param_coq[Valor],MATCH("CUSTO_CONCESSAO",tbl_param_coq[Parametro],0))</f>
        <v>22162.379999999997</v>
      </c>
      <c r="O18" s="17">
        <f t="shared" si="0"/>
        <v>1790.5</v>
      </c>
      <c r="P18" s="17">
        <f t="shared" si="1"/>
        <v>53694.079999999994</v>
      </c>
      <c r="Q18" s="18">
        <f t="shared" si="2"/>
        <v>4.9717189686963613E-2</v>
      </c>
      <c r="R18" s="18">
        <f t="shared" si="3"/>
        <v>2.2178792867092182E-2</v>
      </c>
    </row>
    <row r="19" spans="1:18" ht="15" customHeight="1" x14ac:dyDescent="0.3">
      <c r="A19" s="10" t="s">
        <v>236</v>
      </c>
      <c r="B19" s="15">
        <v>7934676</v>
      </c>
      <c r="C19" s="15">
        <v>188468</v>
      </c>
      <c r="D19" s="16">
        <v>7</v>
      </c>
      <c r="E19" s="16">
        <v>71</v>
      </c>
      <c r="F19" s="16">
        <v>7</v>
      </c>
      <c r="G19" s="16">
        <v>2</v>
      </c>
      <c r="H19" s="15">
        <v>145035</v>
      </c>
      <c r="I19" s="12">
        <v>3277.75</v>
      </c>
      <c r="J19" s="12">
        <v>376718.37</v>
      </c>
      <c r="K19" s="17">
        <f>B19*INDEX(tbl_param_coq[Valor],MATCH("PRECO_MEDIO",tbl_param_coq[Parametro],0))</f>
        <v>1018812.3983999999</v>
      </c>
      <c r="L19" s="17">
        <f>INDEX(tbl_param_coq[Valor],MATCH("FORMACAO_MES",tbl_param_coq[Parametro],0))+INDEX(tbl_param_coq[Valor],MATCH("PLANEAMENTO_Q_MES",tbl_param_coq[Parametro],0))</f>
        <v>4000</v>
      </c>
      <c r="M19" s="17">
        <f>INDEX(tbl_param_coq[Valor],MATCH("INSPETORES_MES",tbl_param_coq[Parametro],0))+INDEX(tbl_param_coq[Valor],MATCH("CALIBRACAO_MES",tbl_param_coq[Parametro],0))+INDEX(tbl_param_coq[Valor],MATCH("AUDITORIA_MES",tbl_param_coq[Parametro],0))+H19*INDEX(tbl_param_coq[Valor],MATCH("CUSTO_AMOSTRA",tbl_param_coq[Parametro],0))</f>
        <v>25502.1</v>
      </c>
      <c r="N19" s="17">
        <f>C19*INDEX(tbl_param_coq[Valor],MATCH("CUSTO_UN_REJ",tbl_param_coq[Parametro],0))+D19*INDEX(tbl_param_coq[Valor],MATCH("CUSTO_LOTE_RETRAB",tbl_param_coq[Parametro],0))+E19*INDEX(tbl_param_coq[Valor],MATCH("CUSTO_LOTE_SEGREG",tbl_param_coq[Parametro],0))+F19*INDEX(tbl_param_coq[Valor],MATCH("CUSTO_NC_MP",tbl_param_coq[Parametro],0))+G19*INDEX(tbl_param_coq[Valor],MATCH("CUSTO_CONCESSAO",tbl_param_coq[Parametro],0))</f>
        <v>20973.08</v>
      </c>
      <c r="O19" s="17">
        <f t="shared" si="0"/>
        <v>3277.75</v>
      </c>
      <c r="P19" s="17">
        <f t="shared" si="1"/>
        <v>53752.93</v>
      </c>
      <c r="Q19" s="18">
        <f t="shared" si="2"/>
        <v>5.2760380698562967E-2</v>
      </c>
      <c r="R19" s="18">
        <f t="shared" si="3"/>
        <v>2.3803037770334226E-2</v>
      </c>
    </row>
    <row r="20" spans="1:18" ht="15" customHeight="1" x14ac:dyDescent="0.3">
      <c r="A20" s="10" t="s">
        <v>237</v>
      </c>
      <c r="B20" s="15">
        <v>8427780</v>
      </c>
      <c r="C20" s="15">
        <v>193027</v>
      </c>
      <c r="D20" s="16">
        <v>6</v>
      </c>
      <c r="E20" s="16">
        <v>62</v>
      </c>
      <c r="F20" s="16">
        <v>12</v>
      </c>
      <c r="G20" s="16">
        <v>8</v>
      </c>
      <c r="H20" s="15">
        <v>153335</v>
      </c>
      <c r="I20" s="12">
        <v>1914.75</v>
      </c>
      <c r="J20" s="12">
        <v>427960.86</v>
      </c>
      <c r="K20" s="17">
        <f>B20*INDEX(tbl_param_coq[Valor],MATCH("PRECO_MEDIO",tbl_param_coq[Parametro],0))</f>
        <v>1082126.9519999998</v>
      </c>
      <c r="L20" s="17">
        <f>INDEX(tbl_param_coq[Valor],MATCH("FORMACAO_MES",tbl_param_coq[Parametro],0))+INDEX(tbl_param_coq[Valor],MATCH("PLANEAMENTO_Q_MES",tbl_param_coq[Parametro],0))</f>
        <v>4000</v>
      </c>
      <c r="M20" s="17">
        <f>INDEX(tbl_param_coq[Valor],MATCH("INSPETORES_MES",tbl_param_coq[Parametro],0))+INDEX(tbl_param_coq[Valor],MATCH("CALIBRACAO_MES",tbl_param_coq[Parametro],0))+INDEX(tbl_param_coq[Valor],MATCH("AUDITORIA_MES",tbl_param_coq[Parametro],0))+H20*INDEX(tbl_param_coq[Valor],MATCH("CUSTO_AMOSTRA",tbl_param_coq[Parametro],0))</f>
        <v>26000.1</v>
      </c>
      <c r="N20" s="17">
        <f>C20*INDEX(tbl_param_coq[Valor],MATCH("CUSTO_UN_REJ",tbl_param_coq[Parametro],0))+D20*INDEX(tbl_param_coq[Valor],MATCH("CUSTO_LOTE_RETRAB",tbl_param_coq[Parametro],0))+E20*INDEX(tbl_param_coq[Valor],MATCH("CUSTO_LOTE_SEGREG",tbl_param_coq[Parametro],0))+F20*INDEX(tbl_param_coq[Valor],MATCH("CUSTO_NC_MP",tbl_param_coq[Parametro],0))+G20*INDEX(tbl_param_coq[Valor],MATCH("CUSTO_CONCESSAO",tbl_param_coq[Parametro],0))</f>
        <v>21671.62</v>
      </c>
      <c r="O20" s="17">
        <f t="shared" si="0"/>
        <v>1914.75</v>
      </c>
      <c r="P20" s="17">
        <f t="shared" si="1"/>
        <v>53586.47</v>
      </c>
      <c r="Q20" s="18">
        <f t="shared" si="2"/>
        <v>4.9519577994948612E-2</v>
      </c>
      <c r="R20" s="18">
        <f t="shared" si="3"/>
        <v>2.1796305836766557E-2</v>
      </c>
    </row>
    <row r="21" spans="1:18" ht="15" customHeight="1" x14ac:dyDescent="0.3">
      <c r="A21" s="10" t="s">
        <v>238</v>
      </c>
      <c r="B21" s="15">
        <v>7717952</v>
      </c>
      <c r="C21" s="15">
        <v>175953</v>
      </c>
      <c r="D21" s="16">
        <v>11</v>
      </c>
      <c r="E21" s="16">
        <v>62</v>
      </c>
      <c r="F21" s="16">
        <v>12</v>
      </c>
      <c r="G21" s="16">
        <v>3</v>
      </c>
      <c r="H21" s="15">
        <v>136920</v>
      </c>
      <c r="I21" s="12">
        <v>1887</v>
      </c>
      <c r="J21" s="12">
        <v>405374.15</v>
      </c>
      <c r="K21" s="17">
        <f>B21*INDEX(tbl_param_coq[Valor],MATCH("PRECO_MEDIO",tbl_param_coq[Parametro],0))</f>
        <v>990985.03679999989</v>
      </c>
      <c r="L21" s="17">
        <f>INDEX(tbl_param_coq[Valor],MATCH("FORMACAO_MES",tbl_param_coq[Parametro],0))+INDEX(tbl_param_coq[Valor],MATCH("PLANEAMENTO_Q_MES",tbl_param_coq[Parametro],0))</f>
        <v>4000</v>
      </c>
      <c r="M21" s="17">
        <f>INDEX(tbl_param_coq[Valor],MATCH("INSPETORES_MES",tbl_param_coq[Parametro],0))+INDEX(tbl_param_coq[Valor],MATCH("CALIBRACAO_MES",tbl_param_coq[Parametro],0))+INDEX(tbl_param_coq[Valor],MATCH("AUDITORIA_MES",tbl_param_coq[Parametro],0))+H21*INDEX(tbl_param_coq[Valor],MATCH("CUSTO_AMOSTRA",tbl_param_coq[Parametro],0))</f>
        <v>25015.199999999997</v>
      </c>
      <c r="N21" s="17">
        <f>C21*INDEX(tbl_param_coq[Valor],MATCH("CUSTO_UN_REJ",tbl_param_coq[Parametro],0))+D21*INDEX(tbl_param_coq[Valor],MATCH("CUSTO_LOTE_RETRAB",tbl_param_coq[Parametro],0))+E21*INDEX(tbl_param_coq[Valor],MATCH("CUSTO_LOTE_SEGREG",tbl_param_coq[Parametro],0))+F21*INDEX(tbl_param_coq[Valor],MATCH("CUSTO_NC_MP",tbl_param_coq[Parametro],0))+G21*INDEX(tbl_param_coq[Valor],MATCH("CUSTO_CONCESSAO",tbl_param_coq[Parametro],0))</f>
        <v>21247.18</v>
      </c>
      <c r="O21" s="17">
        <f t="shared" si="0"/>
        <v>1887</v>
      </c>
      <c r="P21" s="17">
        <f t="shared" si="1"/>
        <v>52149.38</v>
      </c>
      <c r="Q21" s="18">
        <f t="shared" si="2"/>
        <v>5.2623781453245859E-2</v>
      </c>
      <c r="R21" s="18">
        <f t="shared" si="3"/>
        <v>2.3344630989285995E-2</v>
      </c>
    </row>
    <row r="22" spans="1:18" ht="15" customHeight="1" x14ac:dyDescent="0.3">
      <c r="A22" s="10" t="s">
        <v>239</v>
      </c>
      <c r="B22" s="15">
        <v>7862818</v>
      </c>
      <c r="C22" s="15">
        <v>177003</v>
      </c>
      <c r="D22" s="16">
        <v>5</v>
      </c>
      <c r="E22" s="16">
        <v>71</v>
      </c>
      <c r="F22" s="16">
        <v>11</v>
      </c>
      <c r="G22" s="16">
        <v>5</v>
      </c>
      <c r="H22" s="15">
        <v>142845</v>
      </c>
      <c r="I22" s="12">
        <v>2278</v>
      </c>
      <c r="J22" s="12">
        <v>376749.74</v>
      </c>
      <c r="K22" s="17">
        <f>B22*INDEX(tbl_param_coq[Valor],MATCH("PRECO_MEDIO",tbl_param_coq[Parametro],0))</f>
        <v>1009585.8311999999</v>
      </c>
      <c r="L22" s="17">
        <f>INDEX(tbl_param_coq[Valor],MATCH("FORMACAO_MES",tbl_param_coq[Parametro],0))+INDEX(tbl_param_coq[Valor],MATCH("PLANEAMENTO_Q_MES",tbl_param_coq[Parametro],0))</f>
        <v>4000</v>
      </c>
      <c r="M22" s="17">
        <f>INDEX(tbl_param_coq[Valor],MATCH("INSPETORES_MES",tbl_param_coq[Parametro],0))+INDEX(tbl_param_coq[Valor],MATCH("CALIBRACAO_MES",tbl_param_coq[Parametro],0))+INDEX(tbl_param_coq[Valor],MATCH("AUDITORIA_MES",tbl_param_coq[Parametro],0))+H22*INDEX(tbl_param_coq[Valor],MATCH("CUSTO_AMOSTRA",tbl_param_coq[Parametro],0))</f>
        <v>25370.699999999997</v>
      </c>
      <c r="N22" s="17">
        <f>C22*INDEX(tbl_param_coq[Valor],MATCH("CUSTO_UN_REJ",tbl_param_coq[Parametro],0))+D22*INDEX(tbl_param_coq[Valor],MATCH("CUSTO_LOTE_RETRAB",tbl_param_coq[Parametro],0))+E22*INDEX(tbl_param_coq[Valor],MATCH("CUSTO_LOTE_SEGREG",tbl_param_coq[Parametro],0))+F22*INDEX(tbl_param_coq[Valor],MATCH("CUSTO_NC_MP",tbl_param_coq[Parametro],0))+G22*INDEX(tbl_param_coq[Valor],MATCH("CUSTO_CONCESSAO",tbl_param_coq[Parametro],0))</f>
        <v>20985.18</v>
      </c>
      <c r="O22" s="17">
        <f t="shared" si="0"/>
        <v>2278</v>
      </c>
      <c r="P22" s="17">
        <f t="shared" si="1"/>
        <v>52633.88</v>
      </c>
      <c r="Q22" s="18">
        <f t="shared" si="2"/>
        <v>5.2134131020280909E-2</v>
      </c>
      <c r="R22" s="18">
        <f t="shared" si="3"/>
        <v>2.3042300397925795E-2</v>
      </c>
    </row>
  </sheetData>
  <conditionalFormatting sqref="R5:R222">
    <cfRule type="expression" dxfId="3" priority="1">
      <formula>AND(R5&lt;&gt;"",R5&gt;0.03)</formula>
    </cfRule>
  </conditionalFormatting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  <pageSetUpPr fitToPage="1"/>
  </sheetPr>
  <dimension ref="A1:D12"/>
  <sheetViews>
    <sheetView showGridLines="0" workbookViewId="0"/>
  </sheetViews>
  <sheetFormatPr defaultRowHeight="14.4" x14ac:dyDescent="0.3"/>
  <cols>
    <col min="1" max="1" width="26" customWidth="1"/>
    <col min="2" max="2" width="14" customWidth="1"/>
    <col min="3" max="3" width="10" customWidth="1"/>
    <col min="4" max="4" width="12" customWidth="1"/>
  </cols>
  <sheetData>
    <row r="1" spans="1:4" ht="17.399999999999999" x14ac:dyDescent="0.3">
      <c r="A1" s="1" t="s">
        <v>240</v>
      </c>
    </row>
    <row r="2" spans="1:4" x14ac:dyDescent="0.3">
      <c r="A2" s="2" t="s">
        <v>241</v>
      </c>
    </row>
    <row r="4" spans="1:4" ht="26.4" x14ac:dyDescent="0.3">
      <c r="A4" s="8" t="s">
        <v>242</v>
      </c>
      <c r="B4" s="8" t="s">
        <v>243</v>
      </c>
      <c r="C4" s="8" t="s">
        <v>244</v>
      </c>
      <c r="D4" s="8" t="s">
        <v>245</v>
      </c>
    </row>
    <row r="5" spans="1:4" x14ac:dyDescent="0.3">
      <c r="A5" s="19" t="s">
        <v>246</v>
      </c>
      <c r="B5" s="12">
        <f>SUM(INDEX(tbl_coq[Prevencao],7):INDEX(tbl_coq[Prevencao],18))</f>
        <v>48000</v>
      </c>
      <c r="C5" s="20">
        <f>B5/$B$9</f>
        <v>8.0933729742245289E-2</v>
      </c>
      <c r="D5" s="20">
        <f>B5/SUM(INDEX(tbl_coq[Valor_Producao_EUR],7):INDEX(tbl_coq[Valor_Producao_EUR],18))</f>
        <v>4.4594390128110603E-3</v>
      </c>
    </row>
    <row r="6" spans="1:4" x14ac:dyDescent="0.3">
      <c r="A6" s="19" t="s">
        <v>247</v>
      </c>
      <c r="B6" s="12">
        <f>SUM(INDEX(tbl_coq[Avaliacao],7):INDEX(tbl_coq[Avaliacao],18))</f>
        <v>293640.00000000006</v>
      </c>
      <c r="C6" s="20">
        <f>B6/$B$9</f>
        <v>0.4951120916981856</v>
      </c>
      <c r="D6" s="20">
        <f>B6/SUM(INDEX(tbl_coq[Valor_Producao_EUR],7):INDEX(tbl_coq[Valor_Producao_EUR],18))</f>
        <v>2.728061816087167E-2</v>
      </c>
    </row>
    <row r="7" spans="1:4" x14ac:dyDescent="0.3">
      <c r="A7" s="19" t="s">
        <v>248</v>
      </c>
      <c r="B7" s="12">
        <f>SUM(INDEX(tbl_coq[Falha_Interna],7):INDEX(tbl_coq[Falha_Interna],18))</f>
        <v>228297.31999999995</v>
      </c>
      <c r="C7" s="20">
        <f>B7/$B$9</f>
        <v>0.38493653328664346</v>
      </c>
      <c r="D7" s="20">
        <f>B7/SUM(INDEX(tbl_coq[Valor_Producao_EUR],7):INDEX(tbl_coq[Valor_Producao_EUR],18))</f>
        <v>2.1209957819337721E-2</v>
      </c>
    </row>
    <row r="8" spans="1:4" x14ac:dyDescent="0.3">
      <c r="A8" s="19" t="s">
        <v>249</v>
      </c>
      <c r="B8" s="12">
        <f>SUM(INDEX(tbl_coq[Falha_Externa],7):INDEX(tbl_coq[Falha_Externa],18))</f>
        <v>23140.5</v>
      </c>
      <c r="C8" s="20">
        <f>B8/$B$9</f>
        <v>3.9017645272925561E-2</v>
      </c>
      <c r="D8" s="20">
        <f>B8/SUM(INDEX(tbl_coq[Valor_Producao_EUR],7):INDEX(tbl_coq[Valor_Producao_EUR],18))</f>
        <v>2.1498676765823823E-3</v>
      </c>
    </row>
    <row r="9" spans="1:4" x14ac:dyDescent="0.3">
      <c r="A9" s="21" t="s">
        <v>250</v>
      </c>
      <c r="B9" s="22">
        <f>SUM(B5:B8)</f>
        <v>593077.82000000007</v>
      </c>
      <c r="C9" s="23">
        <f>SUM(C5:C8)</f>
        <v>1</v>
      </c>
      <c r="D9" s="23">
        <f>SUM(D5:D8)</f>
        <v>5.5099882669602827E-2</v>
      </c>
    </row>
    <row r="11" spans="1:4" ht="26.4" x14ac:dyDescent="0.3">
      <c r="A11" s="21" t="s">
        <v>251</v>
      </c>
      <c r="B11" s="12">
        <f>SUM(tbl_projetos_melhoria[Hard_Savings_EUR])</f>
        <v>36790</v>
      </c>
    </row>
    <row r="12" spans="1:4" x14ac:dyDescent="0.3">
      <c r="A12" s="21" t="s">
        <v>252</v>
      </c>
      <c r="B12" s="12">
        <f>SUM(tbl_projetos_melhoria[Soft_Savings_EUR])</f>
        <v>118000</v>
      </c>
    </row>
  </sheetData>
  <pageMargins left="0.75" right="0.75" top="1" bottom="1" header="0.5" footer="0.5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20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11" customWidth="1"/>
    <col min="3" max="3" width="16" customWidth="1"/>
    <col min="4" max="4" width="7" customWidth="1"/>
    <col min="5" max="5" width="56" customWidth="1"/>
    <col min="6" max="6" width="11" customWidth="1"/>
    <col min="7" max="7" width="14" customWidth="1"/>
    <col min="8" max="8" width="7" customWidth="1"/>
  </cols>
  <sheetData>
    <row r="1" spans="1:8" ht="39.6" x14ac:dyDescent="0.3">
      <c r="A1" s="8" t="s">
        <v>253</v>
      </c>
      <c r="B1" s="8" t="s">
        <v>254</v>
      </c>
      <c r="C1" s="8" t="s">
        <v>255</v>
      </c>
      <c r="D1" s="8" t="s">
        <v>256</v>
      </c>
      <c r="E1" s="8" t="s">
        <v>257</v>
      </c>
      <c r="F1" s="8" t="s">
        <v>14</v>
      </c>
      <c r="G1" s="8" t="s">
        <v>88</v>
      </c>
      <c r="H1" s="9" t="s">
        <v>258</v>
      </c>
    </row>
    <row r="2" spans="1:8" ht="19.95" customHeight="1" x14ac:dyDescent="0.3">
      <c r="A2" s="10" t="s">
        <v>259</v>
      </c>
      <c r="B2" s="11">
        <v>46056</v>
      </c>
      <c r="C2" s="10" t="s">
        <v>260</v>
      </c>
      <c r="D2" s="10" t="s">
        <v>261</v>
      </c>
      <c r="E2" s="10" t="s">
        <v>262</v>
      </c>
      <c r="F2" s="10" t="s">
        <v>263</v>
      </c>
      <c r="G2" s="10" t="s">
        <v>264</v>
      </c>
      <c r="H2" s="24" t="str">
        <f t="shared" ref="H2:H20" si="0">IF(A2="","",IF(F2="Em análise",DataRef-B2,""))</f>
        <v/>
      </c>
    </row>
    <row r="3" spans="1:8" ht="19.95" customHeight="1" x14ac:dyDescent="0.3">
      <c r="A3" s="10" t="s">
        <v>265</v>
      </c>
      <c r="B3" s="11">
        <v>46099</v>
      </c>
      <c r="C3" s="10" t="s">
        <v>266</v>
      </c>
      <c r="D3" s="10" t="s">
        <v>267</v>
      </c>
      <c r="E3" s="10" t="s">
        <v>268</v>
      </c>
      <c r="F3" s="10" t="s">
        <v>263</v>
      </c>
      <c r="G3" s="10" t="s">
        <v>269</v>
      </c>
      <c r="H3" s="24" t="str">
        <f t="shared" si="0"/>
        <v/>
      </c>
    </row>
    <row r="4" spans="1:8" ht="19.95" customHeight="1" x14ac:dyDescent="0.3">
      <c r="A4" s="10" t="s">
        <v>270</v>
      </c>
      <c r="B4" s="11">
        <v>46148</v>
      </c>
      <c r="C4" s="10" t="s">
        <v>271</v>
      </c>
      <c r="D4" s="10" t="s">
        <v>272</v>
      </c>
      <c r="E4" s="10" t="s">
        <v>273</v>
      </c>
      <c r="F4" s="10" t="s">
        <v>126</v>
      </c>
      <c r="G4" s="10" t="s">
        <v>274</v>
      </c>
      <c r="H4" s="24" t="str">
        <f t="shared" si="0"/>
        <v/>
      </c>
    </row>
    <row r="5" spans="1:8" ht="19.95" customHeight="1" x14ac:dyDescent="0.3">
      <c r="A5" s="10" t="s">
        <v>275</v>
      </c>
      <c r="B5" s="11">
        <v>46203</v>
      </c>
      <c r="C5" s="10" t="s">
        <v>276</v>
      </c>
      <c r="D5" s="10" t="s">
        <v>277</v>
      </c>
      <c r="E5" s="10" t="s">
        <v>278</v>
      </c>
      <c r="F5" s="10" t="s">
        <v>263</v>
      </c>
      <c r="G5" s="10" t="s">
        <v>279</v>
      </c>
      <c r="H5" s="24" t="str">
        <f t="shared" si="0"/>
        <v/>
      </c>
    </row>
    <row r="6" spans="1:8" ht="19.95" customHeight="1" x14ac:dyDescent="0.3">
      <c r="A6" s="10" t="s">
        <v>280</v>
      </c>
      <c r="B6" s="11">
        <v>46246</v>
      </c>
      <c r="C6" s="10" t="s">
        <v>281</v>
      </c>
      <c r="D6" s="10" t="s">
        <v>282</v>
      </c>
      <c r="E6" s="10" t="s">
        <v>283</v>
      </c>
      <c r="F6" s="10" t="s">
        <v>263</v>
      </c>
      <c r="G6" s="10" t="s">
        <v>284</v>
      </c>
      <c r="H6" s="24" t="str">
        <f t="shared" si="0"/>
        <v/>
      </c>
    </row>
    <row r="7" spans="1:8" ht="19.95" customHeight="1" x14ac:dyDescent="0.3">
      <c r="A7" s="10" t="s">
        <v>285</v>
      </c>
      <c r="B7" s="11">
        <v>46267</v>
      </c>
      <c r="C7" s="10" t="s">
        <v>286</v>
      </c>
      <c r="D7" s="10" t="s">
        <v>287</v>
      </c>
      <c r="E7" s="10" t="s">
        <v>288</v>
      </c>
      <c r="F7" s="10" t="s">
        <v>263</v>
      </c>
      <c r="G7" s="10" t="s">
        <v>289</v>
      </c>
      <c r="H7" s="24" t="str">
        <f t="shared" si="0"/>
        <v/>
      </c>
    </row>
    <row r="8" spans="1:8" ht="19.95" customHeight="1" x14ac:dyDescent="0.3">
      <c r="A8" s="10" t="s">
        <v>290</v>
      </c>
      <c r="B8" s="11">
        <v>46309</v>
      </c>
      <c r="C8" s="10" t="s">
        <v>291</v>
      </c>
      <c r="D8" s="10" t="s">
        <v>277</v>
      </c>
      <c r="E8" s="10" t="s">
        <v>292</v>
      </c>
      <c r="F8" s="10" t="s">
        <v>263</v>
      </c>
      <c r="G8" s="10" t="s">
        <v>293</v>
      </c>
      <c r="H8" s="24" t="str">
        <f t="shared" si="0"/>
        <v/>
      </c>
    </row>
    <row r="9" spans="1:8" ht="19.95" customHeight="1" x14ac:dyDescent="0.3">
      <c r="A9" s="10" t="s">
        <v>294</v>
      </c>
      <c r="B9" s="11">
        <v>46335</v>
      </c>
      <c r="C9" s="10" t="s">
        <v>295</v>
      </c>
      <c r="D9" s="10" t="s">
        <v>272</v>
      </c>
      <c r="E9" s="10" t="s">
        <v>296</v>
      </c>
      <c r="F9" s="10" t="s">
        <v>126</v>
      </c>
      <c r="G9" s="10" t="s">
        <v>297</v>
      </c>
      <c r="H9" s="24" t="str">
        <f t="shared" si="0"/>
        <v/>
      </c>
    </row>
    <row r="10" spans="1:8" ht="19.95" customHeight="1" x14ac:dyDescent="0.3">
      <c r="A10" s="10" t="s">
        <v>298</v>
      </c>
      <c r="B10" s="11">
        <v>46359</v>
      </c>
      <c r="C10" s="10" t="s">
        <v>299</v>
      </c>
      <c r="D10" s="10" t="s">
        <v>261</v>
      </c>
      <c r="E10" s="10" t="s">
        <v>300</v>
      </c>
      <c r="F10" s="10" t="s">
        <v>301</v>
      </c>
      <c r="G10" s="10" t="s">
        <v>302</v>
      </c>
      <c r="H10" s="24">
        <f t="shared" si="0"/>
        <v>28</v>
      </c>
    </row>
    <row r="11" spans="1:8" ht="19.95" customHeight="1" x14ac:dyDescent="0.3">
      <c r="A11" s="10"/>
      <c r="B11" s="11"/>
      <c r="C11" s="10"/>
      <c r="D11" s="10"/>
      <c r="E11" s="10"/>
      <c r="F11" s="10"/>
      <c r="G11" s="10"/>
      <c r="H11" s="24" t="str">
        <f t="shared" si="0"/>
        <v/>
      </c>
    </row>
    <row r="12" spans="1:8" ht="19.95" customHeight="1" x14ac:dyDescent="0.3">
      <c r="A12" s="10"/>
      <c r="B12" s="11"/>
      <c r="C12" s="10"/>
      <c r="D12" s="10"/>
      <c r="E12" s="10"/>
      <c r="F12" s="10"/>
      <c r="G12" s="10"/>
      <c r="H12" s="24" t="str">
        <f t="shared" si="0"/>
        <v/>
      </c>
    </row>
    <row r="13" spans="1:8" ht="19.95" customHeight="1" x14ac:dyDescent="0.3">
      <c r="A13" s="10"/>
      <c r="B13" s="11"/>
      <c r="C13" s="10"/>
      <c r="D13" s="10"/>
      <c r="E13" s="10"/>
      <c r="F13" s="10"/>
      <c r="G13" s="10"/>
      <c r="H13" s="24" t="str">
        <f t="shared" si="0"/>
        <v/>
      </c>
    </row>
    <row r="14" spans="1:8" ht="19.95" customHeight="1" x14ac:dyDescent="0.3">
      <c r="A14" s="10"/>
      <c r="B14" s="11"/>
      <c r="C14" s="10"/>
      <c r="D14" s="10"/>
      <c r="E14" s="10"/>
      <c r="F14" s="10"/>
      <c r="G14" s="10"/>
      <c r="H14" s="24" t="str">
        <f t="shared" si="0"/>
        <v/>
      </c>
    </row>
    <row r="15" spans="1:8" ht="19.95" customHeight="1" x14ac:dyDescent="0.3">
      <c r="A15" s="10"/>
      <c r="B15" s="11"/>
      <c r="C15" s="10"/>
      <c r="D15" s="10"/>
      <c r="E15" s="10"/>
      <c r="F15" s="10"/>
      <c r="G15" s="10"/>
      <c r="H15" s="24" t="str">
        <f t="shared" si="0"/>
        <v/>
      </c>
    </row>
    <row r="16" spans="1:8" ht="19.95" customHeight="1" x14ac:dyDescent="0.3">
      <c r="A16" s="10"/>
      <c r="B16" s="11"/>
      <c r="C16" s="10"/>
      <c r="D16" s="10"/>
      <c r="E16" s="10"/>
      <c r="F16" s="10"/>
      <c r="G16" s="10"/>
      <c r="H16" s="24" t="str">
        <f t="shared" si="0"/>
        <v/>
      </c>
    </row>
    <row r="17" spans="1:8" ht="19.95" customHeight="1" x14ac:dyDescent="0.3">
      <c r="A17" s="10"/>
      <c r="B17" s="11"/>
      <c r="C17" s="10"/>
      <c r="D17" s="10"/>
      <c r="E17" s="10"/>
      <c r="F17" s="10"/>
      <c r="G17" s="10"/>
      <c r="H17" s="24" t="str">
        <f t="shared" si="0"/>
        <v/>
      </c>
    </row>
    <row r="18" spans="1:8" ht="19.95" customHeight="1" x14ac:dyDescent="0.3">
      <c r="A18" s="10"/>
      <c r="B18" s="11"/>
      <c r="C18" s="10"/>
      <c r="D18" s="10"/>
      <c r="E18" s="10"/>
      <c r="F18" s="10"/>
      <c r="G18" s="10"/>
      <c r="H18" s="24" t="str">
        <f t="shared" si="0"/>
        <v/>
      </c>
    </row>
    <row r="19" spans="1:8" ht="19.95" customHeight="1" x14ac:dyDescent="0.3">
      <c r="A19" s="10"/>
      <c r="B19" s="11"/>
      <c r="C19" s="10"/>
      <c r="D19" s="10"/>
      <c r="E19" s="10"/>
      <c r="F19" s="10"/>
      <c r="G19" s="10"/>
      <c r="H19" s="24" t="str">
        <f t="shared" si="0"/>
        <v/>
      </c>
    </row>
    <row r="20" spans="1:8" ht="19.95" customHeight="1" x14ac:dyDescent="0.3">
      <c r="A20" s="10"/>
      <c r="B20" s="11"/>
      <c r="C20" s="10"/>
      <c r="D20" s="10"/>
      <c r="E20" s="10"/>
      <c r="F20" s="10"/>
      <c r="G20" s="10"/>
      <c r="H20" s="24" t="str">
        <f t="shared" si="0"/>
        <v/>
      </c>
    </row>
  </sheetData>
  <conditionalFormatting sqref="F2:F220">
    <cfRule type="expression" dxfId="2" priority="1">
      <formula>ISNUMBER(SEARCH("Implementada",F2))</formula>
    </cfRule>
    <cfRule type="expression" dxfId="1" priority="2">
      <formula>ISNUMBER(SEARCH("análise",F2))</formula>
    </cfRule>
  </conditionalFormatting>
  <conditionalFormatting sqref="H2:H220">
    <cfRule type="expression" dxfId="0" priority="3">
      <formula>AND(H2&lt;&gt;"",H2&gt;15)</formula>
    </cfRule>
  </conditionalFormatting>
  <dataValidations count="2">
    <dataValidation type="list" allowBlank="1" showErrorMessage="1" errorTitle="Valor inválido" error="Valor fora da lista controlada (ver folha Listas)." sqref="D2:D220" xr:uid="{00000000-0002-0000-0500-000000000000}">
      <formula1>lst_Processo</formula1>
    </dataValidation>
    <dataValidation type="list" allowBlank="1" showErrorMessage="1" errorTitle="Valor inválido" error="Valor fora da lista controlada (ver folha Listas)." sqref="F2:F220" xr:uid="{00000000-0002-0000-0500-000001000000}">
      <formula1>lst_EstadoSug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8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6" customWidth="1"/>
    <col min="2" max="2" width="25" customWidth="1"/>
    <col min="3" max="3" width="48" customWidth="1"/>
    <col min="4" max="6" width="16" customWidth="1"/>
    <col min="7" max="7" width="45" customWidth="1"/>
  </cols>
  <sheetData>
    <row r="1" spans="1:7" x14ac:dyDescent="0.3">
      <c r="A1" s="25" t="s">
        <v>303</v>
      </c>
    </row>
    <row r="2" spans="1:7" x14ac:dyDescent="0.3">
      <c r="A2" s="26" t="s">
        <v>304</v>
      </c>
      <c r="B2" s="26" t="s">
        <v>305</v>
      </c>
      <c r="C2" s="26" t="s">
        <v>306</v>
      </c>
      <c r="D2" s="26" t="s">
        <v>307</v>
      </c>
      <c r="E2" s="26" t="s">
        <v>308</v>
      </c>
      <c r="F2" s="26" t="s">
        <v>256</v>
      </c>
      <c r="G2" s="26" t="s">
        <v>309</v>
      </c>
    </row>
    <row r="3" spans="1:7" x14ac:dyDescent="0.3">
      <c r="A3" s="27">
        <v>46387</v>
      </c>
      <c r="B3" s="6" t="s">
        <v>92</v>
      </c>
      <c r="C3" s="6" t="s">
        <v>93</v>
      </c>
      <c r="D3" s="6" t="s">
        <v>310</v>
      </c>
      <c r="E3" s="6" t="s">
        <v>301</v>
      </c>
      <c r="F3" s="6" t="s">
        <v>311</v>
      </c>
      <c r="G3" s="6" t="s">
        <v>312</v>
      </c>
    </row>
    <row r="4" spans="1:7" x14ac:dyDescent="0.3">
      <c r="B4" s="6" t="s">
        <v>104</v>
      </c>
      <c r="C4" s="6" t="s">
        <v>136</v>
      </c>
      <c r="D4" s="6" t="s">
        <v>313</v>
      </c>
      <c r="E4" s="6" t="s">
        <v>126</v>
      </c>
      <c r="F4" s="6" t="s">
        <v>314</v>
      </c>
      <c r="G4" s="6" t="s">
        <v>117</v>
      </c>
    </row>
    <row r="5" spans="1:7" x14ac:dyDescent="0.3">
      <c r="B5" s="6" t="s">
        <v>115</v>
      </c>
      <c r="C5" s="6" t="s">
        <v>125</v>
      </c>
      <c r="D5" s="6" t="s">
        <v>126</v>
      </c>
      <c r="E5" s="6" t="s">
        <v>263</v>
      </c>
      <c r="F5" s="6" t="s">
        <v>315</v>
      </c>
      <c r="G5" s="6" t="s">
        <v>11</v>
      </c>
    </row>
    <row r="6" spans="1:7" ht="26.4" x14ac:dyDescent="0.3">
      <c r="B6" s="6" t="s">
        <v>124</v>
      </c>
      <c r="C6" s="6" t="s">
        <v>116</v>
      </c>
      <c r="D6" s="6" t="s">
        <v>94</v>
      </c>
      <c r="E6" s="6" t="s">
        <v>316</v>
      </c>
      <c r="F6" s="6" t="s">
        <v>317</v>
      </c>
      <c r="G6" s="6" t="s">
        <v>95</v>
      </c>
    </row>
    <row r="7" spans="1:7" x14ac:dyDescent="0.3">
      <c r="B7" s="6" t="s">
        <v>135</v>
      </c>
      <c r="C7" s="6" t="s">
        <v>105</v>
      </c>
      <c r="D7" s="6" t="s">
        <v>318</v>
      </c>
      <c r="F7" s="6" t="s">
        <v>319</v>
      </c>
      <c r="G7" s="6" t="s">
        <v>106</v>
      </c>
    </row>
    <row r="8" spans="1:7" x14ac:dyDescent="0.3">
      <c r="B8" s="6" t="s">
        <v>143</v>
      </c>
      <c r="C8" s="6" t="s">
        <v>144</v>
      </c>
      <c r="F8" s="6" t="s">
        <v>320</v>
      </c>
      <c r="G8" s="6" t="s">
        <v>321</v>
      </c>
    </row>
    <row r="9" spans="1:7" x14ac:dyDescent="0.3">
      <c r="B9" s="6" t="s">
        <v>152</v>
      </c>
      <c r="C9" s="6" t="s">
        <v>153</v>
      </c>
      <c r="F9" s="6" t="s">
        <v>322</v>
      </c>
      <c r="G9" s="6" t="s">
        <v>323</v>
      </c>
    </row>
    <row r="10" spans="1:7" x14ac:dyDescent="0.3">
      <c r="B10" s="6" t="s">
        <v>160</v>
      </c>
      <c r="F10" s="6" t="s">
        <v>277</v>
      </c>
      <c r="G10" s="6" t="s">
        <v>324</v>
      </c>
    </row>
    <row r="11" spans="1:7" x14ac:dyDescent="0.3">
      <c r="F11" s="6" t="s">
        <v>261</v>
      </c>
      <c r="G11" s="6" t="s">
        <v>325</v>
      </c>
    </row>
    <row r="12" spans="1:7" x14ac:dyDescent="0.3">
      <c r="F12" s="6" t="s">
        <v>267</v>
      </c>
      <c r="G12" s="6" t="s">
        <v>326</v>
      </c>
    </row>
    <row r="13" spans="1:7" x14ac:dyDescent="0.3">
      <c r="F13" s="6" t="s">
        <v>327</v>
      </c>
      <c r="G13" s="6" t="s">
        <v>127</v>
      </c>
    </row>
    <row r="14" spans="1:7" x14ac:dyDescent="0.3">
      <c r="F14" s="6" t="s">
        <v>272</v>
      </c>
      <c r="G14" s="6" t="s">
        <v>328</v>
      </c>
    </row>
    <row r="15" spans="1:7" x14ac:dyDescent="0.3">
      <c r="F15" s="6" t="s">
        <v>282</v>
      </c>
      <c r="G15" s="6" t="s">
        <v>329</v>
      </c>
    </row>
    <row r="16" spans="1:7" x14ac:dyDescent="0.3">
      <c r="F16" s="6" t="s">
        <v>287</v>
      </c>
      <c r="G16" s="6" t="s">
        <v>96</v>
      </c>
    </row>
    <row r="17" spans="6:7" x14ac:dyDescent="0.3">
      <c r="F17" s="6" t="s">
        <v>330</v>
      </c>
      <c r="G17" s="6" t="s">
        <v>161</v>
      </c>
    </row>
    <row r="18" spans="6:7" x14ac:dyDescent="0.3">
      <c r="F18" s="6" t="s">
        <v>331</v>
      </c>
      <c r="G18" s="6" t="s">
        <v>332</v>
      </c>
    </row>
    <row r="19" spans="6:7" x14ac:dyDescent="0.3">
      <c r="F19" s="6" t="s">
        <v>333</v>
      </c>
      <c r="G19" s="6" t="s">
        <v>334</v>
      </c>
    </row>
    <row r="20" spans="6:7" x14ac:dyDescent="0.3">
      <c r="F20" s="6" t="s">
        <v>335</v>
      </c>
      <c r="G20" s="6" t="s">
        <v>336</v>
      </c>
    </row>
    <row r="21" spans="6:7" x14ac:dyDescent="0.3">
      <c r="G21" s="6" t="s">
        <v>337</v>
      </c>
    </row>
    <row r="22" spans="6:7" x14ac:dyDescent="0.3">
      <c r="G22" s="6" t="s">
        <v>338</v>
      </c>
    </row>
    <row r="23" spans="6:7" x14ac:dyDescent="0.3">
      <c r="G23" s="6" t="s">
        <v>339</v>
      </c>
    </row>
    <row r="24" spans="6:7" x14ac:dyDescent="0.3">
      <c r="G24" s="6" t="s">
        <v>340</v>
      </c>
    </row>
    <row r="25" spans="6:7" x14ac:dyDescent="0.3">
      <c r="G25" s="6" t="s">
        <v>341</v>
      </c>
    </row>
    <row r="26" spans="6:7" x14ac:dyDescent="0.3">
      <c r="G26" s="6" t="s">
        <v>342</v>
      </c>
    </row>
    <row r="27" spans="6:7" x14ac:dyDescent="0.3">
      <c r="G27" s="6" t="s">
        <v>343</v>
      </c>
    </row>
    <row r="28" spans="6:7" x14ac:dyDescent="0.3">
      <c r="G28" s="6" t="s">
        <v>344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8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4" customWidth="1"/>
    <col min="3" max="3" width="30" customWidth="1"/>
    <col min="4" max="4" width="16" customWidth="1"/>
    <col min="5" max="5" width="18" customWidth="1"/>
    <col min="6" max="6" width="70" customWidth="1"/>
    <col min="7" max="7" width="36" customWidth="1"/>
    <col min="8" max="8" width="11" customWidth="1"/>
    <col min="9" max="9" width="12" customWidth="1"/>
  </cols>
  <sheetData>
    <row r="1" spans="1:9" x14ac:dyDescent="0.3">
      <c r="A1" s="8" t="s">
        <v>345</v>
      </c>
      <c r="B1" s="8" t="s">
        <v>346</v>
      </c>
      <c r="C1" s="8" t="s">
        <v>347</v>
      </c>
      <c r="D1" s="8" t="s">
        <v>76</v>
      </c>
      <c r="E1" s="8" t="s">
        <v>348</v>
      </c>
      <c r="F1" s="8" t="s">
        <v>172</v>
      </c>
      <c r="G1" s="8" t="s">
        <v>349</v>
      </c>
      <c r="H1" s="8" t="s">
        <v>350</v>
      </c>
      <c r="I1" s="8" t="s">
        <v>351</v>
      </c>
    </row>
    <row r="2" spans="1:9" x14ac:dyDescent="0.3">
      <c r="A2" s="19" t="s">
        <v>37</v>
      </c>
      <c r="B2" s="19" t="s">
        <v>352</v>
      </c>
      <c r="C2" s="19" t="s">
        <v>74</v>
      </c>
      <c r="D2" s="19" t="s">
        <v>353</v>
      </c>
      <c r="E2" s="19" t="s">
        <v>354</v>
      </c>
      <c r="F2" s="19" t="s">
        <v>355</v>
      </c>
      <c r="G2" s="19"/>
      <c r="H2" s="19" t="s">
        <v>356</v>
      </c>
      <c r="I2" s="19" t="s">
        <v>357</v>
      </c>
    </row>
    <row r="3" spans="1:9" x14ac:dyDescent="0.3">
      <c r="A3" s="19" t="s">
        <v>37</v>
      </c>
      <c r="B3" s="19" t="s">
        <v>352</v>
      </c>
      <c r="C3" s="19" t="s">
        <v>75</v>
      </c>
      <c r="D3" s="19" t="s">
        <v>353</v>
      </c>
      <c r="E3" s="19" t="s">
        <v>354</v>
      </c>
      <c r="F3" s="19" t="s">
        <v>358</v>
      </c>
      <c r="G3" s="19"/>
      <c r="H3" s="19" t="s">
        <v>356</v>
      </c>
      <c r="I3" s="19"/>
    </row>
    <row r="4" spans="1:9" x14ac:dyDescent="0.3">
      <c r="A4" s="19" t="s">
        <v>37</v>
      </c>
      <c r="B4" s="19" t="s">
        <v>352</v>
      </c>
      <c r="C4" s="19" t="s">
        <v>76</v>
      </c>
      <c r="D4" s="19" t="s">
        <v>353</v>
      </c>
      <c r="E4" s="19" t="s">
        <v>354</v>
      </c>
      <c r="F4" s="19" t="s">
        <v>359</v>
      </c>
      <c r="G4" s="19" t="s">
        <v>360</v>
      </c>
      <c r="H4" s="19" t="s">
        <v>356</v>
      </c>
      <c r="I4" s="19"/>
    </row>
    <row r="5" spans="1:9" x14ac:dyDescent="0.3">
      <c r="A5" s="19" t="s">
        <v>37</v>
      </c>
      <c r="B5" s="19" t="s">
        <v>352</v>
      </c>
      <c r="C5" s="19" t="s">
        <v>77</v>
      </c>
      <c r="D5" s="19" t="s">
        <v>353</v>
      </c>
      <c r="E5" s="19" t="s">
        <v>354</v>
      </c>
      <c r="F5" s="19" t="s">
        <v>361</v>
      </c>
      <c r="G5" s="19" t="s">
        <v>362</v>
      </c>
      <c r="H5" s="19" t="s">
        <v>356</v>
      </c>
      <c r="I5" s="19"/>
    </row>
    <row r="6" spans="1:9" x14ac:dyDescent="0.3">
      <c r="A6" s="19" t="s">
        <v>37</v>
      </c>
      <c r="B6" s="19" t="s">
        <v>352</v>
      </c>
      <c r="C6" s="19" t="s">
        <v>14</v>
      </c>
      <c r="D6" s="19" t="s">
        <v>353</v>
      </c>
      <c r="E6" s="19" t="s">
        <v>354</v>
      </c>
      <c r="F6" s="19" t="s">
        <v>363</v>
      </c>
      <c r="G6" s="19" t="s">
        <v>364</v>
      </c>
      <c r="H6" s="19" t="s">
        <v>356</v>
      </c>
      <c r="I6" s="19"/>
    </row>
    <row r="7" spans="1:9" x14ac:dyDescent="0.3">
      <c r="A7" s="19" t="s">
        <v>37</v>
      </c>
      <c r="B7" s="19" t="s">
        <v>352</v>
      </c>
      <c r="C7" s="19" t="s">
        <v>78</v>
      </c>
      <c r="D7" s="19" t="s">
        <v>353</v>
      </c>
      <c r="E7" s="19" t="s">
        <v>354</v>
      </c>
      <c r="F7" s="19" t="s">
        <v>365</v>
      </c>
      <c r="G7" s="19" t="s">
        <v>366</v>
      </c>
      <c r="H7" s="19" t="s">
        <v>356</v>
      </c>
      <c r="I7" s="19"/>
    </row>
    <row r="8" spans="1:9" x14ac:dyDescent="0.3">
      <c r="A8" s="19" t="s">
        <v>37</v>
      </c>
      <c r="B8" s="19" t="s">
        <v>352</v>
      </c>
      <c r="C8" s="19" t="s">
        <v>79</v>
      </c>
      <c r="D8" s="19" t="s">
        <v>353</v>
      </c>
      <c r="E8" s="19" t="s">
        <v>354</v>
      </c>
      <c r="F8" s="19" t="s">
        <v>367</v>
      </c>
      <c r="G8" s="19"/>
      <c r="H8" s="19" t="s">
        <v>356</v>
      </c>
      <c r="I8" s="19"/>
    </row>
    <row r="9" spans="1:9" ht="26.4" x14ac:dyDescent="0.3">
      <c r="A9" s="19" t="s">
        <v>37</v>
      </c>
      <c r="B9" s="19" t="s">
        <v>352</v>
      </c>
      <c r="C9" s="19" t="s">
        <v>80</v>
      </c>
      <c r="D9" s="19" t="s">
        <v>368</v>
      </c>
      <c r="E9" s="19" t="s">
        <v>354</v>
      </c>
      <c r="F9" s="19" t="s">
        <v>369</v>
      </c>
      <c r="G9" s="19"/>
      <c r="H9" s="19" t="s">
        <v>356</v>
      </c>
      <c r="I9" s="19"/>
    </row>
    <row r="10" spans="1:9" ht="26.4" x14ac:dyDescent="0.3">
      <c r="A10" s="19" t="s">
        <v>37</v>
      </c>
      <c r="B10" s="19" t="s">
        <v>352</v>
      </c>
      <c r="C10" s="19" t="s">
        <v>81</v>
      </c>
      <c r="D10" s="19" t="s">
        <v>368</v>
      </c>
      <c r="E10" s="19" t="s">
        <v>354</v>
      </c>
      <c r="F10" s="19" t="s">
        <v>370</v>
      </c>
      <c r="G10" s="19"/>
      <c r="H10" s="19" t="s">
        <v>356</v>
      </c>
      <c r="I10" s="19"/>
    </row>
    <row r="11" spans="1:9" x14ac:dyDescent="0.3">
      <c r="A11" s="19" t="s">
        <v>37</v>
      </c>
      <c r="B11" s="19" t="s">
        <v>352</v>
      </c>
      <c r="C11" s="19" t="s">
        <v>82</v>
      </c>
      <c r="D11" s="19" t="s">
        <v>353</v>
      </c>
      <c r="E11" s="19" t="s">
        <v>354</v>
      </c>
      <c r="F11" s="19" t="s">
        <v>371</v>
      </c>
      <c r="G11" s="19"/>
      <c r="H11" s="19" t="s">
        <v>356</v>
      </c>
      <c r="I11" s="19"/>
    </row>
    <row r="12" spans="1:9" x14ac:dyDescent="0.3">
      <c r="A12" s="19" t="s">
        <v>37</v>
      </c>
      <c r="B12" s="19" t="s">
        <v>352</v>
      </c>
      <c r="C12" s="19" t="s">
        <v>83</v>
      </c>
      <c r="D12" s="19" t="s">
        <v>353</v>
      </c>
      <c r="E12" s="19" t="s">
        <v>354</v>
      </c>
      <c r="F12" s="19" t="s">
        <v>372</v>
      </c>
      <c r="G12" s="19"/>
      <c r="H12" s="19" t="s">
        <v>356</v>
      </c>
      <c r="I12" s="19"/>
    </row>
    <row r="13" spans="1:9" x14ac:dyDescent="0.3">
      <c r="A13" s="19" t="s">
        <v>37</v>
      </c>
      <c r="B13" s="19" t="s">
        <v>352</v>
      </c>
      <c r="C13" s="19" t="s">
        <v>84</v>
      </c>
      <c r="D13" s="19" t="s">
        <v>353</v>
      </c>
      <c r="E13" s="19" t="s">
        <v>354</v>
      </c>
      <c r="F13" s="19" t="s">
        <v>373</v>
      </c>
      <c r="G13" s="19"/>
      <c r="H13" s="19" t="s">
        <v>356</v>
      </c>
      <c r="I13" s="19"/>
    </row>
    <row r="14" spans="1:9" x14ac:dyDescent="0.3">
      <c r="A14" s="19" t="s">
        <v>37</v>
      </c>
      <c r="B14" s="19" t="s">
        <v>352</v>
      </c>
      <c r="C14" s="19" t="s">
        <v>85</v>
      </c>
      <c r="D14" s="19" t="s">
        <v>374</v>
      </c>
      <c r="E14" s="19" t="s">
        <v>354</v>
      </c>
      <c r="F14" s="19" t="s">
        <v>375</v>
      </c>
      <c r="G14" s="19"/>
      <c r="H14" s="19" t="s">
        <v>356</v>
      </c>
      <c r="I14" s="19"/>
    </row>
    <row r="15" spans="1:9" x14ac:dyDescent="0.3">
      <c r="A15" s="19" t="s">
        <v>37</v>
      </c>
      <c r="B15" s="19" t="s">
        <v>352</v>
      </c>
      <c r="C15" s="19" t="s">
        <v>86</v>
      </c>
      <c r="D15" s="19" t="s">
        <v>374</v>
      </c>
      <c r="E15" s="19" t="s">
        <v>354</v>
      </c>
      <c r="F15" s="19" t="s">
        <v>376</v>
      </c>
      <c r="G15" s="19"/>
      <c r="H15" s="19" t="s">
        <v>356</v>
      </c>
      <c r="I15" s="19"/>
    </row>
    <row r="16" spans="1:9" ht="26.4" x14ac:dyDescent="0.3">
      <c r="A16" s="19" t="s">
        <v>37</v>
      </c>
      <c r="B16" s="19" t="s">
        <v>352</v>
      </c>
      <c r="C16" s="19" t="s">
        <v>87</v>
      </c>
      <c r="D16" s="19" t="s">
        <v>353</v>
      </c>
      <c r="E16" s="19" t="s">
        <v>354</v>
      </c>
      <c r="F16" s="19" t="s">
        <v>377</v>
      </c>
      <c r="G16" s="19"/>
      <c r="H16" s="19" t="s">
        <v>378</v>
      </c>
      <c r="I16" s="19" t="s">
        <v>379</v>
      </c>
    </row>
    <row r="17" spans="1:9" x14ac:dyDescent="0.3">
      <c r="A17" s="19" t="s">
        <v>37</v>
      </c>
      <c r="B17" s="19" t="s">
        <v>352</v>
      </c>
      <c r="C17" s="19" t="s">
        <v>88</v>
      </c>
      <c r="D17" s="19" t="s">
        <v>353</v>
      </c>
      <c r="E17" s="19" t="s">
        <v>354</v>
      </c>
      <c r="F17" s="19" t="s">
        <v>380</v>
      </c>
      <c r="G17" s="19"/>
      <c r="H17" s="19" t="s">
        <v>378</v>
      </c>
      <c r="I17" s="19"/>
    </row>
    <row r="18" spans="1:9" x14ac:dyDescent="0.3">
      <c r="A18" s="19" t="s">
        <v>37</v>
      </c>
      <c r="B18" s="19" t="s">
        <v>352</v>
      </c>
      <c r="C18" s="19" t="s">
        <v>89</v>
      </c>
      <c r="D18" s="19" t="s">
        <v>353</v>
      </c>
      <c r="E18" s="19" t="s">
        <v>381</v>
      </c>
      <c r="F18" s="19" t="s">
        <v>382</v>
      </c>
      <c r="G18" s="19"/>
      <c r="H18" s="19" t="s">
        <v>356</v>
      </c>
      <c r="I18" s="19"/>
    </row>
    <row r="19" spans="1:9" x14ac:dyDescent="0.3">
      <c r="A19" s="19" t="s">
        <v>39</v>
      </c>
      <c r="B19" s="19" t="s">
        <v>383</v>
      </c>
      <c r="C19" s="19" t="s">
        <v>169</v>
      </c>
      <c r="D19" s="19" t="s">
        <v>353</v>
      </c>
      <c r="E19" s="19" t="s">
        <v>354</v>
      </c>
      <c r="F19" s="19" t="s">
        <v>384</v>
      </c>
      <c r="G19" s="19"/>
      <c r="H19" s="19" t="s">
        <v>356</v>
      </c>
      <c r="I19" s="19" t="s">
        <v>357</v>
      </c>
    </row>
    <row r="20" spans="1:9" x14ac:dyDescent="0.3">
      <c r="A20" s="19" t="s">
        <v>39</v>
      </c>
      <c r="B20" s="19" t="s">
        <v>383</v>
      </c>
      <c r="C20" s="19" t="s">
        <v>170</v>
      </c>
      <c r="D20" s="19" t="s">
        <v>385</v>
      </c>
      <c r="E20" s="19" t="s">
        <v>354</v>
      </c>
      <c r="F20" s="19" t="s">
        <v>386</v>
      </c>
      <c r="G20" s="19"/>
      <c r="H20" s="19" t="s">
        <v>356</v>
      </c>
      <c r="I20" s="19"/>
    </row>
    <row r="21" spans="1:9" x14ac:dyDescent="0.3">
      <c r="A21" s="19" t="s">
        <v>39</v>
      </c>
      <c r="B21" s="19" t="s">
        <v>383</v>
      </c>
      <c r="C21" s="19" t="s">
        <v>171</v>
      </c>
      <c r="D21" s="19" t="s">
        <v>353</v>
      </c>
      <c r="E21" s="19" t="s">
        <v>354</v>
      </c>
      <c r="F21" s="19" t="s">
        <v>387</v>
      </c>
      <c r="G21" s="19"/>
      <c r="H21" s="19" t="s">
        <v>356</v>
      </c>
      <c r="I21" s="19"/>
    </row>
    <row r="22" spans="1:9" x14ac:dyDescent="0.3">
      <c r="A22" s="19" t="s">
        <v>39</v>
      </c>
      <c r="B22" s="19" t="s">
        <v>383</v>
      </c>
      <c r="C22" s="19" t="s">
        <v>172</v>
      </c>
      <c r="D22" s="19" t="s">
        <v>353</v>
      </c>
      <c r="E22" s="19" t="s">
        <v>354</v>
      </c>
      <c r="F22" s="19" t="s">
        <v>388</v>
      </c>
      <c r="G22" s="19"/>
      <c r="H22" s="19" t="s">
        <v>356</v>
      </c>
      <c r="I22" s="19"/>
    </row>
    <row r="23" spans="1:9" x14ac:dyDescent="0.3">
      <c r="A23" s="19" t="s">
        <v>41</v>
      </c>
      <c r="B23" s="19" t="s">
        <v>389</v>
      </c>
      <c r="C23" s="19" t="s">
        <v>204</v>
      </c>
      <c r="D23" s="19" t="s">
        <v>353</v>
      </c>
      <c r="E23" s="19" t="s">
        <v>354</v>
      </c>
      <c r="F23" s="19" t="s">
        <v>390</v>
      </c>
      <c r="G23" s="19"/>
      <c r="H23" s="19" t="s">
        <v>356</v>
      </c>
      <c r="I23" s="19" t="s">
        <v>357</v>
      </c>
    </row>
    <row r="24" spans="1:9" x14ac:dyDescent="0.3">
      <c r="A24" s="19" t="s">
        <v>41</v>
      </c>
      <c r="B24" s="19" t="s">
        <v>389</v>
      </c>
      <c r="C24" s="19" t="s">
        <v>205</v>
      </c>
      <c r="D24" s="19" t="s">
        <v>385</v>
      </c>
      <c r="E24" s="19" t="s">
        <v>354</v>
      </c>
      <c r="F24" s="19" t="s">
        <v>391</v>
      </c>
      <c r="G24" s="19"/>
      <c r="H24" s="19" t="s">
        <v>356</v>
      </c>
      <c r="I24" s="19"/>
    </row>
    <row r="25" spans="1:9" x14ac:dyDescent="0.3">
      <c r="A25" s="19" t="s">
        <v>41</v>
      </c>
      <c r="B25" s="19" t="s">
        <v>389</v>
      </c>
      <c r="C25" s="19" t="s">
        <v>206</v>
      </c>
      <c r="D25" s="19" t="s">
        <v>385</v>
      </c>
      <c r="E25" s="19" t="s">
        <v>354</v>
      </c>
      <c r="F25" s="19" t="s">
        <v>392</v>
      </c>
      <c r="G25" s="19"/>
      <c r="H25" s="19" t="s">
        <v>356</v>
      </c>
      <c r="I25" s="19"/>
    </row>
    <row r="26" spans="1:9" x14ac:dyDescent="0.3">
      <c r="A26" s="19" t="s">
        <v>41</v>
      </c>
      <c r="B26" s="19" t="s">
        <v>389</v>
      </c>
      <c r="C26" s="19" t="s">
        <v>207</v>
      </c>
      <c r="D26" s="19" t="s">
        <v>393</v>
      </c>
      <c r="E26" s="19" t="s">
        <v>354</v>
      </c>
      <c r="F26" s="19" t="s">
        <v>394</v>
      </c>
      <c r="G26" s="19"/>
      <c r="H26" s="19" t="s">
        <v>356</v>
      </c>
      <c r="I26" s="19"/>
    </row>
    <row r="27" spans="1:9" x14ac:dyDescent="0.3">
      <c r="A27" s="19" t="s">
        <v>41</v>
      </c>
      <c r="B27" s="19" t="s">
        <v>389</v>
      </c>
      <c r="C27" s="19" t="s">
        <v>208</v>
      </c>
      <c r="D27" s="19" t="s">
        <v>393</v>
      </c>
      <c r="E27" s="19" t="s">
        <v>354</v>
      </c>
      <c r="F27" s="19" t="s">
        <v>395</v>
      </c>
      <c r="G27" s="19"/>
      <c r="H27" s="19" t="s">
        <v>356</v>
      </c>
      <c r="I27" s="19"/>
    </row>
    <row r="28" spans="1:9" x14ac:dyDescent="0.3">
      <c r="A28" s="19" t="s">
        <v>41</v>
      </c>
      <c r="B28" s="19" t="s">
        <v>389</v>
      </c>
      <c r="C28" s="19" t="s">
        <v>209</v>
      </c>
      <c r="D28" s="19" t="s">
        <v>393</v>
      </c>
      <c r="E28" s="19" t="s">
        <v>354</v>
      </c>
      <c r="F28" s="19" t="s">
        <v>396</v>
      </c>
      <c r="G28" s="19"/>
      <c r="H28" s="19" t="s">
        <v>356</v>
      </c>
      <c r="I28" s="19"/>
    </row>
    <row r="29" spans="1:9" x14ac:dyDescent="0.3">
      <c r="A29" s="19" t="s">
        <v>41</v>
      </c>
      <c r="B29" s="19" t="s">
        <v>389</v>
      </c>
      <c r="C29" s="19" t="s">
        <v>210</v>
      </c>
      <c r="D29" s="19" t="s">
        <v>393</v>
      </c>
      <c r="E29" s="19" t="s">
        <v>354</v>
      </c>
      <c r="F29" s="19" t="s">
        <v>397</v>
      </c>
      <c r="G29" s="19"/>
      <c r="H29" s="19" t="s">
        <v>356</v>
      </c>
      <c r="I29" s="19"/>
    </row>
    <row r="30" spans="1:9" x14ac:dyDescent="0.3">
      <c r="A30" s="19" t="s">
        <v>41</v>
      </c>
      <c r="B30" s="19" t="s">
        <v>389</v>
      </c>
      <c r="C30" s="19" t="s">
        <v>211</v>
      </c>
      <c r="D30" s="19" t="s">
        <v>385</v>
      </c>
      <c r="E30" s="19" t="s">
        <v>354</v>
      </c>
      <c r="F30" s="19" t="s">
        <v>398</v>
      </c>
      <c r="G30" s="19"/>
      <c r="H30" s="19" t="s">
        <v>356</v>
      </c>
      <c r="I30" s="19"/>
    </row>
    <row r="31" spans="1:9" x14ac:dyDescent="0.3">
      <c r="A31" s="19" t="s">
        <v>41</v>
      </c>
      <c r="B31" s="19" t="s">
        <v>389</v>
      </c>
      <c r="C31" s="19" t="s">
        <v>212</v>
      </c>
      <c r="D31" s="19" t="s">
        <v>374</v>
      </c>
      <c r="E31" s="19" t="s">
        <v>354</v>
      </c>
      <c r="F31" s="19" t="s">
        <v>399</v>
      </c>
      <c r="G31" s="19"/>
      <c r="H31" s="19" t="s">
        <v>356</v>
      </c>
      <c r="I31" s="19"/>
    </row>
    <row r="32" spans="1:9" x14ac:dyDescent="0.3">
      <c r="A32" s="19" t="s">
        <v>41</v>
      </c>
      <c r="B32" s="19" t="s">
        <v>389</v>
      </c>
      <c r="C32" s="19" t="s">
        <v>213</v>
      </c>
      <c r="D32" s="19" t="s">
        <v>374</v>
      </c>
      <c r="E32" s="19" t="s">
        <v>354</v>
      </c>
      <c r="F32" s="19" t="s">
        <v>400</v>
      </c>
      <c r="G32" s="19"/>
      <c r="H32" s="19" t="s">
        <v>356</v>
      </c>
      <c r="I32" s="19"/>
    </row>
    <row r="33" spans="1:9" x14ac:dyDescent="0.3">
      <c r="A33" s="19" t="s">
        <v>41</v>
      </c>
      <c r="B33" s="19" t="s">
        <v>389</v>
      </c>
      <c r="C33" s="19" t="s">
        <v>214</v>
      </c>
      <c r="D33" s="19" t="s">
        <v>374</v>
      </c>
      <c r="E33" s="19" t="s">
        <v>381</v>
      </c>
      <c r="F33" s="19" t="s">
        <v>401</v>
      </c>
      <c r="G33" s="19"/>
      <c r="H33" s="19" t="s">
        <v>356</v>
      </c>
      <c r="I33" s="19"/>
    </row>
    <row r="34" spans="1:9" x14ac:dyDescent="0.3">
      <c r="A34" s="19" t="s">
        <v>41</v>
      </c>
      <c r="B34" s="19" t="s">
        <v>389</v>
      </c>
      <c r="C34" s="19" t="s">
        <v>215</v>
      </c>
      <c r="D34" s="19" t="s">
        <v>374</v>
      </c>
      <c r="E34" s="19" t="s">
        <v>381</v>
      </c>
      <c r="F34" s="19" t="s">
        <v>402</v>
      </c>
      <c r="G34" s="19"/>
      <c r="H34" s="19" t="s">
        <v>356</v>
      </c>
      <c r="I34" s="19"/>
    </row>
    <row r="35" spans="1:9" x14ac:dyDescent="0.3">
      <c r="A35" s="19" t="s">
        <v>41</v>
      </c>
      <c r="B35" s="19" t="s">
        <v>389</v>
      </c>
      <c r="C35" s="19" t="s">
        <v>216</v>
      </c>
      <c r="D35" s="19" t="s">
        <v>374</v>
      </c>
      <c r="E35" s="19" t="s">
        <v>381</v>
      </c>
      <c r="F35" s="19" t="s">
        <v>403</v>
      </c>
      <c r="G35" s="19"/>
      <c r="H35" s="19" t="s">
        <v>356</v>
      </c>
      <c r="I35" s="19"/>
    </row>
    <row r="36" spans="1:9" x14ac:dyDescent="0.3">
      <c r="A36" s="19" t="s">
        <v>41</v>
      </c>
      <c r="B36" s="19" t="s">
        <v>389</v>
      </c>
      <c r="C36" s="19" t="s">
        <v>217</v>
      </c>
      <c r="D36" s="19" t="s">
        <v>374</v>
      </c>
      <c r="E36" s="19" t="s">
        <v>381</v>
      </c>
      <c r="F36" s="19" t="s">
        <v>404</v>
      </c>
      <c r="G36" s="19"/>
      <c r="H36" s="19" t="s">
        <v>356</v>
      </c>
      <c r="I36" s="19"/>
    </row>
    <row r="37" spans="1:9" x14ac:dyDescent="0.3">
      <c r="A37" s="19" t="s">
        <v>41</v>
      </c>
      <c r="B37" s="19" t="s">
        <v>389</v>
      </c>
      <c r="C37" s="19" t="s">
        <v>218</v>
      </c>
      <c r="D37" s="19" t="s">
        <v>374</v>
      </c>
      <c r="E37" s="19" t="s">
        <v>381</v>
      </c>
      <c r="F37" s="19" t="s">
        <v>405</v>
      </c>
      <c r="G37" s="19"/>
      <c r="H37" s="19" t="s">
        <v>356</v>
      </c>
      <c r="I37" s="19"/>
    </row>
    <row r="38" spans="1:9" x14ac:dyDescent="0.3">
      <c r="A38" s="19" t="s">
        <v>41</v>
      </c>
      <c r="B38" s="19" t="s">
        <v>389</v>
      </c>
      <c r="C38" s="19" t="s">
        <v>219</v>
      </c>
      <c r="D38" s="19" t="s">
        <v>374</v>
      </c>
      <c r="E38" s="19" t="s">
        <v>381</v>
      </c>
      <c r="F38" s="19" t="s">
        <v>406</v>
      </c>
      <c r="G38" s="19"/>
      <c r="H38" s="19" t="s">
        <v>356</v>
      </c>
      <c r="I38" s="19"/>
    </row>
    <row r="39" spans="1:9" ht="26.4" x14ac:dyDescent="0.3">
      <c r="A39" s="19" t="s">
        <v>41</v>
      </c>
      <c r="B39" s="19" t="s">
        <v>389</v>
      </c>
      <c r="C39" s="19" t="s">
        <v>220</v>
      </c>
      <c r="D39" s="19" t="s">
        <v>407</v>
      </c>
      <c r="E39" s="19" t="s">
        <v>381</v>
      </c>
      <c r="F39" s="19" t="s">
        <v>408</v>
      </c>
      <c r="G39" s="19"/>
      <c r="H39" s="19" t="s">
        <v>356</v>
      </c>
      <c r="I39" s="19"/>
    </row>
    <row r="40" spans="1:9" ht="26.4" x14ac:dyDescent="0.3">
      <c r="A40" s="19" t="s">
        <v>41</v>
      </c>
      <c r="B40" s="19" t="s">
        <v>389</v>
      </c>
      <c r="C40" s="19" t="s">
        <v>221</v>
      </c>
      <c r="D40" s="19" t="s">
        <v>407</v>
      </c>
      <c r="E40" s="19" t="s">
        <v>381</v>
      </c>
      <c r="F40" s="19" t="s">
        <v>409</v>
      </c>
      <c r="G40" s="19"/>
      <c r="H40" s="19" t="s">
        <v>356</v>
      </c>
      <c r="I40" s="19"/>
    </row>
    <row r="41" spans="1:9" x14ac:dyDescent="0.3">
      <c r="A41" s="19" t="s">
        <v>45</v>
      </c>
      <c r="B41" s="19" t="s">
        <v>410</v>
      </c>
      <c r="C41" s="19" t="s">
        <v>253</v>
      </c>
      <c r="D41" s="19" t="s">
        <v>353</v>
      </c>
      <c r="E41" s="19" t="s">
        <v>354</v>
      </c>
      <c r="F41" s="19" t="s">
        <v>411</v>
      </c>
      <c r="G41" s="19"/>
      <c r="H41" s="19" t="s">
        <v>356</v>
      </c>
      <c r="I41" s="19" t="s">
        <v>357</v>
      </c>
    </row>
    <row r="42" spans="1:9" ht="26.4" x14ac:dyDescent="0.3">
      <c r="A42" s="19" t="s">
        <v>45</v>
      </c>
      <c r="B42" s="19" t="s">
        <v>410</v>
      </c>
      <c r="C42" s="19" t="s">
        <v>254</v>
      </c>
      <c r="D42" s="19" t="s">
        <v>368</v>
      </c>
      <c r="E42" s="19" t="s">
        <v>354</v>
      </c>
      <c r="F42" s="19" t="s">
        <v>412</v>
      </c>
      <c r="G42" s="19"/>
      <c r="H42" s="19" t="s">
        <v>356</v>
      </c>
      <c r="I42" s="19"/>
    </row>
    <row r="43" spans="1:9" x14ac:dyDescent="0.3">
      <c r="A43" s="19" t="s">
        <v>45</v>
      </c>
      <c r="B43" s="19" t="s">
        <v>410</v>
      </c>
      <c r="C43" s="19" t="s">
        <v>255</v>
      </c>
      <c r="D43" s="19" t="s">
        <v>353</v>
      </c>
      <c r="E43" s="19" t="s">
        <v>354</v>
      </c>
      <c r="F43" s="19" t="s">
        <v>413</v>
      </c>
      <c r="G43" s="19"/>
      <c r="H43" s="19" t="s">
        <v>356</v>
      </c>
      <c r="I43" s="19"/>
    </row>
    <row r="44" spans="1:9" x14ac:dyDescent="0.3">
      <c r="A44" s="19" t="s">
        <v>45</v>
      </c>
      <c r="B44" s="19" t="s">
        <v>410</v>
      </c>
      <c r="C44" s="19" t="s">
        <v>256</v>
      </c>
      <c r="D44" s="19" t="s">
        <v>353</v>
      </c>
      <c r="E44" s="19" t="s">
        <v>354</v>
      </c>
      <c r="F44" s="19" t="s">
        <v>414</v>
      </c>
      <c r="G44" s="19" t="s">
        <v>415</v>
      </c>
      <c r="H44" s="19" t="s">
        <v>356</v>
      </c>
      <c r="I44" s="19"/>
    </row>
    <row r="45" spans="1:9" x14ac:dyDescent="0.3">
      <c r="A45" s="19" t="s">
        <v>45</v>
      </c>
      <c r="B45" s="19" t="s">
        <v>410</v>
      </c>
      <c r="C45" s="19" t="s">
        <v>257</v>
      </c>
      <c r="D45" s="19" t="s">
        <v>353</v>
      </c>
      <c r="E45" s="19" t="s">
        <v>354</v>
      </c>
      <c r="F45" s="19" t="s">
        <v>416</v>
      </c>
      <c r="G45" s="19"/>
      <c r="H45" s="19" t="s">
        <v>356</v>
      </c>
      <c r="I45" s="19"/>
    </row>
    <row r="46" spans="1:9" x14ac:dyDescent="0.3">
      <c r="A46" s="19" t="s">
        <v>45</v>
      </c>
      <c r="B46" s="19" t="s">
        <v>410</v>
      </c>
      <c r="C46" s="19" t="s">
        <v>14</v>
      </c>
      <c r="D46" s="19" t="s">
        <v>353</v>
      </c>
      <c r="E46" s="19" t="s">
        <v>354</v>
      </c>
      <c r="F46" s="19" t="s">
        <v>363</v>
      </c>
      <c r="G46" s="19" t="s">
        <v>417</v>
      </c>
      <c r="H46" s="19" t="s">
        <v>356</v>
      </c>
      <c r="I46" s="19"/>
    </row>
    <row r="47" spans="1:9" x14ac:dyDescent="0.3">
      <c r="A47" s="19" t="s">
        <v>45</v>
      </c>
      <c r="B47" s="19" t="s">
        <v>410</v>
      </c>
      <c r="C47" s="19" t="s">
        <v>88</v>
      </c>
      <c r="D47" s="19" t="s">
        <v>353</v>
      </c>
      <c r="E47" s="19" t="s">
        <v>354</v>
      </c>
      <c r="F47" s="19" t="s">
        <v>418</v>
      </c>
      <c r="G47" s="19"/>
      <c r="H47" s="19" t="s">
        <v>378</v>
      </c>
      <c r="I47" s="19"/>
    </row>
    <row r="48" spans="1:9" x14ac:dyDescent="0.3">
      <c r="A48" s="19" t="s">
        <v>45</v>
      </c>
      <c r="B48" s="19" t="s">
        <v>410</v>
      </c>
      <c r="C48" s="19" t="s">
        <v>258</v>
      </c>
      <c r="D48" s="19" t="s">
        <v>393</v>
      </c>
      <c r="E48" s="19" t="s">
        <v>381</v>
      </c>
      <c r="F48" s="19" t="s">
        <v>419</v>
      </c>
      <c r="G48" s="19"/>
      <c r="H48" s="19" t="s">
        <v>356</v>
      </c>
      <c r="I48" s="19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8</vt:i4>
      </vt:variant>
      <vt:variant>
        <vt:lpstr>Intervalos com Nome</vt:lpstr>
      </vt:variant>
      <vt:variant>
        <vt:i4>12</vt:i4>
      </vt:variant>
    </vt:vector>
  </HeadingPairs>
  <TitlesOfParts>
    <vt:vector size="20" baseType="lpstr">
      <vt:lpstr>00_LEIA-ME</vt:lpstr>
      <vt:lpstr>Projetos_Melhoria</vt:lpstr>
      <vt:lpstr>Parametros_COQ</vt:lpstr>
      <vt:lpstr>COQ_Mensal</vt:lpstr>
      <vt:lpstr>Painel_COQ</vt:lpstr>
      <vt:lpstr>Sugestoes</vt:lpstr>
      <vt:lpstr>Listas</vt:lpstr>
      <vt:lpstr>Dicionario_Dados</vt:lpstr>
      <vt:lpstr>DataRef</vt:lpstr>
      <vt:lpstr>lst_Alinea101</vt:lpstr>
      <vt:lpstr>lst_DataReferencia</vt:lpstr>
      <vt:lpstr>lst_EstadoProj</vt:lpstr>
      <vt:lpstr>lst_EstadoSug</vt:lpstr>
      <vt:lpstr>lst_Funcao</vt:lpstr>
      <vt:lpstr>lst_Processo</vt:lpstr>
      <vt:lpstr>lst_TipoProj</vt:lpstr>
      <vt:lpstr>COQ_Mensal!Títulos_de_Impressão</vt:lpstr>
      <vt:lpstr>Parametros_COQ!Títulos_de_Impressão</vt:lpstr>
      <vt:lpstr>Projetos_Melhoria!Títulos_de_Impressão</vt:lpstr>
      <vt:lpstr>Sugestoes!Títulos_de_Impressão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RG-SGQ-19 Melhoria Contínua e Custo da Qualidade</dc:title>
  <dc:subject>SGQ NP EN ISO 9001:2026 — Plasticom</dc:subject>
  <dc:creator>Gerente da Qualidade</dc:creator>
  <cp:lastModifiedBy>Aline Meireles</cp:lastModifiedBy>
  <dcterms:created xsi:type="dcterms:W3CDTF">2026-09-30T13:07:32Z</dcterms:created>
  <dcterms:modified xsi:type="dcterms:W3CDTF">2026-09-30T13:07:40Z</dcterms:modified>
</cp:coreProperties>
</file>