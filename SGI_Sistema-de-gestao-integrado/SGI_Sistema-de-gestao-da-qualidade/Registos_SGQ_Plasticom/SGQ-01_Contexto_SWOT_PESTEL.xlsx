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74110236-A2EC-406C-80E3-FBE41424598E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ESTEL" sheetId="2" r:id="rId2"/>
    <sheet name="SWOT" sheetId="3" r:id="rId3"/>
    <sheet name="Matriz_TOWS" sheetId="4" r:id="rId4"/>
    <sheet name="Cinco_Forcas" sheetId="5" r:id="rId5"/>
    <sheet name="Vista_SWOT" sheetId="6" r:id="rId6"/>
    <sheet name="Partes_Interessadas" sheetId="7" r:id="rId7"/>
    <sheet name="Alteracoes_Climaticas" sheetId="8" r:id="rId8"/>
    <sheet name="Ambito_SGQ" sheetId="9" r:id="rId9"/>
    <sheet name="Aplicabilidade" sheetId="10" r:id="rId10"/>
    <sheet name="Resumo_Contexto" sheetId="11" r:id="rId11"/>
    <sheet name="Listas" sheetId="12" r:id="rId12"/>
    <sheet name="Dicionario_Dados" sheetId="13" r:id="rId13"/>
  </sheets>
  <definedNames>
    <definedName name="DataRef">Listas!$A$3</definedName>
    <definedName name="lst_Classificacao">Listas!$E$3:$E$5</definedName>
    <definedName name="lst_CondicaoAmbiental">Listas!$C$3:$C$8</definedName>
    <definedName name="lst_Cruzamento">Listas!$O$3:$O$6</definedName>
    <definedName name="lst_DataReferencia">Listas!$A$3:$A$3</definedName>
    <definedName name="lst_Dimensao">Listas!$B$3:$B$8</definedName>
    <definedName name="lst_Direcao">Listas!$D$3:$D$6</definedName>
    <definedName name="lst_Escala13">Listas!$H$3:$H$5</definedName>
    <definedName name="lst_ESG">Listas!$M$3:$M$9</definedName>
    <definedName name="lst_Funcao">Listas!$N$3:$N$28</definedName>
    <definedName name="lst_Horizonte">Listas!$G$3:$G$5</definedName>
    <definedName name="lst_PI_Nivel">Listas!$Q$3:$Q$5</definedName>
    <definedName name="lst_PI_Obrig">Listas!$R$3:$R$6</definedName>
    <definedName name="lst_PI_Tipo">Listas!$P$3:$P$4</definedName>
    <definedName name="lst_Processo">Listas!$K$3:$K$20</definedName>
    <definedName name="lst_Quadrante">Listas!$I$3:$I$6</definedName>
    <definedName name="lst_SimNao">Listas!$J$3:$J$4</definedName>
    <definedName name="lst_Tema">Listas!$L$3:$L$15</definedName>
    <definedName name="lst_Tendencia">Listas!$F$3:$F$5</definedName>
    <definedName name="_xlnm.Print_Titles" localSheetId="7">Alteracoes_Climaticas!$4:$4</definedName>
    <definedName name="_xlnm.Print_Titles" localSheetId="8">Ambito_SGQ!$4:$4</definedName>
    <definedName name="_xlnm.Print_Titles" localSheetId="9">Aplicabilidade!$1:$1</definedName>
    <definedName name="_xlnm.Print_Titles" localSheetId="4">Cinco_Forcas!$4:$4</definedName>
    <definedName name="_xlnm.Print_Titles" localSheetId="3">Matriz_TOWS!$4:$4</definedName>
    <definedName name="_xlnm.Print_Titles" localSheetId="6">Partes_Interessadas!$4:$4</definedName>
    <definedName name="_xlnm.Print_Titles" localSheetId="1">PESTEL!$4:$4</definedName>
    <definedName name="_xlnm.Print_Titles" localSheetId="2">SWOT!$4:$4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1" l="1"/>
  <c r="B14" i="11"/>
  <c r="B13" i="11"/>
  <c r="B12" i="11"/>
  <c r="B11" i="11"/>
  <c r="B8" i="11"/>
  <c r="B7" i="11"/>
  <c r="B6" i="11"/>
  <c r="B4" i="11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P26" i="3"/>
  <c r="C26" i="3"/>
  <c r="P25" i="3"/>
  <c r="C25" i="3"/>
  <c r="P24" i="3"/>
  <c r="C24" i="3"/>
  <c r="P23" i="3"/>
  <c r="C23" i="3"/>
  <c r="P22" i="3"/>
  <c r="C22" i="3"/>
  <c r="P21" i="3"/>
  <c r="C21" i="3"/>
  <c r="P20" i="3"/>
  <c r="C20" i="3"/>
  <c r="P19" i="3"/>
  <c r="C19" i="3"/>
  <c r="P18" i="3"/>
  <c r="C18" i="3"/>
  <c r="P17" i="3"/>
  <c r="C17" i="3"/>
  <c r="P16" i="3"/>
  <c r="C16" i="3"/>
  <c r="P15" i="3"/>
  <c r="C15" i="3"/>
  <c r="P14" i="3"/>
  <c r="C14" i="3"/>
  <c r="P13" i="3"/>
  <c r="C13" i="3"/>
  <c r="P12" i="3"/>
  <c r="C12" i="3"/>
  <c r="P11" i="3"/>
  <c r="C11" i="3"/>
  <c r="P10" i="3"/>
  <c r="C10" i="3"/>
  <c r="P9" i="3"/>
  <c r="C9" i="3"/>
  <c r="P8" i="3"/>
  <c r="C8" i="3"/>
  <c r="P7" i="3"/>
  <c r="C7" i="3"/>
  <c r="P6" i="3"/>
  <c r="C6" i="3"/>
  <c r="P5" i="3"/>
  <c r="B19" i="6" s="1"/>
  <c r="C5" i="3"/>
  <c r="X21" i="2"/>
  <c r="N21" i="2"/>
  <c r="M21" i="2"/>
  <c r="X20" i="2"/>
  <c r="N20" i="2"/>
  <c r="M20" i="2"/>
  <c r="X19" i="2"/>
  <c r="N19" i="2"/>
  <c r="M19" i="2"/>
  <c r="X18" i="2"/>
  <c r="N18" i="2"/>
  <c r="M18" i="2"/>
  <c r="X17" i="2"/>
  <c r="N17" i="2"/>
  <c r="M17" i="2"/>
  <c r="X16" i="2"/>
  <c r="N16" i="2"/>
  <c r="M16" i="2"/>
  <c r="X15" i="2"/>
  <c r="M15" i="2"/>
  <c r="N15" i="2" s="1"/>
  <c r="X14" i="2"/>
  <c r="M14" i="2"/>
  <c r="N14" i="2" s="1"/>
  <c r="X13" i="2"/>
  <c r="M13" i="2"/>
  <c r="N13" i="2" s="1"/>
  <c r="X12" i="2"/>
  <c r="N12" i="2"/>
  <c r="M12" i="2"/>
  <c r="X11" i="2"/>
  <c r="M11" i="2"/>
  <c r="N11" i="2" s="1"/>
  <c r="X10" i="2"/>
  <c r="M10" i="2"/>
  <c r="N10" i="2" s="1"/>
  <c r="X9" i="2"/>
  <c r="M9" i="2"/>
  <c r="N9" i="2" s="1"/>
  <c r="X8" i="2"/>
  <c r="M8" i="2"/>
  <c r="N8" i="2" s="1"/>
  <c r="X7" i="2"/>
  <c r="M7" i="2"/>
  <c r="N7" i="2" s="1"/>
  <c r="X6" i="2"/>
  <c r="M6" i="2"/>
  <c r="N6" i="2" s="1"/>
  <c r="X5" i="2"/>
  <c r="M5" i="2"/>
  <c r="N5" i="2" s="1"/>
  <c r="B5" i="11" l="1"/>
  <c r="B17" i="11"/>
  <c r="B9" i="11"/>
  <c r="B16" i="11"/>
  <c r="A6" i="6"/>
  <c r="A8" i="6"/>
  <c r="A10" i="6"/>
  <c r="A14" i="6"/>
  <c r="A16" i="6"/>
  <c r="A18" i="6"/>
  <c r="A20" i="6"/>
  <c r="B10" i="11"/>
  <c r="B6" i="6"/>
  <c r="B8" i="6"/>
  <c r="B10" i="6"/>
  <c r="B14" i="6"/>
  <c r="B16" i="6"/>
  <c r="B18" i="6"/>
  <c r="B20" i="6"/>
  <c r="A5" i="6"/>
  <c r="A7" i="6"/>
  <c r="A9" i="6"/>
  <c r="A11" i="6"/>
  <c r="A15" i="6"/>
  <c r="A17" i="6"/>
  <c r="A19" i="6"/>
  <c r="B5" i="6"/>
  <c r="B7" i="6"/>
  <c r="B9" i="6"/>
  <c r="B11" i="6"/>
  <c r="B15" i="6"/>
  <c r="B1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Identificador único do fator PESTEL do SGQ.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Dimensão PESTEL.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Nome curto do fator externo.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Descrição do fator, do seu estado atual e do dado que o sustenta.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Condição ambiental a que o fator se refere; 'Clima' marca as questões de alterações climáticas (ISO 9001:2026 4.1).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 organização afeta o ambiente, o ambiente afeta a organização, ou ambos (só para fatores com condição ambiental).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Como o fator afeta a capacidade de entregar produto conforme e aumentar a satisfação do cliente (equivale a Efeito_no_SGA).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Se o fator gera risco, oportunidade ou ambos (4.1 Nota 1: positivo/negativo).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Tendência observada.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Horizonte temporal do efeito.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Probabilidade de afetar o SGQ (1 baixa – 3 alta).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Impacto no SGQ (1 baixo – 3 alto).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Probabilidade × Impacto (1-9).
[calculado]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Alta ≥6; Média 3-5; Baixa ≤2.
[calculado]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Como e com que frequência o fator é acompanhado (4.1 último parágrafo).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Resposta estratégica prevista.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Item SWOT relacionado.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Risco/oportunidade da qualidade gerado (RG-SGQ-04).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Parte interessada mais relacionada (4.2).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Tema (grafia comum ao SGA quando o tema é partilhado).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Pilar ESG.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Função responsável por monitorizar o fator.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Data da análise.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Revisão anual (antes da Revisão pela Gestão).
[calculado]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Sistema dono do registo: SGQ (no RG-SGA-01: SGA ou SGI).</t>
        </r>
      </text>
    </comment>
    <comment ref="Z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Riscos/oportunidades do registo corporativo RG-SGA-02 (R-nn / O-nn).</t>
        </r>
      </text>
    </comment>
    <comment ref="AA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[Só SGQ] Fator de origem no RG-SGA-01 (PES-nn / SWT-Xnn).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Identificador único do item SWOT do SGQ.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Quadrante SWOT.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Interno (Força/Fraqueza) ou Externo (Oportunidade/Ameaça) — 4.1 Notas 2 e 3.
[calculado]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Descrição aplicada à Plasticom.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Dado ou fonte que sustenta o item.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Implicação para o sistema de gestão da qualidade (equivale a Implicacao_SGA).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Processo mais afetado.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Tema.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Fator PESTEL de origem (itens externos).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Tratamento no registo de riscos: risco ou oportunidade.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ID no registo RG-SGQ-04 (R-nn / O-nn).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Item prioritário para o planeamento 6.1 (1 por quadrante; equivale a Selecionado_Atv_3_1 do SGA).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Estratégia/resposta.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Indicador de acompanhamento.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Data da análise SWOT.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Chave técnica (quadrante|ordem) usada pela Vista_SWOT.
[calculado]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Sistema dono do registo: SGQ.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Riscos/oportunidades do RG-SGA-02 (R-nn / O-nn).</t>
        </r>
      </text>
    </comment>
    <comment ref="S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[Só SGQ] Item de origem no RG-SGA-01 (SWT-Xnn / PES-nn).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Identificador da estratégia cruzada.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Tipo de cruzamento TOWS.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IDs SWOT/PESTEL combinados (separados por ';').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Estratégia resultante.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Objetivo da qualidade derivado.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Indicador de sucesso.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Riscos/oportunidades do RG-SGA-02 (R-nn / O-nn).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Identificador da força.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Força de Porter.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Cenário e evidências, com a lente da qualidade.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Tendência.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Impacto na capacidade de entregar produto conforme.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Risco ou oportunidade.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Riscos/oportunidades do RG-SGA-02 (R-nn / O-nn).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Como a força é acompanhada.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Data da análise.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Identificador do requisito da parte interessada (uma linha por requisito pertinente).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Parte interessada pertinente (4.2 a).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Interna ou externa.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Categoria.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Requisito pertinente da parte interessada para o SGQ (4.2 b).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'Clima' quando o requisito está relacionado com as alterações climáticas (ISO 9001:2026 4.2 Nota).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Se a parte é pertinente para o SGQ (4.2 a).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Decisão 4.2 c): o requisito é tratado pelo SGQ? (equivale a Torna_se_Obrigacao do SGA).</t>
        </r>
      </text>
    </comment>
    <comment ref="I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Natureza do requisito: legal, contratual (cliente) ou voluntário.</t>
        </r>
      </text>
    </comment>
    <comment ref="J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Requisitos legais associados no RG-SGA-04 (';').</t>
        </r>
      </text>
    </comment>
    <comment ref="K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Como o requisito é acompanhado.</t>
        </r>
      </text>
    </comment>
    <comment ref="L4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Frequência de acompanhamento.</t>
        </r>
      </text>
    </comment>
    <comment ref="M4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Influência sobre a organização.</t>
        </r>
      </text>
    </comment>
    <comment ref="N4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Interesse / grau de afetação.</t>
        </r>
      </text>
    </comment>
    <comment ref="O4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Matriz influência × interesse.
[calculado]</t>
        </r>
      </text>
    </comment>
    <comment ref="P4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Risco/oportunidade da qualidade associado (RG-SGQ-04).</t>
        </r>
      </text>
    </comment>
    <comment ref="Q4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Responsável pela relação.</t>
        </r>
      </text>
    </comment>
    <comment ref="R4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Última revisão.</t>
        </r>
      </text>
    </comment>
    <comment ref="S4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Riscos/oportunidades do registo corporativo RG-SGA-02 (R-nn / O-nn).</t>
        </r>
      </text>
    </comment>
    <comment ref="T4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O que a parte teme ou valoriza (perceção do risco).</t>
        </r>
      </text>
    </comment>
    <comment ref="U4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[Só SGQ] De onde vem o requisito.</t>
        </r>
      </text>
    </comment>
    <comment ref="V4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[Só SGQ] Justificação da decisão 4.2 c) e cláusula onde é tratado.</t>
        </r>
      </text>
    </comment>
    <comment ref="W4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[Só SGQ] Registo onde está a evidência.</t>
        </r>
      </text>
    </comment>
    <comment ref="X4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[Só SGQ] Parte interessada no RG-SGA-01.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Pergunta da determinação.</t>
        </r>
      </text>
    </comment>
    <comment ref="B4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Pergunta.</t>
        </r>
      </text>
    </comment>
    <comment ref="C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Sim/Não.</t>
        </r>
      </text>
    </comment>
    <comment ref="D4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Justificação da determinação.</t>
        </r>
      </text>
    </comment>
    <comment ref="E4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IDs relacionados.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Elemento do âmbito.</t>
        </r>
      </text>
    </comment>
    <comment ref="B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Conteúdo aprovado.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Cláusula com aplicabilidade a justificar.</t>
        </r>
      </text>
    </comment>
    <comment ref="B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Título.</t>
        </r>
      </text>
    </comment>
    <comment ref="C1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Aplicável / Não aplicável.</t>
        </r>
      </text>
    </comment>
    <comment ref="D1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Justificação da decisão.</t>
        </r>
      </text>
    </comment>
  </commentList>
</comments>
</file>

<file path=xl/sharedStrings.xml><?xml version="1.0" encoding="utf-8"?>
<sst xmlns="http://schemas.openxmlformats.org/spreadsheetml/2006/main" count="2026" uniqueCount="924">
  <si>
    <t>RG-SGQ-01 — Contexto da Organização — PESTEL, SWOT, Partes Interessadas, 5 Forças e TOWS (SGQ) · Âmbito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</si>
  <si>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</si>
  <si>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</si>
  <si>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</si>
  <si>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RG-SGQ-01</t>
  </si>
  <si>
    <t>Título</t>
  </si>
  <si>
    <t>Contexto da Organização — PESTEL, SWOT, Partes Interessadas, 5 Forças e TOWS (SGQ) · Âmbito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</si>
  <si>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</si>
  <si>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</si>
  <si>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</si>
  <si>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</si>
  <si>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</si>
  <si>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</si>
  <si>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</si>
  <si>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</si>
  <si>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</si>
  <si>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</si>
  <si>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</si>
  <si>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</si>
  <si>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</si>
  <si>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</si>
  <si>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</si>
  <si>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Registar, com evidência, as questões de contexto que afetam a capacidade da Plasticom de fornecer produtos conformes e aumentar a satisfação do cliente, os requisitos pertinentes das partes interessadas e a decisão sobre quais são tratados pelo SGQ, e o âmbito do SGQ. Base para os riscos e oportunidades (RG-SGQ-04) e para a revisão pela gestão (9.3.2 b, c). Estrutura igual à do RG-SGA-01 para consolidar o contexto do SGI num único modelo para a gestão de topo.</t>
  </si>
  <si>
    <t>Utilização / atividades</t>
  </si>
  <si>
    <t>Determinar e rever as questões externas (PESTEL) e internas/externas (SWOT) pertinentes para o SGQ, incluindo alterações climáticas; cruzamento estratégico (TOWS) e forças competitivas; partes interessadas e os requisitos que o SGQ trata; âmbito e aplicabilidade.</t>
  </si>
  <si>
    <t>Requisitos ISO 9001:2026</t>
  </si>
  <si>
    <t>4.1 Compreender a organização e o seu contexto (inclui determinar se as alterações climáticas são pertinentes); 4.2 Necessidades e expectativas das partes interessadas (a, b, c); 4.3 Âmbito do SGQ (disponível como informação documentada, com justificação de não aplicabilidade)</t>
  </si>
  <si>
    <t>REFERÊNCIAS DE BOAS PRÁTICAS APLICADAS (orientação — não são requisitos auditáveis da ISO 9001)</t>
  </si>
  <si>
    <t>ISO/TC 176 APG — Context of the organization</t>
  </si>
  <si>
    <t>O auditor procura evidência de que as questões são conhecidas, monitorizadas e usadas no planeamento, não um documento PESTEL isolado: colunas Efeito_no_SGQ, Fonte_Monitorizacao, Resposta_Estrategica, ID_RO e Proxima_Revisao.</t>
  </si>
  <si>
    <t>ISO/TC 176 APG — Climate change issues (Amd 1:2024)</t>
  </si>
  <si>
    <t>A determinação sobre as alterações climáticas é registada com a justificação (tbl_clima) e os fatores climáticos marcados em Condicao_Ambiental_ISO2026 = Clima.</t>
  </si>
  <si>
    <t>iso9001help.co.uk — Navigator Pro (Planning stage)</t>
  </si>
  <si>
    <t>Contexto → partes interessadas → âmbito como entradas encadeadas do planeamento do SGQ.</t>
  </si>
  <si>
    <t>ESTRUTURA DO FICHEIRO</t>
  </si>
  <si>
    <t>PESTEL</t>
  </si>
  <si>
    <t>Registo das questões externas (PESTEL) pertinentes para o SGQ, com a mesma estrutura do RG-SGA-01.</t>
  </si>
  <si>
    <t>SWOT</t>
  </si>
  <si>
    <t>Registo SWOT do SGQ (formato longo: um item por linha), com a mesma estrutura do RG-SGA-01. Prioritario marca 1 item por quadrante.</t>
  </si>
  <si>
    <t>Matriz_TOWS</t>
  </si>
  <si>
    <t>Cruzamento estratégico SWOT (TOWS) que liga o contexto aos objetivos da qualidade e aos riscos do SGI.</t>
  </si>
  <si>
    <t>Cinco_Forcas</t>
  </si>
  <si>
    <t>Cinco forças competitivas (Porter) com a lente da qualidade, ligadas aos riscos/oportunidades do RG-SGA-02.</t>
  </si>
  <si>
    <t>Vista_SWOT</t>
  </si>
  <si>
    <t>Quadro SWOT 2×2 para impressão, calculado por fórmulas a partir de tbl_swot (não editar aqui).</t>
  </si>
  <si>
    <t>Partes_Interessadas</t>
  </si>
  <si>
    <t>Partes interessadas pertinentes, os seus requisitos e a decisão de quais são tratados pelo SGQ (4.2 a–c), com a mesma estrutura do RG-SGA-01.</t>
  </si>
  <si>
    <t>Alteracoes_Climaticas</t>
  </si>
  <si>
    <t>Determinação documentada sobre se as alterações climáticas são uma questão pertinente (4.1) e requisitos das partes interessadas relacionados (4.2 Nota).</t>
  </si>
  <si>
    <t>Ambito_SGQ</t>
  </si>
  <si>
    <t>Âmbito do SGQ disponível como informação documentada (4.3).</t>
  </si>
  <si>
    <t>Aplicabilidade</t>
  </si>
  <si>
    <t>Cláusulas cuja aplicabilidade foi analisada e a justificação (4.3).</t>
  </si>
  <si>
    <t>Resumo_Contexto</t>
  </si>
  <si>
    <t>Resumo calculado: fatores por classificação e prioridade; requisitos tratados pelo SGQ.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</si>
  <si>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</si>
  <si>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</si>
  <si>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</si>
  <si>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</si>
  <si>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</si>
  <si>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</si>
  <si>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</si>
  <si>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</si>
  <si>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</si>
  <si>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</si>
  <si>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</si>
  <si>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</si>
  <si>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</si>
  <si>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</si>
  <si>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</si>
  <si>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</si>
  <si>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</si>
  <si>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</si>
  <si>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RG-SGA-01 Contexto (padrão do SGI)</t>
  </si>
  <si>
    <t>Mesmas folhas, tabelas e colunas (tbl_pestel, tbl_swot, tbl_tows, tbl_cinco_forcas, tbl_partes_interessadas). Consolidar: juntar as tabelas homónimas dos dois ficheiros e filtrar pela coluna Ambito (SGA / SGI / SGQ).</t>
  </si>
  <si>
    <t>RG-SGA-01 — origem dos fatores</t>
  </si>
  <si>
    <t>ID_Contexto_SGI liga ao fator PESTEL/SWOT de origem; ID_PI_SGI liga à parte interessada do SGI.</t>
  </si>
  <si>
    <t>RG-SGQ-04 Riscos e oportunidades da qualidade</t>
  </si>
  <si>
    <t>ID_RO liga ao risco/oportunidade da qualidade (R-nn / O-nn).</t>
  </si>
  <si>
    <t>RG-SGA-02 Riscos e oportunidades</t>
  </si>
  <si>
    <t>IDs_Risco_SGI (R-nn / O-nn) — registo corporativo único de riscos.</t>
  </si>
  <si>
    <t>RG-SGQ-05 Objetivos</t>
  </si>
  <si>
    <t>A Matriz TOWS aponta os objetivos da qualidade (OBJ-Q-nn) derivados do cruzamento estratégico.</t>
  </si>
  <si>
    <t>RG-SGQ-00 Matriz_Harmonizacao_SGI</t>
  </si>
  <si>
    <t>Correspondência coluna a coluna entre as tabelas do SGQ e do SGA.</t>
  </si>
  <si>
    <t>PESTEL — QUESTÕES EXTERNAS PERTINENTES PARA O SGQ (4.1)</t>
  </si>
  <si>
    <t>Mesma estrutura do RG-SGA-01 tbl_pestel · Ambito = SGQ · Clima marcado em Condicao_Ambiental_ISO2026 · Rever na revisão pela gestão</t>
  </si>
  <si>
    <t>ID_PESTEL</t>
  </si>
  <si>
    <t>Dimensao</t>
  </si>
  <si>
    <t>Fator_Externo</t>
  </si>
  <si>
    <t>Descricao</t>
  </si>
  <si>
    <t>Condicao_Ambiental_ISO2026</t>
  </si>
  <si>
    <t>Direcao_Efeito</t>
  </si>
  <si>
    <t>Efeito_no_SGQ</t>
  </si>
  <si>
    <t>Classificacao</t>
  </si>
  <si>
    <t>Tendencia</t>
  </si>
  <si>
    <t>Horizonte</t>
  </si>
  <si>
    <t>Probabilidade_1a3</t>
  </si>
  <si>
    <t>Impacto_1a3</t>
  </si>
  <si>
    <t>Score</t>
  </si>
  <si>
    <t>Prioridade</t>
  </si>
  <si>
    <t>Fonte_Monitorizacao</t>
  </si>
  <si>
    <t>Resposta_Estrategica</t>
  </si>
  <si>
    <t>ID_SWOT</t>
  </si>
  <si>
    <t>ID_RO</t>
  </si>
  <si>
    <t>Parte_Interessada</t>
  </si>
  <si>
    <t>Tema</t>
  </si>
  <si>
    <t>ESG</t>
  </si>
  <si>
    <t>Dono</t>
  </si>
  <si>
    <t>Data_Avaliacao</t>
  </si>
  <si>
    <t>Proxima_Revisao</t>
  </si>
  <si>
    <t>Ambito</t>
  </si>
  <si>
    <t>IDs_Risco_SGI</t>
  </si>
  <si>
    <t>ID_Contexto_SGI</t>
  </si>
  <si>
    <t>PESQ-01</t>
  </si>
  <si>
    <t>Económico</t>
  </si>
  <si>
    <t>Entrada nos mercados alimentar e farmacêutico</t>
  </si>
  <si>
    <t>4 clientes novos (CUST-015 a CUST-018) e 17 SKU lançados em jul/2026 (dataset desde 06/07/2026).</t>
  </si>
  <si>
    <t>Não aplicável</t>
  </si>
  <si>
    <t>Exige requisitos legais de produto (Reg. 10/2011, 21 CFR 211.132), validação de processos e rastreabilidade mais rigorosos.</t>
  </si>
  <si>
    <t>Oportunidade</t>
  </si>
  <si>
    <t>Crescente</t>
  </si>
  <si>
    <t>Curto (&lt;1 ano)</t>
  </si>
  <si>
    <t>Revisão de requisitos (RG-SGQ-10) e projetos D&amp;D (RG-SGQ-11) — trimestral</t>
  </si>
  <si>
    <t>Stage-gate de D&amp;D com validação de processo e safe launch por SKU.</t>
  </si>
  <si>
    <t>SWTQ-O01</t>
  </si>
  <si>
    <t>O12</t>
  </si>
  <si>
    <t>Clientes alimentar e farmacêutico</t>
  </si>
  <si>
    <t>Cliente / mercado</t>
  </si>
  <si>
    <t>S + G</t>
  </si>
  <si>
    <t>Responsável de R&amp;D</t>
  </si>
  <si>
    <t>SGQ</t>
  </si>
  <si>
    <t>R12; O12</t>
  </si>
  <si>
    <t>SWT-F04</t>
  </si>
  <si>
    <t>PESQ-02</t>
  </si>
  <si>
    <t>Legal</t>
  </si>
  <si>
    <t>Materiais em contacto com alimentos e embalagem farmacêutica</t>
  </si>
  <si>
    <t>Reg. (CE) 1935/2004, Reg. (UE) 10/2011, BPF (Reg. 2023/2006) e 21 CFR 211.132: migração EN 1186-3 por lote e anel de inviolabilidade.</t>
  </si>
  <si>
    <t>Um lote não conforme em alimentar/farma tem consequências legais e de saúde; aumenta o custo de avaliação (ensaios de migração).</t>
  </si>
  <si>
    <t>Risco</t>
  </si>
  <si>
    <t>Vigilância legal e normativa (RG-SGQ-08 Documentos_Externos) — mensal</t>
  </si>
  <si>
    <t>Plano de controlo com ensaio de migração por lote e validação do processo (8.5.1 f).</t>
  </si>
  <si>
    <t>SWTQ-T02</t>
  </si>
  <si>
    <t>R16</t>
  </si>
  <si>
    <t>Autoridades (ASAE, INFARMED, DGAV)</t>
  </si>
  <si>
    <t>Legal / conformidade</t>
  </si>
  <si>
    <t>R16; R33</t>
  </si>
  <si>
    <t>PES-18</t>
  </si>
  <si>
    <t>PESQ-03</t>
  </si>
  <si>
    <t>Clientes exigem Cpk ≥ 1,33, zero defeito e rastreabilidade</t>
  </si>
  <si>
    <t>Raio-X analítico: 190 grupos máquina × molde × característica com Cpk &lt; 1,33; CPMU 4,5 reclamações por milhão.</t>
  </si>
  <si>
    <t>0% dos grupos com Cpk ≥ 1,33: risco de reclamações e de perda de clientes.</t>
  </si>
  <si>
    <t>KPI Cpk e PPM de cliente (RG-SGQ-05) — mensal</t>
  </si>
  <si>
    <t>Estudos de capacidade por Pareto e controlo estatístico nas características críticas (OBJ-Q-04).</t>
  </si>
  <si>
    <t>SWTQ-T01</t>
  </si>
  <si>
    <t>R17</t>
  </si>
  <si>
    <t>Clientes de cosmética (marcas UE)</t>
  </si>
  <si>
    <t>Processo / capacidade</t>
  </si>
  <si>
    <t>R16; R17</t>
  </si>
  <si>
    <t>SWT-T04; PES-18</t>
  </si>
  <si>
    <t>PESQ-04</t>
  </si>
  <si>
    <t>Pressão de preço e sazonalidade da procura (pico set–nov)</t>
  </si>
  <si>
    <t>Margem ≈ € 0,13/un; produção jul–set/2026 +30% face ao 1.º semestre.</t>
  </si>
  <si>
    <t>O pico aumenta turnos, operadores temporários e risco de defeito; pressão para aceitar concessões.</t>
  </si>
  <si>
    <t>Risco e Oportunidade</t>
  </si>
  <si>
    <t>Estável</t>
  </si>
  <si>
    <t>Plano de capacidade e KPI de concessões (RG-SGQ-05) — mensal</t>
  </si>
  <si>
    <t>Planeamento de capacidade antes do pico e concessões só com aprovação do cliente.</t>
  </si>
  <si>
    <t>O14</t>
  </si>
  <si>
    <t>Acionistas / Direção</t>
  </si>
  <si>
    <t>Gerente de Produção</t>
  </si>
  <si>
    <t>O14; R23</t>
  </si>
  <si>
    <t>PES-20; SWT-O05</t>
  </si>
  <si>
    <t>PESQ-05</t>
  </si>
  <si>
    <t>Qualidade variável de resinas de fornecedores spot e de PCR/rPET</t>
  </si>
  <si>
    <t>Inspeção de receção: 1.896 lotes, 73 rejeitados e 117 aceites com derrogação; SUP-005 com 74,5% de lotes aceites.</t>
  </si>
  <si>
    <t>Recursos naturais</t>
  </si>
  <si>
    <t>Ambiente → Organização</t>
  </si>
  <si>
    <t>Lotes de matéria-prima fora de especificação passam à produção e geram defeito e scrap.</t>
  </si>
  <si>
    <t>Médio (1-3 anos)</t>
  </si>
  <si>
    <t>Scorecard de fornecedores (RG-SGQ-12) — mensal</t>
  </si>
  <si>
    <t>Scorecard A–D, SCAR com 8D e qualificação de fontes alternativas (OBJ-Q-07).</t>
  </si>
  <si>
    <t>SWTQ-T03</t>
  </si>
  <si>
    <t>R13</t>
  </si>
  <si>
    <t>Fornecedores de resinas e masterbatch</t>
  </si>
  <si>
    <t>Cadeia de valor / fornecedores</t>
  </si>
  <si>
    <t>Responsável de Compras</t>
  </si>
  <si>
    <t>R13; R14; R36</t>
  </si>
  <si>
    <t>SWT-W02; SWT-T02; PES-03</t>
  </si>
  <si>
    <t>PESQ-06</t>
  </si>
  <si>
    <t>Ambiental</t>
  </si>
  <si>
    <t>Ondas de calor na nave de produção</t>
  </si>
  <si>
    <t>Temperatura ambiente &gt; 30 °C; julho/2026: alarme de temperatura dos moldes (INC-2026-08 do SGA).</t>
  </si>
  <si>
    <t>Clima</t>
  </si>
  <si>
    <t>Aumenta a variação de peso/espessura no sopro de PET (condicionamento de preformas) e o tempo de ciclo; risco para a conformidade.</t>
  </si>
  <si>
    <t>Temperatura da nave e do chiller (RG-SGQ-02 Ambiente_Operacao) — diária no verão</t>
  </si>
  <si>
    <t>Janela de processo de verão validada e reforço do arrefecimento dos moldes.</t>
  </si>
  <si>
    <t>SWTQ-T04</t>
  </si>
  <si>
    <t>R34</t>
  </si>
  <si>
    <t>Clima / GEE</t>
  </si>
  <si>
    <t>E + G</t>
  </si>
  <si>
    <t>Gerente de Manutenção</t>
  </si>
  <si>
    <t>PES-08; SWT-T01</t>
  </si>
  <si>
    <t>PESQ-07</t>
  </si>
  <si>
    <t>Disrupções da cadeia de abastecimento por eventos climáticos extremos</t>
  </si>
  <si>
    <t>Portos, transporte e fábricas de polímero (EUA, Singapura); paragens 'Raw Material Shortage' no dataset de paragens.</t>
  </si>
  <si>
    <t>A falta de matéria-prima interrompe ordens de produção e entregas (OTIF).</t>
  </si>
  <si>
    <t>Stock de segurança e fornecedores alternativos aprovados (RG-SGQ-12) — mensal</t>
  </si>
  <si>
    <t>Stock de segurança, segunda fonte aprovada e aviso ao cliente (8.2.1 e).</t>
  </si>
  <si>
    <t>R15</t>
  </si>
  <si>
    <t>Clientes (todos)</t>
  </si>
  <si>
    <t>R15; R34</t>
  </si>
  <si>
    <t>PES-19; SWT-T01</t>
  </si>
  <si>
    <t>PESQ-08</t>
  </si>
  <si>
    <t>Social</t>
  </si>
  <si>
    <t>Clientes pedem pegada de carbono e conteúdo reciclado do produto</t>
  </si>
  <si>
    <t>Questionários ESG de CUST-001, CUST-011 e CUST-013 (requisitos relacionados com o clima — 4.2 Nota).</t>
  </si>
  <si>
    <t>Organização → Ambiente</t>
  </si>
  <si>
    <t>O requisito do cliente passa a requisito de produto a rever em 8.2 (declarações PCR e PCF).</t>
  </si>
  <si>
    <t>Requisitos específicos de cliente (RG-SGQ-10) — semestral</t>
  </si>
  <si>
    <t>Tratar as declarações PCR/PCF como requisito de produto quando especificadas.</t>
  </si>
  <si>
    <t>SWTQ-O02</t>
  </si>
  <si>
    <t>O5</t>
  </si>
  <si>
    <t>Produto / embalagem</t>
  </si>
  <si>
    <t>E + S + G</t>
  </si>
  <si>
    <t>Diretor Comercial</t>
  </si>
  <si>
    <t>O5; R33</t>
  </si>
  <si>
    <t>PES-04; SWT-O01</t>
  </si>
  <si>
    <t>PESQ-09</t>
  </si>
  <si>
    <t>Tecnológico</t>
  </si>
  <si>
    <t>Visão artificial, sensores e analytics para prevenir defeitos</t>
  </si>
  <si>
    <t>10 de 22 máquinas com deteção automática de defeitos.</t>
  </si>
  <si>
    <t>Permite passar da inspeção por amostragem AQL ao controlo em linha nas características críticas.</t>
  </si>
  <si>
    <t>Roadmap Quality 4.0 (RG-SGQ-19) — semestral</t>
  </si>
  <si>
    <t>Business case de visão artificial nas características críticas.</t>
  </si>
  <si>
    <t>SWTQ-O03</t>
  </si>
  <si>
    <t>O13</t>
  </si>
  <si>
    <t>Governação e dados</t>
  </si>
  <si>
    <t>G</t>
  </si>
  <si>
    <t>Gerente de Dados / TI</t>
  </si>
  <si>
    <t>O3; O13</t>
  </si>
  <si>
    <t>PES-06; SWT-O04</t>
  </si>
  <si>
    <t>PESQ-10</t>
  </si>
  <si>
    <t>PPWR (Reg. UE 2025/40) aplicável desde 12/08/2026</t>
  </si>
  <si>
    <t>Só 9 de 22 famílias com dossier PPWR (NC-SGA-26-02).</t>
  </si>
  <si>
    <t>A documentação técnica e a declaração UE de conformidade passam a fazer parte das saídas do design e da libertação.</t>
  </si>
  <si>
    <t>Matriz legal de produto (RG-SGA-20) e saídas de D&amp;D (RG-SGQ-11) — mensal</t>
  </si>
  <si>
    <t>Dossier técnico por família como saída obrigatória do D&amp;D.</t>
  </si>
  <si>
    <t>R33</t>
  </si>
  <si>
    <t>PES-12</t>
  </si>
  <si>
    <t>PESQ-11</t>
  </si>
  <si>
    <t>Transição para a ISO 9001:2026 (regras IAF, até set/2029)</t>
  </si>
  <si>
    <t>Novos requisitos: alterações climáticas (4.1/4.2), cultura da qualidade e ética (5.1.1 i, 7.3 e), oportunidades (6.1.3), contingência (8.2.1 e).</t>
  </si>
  <si>
    <t>Condiciona o programa de auditoria e o plano de transição (MOC-Q-26-01).</t>
  </si>
  <si>
    <t>Plano de transição e programa de auditoria (RG-SGQ-16) — trimestral</t>
  </si>
  <si>
    <t>Plano de transição e auditoria interna às cláusulas novas antes da auditoria de certificação.</t>
  </si>
  <si>
    <t>Organismo de certificação</t>
  </si>
  <si>
    <t>SWOT — QUESTÕES INTERNAS E EXTERNAS PERTINENTES PARA O SGQ (4.1)</t>
  </si>
  <si>
    <t>Mesma estrutura do RG-SGA-01 tbl_swot · Internas: valores, cultura, conhecimento, desempenho (4.1 Nota 3)</t>
  </si>
  <si>
    <t>Quadrante</t>
  </si>
  <si>
    <t>Natureza</t>
  </si>
  <si>
    <t>Evidencia</t>
  </si>
  <si>
    <t>Implicacao_SGQ</t>
  </si>
  <si>
    <t>Processo</t>
  </si>
  <si>
    <t>Converte_em</t>
  </si>
  <si>
    <t>Prioritario</t>
  </si>
  <si>
    <t>Estrategia</t>
  </si>
  <si>
    <t>Indicador</t>
  </si>
  <si>
    <t>Chave_Vista</t>
  </si>
  <si>
    <t>SWTQ-F01</t>
  </si>
  <si>
    <t>Força</t>
  </si>
  <si>
    <t>Cultura de dados: 18 meses de OEE, SPC, AQL e rastreabilidade lote → ordem num data warehouse (bronze/silver/gold) com Power BI.</t>
  </si>
  <si>
    <t>Data warehouse medalhão e dashboards de produção e qualidade.</t>
  </si>
  <si>
    <t>Permite análise e avaliação baseada em evidência (9.1.3) e auditorias priorizadas pelo risco.</t>
  </si>
  <si>
    <t>TI</t>
  </si>
  <si>
    <t>O3</t>
  </si>
  <si>
    <t>Sim</t>
  </si>
  <si>
    <t>Controlo de dados e software (RG-SGQ-08) e painel de KPI (RG-SGQ-05).</t>
  </si>
  <si>
    <t>N.º de KPI da qualidade com dados automáticos</t>
  </si>
  <si>
    <t>O3; R26</t>
  </si>
  <si>
    <t>SWT-F01; SWT-F05</t>
  </si>
  <si>
    <t>SWTQ-F02</t>
  </si>
  <si>
    <t>Sistema de medição adequado no peso das tampas (%GRR 3,5% da variação total; ndc 40).</t>
  </si>
  <si>
    <t>Estudo GRR-CAP-WEIGHT-001 (ago/2026).</t>
  </si>
  <si>
    <t>Decisões de conformidade confiáveis no peso; base para alargar o MSA a espessura, binário e inspeção visual.</t>
  </si>
  <si>
    <t>MET</t>
  </si>
  <si>
    <t>Medição / metrologia</t>
  </si>
  <si>
    <t>Não</t>
  </si>
  <si>
    <t>Alargar o MSA às restantes características críticas (plano MSA — RG-SGQ-09).</t>
  </si>
  <si>
    <t>% de características críticas com MSA aceite</t>
  </si>
  <si>
    <t>SWT-F06</t>
  </si>
  <si>
    <t>SWTQ-F03</t>
  </si>
  <si>
    <t>Estratégia 2026–2028 aprovada: crescer em alimentar/farma e certificar o SGI (ISO 9001:2026 + ISO 14001:2026).</t>
  </si>
  <si>
    <t>Plano estratégico 2026–2028 aprovado pela Direção.</t>
  </si>
  <si>
    <t>Integra os requisitos do SGQ nos processos de negócio (5.1.1 b) e define prioridades de investimento.</t>
  </si>
  <si>
    <t>GES</t>
  </si>
  <si>
    <t>Revisão pela gestão semestral (RG-SGQ-17) com objetivos ligados à estratégia.</t>
  </si>
  <si>
    <t>% de objetivos da qualidade no prazo</t>
  </si>
  <si>
    <t>SWTQ-F04</t>
  </si>
  <si>
    <t>Causas-raiz conhecidas com evidência causal forte (IM-002 com MSA e DOE; SS-001 e M-SOP-007 respondem à intervenção).</t>
  </si>
  <si>
    <t>Estudos DOE/MSA; PFMEA (RG-SGQ-04).</t>
  </si>
  <si>
    <t>Ações de alta confiança reduzem rejeição, refação e reclamações.</t>
  </si>
  <si>
    <t>INJ</t>
  </si>
  <si>
    <t>O1</t>
  </si>
  <si>
    <t>Replicar a janela validada da IM-002 e a manutenção por condição (O1, O2).</t>
  </si>
  <si>
    <t>Short shot IM-002 (DPMO)</t>
  </si>
  <si>
    <t>O1; O2</t>
  </si>
  <si>
    <t>SWTQ-W01</t>
  </si>
  <si>
    <t>Fraqueza</t>
  </si>
  <si>
    <t>Desempenho da qualidade abaixo da meta: rejeição ≈ 2,4% (meta 2,0%), FPY 88,7% e 31% das CAPA não eficazes.</t>
  </si>
  <si>
    <t>Charter do projeto: FPY 0,887; CAPA vencidas 49%.</t>
  </si>
  <si>
    <t>Custo da não qualidade e reclamações; sistema de ação corretiva pouco eficaz.</t>
  </si>
  <si>
    <t>QUA</t>
  </si>
  <si>
    <t>Custo da qualidade</t>
  </si>
  <si>
    <t>R20</t>
  </si>
  <si>
    <t>KPI mensais (RG-SGQ-05) e eficácia das CAPA (RG-SGQ-18).</t>
  </si>
  <si>
    <t>Taxa de rejeição; % de CAPA eficazes</t>
  </si>
  <si>
    <t>R20; R24</t>
  </si>
  <si>
    <t>SWT-W03</t>
  </si>
  <si>
    <t>SWTQ-W02</t>
  </si>
  <si>
    <t>Cultura de produtividade: pressão por meta e prémio de defeito no turno 2 (fadiga, passagem de turno).</t>
  </si>
  <si>
    <t>Taxa de rejeição do turno 2 acima dos turnos 1 e 3 (raio-X analítico).</t>
  </si>
  <si>
    <t>Aumenta a rejeição em todos os processos e reduz o relato de problemas (cultura da qualidade, 5.1.1 i).</t>
  </si>
  <si>
    <t>PCP</t>
  </si>
  <si>
    <t>Cultura da qualidade</t>
  </si>
  <si>
    <t>R9</t>
  </si>
  <si>
    <t>Avaliação da cultura da qualidade (RG-SGQ-03) e KPI por turno.</t>
  </si>
  <si>
    <t>Rejeição do turno 2 vs. média da fábrica</t>
  </si>
  <si>
    <t>PES-16</t>
  </si>
  <si>
    <t>SWTQ-W03</t>
  </si>
  <si>
    <t>Conhecimento crítico concentrado em poucas pessoas (afinação de moldes, DOE da IM-002, Gage R&amp;R).</t>
  </si>
  <si>
    <t>3 técnicos com &gt; 10 anos concentram as afinações de molde.</t>
  </si>
  <si>
    <t>A saída de uma pessoa-chave põe em risco a afinação e a validação de processos.</t>
  </si>
  <si>
    <t>RH</t>
  </si>
  <si>
    <t>Conhecimento</t>
  </si>
  <si>
    <t>Registo de conhecimento organizacional e polivalência (RG-SGQ-07).</t>
  </si>
  <si>
    <t>N.º de conhecimentos críticos com ≥ 2 detentores</t>
  </si>
  <si>
    <t>SWTQ-W04</t>
  </si>
  <si>
    <t>Frota com máquinas antigas (5 máquinas de 2011–2013) e 4 máquinas novas em 2026 por qualificar.</t>
  </si>
  <si>
    <t>Perfil de máquinas: ano de instalação e deteção automática.</t>
  </si>
  <si>
    <t>Máquinas antigas sem deteção automática e com mais paragens; máquinas novas exigem qualificação IQ/OQ/PQ.</t>
  </si>
  <si>
    <t>MAN</t>
  </si>
  <si>
    <t>Infraestrutura / equipamentos</t>
  </si>
  <si>
    <t>R3</t>
  </si>
  <si>
    <t>Plano de manutenção e qualificação de equipamento (RG-SGQ-02).</t>
  </si>
  <si>
    <t>MTBF das máquinas de 2011–2013</t>
  </si>
  <si>
    <t>R3; R7</t>
  </si>
  <si>
    <t>SWT-W07</t>
  </si>
  <si>
    <t>SWTQ-W05</t>
  </si>
  <si>
    <t>Operadores temporários no pico e indisponibilidade de operadores (maior causa de paragem não planeada).</t>
  </si>
  <si>
    <t>6 operadores temporários; paragens por falta de operador.</t>
  </si>
  <si>
    <t>Pessoas sem competência validada nas características críticas; risco de erro humano (8.5.1 g).</t>
  </si>
  <si>
    <t>Pessoas / competências</t>
  </si>
  <si>
    <t>R23</t>
  </si>
  <si>
    <t>Matriz de competências e validação no posto (RG-SGQ-07).</t>
  </si>
  <si>
    <t>% de operadores validados nas características críticas</t>
  </si>
  <si>
    <t>R23; R10</t>
  </si>
  <si>
    <t>Entrada em alimentar e farmacêutico: 4 clientes e 17 SKU novos em 2026.</t>
  </si>
  <si>
    <t>Dataset desde 06/07/2026; CUST-015 a CUST-018.</t>
  </si>
  <si>
    <t>Crescimento com requisitos mais exigentes: exige D&amp;D, validação e rastreabilidade robustos.</t>
  </si>
  <si>
    <t>RD</t>
  </si>
  <si>
    <t>Safe launch e stage-gate por SKU (RG-SGQ-11).</t>
  </si>
  <si>
    <t>FPY de lançamento</t>
  </si>
  <si>
    <t>Clientes valorizam declarações verificáveis de conteúdo reciclado e pegada de carbono do produto.</t>
  </si>
  <si>
    <t>Questionários ESG de CUST-001, CUST-011 e CUST-013.</t>
  </si>
  <si>
    <t>Diferenciação comercial se as declarações forem controladas como requisito de produto (8.2.2).</t>
  </si>
  <si>
    <t>COM</t>
  </si>
  <si>
    <t>Requisitos específicos de cliente com evidência de fornecedor (RG-SGQ-10; RG-SGA-19).</t>
  </si>
  <si>
    <t>% de pedidos PCR/PCF respondidos com evidência</t>
  </si>
  <si>
    <t>Visão artificial, sensores e analytics para prevenir defeitos em vez de os inspecionar.</t>
  </si>
  <si>
    <t>Business case de visão (RG-SGA-02 O13); 10 de 22 máquinas com deteção automática.</t>
  </si>
  <si>
    <t>Menos escapes ao cliente e menor custo de avaliação.</t>
  </si>
  <si>
    <t>Business case de visão e painel de KRI (O13, O3).</t>
  </si>
  <si>
    <t>Custo de avaliação (€/mês)</t>
  </si>
  <si>
    <t>SWT-O04</t>
  </si>
  <si>
    <t>Ameaça</t>
  </si>
  <si>
    <t>Clientes exigem Cpk ≥ 1,33, zero defeito e rastreabilidade, com risco de reclamação e devolução.</t>
  </si>
  <si>
    <t>190 grupos com Cpk &lt; 1,33; CPMU 4,5.</t>
  </si>
  <si>
    <t>Reclamações, devoluções e perda de clientes se a capacidade não for demonstrada.</t>
  </si>
  <si>
    <t>Estudos de capacidade por Pareto e SPC nas características críticas (OBJ-Q-04).</t>
  </si>
  <si>
    <t>% de subgrupos com Cpk ≥ 1,00</t>
  </si>
  <si>
    <t>SWT-T04</t>
  </si>
  <si>
    <t>Requisitos legais de produto mais exigentes: materiais em contacto com alimentos, embalagem farmacêutica e PPWR.</t>
  </si>
  <si>
    <t>Reg. 1935/2004 e 10/2011; 21 CFR 211.132; Reg. (UE) 2025/40.</t>
  </si>
  <si>
    <t>Um lote não conforme tem consequências legais; novas saídas obrigatórias do D&amp;D e da libertação.</t>
  </si>
  <si>
    <t>LAB</t>
  </si>
  <si>
    <t>Vigilância legal de produto e dossier técnico por família.</t>
  </si>
  <si>
    <t>% de famílias com dossier PPWR</t>
  </si>
  <si>
    <t>PES-12; PES-18</t>
  </si>
  <si>
    <t>Qualidade variável de resinas spot e de PCR/rPET.</t>
  </si>
  <si>
    <t>SUP-005 com 74,5% de lotes aceites; 117 lotes aceites com derrogação.</t>
  </si>
  <si>
    <t>Defeitos e scrap por matéria-prima; derrogações sem análise de risco.</t>
  </si>
  <si>
    <t>CMP</t>
  </si>
  <si>
    <t>Scorecard A–D e SCAR com 8D (RG-SGQ-12).</t>
  </si>
  <si>
    <t>% de lotes de MP aceites sem derrogação</t>
  </si>
  <si>
    <t>SWT-W02; SWT-T02</t>
  </si>
  <si>
    <t>Ondas de calor e eventos climáticos extremos afetam a janela de processo e o abastecimento de resina.</t>
  </si>
  <si>
    <t>Alarme de temperatura dos moldes em jul/2026; paragens por falta de matéria-prima.</t>
  </si>
  <si>
    <t>Defeitos de sopro no verão e atrasos de entrega (OTIF).</t>
  </si>
  <si>
    <t>SOP</t>
  </si>
  <si>
    <t>Janela de processo de verão validada e stock de segurança de resina.</t>
  </si>
  <si>
    <t>Rejeição do sopro em jun–set; OTIF</t>
  </si>
  <si>
    <t>SWT-T01</t>
  </si>
  <si>
    <t>MATRIZ TOWS — ESTRATÉGIAS CRUZADAS DO SGQ</t>
  </si>
  <si>
    <t>Mesma estrutura do RG-SGA-01 tbl_tows · Liga contexto → objetivos (RG-SGQ-05) → riscos (RG-SGA-02)</t>
  </si>
  <si>
    <t>ID_TOWS</t>
  </si>
  <si>
    <t>Cruzamento</t>
  </si>
  <si>
    <t>IDs_Origem</t>
  </si>
  <si>
    <t>ID_Objetivo</t>
  </si>
  <si>
    <t>Prazo</t>
  </si>
  <si>
    <t>KPI</t>
  </si>
  <si>
    <t>TOWSQ-01</t>
  </si>
  <si>
    <t>SO (Força+Oportunidade)</t>
  </si>
  <si>
    <t>SWTQ-F01; SWTQ-O03; PESQ-09</t>
  </si>
  <si>
    <t>Usar o data warehouse e a visão artificial para passar da inspeção por amostragem ao controlo em linha das características críticas.</t>
  </si>
  <si>
    <t>OBJ-Q-02</t>
  </si>
  <si>
    <t>Lotes aprovados à primeira (≥ 92%)</t>
  </si>
  <si>
    <t>TOWSQ-02</t>
  </si>
  <si>
    <t>SWTQ-F03; SWTQ-O01</t>
  </si>
  <si>
    <t>Crescer em alimentar/farma com safe launch e validação de processos antes da produção em série.</t>
  </si>
  <si>
    <t>FPY de lançamento ≥ meta de safe launch</t>
  </si>
  <si>
    <t>TOWSQ-03</t>
  </si>
  <si>
    <t>ST (Força+Ameaça)</t>
  </si>
  <si>
    <t>SWTQ-F02; SWTQ-T02</t>
  </si>
  <si>
    <t>Alargar o MSA às características críticas de alimentar/farma (migração, binário, anel) para decisões de libertação fiáveis.</t>
  </si>
  <si>
    <t>OBJ-Q-04</t>
  </si>
  <si>
    <t>TOWSQ-04</t>
  </si>
  <si>
    <t>WO (Fraqueza+Oportunidade)</t>
  </si>
  <si>
    <t>SWTQ-W02; SWTQ-O01</t>
  </si>
  <si>
    <t>Programa de cultura da qualidade (gemba walks, relato sem culpa) ligado ao crescimento em alimentar/farma.</t>
  </si>
  <si>
    <t>Diretor Geral (Gestão de Topo)</t>
  </si>
  <si>
    <t>TOWSQ-05</t>
  </si>
  <si>
    <t>WT (Fraqueza+Ameaça)</t>
  </si>
  <si>
    <t>SWTQ-W01; SWTQ-T01</t>
  </si>
  <si>
    <t>Tratar primeiro as causas-raiz de maior evidência (IM-002, ISBM-003, SS-001, M-SOP-007) e os estudos de capacidade por Pareto.</t>
  </si>
  <si>
    <t>% de subgrupos com Cpk ≥ 1,00 (≥ 70%)</t>
  </si>
  <si>
    <t>R4; R1; R7; R2; R17</t>
  </si>
  <si>
    <t>TOWSQ-06</t>
  </si>
  <si>
    <t>SWTQ-W05; SWTQ-T03; PESQ-04</t>
  </si>
  <si>
    <t>Antes do pico set–nov: validar a competência dos temporários nas características críticas e bloquear MP sem aceitação.</t>
  </si>
  <si>
    <t>OBJ-Q-07</t>
  </si>
  <si>
    <t>Lotes de MP aceites sem derrogação (≥ 95%)</t>
  </si>
  <si>
    <t>R23; R13</t>
  </si>
  <si>
    <t>CINCO FORÇAS COMPETITIVAS (PORTER) — LENTE DA QUALIDADE</t>
  </si>
  <si>
    <t>Mesma estrutura do RG-SGA-01 tbl_cinco_forcas</t>
  </si>
  <si>
    <t>ID_Forca</t>
  </si>
  <si>
    <t>Forca_Competitiva</t>
  </si>
  <si>
    <t>Cenario_Evidencias</t>
  </si>
  <si>
    <t>Impacto_Organizacao</t>
  </si>
  <si>
    <t>Como_Monitorizar</t>
  </si>
  <si>
    <t>CFQ-01</t>
  </si>
  <si>
    <t>Poder negocial dos clientes</t>
  </si>
  <si>
    <t>Clientes exigem Cpk ≥ 1,33, zero defeito, aprovação prévia de alterações (farma) e plano de contingência; 18 clientes, CPMU 4,5.</t>
  </si>
  <si>
    <t>Reclamações, auditorias de cliente e perda de encomendas se a capacidade não for demonstrada.</t>
  </si>
  <si>
    <t>Inquérito de satisfação ISO 10004 e reclamações (RG-SGQ-15)</t>
  </si>
  <si>
    <t>CFQ-02</t>
  </si>
  <si>
    <t>Poder negocial dos fornecedores</t>
  </si>
  <si>
    <t>Resinas concentradas em poucos petroquímicos; SUP-005 spot com 74,5% de lotes aceites; PCR com oferta limitada.</t>
  </si>
  <si>
    <t>Pouca alavanca para exigir certificados e 8D; risco de derrogações.</t>
  </si>
  <si>
    <t>Scorecard semestral e SCAR (RG-SGQ-12)</t>
  </si>
  <si>
    <t>CFQ-03</t>
  </si>
  <si>
    <t>Ameaça de novos entrantes</t>
  </si>
  <si>
    <t>Barreira baixa em frascos simples; alta em alimentar/farma (validação, BPF, rastreabilidade).</t>
  </si>
  <si>
    <t>A qualidade demonstrada (certificação, validação de processos) é barreira de entrada.</t>
  </si>
  <si>
    <t>Relatório trimestral de mercado</t>
  </si>
  <si>
    <t>CFQ-04</t>
  </si>
  <si>
    <t>Ameaça de produtos substitutos</t>
  </si>
  <si>
    <t>Vidro, alumínio e recargas; clientes pedem monomaterial e PCR.</t>
  </si>
  <si>
    <t>Novos materiais exigem requalificação do processo e novos critérios de aceitação.</t>
  </si>
  <si>
    <t>R14</t>
  </si>
  <si>
    <t>Revisão de requisitos (RG-SGQ-10)</t>
  </si>
  <si>
    <t>CFQ-05</t>
  </si>
  <si>
    <t>Rivalidade entre concorrentes</t>
  </si>
  <si>
    <t>Concorrência por preço (≈ € 0,13/un); diferenciação por qualidade e serviço (OTIF).</t>
  </si>
  <si>
    <t>Reduzir o custo da não qualidade preserva a margem.</t>
  </si>
  <si>
    <t>O11; O4</t>
  </si>
  <si>
    <t>Custo da qualidade mensal (RG-SGQ-19)</t>
  </si>
  <si>
    <t>ANÁLISE SWOT DO SGQ — PLASTICOM (vista calculada)</t>
  </si>
  <si>
    <t>Itens marcados com ► são prioritários para o planeamento (6.1). Editar a folha SWOT; esta vista atualiza sozinha.</t>
  </si>
  <si>
    <t>FORÇAS (internas, positivas)</t>
  </si>
  <si>
    <t>FRAQUEZAS (internas, negativas)</t>
  </si>
  <si>
    <t>OPORTUNIDADES (externas, positivas)</t>
  </si>
  <si>
    <t>AMEAÇAS (externas, negativas)</t>
  </si>
  <si>
    <t>PARTES INTERESSADAS — REQUISITOS PERTINENTES E DECISÃO DE TRATAMENTO PELO SGQ (4.2)</t>
  </si>
  <si>
    <t>Mesma estrutura do RG-SGA-01 tbl_partes_interessadas · 4.2 c): quais requisitos se tratam no SGQ · Requisitos legais ligam ao RG-SGA-04</t>
  </si>
  <si>
    <t>ID_PI</t>
  </si>
  <si>
    <t>Tipo</t>
  </si>
  <si>
    <t>Categoria</t>
  </si>
  <si>
    <t>Necessidades_Expectativas</t>
  </si>
  <si>
    <t>Condicao_Ambiental</t>
  </si>
  <si>
    <t>Relevante</t>
  </si>
  <si>
    <t>Tratado_pelo_SGQ</t>
  </si>
  <si>
    <t>Tipo_Obrigacao</t>
  </si>
  <si>
    <t>IDs_Legal</t>
  </si>
  <si>
    <t>Frequencia</t>
  </si>
  <si>
    <t>Influencia</t>
  </si>
  <si>
    <t>Interesse</t>
  </si>
  <si>
    <t>Data_Revisao</t>
  </si>
  <si>
    <t>Percepcao_Risco</t>
  </si>
  <si>
    <t>Fonte_Requisito</t>
  </si>
  <si>
    <t>Justificacao_Tratamento</t>
  </si>
  <si>
    <t>Registo_Evidencia</t>
  </si>
  <si>
    <t>ID_PI_SGI</t>
  </si>
  <si>
    <t>PIQ-01</t>
  </si>
  <si>
    <t>Externa</t>
  </si>
  <si>
    <t>Clientes B2B</t>
  </si>
  <si>
    <t>Produto conforme à especificação e ao artwork aprovado; entrega OTIF; resposta a reclamações em ≤ 10 dias úteis.</t>
  </si>
  <si>
    <t>Contratual (cliente)</t>
  </si>
  <si>
    <t>Reclamações, OTIF e inquérito de satisfação (RG-SGQ-15)</t>
  </si>
  <si>
    <t>Por encomenda</t>
  </si>
  <si>
    <t>Alta</t>
  </si>
  <si>
    <t>R16; R17; R18</t>
  </si>
  <si>
    <t>Um lote fora de especificação é visto como falha evitável (risco imposto ao cliente).</t>
  </si>
  <si>
    <t>Contrato / especificação / acordo de qualidade</t>
  </si>
  <si>
    <t>Requisito do cliente — núcleo do SGQ (8.2, 8.6, 9.1.2).</t>
  </si>
  <si>
    <t>RG-SGQ-10; RG-SGQ-15</t>
  </si>
  <si>
    <t>PI-04</t>
  </si>
  <si>
    <t>PIQ-02</t>
  </si>
  <si>
    <t>Declaração de conteúdo reciclado e pegada de carbono do produto.</t>
  </si>
  <si>
    <t>LEG-18</t>
  </si>
  <si>
    <t>Questionários ESG e pedidos de cotação</t>
  </si>
  <si>
    <t>Semestral</t>
  </si>
  <si>
    <t>Média</t>
  </si>
  <si>
    <t>Uma declaração sem evidência é vista como greenwashing.</t>
  </si>
  <si>
    <t>Questionários ESG / pedidos de cotação</t>
  </si>
  <si>
    <t>Tratado como requisito de produto quando consta da especificação (8.2.2).</t>
  </si>
  <si>
    <t>RG-SGQ-10; RG-SGA-19</t>
  </si>
  <si>
    <t>PIQ-03</t>
  </si>
  <si>
    <t>Clientes alimentares (CUST-015, CUST-016)</t>
  </si>
  <si>
    <t>Clientes B2B (novas linhas 2026)</t>
  </si>
  <si>
    <t>Conformidade com Reg. (CE) 1935/2004, Reg. (UE) 10/2011 e BPF (Reg. 2023/2006); declaração de conformidade por lote.</t>
  </si>
  <si>
    <t>LEG-17</t>
  </si>
  <si>
    <t>Ensaio de migração por lote e auditorias de cliente</t>
  </si>
  <si>
    <t>Por lote</t>
  </si>
  <si>
    <t>Um lote não conforme em contacto com alimentos é risco para a saúde, sem tolerância.</t>
  </si>
  <si>
    <t>Legislação + especificação</t>
  </si>
  <si>
    <t>Requisito legal aplicável ao produto (8.2.2 a1).</t>
  </si>
  <si>
    <t>RG-SGQ-10; RG-SGQ-13 (ensaio de migração)</t>
  </si>
  <si>
    <t>PI-05</t>
  </si>
  <si>
    <t>PIQ-04</t>
  </si>
  <si>
    <t>Clientes farmacêuticos (CUST-017, CUST-018)</t>
  </si>
  <si>
    <t>Rastreabilidade ao lote de resina, anel de inviolabilidade (21 CFR 211.132), notificação prévia de alterações e auditoria ao fornecedor.</t>
  </si>
  <si>
    <t>LEG-20</t>
  </si>
  <si>
    <t>Acordo de qualidade e auditorias de cliente</t>
  </si>
  <si>
    <t>Por alteração</t>
  </si>
  <si>
    <t>Uma alteração não comunicada é vista como quebra de confiança no fornecedor.</t>
  </si>
  <si>
    <t>Acordo de qualidade farmacêutico</t>
  </si>
  <si>
    <t>Requisito contratual; alterações sujeitas a aprovação do cliente (8.5.6).</t>
  </si>
  <si>
    <t>RG-SGQ-06; RG-SGQ-13</t>
  </si>
  <si>
    <t>PIQ-05</t>
  </si>
  <si>
    <t>Informação sobre ações de contingência em caso de disrupção no fornecimento.</t>
  </si>
  <si>
    <t>Comunicação com o cliente (RG-SGQ-08 Comunicacao_Cliente)</t>
  </si>
  <si>
    <t>Por ocorrência</t>
  </si>
  <si>
    <t>Esperam aviso antecipado, não surpresas na entrega.</t>
  </si>
  <si>
    <t>Acordo de qualidade / contrato</t>
  </si>
  <si>
    <t>Novo em 2026 (8.2.1 e).</t>
  </si>
  <si>
    <t>RG-SGQ-08 Comunicacao_Cliente</t>
  </si>
  <si>
    <t>PIQ-06</t>
  </si>
  <si>
    <t>Interna</t>
  </si>
  <si>
    <t>Gestão de topo</t>
  </si>
  <si>
    <t>Redução do custo da não qualidade e cumprimento dos objetivos; certificação ISO 9001:2026.</t>
  </si>
  <si>
    <t>Voluntária (compromisso assumido)</t>
  </si>
  <si>
    <t>Revisão pela gestão; painel mensal de KPI</t>
  </si>
  <si>
    <t>Trimestral</t>
  </si>
  <si>
    <t>R24; O3; O4</t>
  </si>
  <si>
    <t>Esperam retorno dos investimentos e menor custo da não qualidade.</t>
  </si>
  <si>
    <t>Plano estratégico</t>
  </si>
  <si>
    <t>Objetivos da qualidade (6.2) e revisão pela gestão (9.3).</t>
  </si>
  <si>
    <t>RG-SGQ-05; RG-SGQ-17; RG-SGQ-19</t>
  </si>
  <si>
    <t>PI-03</t>
  </si>
  <si>
    <t>PIQ-07</t>
  </si>
  <si>
    <t>Colaboradores</t>
  </si>
  <si>
    <t>Trabalhadores próprios (3 turnos)</t>
  </si>
  <si>
    <t>Instruções claras, formação e condições para fazer bem à primeira; não serem culpabilizados por falhas do sistema.</t>
  </si>
  <si>
    <t>Inquérito de cultura da qualidade; gemba walks</t>
  </si>
  <si>
    <t>Responsável de Recursos Humanos</t>
  </si>
  <si>
    <t>R9; R23</t>
  </si>
  <si>
    <t>Sentem pressão por meta; o relato de problemas é visto como risco pessoal.</t>
  </si>
  <si>
    <t>Inquérito interno / comissão de trabalhadores</t>
  </si>
  <si>
    <t>Competência, consciencialização e ambiente dos processos (7.1.4, 7.2, 7.3).</t>
  </si>
  <si>
    <t>RG-SGQ-07; RG-SGQ-03</t>
  </si>
  <si>
    <t>PI-01</t>
  </si>
  <si>
    <t>PIQ-08</t>
  </si>
  <si>
    <t>Cadeia de abastecimento</t>
  </si>
  <si>
    <t>Especificações e critérios de aceitação claros; feedback do desempenho; previsões de encomenda.</t>
  </si>
  <si>
    <t>Scorecard e reunião de fornecedor (RG-SGQ-12)</t>
  </si>
  <si>
    <t>R13; R14</t>
  </si>
  <si>
    <t>O fornecedor spot vê a relação como transacional.</t>
  </si>
  <si>
    <t>Reuniões de fornecedor</t>
  </si>
  <si>
    <t>Informação para fornecedores externos (8.4.3).</t>
  </si>
  <si>
    <t>RG-SGQ-12</t>
  </si>
  <si>
    <t>PI-06</t>
  </si>
  <si>
    <t>PIQ-09</t>
  </si>
  <si>
    <t>Avaliação da conformidade</t>
  </si>
  <si>
    <t>Conformidade com a ISO 9001:2026 e regras de transição IAF (transição até set/2029).</t>
  </si>
  <si>
    <t>Auditorias externas e plano de transição</t>
  </si>
  <si>
    <t>Anual</t>
  </si>
  <si>
    <t>Baixa</t>
  </si>
  <si>
    <t>Espera evidência de que o sistema funciona, não documentos isolados.</t>
  </si>
  <si>
    <t>Regras IAF / contrato de certificação</t>
  </si>
  <si>
    <t>Condiciona o programa de auditoria e o plano de transição.</t>
  </si>
  <si>
    <t>RG-SGQ-16; RG-SGQ-06 (MOC-Q-26-01)</t>
  </si>
  <si>
    <t>PIQ-10</t>
  </si>
  <si>
    <t>Autoridades de produto</t>
  </si>
  <si>
    <t>Cumprimento dos requisitos legais de materiais em contacto com alimentos e de embalagem de medicamentos.</t>
  </si>
  <si>
    <t>LEG-17; LEG-20</t>
  </si>
  <si>
    <t>Vigilância legal (RG-SGQ-08 Documentos_Externos)</t>
  </si>
  <si>
    <t>Mensal</t>
  </si>
  <si>
    <t>A não conformidade de produto é vista como dano à saúde pública, sem margem de tolerância.</t>
  </si>
  <si>
    <t>Legislação</t>
  </si>
  <si>
    <t>Requisito legal (8.2.2 a1, 8.5.5 a).</t>
  </si>
  <si>
    <t>RG-SGQ-08 Documentos_Externos</t>
  </si>
  <si>
    <t>PI-08</t>
  </si>
  <si>
    <t>PIQ-11</t>
  </si>
  <si>
    <t>Laboratórios externos (calibração e ensaios)</t>
  </si>
  <si>
    <t>Prestadores de serviço</t>
  </si>
  <si>
    <t>Pedidos de calibração com gama, pontos e incerteza definidos; equipamentos entregues limpos.</t>
  </si>
  <si>
    <t>Avaliação de processos externos (RG-SGQ-12)</t>
  </si>
  <si>
    <t>Contrato de prestação</t>
  </si>
  <si>
    <t>Processo externo controlado (8.4) e rastreabilidade metrológica (7.1.5.2).</t>
  </si>
  <si>
    <t>RG-SGQ-09; RG-SGQ-12</t>
  </si>
  <si>
    <t>PIQ-12</t>
  </si>
  <si>
    <t>Transportadores</t>
  </si>
  <si>
    <t>Guias e etiquetas corretas; paletes estáveis; janelas de carga cumpridas.</t>
  </si>
  <si>
    <t>OTIF e reclamações de serviço</t>
  </si>
  <si>
    <t>Responsável de Armazém e Logística</t>
  </si>
  <si>
    <t>Contrato de transporte</t>
  </si>
  <si>
    <t>Preservação e atividades de entrega (8.5.4, 8.5.5).</t>
  </si>
  <si>
    <t>RG-SGQ-13</t>
  </si>
  <si>
    <t>PIQ-13</t>
  </si>
  <si>
    <t>Consumidor final</t>
  </si>
  <si>
    <t>Utilizador do produto</t>
  </si>
  <si>
    <t>Embalagem segura (sem fugas, inviolabilidade evidente) e informação legível.</t>
  </si>
  <si>
    <t>Reclamações com origem no consumidor (via cliente)</t>
  </si>
  <si>
    <t>Uma fuga ou tampa violada é vista como risco para a saúde.</t>
  </si>
  <si>
    <t>Requisito não definido pelo cliente mas necessário ao uso (8.2.3 b)</t>
  </si>
  <si>
    <t>Tratado através das características críticas do plano de controlo.</t>
  </si>
  <si>
    <t>PIQ-14</t>
  </si>
  <si>
    <t>Comunidade / vizinhança</t>
  </si>
  <si>
    <t>Recetores sensíveis</t>
  </si>
  <si>
    <t>Ausência de ruído e odores.</t>
  </si>
  <si>
    <t>—</t>
  </si>
  <si>
    <t>Tratado pelo SGA (canal de reclamações)</t>
  </si>
  <si>
    <t>Gestor do SGA / EHS (Responsável Ambiental)</t>
  </si>
  <si>
    <t>R30; R34</t>
  </si>
  <si>
    <t>Reclamações</t>
  </si>
  <si>
    <t>Tratado pelo SGA (RG-SGA-01/07); não afeta a conformidade do produto.</t>
  </si>
  <si>
    <t>PI-11</t>
  </si>
  <si>
    <t>DETERMINAÇÃO SOBRE AS ALTERAÇÕES CLIMÁTICAS (4.1 e 4.2 — ISO 9001:2026)</t>
  </si>
  <si>
    <t>A norma exige determinar SE é pertinente; a resposta e a justificação ficam aqui como evidência</t>
  </si>
  <si>
    <t>ID_Clima</t>
  </si>
  <si>
    <t>Pergunta</t>
  </si>
  <si>
    <t>Resposta</t>
  </si>
  <si>
    <t>Justificacao</t>
  </si>
  <si>
    <t>Ligacoes</t>
  </si>
  <si>
    <t>CLI-01</t>
  </si>
  <si>
    <t>A mudança climática é uma questão pertinente para o SGQ? (4.1)</t>
  </si>
  <si>
    <t>Afeta a capacidade de entregar produto conforme (temperatura de processo) e a continuidade do fornecimento.</t>
  </si>
  <si>
    <t>PESQ-06; PESQ-07</t>
  </si>
  <si>
    <t>CLI-02</t>
  </si>
  <si>
    <t>Efeito físico no processo</t>
  </si>
  <si>
    <t>Ondas de calor alteram a janela de processo do sopro de PET (condicionamento de preformas) e o arrefecimento dos moldes.</t>
  </si>
  <si>
    <t>PESQ-06; SWTQ-T04</t>
  </si>
  <si>
    <t>CLI-03</t>
  </si>
  <si>
    <t>Efeito na cadeia de abastecimento</t>
  </si>
  <si>
    <t>Eventos extremos nos portos e fábricas de polímero (EUA, Singapura) causam atrasos de resina.</t>
  </si>
  <si>
    <t>CLI-04</t>
  </si>
  <si>
    <t>Requisitos de partes interessadas relacionados com o clima (4.2 Nota)</t>
  </si>
  <si>
    <t>Clientes pedem pegada de carbono e conteúdo reciclado; tratados como requisito de produto quando especificados.</t>
  </si>
  <si>
    <t>PESQ-08; PIQ-02; PIQ-05</t>
  </si>
  <si>
    <t>CLI-05</t>
  </si>
  <si>
    <t>Riscos e oportunidades resultantes (6.1)</t>
  </si>
  <si>
    <t>Tratados no registo corporativo RG-SGA-02 (R34, O5) e na vista da qualidade RG-SGQ-04.</t>
  </si>
  <si>
    <t>R34; O5</t>
  </si>
  <si>
    <t>CLI-06</t>
  </si>
  <si>
    <t>Revisão da determinação</t>
  </si>
  <si>
    <t>Revista anualmente na revisão pela gestão e sempre que houver evento climático com impacto em produto ou entrega.</t>
  </si>
  <si>
    <t>RG-SGQ-17</t>
  </si>
  <si>
    <t>ÂMBITO DO SISTEMA DE GESTÃO DA QUALIDADE (4.3)</t>
  </si>
  <si>
    <t>Tipos de produtos e serviços cobertos · Justificação de requisitos não aplicáveis · Aprovado pela Direção</t>
  </si>
  <si>
    <t>Elemento</t>
  </si>
  <si>
    <t>Conteudo</t>
  </si>
  <si>
    <t>Declaração de âmbito</t>
  </si>
  <si>
    <t>Conceção, desenvolvimento e fabrico de embalagens plásticas rígidas — frascos soprados (ISBM) em PET, PETG, rPET, PP, PE e PVC, potes e tampas injetadas (incluindo tampas com anel de inviolabilidade e tampas de encaixe) — e decoração por serigrafia e hot foil stamping, para os setores da cosmética, higiene pessoal, alimentar e farmacêutico.</t>
  </si>
  <si>
    <t>Tipos de produtos cobertos (4.3)</t>
  </si>
  <si>
    <t>Frascos (famílias FR, FA alimentar, FP farmacêutico), potes (PT), tampas (TR rosca, TF flip top, TE farma inviolável, TP pote, TA alimentar) e peças decoradas.</t>
  </si>
  <si>
    <t>Serviços cobertos</t>
  </si>
  <si>
    <t>Apoio técnico ao cliente no desenvolvimento de embalagem, gestão de artwork e decoração personalizada.</t>
  </si>
  <si>
    <t>Plasticom — Unidade 1, Zona Industrial da Marinha Grande, Portugal (instalação única; sem locais remotos).</t>
  </si>
  <si>
    <t>Processos incluídos</t>
  </si>
  <si>
    <t>Todos os processos do mapa de processos (RG-SGQ-02 tbl_processos): 3 de gestão, 10 de realização e 5 de suporte.</t>
  </si>
  <si>
    <t>Processos subcontratados controlados pelo SGQ (8.4.1 c)</t>
  </si>
  <si>
    <t>Calibração de equipamentos (laboratório acreditado), ensaios de migração de confirmação (laboratório externo acreditado), reparação e reforma de moldes, transporte para o cliente.</t>
  </si>
  <si>
    <t>Questões externas e internas consideradas (4.3 a)</t>
  </si>
  <si>
    <t>11 fatores PESTEL (tbl_pestel), 16 itens SWOT (tbl_swot), 5 forças competitivas (tbl_cinco_forcas) e a determinação sobre alterações climáticas (tbl_clima).</t>
  </si>
  <si>
    <t>Requisitos das partes interessadas considerados (4.3 b)</t>
  </si>
  <si>
    <t>14 requisitos pertinentes de 13 partes interessadas; 13 tratados pelo SGQ (tbl_partes_interessadas, coluna Tratado_pelo_SGQ).</t>
  </si>
  <si>
    <t>Requisitos não aplicáveis (4.3)</t>
  </si>
  <si>
    <t>Nenhum. Todos os requisitos da ISO 9001:2026 são aplicáveis: a Plasticom projeta os seus produtos (8.3 aplicável), usa moldes e artwork de clientes (8.5.3 aplicável) e mede com rastreabilidade metrológica (7.1.5.2 aplicável).</t>
  </si>
  <si>
    <t>Integração</t>
  </si>
  <si>
    <t>O SGQ integra-se com o SGA (ISO 14001:2026) num sistema de gestão integrado (SGI): registo de riscos único (RG-SGA-02) e contexto com a MESMA estrutura no RG-SGA-01 e no RG-SGQ-01 (tbl_pestel, tbl_swot, tbl_tows, tbl_cinco_forcas, tbl_partes_interessadas), consolidável pela coluna Ambito.</t>
  </si>
  <si>
    <t>Aprovação</t>
  </si>
  <si>
    <t>Diretor Geral, 28/09/2026 — revisto na revisão pela gestão (RG-SGQ-17).</t>
  </si>
  <si>
    <t>Clausula</t>
  </si>
  <si>
    <t>Titulo</t>
  </si>
  <si>
    <t>Decisao</t>
  </si>
  <si>
    <t>7.1.5.2</t>
  </si>
  <si>
    <t>Rastreabilidade da medição</t>
  </si>
  <si>
    <t>Aplicável</t>
  </si>
  <si>
    <t>Balanças, paquímetros, torquímetros e calibres decidem a conformidade de características críticas: calibração rastreável obrigatória.</t>
  </si>
  <si>
    <t>8.3</t>
  </si>
  <si>
    <t>Design e desenvolvimento</t>
  </si>
  <si>
    <t>A Plasticom projeta moldes, frascos e tampas (famílias FA, FP, PT, TE, TP, TA em 2026).</t>
  </si>
  <si>
    <t>8.5.1 f)</t>
  </si>
  <si>
    <t>Validação de processos especiais</t>
  </si>
  <si>
    <t>Migração em contacto alimentar, cura de tinta e anel de inviolabilidade não são verificáveis a 100% após produção.</t>
  </si>
  <si>
    <t>8.5.3</t>
  </si>
  <si>
    <t>Propriedade do cliente</t>
  </si>
  <si>
    <t>Moldes M-SOP-030 a 033 pagos por clientes; artwork e ficheiros de cor fornecidos pelos clientes.</t>
  </si>
  <si>
    <t>8.5.5</t>
  </si>
  <si>
    <t>Atividades pós-entrega</t>
  </si>
  <si>
    <t>Tratamento de reclamações, devoluções e apoio técnico no enchimento do cliente.</t>
  </si>
  <si>
    <t>RESUMO DO CONTEXTO DO SGQ — calculado</t>
  </si>
  <si>
    <t>Valor</t>
  </si>
  <si>
    <t>Fatores PESTEL registados</t>
  </si>
  <si>
    <t xml:space="preserve">  prioridade Alta</t>
  </si>
  <si>
    <t xml:space="preserve">  relacionados com o clima</t>
  </si>
  <si>
    <t xml:space="preserve">  sem ligação a risco/oportunidade da qualidade (rever)</t>
  </si>
  <si>
    <t>Itens SWOT registados</t>
  </si>
  <si>
    <t xml:space="preserve">  internos (forças e fraquezas)</t>
  </si>
  <si>
    <t xml:space="preserve">  externos (oportunidades e ameaças)</t>
  </si>
  <si>
    <t>Estratégias TOWS</t>
  </si>
  <si>
    <t>Requisitos de partes interessadas</t>
  </si>
  <si>
    <t xml:space="preserve">  tratados pelo SGQ (4.2 c)</t>
  </si>
  <si>
    <t xml:space="preserve">  a gerir de perto (influência e interesse altos)</t>
  </si>
  <si>
    <t>Fatores PESTEL com revisão vencida</t>
  </si>
  <si>
    <t>LISTAS CONTROLADAS (domínios de validação de dados) — editar aqui para alterar opções</t>
  </si>
  <si>
    <t>DataReferencia</t>
  </si>
  <si>
    <t>CondicaoAmbiental</t>
  </si>
  <si>
    <t>Direcao</t>
  </si>
  <si>
    <t>Escala13</t>
  </si>
  <si>
    <t>SimNao</t>
  </si>
  <si>
    <t>Funcao</t>
  </si>
  <si>
    <t>PI_Tipo</t>
  </si>
  <si>
    <t>PI_Nivel</t>
  </si>
  <si>
    <t>PI_Obrig</t>
  </si>
  <si>
    <t>Político</t>
  </si>
  <si>
    <t>E</t>
  </si>
  <si>
    <t>Poluição</t>
  </si>
  <si>
    <t>E + S</t>
  </si>
  <si>
    <t>Diretor Industrial</t>
  </si>
  <si>
    <t>Bidirecional</t>
  </si>
  <si>
    <t>Decrescente</t>
  </si>
  <si>
    <t>Longo (&gt;3 anos)</t>
  </si>
  <si>
    <t>Biodiversidade</t>
  </si>
  <si>
    <t>Saúde dos ecossistemas</t>
  </si>
  <si>
    <t>S</t>
  </si>
  <si>
    <t>REC</t>
  </si>
  <si>
    <t>SER</t>
  </si>
  <si>
    <t>HFS</t>
  </si>
  <si>
    <t>Técnico(a) da Qualidade / Inspetor(a)</t>
  </si>
  <si>
    <t>EXP</t>
  </si>
  <si>
    <t>Técnico(a) de Laboratório</t>
  </si>
  <si>
    <t>Engenheiro(a) de Processo</t>
  </si>
  <si>
    <t>Chefe de Turno</t>
  </si>
  <si>
    <t>Operador(a) de Injeção</t>
  </si>
  <si>
    <t>Operador(a) de Sopro (ISBM)</t>
  </si>
  <si>
    <t>DOC</t>
  </si>
  <si>
    <t>Operador(a) de Serigrafia</t>
  </si>
  <si>
    <t>Operador(a) de Hot Foil</t>
  </si>
  <si>
    <t>Técnico(a) de Manutenção</t>
  </si>
  <si>
    <t>Técnico(a) de Metrologia</t>
  </si>
  <si>
    <t>Auditor(a) Interno(a) do SGQ</t>
  </si>
  <si>
    <t>Gestor(a) de Cliente (Key Account)</t>
  </si>
  <si>
    <t>Planeador(a) de Produção</t>
  </si>
  <si>
    <t>Operador(a) de Armazém / Empilhador</t>
  </si>
  <si>
    <t>Folha</t>
  </si>
  <si>
    <t>Tabela</t>
  </si>
  <si>
    <t>Coluna</t>
  </si>
  <si>
    <t>Origem</t>
  </si>
  <si>
    <t>Dominio_Unidade</t>
  </si>
  <si>
    <t>Obrigatorio</t>
  </si>
  <si>
    <t>Chave</t>
  </si>
  <si>
    <t>tbl_pestel</t>
  </si>
  <si>
    <t>Texto</t>
  </si>
  <si>
    <t>Entrada</t>
  </si>
  <si>
    <t>Identificador único do fator PESTEL do SGQ.</t>
  </si>
  <si>
    <t>PESQ-nn</t>
  </si>
  <si>
    <t>PK</t>
  </si>
  <si>
    <t>Dimensão PESTEL.</t>
  </si>
  <si>
    <t>Lista lst_Dimensao</t>
  </si>
  <si>
    <t>Nome curto do fator externo.</t>
  </si>
  <si>
    <t>Descrição do fator, do seu estado atual e do dado que o sustenta.</t>
  </si>
  <si>
    <t>Condição ambiental a que o fator se refere; 'Clima' marca as questões de alterações climáticas (ISO 9001:2026 4.1).</t>
  </si>
  <si>
    <t>Lista lst_CondicaoAmbiental</t>
  </si>
  <si>
    <t>A organização afeta o ambiente, o ambiente afeta a organização, ou ambos (só para fatores com condição ambiental).</t>
  </si>
  <si>
    <t>Lista lst_Direcao</t>
  </si>
  <si>
    <t>Como o fator afeta a capacidade de entregar produto conforme e aumentar a satisfação do cliente (equivale a Efeito_no_SGA).</t>
  </si>
  <si>
    <t>Se o fator gera risco, oportunidade ou ambos (4.1 Nota 1: positivo/negativo).</t>
  </si>
  <si>
    <t>Lista lst_Classificacao</t>
  </si>
  <si>
    <t>Tendência observada.</t>
  </si>
  <si>
    <t>Lista lst_Tendencia</t>
  </si>
  <si>
    <t>Horizonte temporal do efeito.</t>
  </si>
  <si>
    <t>Lista lst_Horizonte</t>
  </si>
  <si>
    <t>Inteiro</t>
  </si>
  <si>
    <t>Probabilidade de afetar o SGQ (1 baixa – 3 alta).</t>
  </si>
  <si>
    <t>Lista lst_Escala13</t>
  </si>
  <si>
    <t>Impacto no SGQ (1 baixo – 3 alto).</t>
  </si>
  <si>
    <t>Calculado (fórmula)</t>
  </si>
  <si>
    <t>Probabilidade × Impacto (1-9).</t>
  </si>
  <si>
    <t>Alta ≥6; Média 3-5; Baixa ≤2.</t>
  </si>
  <si>
    <t>Como e com que frequência o fator é acompanhado (4.1 último parágrafo).</t>
  </si>
  <si>
    <t>Resposta estratégica prevista.</t>
  </si>
  <si>
    <t>Item SWOT relacionado.</t>
  </si>
  <si>
    <t>FK → tbl_swot</t>
  </si>
  <si>
    <t>Risco/oportunidade da qualidade gerado (RG-SGQ-04).</t>
  </si>
  <si>
    <t>FK → RG-SGQ-04</t>
  </si>
  <si>
    <t>Parte interessada mais relacionada (4.2).</t>
  </si>
  <si>
    <t>Tema (grafia comum ao SGA quando o tema é partilhado).</t>
  </si>
  <si>
    <t>Lista lst_Tema</t>
  </si>
  <si>
    <t>Pilar ESG.</t>
  </si>
  <si>
    <t>Lista lst_ESG</t>
  </si>
  <si>
    <t>Função responsável por monitorizar o fator.</t>
  </si>
  <si>
    <t>Lista lst_Funcao</t>
  </si>
  <si>
    <t>Data (aaaa-mm-dd)</t>
  </si>
  <si>
    <t>Data da análise.</t>
  </si>
  <si>
    <t>Revisão anual (antes da Revisão pela Gestão).</t>
  </si>
  <si>
    <t>Sistema dono do registo: SGQ (no RG-SGA-01: SGA ou SGI).</t>
  </si>
  <si>
    <t>Riscos/oportunidades do registo corporativo RG-SGA-02 (R-nn / O-nn).</t>
  </si>
  <si>
    <t>FK → RG-SGA-02 tbRiscos/tbOportunidades</t>
  </si>
  <si>
    <t>[Só SGQ] Fator de origem no RG-SGA-01 (PES-nn / SWT-Xnn).</t>
  </si>
  <si>
    <t>FK → RG-SGA-01</t>
  </si>
  <si>
    <t>tbl_swot</t>
  </si>
  <si>
    <t>Identificador único do item SWOT do SGQ.</t>
  </si>
  <si>
    <t>SWTQ-Xnn (F força, W fraqueza, O oportunidade, T ameaça)</t>
  </si>
  <si>
    <t>Quadrante SWOT.</t>
  </si>
  <si>
    <t>Lista lst_Quadrante</t>
  </si>
  <si>
    <t>Interno (Força/Fraqueza) ou Externo (Oportunidade/Ameaça) — 4.1 Notas 2 e 3.</t>
  </si>
  <si>
    <t>Descrição aplicada à Plasticom.</t>
  </si>
  <si>
    <t>Dado ou fonte que sustenta o item.</t>
  </si>
  <si>
    <t>Implicação para o sistema de gestão da qualidade (equivale a Implicacao_SGA).</t>
  </si>
  <si>
    <t>Processo mais afetado.</t>
  </si>
  <si>
    <t>Lista lst_Processo</t>
  </si>
  <si>
    <t>FK → dim processo</t>
  </si>
  <si>
    <t>Tema.</t>
  </si>
  <si>
    <t>Fator PESTEL de origem (itens externos).</t>
  </si>
  <si>
    <t>FK → tbl_pestel</t>
  </si>
  <si>
    <t>Tratamento no registo de riscos: risco ou oportunidade.</t>
  </si>
  <si>
    <t>ID no registo RG-SGQ-04 (R-nn / O-nn).</t>
  </si>
  <si>
    <t>Item prioritário para o planeamento 6.1 (1 por quadrante; equivale a Selecionado_Atv_3_1 do SGA).</t>
  </si>
  <si>
    <t>Lista lst_SimNao</t>
  </si>
  <si>
    <t>Estratégia/resposta.</t>
  </si>
  <si>
    <t>Indicador de acompanhamento.</t>
  </si>
  <si>
    <t>Data da análise SWOT.</t>
  </si>
  <si>
    <t>Chave técnica (quadrante|ordem) usada pela Vista_SWOT.</t>
  </si>
  <si>
    <t>Sistema dono do registo: SGQ.</t>
  </si>
  <si>
    <t>Riscos/oportunidades do RG-SGA-02 (R-nn / O-nn).</t>
  </si>
  <si>
    <t>[Só SGQ] Item de origem no RG-SGA-01 (SWT-Xnn / PES-nn).</t>
  </si>
  <si>
    <t>tbl_tows</t>
  </si>
  <si>
    <t>Identificador da estratégia cruzada.</t>
  </si>
  <si>
    <t>TOWSQ-nn</t>
  </si>
  <si>
    <t>Tipo de cruzamento TOWS.</t>
  </si>
  <si>
    <t>Lista lst_Cruzamento</t>
  </si>
  <si>
    <t>IDs SWOT/PESTEL combinados (separados por ';').</t>
  </si>
  <si>
    <t>Estratégia resultante.</t>
  </si>
  <si>
    <t>Objetivo da qualidade derivado.</t>
  </si>
  <si>
    <t>FK → RG-SGQ-05</t>
  </si>
  <si>
    <t>Prazo.</t>
  </si>
  <si>
    <t>Responsável.</t>
  </si>
  <si>
    <t>Indicador de sucesso.</t>
  </si>
  <si>
    <t>tbl_cinco_forcas</t>
  </si>
  <si>
    <t>Identificador da força.</t>
  </si>
  <si>
    <t>CFQ-nn</t>
  </si>
  <si>
    <t>Força de Porter.</t>
  </si>
  <si>
    <t>Cenário e evidências, com a lente da qualidade.</t>
  </si>
  <si>
    <t>Tendência.</t>
  </si>
  <si>
    <t>Impacto na capacidade de entregar produto conforme.</t>
  </si>
  <si>
    <t>Risco ou oportunidade.</t>
  </si>
  <si>
    <t>Como a força é acompanhada.</t>
  </si>
  <si>
    <t>tbl_partes_interessadas</t>
  </si>
  <si>
    <t>Identificador do requisito da parte interessada (uma linha por requisito pertinente).</t>
  </si>
  <si>
    <t>PIQ-nn</t>
  </si>
  <si>
    <t>Parte interessada pertinente (4.2 a).</t>
  </si>
  <si>
    <t>Interna ou externa.</t>
  </si>
  <si>
    <t>Lista lst_PI_Tipo</t>
  </si>
  <si>
    <t>Categoria.</t>
  </si>
  <si>
    <t>Requisito pertinente da parte interessada para o SGQ (4.2 b).</t>
  </si>
  <si>
    <t>'Clima' quando o requisito está relacionado com as alterações climáticas (ISO 9001:2026 4.2 Nota).</t>
  </si>
  <si>
    <t>Se a parte é pertinente para o SGQ (4.2 a).</t>
  </si>
  <si>
    <t>Decisão 4.2 c): o requisito é tratado pelo SGQ? (equivale a Torna_se_Obrigacao do SGA).</t>
  </si>
  <si>
    <t>Natureza do requisito: legal, contratual (cliente) ou voluntário.</t>
  </si>
  <si>
    <t>Lista lst_PI_Obrig</t>
  </si>
  <si>
    <t>Requisitos legais associados no RG-SGA-04 (';').</t>
  </si>
  <si>
    <t>FK → RG-SGA-04 tbl_legal</t>
  </si>
  <si>
    <t>Como o requisito é acompanhado.</t>
  </si>
  <si>
    <t>Frequência de acompanhamento.</t>
  </si>
  <si>
    <t>Influência sobre a organização.</t>
  </si>
  <si>
    <t>Lista lst_PI_Nivel</t>
  </si>
  <si>
    <t>Interesse / grau de afetação.</t>
  </si>
  <si>
    <t>Matriz influência × interesse.</t>
  </si>
  <si>
    <t>Risco/oportunidade da qualidade associado (RG-SGQ-04).</t>
  </si>
  <si>
    <t>Responsável pela relação.</t>
  </si>
  <si>
    <t>Última revisão.</t>
  </si>
  <si>
    <t>O que a parte teme ou valoriza (perceção do risco).</t>
  </si>
  <si>
    <t>[Só SGQ] De onde vem o requisito.</t>
  </si>
  <si>
    <t>[Só SGQ] Justificação da decisão 4.2 c) e cláusula onde é tratado.</t>
  </si>
  <si>
    <t>[Só SGQ] Registo onde está a evidência.</t>
  </si>
  <si>
    <t>FK → RG-SGQ-nn</t>
  </si>
  <si>
    <t>[Só SGQ] Parte interessada no RG-SGA-01.</t>
  </si>
  <si>
    <t>FK → RG-SGA-01 tbl_partes_interessadas</t>
  </si>
  <si>
    <t>tbl_clima</t>
  </si>
  <si>
    <t>Pergunta da determinação.</t>
  </si>
  <si>
    <t>Pergunta.</t>
  </si>
  <si>
    <t>Sim/Não.</t>
  </si>
  <si>
    <t>Justificação da determinação.</t>
  </si>
  <si>
    <t>IDs relacionados.</t>
  </si>
  <si>
    <t>tbl_ambito</t>
  </si>
  <si>
    <t>Elemento do âmbito.</t>
  </si>
  <si>
    <t>Conteúdo aprovado.</t>
  </si>
  <si>
    <t>tbl_aplicabilidade</t>
  </si>
  <si>
    <t>Cláusula com aplicabilidade a justificar.</t>
  </si>
  <si>
    <t>Título.</t>
  </si>
  <si>
    <t>Aplicável / Não aplicável.</t>
  </si>
  <si>
    <t>Justificação da decisão.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</si>
</sst>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14532D"/>
      <name val="Arial"/>
    </font>
    <font>
      <b/>
      <sz val="11"/>
      <color rgb="FF7C3E00"/>
      <name val="Arial"/>
    </font>
    <font>
      <b/>
      <sz val="11"/>
      <color rgb="FF0B3A66"/>
      <name val="Arial"/>
    </font>
    <font>
      <b/>
      <sz val="11"/>
      <color rgb="FF7F1D1D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CDEBD3"/>
      </patternFill>
    </fill>
    <fill>
      <patternFill patternType="solid">
        <fgColor rgb="FFFCE4C4"/>
      </patternFill>
    </fill>
    <fill>
      <patternFill patternType="solid">
        <fgColor rgb="FFCFE2F3"/>
      </patternFill>
    </fill>
    <fill>
      <patternFill patternType="solid">
        <fgColor rgb="FFF4C7C3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9" fillId="9" borderId="0" xfId="0" applyFont="1" applyFill="1"/>
    <xf numFmtId="0" fontId="0" fillId="9" borderId="0" xfId="0" applyFill="1"/>
    <xf numFmtId="0" fontId="9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5" fillId="5" borderId="1" xfId="0" applyFont="1" applyFill="1" applyBorder="1"/>
    <xf numFmtId="0" fontId="6" fillId="6" borderId="1" xfId="0" applyFont="1" applyFill="1" applyBorder="1"/>
    <xf numFmtId="0" fontId="4" fillId="0" borderId="1" xfId="0" applyFont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9" fillId="0" borderId="1" xfId="0" applyFont="1" applyBorder="1" applyAlignment="1">
      <alignment vertical="top" wrapText="1"/>
    </xf>
    <xf numFmtId="0" fontId="9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23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estel" displayName="tbl_pestel" ref="A4:AA21">
  <autoFilter ref="A4:AA21" xr:uid="{00000000-0009-0000-0100-000001000000}"/>
  <tableColumns count="27">
    <tableColumn id="1" xr3:uid="{00000000-0010-0000-0000-000001000000}" name="ID_PESTEL"/>
    <tableColumn id="2" xr3:uid="{00000000-0010-0000-0000-000002000000}" name="Dimensao"/>
    <tableColumn id="3" xr3:uid="{00000000-0010-0000-0000-000003000000}" name="Fator_Externo"/>
    <tableColumn id="4" xr3:uid="{00000000-0010-0000-0000-000004000000}" name="Descricao"/>
    <tableColumn id="5" xr3:uid="{00000000-0010-0000-0000-000005000000}" name="Condicao_Ambiental_ISO2026"/>
    <tableColumn id="6" xr3:uid="{00000000-0010-0000-0000-000006000000}" name="Direcao_Efeito"/>
    <tableColumn id="7" xr3:uid="{00000000-0010-0000-0000-000007000000}" name="Efeito_no_SGQ"/>
    <tableColumn id="8" xr3:uid="{00000000-0010-0000-0000-000008000000}" name="Classificacao"/>
    <tableColumn id="9" xr3:uid="{00000000-0010-0000-0000-000009000000}" name="Tendencia"/>
    <tableColumn id="10" xr3:uid="{00000000-0010-0000-0000-00000A000000}" name="Horizonte"/>
    <tableColumn id="11" xr3:uid="{00000000-0010-0000-0000-00000B000000}" name="Probabilidade_1a3"/>
    <tableColumn id="12" xr3:uid="{00000000-0010-0000-0000-00000C000000}" name="Impacto_1a3"/>
    <tableColumn id="13" xr3:uid="{00000000-0010-0000-0000-00000D000000}" name="Score"/>
    <tableColumn id="14" xr3:uid="{00000000-0010-0000-0000-00000E000000}" name="Prioridade"/>
    <tableColumn id="15" xr3:uid="{00000000-0010-0000-0000-00000F000000}" name="Fonte_Monitorizacao"/>
    <tableColumn id="16" xr3:uid="{00000000-0010-0000-0000-000010000000}" name="Resposta_Estrategica"/>
    <tableColumn id="17" xr3:uid="{00000000-0010-0000-0000-000011000000}" name="ID_SWOT"/>
    <tableColumn id="18" xr3:uid="{00000000-0010-0000-0000-000012000000}" name="ID_RO"/>
    <tableColumn id="19" xr3:uid="{00000000-0010-0000-0000-000013000000}" name="Parte_Interessada"/>
    <tableColumn id="20" xr3:uid="{00000000-0010-0000-0000-000014000000}" name="Tema"/>
    <tableColumn id="21" xr3:uid="{00000000-0010-0000-0000-000015000000}" name="ESG"/>
    <tableColumn id="22" xr3:uid="{00000000-0010-0000-0000-000016000000}" name="Dono"/>
    <tableColumn id="23" xr3:uid="{00000000-0010-0000-0000-000017000000}" name="Data_Avaliacao"/>
    <tableColumn id="24" xr3:uid="{00000000-0010-0000-0000-000018000000}" name="Proxima_Revisao"/>
    <tableColumn id="25" xr3:uid="{00000000-0010-0000-0000-000019000000}" name="Ambito"/>
    <tableColumn id="26" xr3:uid="{00000000-0010-0000-0000-00001A000000}" name="IDs_Risco_SGI"/>
    <tableColumn id="27" xr3:uid="{00000000-0010-0000-0000-00001B000000}" name="ID_Contexto_SGI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wot" displayName="tbl_swot" ref="A4:S26">
  <autoFilter ref="A4:S26" xr:uid="{00000000-0009-0000-0100-000002000000}"/>
  <tableColumns count="19">
    <tableColumn id="1" xr3:uid="{00000000-0010-0000-0100-000001000000}" name="ID_SWOT"/>
    <tableColumn id="2" xr3:uid="{00000000-0010-0000-0100-000002000000}" name="Quadrante"/>
    <tableColumn id="3" xr3:uid="{00000000-0010-0000-0100-000003000000}" name="Natureza"/>
    <tableColumn id="4" xr3:uid="{00000000-0010-0000-0100-000004000000}" name="Descricao"/>
    <tableColumn id="5" xr3:uid="{00000000-0010-0000-0100-000005000000}" name="Evidencia"/>
    <tableColumn id="6" xr3:uid="{00000000-0010-0000-0100-000006000000}" name="Implicacao_SGQ"/>
    <tableColumn id="7" xr3:uid="{00000000-0010-0000-0100-000007000000}" name="Processo"/>
    <tableColumn id="8" xr3:uid="{00000000-0010-0000-0100-000008000000}" name="Tema"/>
    <tableColumn id="9" xr3:uid="{00000000-0010-0000-0100-000009000000}" name="ID_PESTEL"/>
    <tableColumn id="10" xr3:uid="{00000000-0010-0000-0100-00000A000000}" name="Converte_em"/>
    <tableColumn id="11" xr3:uid="{00000000-0010-0000-0100-00000B000000}" name="ID_RO"/>
    <tableColumn id="12" xr3:uid="{00000000-0010-0000-0100-00000C000000}" name="Prioritario"/>
    <tableColumn id="13" xr3:uid="{00000000-0010-0000-0100-00000D000000}" name="Estrategia"/>
    <tableColumn id="14" xr3:uid="{00000000-0010-0000-0100-00000E000000}" name="Indicador"/>
    <tableColumn id="15" xr3:uid="{00000000-0010-0000-0100-00000F000000}" name="Data_Avaliacao"/>
    <tableColumn id="16" xr3:uid="{00000000-0010-0000-0100-000010000000}" name="Chave_Vista"/>
    <tableColumn id="17" xr3:uid="{00000000-0010-0000-0100-000011000000}" name="Ambito"/>
    <tableColumn id="18" xr3:uid="{00000000-0010-0000-0100-000012000000}" name="IDs_Risco_SGI"/>
    <tableColumn id="19" xr3:uid="{00000000-0010-0000-0100-000013000000}" name="ID_Contexto_SGI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tows" displayName="tbl_tows" ref="A4:I10">
  <autoFilter ref="A4:I10" xr:uid="{00000000-0009-0000-0100-000003000000}"/>
  <tableColumns count="9">
    <tableColumn id="1" xr3:uid="{00000000-0010-0000-0200-000001000000}" name="ID_TOWS"/>
    <tableColumn id="2" xr3:uid="{00000000-0010-0000-0200-000002000000}" name="Cruzamento"/>
    <tableColumn id="3" xr3:uid="{00000000-0010-0000-0200-000003000000}" name="IDs_Origem"/>
    <tableColumn id="4" xr3:uid="{00000000-0010-0000-0200-000004000000}" name="Estrategia"/>
    <tableColumn id="5" xr3:uid="{00000000-0010-0000-0200-000005000000}" name="ID_Objetivo"/>
    <tableColumn id="6" xr3:uid="{00000000-0010-0000-0200-000006000000}" name="Prazo"/>
    <tableColumn id="7" xr3:uid="{00000000-0010-0000-0200-000007000000}" name="Dono"/>
    <tableColumn id="8" xr3:uid="{00000000-0010-0000-0200-000008000000}" name="KPI"/>
    <tableColumn id="9" xr3:uid="{00000000-0010-0000-0200-000009000000}" name="IDs_Risco_SGI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inco_forcas" displayName="tbl_cinco_forcas" ref="A4:I9">
  <autoFilter ref="A4:I9" xr:uid="{00000000-0009-0000-0100-000004000000}"/>
  <tableColumns count="9">
    <tableColumn id="1" xr3:uid="{00000000-0010-0000-0300-000001000000}" name="ID_Forca"/>
    <tableColumn id="2" xr3:uid="{00000000-0010-0000-0300-000002000000}" name="Forca_Competitiva"/>
    <tableColumn id="3" xr3:uid="{00000000-0010-0000-0300-000003000000}" name="Cenario_Evidencias"/>
    <tableColumn id="4" xr3:uid="{00000000-0010-0000-0300-000004000000}" name="Tendencia"/>
    <tableColumn id="5" xr3:uid="{00000000-0010-0000-0300-000005000000}" name="Impacto_Organizacao"/>
    <tableColumn id="6" xr3:uid="{00000000-0010-0000-0300-000006000000}" name="Classificacao"/>
    <tableColumn id="7" xr3:uid="{00000000-0010-0000-0300-000007000000}" name="IDs_Risco_SGI"/>
    <tableColumn id="8" xr3:uid="{00000000-0010-0000-0300-000008000000}" name="Como_Monitorizar"/>
    <tableColumn id="9" xr3:uid="{00000000-0010-0000-0300-000009000000}" name="Data_Avaliaca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artes_interessadas" displayName="tbl_partes_interessadas" ref="A4:X24">
  <autoFilter ref="A4:X24" xr:uid="{00000000-0009-0000-0100-000005000000}"/>
  <tableColumns count="24">
    <tableColumn id="1" xr3:uid="{00000000-0010-0000-0400-000001000000}" name="ID_PI"/>
    <tableColumn id="2" xr3:uid="{00000000-0010-0000-0400-000002000000}" name="Parte_Interessada"/>
    <tableColumn id="3" xr3:uid="{00000000-0010-0000-0400-000003000000}" name="Tipo"/>
    <tableColumn id="4" xr3:uid="{00000000-0010-0000-0400-000004000000}" name="Categoria"/>
    <tableColumn id="5" xr3:uid="{00000000-0010-0000-0400-000005000000}" name="Necessidades_Expectativas"/>
    <tableColumn id="6" xr3:uid="{00000000-0010-0000-0400-000006000000}" name="Condicao_Ambiental"/>
    <tableColumn id="7" xr3:uid="{00000000-0010-0000-0400-000007000000}" name="Relevante"/>
    <tableColumn id="8" xr3:uid="{00000000-0010-0000-0400-000008000000}" name="Tratado_pelo_SGQ"/>
    <tableColumn id="9" xr3:uid="{00000000-0010-0000-0400-000009000000}" name="Tipo_Obrigacao"/>
    <tableColumn id="10" xr3:uid="{00000000-0010-0000-0400-00000A000000}" name="IDs_Legal"/>
    <tableColumn id="11" xr3:uid="{00000000-0010-0000-0400-00000B000000}" name="Como_Monitorizar"/>
    <tableColumn id="12" xr3:uid="{00000000-0010-0000-0400-00000C000000}" name="Frequencia"/>
    <tableColumn id="13" xr3:uid="{00000000-0010-0000-0400-00000D000000}" name="Influencia"/>
    <tableColumn id="14" xr3:uid="{00000000-0010-0000-0400-00000E000000}" name="Interesse"/>
    <tableColumn id="15" xr3:uid="{00000000-0010-0000-0400-00000F000000}" name="Estrategia"/>
    <tableColumn id="16" xr3:uid="{00000000-0010-0000-0400-000010000000}" name="ID_RO"/>
    <tableColumn id="17" xr3:uid="{00000000-0010-0000-0400-000011000000}" name="Dono"/>
    <tableColumn id="18" xr3:uid="{00000000-0010-0000-0400-000012000000}" name="Data_Revisao"/>
    <tableColumn id="19" xr3:uid="{00000000-0010-0000-0400-000013000000}" name="IDs_Risco_SGI"/>
    <tableColumn id="20" xr3:uid="{00000000-0010-0000-0400-000014000000}" name="Percepcao_Risco"/>
    <tableColumn id="21" xr3:uid="{00000000-0010-0000-0400-000015000000}" name="Fonte_Requisito"/>
    <tableColumn id="22" xr3:uid="{00000000-0010-0000-0400-000016000000}" name="Justificacao_Tratamento"/>
    <tableColumn id="23" xr3:uid="{00000000-0010-0000-0400-000017000000}" name="Registo_Evidencia"/>
    <tableColumn id="24" xr3:uid="{00000000-0010-0000-0400-000018000000}" name="ID_PI_SGI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clima" displayName="tbl_clima" ref="A4:E10">
  <autoFilter ref="A4:E10" xr:uid="{00000000-0009-0000-0100-000006000000}"/>
  <tableColumns count="5">
    <tableColumn id="1" xr3:uid="{00000000-0010-0000-0500-000001000000}" name="ID_Clima"/>
    <tableColumn id="2" xr3:uid="{00000000-0010-0000-0500-000002000000}" name="Pergunta"/>
    <tableColumn id="3" xr3:uid="{00000000-0010-0000-0500-000003000000}" name="Resposta"/>
    <tableColumn id="4" xr3:uid="{00000000-0010-0000-0500-000004000000}" name="Justificacao"/>
    <tableColumn id="5" xr3:uid="{00000000-0010-0000-0500-000005000000}" name="Ligaco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ambito" displayName="tbl_ambito" ref="A4:B15">
  <autoFilter ref="A4:B15" xr:uid="{00000000-0009-0000-0100-000007000000}"/>
  <tableColumns count="2">
    <tableColumn id="1" xr3:uid="{00000000-0010-0000-0600-000001000000}" name="Elemento"/>
    <tableColumn id="2" xr3:uid="{00000000-0010-0000-0600-000002000000}" name="Conteudo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aplicabilidade" displayName="tbl_aplicabilidade" ref="A1:D6">
  <autoFilter ref="A1:D6" xr:uid="{00000000-0009-0000-0100-000008000000}"/>
  <tableColumns count="4">
    <tableColumn id="1" xr3:uid="{00000000-0010-0000-0700-000001000000}" name="Clausula"/>
    <tableColumn id="2" xr3:uid="{00000000-0010-0000-0700-000002000000}" name="Titulo"/>
    <tableColumn id="3" xr3:uid="{00000000-0010-0000-0700-000003000000}" name="Decisao"/>
    <tableColumn id="4" xr3:uid="{00000000-0010-0000-0700-000004000000}" name="Justificacao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dicionario" displayName="tbl_dicionario" ref="A1:I100">
  <autoFilter ref="A1:I100" xr:uid="{00000000-0009-0000-0100-000009000000}"/>
  <tableColumns count="9">
    <tableColumn id="1" xr3:uid="{00000000-0010-0000-0800-000001000000}" name="Folha"/>
    <tableColumn id="2" xr3:uid="{00000000-0010-0000-0800-000002000000}" name="Tabela"/>
    <tableColumn id="3" xr3:uid="{00000000-0010-0000-0800-000003000000}" name="Coluna"/>
    <tableColumn id="4" xr3:uid="{00000000-0010-0000-0800-000004000000}" name="Tipo"/>
    <tableColumn id="5" xr3:uid="{00000000-0010-0000-0800-000005000000}" name="Origem"/>
    <tableColumn id="6" xr3:uid="{00000000-0010-0000-0800-000006000000}" name="Descricao"/>
    <tableColumn id="7" xr3:uid="{00000000-0010-0000-0800-000007000000}" name="Dominio_Unidade"/>
    <tableColumn id="8" xr3:uid="{00000000-0010-0000-0800-000008000000}" name="Obrigatorio"/>
    <tableColumn id="9" xr3:uid="{00000000-0010-0000-08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3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52.8" x14ac:dyDescent="0.3">
      <c r="A16" s="5" t="s">
        <v>21</v>
      </c>
      <c r="B16" s="6" t="s">
        <v>22</v>
      </c>
    </row>
    <row r="17" spans="1:2" ht="39.6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ht="26.4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ht="26.4" x14ac:dyDescent="0.3">
      <c r="A31" s="5" t="s">
        <v>45</v>
      </c>
      <c r="B31" s="6" t="s">
        <v>46</v>
      </c>
    </row>
    <row r="32" spans="1:2" ht="26.4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5" spans="1:2" x14ac:dyDescent="0.3">
      <c r="A35" s="5" t="s">
        <v>53</v>
      </c>
      <c r="B35" s="6" t="s">
        <v>54</v>
      </c>
    </row>
    <row r="36" spans="1:2" x14ac:dyDescent="0.3">
      <c r="A36" s="5" t="s">
        <v>55</v>
      </c>
      <c r="B36" s="6" t="s">
        <v>56</v>
      </c>
    </row>
    <row r="37" spans="1:2" x14ac:dyDescent="0.3">
      <c r="A37" s="5" t="s">
        <v>57</v>
      </c>
      <c r="B37" s="6" t="s">
        <v>58</v>
      </c>
    </row>
    <row r="39" spans="1:2" x14ac:dyDescent="0.3">
      <c r="A39" s="3" t="s">
        <v>59</v>
      </c>
      <c r="B39" s="4"/>
    </row>
    <row r="40" spans="1:2" ht="26.4" x14ac:dyDescent="0.3">
      <c r="A40" s="5" t="s">
        <v>60</v>
      </c>
      <c r="B40" s="6" t="s">
        <v>61</v>
      </c>
    </row>
    <row r="41" spans="1:2" x14ac:dyDescent="0.3">
      <c r="A41" s="5" t="s">
        <v>62</v>
      </c>
      <c r="B41" s="6" t="s">
        <v>63</v>
      </c>
    </row>
    <row r="42" spans="1:2" x14ac:dyDescent="0.3">
      <c r="A42" s="5" t="s">
        <v>64</v>
      </c>
      <c r="B42" s="6" t="s">
        <v>65</v>
      </c>
    </row>
    <row r="43" spans="1:2" ht="26.4" x14ac:dyDescent="0.3">
      <c r="A43" s="5" t="s">
        <v>66</v>
      </c>
      <c r="B43" s="6" t="s">
        <v>67</v>
      </c>
    </row>
    <row r="44" spans="1:2" ht="26.4" x14ac:dyDescent="0.3">
      <c r="A44" s="5" t="s">
        <v>68</v>
      </c>
      <c r="B44" s="6" t="s">
        <v>69</v>
      </c>
    </row>
    <row r="45" spans="1:2" ht="39.6" x14ac:dyDescent="0.3">
      <c r="A45" s="5" t="s">
        <v>70</v>
      </c>
      <c r="B45" s="6" t="s">
        <v>71</v>
      </c>
    </row>
    <row r="47" spans="1:2" x14ac:dyDescent="0.3">
      <c r="A47" s="3" t="s">
        <v>72</v>
      </c>
      <c r="B47" s="4"/>
    </row>
    <row r="48" spans="1:2" ht="26.4" x14ac:dyDescent="0.3">
      <c r="A48" s="5" t="s">
        <v>73</v>
      </c>
      <c r="B48" s="6" t="s">
        <v>74</v>
      </c>
    </row>
    <row r="49" spans="1:2" ht="26.4" x14ac:dyDescent="0.3">
      <c r="A49" s="5" t="s">
        <v>75</v>
      </c>
      <c r="B49" s="6" t="s">
        <v>76</v>
      </c>
    </row>
    <row r="50" spans="1:2" ht="26.4" x14ac:dyDescent="0.3">
      <c r="A50" s="5" t="s">
        <v>77</v>
      </c>
      <c r="B50" s="6" t="s">
        <v>78</v>
      </c>
    </row>
    <row r="51" spans="1:2" ht="26.4" x14ac:dyDescent="0.3">
      <c r="A51" s="5" t="s">
        <v>79</v>
      </c>
      <c r="B51" s="6" t="s">
        <v>80</v>
      </c>
    </row>
    <row r="52" spans="1:2" x14ac:dyDescent="0.3">
      <c r="A52" s="5" t="s">
        <v>81</v>
      </c>
      <c r="B52" s="6" t="s">
        <v>82</v>
      </c>
    </row>
    <row r="53" spans="1:2" ht="26.4" x14ac:dyDescent="0.3">
      <c r="A53" s="5" t="s">
        <v>83</v>
      </c>
      <c r="B53" s="6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21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13" customWidth="1"/>
    <col min="3" max="3" width="34" customWidth="1"/>
    <col min="4" max="4" width="55" customWidth="1"/>
    <col min="5" max="6" width="20" customWidth="1"/>
    <col min="7" max="7" width="40" customWidth="1"/>
    <col min="8" max="8" width="15" customWidth="1"/>
    <col min="9" max="9" width="12" customWidth="1"/>
    <col min="10" max="10" width="15" customWidth="1"/>
    <col min="11" max="11" width="11" customWidth="1"/>
    <col min="12" max="12" width="10" customWidth="1"/>
    <col min="13" max="13" width="8" customWidth="1"/>
    <col min="14" max="14" width="10" customWidth="1"/>
    <col min="15" max="15" width="30" customWidth="1"/>
    <col min="16" max="16" width="42" customWidth="1"/>
    <col min="17" max="17" width="10" customWidth="1"/>
    <col min="18" max="18" width="9" customWidth="1"/>
    <col min="19" max="19" width="24" customWidth="1"/>
    <col min="20" max="20" width="22" customWidth="1"/>
    <col min="21" max="21" width="9" customWidth="1"/>
    <col min="22" max="22" width="28" customWidth="1"/>
    <col min="23" max="25" width="12" customWidth="1"/>
    <col min="26" max="27" width="16" customWidth="1"/>
  </cols>
  <sheetData>
    <row r="1" spans="1:27" ht="17.399999999999999" x14ac:dyDescent="0.3">
      <c r="A1" s="1" t="s">
        <v>85</v>
      </c>
    </row>
    <row r="2" spans="1:27" x14ac:dyDescent="0.3">
      <c r="A2" s="2" t="s">
        <v>86</v>
      </c>
    </row>
    <row r="4" spans="1:27" ht="26.4" x14ac:dyDescent="0.3">
      <c r="A4" s="8" t="s">
        <v>87</v>
      </c>
      <c r="B4" s="8" t="s">
        <v>88</v>
      </c>
      <c r="C4" s="8" t="s">
        <v>89</v>
      </c>
      <c r="D4" s="8" t="s">
        <v>90</v>
      </c>
      <c r="E4" s="8" t="s">
        <v>91</v>
      </c>
      <c r="F4" s="8" t="s">
        <v>92</v>
      </c>
      <c r="G4" s="8" t="s">
        <v>93</v>
      </c>
      <c r="H4" s="8" t="s">
        <v>94</v>
      </c>
      <c r="I4" s="8" t="s">
        <v>95</v>
      </c>
      <c r="J4" s="8" t="s">
        <v>96</v>
      </c>
      <c r="K4" s="8" t="s">
        <v>97</v>
      </c>
      <c r="L4" s="8" t="s">
        <v>98</v>
      </c>
      <c r="M4" s="9" t="s">
        <v>99</v>
      </c>
      <c r="N4" s="9" t="s">
        <v>100</v>
      </c>
      <c r="O4" s="8" t="s">
        <v>101</v>
      </c>
      <c r="P4" s="8" t="s">
        <v>102</v>
      </c>
      <c r="Q4" s="8" t="s">
        <v>103</v>
      </c>
      <c r="R4" s="8" t="s">
        <v>104</v>
      </c>
      <c r="S4" s="8" t="s">
        <v>105</v>
      </c>
      <c r="T4" s="8" t="s">
        <v>106</v>
      </c>
      <c r="U4" s="8" t="s">
        <v>107</v>
      </c>
      <c r="V4" s="8" t="s">
        <v>108</v>
      </c>
      <c r="W4" s="8" t="s">
        <v>109</v>
      </c>
      <c r="X4" s="9" t="s">
        <v>110</v>
      </c>
      <c r="Y4" s="8" t="s">
        <v>111</v>
      </c>
      <c r="Z4" s="8" t="s">
        <v>112</v>
      </c>
      <c r="AA4" s="8" t="s">
        <v>113</v>
      </c>
    </row>
    <row r="5" spans="1:27" ht="60" customHeight="1" x14ac:dyDescent="0.3">
      <c r="A5" s="10" t="s">
        <v>114</v>
      </c>
      <c r="B5" s="10" t="s">
        <v>115</v>
      </c>
      <c r="C5" s="10" t="s">
        <v>116</v>
      </c>
      <c r="D5" s="10" t="s">
        <v>117</v>
      </c>
      <c r="E5" s="10" t="s">
        <v>118</v>
      </c>
      <c r="F5" s="10" t="s">
        <v>118</v>
      </c>
      <c r="G5" s="10" t="s">
        <v>119</v>
      </c>
      <c r="H5" s="10" t="s">
        <v>120</v>
      </c>
      <c r="I5" s="10" t="s">
        <v>121</v>
      </c>
      <c r="J5" s="10" t="s">
        <v>122</v>
      </c>
      <c r="K5" s="11">
        <v>3</v>
      </c>
      <c r="L5" s="11">
        <v>3</v>
      </c>
      <c r="M5" s="12">
        <f t="shared" ref="M5:M21" si="0">IF(A5="","",K5*L5)</f>
        <v>9</v>
      </c>
      <c r="N5" s="13" t="str">
        <f t="shared" ref="N5:N21" si="1">IF(A5="","",IF(M5&gt;=6,"Alta",IF(M5&gt;=3,"Média","Baixa")))</f>
        <v>Alta</v>
      </c>
      <c r="O5" s="10" t="s">
        <v>123</v>
      </c>
      <c r="P5" s="10" t="s">
        <v>124</v>
      </c>
      <c r="Q5" s="10" t="s">
        <v>125</v>
      </c>
      <c r="R5" s="10" t="s">
        <v>126</v>
      </c>
      <c r="S5" s="10" t="s">
        <v>127</v>
      </c>
      <c r="T5" s="10" t="s">
        <v>128</v>
      </c>
      <c r="U5" s="10" t="s">
        <v>129</v>
      </c>
      <c r="V5" s="10" t="s">
        <v>130</v>
      </c>
      <c r="W5" s="14">
        <v>46387</v>
      </c>
      <c r="X5" s="15">
        <f t="shared" ref="X5:X21" si="2">IF(A5="","",EDATE(W5,12))</f>
        <v>46752</v>
      </c>
      <c r="Y5" s="10" t="s">
        <v>131</v>
      </c>
      <c r="Z5" s="10" t="s">
        <v>132</v>
      </c>
      <c r="AA5" s="10" t="s">
        <v>133</v>
      </c>
    </row>
    <row r="6" spans="1:27" ht="60" customHeight="1" x14ac:dyDescent="0.3">
      <c r="A6" s="10" t="s">
        <v>134</v>
      </c>
      <c r="B6" s="10" t="s">
        <v>135</v>
      </c>
      <c r="C6" s="10" t="s">
        <v>136</v>
      </c>
      <c r="D6" s="10" t="s">
        <v>137</v>
      </c>
      <c r="E6" s="10" t="s">
        <v>118</v>
      </c>
      <c r="F6" s="10" t="s">
        <v>118</v>
      </c>
      <c r="G6" s="10" t="s">
        <v>138</v>
      </c>
      <c r="H6" s="10" t="s">
        <v>139</v>
      </c>
      <c r="I6" s="10" t="s">
        <v>121</v>
      </c>
      <c r="J6" s="10" t="s">
        <v>122</v>
      </c>
      <c r="K6" s="11">
        <v>3</v>
      </c>
      <c r="L6" s="11">
        <v>3</v>
      </c>
      <c r="M6" s="12">
        <f t="shared" si="0"/>
        <v>9</v>
      </c>
      <c r="N6" s="13" t="str">
        <f t="shared" si="1"/>
        <v>Alta</v>
      </c>
      <c r="O6" s="10" t="s">
        <v>140</v>
      </c>
      <c r="P6" s="10" t="s">
        <v>141</v>
      </c>
      <c r="Q6" s="10" t="s">
        <v>142</v>
      </c>
      <c r="R6" s="10" t="s">
        <v>143</v>
      </c>
      <c r="S6" s="10" t="s">
        <v>144</v>
      </c>
      <c r="T6" s="10" t="s">
        <v>145</v>
      </c>
      <c r="U6" s="10" t="s">
        <v>129</v>
      </c>
      <c r="V6" s="10" t="s">
        <v>11</v>
      </c>
      <c r="W6" s="14">
        <v>46387</v>
      </c>
      <c r="X6" s="15">
        <f t="shared" si="2"/>
        <v>46752</v>
      </c>
      <c r="Y6" s="10" t="s">
        <v>131</v>
      </c>
      <c r="Z6" s="10" t="s">
        <v>146</v>
      </c>
      <c r="AA6" s="10" t="s">
        <v>147</v>
      </c>
    </row>
    <row r="7" spans="1:27" ht="60" customHeight="1" x14ac:dyDescent="0.3">
      <c r="A7" s="10" t="s">
        <v>148</v>
      </c>
      <c r="B7" s="10" t="s">
        <v>115</v>
      </c>
      <c r="C7" s="10" t="s">
        <v>149</v>
      </c>
      <c r="D7" s="10" t="s">
        <v>150</v>
      </c>
      <c r="E7" s="10" t="s">
        <v>118</v>
      </c>
      <c r="F7" s="10" t="s">
        <v>118</v>
      </c>
      <c r="G7" s="10" t="s">
        <v>151</v>
      </c>
      <c r="H7" s="10" t="s">
        <v>139</v>
      </c>
      <c r="I7" s="10" t="s">
        <v>121</v>
      </c>
      <c r="J7" s="10" t="s">
        <v>122</v>
      </c>
      <c r="K7" s="11">
        <v>3</v>
      </c>
      <c r="L7" s="11">
        <v>3</v>
      </c>
      <c r="M7" s="12">
        <f t="shared" si="0"/>
        <v>9</v>
      </c>
      <c r="N7" s="13" t="str">
        <f t="shared" si="1"/>
        <v>Alta</v>
      </c>
      <c r="O7" s="10" t="s">
        <v>152</v>
      </c>
      <c r="P7" s="10" t="s">
        <v>153</v>
      </c>
      <c r="Q7" s="10" t="s">
        <v>154</v>
      </c>
      <c r="R7" s="10" t="s">
        <v>155</v>
      </c>
      <c r="S7" s="10" t="s">
        <v>156</v>
      </c>
      <c r="T7" s="10" t="s">
        <v>157</v>
      </c>
      <c r="U7" s="10" t="s">
        <v>129</v>
      </c>
      <c r="V7" s="10" t="s">
        <v>11</v>
      </c>
      <c r="W7" s="14">
        <v>46387</v>
      </c>
      <c r="X7" s="15">
        <f t="shared" si="2"/>
        <v>46752</v>
      </c>
      <c r="Y7" s="10" t="s">
        <v>131</v>
      </c>
      <c r="Z7" s="10" t="s">
        <v>158</v>
      </c>
      <c r="AA7" s="10" t="s">
        <v>159</v>
      </c>
    </row>
    <row r="8" spans="1:27" ht="60" customHeight="1" x14ac:dyDescent="0.3">
      <c r="A8" s="10" t="s">
        <v>160</v>
      </c>
      <c r="B8" s="10" t="s">
        <v>115</v>
      </c>
      <c r="C8" s="10" t="s">
        <v>161</v>
      </c>
      <c r="D8" s="10" t="s">
        <v>162</v>
      </c>
      <c r="E8" s="10" t="s">
        <v>118</v>
      </c>
      <c r="F8" s="10" t="s">
        <v>118</v>
      </c>
      <c r="G8" s="10" t="s">
        <v>163</v>
      </c>
      <c r="H8" s="10" t="s">
        <v>164</v>
      </c>
      <c r="I8" s="10" t="s">
        <v>165</v>
      </c>
      <c r="J8" s="10" t="s">
        <v>122</v>
      </c>
      <c r="K8" s="11">
        <v>2</v>
      </c>
      <c r="L8" s="11">
        <v>2</v>
      </c>
      <c r="M8" s="12">
        <f t="shared" si="0"/>
        <v>4</v>
      </c>
      <c r="N8" s="13" t="str">
        <f t="shared" si="1"/>
        <v>Média</v>
      </c>
      <c r="O8" s="10" t="s">
        <v>166</v>
      </c>
      <c r="P8" s="10" t="s">
        <v>167</v>
      </c>
      <c r="Q8" s="10"/>
      <c r="R8" s="10" t="s">
        <v>168</v>
      </c>
      <c r="S8" s="10" t="s">
        <v>169</v>
      </c>
      <c r="T8" s="10" t="s">
        <v>128</v>
      </c>
      <c r="U8" s="10" t="s">
        <v>129</v>
      </c>
      <c r="V8" s="10" t="s">
        <v>170</v>
      </c>
      <c r="W8" s="14">
        <v>46387</v>
      </c>
      <c r="X8" s="15">
        <f t="shared" si="2"/>
        <v>46752</v>
      </c>
      <c r="Y8" s="10" t="s">
        <v>131</v>
      </c>
      <c r="Z8" s="10" t="s">
        <v>171</v>
      </c>
      <c r="AA8" s="10" t="s">
        <v>172</v>
      </c>
    </row>
    <row r="9" spans="1:27" ht="60" customHeight="1" x14ac:dyDescent="0.3">
      <c r="A9" s="10" t="s">
        <v>173</v>
      </c>
      <c r="B9" s="10" t="s">
        <v>115</v>
      </c>
      <c r="C9" s="10" t="s">
        <v>174</v>
      </c>
      <c r="D9" s="10" t="s">
        <v>175</v>
      </c>
      <c r="E9" s="10" t="s">
        <v>176</v>
      </c>
      <c r="F9" s="10" t="s">
        <v>177</v>
      </c>
      <c r="G9" s="10" t="s">
        <v>178</v>
      </c>
      <c r="H9" s="10" t="s">
        <v>139</v>
      </c>
      <c r="I9" s="10" t="s">
        <v>121</v>
      </c>
      <c r="J9" s="10" t="s">
        <v>179</v>
      </c>
      <c r="K9" s="11">
        <v>3</v>
      </c>
      <c r="L9" s="11">
        <v>2</v>
      </c>
      <c r="M9" s="12">
        <f t="shared" si="0"/>
        <v>6</v>
      </c>
      <c r="N9" s="13" t="str">
        <f t="shared" si="1"/>
        <v>Alta</v>
      </c>
      <c r="O9" s="10" t="s">
        <v>180</v>
      </c>
      <c r="P9" s="10" t="s">
        <v>181</v>
      </c>
      <c r="Q9" s="10" t="s">
        <v>182</v>
      </c>
      <c r="R9" s="10" t="s">
        <v>183</v>
      </c>
      <c r="S9" s="10" t="s">
        <v>184</v>
      </c>
      <c r="T9" s="10" t="s">
        <v>185</v>
      </c>
      <c r="U9" s="10" t="s">
        <v>129</v>
      </c>
      <c r="V9" s="10" t="s">
        <v>186</v>
      </c>
      <c r="W9" s="14">
        <v>46387</v>
      </c>
      <c r="X9" s="15">
        <f t="shared" si="2"/>
        <v>46752</v>
      </c>
      <c r="Y9" s="10" t="s">
        <v>131</v>
      </c>
      <c r="Z9" s="10" t="s">
        <v>187</v>
      </c>
      <c r="AA9" s="10" t="s">
        <v>188</v>
      </c>
    </row>
    <row r="10" spans="1:27" ht="60" customHeight="1" x14ac:dyDescent="0.3">
      <c r="A10" s="10" t="s">
        <v>189</v>
      </c>
      <c r="B10" s="10" t="s">
        <v>190</v>
      </c>
      <c r="C10" s="10" t="s">
        <v>191</v>
      </c>
      <c r="D10" s="10" t="s">
        <v>192</v>
      </c>
      <c r="E10" s="10" t="s">
        <v>193</v>
      </c>
      <c r="F10" s="10" t="s">
        <v>177</v>
      </c>
      <c r="G10" s="10" t="s">
        <v>194</v>
      </c>
      <c r="H10" s="10" t="s">
        <v>139</v>
      </c>
      <c r="I10" s="10" t="s">
        <v>121</v>
      </c>
      <c r="J10" s="10" t="s">
        <v>179</v>
      </c>
      <c r="K10" s="11">
        <v>3</v>
      </c>
      <c r="L10" s="11">
        <v>2</v>
      </c>
      <c r="M10" s="12">
        <f t="shared" si="0"/>
        <v>6</v>
      </c>
      <c r="N10" s="13" t="str">
        <f t="shared" si="1"/>
        <v>Alta</v>
      </c>
      <c r="O10" s="10" t="s">
        <v>195</v>
      </c>
      <c r="P10" s="10" t="s">
        <v>196</v>
      </c>
      <c r="Q10" s="10" t="s">
        <v>197</v>
      </c>
      <c r="R10" s="10" t="s">
        <v>198</v>
      </c>
      <c r="S10" s="10" t="s">
        <v>156</v>
      </c>
      <c r="T10" s="10" t="s">
        <v>199</v>
      </c>
      <c r="U10" s="10" t="s">
        <v>200</v>
      </c>
      <c r="V10" s="10" t="s">
        <v>201</v>
      </c>
      <c r="W10" s="14">
        <v>46387</v>
      </c>
      <c r="X10" s="15">
        <f t="shared" si="2"/>
        <v>46752</v>
      </c>
      <c r="Y10" s="10" t="s">
        <v>131</v>
      </c>
      <c r="Z10" s="10" t="s">
        <v>198</v>
      </c>
      <c r="AA10" s="10" t="s">
        <v>202</v>
      </c>
    </row>
    <row r="11" spans="1:27" ht="60" customHeight="1" x14ac:dyDescent="0.3">
      <c r="A11" s="10" t="s">
        <v>203</v>
      </c>
      <c r="B11" s="10" t="s">
        <v>190</v>
      </c>
      <c r="C11" s="10" t="s">
        <v>204</v>
      </c>
      <c r="D11" s="10" t="s">
        <v>205</v>
      </c>
      <c r="E11" s="10" t="s">
        <v>193</v>
      </c>
      <c r="F11" s="10" t="s">
        <v>177</v>
      </c>
      <c r="G11" s="10" t="s">
        <v>206</v>
      </c>
      <c r="H11" s="10" t="s">
        <v>139</v>
      </c>
      <c r="I11" s="10" t="s">
        <v>121</v>
      </c>
      <c r="J11" s="10" t="s">
        <v>179</v>
      </c>
      <c r="K11" s="11">
        <v>2</v>
      </c>
      <c r="L11" s="11">
        <v>3</v>
      </c>
      <c r="M11" s="12">
        <f t="shared" si="0"/>
        <v>6</v>
      </c>
      <c r="N11" s="13" t="str">
        <f t="shared" si="1"/>
        <v>Alta</v>
      </c>
      <c r="O11" s="10" t="s">
        <v>207</v>
      </c>
      <c r="P11" s="10" t="s">
        <v>208</v>
      </c>
      <c r="Q11" s="10" t="s">
        <v>197</v>
      </c>
      <c r="R11" s="10" t="s">
        <v>209</v>
      </c>
      <c r="S11" s="10" t="s">
        <v>210</v>
      </c>
      <c r="T11" s="10" t="s">
        <v>185</v>
      </c>
      <c r="U11" s="10" t="s">
        <v>200</v>
      </c>
      <c r="V11" s="10" t="s">
        <v>186</v>
      </c>
      <c r="W11" s="14">
        <v>46387</v>
      </c>
      <c r="X11" s="15">
        <f t="shared" si="2"/>
        <v>46752</v>
      </c>
      <c r="Y11" s="10" t="s">
        <v>131</v>
      </c>
      <c r="Z11" s="10" t="s">
        <v>211</v>
      </c>
      <c r="AA11" s="10" t="s">
        <v>212</v>
      </c>
    </row>
    <row r="12" spans="1:27" ht="60" customHeight="1" x14ac:dyDescent="0.3">
      <c r="A12" s="10" t="s">
        <v>213</v>
      </c>
      <c r="B12" s="10" t="s">
        <v>214</v>
      </c>
      <c r="C12" s="10" t="s">
        <v>215</v>
      </c>
      <c r="D12" s="10" t="s">
        <v>216</v>
      </c>
      <c r="E12" s="10" t="s">
        <v>193</v>
      </c>
      <c r="F12" s="10" t="s">
        <v>217</v>
      </c>
      <c r="G12" s="10" t="s">
        <v>218</v>
      </c>
      <c r="H12" s="10" t="s">
        <v>120</v>
      </c>
      <c r="I12" s="10" t="s">
        <v>121</v>
      </c>
      <c r="J12" s="10" t="s">
        <v>122</v>
      </c>
      <c r="K12" s="11">
        <v>2</v>
      </c>
      <c r="L12" s="11">
        <v>3</v>
      </c>
      <c r="M12" s="12">
        <f t="shared" si="0"/>
        <v>6</v>
      </c>
      <c r="N12" s="13" t="str">
        <f t="shared" si="1"/>
        <v>Alta</v>
      </c>
      <c r="O12" s="10" t="s">
        <v>219</v>
      </c>
      <c r="P12" s="10" t="s">
        <v>220</v>
      </c>
      <c r="Q12" s="10" t="s">
        <v>221</v>
      </c>
      <c r="R12" s="10" t="s">
        <v>222</v>
      </c>
      <c r="S12" s="10" t="s">
        <v>156</v>
      </c>
      <c r="T12" s="10" t="s">
        <v>223</v>
      </c>
      <c r="U12" s="10" t="s">
        <v>224</v>
      </c>
      <c r="V12" s="10" t="s">
        <v>225</v>
      </c>
      <c r="W12" s="14">
        <v>46387</v>
      </c>
      <c r="X12" s="15">
        <f t="shared" si="2"/>
        <v>46752</v>
      </c>
      <c r="Y12" s="10" t="s">
        <v>131</v>
      </c>
      <c r="Z12" s="10" t="s">
        <v>226</v>
      </c>
      <c r="AA12" s="10" t="s">
        <v>227</v>
      </c>
    </row>
    <row r="13" spans="1:27" ht="60" customHeight="1" x14ac:dyDescent="0.3">
      <c r="A13" s="10" t="s">
        <v>228</v>
      </c>
      <c r="B13" s="10" t="s">
        <v>229</v>
      </c>
      <c r="C13" s="10" t="s">
        <v>230</v>
      </c>
      <c r="D13" s="10" t="s">
        <v>231</v>
      </c>
      <c r="E13" s="10" t="s">
        <v>118</v>
      </c>
      <c r="F13" s="10" t="s">
        <v>118</v>
      </c>
      <c r="G13" s="10" t="s">
        <v>232</v>
      </c>
      <c r="H13" s="10" t="s">
        <v>120</v>
      </c>
      <c r="I13" s="10" t="s">
        <v>121</v>
      </c>
      <c r="J13" s="10" t="s">
        <v>122</v>
      </c>
      <c r="K13" s="11">
        <v>2</v>
      </c>
      <c r="L13" s="11">
        <v>3</v>
      </c>
      <c r="M13" s="12">
        <f t="shared" si="0"/>
        <v>6</v>
      </c>
      <c r="N13" s="13" t="str">
        <f t="shared" si="1"/>
        <v>Alta</v>
      </c>
      <c r="O13" s="10" t="s">
        <v>233</v>
      </c>
      <c r="P13" s="10" t="s">
        <v>234</v>
      </c>
      <c r="Q13" s="10" t="s">
        <v>235</v>
      </c>
      <c r="R13" s="10" t="s">
        <v>236</v>
      </c>
      <c r="S13" s="10" t="s">
        <v>169</v>
      </c>
      <c r="T13" s="10" t="s">
        <v>237</v>
      </c>
      <c r="U13" s="10" t="s">
        <v>238</v>
      </c>
      <c r="V13" s="10" t="s">
        <v>239</v>
      </c>
      <c r="W13" s="14">
        <v>46387</v>
      </c>
      <c r="X13" s="15">
        <f t="shared" si="2"/>
        <v>46752</v>
      </c>
      <c r="Y13" s="10" t="s">
        <v>131</v>
      </c>
      <c r="Z13" s="10" t="s">
        <v>240</v>
      </c>
      <c r="AA13" s="10" t="s">
        <v>241</v>
      </c>
    </row>
    <row r="14" spans="1:27" ht="60" customHeight="1" x14ac:dyDescent="0.3">
      <c r="A14" s="10" t="s">
        <v>242</v>
      </c>
      <c r="B14" s="10" t="s">
        <v>135</v>
      </c>
      <c r="C14" s="10" t="s">
        <v>243</v>
      </c>
      <c r="D14" s="10" t="s">
        <v>244</v>
      </c>
      <c r="E14" s="10" t="s">
        <v>176</v>
      </c>
      <c r="F14" s="10" t="s">
        <v>217</v>
      </c>
      <c r="G14" s="10" t="s">
        <v>245</v>
      </c>
      <c r="H14" s="10" t="s">
        <v>139</v>
      </c>
      <c r="I14" s="10" t="s">
        <v>121</v>
      </c>
      <c r="J14" s="10" t="s">
        <v>122</v>
      </c>
      <c r="K14" s="11">
        <v>3</v>
      </c>
      <c r="L14" s="11">
        <v>2</v>
      </c>
      <c r="M14" s="12">
        <f t="shared" si="0"/>
        <v>6</v>
      </c>
      <c r="N14" s="13" t="str">
        <f t="shared" si="1"/>
        <v>Alta</v>
      </c>
      <c r="O14" s="10" t="s">
        <v>246</v>
      </c>
      <c r="P14" s="10" t="s">
        <v>247</v>
      </c>
      <c r="Q14" s="10" t="s">
        <v>142</v>
      </c>
      <c r="R14" s="10" t="s">
        <v>248</v>
      </c>
      <c r="S14" s="10" t="s">
        <v>210</v>
      </c>
      <c r="T14" s="10" t="s">
        <v>145</v>
      </c>
      <c r="U14" s="10" t="s">
        <v>200</v>
      </c>
      <c r="V14" s="10" t="s">
        <v>130</v>
      </c>
      <c r="W14" s="14">
        <v>46387</v>
      </c>
      <c r="X14" s="15">
        <f t="shared" si="2"/>
        <v>46752</v>
      </c>
      <c r="Y14" s="10" t="s">
        <v>131</v>
      </c>
      <c r="Z14" s="10" t="s">
        <v>248</v>
      </c>
      <c r="AA14" s="10" t="s">
        <v>249</v>
      </c>
    </row>
    <row r="15" spans="1:27" ht="60" customHeight="1" x14ac:dyDescent="0.3">
      <c r="A15" s="10" t="s">
        <v>250</v>
      </c>
      <c r="B15" s="10" t="s">
        <v>135</v>
      </c>
      <c r="C15" s="10" t="s">
        <v>251</v>
      </c>
      <c r="D15" s="10" t="s">
        <v>252</v>
      </c>
      <c r="E15" s="10" t="s">
        <v>118</v>
      </c>
      <c r="F15" s="10" t="s">
        <v>118</v>
      </c>
      <c r="G15" s="10" t="s">
        <v>253</v>
      </c>
      <c r="H15" s="10" t="s">
        <v>164</v>
      </c>
      <c r="I15" s="10" t="s">
        <v>165</v>
      </c>
      <c r="J15" s="10" t="s">
        <v>179</v>
      </c>
      <c r="K15" s="11">
        <v>2</v>
      </c>
      <c r="L15" s="11">
        <v>2</v>
      </c>
      <c r="M15" s="12">
        <f t="shared" si="0"/>
        <v>4</v>
      </c>
      <c r="N15" s="13" t="str">
        <f t="shared" si="1"/>
        <v>Média</v>
      </c>
      <c r="O15" s="10" t="s">
        <v>254</v>
      </c>
      <c r="P15" s="10" t="s">
        <v>255</v>
      </c>
      <c r="Q15" s="10"/>
      <c r="R15" s="10" t="s">
        <v>126</v>
      </c>
      <c r="S15" s="10" t="s">
        <v>256</v>
      </c>
      <c r="T15" s="10" t="s">
        <v>145</v>
      </c>
      <c r="U15" s="10" t="s">
        <v>238</v>
      </c>
      <c r="V15" s="10" t="s">
        <v>11</v>
      </c>
      <c r="W15" s="14">
        <v>46387</v>
      </c>
      <c r="X15" s="15">
        <f t="shared" si="2"/>
        <v>46752</v>
      </c>
      <c r="Y15" s="10" t="s">
        <v>131</v>
      </c>
      <c r="Z15" s="10" t="s">
        <v>126</v>
      </c>
      <c r="AA15" s="10" t="s">
        <v>147</v>
      </c>
    </row>
    <row r="16" spans="1:27" ht="60" customHeight="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1"/>
      <c r="L16" s="11"/>
      <c r="M16" s="12" t="str">
        <f t="shared" si="0"/>
        <v/>
      </c>
      <c r="N16" s="13" t="str">
        <f t="shared" si="1"/>
        <v/>
      </c>
      <c r="O16" s="10"/>
      <c r="P16" s="10"/>
      <c r="Q16" s="10"/>
      <c r="R16" s="10"/>
      <c r="S16" s="10"/>
      <c r="T16" s="10"/>
      <c r="U16" s="10"/>
      <c r="V16" s="10"/>
      <c r="W16" s="14"/>
      <c r="X16" s="15" t="str">
        <f t="shared" si="2"/>
        <v/>
      </c>
      <c r="Y16" s="10"/>
      <c r="Z16" s="10"/>
      <c r="AA16" s="10"/>
    </row>
    <row r="17" spans="1:27" ht="60" customHeight="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1"/>
      <c r="L17" s="11"/>
      <c r="M17" s="12" t="str">
        <f t="shared" si="0"/>
        <v/>
      </c>
      <c r="N17" s="13" t="str">
        <f t="shared" si="1"/>
        <v/>
      </c>
      <c r="O17" s="10"/>
      <c r="P17" s="10"/>
      <c r="Q17" s="10"/>
      <c r="R17" s="10"/>
      <c r="S17" s="10"/>
      <c r="T17" s="10"/>
      <c r="U17" s="10"/>
      <c r="V17" s="10"/>
      <c r="W17" s="14"/>
      <c r="X17" s="15" t="str">
        <f t="shared" si="2"/>
        <v/>
      </c>
      <c r="Y17" s="10"/>
      <c r="Z17" s="10"/>
      <c r="AA17" s="10"/>
    </row>
    <row r="18" spans="1:27" ht="60" customHeight="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1"/>
      <c r="M18" s="12" t="str">
        <f t="shared" si="0"/>
        <v/>
      </c>
      <c r="N18" s="13" t="str">
        <f t="shared" si="1"/>
        <v/>
      </c>
      <c r="O18" s="10"/>
      <c r="P18" s="10"/>
      <c r="Q18" s="10"/>
      <c r="R18" s="10"/>
      <c r="S18" s="10"/>
      <c r="T18" s="10"/>
      <c r="U18" s="10"/>
      <c r="V18" s="10"/>
      <c r="W18" s="14"/>
      <c r="X18" s="15" t="str">
        <f t="shared" si="2"/>
        <v/>
      </c>
      <c r="Y18" s="10"/>
      <c r="Z18" s="10"/>
      <c r="AA18" s="10"/>
    </row>
    <row r="19" spans="1:27" ht="60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1"/>
      <c r="L19" s="11"/>
      <c r="M19" s="12" t="str">
        <f t="shared" si="0"/>
        <v/>
      </c>
      <c r="N19" s="13" t="str">
        <f t="shared" si="1"/>
        <v/>
      </c>
      <c r="O19" s="10"/>
      <c r="P19" s="10"/>
      <c r="Q19" s="10"/>
      <c r="R19" s="10"/>
      <c r="S19" s="10"/>
      <c r="T19" s="10"/>
      <c r="U19" s="10"/>
      <c r="V19" s="10"/>
      <c r="W19" s="14"/>
      <c r="X19" s="15" t="str">
        <f t="shared" si="2"/>
        <v/>
      </c>
      <c r="Y19" s="10"/>
      <c r="Z19" s="10"/>
      <c r="AA19" s="10"/>
    </row>
    <row r="20" spans="1:27" ht="60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2" t="str">
        <f t="shared" si="0"/>
        <v/>
      </c>
      <c r="N20" s="13" t="str">
        <f t="shared" si="1"/>
        <v/>
      </c>
      <c r="O20" s="10"/>
      <c r="P20" s="10"/>
      <c r="Q20" s="10"/>
      <c r="R20" s="10"/>
      <c r="S20" s="10"/>
      <c r="T20" s="10"/>
      <c r="U20" s="10"/>
      <c r="V20" s="10"/>
      <c r="W20" s="14"/>
      <c r="X20" s="15" t="str">
        <f t="shared" si="2"/>
        <v/>
      </c>
      <c r="Y20" s="10"/>
      <c r="Z20" s="10"/>
      <c r="AA20" s="10"/>
    </row>
    <row r="21" spans="1:27" ht="60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1"/>
      <c r="L21" s="11"/>
      <c r="M21" s="12" t="str">
        <f t="shared" si="0"/>
        <v/>
      </c>
      <c r="N21" s="13" t="str">
        <f t="shared" si="1"/>
        <v/>
      </c>
      <c r="O21" s="10"/>
      <c r="P21" s="10"/>
      <c r="Q21" s="10"/>
      <c r="R21" s="10"/>
      <c r="S21" s="10"/>
      <c r="T21" s="10"/>
      <c r="U21" s="10"/>
      <c r="V21" s="10"/>
      <c r="W21" s="14"/>
      <c r="X21" s="15" t="str">
        <f t="shared" si="2"/>
        <v/>
      </c>
      <c r="Y21" s="10"/>
      <c r="Z21" s="10"/>
      <c r="AA21" s="10"/>
    </row>
  </sheetData>
  <conditionalFormatting sqref="E5:E221">
    <cfRule type="expression" dxfId="22" priority="7">
      <formula>ISNUMBER(SEARCH("Clima",E5))</formula>
    </cfRule>
  </conditionalFormatting>
  <conditionalFormatting sqref="H5:H221">
    <cfRule type="expression" dxfId="21" priority="4">
      <formula>ISNUMBER(SEARCH("Risco e",H5))</formula>
    </cfRule>
    <cfRule type="expression" dxfId="20" priority="5">
      <formula>ISNUMBER(SEARCH("Oportunidade",H5))</formula>
    </cfRule>
    <cfRule type="expression" dxfId="19" priority="6">
      <formula>ISNUMBER(SEARCH("Risco",H5))</formula>
    </cfRule>
  </conditionalFormatting>
  <conditionalFormatting sqref="N5:N221">
    <cfRule type="expression" dxfId="18" priority="1">
      <formula>ISNUMBER(SEARCH("Alta",N5))</formula>
    </cfRule>
    <cfRule type="expression" dxfId="17" priority="2">
      <formula>ISNUMBER(SEARCH("Média",N5))</formula>
    </cfRule>
    <cfRule type="expression" dxfId="16" priority="3">
      <formula>ISNUMBER(SEARCH("Baixa",N5))</formula>
    </cfRule>
  </conditionalFormatting>
  <dataValidations count="10">
    <dataValidation type="list" allowBlank="1" showErrorMessage="1" errorTitle="Valor inválido" error="Valor fora da lista controlada (ver folha Listas)." sqref="B5:B221" xr:uid="{00000000-0002-0000-0100-000000000000}">
      <formula1>lst_Dimensao</formula1>
    </dataValidation>
    <dataValidation type="list" allowBlank="1" showErrorMessage="1" errorTitle="Valor inválido" error="Valor fora da lista controlada (ver folha Listas)." sqref="E5:E221" xr:uid="{00000000-0002-0000-0100-000001000000}">
      <formula1>lst_CondicaoAmbiental</formula1>
    </dataValidation>
    <dataValidation type="list" allowBlank="1" showErrorMessage="1" errorTitle="Valor inválido" error="Valor fora da lista controlada (ver folha Listas)." sqref="F5:F221" xr:uid="{00000000-0002-0000-0100-000002000000}">
      <formula1>lst_Direcao</formula1>
    </dataValidation>
    <dataValidation type="list" allowBlank="1" showErrorMessage="1" errorTitle="Valor inválido" error="Valor fora da lista controlada (ver folha Listas)." sqref="H5:H221" xr:uid="{00000000-0002-0000-0100-000003000000}">
      <formula1>lst_Classificacao</formula1>
    </dataValidation>
    <dataValidation type="list" allowBlank="1" showErrorMessage="1" errorTitle="Valor inválido" error="Valor fora da lista controlada (ver folha Listas)." sqref="I5:I221" xr:uid="{00000000-0002-0000-0100-000004000000}">
      <formula1>lst_Tendencia</formula1>
    </dataValidation>
    <dataValidation type="list" allowBlank="1" showErrorMessage="1" errorTitle="Valor inválido" error="Valor fora da lista controlada (ver folha Listas)." sqref="J5:J221" xr:uid="{00000000-0002-0000-0100-000005000000}">
      <formula1>lst_Horizonte</formula1>
    </dataValidation>
    <dataValidation type="list" allowBlank="1" showErrorMessage="1" errorTitle="Valor inválido" error="Valor fora da lista controlada (ver folha Listas)." sqref="K5:L221" xr:uid="{00000000-0002-0000-0100-000006000000}">
      <formula1>lst_Escala13</formula1>
    </dataValidation>
    <dataValidation type="list" allowBlank="1" showErrorMessage="1" errorTitle="Valor inválido" error="Valor fora da lista controlada (ver folha Listas)." sqref="T5:T221" xr:uid="{00000000-0002-0000-0100-000008000000}">
      <formula1>lst_Tema</formula1>
    </dataValidation>
    <dataValidation type="list" allowBlank="1" showErrorMessage="1" errorTitle="Valor inválido" error="Valor fora da lista controlada (ver folha Listas)." sqref="U5:U221" xr:uid="{00000000-0002-0000-0100-000009000000}">
      <formula1>lst_ESG</formula1>
    </dataValidation>
    <dataValidation type="list" allowBlank="1" showErrorMessage="1" errorTitle="Valor inválido" error="Valor fora da lista controlada (ver folha Listas)." sqref="V5:V221" xr:uid="{00000000-0002-0000-0100-00000A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3" customWidth="1"/>
    <col min="3" max="3" width="10" customWidth="1"/>
    <col min="4" max="4" width="55" customWidth="1"/>
    <col min="5" max="5" width="36" customWidth="1"/>
    <col min="6" max="6" width="40" customWidth="1"/>
    <col min="7" max="7" width="10" customWidth="1"/>
    <col min="8" max="8" width="22" customWidth="1"/>
    <col min="9" max="9" width="10" customWidth="1"/>
    <col min="10" max="10" width="13" customWidth="1"/>
    <col min="11" max="11" width="8" customWidth="1"/>
    <col min="12" max="12" width="12" customWidth="1"/>
    <col min="13" max="13" width="42" customWidth="1"/>
    <col min="14" max="14" width="26" customWidth="1"/>
    <col min="15" max="15" width="12" customWidth="1"/>
    <col min="16" max="16" width="14" customWidth="1"/>
    <col min="17" max="17" width="9" customWidth="1"/>
    <col min="18" max="19" width="16" customWidth="1"/>
  </cols>
  <sheetData>
    <row r="1" spans="1:19" ht="17.399999999999999" x14ac:dyDescent="0.3">
      <c r="A1" s="1" t="s">
        <v>257</v>
      </c>
    </row>
    <row r="2" spans="1:19" x14ac:dyDescent="0.3">
      <c r="A2" s="2" t="s">
        <v>258</v>
      </c>
    </row>
    <row r="4" spans="1:19" ht="26.4" x14ac:dyDescent="0.3">
      <c r="A4" s="8" t="s">
        <v>103</v>
      </c>
      <c r="B4" s="8" t="s">
        <v>259</v>
      </c>
      <c r="C4" s="9" t="s">
        <v>260</v>
      </c>
      <c r="D4" s="8" t="s">
        <v>90</v>
      </c>
      <c r="E4" s="8" t="s">
        <v>261</v>
      </c>
      <c r="F4" s="8" t="s">
        <v>262</v>
      </c>
      <c r="G4" s="8" t="s">
        <v>263</v>
      </c>
      <c r="H4" s="8" t="s">
        <v>106</v>
      </c>
      <c r="I4" s="8" t="s">
        <v>87</v>
      </c>
      <c r="J4" s="8" t="s">
        <v>264</v>
      </c>
      <c r="K4" s="8" t="s">
        <v>104</v>
      </c>
      <c r="L4" s="8" t="s">
        <v>265</v>
      </c>
      <c r="M4" s="8" t="s">
        <v>266</v>
      </c>
      <c r="N4" s="8" t="s">
        <v>267</v>
      </c>
      <c r="O4" s="8" t="s">
        <v>109</v>
      </c>
      <c r="P4" s="9" t="s">
        <v>268</v>
      </c>
      <c r="Q4" s="8" t="s">
        <v>111</v>
      </c>
      <c r="R4" s="8" t="s">
        <v>112</v>
      </c>
      <c r="S4" s="8" t="s">
        <v>113</v>
      </c>
    </row>
    <row r="5" spans="1:19" ht="58.05" customHeight="1" x14ac:dyDescent="0.3">
      <c r="A5" s="10" t="s">
        <v>269</v>
      </c>
      <c r="B5" s="10" t="s">
        <v>270</v>
      </c>
      <c r="C5" s="13" t="str">
        <f t="shared" ref="C5:C26" si="0">IF(A5="","",IF(OR(B5="Força",B5="Fraqueza"),"Interno","Externo"))</f>
        <v>Interno</v>
      </c>
      <c r="D5" s="10" t="s">
        <v>271</v>
      </c>
      <c r="E5" s="10" t="s">
        <v>272</v>
      </c>
      <c r="F5" s="10" t="s">
        <v>273</v>
      </c>
      <c r="G5" s="10" t="s">
        <v>274</v>
      </c>
      <c r="H5" s="10" t="s">
        <v>237</v>
      </c>
      <c r="I5" s="10" t="s">
        <v>228</v>
      </c>
      <c r="J5" s="10" t="s">
        <v>120</v>
      </c>
      <c r="K5" s="10" t="s">
        <v>275</v>
      </c>
      <c r="L5" s="10" t="s">
        <v>276</v>
      </c>
      <c r="M5" s="10" t="s">
        <v>277</v>
      </c>
      <c r="N5" s="10" t="s">
        <v>278</v>
      </c>
      <c r="O5" s="14">
        <v>46387</v>
      </c>
      <c r="P5" s="13" t="str">
        <f>IF(A5="","",B5&amp;"|"&amp;COUNTIF(INDEX($B$5:$B$26,1):B5,B5))</f>
        <v>Força|1</v>
      </c>
      <c r="Q5" s="10" t="s">
        <v>131</v>
      </c>
      <c r="R5" s="10" t="s">
        <v>279</v>
      </c>
      <c r="S5" s="10" t="s">
        <v>280</v>
      </c>
    </row>
    <row r="6" spans="1:19" ht="58.05" customHeight="1" x14ac:dyDescent="0.3">
      <c r="A6" s="10" t="s">
        <v>281</v>
      </c>
      <c r="B6" s="10" t="s">
        <v>270</v>
      </c>
      <c r="C6" s="13" t="str">
        <f t="shared" si="0"/>
        <v>Interno</v>
      </c>
      <c r="D6" s="10" t="s">
        <v>282</v>
      </c>
      <c r="E6" s="10" t="s">
        <v>283</v>
      </c>
      <c r="F6" s="10" t="s">
        <v>284</v>
      </c>
      <c r="G6" s="10" t="s">
        <v>285</v>
      </c>
      <c r="H6" s="10" t="s">
        <v>286</v>
      </c>
      <c r="I6" s="10"/>
      <c r="J6" s="10" t="s">
        <v>120</v>
      </c>
      <c r="K6" s="10"/>
      <c r="L6" s="10" t="s">
        <v>287</v>
      </c>
      <c r="M6" s="10" t="s">
        <v>288</v>
      </c>
      <c r="N6" s="10" t="s">
        <v>289</v>
      </c>
      <c r="O6" s="14">
        <v>46387</v>
      </c>
      <c r="P6" s="13" t="str">
        <f>IF(A6="","",B6&amp;"|"&amp;COUNTIF(INDEX($B$5:$B$26,1):B6,B6))</f>
        <v>Força|2</v>
      </c>
      <c r="Q6" s="10" t="s">
        <v>131</v>
      </c>
      <c r="R6" s="10" t="s">
        <v>155</v>
      </c>
      <c r="S6" s="10" t="s">
        <v>290</v>
      </c>
    </row>
    <row r="7" spans="1:19" ht="58.05" customHeight="1" x14ac:dyDescent="0.3">
      <c r="A7" s="10" t="s">
        <v>291</v>
      </c>
      <c r="B7" s="10" t="s">
        <v>270</v>
      </c>
      <c r="C7" s="13" t="str">
        <f t="shared" si="0"/>
        <v>Interno</v>
      </c>
      <c r="D7" s="10" t="s">
        <v>292</v>
      </c>
      <c r="E7" s="10" t="s">
        <v>293</v>
      </c>
      <c r="F7" s="10" t="s">
        <v>294</v>
      </c>
      <c r="G7" s="10" t="s">
        <v>295</v>
      </c>
      <c r="H7" s="10" t="s">
        <v>237</v>
      </c>
      <c r="I7" s="10" t="s">
        <v>114</v>
      </c>
      <c r="J7" s="10" t="s">
        <v>120</v>
      </c>
      <c r="K7" s="10" t="s">
        <v>126</v>
      </c>
      <c r="L7" s="10" t="s">
        <v>287</v>
      </c>
      <c r="M7" s="10" t="s">
        <v>296</v>
      </c>
      <c r="N7" s="10" t="s">
        <v>297</v>
      </c>
      <c r="O7" s="14">
        <v>46387</v>
      </c>
      <c r="P7" s="13" t="str">
        <f>IF(A7="","",B7&amp;"|"&amp;COUNTIF(INDEX($B$5:$B$26,1):B7,B7))</f>
        <v>Força|3</v>
      </c>
      <c r="Q7" s="10" t="s">
        <v>131</v>
      </c>
      <c r="R7" s="10" t="s">
        <v>126</v>
      </c>
      <c r="S7" s="10"/>
    </row>
    <row r="8" spans="1:19" ht="58.05" customHeight="1" x14ac:dyDescent="0.3">
      <c r="A8" s="10" t="s">
        <v>298</v>
      </c>
      <c r="B8" s="10" t="s">
        <v>270</v>
      </c>
      <c r="C8" s="13" t="str">
        <f t="shared" si="0"/>
        <v>Interno</v>
      </c>
      <c r="D8" s="10" t="s">
        <v>299</v>
      </c>
      <c r="E8" s="10" t="s">
        <v>300</v>
      </c>
      <c r="F8" s="10" t="s">
        <v>301</v>
      </c>
      <c r="G8" s="10" t="s">
        <v>302</v>
      </c>
      <c r="H8" s="10" t="s">
        <v>157</v>
      </c>
      <c r="I8" s="10"/>
      <c r="J8" s="10" t="s">
        <v>120</v>
      </c>
      <c r="K8" s="10" t="s">
        <v>303</v>
      </c>
      <c r="L8" s="10" t="s">
        <v>287</v>
      </c>
      <c r="M8" s="10" t="s">
        <v>304</v>
      </c>
      <c r="N8" s="10" t="s">
        <v>305</v>
      </c>
      <c r="O8" s="14">
        <v>46387</v>
      </c>
      <c r="P8" s="13" t="str">
        <f>IF(A8="","",B8&amp;"|"&amp;COUNTIF(INDEX($B$5:$B$26,1):B8,B8))</f>
        <v>Força|4</v>
      </c>
      <c r="Q8" s="10" t="s">
        <v>131</v>
      </c>
      <c r="R8" s="10" t="s">
        <v>306</v>
      </c>
      <c r="S8" s="10" t="s">
        <v>290</v>
      </c>
    </row>
    <row r="9" spans="1:19" ht="58.05" customHeight="1" x14ac:dyDescent="0.3">
      <c r="A9" s="10" t="s">
        <v>307</v>
      </c>
      <c r="B9" s="10" t="s">
        <v>308</v>
      </c>
      <c r="C9" s="13" t="str">
        <f t="shared" si="0"/>
        <v>Interno</v>
      </c>
      <c r="D9" s="10" t="s">
        <v>309</v>
      </c>
      <c r="E9" s="10" t="s">
        <v>310</v>
      </c>
      <c r="F9" s="10" t="s">
        <v>311</v>
      </c>
      <c r="G9" s="10" t="s">
        <v>312</v>
      </c>
      <c r="H9" s="10" t="s">
        <v>313</v>
      </c>
      <c r="I9" s="10"/>
      <c r="J9" s="10" t="s">
        <v>139</v>
      </c>
      <c r="K9" s="10" t="s">
        <v>314</v>
      </c>
      <c r="L9" s="10" t="s">
        <v>276</v>
      </c>
      <c r="M9" s="10" t="s">
        <v>315</v>
      </c>
      <c r="N9" s="10" t="s">
        <v>316</v>
      </c>
      <c r="O9" s="14">
        <v>46387</v>
      </c>
      <c r="P9" s="13" t="str">
        <f>IF(A9="","",B9&amp;"|"&amp;COUNTIF(INDEX($B$5:$B$26,1):B9,B9))</f>
        <v>Fraqueza|1</v>
      </c>
      <c r="Q9" s="10" t="s">
        <v>131</v>
      </c>
      <c r="R9" s="10" t="s">
        <v>317</v>
      </c>
      <c r="S9" s="10" t="s">
        <v>318</v>
      </c>
    </row>
    <row r="10" spans="1:19" ht="58.05" customHeight="1" x14ac:dyDescent="0.3">
      <c r="A10" s="10" t="s">
        <v>319</v>
      </c>
      <c r="B10" s="10" t="s">
        <v>308</v>
      </c>
      <c r="C10" s="13" t="str">
        <f t="shared" si="0"/>
        <v>Interno</v>
      </c>
      <c r="D10" s="10" t="s">
        <v>320</v>
      </c>
      <c r="E10" s="10" t="s">
        <v>321</v>
      </c>
      <c r="F10" s="10" t="s">
        <v>322</v>
      </c>
      <c r="G10" s="10" t="s">
        <v>323</v>
      </c>
      <c r="H10" s="10" t="s">
        <v>324</v>
      </c>
      <c r="I10" s="10"/>
      <c r="J10" s="10" t="s">
        <v>139</v>
      </c>
      <c r="K10" s="10" t="s">
        <v>325</v>
      </c>
      <c r="L10" s="10" t="s">
        <v>287</v>
      </c>
      <c r="M10" s="10" t="s">
        <v>326</v>
      </c>
      <c r="N10" s="10" t="s">
        <v>327</v>
      </c>
      <c r="O10" s="14">
        <v>46387</v>
      </c>
      <c r="P10" s="13" t="str">
        <f>IF(A10="","",B10&amp;"|"&amp;COUNTIF(INDEX($B$5:$B$26,1):B10,B10))</f>
        <v>Fraqueza|2</v>
      </c>
      <c r="Q10" s="10" t="s">
        <v>131</v>
      </c>
      <c r="R10" s="10" t="s">
        <v>325</v>
      </c>
      <c r="S10" s="10" t="s">
        <v>328</v>
      </c>
    </row>
    <row r="11" spans="1:19" ht="58.05" customHeight="1" x14ac:dyDescent="0.3">
      <c r="A11" s="10" t="s">
        <v>329</v>
      </c>
      <c r="B11" s="10" t="s">
        <v>308</v>
      </c>
      <c r="C11" s="13" t="str">
        <f t="shared" si="0"/>
        <v>Interno</v>
      </c>
      <c r="D11" s="10" t="s">
        <v>330</v>
      </c>
      <c r="E11" s="10" t="s">
        <v>331</v>
      </c>
      <c r="F11" s="10" t="s">
        <v>332</v>
      </c>
      <c r="G11" s="10" t="s">
        <v>333</v>
      </c>
      <c r="H11" s="10" t="s">
        <v>334</v>
      </c>
      <c r="I11" s="10"/>
      <c r="J11" s="10" t="s">
        <v>139</v>
      </c>
      <c r="K11" s="10"/>
      <c r="L11" s="10" t="s">
        <v>287</v>
      </c>
      <c r="M11" s="10" t="s">
        <v>335</v>
      </c>
      <c r="N11" s="10" t="s">
        <v>336</v>
      </c>
      <c r="O11" s="14">
        <v>46387</v>
      </c>
      <c r="P11" s="13" t="str">
        <f>IF(A11="","",B11&amp;"|"&amp;COUNTIF(INDEX($B$5:$B$26,1):B11,B11))</f>
        <v>Fraqueza|3</v>
      </c>
      <c r="Q11" s="10" t="s">
        <v>131</v>
      </c>
      <c r="R11" s="10" t="s">
        <v>303</v>
      </c>
      <c r="S11" s="10"/>
    </row>
    <row r="12" spans="1:19" ht="58.05" customHeight="1" x14ac:dyDescent="0.3">
      <c r="A12" s="10" t="s">
        <v>337</v>
      </c>
      <c r="B12" s="10" t="s">
        <v>308</v>
      </c>
      <c r="C12" s="13" t="str">
        <f t="shared" si="0"/>
        <v>Interno</v>
      </c>
      <c r="D12" s="10" t="s">
        <v>338</v>
      </c>
      <c r="E12" s="10" t="s">
        <v>339</v>
      </c>
      <c r="F12" s="10" t="s">
        <v>340</v>
      </c>
      <c r="G12" s="10" t="s">
        <v>341</v>
      </c>
      <c r="H12" s="10" t="s">
        <v>342</v>
      </c>
      <c r="I12" s="10"/>
      <c r="J12" s="10" t="s">
        <v>139</v>
      </c>
      <c r="K12" s="10" t="s">
        <v>343</v>
      </c>
      <c r="L12" s="10" t="s">
        <v>287</v>
      </c>
      <c r="M12" s="10" t="s">
        <v>344</v>
      </c>
      <c r="N12" s="10" t="s">
        <v>345</v>
      </c>
      <c r="O12" s="14">
        <v>46387</v>
      </c>
      <c r="P12" s="13" t="str">
        <f>IF(A12="","",B12&amp;"|"&amp;COUNTIF(INDEX($B$5:$B$26,1):B12,B12))</f>
        <v>Fraqueza|4</v>
      </c>
      <c r="Q12" s="10" t="s">
        <v>131</v>
      </c>
      <c r="R12" s="10" t="s">
        <v>346</v>
      </c>
      <c r="S12" s="10" t="s">
        <v>347</v>
      </c>
    </row>
    <row r="13" spans="1:19" ht="58.05" customHeight="1" x14ac:dyDescent="0.3">
      <c r="A13" s="10" t="s">
        <v>348</v>
      </c>
      <c r="B13" s="10" t="s">
        <v>308</v>
      </c>
      <c r="C13" s="13" t="str">
        <f t="shared" si="0"/>
        <v>Interno</v>
      </c>
      <c r="D13" s="10" t="s">
        <v>349</v>
      </c>
      <c r="E13" s="10" t="s">
        <v>350</v>
      </c>
      <c r="F13" s="10" t="s">
        <v>351</v>
      </c>
      <c r="G13" s="10" t="s">
        <v>333</v>
      </c>
      <c r="H13" s="10" t="s">
        <v>352</v>
      </c>
      <c r="I13" s="10"/>
      <c r="J13" s="10" t="s">
        <v>139</v>
      </c>
      <c r="K13" s="10" t="s">
        <v>353</v>
      </c>
      <c r="L13" s="10" t="s">
        <v>287</v>
      </c>
      <c r="M13" s="10" t="s">
        <v>354</v>
      </c>
      <c r="N13" s="10" t="s">
        <v>355</v>
      </c>
      <c r="O13" s="14">
        <v>46387</v>
      </c>
      <c r="P13" s="13" t="str">
        <f>IF(A13="","",B13&amp;"|"&amp;COUNTIF(INDEX($B$5:$B$26,1):B13,B13))</f>
        <v>Fraqueza|5</v>
      </c>
      <c r="Q13" s="10" t="s">
        <v>131</v>
      </c>
      <c r="R13" s="10" t="s">
        <v>356</v>
      </c>
      <c r="S13" s="10" t="s">
        <v>347</v>
      </c>
    </row>
    <row r="14" spans="1:19" ht="58.05" customHeight="1" x14ac:dyDescent="0.3">
      <c r="A14" s="10" t="s">
        <v>125</v>
      </c>
      <c r="B14" s="10" t="s">
        <v>120</v>
      </c>
      <c r="C14" s="13" t="str">
        <f t="shared" si="0"/>
        <v>Externo</v>
      </c>
      <c r="D14" s="10" t="s">
        <v>357</v>
      </c>
      <c r="E14" s="10" t="s">
        <v>358</v>
      </c>
      <c r="F14" s="10" t="s">
        <v>359</v>
      </c>
      <c r="G14" s="10" t="s">
        <v>360</v>
      </c>
      <c r="H14" s="10" t="s">
        <v>128</v>
      </c>
      <c r="I14" s="10" t="s">
        <v>114</v>
      </c>
      <c r="J14" s="10" t="s">
        <v>120</v>
      </c>
      <c r="K14" s="10" t="s">
        <v>126</v>
      </c>
      <c r="L14" s="10" t="s">
        <v>276</v>
      </c>
      <c r="M14" s="10" t="s">
        <v>361</v>
      </c>
      <c r="N14" s="10" t="s">
        <v>362</v>
      </c>
      <c r="O14" s="14">
        <v>46387</v>
      </c>
      <c r="P14" s="13" t="str">
        <f>IF(A14="","",B14&amp;"|"&amp;COUNTIF(INDEX($B$5:$B$26,1):B14,B14))</f>
        <v>Oportunidade|1</v>
      </c>
      <c r="Q14" s="10" t="s">
        <v>131</v>
      </c>
      <c r="R14" s="10" t="s">
        <v>132</v>
      </c>
      <c r="S14" s="10" t="s">
        <v>133</v>
      </c>
    </row>
    <row r="15" spans="1:19" ht="58.05" customHeight="1" x14ac:dyDescent="0.3">
      <c r="A15" s="10" t="s">
        <v>221</v>
      </c>
      <c r="B15" s="10" t="s">
        <v>120</v>
      </c>
      <c r="C15" s="13" t="str">
        <f t="shared" si="0"/>
        <v>Externo</v>
      </c>
      <c r="D15" s="10" t="s">
        <v>363</v>
      </c>
      <c r="E15" s="10" t="s">
        <v>364</v>
      </c>
      <c r="F15" s="10" t="s">
        <v>365</v>
      </c>
      <c r="G15" s="10" t="s">
        <v>366</v>
      </c>
      <c r="H15" s="10" t="s">
        <v>223</v>
      </c>
      <c r="I15" s="10" t="s">
        <v>213</v>
      </c>
      <c r="J15" s="10" t="s">
        <v>120</v>
      </c>
      <c r="K15" s="10" t="s">
        <v>222</v>
      </c>
      <c r="L15" s="10" t="s">
        <v>287</v>
      </c>
      <c r="M15" s="10" t="s">
        <v>367</v>
      </c>
      <c r="N15" s="10" t="s">
        <v>368</v>
      </c>
      <c r="O15" s="14">
        <v>46387</v>
      </c>
      <c r="P15" s="13" t="str">
        <f>IF(A15="","",B15&amp;"|"&amp;COUNTIF(INDEX($B$5:$B$26,1):B15,B15))</f>
        <v>Oportunidade|2</v>
      </c>
      <c r="Q15" s="10" t="s">
        <v>131</v>
      </c>
      <c r="R15" s="10" t="s">
        <v>226</v>
      </c>
      <c r="S15" s="10" t="s">
        <v>227</v>
      </c>
    </row>
    <row r="16" spans="1:19" ht="58.05" customHeight="1" x14ac:dyDescent="0.3">
      <c r="A16" s="10" t="s">
        <v>235</v>
      </c>
      <c r="B16" s="10" t="s">
        <v>120</v>
      </c>
      <c r="C16" s="13" t="str">
        <f t="shared" si="0"/>
        <v>Externo</v>
      </c>
      <c r="D16" s="10" t="s">
        <v>369</v>
      </c>
      <c r="E16" s="10" t="s">
        <v>370</v>
      </c>
      <c r="F16" s="10" t="s">
        <v>371</v>
      </c>
      <c r="G16" s="10" t="s">
        <v>274</v>
      </c>
      <c r="H16" s="10" t="s">
        <v>237</v>
      </c>
      <c r="I16" s="10" t="s">
        <v>228</v>
      </c>
      <c r="J16" s="10" t="s">
        <v>120</v>
      </c>
      <c r="K16" s="10" t="s">
        <v>236</v>
      </c>
      <c r="L16" s="10" t="s">
        <v>287</v>
      </c>
      <c r="M16" s="10" t="s">
        <v>372</v>
      </c>
      <c r="N16" s="10" t="s">
        <v>373</v>
      </c>
      <c r="O16" s="14">
        <v>46387</v>
      </c>
      <c r="P16" s="13" t="str">
        <f>IF(A16="","",B16&amp;"|"&amp;COUNTIF(INDEX($B$5:$B$26,1):B16,B16))</f>
        <v>Oportunidade|3</v>
      </c>
      <c r="Q16" s="10" t="s">
        <v>131</v>
      </c>
      <c r="R16" s="10" t="s">
        <v>240</v>
      </c>
      <c r="S16" s="10" t="s">
        <v>374</v>
      </c>
    </row>
    <row r="17" spans="1:19" ht="58.05" customHeight="1" x14ac:dyDescent="0.3">
      <c r="A17" s="10" t="s">
        <v>154</v>
      </c>
      <c r="B17" s="10" t="s">
        <v>375</v>
      </c>
      <c r="C17" s="13" t="str">
        <f t="shared" si="0"/>
        <v>Externo</v>
      </c>
      <c r="D17" s="10" t="s">
        <v>376</v>
      </c>
      <c r="E17" s="10" t="s">
        <v>377</v>
      </c>
      <c r="F17" s="10" t="s">
        <v>378</v>
      </c>
      <c r="G17" s="10" t="s">
        <v>312</v>
      </c>
      <c r="H17" s="10" t="s">
        <v>157</v>
      </c>
      <c r="I17" s="10" t="s">
        <v>148</v>
      </c>
      <c r="J17" s="10" t="s">
        <v>139</v>
      </c>
      <c r="K17" s="10" t="s">
        <v>155</v>
      </c>
      <c r="L17" s="10" t="s">
        <v>276</v>
      </c>
      <c r="M17" s="10" t="s">
        <v>379</v>
      </c>
      <c r="N17" s="10" t="s">
        <v>380</v>
      </c>
      <c r="O17" s="14">
        <v>46387</v>
      </c>
      <c r="P17" s="13" t="str">
        <f>IF(A17="","",B17&amp;"|"&amp;COUNTIF(INDEX($B$5:$B$26,1):B17,B17))</f>
        <v>Ameaça|1</v>
      </c>
      <c r="Q17" s="10" t="s">
        <v>131</v>
      </c>
      <c r="R17" s="10" t="s">
        <v>158</v>
      </c>
      <c r="S17" s="10" t="s">
        <v>381</v>
      </c>
    </row>
    <row r="18" spans="1:19" ht="58.05" customHeight="1" x14ac:dyDescent="0.3">
      <c r="A18" s="10" t="s">
        <v>142</v>
      </c>
      <c r="B18" s="10" t="s">
        <v>375</v>
      </c>
      <c r="C18" s="13" t="str">
        <f t="shared" si="0"/>
        <v>Externo</v>
      </c>
      <c r="D18" s="10" t="s">
        <v>382</v>
      </c>
      <c r="E18" s="10" t="s">
        <v>383</v>
      </c>
      <c r="F18" s="10" t="s">
        <v>384</v>
      </c>
      <c r="G18" s="10" t="s">
        <v>385</v>
      </c>
      <c r="H18" s="10" t="s">
        <v>145</v>
      </c>
      <c r="I18" s="10" t="s">
        <v>134</v>
      </c>
      <c r="J18" s="10" t="s">
        <v>139</v>
      </c>
      <c r="K18" s="10" t="s">
        <v>248</v>
      </c>
      <c r="L18" s="10" t="s">
        <v>287</v>
      </c>
      <c r="M18" s="10" t="s">
        <v>386</v>
      </c>
      <c r="N18" s="10" t="s">
        <v>387</v>
      </c>
      <c r="O18" s="14">
        <v>46387</v>
      </c>
      <c r="P18" s="13" t="str">
        <f>IF(A18="","",B18&amp;"|"&amp;COUNTIF(INDEX($B$5:$B$26,1):B18,B18))</f>
        <v>Ameaça|2</v>
      </c>
      <c r="Q18" s="10" t="s">
        <v>131</v>
      </c>
      <c r="R18" s="10" t="s">
        <v>146</v>
      </c>
      <c r="S18" s="10" t="s">
        <v>388</v>
      </c>
    </row>
    <row r="19" spans="1:19" ht="58.05" customHeight="1" x14ac:dyDescent="0.3">
      <c r="A19" s="10" t="s">
        <v>182</v>
      </c>
      <c r="B19" s="10" t="s">
        <v>375</v>
      </c>
      <c r="C19" s="13" t="str">
        <f t="shared" si="0"/>
        <v>Externo</v>
      </c>
      <c r="D19" s="10" t="s">
        <v>389</v>
      </c>
      <c r="E19" s="10" t="s">
        <v>390</v>
      </c>
      <c r="F19" s="10" t="s">
        <v>391</v>
      </c>
      <c r="G19" s="10" t="s">
        <v>392</v>
      </c>
      <c r="H19" s="10" t="s">
        <v>185</v>
      </c>
      <c r="I19" s="10" t="s">
        <v>173</v>
      </c>
      <c r="J19" s="10" t="s">
        <v>139</v>
      </c>
      <c r="K19" s="10" t="s">
        <v>183</v>
      </c>
      <c r="L19" s="10" t="s">
        <v>287</v>
      </c>
      <c r="M19" s="10" t="s">
        <v>393</v>
      </c>
      <c r="N19" s="10" t="s">
        <v>394</v>
      </c>
      <c r="O19" s="14">
        <v>46387</v>
      </c>
      <c r="P19" s="13" t="str">
        <f>IF(A19="","",B19&amp;"|"&amp;COUNTIF(INDEX($B$5:$B$26,1):B19,B19))</f>
        <v>Ameaça|3</v>
      </c>
      <c r="Q19" s="10" t="s">
        <v>131</v>
      </c>
      <c r="R19" s="10" t="s">
        <v>187</v>
      </c>
      <c r="S19" s="10" t="s">
        <v>395</v>
      </c>
    </row>
    <row r="20" spans="1:19" ht="58.05" customHeight="1" x14ac:dyDescent="0.3">
      <c r="A20" s="10" t="s">
        <v>197</v>
      </c>
      <c r="B20" s="10" t="s">
        <v>375</v>
      </c>
      <c r="C20" s="13" t="str">
        <f t="shared" si="0"/>
        <v>Externo</v>
      </c>
      <c r="D20" s="10" t="s">
        <v>396</v>
      </c>
      <c r="E20" s="10" t="s">
        <v>397</v>
      </c>
      <c r="F20" s="10" t="s">
        <v>398</v>
      </c>
      <c r="G20" s="10" t="s">
        <v>399</v>
      </c>
      <c r="H20" s="10" t="s">
        <v>199</v>
      </c>
      <c r="I20" s="10" t="s">
        <v>189</v>
      </c>
      <c r="J20" s="10" t="s">
        <v>139</v>
      </c>
      <c r="K20" s="10" t="s">
        <v>198</v>
      </c>
      <c r="L20" s="10" t="s">
        <v>287</v>
      </c>
      <c r="M20" s="10" t="s">
        <v>400</v>
      </c>
      <c r="N20" s="10" t="s">
        <v>401</v>
      </c>
      <c r="O20" s="14">
        <v>46387</v>
      </c>
      <c r="P20" s="13" t="str">
        <f>IF(A20="","",B20&amp;"|"&amp;COUNTIF(INDEX($B$5:$B$26,1):B20,B20))</f>
        <v>Ameaça|4</v>
      </c>
      <c r="Q20" s="10" t="s">
        <v>131</v>
      </c>
      <c r="R20" s="10" t="s">
        <v>211</v>
      </c>
      <c r="S20" s="10" t="s">
        <v>402</v>
      </c>
    </row>
    <row r="21" spans="1:19" ht="58.05" customHeight="1" x14ac:dyDescent="0.3">
      <c r="A21" s="10"/>
      <c r="B21" s="10"/>
      <c r="C21" s="13" t="str">
        <f t="shared" si="0"/>
        <v/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4"/>
      <c r="P21" s="13" t="str">
        <f>IF(A21="","",B21&amp;"|"&amp;COUNTIF(INDEX($B$5:$B$26,1):B21,B21))</f>
        <v/>
      </c>
      <c r="Q21" s="10"/>
      <c r="R21" s="10"/>
      <c r="S21" s="10"/>
    </row>
    <row r="22" spans="1:19" ht="58.05" customHeight="1" x14ac:dyDescent="0.3">
      <c r="A22" s="10"/>
      <c r="B22" s="10"/>
      <c r="C22" s="13" t="str">
        <f t="shared" si="0"/>
        <v/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4"/>
      <c r="P22" s="13" t="str">
        <f>IF(A22="","",B22&amp;"|"&amp;COUNTIF(INDEX($B$5:$B$26,1):B22,B22))</f>
        <v/>
      </c>
      <c r="Q22" s="10"/>
      <c r="R22" s="10"/>
      <c r="S22" s="10"/>
    </row>
    <row r="23" spans="1:19" ht="58.05" customHeight="1" x14ac:dyDescent="0.3">
      <c r="A23" s="10"/>
      <c r="B23" s="10"/>
      <c r="C23" s="13" t="str">
        <f t="shared" si="0"/>
        <v/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4"/>
      <c r="P23" s="13" t="str">
        <f>IF(A23="","",B23&amp;"|"&amp;COUNTIF(INDEX($B$5:$B$26,1):B23,B23))</f>
        <v/>
      </c>
      <c r="Q23" s="10"/>
      <c r="R23" s="10"/>
      <c r="S23" s="10"/>
    </row>
    <row r="24" spans="1:19" ht="58.05" customHeight="1" x14ac:dyDescent="0.3">
      <c r="A24" s="10"/>
      <c r="B24" s="10"/>
      <c r="C24" s="13" t="str">
        <f t="shared" si="0"/>
        <v/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4"/>
      <c r="P24" s="13" t="str">
        <f>IF(A24="","",B24&amp;"|"&amp;COUNTIF(INDEX($B$5:$B$26,1):B24,B24))</f>
        <v/>
      </c>
      <c r="Q24" s="10"/>
      <c r="R24" s="10"/>
      <c r="S24" s="10"/>
    </row>
    <row r="25" spans="1:19" ht="58.05" customHeight="1" x14ac:dyDescent="0.3">
      <c r="A25" s="10"/>
      <c r="B25" s="10"/>
      <c r="C25" s="13" t="str">
        <f t="shared" si="0"/>
        <v/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4"/>
      <c r="P25" s="13" t="str">
        <f>IF(A25="","",B25&amp;"|"&amp;COUNTIF(INDEX($B$5:$B$26,1):B25,B25))</f>
        <v/>
      </c>
      <c r="Q25" s="10"/>
      <c r="R25" s="10"/>
      <c r="S25" s="10"/>
    </row>
    <row r="26" spans="1:19" ht="58.05" customHeight="1" x14ac:dyDescent="0.3">
      <c r="A26" s="10"/>
      <c r="B26" s="10"/>
      <c r="C26" s="13" t="str">
        <f t="shared" si="0"/>
        <v/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4"/>
      <c r="P26" s="13" t="str">
        <f>IF(A26="","",B26&amp;"|"&amp;COUNTIF(INDEX($B$5:$B$26,1):B26,B26))</f>
        <v/>
      </c>
      <c r="Q26" s="10"/>
      <c r="R26" s="10"/>
      <c r="S26" s="10"/>
    </row>
  </sheetData>
  <conditionalFormatting sqref="B5:B226">
    <cfRule type="expression" dxfId="15" priority="1">
      <formula>ISNUMBER(SEARCH("Força",B5))</formula>
    </cfRule>
    <cfRule type="expression" dxfId="14" priority="2">
      <formula>ISNUMBER(SEARCH("Fraqueza",B5))</formula>
    </cfRule>
    <cfRule type="expression" dxfId="13" priority="3">
      <formula>ISNUMBER(SEARCH("Oportunidade",B5))</formula>
    </cfRule>
    <cfRule type="expression" dxfId="12" priority="4">
      <formula>ISNUMBER(SEARCH("Ameaça",B5))</formula>
    </cfRule>
  </conditionalFormatting>
  <conditionalFormatting sqref="L5:L226">
    <cfRule type="expression" dxfId="11" priority="5">
      <formula>ISNUMBER(SEARCH("Sim",L5))</formula>
    </cfRule>
  </conditionalFormatting>
  <dataValidations count="5">
    <dataValidation type="list" allowBlank="1" showErrorMessage="1" errorTitle="Valor inválido" error="Valor fora da lista controlada (ver folha Listas)." sqref="B5:B226" xr:uid="{00000000-0002-0000-0200-000000000000}">
      <formula1>lst_Quadrante</formula1>
    </dataValidation>
    <dataValidation type="list" allowBlank="1" showErrorMessage="1" errorTitle="Valor inválido" error="Valor fora da lista controlada (ver folha Listas)." sqref="G5:G226" xr:uid="{00000000-0002-0000-0200-000001000000}">
      <formula1>lst_Processo</formula1>
    </dataValidation>
    <dataValidation type="list" allowBlank="1" showErrorMessage="1" errorTitle="Valor inválido" error="Valor fora da lista controlada (ver folha Listas)." sqref="H5:H226" xr:uid="{00000000-0002-0000-0200-000002000000}">
      <formula1>lst_Tema</formula1>
    </dataValidation>
    <dataValidation type="list" allowBlank="1" showErrorMessage="1" errorTitle="Valor inválido" error="Valor fora da lista controlada (ver folha Listas)." sqref="J5:J226" xr:uid="{00000000-0002-0000-0200-000003000000}">
      <formula1>lst_Classificacao</formula1>
    </dataValidation>
    <dataValidation type="list" allowBlank="1" showErrorMessage="1" errorTitle="Valor inválido" error="Valor fora da lista controlada (ver folha Listas)." sqref="L5:L226" xr:uid="{00000000-0002-0000-0200-000004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4" customWidth="1"/>
    <col min="3" max="3" width="26" customWidth="1"/>
    <col min="4" max="4" width="60" customWidth="1"/>
    <col min="5" max="5" width="10" customWidth="1"/>
    <col min="6" max="6" width="12" customWidth="1"/>
    <col min="7" max="8" width="30" customWidth="1"/>
    <col min="9" max="9" width="16" customWidth="1"/>
  </cols>
  <sheetData>
    <row r="1" spans="1:9" ht="17.399999999999999" x14ac:dyDescent="0.3">
      <c r="A1" s="1" t="s">
        <v>403</v>
      </c>
    </row>
    <row r="2" spans="1:9" x14ac:dyDescent="0.3">
      <c r="A2" s="2" t="s">
        <v>404</v>
      </c>
    </row>
    <row r="4" spans="1:9" ht="26.4" x14ac:dyDescent="0.3">
      <c r="A4" s="8" t="s">
        <v>405</v>
      </c>
      <c r="B4" s="8" t="s">
        <v>406</v>
      </c>
      <c r="C4" s="8" t="s">
        <v>407</v>
      </c>
      <c r="D4" s="8" t="s">
        <v>266</v>
      </c>
      <c r="E4" s="8" t="s">
        <v>408</v>
      </c>
      <c r="F4" s="8" t="s">
        <v>409</v>
      </c>
      <c r="G4" s="8" t="s">
        <v>108</v>
      </c>
      <c r="H4" s="8" t="s">
        <v>410</v>
      </c>
      <c r="I4" s="8" t="s">
        <v>112</v>
      </c>
    </row>
    <row r="5" spans="1:9" ht="48" customHeight="1" x14ac:dyDescent="0.3">
      <c r="A5" s="10" t="s">
        <v>411</v>
      </c>
      <c r="B5" s="10" t="s">
        <v>412</v>
      </c>
      <c r="C5" s="10" t="s">
        <v>413</v>
      </c>
      <c r="D5" s="10" t="s">
        <v>414</v>
      </c>
      <c r="E5" s="10" t="s">
        <v>415</v>
      </c>
      <c r="F5" s="14">
        <v>46568</v>
      </c>
      <c r="G5" s="10" t="s">
        <v>239</v>
      </c>
      <c r="H5" s="10" t="s">
        <v>416</v>
      </c>
      <c r="I5" s="10" t="s">
        <v>240</v>
      </c>
    </row>
    <row r="6" spans="1:9" ht="48" customHeight="1" x14ac:dyDescent="0.3">
      <c r="A6" s="10" t="s">
        <v>417</v>
      </c>
      <c r="B6" s="10" t="s">
        <v>412</v>
      </c>
      <c r="C6" s="10" t="s">
        <v>418</v>
      </c>
      <c r="D6" s="10" t="s">
        <v>419</v>
      </c>
      <c r="E6" s="10"/>
      <c r="F6" s="14">
        <v>46477</v>
      </c>
      <c r="G6" s="10" t="s">
        <v>130</v>
      </c>
      <c r="H6" s="10" t="s">
        <v>420</v>
      </c>
      <c r="I6" s="10" t="s">
        <v>132</v>
      </c>
    </row>
    <row r="7" spans="1:9" ht="48" customHeight="1" x14ac:dyDescent="0.3">
      <c r="A7" s="10" t="s">
        <v>421</v>
      </c>
      <c r="B7" s="10" t="s">
        <v>422</v>
      </c>
      <c r="C7" s="10" t="s">
        <v>423</v>
      </c>
      <c r="D7" s="10" t="s">
        <v>424</v>
      </c>
      <c r="E7" s="10" t="s">
        <v>425</v>
      </c>
      <c r="F7" s="14">
        <v>46568</v>
      </c>
      <c r="G7" s="10" t="s">
        <v>11</v>
      </c>
      <c r="H7" s="10" t="s">
        <v>289</v>
      </c>
      <c r="I7" s="10" t="s">
        <v>158</v>
      </c>
    </row>
    <row r="8" spans="1:9" ht="48" customHeight="1" x14ac:dyDescent="0.3">
      <c r="A8" s="10" t="s">
        <v>426</v>
      </c>
      <c r="B8" s="10" t="s">
        <v>427</v>
      </c>
      <c r="C8" s="10" t="s">
        <v>428</v>
      </c>
      <c r="D8" s="10" t="s">
        <v>429</v>
      </c>
      <c r="E8" s="10"/>
      <c r="F8" s="14">
        <v>46568</v>
      </c>
      <c r="G8" s="10" t="s">
        <v>430</v>
      </c>
      <c r="H8" s="10" t="s">
        <v>327</v>
      </c>
      <c r="I8" s="10" t="s">
        <v>325</v>
      </c>
    </row>
    <row r="9" spans="1:9" ht="48" customHeight="1" x14ac:dyDescent="0.3">
      <c r="A9" s="10" t="s">
        <v>431</v>
      </c>
      <c r="B9" s="10" t="s">
        <v>432</v>
      </c>
      <c r="C9" s="10" t="s">
        <v>433</v>
      </c>
      <c r="D9" s="10" t="s">
        <v>434</v>
      </c>
      <c r="E9" s="10" t="s">
        <v>425</v>
      </c>
      <c r="F9" s="14">
        <v>46477</v>
      </c>
      <c r="G9" s="10" t="s">
        <v>11</v>
      </c>
      <c r="H9" s="10" t="s">
        <v>435</v>
      </c>
      <c r="I9" s="10" t="s">
        <v>436</v>
      </c>
    </row>
    <row r="10" spans="1:9" ht="48" customHeight="1" x14ac:dyDescent="0.3">
      <c r="A10" s="10" t="s">
        <v>437</v>
      </c>
      <c r="B10" s="10" t="s">
        <v>432</v>
      </c>
      <c r="C10" s="10" t="s">
        <v>438</v>
      </c>
      <c r="D10" s="10" t="s">
        <v>439</v>
      </c>
      <c r="E10" s="10" t="s">
        <v>440</v>
      </c>
      <c r="F10" s="14">
        <v>46326</v>
      </c>
      <c r="G10" s="10" t="s">
        <v>170</v>
      </c>
      <c r="H10" s="10" t="s">
        <v>441</v>
      </c>
      <c r="I10" s="10" t="s">
        <v>442</v>
      </c>
    </row>
  </sheetData>
  <dataValidations count="2">
    <dataValidation type="list" allowBlank="1" showErrorMessage="1" errorTitle="Valor inválido" error="Valor fora da lista controlada (ver folha Listas)." sqref="B5:B210" xr:uid="{00000000-0002-0000-0300-000000000000}">
      <formula1>lst_Cruzamento</formula1>
    </dataValidation>
    <dataValidation type="list" allowBlank="1" showErrorMessage="1" errorTitle="Valor inválido" error="Valor fora da lista controlada (ver folha Listas)." sqref="G5:G210" xr:uid="{00000000-0002-0000-03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8" customWidth="1"/>
    <col min="3" max="3" width="60" customWidth="1"/>
    <col min="4" max="4" width="11" customWidth="1"/>
    <col min="5" max="5" width="46" customWidth="1"/>
    <col min="6" max="6" width="14" customWidth="1"/>
    <col min="7" max="7" width="16" customWidth="1"/>
    <col min="8" max="8" width="44" customWidth="1"/>
    <col min="9" max="9" width="12" customWidth="1"/>
  </cols>
  <sheetData>
    <row r="1" spans="1:9" ht="17.399999999999999" x14ac:dyDescent="0.3">
      <c r="A1" s="1" t="s">
        <v>443</v>
      </c>
    </row>
    <row r="2" spans="1:9" x14ac:dyDescent="0.3">
      <c r="A2" s="2" t="s">
        <v>444</v>
      </c>
    </row>
    <row r="4" spans="1:9" ht="26.4" x14ac:dyDescent="0.3">
      <c r="A4" s="8" t="s">
        <v>445</v>
      </c>
      <c r="B4" s="8" t="s">
        <v>446</v>
      </c>
      <c r="C4" s="8" t="s">
        <v>447</v>
      </c>
      <c r="D4" s="8" t="s">
        <v>95</v>
      </c>
      <c r="E4" s="8" t="s">
        <v>448</v>
      </c>
      <c r="F4" s="8" t="s">
        <v>94</v>
      </c>
      <c r="G4" s="8" t="s">
        <v>112</v>
      </c>
      <c r="H4" s="8" t="s">
        <v>449</v>
      </c>
      <c r="I4" s="8" t="s">
        <v>109</v>
      </c>
    </row>
    <row r="5" spans="1:9" ht="48" customHeight="1" x14ac:dyDescent="0.3">
      <c r="A5" s="10" t="s">
        <v>450</v>
      </c>
      <c r="B5" s="10" t="s">
        <v>451</v>
      </c>
      <c r="C5" s="10" t="s">
        <v>452</v>
      </c>
      <c r="D5" s="10" t="s">
        <v>121</v>
      </c>
      <c r="E5" s="10" t="s">
        <v>453</v>
      </c>
      <c r="F5" s="10" t="s">
        <v>139</v>
      </c>
      <c r="G5" s="10" t="s">
        <v>158</v>
      </c>
      <c r="H5" s="10" t="s">
        <v>454</v>
      </c>
      <c r="I5" s="14">
        <v>46387</v>
      </c>
    </row>
    <row r="6" spans="1:9" ht="48" customHeight="1" x14ac:dyDescent="0.3">
      <c r="A6" s="10" t="s">
        <v>455</v>
      </c>
      <c r="B6" s="10" t="s">
        <v>456</v>
      </c>
      <c r="C6" s="10" t="s">
        <v>457</v>
      </c>
      <c r="D6" s="10" t="s">
        <v>165</v>
      </c>
      <c r="E6" s="10" t="s">
        <v>458</v>
      </c>
      <c r="F6" s="10" t="s">
        <v>139</v>
      </c>
      <c r="G6" s="10" t="s">
        <v>187</v>
      </c>
      <c r="H6" s="10" t="s">
        <v>459</v>
      </c>
      <c r="I6" s="14">
        <v>46387</v>
      </c>
    </row>
    <row r="7" spans="1:9" ht="48" customHeight="1" x14ac:dyDescent="0.3">
      <c r="A7" s="10" t="s">
        <v>460</v>
      </c>
      <c r="B7" s="10" t="s">
        <v>461</v>
      </c>
      <c r="C7" s="10" t="s">
        <v>462</v>
      </c>
      <c r="D7" s="10" t="s">
        <v>165</v>
      </c>
      <c r="E7" s="10" t="s">
        <v>463</v>
      </c>
      <c r="F7" s="10" t="s">
        <v>120</v>
      </c>
      <c r="G7" s="10" t="s">
        <v>126</v>
      </c>
      <c r="H7" s="10" t="s">
        <v>464</v>
      </c>
      <c r="I7" s="14">
        <v>46387</v>
      </c>
    </row>
    <row r="8" spans="1:9" ht="48" customHeight="1" x14ac:dyDescent="0.3">
      <c r="A8" s="10" t="s">
        <v>465</v>
      </c>
      <c r="B8" s="10" t="s">
        <v>466</v>
      </c>
      <c r="C8" s="10" t="s">
        <v>467</v>
      </c>
      <c r="D8" s="10" t="s">
        <v>121</v>
      </c>
      <c r="E8" s="10" t="s">
        <v>468</v>
      </c>
      <c r="F8" s="10" t="s">
        <v>139</v>
      </c>
      <c r="G8" s="10" t="s">
        <v>469</v>
      </c>
      <c r="H8" s="10" t="s">
        <v>470</v>
      </c>
      <c r="I8" s="14">
        <v>46387</v>
      </c>
    </row>
    <row r="9" spans="1:9" ht="48" customHeight="1" x14ac:dyDescent="0.3">
      <c r="A9" s="10" t="s">
        <v>471</v>
      </c>
      <c r="B9" s="10" t="s">
        <v>472</v>
      </c>
      <c r="C9" s="10" t="s">
        <v>473</v>
      </c>
      <c r="D9" s="10" t="s">
        <v>121</v>
      </c>
      <c r="E9" s="10" t="s">
        <v>474</v>
      </c>
      <c r="F9" s="10" t="s">
        <v>120</v>
      </c>
      <c r="G9" s="10" t="s">
        <v>475</v>
      </c>
      <c r="H9" s="10" t="s">
        <v>476</v>
      </c>
      <c r="I9" s="14">
        <v>46387</v>
      </c>
    </row>
  </sheetData>
  <conditionalFormatting sqref="F5:F209">
    <cfRule type="expression" dxfId="10" priority="1">
      <formula>ISNUMBER(SEARCH("Oportunidade",F5))</formula>
    </cfRule>
    <cfRule type="expression" dxfId="9" priority="2">
      <formula>ISNUMBER(SEARCH("Risco",F5))</formula>
    </cfRule>
  </conditionalFormatting>
  <dataValidations count="2">
    <dataValidation type="list" allowBlank="1" showErrorMessage="1" errorTitle="Valor inválido" error="Valor fora da lista controlada (ver folha Listas)." sqref="D5:D209" xr:uid="{00000000-0002-0000-0400-000000000000}">
      <formula1>lst_Tendencia</formula1>
    </dataValidation>
    <dataValidation type="list" allowBlank="1" showErrorMessage="1" errorTitle="Valor inválido" error="Valor fora da lista controlada (ver folha Listas)." sqref="F5:F209" xr:uid="{00000000-0002-0000-0400-000001000000}">
      <formula1>lst_Classificacao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20"/>
  <sheetViews>
    <sheetView showGridLines="0" workbookViewId="0"/>
  </sheetViews>
  <sheetFormatPr defaultRowHeight="14.4" x14ac:dyDescent="0.3"/>
  <cols>
    <col min="1" max="2" width="70" customWidth="1"/>
  </cols>
  <sheetData>
    <row r="1" spans="1:2" ht="17.399999999999999" x14ac:dyDescent="0.3">
      <c r="A1" s="1" t="s">
        <v>477</v>
      </c>
    </row>
    <row r="2" spans="1:2" x14ac:dyDescent="0.3">
      <c r="A2" s="2" t="s">
        <v>478</v>
      </c>
    </row>
    <row r="4" spans="1:2" x14ac:dyDescent="0.3">
      <c r="A4" s="16" t="s">
        <v>479</v>
      </c>
      <c r="B4" s="17" t="s">
        <v>480</v>
      </c>
    </row>
    <row r="5" spans="1:2" ht="42" customHeight="1" x14ac:dyDescent="0.3">
      <c r="A5" s="18" t="str">
        <f>IFERROR(IF(INDEX(SWOT!$L$5:$L$26,MATCH("Força|1",SWOT!$P$5:$P$26,0))="Sim","► ","• ")&amp;INDEX(SWOT!$A$5:$A$26,MATCH("Força|1",SWOT!$P$5:$P$26,0))&amp;" — "&amp;INDEX(SWOT!$D$5:$D$26,MATCH("Força|1",SWOT!$P$5:$P$26,0)),"")</f>
        <v>► SWTQ-F01 — Cultura de dados: 18 meses de OEE, SPC, AQL e rastreabilidade lote → ordem num data warehouse (bronze/silver/gold) com Power BI.</v>
      </c>
      <c r="B5" s="18" t="str">
        <f>IFERROR(IF(INDEX(SWOT!$L$5:$L$26,MATCH("Fraqueza|1",SWOT!$P$5:$P$26,0))="Sim","► ","• ")&amp;INDEX(SWOT!$A$5:$A$26,MATCH("Fraqueza|1",SWOT!$P$5:$P$26,0))&amp;" — "&amp;INDEX(SWOT!$D$5:$D$26,MATCH("Fraqueza|1",SWOT!$P$5:$P$26,0)),"")</f>
        <v>► SWTQ-W01 — Desempenho da qualidade abaixo da meta: rejeição ≈ 2,4% (meta 2,0%), FPY 88,7% e 31% das CAPA não eficazes.</v>
      </c>
    </row>
    <row r="6" spans="1:2" ht="42" customHeight="1" x14ac:dyDescent="0.3">
      <c r="A6" s="18" t="str">
        <f>IFERROR(IF(INDEX(SWOT!$L$5:$L$26,MATCH("Força|2",SWOT!$P$5:$P$26,0))="Sim","► ","• ")&amp;INDEX(SWOT!$A$5:$A$26,MATCH("Força|2",SWOT!$P$5:$P$26,0))&amp;" — "&amp;INDEX(SWOT!$D$5:$D$26,MATCH("Força|2",SWOT!$P$5:$P$26,0)),"")</f>
        <v>• SWTQ-F02 — Sistema de medição adequado no peso das tampas (%GRR 3,5% da variação total; ndc 40).</v>
      </c>
      <c r="B6" s="18" t="str">
        <f>IFERROR(IF(INDEX(SWOT!$L$5:$L$26,MATCH("Fraqueza|2",SWOT!$P$5:$P$26,0))="Sim","► ","• ")&amp;INDEX(SWOT!$A$5:$A$26,MATCH("Fraqueza|2",SWOT!$P$5:$P$26,0))&amp;" — "&amp;INDEX(SWOT!$D$5:$D$26,MATCH("Fraqueza|2",SWOT!$P$5:$P$26,0)),"")</f>
        <v>• SWTQ-W02 — Cultura de produtividade: pressão por meta e prémio de defeito no turno 2 (fadiga, passagem de turno).</v>
      </c>
    </row>
    <row r="7" spans="1:2" ht="42" customHeight="1" x14ac:dyDescent="0.3">
      <c r="A7" s="18" t="str">
        <f>IFERROR(IF(INDEX(SWOT!$L$5:$L$26,MATCH("Força|3",SWOT!$P$5:$P$26,0))="Sim","► ","• ")&amp;INDEX(SWOT!$A$5:$A$26,MATCH("Força|3",SWOT!$P$5:$P$26,0))&amp;" — "&amp;INDEX(SWOT!$D$5:$D$26,MATCH("Força|3",SWOT!$P$5:$P$26,0)),"")</f>
        <v>• SWTQ-F03 — Estratégia 2026–2028 aprovada: crescer em alimentar/farma e certificar o SGI (ISO 9001:2026 + ISO 14001:2026).</v>
      </c>
      <c r="B7" s="18" t="str">
        <f>IFERROR(IF(INDEX(SWOT!$L$5:$L$26,MATCH("Fraqueza|3",SWOT!$P$5:$P$26,0))="Sim","► ","• ")&amp;INDEX(SWOT!$A$5:$A$26,MATCH("Fraqueza|3",SWOT!$P$5:$P$26,0))&amp;" — "&amp;INDEX(SWOT!$D$5:$D$26,MATCH("Fraqueza|3",SWOT!$P$5:$P$26,0)),"")</f>
        <v>• SWTQ-W03 — Conhecimento crítico concentrado em poucas pessoas (afinação de moldes, DOE da IM-002, Gage R&amp;R).</v>
      </c>
    </row>
    <row r="8" spans="1:2" ht="42" customHeight="1" x14ac:dyDescent="0.3">
      <c r="A8" s="18" t="str">
        <f>IFERROR(IF(INDEX(SWOT!$L$5:$L$26,MATCH("Força|4",SWOT!$P$5:$P$26,0))="Sim","► ","• ")&amp;INDEX(SWOT!$A$5:$A$26,MATCH("Força|4",SWOT!$P$5:$P$26,0))&amp;" — "&amp;INDEX(SWOT!$D$5:$D$26,MATCH("Força|4",SWOT!$P$5:$P$26,0)),"")</f>
        <v>• SWTQ-F04 — Causas-raiz conhecidas com evidência causal forte (IM-002 com MSA e DOE; SS-001 e M-SOP-007 respondem à intervenção).</v>
      </c>
      <c r="B8" s="18" t="str">
        <f>IFERROR(IF(INDEX(SWOT!$L$5:$L$26,MATCH("Fraqueza|4",SWOT!$P$5:$P$26,0))="Sim","► ","• ")&amp;INDEX(SWOT!$A$5:$A$26,MATCH("Fraqueza|4",SWOT!$P$5:$P$26,0))&amp;" — "&amp;INDEX(SWOT!$D$5:$D$26,MATCH("Fraqueza|4",SWOT!$P$5:$P$26,0)),"")</f>
        <v>• SWTQ-W04 — Frota com máquinas antigas (5 máquinas de 2011–2013) e 4 máquinas novas em 2026 por qualificar.</v>
      </c>
    </row>
    <row r="9" spans="1:2" ht="42" customHeight="1" x14ac:dyDescent="0.3">
      <c r="A9" s="18" t="str">
        <f>IFERROR(IF(INDEX(SWOT!$L$5:$L$26,MATCH("Força|5",SWOT!$P$5:$P$26,0))="Sim","► ","• ")&amp;INDEX(SWOT!$A$5:$A$26,MATCH("Força|5",SWOT!$P$5:$P$26,0))&amp;" — "&amp;INDEX(SWOT!$D$5:$D$26,MATCH("Força|5",SWOT!$P$5:$P$26,0)),"")</f>
        <v/>
      </c>
      <c r="B9" s="18" t="str">
        <f>IFERROR(IF(INDEX(SWOT!$L$5:$L$26,MATCH("Fraqueza|5",SWOT!$P$5:$P$26,0))="Sim","► ","• ")&amp;INDEX(SWOT!$A$5:$A$26,MATCH("Fraqueza|5",SWOT!$P$5:$P$26,0))&amp;" — "&amp;INDEX(SWOT!$D$5:$D$26,MATCH("Fraqueza|5",SWOT!$P$5:$P$26,0)),"")</f>
        <v>• SWTQ-W05 — Operadores temporários no pico e indisponibilidade de operadores (maior causa de paragem não planeada).</v>
      </c>
    </row>
    <row r="10" spans="1:2" ht="42" customHeight="1" x14ac:dyDescent="0.3">
      <c r="A10" s="18" t="str">
        <f>IFERROR(IF(INDEX(SWOT!$L$5:$L$26,MATCH("Força|6",SWOT!$P$5:$P$26,0))="Sim","► ","• ")&amp;INDEX(SWOT!$A$5:$A$26,MATCH("Força|6",SWOT!$P$5:$P$26,0))&amp;" — "&amp;INDEX(SWOT!$D$5:$D$26,MATCH("Força|6",SWOT!$P$5:$P$26,0)),"")</f>
        <v/>
      </c>
      <c r="B10" s="18" t="str">
        <f>IFERROR(IF(INDEX(SWOT!$L$5:$L$26,MATCH("Fraqueza|6",SWOT!$P$5:$P$26,0))="Sim","► ","• ")&amp;INDEX(SWOT!$A$5:$A$26,MATCH("Fraqueza|6",SWOT!$P$5:$P$26,0))&amp;" — "&amp;INDEX(SWOT!$D$5:$D$26,MATCH("Fraqueza|6",SWOT!$P$5:$P$26,0)),"")</f>
        <v/>
      </c>
    </row>
    <row r="11" spans="1:2" ht="42" customHeight="1" x14ac:dyDescent="0.3">
      <c r="A11" s="18" t="str">
        <f>IFERROR(IF(INDEX(SWOT!$L$5:$L$26,MATCH("Força|7",SWOT!$P$5:$P$26,0))="Sim","► ","• ")&amp;INDEX(SWOT!$A$5:$A$26,MATCH("Força|7",SWOT!$P$5:$P$26,0))&amp;" — "&amp;INDEX(SWOT!$D$5:$D$26,MATCH("Força|7",SWOT!$P$5:$P$26,0)),"")</f>
        <v/>
      </c>
      <c r="B11" s="18" t="str">
        <f>IFERROR(IF(INDEX(SWOT!$L$5:$L$26,MATCH("Fraqueza|7",SWOT!$P$5:$P$26,0))="Sim","► ","• ")&amp;INDEX(SWOT!$A$5:$A$26,MATCH("Fraqueza|7",SWOT!$P$5:$P$26,0))&amp;" — "&amp;INDEX(SWOT!$D$5:$D$26,MATCH("Fraqueza|7",SWOT!$P$5:$P$26,0)),"")</f>
        <v/>
      </c>
    </row>
    <row r="13" spans="1:2" x14ac:dyDescent="0.3">
      <c r="A13" s="19" t="s">
        <v>481</v>
      </c>
      <c r="B13" s="20" t="s">
        <v>482</v>
      </c>
    </row>
    <row r="14" spans="1:2" ht="42" customHeight="1" x14ac:dyDescent="0.3">
      <c r="A14" s="18" t="str">
        <f>IFERROR(IF(INDEX(SWOT!$L$5:$L$26,MATCH("Oportunidade|1",SWOT!$P$5:$P$26,0))="Sim","► ","• ")&amp;INDEX(SWOT!$A$5:$A$26,MATCH("Oportunidade|1",SWOT!$P$5:$P$26,0))&amp;" — "&amp;INDEX(SWOT!$D$5:$D$26,MATCH("Oportunidade|1",SWOT!$P$5:$P$26,0)),"")</f>
        <v>► SWTQ-O01 — Entrada em alimentar e farmacêutico: 4 clientes e 17 SKU novos em 2026.</v>
      </c>
      <c r="B14" s="18" t="str">
        <f>IFERROR(IF(INDEX(SWOT!$L$5:$L$26,MATCH("Ameaça|1",SWOT!$P$5:$P$26,0))="Sim","► ","• ")&amp;INDEX(SWOT!$A$5:$A$26,MATCH("Ameaça|1",SWOT!$P$5:$P$26,0))&amp;" — "&amp;INDEX(SWOT!$D$5:$D$26,MATCH("Ameaça|1",SWOT!$P$5:$P$26,0)),"")</f>
        <v>► SWTQ-T01 — Clientes exigem Cpk ≥ 1,33, zero defeito e rastreabilidade, com risco de reclamação e devolução.</v>
      </c>
    </row>
    <row r="15" spans="1:2" ht="42" customHeight="1" x14ac:dyDescent="0.3">
      <c r="A15" s="18" t="str">
        <f>IFERROR(IF(INDEX(SWOT!$L$5:$L$26,MATCH("Oportunidade|2",SWOT!$P$5:$P$26,0))="Sim","► ","• ")&amp;INDEX(SWOT!$A$5:$A$26,MATCH("Oportunidade|2",SWOT!$P$5:$P$26,0))&amp;" — "&amp;INDEX(SWOT!$D$5:$D$26,MATCH("Oportunidade|2",SWOT!$P$5:$P$26,0)),"")</f>
        <v>• SWTQ-O02 — Clientes valorizam declarações verificáveis de conteúdo reciclado e pegada de carbono do produto.</v>
      </c>
      <c r="B15" s="18" t="str">
        <f>IFERROR(IF(INDEX(SWOT!$L$5:$L$26,MATCH("Ameaça|2",SWOT!$P$5:$P$26,0))="Sim","► ","• ")&amp;INDEX(SWOT!$A$5:$A$26,MATCH("Ameaça|2",SWOT!$P$5:$P$26,0))&amp;" — "&amp;INDEX(SWOT!$D$5:$D$26,MATCH("Ameaça|2",SWOT!$P$5:$P$26,0)),"")</f>
        <v>• SWTQ-T02 — Requisitos legais de produto mais exigentes: materiais em contacto com alimentos, embalagem farmacêutica e PPWR.</v>
      </c>
    </row>
    <row r="16" spans="1:2" ht="42" customHeight="1" x14ac:dyDescent="0.3">
      <c r="A16" s="18" t="str">
        <f>IFERROR(IF(INDEX(SWOT!$L$5:$L$26,MATCH("Oportunidade|3",SWOT!$P$5:$P$26,0))="Sim","► ","• ")&amp;INDEX(SWOT!$A$5:$A$26,MATCH("Oportunidade|3",SWOT!$P$5:$P$26,0))&amp;" — "&amp;INDEX(SWOT!$D$5:$D$26,MATCH("Oportunidade|3",SWOT!$P$5:$P$26,0)),"")</f>
        <v>• SWTQ-O03 — Visão artificial, sensores e analytics para prevenir defeitos em vez de os inspecionar.</v>
      </c>
      <c r="B16" s="18" t="str">
        <f>IFERROR(IF(INDEX(SWOT!$L$5:$L$26,MATCH("Ameaça|3",SWOT!$P$5:$P$26,0))="Sim","► ","• ")&amp;INDEX(SWOT!$A$5:$A$26,MATCH("Ameaça|3",SWOT!$P$5:$P$26,0))&amp;" — "&amp;INDEX(SWOT!$D$5:$D$26,MATCH("Ameaça|3",SWOT!$P$5:$P$26,0)),"")</f>
        <v>• SWTQ-T03 — Qualidade variável de resinas spot e de PCR/rPET.</v>
      </c>
    </row>
    <row r="17" spans="1:2" ht="42" customHeight="1" x14ac:dyDescent="0.3">
      <c r="A17" s="18" t="str">
        <f>IFERROR(IF(INDEX(SWOT!$L$5:$L$26,MATCH("Oportunidade|4",SWOT!$P$5:$P$26,0))="Sim","► ","• ")&amp;INDEX(SWOT!$A$5:$A$26,MATCH("Oportunidade|4",SWOT!$P$5:$P$26,0))&amp;" — "&amp;INDEX(SWOT!$D$5:$D$26,MATCH("Oportunidade|4",SWOT!$P$5:$P$26,0)),"")</f>
        <v/>
      </c>
      <c r="B17" s="18" t="str">
        <f>IFERROR(IF(INDEX(SWOT!$L$5:$L$26,MATCH("Ameaça|4",SWOT!$P$5:$P$26,0))="Sim","► ","• ")&amp;INDEX(SWOT!$A$5:$A$26,MATCH("Ameaça|4",SWOT!$P$5:$P$26,0))&amp;" — "&amp;INDEX(SWOT!$D$5:$D$26,MATCH("Ameaça|4",SWOT!$P$5:$P$26,0)),"")</f>
        <v>• SWTQ-T04 — Ondas de calor e eventos climáticos extremos afetam a janela de processo e o abastecimento de resina.</v>
      </c>
    </row>
    <row r="18" spans="1:2" ht="42" customHeight="1" x14ac:dyDescent="0.3">
      <c r="A18" s="18" t="str">
        <f>IFERROR(IF(INDEX(SWOT!$L$5:$L$26,MATCH("Oportunidade|5",SWOT!$P$5:$P$26,0))="Sim","► ","• ")&amp;INDEX(SWOT!$A$5:$A$26,MATCH("Oportunidade|5",SWOT!$P$5:$P$26,0))&amp;" — "&amp;INDEX(SWOT!$D$5:$D$26,MATCH("Oportunidade|5",SWOT!$P$5:$P$26,0)),"")</f>
        <v/>
      </c>
      <c r="B18" s="18" t="str">
        <f>IFERROR(IF(INDEX(SWOT!$L$5:$L$26,MATCH("Ameaça|5",SWOT!$P$5:$P$26,0))="Sim","► ","• ")&amp;INDEX(SWOT!$A$5:$A$26,MATCH("Ameaça|5",SWOT!$P$5:$P$26,0))&amp;" — "&amp;INDEX(SWOT!$D$5:$D$26,MATCH("Ameaça|5",SWOT!$P$5:$P$26,0)),"")</f>
        <v/>
      </c>
    </row>
    <row r="19" spans="1:2" ht="42" customHeight="1" x14ac:dyDescent="0.3">
      <c r="A19" s="18" t="str">
        <f>IFERROR(IF(INDEX(SWOT!$L$5:$L$26,MATCH("Oportunidade|6",SWOT!$P$5:$P$26,0))="Sim","► ","• ")&amp;INDEX(SWOT!$A$5:$A$26,MATCH("Oportunidade|6",SWOT!$P$5:$P$26,0))&amp;" — "&amp;INDEX(SWOT!$D$5:$D$26,MATCH("Oportunidade|6",SWOT!$P$5:$P$26,0)),"")</f>
        <v/>
      </c>
      <c r="B19" s="18" t="str">
        <f>IFERROR(IF(INDEX(SWOT!$L$5:$L$26,MATCH("Ameaça|6",SWOT!$P$5:$P$26,0))="Sim","► ","• ")&amp;INDEX(SWOT!$A$5:$A$26,MATCH("Ameaça|6",SWOT!$P$5:$P$26,0))&amp;" — "&amp;INDEX(SWOT!$D$5:$D$26,MATCH("Ameaça|6",SWOT!$P$5:$P$26,0)),"")</f>
        <v/>
      </c>
    </row>
    <row r="20" spans="1:2" ht="42" customHeight="1" x14ac:dyDescent="0.3">
      <c r="A20" s="18" t="str">
        <f>IFERROR(IF(INDEX(SWOT!$L$5:$L$26,MATCH("Oportunidade|7",SWOT!$P$5:$P$26,0))="Sim","► ","• ")&amp;INDEX(SWOT!$A$5:$A$26,MATCH("Oportunidade|7",SWOT!$P$5:$P$26,0))&amp;" — "&amp;INDEX(SWOT!$D$5:$D$26,MATCH("Oportunidade|7",SWOT!$P$5:$P$26,0)),"")</f>
        <v/>
      </c>
      <c r="B20" s="18" t="str">
        <f>IFERROR(IF(INDEX(SWOT!$L$5:$L$26,MATCH("Ameaça|7",SWOT!$P$5:$P$26,0))="Sim","► ","• ")&amp;INDEX(SWOT!$A$5:$A$26,MATCH("Ameaça|7",SWOT!$P$5:$P$26,0))&amp;" — "&amp;INDEX(SWOT!$D$5:$D$26,MATCH("Ameaça|7",SWOT!$P$5:$P$26,0)),"")</f>
        <v/>
      </c>
    </row>
  </sheetData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24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0" customWidth="1"/>
    <col min="3" max="3" width="9" customWidth="1"/>
    <col min="4" max="4" width="24" customWidth="1"/>
    <col min="5" max="5" width="50" customWidth="1"/>
    <col min="6" max="6" width="18" customWidth="1"/>
    <col min="7" max="7" width="8" customWidth="1"/>
    <col min="8" max="8" width="9" customWidth="1"/>
    <col min="9" max="9" width="22" customWidth="1"/>
    <col min="10" max="10" width="18" customWidth="1"/>
    <col min="11" max="11" width="34" customWidth="1"/>
    <col min="12" max="12" width="12" customWidth="1"/>
    <col min="13" max="14" width="9" customWidth="1"/>
    <col min="15" max="15" width="20" customWidth="1"/>
    <col min="16" max="16" width="8" customWidth="1"/>
    <col min="17" max="17" width="26" customWidth="1"/>
    <col min="18" max="18" width="11" customWidth="1"/>
    <col min="19" max="19" width="18" customWidth="1"/>
    <col min="20" max="20" width="44" customWidth="1"/>
    <col min="21" max="21" width="26" customWidth="1"/>
    <col min="22" max="22" width="40" customWidth="1"/>
    <col min="23" max="23" width="24" customWidth="1"/>
    <col min="24" max="24" width="9" customWidth="1"/>
  </cols>
  <sheetData>
    <row r="1" spans="1:24" ht="17.399999999999999" x14ac:dyDescent="0.3">
      <c r="A1" s="1" t="s">
        <v>483</v>
      </c>
    </row>
    <row r="2" spans="1:24" x14ac:dyDescent="0.3">
      <c r="A2" s="2" t="s">
        <v>484</v>
      </c>
    </row>
    <row r="4" spans="1:24" ht="39.6" x14ac:dyDescent="0.3">
      <c r="A4" s="8" t="s">
        <v>485</v>
      </c>
      <c r="B4" s="8" t="s">
        <v>105</v>
      </c>
      <c r="C4" s="8" t="s">
        <v>486</v>
      </c>
      <c r="D4" s="8" t="s">
        <v>487</v>
      </c>
      <c r="E4" s="8" t="s">
        <v>488</v>
      </c>
      <c r="F4" s="8" t="s">
        <v>489</v>
      </c>
      <c r="G4" s="8" t="s">
        <v>490</v>
      </c>
      <c r="H4" s="8" t="s">
        <v>491</v>
      </c>
      <c r="I4" s="8" t="s">
        <v>492</v>
      </c>
      <c r="J4" s="8" t="s">
        <v>493</v>
      </c>
      <c r="K4" s="8" t="s">
        <v>449</v>
      </c>
      <c r="L4" s="8" t="s">
        <v>494</v>
      </c>
      <c r="M4" s="8" t="s">
        <v>495</v>
      </c>
      <c r="N4" s="8" t="s">
        <v>496</v>
      </c>
      <c r="O4" s="9" t="s">
        <v>266</v>
      </c>
      <c r="P4" s="8" t="s">
        <v>104</v>
      </c>
      <c r="Q4" s="8" t="s">
        <v>108</v>
      </c>
      <c r="R4" s="8" t="s">
        <v>497</v>
      </c>
      <c r="S4" s="8" t="s">
        <v>112</v>
      </c>
      <c r="T4" s="8" t="s">
        <v>498</v>
      </c>
      <c r="U4" s="8" t="s">
        <v>499</v>
      </c>
      <c r="V4" s="8" t="s">
        <v>500</v>
      </c>
      <c r="W4" s="8" t="s">
        <v>501</v>
      </c>
      <c r="X4" s="8" t="s">
        <v>502</v>
      </c>
    </row>
    <row r="5" spans="1:24" ht="48" customHeight="1" x14ac:dyDescent="0.3">
      <c r="A5" s="10" t="s">
        <v>503</v>
      </c>
      <c r="B5" s="10" t="s">
        <v>156</v>
      </c>
      <c r="C5" s="10" t="s">
        <v>504</v>
      </c>
      <c r="D5" s="10" t="s">
        <v>505</v>
      </c>
      <c r="E5" s="10" t="s">
        <v>506</v>
      </c>
      <c r="F5" s="10" t="s">
        <v>118</v>
      </c>
      <c r="G5" s="10" t="s">
        <v>276</v>
      </c>
      <c r="H5" s="10" t="s">
        <v>276</v>
      </c>
      <c r="I5" s="10" t="s">
        <v>507</v>
      </c>
      <c r="J5" s="10"/>
      <c r="K5" s="10" t="s">
        <v>508</v>
      </c>
      <c r="L5" s="10" t="s">
        <v>509</v>
      </c>
      <c r="M5" s="10" t="s">
        <v>510</v>
      </c>
      <c r="N5" s="10" t="s">
        <v>510</v>
      </c>
      <c r="O5" s="13" t="str">
        <f t="shared" ref="O5:O24" si="0">IF(A5="","",IF(AND(M5="Alta",N5="Alta"),"Gerir de perto",IF(M5="Alta","Manter satisfeita",IF(N5="Alta","Manter informada","Monitorizar"))))</f>
        <v>Gerir de perto</v>
      </c>
      <c r="P5" s="10" t="s">
        <v>143</v>
      </c>
      <c r="Q5" s="10" t="s">
        <v>225</v>
      </c>
      <c r="R5" s="14">
        <v>46387</v>
      </c>
      <c r="S5" s="10" t="s">
        <v>511</v>
      </c>
      <c r="T5" s="10" t="s">
        <v>512</v>
      </c>
      <c r="U5" s="10" t="s">
        <v>513</v>
      </c>
      <c r="V5" s="10" t="s">
        <v>514</v>
      </c>
      <c r="W5" s="10" t="s">
        <v>515</v>
      </c>
      <c r="X5" s="10" t="s">
        <v>516</v>
      </c>
    </row>
    <row r="6" spans="1:24" ht="48" customHeight="1" x14ac:dyDescent="0.3">
      <c r="A6" s="10" t="s">
        <v>517</v>
      </c>
      <c r="B6" s="10" t="s">
        <v>156</v>
      </c>
      <c r="C6" s="10" t="s">
        <v>504</v>
      </c>
      <c r="D6" s="10" t="s">
        <v>505</v>
      </c>
      <c r="E6" s="10" t="s">
        <v>518</v>
      </c>
      <c r="F6" s="10" t="s">
        <v>193</v>
      </c>
      <c r="G6" s="10" t="s">
        <v>276</v>
      </c>
      <c r="H6" s="10" t="s">
        <v>276</v>
      </c>
      <c r="I6" s="10" t="s">
        <v>507</v>
      </c>
      <c r="J6" s="10" t="s">
        <v>519</v>
      </c>
      <c r="K6" s="10" t="s">
        <v>520</v>
      </c>
      <c r="L6" s="10" t="s">
        <v>521</v>
      </c>
      <c r="M6" s="10" t="s">
        <v>510</v>
      </c>
      <c r="N6" s="10" t="s">
        <v>522</v>
      </c>
      <c r="O6" s="13" t="str">
        <f t="shared" si="0"/>
        <v>Manter satisfeita</v>
      </c>
      <c r="P6" s="10" t="s">
        <v>222</v>
      </c>
      <c r="Q6" s="10" t="s">
        <v>225</v>
      </c>
      <c r="R6" s="14">
        <v>46387</v>
      </c>
      <c r="S6" s="10" t="s">
        <v>226</v>
      </c>
      <c r="T6" s="10" t="s">
        <v>523</v>
      </c>
      <c r="U6" s="10" t="s">
        <v>524</v>
      </c>
      <c r="V6" s="10" t="s">
        <v>525</v>
      </c>
      <c r="W6" s="10" t="s">
        <v>526</v>
      </c>
      <c r="X6" s="10" t="s">
        <v>516</v>
      </c>
    </row>
    <row r="7" spans="1:24" ht="48" customHeight="1" x14ac:dyDescent="0.3">
      <c r="A7" s="10" t="s">
        <v>527</v>
      </c>
      <c r="B7" s="10" t="s">
        <v>528</v>
      </c>
      <c r="C7" s="10" t="s">
        <v>504</v>
      </c>
      <c r="D7" s="10" t="s">
        <v>529</v>
      </c>
      <c r="E7" s="10" t="s">
        <v>530</v>
      </c>
      <c r="F7" s="10" t="s">
        <v>118</v>
      </c>
      <c r="G7" s="10" t="s">
        <v>276</v>
      </c>
      <c r="H7" s="10" t="s">
        <v>276</v>
      </c>
      <c r="I7" s="10" t="s">
        <v>135</v>
      </c>
      <c r="J7" s="10" t="s">
        <v>531</v>
      </c>
      <c r="K7" s="10" t="s">
        <v>532</v>
      </c>
      <c r="L7" s="10" t="s">
        <v>533</v>
      </c>
      <c r="M7" s="10" t="s">
        <v>510</v>
      </c>
      <c r="N7" s="10" t="s">
        <v>510</v>
      </c>
      <c r="O7" s="13" t="str">
        <f t="shared" si="0"/>
        <v>Gerir de perto</v>
      </c>
      <c r="P7" s="10" t="s">
        <v>143</v>
      </c>
      <c r="Q7" s="10" t="s">
        <v>11</v>
      </c>
      <c r="R7" s="14">
        <v>46387</v>
      </c>
      <c r="S7" s="10" t="s">
        <v>146</v>
      </c>
      <c r="T7" s="10" t="s">
        <v>534</v>
      </c>
      <c r="U7" s="10" t="s">
        <v>535</v>
      </c>
      <c r="V7" s="10" t="s">
        <v>536</v>
      </c>
      <c r="W7" s="10" t="s">
        <v>537</v>
      </c>
      <c r="X7" s="10" t="s">
        <v>538</v>
      </c>
    </row>
    <row r="8" spans="1:24" ht="48" customHeight="1" x14ac:dyDescent="0.3">
      <c r="A8" s="10" t="s">
        <v>539</v>
      </c>
      <c r="B8" s="10" t="s">
        <v>540</v>
      </c>
      <c r="C8" s="10" t="s">
        <v>504</v>
      </c>
      <c r="D8" s="10" t="s">
        <v>529</v>
      </c>
      <c r="E8" s="10" t="s">
        <v>541</v>
      </c>
      <c r="F8" s="10" t="s">
        <v>118</v>
      </c>
      <c r="G8" s="10" t="s">
        <v>276</v>
      </c>
      <c r="H8" s="10" t="s">
        <v>276</v>
      </c>
      <c r="I8" s="10" t="s">
        <v>507</v>
      </c>
      <c r="J8" s="10" t="s">
        <v>542</v>
      </c>
      <c r="K8" s="10" t="s">
        <v>543</v>
      </c>
      <c r="L8" s="10" t="s">
        <v>544</v>
      </c>
      <c r="M8" s="10" t="s">
        <v>510</v>
      </c>
      <c r="N8" s="10" t="s">
        <v>510</v>
      </c>
      <c r="O8" s="13" t="str">
        <f t="shared" si="0"/>
        <v>Gerir de perto</v>
      </c>
      <c r="P8" s="10" t="s">
        <v>143</v>
      </c>
      <c r="Q8" s="10" t="s">
        <v>11</v>
      </c>
      <c r="R8" s="14">
        <v>46387</v>
      </c>
      <c r="S8" s="10" t="s">
        <v>511</v>
      </c>
      <c r="T8" s="10" t="s">
        <v>545</v>
      </c>
      <c r="U8" s="10" t="s">
        <v>546</v>
      </c>
      <c r="V8" s="10" t="s">
        <v>547</v>
      </c>
      <c r="W8" s="10" t="s">
        <v>548</v>
      </c>
      <c r="X8" s="10" t="s">
        <v>538</v>
      </c>
    </row>
    <row r="9" spans="1:24" ht="48" customHeight="1" x14ac:dyDescent="0.3">
      <c r="A9" s="10" t="s">
        <v>549</v>
      </c>
      <c r="B9" s="10" t="s">
        <v>210</v>
      </c>
      <c r="C9" s="10" t="s">
        <v>504</v>
      </c>
      <c r="D9" s="10" t="s">
        <v>505</v>
      </c>
      <c r="E9" s="10" t="s">
        <v>550</v>
      </c>
      <c r="F9" s="10" t="s">
        <v>193</v>
      </c>
      <c r="G9" s="10" t="s">
        <v>276</v>
      </c>
      <c r="H9" s="10" t="s">
        <v>276</v>
      </c>
      <c r="I9" s="10" t="s">
        <v>507</v>
      </c>
      <c r="J9" s="10"/>
      <c r="K9" s="10" t="s">
        <v>551</v>
      </c>
      <c r="L9" s="10" t="s">
        <v>552</v>
      </c>
      <c r="M9" s="10" t="s">
        <v>510</v>
      </c>
      <c r="N9" s="10" t="s">
        <v>522</v>
      </c>
      <c r="O9" s="13" t="str">
        <f t="shared" si="0"/>
        <v>Manter satisfeita</v>
      </c>
      <c r="P9" s="10" t="s">
        <v>209</v>
      </c>
      <c r="Q9" s="10" t="s">
        <v>225</v>
      </c>
      <c r="R9" s="14">
        <v>46387</v>
      </c>
      <c r="S9" s="10" t="s">
        <v>211</v>
      </c>
      <c r="T9" s="10" t="s">
        <v>553</v>
      </c>
      <c r="U9" s="10" t="s">
        <v>554</v>
      </c>
      <c r="V9" s="10" t="s">
        <v>555</v>
      </c>
      <c r="W9" s="10" t="s">
        <v>556</v>
      </c>
      <c r="X9" s="10" t="s">
        <v>516</v>
      </c>
    </row>
    <row r="10" spans="1:24" ht="48" customHeight="1" x14ac:dyDescent="0.3">
      <c r="A10" s="10" t="s">
        <v>557</v>
      </c>
      <c r="B10" s="10" t="s">
        <v>169</v>
      </c>
      <c r="C10" s="10" t="s">
        <v>558</v>
      </c>
      <c r="D10" s="10" t="s">
        <v>559</v>
      </c>
      <c r="E10" s="10" t="s">
        <v>560</v>
      </c>
      <c r="F10" s="10" t="s">
        <v>118</v>
      </c>
      <c r="G10" s="10" t="s">
        <v>276</v>
      </c>
      <c r="H10" s="10" t="s">
        <v>276</v>
      </c>
      <c r="I10" s="10" t="s">
        <v>561</v>
      </c>
      <c r="J10" s="10"/>
      <c r="K10" s="10" t="s">
        <v>562</v>
      </c>
      <c r="L10" s="10" t="s">
        <v>563</v>
      </c>
      <c r="M10" s="10" t="s">
        <v>510</v>
      </c>
      <c r="N10" s="10" t="s">
        <v>510</v>
      </c>
      <c r="O10" s="13" t="str">
        <f t="shared" si="0"/>
        <v>Gerir de perto</v>
      </c>
      <c r="P10" s="10" t="s">
        <v>126</v>
      </c>
      <c r="Q10" s="10" t="s">
        <v>430</v>
      </c>
      <c r="R10" s="14">
        <v>46387</v>
      </c>
      <c r="S10" s="10" t="s">
        <v>564</v>
      </c>
      <c r="T10" s="10" t="s">
        <v>565</v>
      </c>
      <c r="U10" s="10" t="s">
        <v>566</v>
      </c>
      <c r="V10" s="10" t="s">
        <v>567</v>
      </c>
      <c r="W10" s="10" t="s">
        <v>568</v>
      </c>
      <c r="X10" s="10" t="s">
        <v>569</v>
      </c>
    </row>
    <row r="11" spans="1:24" ht="48" customHeight="1" x14ac:dyDescent="0.3">
      <c r="A11" s="10" t="s">
        <v>570</v>
      </c>
      <c r="B11" s="10" t="s">
        <v>571</v>
      </c>
      <c r="C11" s="10" t="s">
        <v>558</v>
      </c>
      <c r="D11" s="10" t="s">
        <v>572</v>
      </c>
      <c r="E11" s="10" t="s">
        <v>573</v>
      </c>
      <c r="F11" s="10" t="s">
        <v>118</v>
      </c>
      <c r="G11" s="10" t="s">
        <v>276</v>
      </c>
      <c r="H11" s="10" t="s">
        <v>276</v>
      </c>
      <c r="I11" s="10" t="s">
        <v>561</v>
      </c>
      <c r="J11" s="10"/>
      <c r="K11" s="10" t="s">
        <v>574</v>
      </c>
      <c r="L11" s="10" t="s">
        <v>521</v>
      </c>
      <c r="M11" s="10" t="s">
        <v>522</v>
      </c>
      <c r="N11" s="10" t="s">
        <v>510</v>
      </c>
      <c r="O11" s="13" t="str">
        <f t="shared" si="0"/>
        <v>Manter informada</v>
      </c>
      <c r="P11" s="10" t="s">
        <v>325</v>
      </c>
      <c r="Q11" s="10" t="s">
        <v>575</v>
      </c>
      <c r="R11" s="14">
        <v>46387</v>
      </c>
      <c r="S11" s="10" t="s">
        <v>576</v>
      </c>
      <c r="T11" s="10" t="s">
        <v>577</v>
      </c>
      <c r="U11" s="10" t="s">
        <v>578</v>
      </c>
      <c r="V11" s="10" t="s">
        <v>579</v>
      </c>
      <c r="W11" s="10" t="s">
        <v>580</v>
      </c>
      <c r="X11" s="10" t="s">
        <v>581</v>
      </c>
    </row>
    <row r="12" spans="1:24" ht="48" customHeight="1" x14ac:dyDescent="0.3">
      <c r="A12" s="10" t="s">
        <v>582</v>
      </c>
      <c r="B12" s="10" t="s">
        <v>184</v>
      </c>
      <c r="C12" s="10" t="s">
        <v>504</v>
      </c>
      <c r="D12" s="10" t="s">
        <v>583</v>
      </c>
      <c r="E12" s="10" t="s">
        <v>584</v>
      </c>
      <c r="F12" s="10" t="s">
        <v>118</v>
      </c>
      <c r="G12" s="10" t="s">
        <v>276</v>
      </c>
      <c r="H12" s="10" t="s">
        <v>276</v>
      </c>
      <c r="I12" s="10" t="s">
        <v>507</v>
      </c>
      <c r="J12" s="10"/>
      <c r="K12" s="10" t="s">
        <v>585</v>
      </c>
      <c r="L12" s="10" t="s">
        <v>563</v>
      </c>
      <c r="M12" s="10" t="s">
        <v>522</v>
      </c>
      <c r="N12" s="10" t="s">
        <v>522</v>
      </c>
      <c r="O12" s="13" t="str">
        <f t="shared" si="0"/>
        <v>Monitorizar</v>
      </c>
      <c r="P12" s="10" t="s">
        <v>183</v>
      </c>
      <c r="Q12" s="10" t="s">
        <v>186</v>
      </c>
      <c r="R12" s="14">
        <v>46387</v>
      </c>
      <c r="S12" s="10" t="s">
        <v>586</v>
      </c>
      <c r="T12" s="10" t="s">
        <v>587</v>
      </c>
      <c r="U12" s="10" t="s">
        <v>588</v>
      </c>
      <c r="V12" s="10" t="s">
        <v>589</v>
      </c>
      <c r="W12" s="10" t="s">
        <v>590</v>
      </c>
      <c r="X12" s="10" t="s">
        <v>591</v>
      </c>
    </row>
    <row r="13" spans="1:24" ht="48" customHeight="1" x14ac:dyDescent="0.3">
      <c r="A13" s="10" t="s">
        <v>592</v>
      </c>
      <c r="B13" s="10" t="s">
        <v>256</v>
      </c>
      <c r="C13" s="10" t="s">
        <v>504</v>
      </c>
      <c r="D13" s="10" t="s">
        <v>593</v>
      </c>
      <c r="E13" s="10" t="s">
        <v>594</v>
      </c>
      <c r="F13" s="10" t="s">
        <v>118</v>
      </c>
      <c r="G13" s="10" t="s">
        <v>276</v>
      </c>
      <c r="H13" s="10" t="s">
        <v>276</v>
      </c>
      <c r="I13" s="10" t="s">
        <v>561</v>
      </c>
      <c r="J13" s="10"/>
      <c r="K13" s="10" t="s">
        <v>595</v>
      </c>
      <c r="L13" s="10" t="s">
        <v>596</v>
      </c>
      <c r="M13" s="10" t="s">
        <v>510</v>
      </c>
      <c r="N13" s="10" t="s">
        <v>597</v>
      </c>
      <c r="O13" s="13" t="str">
        <f t="shared" si="0"/>
        <v>Manter satisfeita</v>
      </c>
      <c r="P13" s="10" t="s">
        <v>126</v>
      </c>
      <c r="Q13" s="10" t="s">
        <v>11</v>
      </c>
      <c r="R13" s="14">
        <v>46387</v>
      </c>
      <c r="S13" s="10" t="s">
        <v>126</v>
      </c>
      <c r="T13" s="10" t="s">
        <v>598</v>
      </c>
      <c r="U13" s="10" t="s">
        <v>599</v>
      </c>
      <c r="V13" s="10" t="s">
        <v>600</v>
      </c>
      <c r="W13" s="10" t="s">
        <v>601</v>
      </c>
      <c r="X13" s="10"/>
    </row>
    <row r="14" spans="1:24" ht="48" customHeight="1" x14ac:dyDescent="0.3">
      <c r="A14" s="10" t="s">
        <v>602</v>
      </c>
      <c r="B14" s="10" t="s">
        <v>144</v>
      </c>
      <c r="C14" s="10" t="s">
        <v>504</v>
      </c>
      <c r="D14" s="10" t="s">
        <v>603</v>
      </c>
      <c r="E14" s="10" t="s">
        <v>604</v>
      </c>
      <c r="F14" s="10" t="s">
        <v>118</v>
      </c>
      <c r="G14" s="10" t="s">
        <v>276</v>
      </c>
      <c r="H14" s="10" t="s">
        <v>276</v>
      </c>
      <c r="I14" s="10" t="s">
        <v>135</v>
      </c>
      <c r="J14" s="10" t="s">
        <v>605</v>
      </c>
      <c r="K14" s="10" t="s">
        <v>606</v>
      </c>
      <c r="L14" s="10" t="s">
        <v>607</v>
      </c>
      <c r="M14" s="10" t="s">
        <v>510</v>
      </c>
      <c r="N14" s="10" t="s">
        <v>522</v>
      </c>
      <c r="O14" s="13" t="str">
        <f t="shared" si="0"/>
        <v>Manter satisfeita</v>
      </c>
      <c r="P14" s="10" t="s">
        <v>143</v>
      </c>
      <c r="Q14" s="10" t="s">
        <v>11</v>
      </c>
      <c r="R14" s="14">
        <v>46387</v>
      </c>
      <c r="S14" s="10" t="s">
        <v>146</v>
      </c>
      <c r="T14" s="10" t="s">
        <v>608</v>
      </c>
      <c r="U14" s="10" t="s">
        <v>609</v>
      </c>
      <c r="V14" s="10" t="s">
        <v>610</v>
      </c>
      <c r="W14" s="10" t="s">
        <v>611</v>
      </c>
      <c r="X14" s="10" t="s">
        <v>612</v>
      </c>
    </row>
    <row r="15" spans="1:24" ht="48" customHeight="1" x14ac:dyDescent="0.3">
      <c r="A15" s="10" t="s">
        <v>613</v>
      </c>
      <c r="B15" s="10" t="s">
        <v>614</v>
      </c>
      <c r="C15" s="10" t="s">
        <v>504</v>
      </c>
      <c r="D15" s="10" t="s">
        <v>615</v>
      </c>
      <c r="E15" s="10" t="s">
        <v>616</v>
      </c>
      <c r="F15" s="10" t="s">
        <v>118</v>
      </c>
      <c r="G15" s="10" t="s">
        <v>276</v>
      </c>
      <c r="H15" s="10" t="s">
        <v>276</v>
      </c>
      <c r="I15" s="10" t="s">
        <v>507</v>
      </c>
      <c r="J15" s="10"/>
      <c r="K15" s="10" t="s">
        <v>617</v>
      </c>
      <c r="L15" s="10" t="s">
        <v>596</v>
      </c>
      <c r="M15" s="10" t="s">
        <v>597</v>
      </c>
      <c r="N15" s="10" t="s">
        <v>522</v>
      </c>
      <c r="O15" s="13" t="str">
        <f t="shared" si="0"/>
        <v>Monitorizar</v>
      </c>
      <c r="P15" s="10"/>
      <c r="Q15" s="10" t="s">
        <v>11</v>
      </c>
      <c r="R15" s="14">
        <v>46387</v>
      </c>
      <c r="S15" s="10"/>
      <c r="T15" s="10"/>
      <c r="U15" s="10" t="s">
        <v>618</v>
      </c>
      <c r="V15" s="10" t="s">
        <v>619</v>
      </c>
      <c r="W15" s="10" t="s">
        <v>620</v>
      </c>
      <c r="X15" s="10"/>
    </row>
    <row r="16" spans="1:24" ht="48" customHeight="1" x14ac:dyDescent="0.3">
      <c r="A16" s="10" t="s">
        <v>621</v>
      </c>
      <c r="B16" s="10" t="s">
        <v>622</v>
      </c>
      <c r="C16" s="10" t="s">
        <v>504</v>
      </c>
      <c r="D16" s="10" t="s">
        <v>615</v>
      </c>
      <c r="E16" s="10" t="s">
        <v>623</v>
      </c>
      <c r="F16" s="10" t="s">
        <v>118</v>
      </c>
      <c r="G16" s="10" t="s">
        <v>276</v>
      </c>
      <c r="H16" s="10" t="s">
        <v>276</v>
      </c>
      <c r="I16" s="10" t="s">
        <v>507</v>
      </c>
      <c r="J16" s="10"/>
      <c r="K16" s="10" t="s">
        <v>624</v>
      </c>
      <c r="L16" s="10" t="s">
        <v>607</v>
      </c>
      <c r="M16" s="10" t="s">
        <v>597</v>
      </c>
      <c r="N16" s="10" t="s">
        <v>522</v>
      </c>
      <c r="O16" s="13" t="str">
        <f t="shared" si="0"/>
        <v>Monitorizar</v>
      </c>
      <c r="P16" s="10"/>
      <c r="Q16" s="10" t="s">
        <v>625</v>
      </c>
      <c r="R16" s="14">
        <v>46387</v>
      </c>
      <c r="S16" s="10"/>
      <c r="T16" s="10"/>
      <c r="U16" s="10" t="s">
        <v>626</v>
      </c>
      <c r="V16" s="10" t="s">
        <v>627</v>
      </c>
      <c r="W16" s="10" t="s">
        <v>628</v>
      </c>
      <c r="X16" s="10"/>
    </row>
    <row r="17" spans="1:24" ht="48" customHeight="1" x14ac:dyDescent="0.3">
      <c r="A17" s="10" t="s">
        <v>629</v>
      </c>
      <c r="B17" s="10" t="s">
        <v>630</v>
      </c>
      <c r="C17" s="10" t="s">
        <v>504</v>
      </c>
      <c r="D17" s="10" t="s">
        <v>631</v>
      </c>
      <c r="E17" s="10" t="s">
        <v>632</v>
      </c>
      <c r="F17" s="10" t="s">
        <v>118</v>
      </c>
      <c r="G17" s="10" t="s">
        <v>276</v>
      </c>
      <c r="H17" s="10" t="s">
        <v>276</v>
      </c>
      <c r="I17" s="10" t="s">
        <v>561</v>
      </c>
      <c r="J17" s="10"/>
      <c r="K17" s="10" t="s">
        <v>633</v>
      </c>
      <c r="L17" s="10" t="s">
        <v>596</v>
      </c>
      <c r="M17" s="10" t="s">
        <v>597</v>
      </c>
      <c r="N17" s="10" t="s">
        <v>510</v>
      </c>
      <c r="O17" s="13" t="str">
        <f t="shared" si="0"/>
        <v>Manter informada</v>
      </c>
      <c r="P17" s="10" t="s">
        <v>143</v>
      </c>
      <c r="Q17" s="10" t="s">
        <v>130</v>
      </c>
      <c r="R17" s="14">
        <v>46387</v>
      </c>
      <c r="S17" s="10" t="s">
        <v>143</v>
      </c>
      <c r="T17" s="10" t="s">
        <v>634</v>
      </c>
      <c r="U17" s="10" t="s">
        <v>635</v>
      </c>
      <c r="V17" s="10" t="s">
        <v>636</v>
      </c>
      <c r="W17" s="10" t="s">
        <v>628</v>
      </c>
      <c r="X17" s="10"/>
    </row>
    <row r="18" spans="1:24" ht="48" customHeight="1" x14ac:dyDescent="0.3">
      <c r="A18" s="10" t="s">
        <v>637</v>
      </c>
      <c r="B18" s="10" t="s">
        <v>638</v>
      </c>
      <c r="C18" s="10" t="s">
        <v>504</v>
      </c>
      <c r="D18" s="10" t="s">
        <v>639</v>
      </c>
      <c r="E18" s="10" t="s">
        <v>640</v>
      </c>
      <c r="F18" s="10" t="s">
        <v>118</v>
      </c>
      <c r="G18" s="10" t="s">
        <v>287</v>
      </c>
      <c r="H18" s="10" t="s">
        <v>287</v>
      </c>
      <c r="I18" s="10" t="s">
        <v>641</v>
      </c>
      <c r="J18" s="10"/>
      <c r="K18" s="10" t="s">
        <v>642</v>
      </c>
      <c r="L18" s="10" t="s">
        <v>641</v>
      </c>
      <c r="M18" s="10" t="s">
        <v>597</v>
      </c>
      <c r="N18" s="10" t="s">
        <v>522</v>
      </c>
      <c r="O18" s="13" t="str">
        <f t="shared" si="0"/>
        <v>Monitorizar</v>
      </c>
      <c r="P18" s="10"/>
      <c r="Q18" s="10" t="s">
        <v>643</v>
      </c>
      <c r="R18" s="14">
        <v>46387</v>
      </c>
      <c r="S18" s="10" t="s">
        <v>644</v>
      </c>
      <c r="T18" s="10"/>
      <c r="U18" s="10" t="s">
        <v>645</v>
      </c>
      <c r="V18" s="10" t="s">
        <v>646</v>
      </c>
      <c r="W18" s="10"/>
      <c r="X18" s="10" t="s">
        <v>647</v>
      </c>
    </row>
    <row r="19" spans="1:24" ht="48" customHeight="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 t="str">
        <f t="shared" si="0"/>
        <v/>
      </c>
      <c r="P19" s="10"/>
      <c r="Q19" s="10"/>
      <c r="R19" s="14"/>
      <c r="S19" s="10"/>
      <c r="T19" s="10"/>
      <c r="U19" s="10"/>
      <c r="V19" s="10"/>
      <c r="W19" s="10"/>
      <c r="X19" s="10"/>
    </row>
    <row r="20" spans="1:24" ht="48" customHeight="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 t="str">
        <f t="shared" si="0"/>
        <v/>
      </c>
      <c r="P20" s="10"/>
      <c r="Q20" s="10"/>
      <c r="R20" s="14"/>
      <c r="S20" s="10"/>
      <c r="T20" s="10"/>
      <c r="U20" s="10"/>
      <c r="V20" s="10"/>
      <c r="W20" s="10"/>
      <c r="X20" s="10"/>
    </row>
    <row r="21" spans="1:24" ht="48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 t="str">
        <f t="shared" si="0"/>
        <v/>
      </c>
      <c r="P21" s="10"/>
      <c r="Q21" s="10"/>
      <c r="R21" s="14"/>
      <c r="S21" s="10"/>
      <c r="T21" s="10"/>
      <c r="U21" s="10"/>
      <c r="V21" s="10"/>
      <c r="W21" s="10"/>
      <c r="X21" s="10"/>
    </row>
    <row r="22" spans="1:24" ht="48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 t="str">
        <f t="shared" si="0"/>
        <v/>
      </c>
      <c r="P22" s="10"/>
      <c r="Q22" s="10"/>
      <c r="R22" s="14"/>
      <c r="S22" s="10"/>
      <c r="T22" s="10"/>
      <c r="U22" s="10"/>
      <c r="V22" s="10"/>
      <c r="W22" s="10"/>
      <c r="X22" s="10"/>
    </row>
    <row r="23" spans="1:24" ht="48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3" t="str">
        <f t="shared" si="0"/>
        <v/>
      </c>
      <c r="P23" s="10"/>
      <c r="Q23" s="10"/>
      <c r="R23" s="14"/>
      <c r="S23" s="10"/>
      <c r="T23" s="10"/>
      <c r="U23" s="10"/>
      <c r="V23" s="10"/>
      <c r="W23" s="10"/>
      <c r="X23" s="10"/>
    </row>
    <row r="24" spans="1:24" ht="48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3" t="str">
        <f t="shared" si="0"/>
        <v/>
      </c>
      <c r="P24" s="10"/>
      <c r="Q24" s="10"/>
      <c r="R24" s="14"/>
      <c r="S24" s="10"/>
      <c r="T24" s="10"/>
      <c r="U24" s="10"/>
      <c r="V24" s="10"/>
      <c r="W24" s="10"/>
      <c r="X24" s="10"/>
    </row>
  </sheetData>
  <conditionalFormatting sqref="F5:F224">
    <cfRule type="expression" dxfId="8" priority="3">
      <formula>ISNUMBER(SEARCH("Clima",F5))</formula>
    </cfRule>
  </conditionalFormatting>
  <conditionalFormatting sqref="H5:H224">
    <cfRule type="expression" dxfId="7" priority="1">
      <formula>ISNUMBER(SEARCH("Sim",H5))</formula>
    </cfRule>
    <cfRule type="expression" dxfId="6" priority="2">
      <formula>ISNUMBER(SEARCH("Não",H5))</formula>
    </cfRule>
  </conditionalFormatting>
  <conditionalFormatting sqref="O5:O224">
    <cfRule type="expression" dxfId="5" priority="4">
      <formula>ISNUMBER(SEARCH("perto",O5))</formula>
    </cfRule>
    <cfRule type="expression" dxfId="4" priority="5">
      <formula>ISNUMBER(SEARCH("satisfeita",O5))</formula>
    </cfRule>
    <cfRule type="expression" dxfId="3" priority="6">
      <formula>ISNUMBER(SEARCH("informada",O5))</formula>
    </cfRule>
  </conditionalFormatting>
  <dataValidations count="6">
    <dataValidation type="list" allowBlank="1" showErrorMessage="1" errorTitle="Valor inválido" error="Valor fora da lista controlada (ver folha Listas)." sqref="C5:C224" xr:uid="{00000000-0002-0000-0600-000000000000}">
      <formula1>lst_PI_Tipo</formula1>
    </dataValidation>
    <dataValidation type="list" allowBlank="1" showErrorMessage="1" errorTitle="Valor inválido" error="Valor fora da lista controlada (ver folha Listas)." sqref="F5:F224" xr:uid="{00000000-0002-0000-0600-000001000000}">
      <formula1>lst_CondicaoAmbiental</formula1>
    </dataValidation>
    <dataValidation type="list" allowBlank="1" showErrorMessage="1" errorTitle="Valor inválido" error="Valor fora da lista controlada (ver folha Listas)." sqref="G5:H224" xr:uid="{00000000-0002-0000-0600-000002000000}">
      <formula1>lst_SimNao</formula1>
    </dataValidation>
    <dataValidation type="list" allowBlank="1" showErrorMessage="1" errorTitle="Valor inválido" error="Valor fora da lista controlada (ver folha Listas)." sqref="I5:I224" xr:uid="{00000000-0002-0000-0600-000004000000}">
      <formula1>lst_PI_Obrig</formula1>
    </dataValidation>
    <dataValidation type="list" allowBlank="1" showErrorMessage="1" errorTitle="Valor inválido" error="Valor fora da lista controlada (ver folha Listas)." sqref="M5:N224" xr:uid="{00000000-0002-0000-0600-000005000000}">
      <formula1>lst_PI_Nivel</formula1>
    </dataValidation>
    <dataValidation type="list" allowBlank="1" showErrorMessage="1" errorTitle="Valor inválido" error="Valor fora da lista controlada (ver folha Listas)." sqref="Q5:Q224" xr:uid="{00000000-0002-0000-0600-000007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0" customWidth="1"/>
    <col min="3" max="3" width="9" customWidth="1"/>
    <col min="4" max="4" width="70" customWidth="1"/>
    <col min="5" max="5" width="18" customWidth="1"/>
  </cols>
  <sheetData>
    <row r="1" spans="1:5" ht="17.399999999999999" x14ac:dyDescent="0.3">
      <c r="A1" s="1" t="s">
        <v>648</v>
      </c>
    </row>
    <row r="2" spans="1:5" x14ac:dyDescent="0.3">
      <c r="A2" s="2" t="s">
        <v>649</v>
      </c>
    </row>
    <row r="4" spans="1:5" ht="26.4" x14ac:dyDescent="0.3">
      <c r="A4" s="8" t="s">
        <v>650</v>
      </c>
      <c r="B4" s="8" t="s">
        <v>651</v>
      </c>
      <c r="C4" s="8" t="s">
        <v>652</v>
      </c>
      <c r="D4" s="8" t="s">
        <v>653</v>
      </c>
      <c r="E4" s="8" t="s">
        <v>654</v>
      </c>
    </row>
    <row r="5" spans="1:5" ht="40.049999999999997" customHeight="1" x14ac:dyDescent="0.3">
      <c r="A5" s="10" t="s">
        <v>655</v>
      </c>
      <c r="B5" s="10" t="s">
        <v>656</v>
      </c>
      <c r="C5" s="10" t="s">
        <v>276</v>
      </c>
      <c r="D5" s="10" t="s">
        <v>657</v>
      </c>
      <c r="E5" s="10" t="s">
        <v>658</v>
      </c>
    </row>
    <row r="6" spans="1:5" ht="40.049999999999997" customHeight="1" x14ac:dyDescent="0.3">
      <c r="A6" s="10" t="s">
        <v>659</v>
      </c>
      <c r="B6" s="10" t="s">
        <v>660</v>
      </c>
      <c r="C6" s="10" t="s">
        <v>276</v>
      </c>
      <c r="D6" s="10" t="s">
        <v>661</v>
      </c>
      <c r="E6" s="10" t="s">
        <v>662</v>
      </c>
    </row>
    <row r="7" spans="1:5" ht="40.049999999999997" customHeight="1" x14ac:dyDescent="0.3">
      <c r="A7" s="10" t="s">
        <v>663</v>
      </c>
      <c r="B7" s="10" t="s">
        <v>664</v>
      </c>
      <c r="C7" s="10" t="s">
        <v>276</v>
      </c>
      <c r="D7" s="10" t="s">
        <v>665</v>
      </c>
      <c r="E7" s="10" t="s">
        <v>203</v>
      </c>
    </row>
    <row r="8" spans="1:5" ht="40.049999999999997" customHeight="1" x14ac:dyDescent="0.3">
      <c r="A8" s="10" t="s">
        <v>666</v>
      </c>
      <c r="B8" s="10" t="s">
        <v>667</v>
      </c>
      <c r="C8" s="10" t="s">
        <v>276</v>
      </c>
      <c r="D8" s="10" t="s">
        <v>668</v>
      </c>
      <c r="E8" s="10" t="s">
        <v>669</v>
      </c>
    </row>
    <row r="9" spans="1:5" ht="40.049999999999997" customHeight="1" x14ac:dyDescent="0.3">
      <c r="A9" s="10" t="s">
        <v>670</v>
      </c>
      <c r="B9" s="10" t="s">
        <v>671</v>
      </c>
      <c r="C9" s="10" t="s">
        <v>276</v>
      </c>
      <c r="D9" s="10" t="s">
        <v>672</v>
      </c>
      <c r="E9" s="10" t="s">
        <v>673</v>
      </c>
    </row>
    <row r="10" spans="1:5" ht="40.049999999999997" customHeight="1" x14ac:dyDescent="0.3">
      <c r="A10" s="10" t="s">
        <v>674</v>
      </c>
      <c r="B10" s="10" t="s">
        <v>675</v>
      </c>
      <c r="C10" s="10" t="s">
        <v>276</v>
      </c>
      <c r="D10" s="10" t="s">
        <v>676</v>
      </c>
      <c r="E10" s="10" t="s">
        <v>677</v>
      </c>
    </row>
  </sheetData>
  <conditionalFormatting sqref="C5:C210">
    <cfRule type="expression" dxfId="2" priority="1">
      <formula>ISNUMBER(SEARCH("Sim",C5))</formula>
    </cfRule>
  </conditionalFormatting>
  <dataValidations count="1">
    <dataValidation type="list" allowBlank="1" showErrorMessage="1" errorTitle="Valor inválido" error="Valor fora da lista controlada (ver folha Listas)." sqref="C5:C210" xr:uid="{00000000-0002-0000-0700-000000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1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2" width="110" customWidth="1"/>
  </cols>
  <sheetData>
    <row r="1" spans="1:2" ht="17.399999999999999" x14ac:dyDescent="0.3">
      <c r="A1" s="1" t="s">
        <v>678</v>
      </c>
    </row>
    <row r="2" spans="1:2" x14ac:dyDescent="0.3">
      <c r="A2" s="2" t="s">
        <v>679</v>
      </c>
    </row>
    <row r="4" spans="1:2" x14ac:dyDescent="0.3">
      <c r="A4" s="8" t="s">
        <v>680</v>
      </c>
      <c r="B4" s="8" t="s">
        <v>681</v>
      </c>
    </row>
    <row r="5" spans="1:2" ht="46.05" customHeight="1" x14ac:dyDescent="0.3">
      <c r="A5" s="10" t="s">
        <v>682</v>
      </c>
      <c r="B5" s="10" t="s">
        <v>683</v>
      </c>
    </row>
    <row r="6" spans="1:2" ht="46.05" customHeight="1" x14ac:dyDescent="0.3">
      <c r="A6" s="10" t="s">
        <v>684</v>
      </c>
      <c r="B6" s="10" t="s">
        <v>685</v>
      </c>
    </row>
    <row r="7" spans="1:2" ht="46.05" customHeight="1" x14ac:dyDescent="0.3">
      <c r="A7" s="10" t="s">
        <v>686</v>
      </c>
      <c r="B7" s="10" t="s">
        <v>687</v>
      </c>
    </row>
    <row r="8" spans="1:2" ht="46.05" customHeight="1" x14ac:dyDescent="0.3">
      <c r="A8" s="10" t="s">
        <v>18</v>
      </c>
      <c r="B8" s="10" t="s">
        <v>688</v>
      </c>
    </row>
    <row r="9" spans="1:2" ht="46.05" customHeight="1" x14ac:dyDescent="0.3">
      <c r="A9" s="10" t="s">
        <v>689</v>
      </c>
      <c r="B9" s="10" t="s">
        <v>690</v>
      </c>
    </row>
    <row r="10" spans="1:2" ht="46.05" customHeight="1" x14ac:dyDescent="0.3">
      <c r="A10" s="10" t="s">
        <v>691</v>
      </c>
      <c r="B10" s="10" t="s">
        <v>692</v>
      </c>
    </row>
    <row r="11" spans="1:2" ht="46.05" customHeight="1" x14ac:dyDescent="0.3">
      <c r="A11" s="10" t="s">
        <v>693</v>
      </c>
      <c r="B11" s="10" t="s">
        <v>694</v>
      </c>
    </row>
    <row r="12" spans="1:2" ht="46.05" customHeight="1" x14ac:dyDescent="0.3">
      <c r="A12" s="10" t="s">
        <v>695</v>
      </c>
      <c r="B12" s="10" t="s">
        <v>696</v>
      </c>
    </row>
    <row r="13" spans="1:2" ht="46.05" customHeight="1" x14ac:dyDescent="0.3">
      <c r="A13" s="10" t="s">
        <v>697</v>
      </c>
      <c r="B13" s="10" t="s">
        <v>698</v>
      </c>
    </row>
    <row r="14" spans="1:2" ht="46.05" customHeight="1" x14ac:dyDescent="0.3">
      <c r="A14" s="10" t="s">
        <v>699</v>
      </c>
      <c r="B14" s="10" t="s">
        <v>700</v>
      </c>
    </row>
    <row r="15" spans="1:2" ht="46.05" customHeight="1" x14ac:dyDescent="0.3">
      <c r="A15" s="10" t="s">
        <v>701</v>
      </c>
      <c r="B15" s="10" t="s">
        <v>702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6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0" customWidth="1"/>
    <col min="3" max="3" width="11" customWidth="1"/>
    <col min="4" max="4" width="90" customWidth="1"/>
  </cols>
  <sheetData>
    <row r="1" spans="1:4" x14ac:dyDescent="0.3">
      <c r="A1" s="8" t="s">
        <v>703</v>
      </c>
      <c r="B1" s="8" t="s">
        <v>704</v>
      </c>
      <c r="C1" s="8" t="s">
        <v>705</v>
      </c>
      <c r="D1" s="8" t="s">
        <v>653</v>
      </c>
    </row>
    <row r="2" spans="1:4" ht="34.049999999999997" customHeight="1" x14ac:dyDescent="0.3">
      <c r="A2" s="10" t="s">
        <v>706</v>
      </c>
      <c r="B2" s="10" t="s">
        <v>707</v>
      </c>
      <c r="C2" s="10" t="s">
        <v>708</v>
      </c>
      <c r="D2" s="10" t="s">
        <v>709</v>
      </c>
    </row>
    <row r="3" spans="1:4" ht="34.049999999999997" customHeight="1" x14ac:dyDescent="0.3">
      <c r="A3" s="10" t="s">
        <v>710</v>
      </c>
      <c r="B3" s="10" t="s">
        <v>711</v>
      </c>
      <c r="C3" s="10" t="s">
        <v>708</v>
      </c>
      <c r="D3" s="10" t="s">
        <v>712</v>
      </c>
    </row>
    <row r="4" spans="1:4" ht="34.049999999999997" customHeight="1" x14ac:dyDescent="0.3">
      <c r="A4" s="10" t="s">
        <v>713</v>
      </c>
      <c r="B4" s="10" t="s">
        <v>714</v>
      </c>
      <c r="C4" s="10" t="s">
        <v>708</v>
      </c>
      <c r="D4" s="10" t="s">
        <v>715</v>
      </c>
    </row>
    <row r="5" spans="1:4" ht="34.049999999999997" customHeight="1" x14ac:dyDescent="0.3">
      <c r="A5" s="10" t="s">
        <v>716</v>
      </c>
      <c r="B5" s="10" t="s">
        <v>717</v>
      </c>
      <c r="C5" s="10" t="s">
        <v>708</v>
      </c>
      <c r="D5" s="10" t="s">
        <v>718</v>
      </c>
    </row>
    <row r="6" spans="1:4" ht="34.049999999999997" customHeight="1" x14ac:dyDescent="0.3">
      <c r="A6" s="10" t="s">
        <v>719</v>
      </c>
      <c r="B6" s="10" t="s">
        <v>720</v>
      </c>
      <c r="C6" s="10" t="s">
        <v>708</v>
      </c>
      <c r="D6" s="10" t="s">
        <v>721</v>
      </c>
    </row>
  </sheetData>
  <conditionalFormatting sqref="C2:C206">
    <cfRule type="expression" dxfId="1" priority="1">
      <formula>ISNUMBER(SEARCH("Não",C2))</formula>
    </cfRule>
    <cfRule type="expression" dxfId="0" priority="2">
      <formula>ISNUMBER(SEARCH("Aplicável",C2))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17"/>
  <sheetViews>
    <sheetView showGridLines="0" workbookViewId="0"/>
  </sheetViews>
  <sheetFormatPr defaultRowHeight="14.4" x14ac:dyDescent="0.3"/>
  <cols>
    <col min="1" max="1" width="52" customWidth="1"/>
    <col min="2" max="2" width="12" customWidth="1"/>
  </cols>
  <sheetData>
    <row r="1" spans="1:2" ht="17.399999999999999" x14ac:dyDescent="0.3">
      <c r="A1" s="1" t="s">
        <v>722</v>
      </c>
    </row>
    <row r="3" spans="1:2" x14ac:dyDescent="0.3">
      <c r="A3" s="8" t="s">
        <v>267</v>
      </c>
      <c r="B3" s="8" t="s">
        <v>723</v>
      </c>
    </row>
    <row r="4" spans="1:2" x14ac:dyDescent="0.3">
      <c r="A4" s="21" t="s">
        <v>724</v>
      </c>
      <c r="B4" s="11">
        <f>COUNTA(tbl_pestel[ID_PESTEL])</f>
        <v>11</v>
      </c>
    </row>
    <row r="5" spans="1:2" x14ac:dyDescent="0.3">
      <c r="A5" s="18" t="s">
        <v>725</v>
      </c>
      <c r="B5" s="11">
        <f>COUNTIF(tbl_pestel[Prioridade],"Alta")</f>
        <v>9</v>
      </c>
    </row>
    <row r="6" spans="1:2" x14ac:dyDescent="0.3">
      <c r="A6" s="18" t="s">
        <v>726</v>
      </c>
      <c r="B6" s="11">
        <f>COUNTIF(tbl_pestel[Condicao_Ambiental_ISO2026],"Clima")</f>
        <v>3</v>
      </c>
    </row>
    <row r="7" spans="1:2" x14ac:dyDescent="0.3">
      <c r="A7" s="18" t="s">
        <v>727</v>
      </c>
      <c r="B7" s="11">
        <f>COUNTIFS(tbl_pestel[ID_PESTEL],"&lt;&gt;",tbl_pestel[ID_RO],"")</f>
        <v>0</v>
      </c>
    </row>
    <row r="8" spans="1:2" x14ac:dyDescent="0.3">
      <c r="A8" s="21" t="s">
        <v>728</v>
      </c>
      <c r="B8" s="11">
        <f>COUNTA(tbl_swot[ID_SWOT])</f>
        <v>16</v>
      </c>
    </row>
    <row r="9" spans="1:2" x14ac:dyDescent="0.3">
      <c r="A9" s="18" t="s">
        <v>729</v>
      </c>
      <c r="B9" s="11">
        <f>COUNTIF(tbl_swot[Natureza],"Interno")</f>
        <v>9</v>
      </c>
    </row>
    <row r="10" spans="1:2" x14ac:dyDescent="0.3">
      <c r="A10" s="18" t="s">
        <v>730</v>
      </c>
      <c r="B10" s="11">
        <f>COUNTIF(tbl_swot[Natureza],"Externo")</f>
        <v>7</v>
      </c>
    </row>
    <row r="11" spans="1:2" x14ac:dyDescent="0.3">
      <c r="A11" s="18" t="s">
        <v>727</v>
      </c>
      <c r="B11" s="11">
        <f>COUNTIFS(tbl_swot[ID_SWOT],"&lt;&gt;",tbl_swot[ID_RO],"")</f>
        <v>2</v>
      </c>
    </row>
    <row r="12" spans="1:2" x14ac:dyDescent="0.3">
      <c r="A12" s="21" t="s">
        <v>731</v>
      </c>
      <c r="B12" s="11">
        <f>COUNTA(tbl_tows[ID_TOWS])</f>
        <v>6</v>
      </c>
    </row>
    <row r="13" spans="1:2" x14ac:dyDescent="0.3">
      <c r="A13" s="21" t="s">
        <v>732</v>
      </c>
      <c r="B13" s="11">
        <f>COUNTA(tbl_partes_interessadas[ID_PI])</f>
        <v>14</v>
      </c>
    </row>
    <row r="14" spans="1:2" x14ac:dyDescent="0.3">
      <c r="A14" s="18" t="s">
        <v>733</v>
      </c>
      <c r="B14" s="11">
        <f>COUNTIF(tbl_partes_interessadas[Tratado_pelo_SGQ],"Sim")</f>
        <v>13</v>
      </c>
    </row>
    <row r="15" spans="1:2" x14ac:dyDescent="0.3">
      <c r="A15" s="18" t="s">
        <v>726</v>
      </c>
      <c r="B15" s="11">
        <f>COUNTIF(tbl_partes_interessadas[Condicao_Ambiental],"Clima")</f>
        <v>2</v>
      </c>
    </row>
    <row r="16" spans="1:2" x14ac:dyDescent="0.3">
      <c r="A16" s="18" t="s">
        <v>734</v>
      </c>
      <c r="B16" s="11">
        <f>COUNTIF(tbl_partes_interessadas[Estrategia],"Gerir de perto")</f>
        <v>4</v>
      </c>
    </row>
    <row r="17" spans="1:2" x14ac:dyDescent="0.3">
      <c r="A17" s="21" t="s">
        <v>735</v>
      </c>
      <c r="B17" s="11">
        <f>COUNTIFS(tbl_pestel[Proxima_Revisao],"&lt;"&amp;DataRef)</f>
        <v>0</v>
      </c>
    </row>
  </sheetData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4" width="24" customWidth="1"/>
    <col min="5" max="5" width="22" customWidth="1"/>
    <col min="6" max="6" width="16" customWidth="1"/>
    <col min="7" max="7" width="18" customWidth="1"/>
    <col min="8" max="11" width="16" customWidth="1"/>
    <col min="12" max="12" width="32" customWidth="1"/>
    <col min="13" max="13" width="16" customWidth="1"/>
    <col min="14" max="14" width="45" customWidth="1"/>
    <col min="15" max="15" width="28" customWidth="1"/>
    <col min="16" max="17" width="16" customWidth="1"/>
    <col min="18" max="18" width="35" customWidth="1"/>
  </cols>
  <sheetData>
    <row r="1" spans="1:18" x14ac:dyDescent="0.3">
      <c r="A1" s="22" t="s">
        <v>736</v>
      </c>
    </row>
    <row r="2" spans="1:18" x14ac:dyDescent="0.3">
      <c r="A2" s="23" t="s">
        <v>737</v>
      </c>
      <c r="B2" s="23" t="s">
        <v>88</v>
      </c>
      <c r="C2" s="23" t="s">
        <v>738</v>
      </c>
      <c r="D2" s="23" t="s">
        <v>739</v>
      </c>
      <c r="E2" s="23" t="s">
        <v>94</v>
      </c>
      <c r="F2" s="23" t="s">
        <v>95</v>
      </c>
      <c r="G2" s="23" t="s">
        <v>96</v>
      </c>
      <c r="H2" s="23" t="s">
        <v>740</v>
      </c>
      <c r="I2" s="23" t="s">
        <v>259</v>
      </c>
      <c r="J2" s="23" t="s">
        <v>741</v>
      </c>
      <c r="K2" s="23" t="s">
        <v>263</v>
      </c>
      <c r="L2" s="23" t="s">
        <v>106</v>
      </c>
      <c r="M2" s="23" t="s">
        <v>107</v>
      </c>
      <c r="N2" s="23" t="s">
        <v>742</v>
      </c>
      <c r="O2" s="23" t="s">
        <v>406</v>
      </c>
      <c r="P2" s="23" t="s">
        <v>743</v>
      </c>
      <c r="Q2" s="23" t="s">
        <v>744</v>
      </c>
      <c r="R2" s="23" t="s">
        <v>745</v>
      </c>
    </row>
    <row r="3" spans="1:18" x14ac:dyDescent="0.3">
      <c r="A3" s="24">
        <v>46387</v>
      </c>
      <c r="B3" s="6" t="s">
        <v>746</v>
      </c>
      <c r="C3" s="6" t="s">
        <v>193</v>
      </c>
      <c r="D3" s="6" t="s">
        <v>217</v>
      </c>
      <c r="E3" s="6" t="s">
        <v>139</v>
      </c>
      <c r="F3" s="6" t="s">
        <v>121</v>
      </c>
      <c r="G3" s="6" t="s">
        <v>122</v>
      </c>
      <c r="H3" s="6">
        <v>1</v>
      </c>
      <c r="I3" s="6" t="s">
        <v>270</v>
      </c>
      <c r="J3" s="6" t="s">
        <v>276</v>
      </c>
      <c r="K3" s="6" t="s">
        <v>295</v>
      </c>
      <c r="L3" s="6" t="s">
        <v>128</v>
      </c>
      <c r="M3" s="6" t="s">
        <v>747</v>
      </c>
      <c r="N3" s="6" t="s">
        <v>430</v>
      </c>
      <c r="O3" s="6" t="s">
        <v>412</v>
      </c>
      <c r="P3" s="6" t="s">
        <v>558</v>
      </c>
      <c r="Q3" s="6" t="s">
        <v>510</v>
      </c>
      <c r="R3" s="6" t="s">
        <v>135</v>
      </c>
    </row>
    <row r="4" spans="1:18" x14ac:dyDescent="0.3">
      <c r="B4" s="6" t="s">
        <v>115</v>
      </c>
      <c r="C4" s="6" t="s">
        <v>748</v>
      </c>
      <c r="D4" s="6" t="s">
        <v>177</v>
      </c>
      <c r="E4" s="6" t="s">
        <v>120</v>
      </c>
      <c r="F4" s="6" t="s">
        <v>165</v>
      </c>
      <c r="G4" s="6" t="s">
        <v>179</v>
      </c>
      <c r="H4" s="6">
        <v>2</v>
      </c>
      <c r="I4" s="6" t="s">
        <v>308</v>
      </c>
      <c r="J4" s="6" t="s">
        <v>287</v>
      </c>
      <c r="K4" s="6" t="s">
        <v>312</v>
      </c>
      <c r="L4" s="6" t="s">
        <v>223</v>
      </c>
      <c r="M4" s="6" t="s">
        <v>749</v>
      </c>
      <c r="N4" s="6" t="s">
        <v>750</v>
      </c>
      <c r="O4" s="6" t="s">
        <v>422</v>
      </c>
      <c r="P4" s="6" t="s">
        <v>504</v>
      </c>
      <c r="Q4" s="6" t="s">
        <v>522</v>
      </c>
      <c r="R4" s="6" t="s">
        <v>507</v>
      </c>
    </row>
    <row r="5" spans="1:18" x14ac:dyDescent="0.3">
      <c r="B5" s="6" t="s">
        <v>214</v>
      </c>
      <c r="C5" s="6" t="s">
        <v>176</v>
      </c>
      <c r="D5" s="6" t="s">
        <v>751</v>
      </c>
      <c r="E5" s="6" t="s">
        <v>164</v>
      </c>
      <c r="F5" s="6" t="s">
        <v>752</v>
      </c>
      <c r="G5" s="6" t="s">
        <v>753</v>
      </c>
      <c r="H5" s="6">
        <v>3</v>
      </c>
      <c r="I5" s="6" t="s">
        <v>120</v>
      </c>
      <c r="K5" s="6" t="s">
        <v>366</v>
      </c>
      <c r="L5" s="6" t="s">
        <v>145</v>
      </c>
      <c r="M5" s="6" t="s">
        <v>200</v>
      </c>
      <c r="N5" s="6" t="s">
        <v>11</v>
      </c>
      <c r="O5" s="6" t="s">
        <v>427</v>
      </c>
      <c r="Q5" s="6" t="s">
        <v>597</v>
      </c>
      <c r="R5" s="6" t="s">
        <v>561</v>
      </c>
    </row>
    <row r="6" spans="1:18" x14ac:dyDescent="0.3">
      <c r="B6" s="6" t="s">
        <v>229</v>
      </c>
      <c r="C6" s="6" t="s">
        <v>754</v>
      </c>
      <c r="D6" s="6" t="s">
        <v>118</v>
      </c>
      <c r="I6" s="6" t="s">
        <v>375</v>
      </c>
      <c r="K6" s="6" t="s">
        <v>360</v>
      </c>
      <c r="L6" s="6" t="s">
        <v>185</v>
      </c>
      <c r="M6" s="6" t="s">
        <v>224</v>
      </c>
      <c r="N6" s="6" t="s">
        <v>170</v>
      </c>
      <c r="O6" s="6" t="s">
        <v>432</v>
      </c>
      <c r="R6" s="6" t="s">
        <v>641</v>
      </c>
    </row>
    <row r="7" spans="1:18" x14ac:dyDescent="0.3">
      <c r="B7" s="6" t="s">
        <v>190</v>
      </c>
      <c r="C7" s="6" t="s">
        <v>755</v>
      </c>
      <c r="K7" s="6" t="s">
        <v>323</v>
      </c>
      <c r="L7" s="6" t="s">
        <v>157</v>
      </c>
      <c r="M7" s="6" t="s">
        <v>129</v>
      </c>
      <c r="N7" s="6" t="s">
        <v>201</v>
      </c>
    </row>
    <row r="8" spans="1:18" x14ac:dyDescent="0.3">
      <c r="B8" s="6" t="s">
        <v>135</v>
      </c>
      <c r="C8" s="6" t="s">
        <v>118</v>
      </c>
      <c r="K8" s="6" t="s">
        <v>392</v>
      </c>
      <c r="L8" s="6" t="s">
        <v>352</v>
      </c>
      <c r="M8" s="6" t="s">
        <v>756</v>
      </c>
      <c r="N8" s="6" t="s">
        <v>225</v>
      </c>
    </row>
    <row r="9" spans="1:18" x14ac:dyDescent="0.3">
      <c r="K9" s="6" t="s">
        <v>757</v>
      </c>
      <c r="L9" s="6" t="s">
        <v>334</v>
      </c>
      <c r="M9" s="6" t="s">
        <v>238</v>
      </c>
      <c r="N9" s="6" t="s">
        <v>186</v>
      </c>
    </row>
    <row r="10" spans="1:18" x14ac:dyDescent="0.3">
      <c r="K10" s="6" t="s">
        <v>302</v>
      </c>
      <c r="L10" s="6" t="s">
        <v>342</v>
      </c>
      <c r="N10" s="6" t="s">
        <v>130</v>
      </c>
    </row>
    <row r="11" spans="1:18" x14ac:dyDescent="0.3">
      <c r="K11" s="6" t="s">
        <v>399</v>
      </c>
      <c r="L11" s="6" t="s">
        <v>286</v>
      </c>
      <c r="N11" s="6" t="s">
        <v>625</v>
      </c>
    </row>
    <row r="12" spans="1:18" x14ac:dyDescent="0.3">
      <c r="K12" s="6" t="s">
        <v>758</v>
      </c>
      <c r="L12" s="6" t="s">
        <v>324</v>
      </c>
      <c r="N12" s="6" t="s">
        <v>575</v>
      </c>
    </row>
    <row r="13" spans="1:18" x14ac:dyDescent="0.3">
      <c r="K13" s="6" t="s">
        <v>759</v>
      </c>
      <c r="L13" s="6" t="s">
        <v>313</v>
      </c>
      <c r="N13" s="6" t="s">
        <v>239</v>
      </c>
    </row>
    <row r="14" spans="1:18" x14ac:dyDescent="0.3">
      <c r="K14" s="6" t="s">
        <v>385</v>
      </c>
      <c r="L14" s="6" t="s">
        <v>237</v>
      </c>
      <c r="N14" s="6" t="s">
        <v>760</v>
      </c>
    </row>
    <row r="15" spans="1:18" x14ac:dyDescent="0.3">
      <c r="K15" s="6" t="s">
        <v>761</v>
      </c>
      <c r="L15" s="6" t="s">
        <v>199</v>
      </c>
      <c r="N15" s="6" t="s">
        <v>762</v>
      </c>
    </row>
    <row r="16" spans="1:18" x14ac:dyDescent="0.3">
      <c r="K16" s="6" t="s">
        <v>341</v>
      </c>
      <c r="N16" s="6" t="s">
        <v>763</v>
      </c>
    </row>
    <row r="17" spans="11:14" x14ac:dyDescent="0.3">
      <c r="K17" s="6" t="s">
        <v>285</v>
      </c>
      <c r="N17" s="6" t="s">
        <v>764</v>
      </c>
    </row>
    <row r="18" spans="11:14" x14ac:dyDescent="0.3">
      <c r="K18" s="6" t="s">
        <v>333</v>
      </c>
      <c r="N18" s="6" t="s">
        <v>765</v>
      </c>
    </row>
    <row r="19" spans="11:14" x14ac:dyDescent="0.3">
      <c r="K19" s="6" t="s">
        <v>274</v>
      </c>
      <c r="N19" s="6" t="s">
        <v>766</v>
      </c>
    </row>
    <row r="20" spans="11:14" x14ac:dyDescent="0.3">
      <c r="K20" s="6" t="s">
        <v>767</v>
      </c>
      <c r="N20" s="6" t="s">
        <v>768</v>
      </c>
    </row>
    <row r="21" spans="11:14" x14ac:dyDescent="0.3">
      <c r="N21" s="6" t="s">
        <v>769</v>
      </c>
    </row>
    <row r="22" spans="11:14" x14ac:dyDescent="0.3">
      <c r="N22" s="6" t="s">
        <v>770</v>
      </c>
    </row>
    <row r="23" spans="11:14" x14ac:dyDescent="0.3">
      <c r="N23" s="6" t="s">
        <v>771</v>
      </c>
    </row>
    <row r="24" spans="11:14" x14ac:dyDescent="0.3">
      <c r="N24" s="6" t="s">
        <v>772</v>
      </c>
    </row>
    <row r="25" spans="11:14" x14ac:dyDescent="0.3">
      <c r="N25" s="6" t="s">
        <v>773</v>
      </c>
    </row>
    <row r="26" spans="11:14" x14ac:dyDescent="0.3">
      <c r="N26" s="6" t="s">
        <v>774</v>
      </c>
    </row>
    <row r="27" spans="11:14" x14ac:dyDescent="0.3">
      <c r="N27" s="6" t="s">
        <v>775</v>
      </c>
    </row>
    <row r="28" spans="11:14" x14ac:dyDescent="0.3">
      <c r="N28" s="6" t="s">
        <v>643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776</v>
      </c>
      <c r="B1" s="8" t="s">
        <v>777</v>
      </c>
      <c r="C1" s="8" t="s">
        <v>778</v>
      </c>
      <c r="D1" s="8" t="s">
        <v>486</v>
      </c>
      <c r="E1" s="8" t="s">
        <v>779</v>
      </c>
      <c r="F1" s="8" t="s">
        <v>90</v>
      </c>
      <c r="G1" s="8" t="s">
        <v>780</v>
      </c>
      <c r="H1" s="8" t="s">
        <v>781</v>
      </c>
      <c r="I1" s="8" t="s">
        <v>782</v>
      </c>
    </row>
    <row r="2" spans="1:9" x14ac:dyDescent="0.3">
      <c r="A2" s="18" t="s">
        <v>35</v>
      </c>
      <c r="B2" s="18" t="s">
        <v>783</v>
      </c>
      <c r="C2" s="18" t="s">
        <v>87</v>
      </c>
      <c r="D2" s="18" t="s">
        <v>784</v>
      </c>
      <c r="E2" s="18" t="s">
        <v>785</v>
      </c>
      <c r="F2" s="18" t="s">
        <v>786</v>
      </c>
      <c r="G2" s="18" t="s">
        <v>787</v>
      </c>
      <c r="H2" s="18" t="s">
        <v>276</v>
      </c>
      <c r="I2" s="18" t="s">
        <v>788</v>
      </c>
    </row>
    <row r="3" spans="1:9" x14ac:dyDescent="0.3">
      <c r="A3" s="18" t="s">
        <v>35</v>
      </c>
      <c r="B3" s="18" t="s">
        <v>783</v>
      </c>
      <c r="C3" s="18" t="s">
        <v>88</v>
      </c>
      <c r="D3" s="18" t="s">
        <v>784</v>
      </c>
      <c r="E3" s="18" t="s">
        <v>785</v>
      </c>
      <c r="F3" s="18" t="s">
        <v>789</v>
      </c>
      <c r="G3" s="18" t="s">
        <v>790</v>
      </c>
      <c r="H3" s="18" t="s">
        <v>276</v>
      </c>
      <c r="I3" s="18"/>
    </row>
    <row r="4" spans="1:9" x14ac:dyDescent="0.3">
      <c r="A4" s="18" t="s">
        <v>35</v>
      </c>
      <c r="B4" s="18" t="s">
        <v>783</v>
      </c>
      <c r="C4" s="18" t="s">
        <v>89</v>
      </c>
      <c r="D4" s="18" t="s">
        <v>784</v>
      </c>
      <c r="E4" s="18" t="s">
        <v>785</v>
      </c>
      <c r="F4" s="18" t="s">
        <v>791</v>
      </c>
      <c r="G4" s="18"/>
      <c r="H4" s="18" t="s">
        <v>276</v>
      </c>
      <c r="I4" s="18"/>
    </row>
    <row r="5" spans="1:9" x14ac:dyDescent="0.3">
      <c r="A5" s="18" t="s">
        <v>35</v>
      </c>
      <c r="B5" s="18" t="s">
        <v>783</v>
      </c>
      <c r="C5" s="18" t="s">
        <v>90</v>
      </c>
      <c r="D5" s="18" t="s">
        <v>784</v>
      </c>
      <c r="E5" s="18" t="s">
        <v>785</v>
      </c>
      <c r="F5" s="18" t="s">
        <v>792</v>
      </c>
      <c r="G5" s="18"/>
      <c r="H5" s="18" t="s">
        <v>276</v>
      </c>
      <c r="I5" s="18"/>
    </row>
    <row r="6" spans="1:9" ht="26.4" x14ac:dyDescent="0.3">
      <c r="A6" s="18" t="s">
        <v>35</v>
      </c>
      <c r="B6" s="18" t="s">
        <v>783</v>
      </c>
      <c r="C6" s="18" t="s">
        <v>91</v>
      </c>
      <c r="D6" s="18" t="s">
        <v>784</v>
      </c>
      <c r="E6" s="18" t="s">
        <v>785</v>
      </c>
      <c r="F6" s="18" t="s">
        <v>793</v>
      </c>
      <c r="G6" s="18" t="s">
        <v>794</v>
      </c>
      <c r="H6" s="18" t="s">
        <v>276</v>
      </c>
      <c r="I6" s="18"/>
    </row>
    <row r="7" spans="1:9" ht="26.4" x14ac:dyDescent="0.3">
      <c r="A7" s="18" t="s">
        <v>35</v>
      </c>
      <c r="B7" s="18" t="s">
        <v>783</v>
      </c>
      <c r="C7" s="18" t="s">
        <v>92</v>
      </c>
      <c r="D7" s="18" t="s">
        <v>784</v>
      </c>
      <c r="E7" s="18" t="s">
        <v>785</v>
      </c>
      <c r="F7" s="18" t="s">
        <v>795</v>
      </c>
      <c r="G7" s="18" t="s">
        <v>796</v>
      </c>
      <c r="H7" s="18" t="s">
        <v>276</v>
      </c>
      <c r="I7" s="18"/>
    </row>
    <row r="8" spans="1:9" ht="26.4" x14ac:dyDescent="0.3">
      <c r="A8" s="18" t="s">
        <v>35</v>
      </c>
      <c r="B8" s="18" t="s">
        <v>783</v>
      </c>
      <c r="C8" s="18" t="s">
        <v>93</v>
      </c>
      <c r="D8" s="18" t="s">
        <v>784</v>
      </c>
      <c r="E8" s="18" t="s">
        <v>785</v>
      </c>
      <c r="F8" s="18" t="s">
        <v>797</v>
      </c>
      <c r="G8" s="18"/>
      <c r="H8" s="18" t="s">
        <v>276</v>
      </c>
      <c r="I8" s="18"/>
    </row>
    <row r="9" spans="1:9" x14ac:dyDescent="0.3">
      <c r="A9" s="18" t="s">
        <v>35</v>
      </c>
      <c r="B9" s="18" t="s">
        <v>783</v>
      </c>
      <c r="C9" s="18" t="s">
        <v>94</v>
      </c>
      <c r="D9" s="18" t="s">
        <v>784</v>
      </c>
      <c r="E9" s="18" t="s">
        <v>785</v>
      </c>
      <c r="F9" s="18" t="s">
        <v>798</v>
      </c>
      <c r="G9" s="18" t="s">
        <v>799</v>
      </c>
      <c r="H9" s="18" t="s">
        <v>276</v>
      </c>
      <c r="I9" s="18"/>
    </row>
    <row r="10" spans="1:9" x14ac:dyDescent="0.3">
      <c r="A10" s="18" t="s">
        <v>35</v>
      </c>
      <c r="B10" s="18" t="s">
        <v>783</v>
      </c>
      <c r="C10" s="18" t="s">
        <v>95</v>
      </c>
      <c r="D10" s="18" t="s">
        <v>784</v>
      </c>
      <c r="E10" s="18" t="s">
        <v>785</v>
      </c>
      <c r="F10" s="18" t="s">
        <v>800</v>
      </c>
      <c r="G10" s="18" t="s">
        <v>801</v>
      </c>
      <c r="H10" s="18" t="s">
        <v>276</v>
      </c>
      <c r="I10" s="18"/>
    </row>
    <row r="11" spans="1:9" x14ac:dyDescent="0.3">
      <c r="A11" s="18" t="s">
        <v>35</v>
      </c>
      <c r="B11" s="18" t="s">
        <v>783</v>
      </c>
      <c r="C11" s="18" t="s">
        <v>96</v>
      </c>
      <c r="D11" s="18" t="s">
        <v>784</v>
      </c>
      <c r="E11" s="18" t="s">
        <v>785</v>
      </c>
      <c r="F11" s="18" t="s">
        <v>802</v>
      </c>
      <c r="G11" s="18" t="s">
        <v>803</v>
      </c>
      <c r="H11" s="18" t="s">
        <v>276</v>
      </c>
      <c r="I11" s="18"/>
    </row>
    <row r="12" spans="1:9" x14ac:dyDescent="0.3">
      <c r="A12" s="18" t="s">
        <v>35</v>
      </c>
      <c r="B12" s="18" t="s">
        <v>783</v>
      </c>
      <c r="C12" s="18" t="s">
        <v>97</v>
      </c>
      <c r="D12" s="18" t="s">
        <v>804</v>
      </c>
      <c r="E12" s="18" t="s">
        <v>785</v>
      </c>
      <c r="F12" s="18" t="s">
        <v>805</v>
      </c>
      <c r="G12" s="18" t="s">
        <v>806</v>
      </c>
      <c r="H12" s="18" t="s">
        <v>276</v>
      </c>
      <c r="I12" s="18"/>
    </row>
    <row r="13" spans="1:9" x14ac:dyDescent="0.3">
      <c r="A13" s="18" t="s">
        <v>35</v>
      </c>
      <c r="B13" s="18" t="s">
        <v>783</v>
      </c>
      <c r="C13" s="18" t="s">
        <v>98</v>
      </c>
      <c r="D13" s="18" t="s">
        <v>804</v>
      </c>
      <c r="E13" s="18" t="s">
        <v>785</v>
      </c>
      <c r="F13" s="18" t="s">
        <v>807</v>
      </c>
      <c r="G13" s="18" t="s">
        <v>806</v>
      </c>
      <c r="H13" s="18" t="s">
        <v>276</v>
      </c>
      <c r="I13" s="18"/>
    </row>
    <row r="14" spans="1:9" x14ac:dyDescent="0.3">
      <c r="A14" s="18" t="s">
        <v>35</v>
      </c>
      <c r="B14" s="18" t="s">
        <v>783</v>
      </c>
      <c r="C14" s="18" t="s">
        <v>99</v>
      </c>
      <c r="D14" s="18" t="s">
        <v>804</v>
      </c>
      <c r="E14" s="18" t="s">
        <v>808</v>
      </c>
      <c r="F14" s="18" t="s">
        <v>809</v>
      </c>
      <c r="G14" s="18"/>
      <c r="H14" s="18" t="s">
        <v>276</v>
      </c>
      <c r="I14" s="18"/>
    </row>
    <row r="15" spans="1:9" x14ac:dyDescent="0.3">
      <c r="A15" s="18" t="s">
        <v>35</v>
      </c>
      <c r="B15" s="18" t="s">
        <v>783</v>
      </c>
      <c r="C15" s="18" t="s">
        <v>100</v>
      </c>
      <c r="D15" s="18" t="s">
        <v>784</v>
      </c>
      <c r="E15" s="18" t="s">
        <v>808</v>
      </c>
      <c r="F15" s="18" t="s">
        <v>810</v>
      </c>
      <c r="G15" s="18"/>
      <c r="H15" s="18" t="s">
        <v>276</v>
      </c>
      <c r="I15" s="18"/>
    </row>
    <row r="16" spans="1:9" x14ac:dyDescent="0.3">
      <c r="A16" s="18" t="s">
        <v>35</v>
      </c>
      <c r="B16" s="18" t="s">
        <v>783</v>
      </c>
      <c r="C16" s="18" t="s">
        <v>101</v>
      </c>
      <c r="D16" s="18" t="s">
        <v>784</v>
      </c>
      <c r="E16" s="18" t="s">
        <v>785</v>
      </c>
      <c r="F16" s="18" t="s">
        <v>811</v>
      </c>
      <c r="G16" s="18"/>
      <c r="H16" s="18" t="s">
        <v>276</v>
      </c>
      <c r="I16" s="18"/>
    </row>
    <row r="17" spans="1:9" x14ac:dyDescent="0.3">
      <c r="A17" s="18" t="s">
        <v>35</v>
      </c>
      <c r="B17" s="18" t="s">
        <v>783</v>
      </c>
      <c r="C17" s="18" t="s">
        <v>102</v>
      </c>
      <c r="D17" s="18" t="s">
        <v>784</v>
      </c>
      <c r="E17" s="18" t="s">
        <v>785</v>
      </c>
      <c r="F17" s="18" t="s">
        <v>812</v>
      </c>
      <c r="G17" s="18"/>
      <c r="H17" s="18" t="s">
        <v>276</v>
      </c>
      <c r="I17" s="18"/>
    </row>
    <row r="18" spans="1:9" ht="26.4" x14ac:dyDescent="0.3">
      <c r="A18" s="18" t="s">
        <v>35</v>
      </c>
      <c r="B18" s="18" t="s">
        <v>783</v>
      </c>
      <c r="C18" s="18" t="s">
        <v>103</v>
      </c>
      <c r="D18" s="18" t="s">
        <v>784</v>
      </c>
      <c r="E18" s="18" t="s">
        <v>785</v>
      </c>
      <c r="F18" s="18" t="s">
        <v>813</v>
      </c>
      <c r="G18" s="18"/>
      <c r="H18" s="18" t="s">
        <v>287</v>
      </c>
      <c r="I18" s="18" t="s">
        <v>814</v>
      </c>
    </row>
    <row r="19" spans="1:9" ht="26.4" x14ac:dyDescent="0.3">
      <c r="A19" s="18" t="s">
        <v>35</v>
      </c>
      <c r="B19" s="18" t="s">
        <v>783</v>
      </c>
      <c r="C19" s="18" t="s">
        <v>104</v>
      </c>
      <c r="D19" s="18" t="s">
        <v>784</v>
      </c>
      <c r="E19" s="18" t="s">
        <v>785</v>
      </c>
      <c r="F19" s="18" t="s">
        <v>815</v>
      </c>
      <c r="G19" s="18"/>
      <c r="H19" s="18" t="s">
        <v>287</v>
      </c>
      <c r="I19" s="18" t="s">
        <v>816</v>
      </c>
    </row>
    <row r="20" spans="1:9" x14ac:dyDescent="0.3">
      <c r="A20" s="18" t="s">
        <v>35</v>
      </c>
      <c r="B20" s="18" t="s">
        <v>783</v>
      </c>
      <c r="C20" s="18" t="s">
        <v>105</v>
      </c>
      <c r="D20" s="18" t="s">
        <v>784</v>
      </c>
      <c r="E20" s="18" t="s">
        <v>785</v>
      </c>
      <c r="F20" s="18" t="s">
        <v>817</v>
      </c>
      <c r="G20" s="18"/>
      <c r="H20" s="18" t="s">
        <v>276</v>
      </c>
      <c r="I20" s="18"/>
    </row>
    <row r="21" spans="1:9" x14ac:dyDescent="0.3">
      <c r="A21" s="18" t="s">
        <v>35</v>
      </c>
      <c r="B21" s="18" t="s">
        <v>783</v>
      </c>
      <c r="C21" s="18" t="s">
        <v>106</v>
      </c>
      <c r="D21" s="18" t="s">
        <v>784</v>
      </c>
      <c r="E21" s="18" t="s">
        <v>785</v>
      </c>
      <c r="F21" s="18" t="s">
        <v>818</v>
      </c>
      <c r="G21" s="18" t="s">
        <v>819</v>
      </c>
      <c r="H21" s="18" t="s">
        <v>276</v>
      </c>
      <c r="I21" s="18"/>
    </row>
    <row r="22" spans="1:9" x14ac:dyDescent="0.3">
      <c r="A22" s="18" t="s">
        <v>35</v>
      </c>
      <c r="B22" s="18" t="s">
        <v>783</v>
      </c>
      <c r="C22" s="18" t="s">
        <v>107</v>
      </c>
      <c r="D22" s="18" t="s">
        <v>784</v>
      </c>
      <c r="E22" s="18" t="s">
        <v>785</v>
      </c>
      <c r="F22" s="18" t="s">
        <v>820</v>
      </c>
      <c r="G22" s="18" t="s">
        <v>821</v>
      </c>
      <c r="H22" s="18" t="s">
        <v>276</v>
      </c>
      <c r="I22" s="18"/>
    </row>
    <row r="23" spans="1:9" x14ac:dyDescent="0.3">
      <c r="A23" s="18" t="s">
        <v>35</v>
      </c>
      <c r="B23" s="18" t="s">
        <v>783</v>
      </c>
      <c r="C23" s="18" t="s">
        <v>108</v>
      </c>
      <c r="D23" s="18" t="s">
        <v>784</v>
      </c>
      <c r="E23" s="18" t="s">
        <v>785</v>
      </c>
      <c r="F23" s="18" t="s">
        <v>822</v>
      </c>
      <c r="G23" s="18" t="s">
        <v>823</v>
      </c>
      <c r="H23" s="18" t="s">
        <v>276</v>
      </c>
      <c r="I23" s="18"/>
    </row>
    <row r="24" spans="1:9" ht="26.4" x14ac:dyDescent="0.3">
      <c r="A24" s="18" t="s">
        <v>35</v>
      </c>
      <c r="B24" s="18" t="s">
        <v>783</v>
      </c>
      <c r="C24" s="18" t="s">
        <v>109</v>
      </c>
      <c r="D24" s="18" t="s">
        <v>824</v>
      </c>
      <c r="E24" s="18" t="s">
        <v>785</v>
      </c>
      <c r="F24" s="18" t="s">
        <v>825</v>
      </c>
      <c r="G24" s="18"/>
      <c r="H24" s="18" t="s">
        <v>276</v>
      </c>
      <c r="I24" s="18"/>
    </row>
    <row r="25" spans="1:9" ht="26.4" x14ac:dyDescent="0.3">
      <c r="A25" s="18" t="s">
        <v>35</v>
      </c>
      <c r="B25" s="18" t="s">
        <v>783</v>
      </c>
      <c r="C25" s="18" t="s">
        <v>110</v>
      </c>
      <c r="D25" s="18" t="s">
        <v>824</v>
      </c>
      <c r="E25" s="18" t="s">
        <v>808</v>
      </c>
      <c r="F25" s="18" t="s">
        <v>826</v>
      </c>
      <c r="G25" s="18"/>
      <c r="H25" s="18" t="s">
        <v>276</v>
      </c>
      <c r="I25" s="18"/>
    </row>
    <row r="26" spans="1:9" x14ac:dyDescent="0.3">
      <c r="A26" s="18" t="s">
        <v>35</v>
      </c>
      <c r="B26" s="18" t="s">
        <v>783</v>
      </c>
      <c r="C26" s="18" t="s">
        <v>111</v>
      </c>
      <c r="D26" s="18" t="s">
        <v>784</v>
      </c>
      <c r="E26" s="18" t="s">
        <v>785</v>
      </c>
      <c r="F26" s="18" t="s">
        <v>827</v>
      </c>
      <c r="G26" s="18"/>
      <c r="H26" s="18" t="s">
        <v>276</v>
      </c>
      <c r="I26" s="18"/>
    </row>
    <row r="27" spans="1:9" ht="52.8" x14ac:dyDescent="0.3">
      <c r="A27" s="18" t="s">
        <v>35</v>
      </c>
      <c r="B27" s="18" t="s">
        <v>783</v>
      </c>
      <c r="C27" s="18" t="s">
        <v>112</v>
      </c>
      <c r="D27" s="18" t="s">
        <v>784</v>
      </c>
      <c r="E27" s="18" t="s">
        <v>785</v>
      </c>
      <c r="F27" s="18" t="s">
        <v>828</v>
      </c>
      <c r="G27" s="18"/>
      <c r="H27" s="18" t="s">
        <v>287</v>
      </c>
      <c r="I27" s="18" t="s">
        <v>829</v>
      </c>
    </row>
    <row r="28" spans="1:9" ht="26.4" x14ac:dyDescent="0.3">
      <c r="A28" s="18" t="s">
        <v>35</v>
      </c>
      <c r="B28" s="18" t="s">
        <v>783</v>
      </c>
      <c r="C28" s="18" t="s">
        <v>113</v>
      </c>
      <c r="D28" s="18" t="s">
        <v>784</v>
      </c>
      <c r="E28" s="18" t="s">
        <v>785</v>
      </c>
      <c r="F28" s="18" t="s">
        <v>830</v>
      </c>
      <c r="G28" s="18"/>
      <c r="H28" s="18" t="s">
        <v>287</v>
      </c>
      <c r="I28" s="18" t="s">
        <v>831</v>
      </c>
    </row>
    <row r="29" spans="1:9" ht="26.4" x14ac:dyDescent="0.3">
      <c r="A29" s="18" t="s">
        <v>37</v>
      </c>
      <c r="B29" s="18" t="s">
        <v>832</v>
      </c>
      <c r="C29" s="18" t="s">
        <v>103</v>
      </c>
      <c r="D29" s="18" t="s">
        <v>784</v>
      </c>
      <c r="E29" s="18" t="s">
        <v>785</v>
      </c>
      <c r="F29" s="18" t="s">
        <v>833</v>
      </c>
      <c r="G29" s="18" t="s">
        <v>834</v>
      </c>
      <c r="H29" s="18" t="s">
        <v>276</v>
      </c>
      <c r="I29" s="18" t="s">
        <v>788</v>
      </c>
    </row>
    <row r="30" spans="1:9" x14ac:dyDescent="0.3">
      <c r="A30" s="18" t="s">
        <v>37</v>
      </c>
      <c r="B30" s="18" t="s">
        <v>832</v>
      </c>
      <c r="C30" s="18" t="s">
        <v>259</v>
      </c>
      <c r="D30" s="18" t="s">
        <v>784</v>
      </c>
      <c r="E30" s="18" t="s">
        <v>785</v>
      </c>
      <c r="F30" s="18" t="s">
        <v>835</v>
      </c>
      <c r="G30" s="18" t="s">
        <v>836</v>
      </c>
      <c r="H30" s="18" t="s">
        <v>276</v>
      </c>
      <c r="I30" s="18"/>
    </row>
    <row r="31" spans="1:9" x14ac:dyDescent="0.3">
      <c r="A31" s="18" t="s">
        <v>37</v>
      </c>
      <c r="B31" s="18" t="s">
        <v>832</v>
      </c>
      <c r="C31" s="18" t="s">
        <v>260</v>
      </c>
      <c r="D31" s="18" t="s">
        <v>784</v>
      </c>
      <c r="E31" s="18" t="s">
        <v>808</v>
      </c>
      <c r="F31" s="18" t="s">
        <v>837</v>
      </c>
      <c r="G31" s="18"/>
      <c r="H31" s="18" t="s">
        <v>276</v>
      </c>
      <c r="I31" s="18"/>
    </row>
    <row r="32" spans="1:9" x14ac:dyDescent="0.3">
      <c r="A32" s="18" t="s">
        <v>37</v>
      </c>
      <c r="B32" s="18" t="s">
        <v>832</v>
      </c>
      <c r="C32" s="18" t="s">
        <v>90</v>
      </c>
      <c r="D32" s="18" t="s">
        <v>784</v>
      </c>
      <c r="E32" s="18" t="s">
        <v>785</v>
      </c>
      <c r="F32" s="18" t="s">
        <v>838</v>
      </c>
      <c r="G32" s="18"/>
      <c r="H32" s="18" t="s">
        <v>276</v>
      </c>
      <c r="I32" s="18"/>
    </row>
    <row r="33" spans="1:9" x14ac:dyDescent="0.3">
      <c r="A33" s="18" t="s">
        <v>37</v>
      </c>
      <c r="B33" s="18" t="s">
        <v>832</v>
      </c>
      <c r="C33" s="18" t="s">
        <v>261</v>
      </c>
      <c r="D33" s="18" t="s">
        <v>784</v>
      </c>
      <c r="E33" s="18" t="s">
        <v>785</v>
      </c>
      <c r="F33" s="18" t="s">
        <v>839</v>
      </c>
      <c r="G33" s="18"/>
      <c r="H33" s="18" t="s">
        <v>276</v>
      </c>
      <c r="I33" s="18"/>
    </row>
    <row r="34" spans="1:9" x14ac:dyDescent="0.3">
      <c r="A34" s="18" t="s">
        <v>37</v>
      </c>
      <c r="B34" s="18" t="s">
        <v>832</v>
      </c>
      <c r="C34" s="18" t="s">
        <v>262</v>
      </c>
      <c r="D34" s="18" t="s">
        <v>784</v>
      </c>
      <c r="E34" s="18" t="s">
        <v>785</v>
      </c>
      <c r="F34" s="18" t="s">
        <v>840</v>
      </c>
      <c r="G34" s="18"/>
      <c r="H34" s="18" t="s">
        <v>276</v>
      </c>
      <c r="I34" s="18"/>
    </row>
    <row r="35" spans="1:9" ht="26.4" x14ac:dyDescent="0.3">
      <c r="A35" s="18" t="s">
        <v>37</v>
      </c>
      <c r="B35" s="18" t="s">
        <v>832</v>
      </c>
      <c r="C35" s="18" t="s">
        <v>263</v>
      </c>
      <c r="D35" s="18" t="s">
        <v>784</v>
      </c>
      <c r="E35" s="18" t="s">
        <v>785</v>
      </c>
      <c r="F35" s="18" t="s">
        <v>841</v>
      </c>
      <c r="G35" s="18" t="s">
        <v>842</v>
      </c>
      <c r="H35" s="18" t="s">
        <v>276</v>
      </c>
      <c r="I35" s="18" t="s">
        <v>843</v>
      </c>
    </row>
    <row r="36" spans="1:9" x14ac:dyDescent="0.3">
      <c r="A36" s="18" t="s">
        <v>37</v>
      </c>
      <c r="B36" s="18" t="s">
        <v>832</v>
      </c>
      <c r="C36" s="18" t="s">
        <v>106</v>
      </c>
      <c r="D36" s="18" t="s">
        <v>784</v>
      </c>
      <c r="E36" s="18" t="s">
        <v>785</v>
      </c>
      <c r="F36" s="18" t="s">
        <v>844</v>
      </c>
      <c r="G36" s="18" t="s">
        <v>819</v>
      </c>
      <c r="H36" s="18" t="s">
        <v>276</v>
      </c>
      <c r="I36" s="18"/>
    </row>
    <row r="37" spans="1:9" ht="26.4" x14ac:dyDescent="0.3">
      <c r="A37" s="18" t="s">
        <v>37</v>
      </c>
      <c r="B37" s="18" t="s">
        <v>832</v>
      </c>
      <c r="C37" s="18" t="s">
        <v>87</v>
      </c>
      <c r="D37" s="18" t="s">
        <v>784</v>
      </c>
      <c r="E37" s="18" t="s">
        <v>785</v>
      </c>
      <c r="F37" s="18" t="s">
        <v>845</v>
      </c>
      <c r="G37" s="18"/>
      <c r="H37" s="18" t="s">
        <v>287</v>
      </c>
      <c r="I37" s="18" t="s">
        <v>846</v>
      </c>
    </row>
    <row r="38" spans="1:9" x14ac:dyDescent="0.3">
      <c r="A38" s="18" t="s">
        <v>37</v>
      </c>
      <c r="B38" s="18" t="s">
        <v>832</v>
      </c>
      <c r="C38" s="18" t="s">
        <v>264</v>
      </c>
      <c r="D38" s="18" t="s">
        <v>784</v>
      </c>
      <c r="E38" s="18" t="s">
        <v>785</v>
      </c>
      <c r="F38" s="18" t="s">
        <v>847</v>
      </c>
      <c r="G38" s="18" t="s">
        <v>799</v>
      </c>
      <c r="H38" s="18" t="s">
        <v>276</v>
      </c>
      <c r="I38" s="18"/>
    </row>
    <row r="39" spans="1:9" ht="26.4" x14ac:dyDescent="0.3">
      <c r="A39" s="18" t="s">
        <v>37</v>
      </c>
      <c r="B39" s="18" t="s">
        <v>832</v>
      </c>
      <c r="C39" s="18" t="s">
        <v>104</v>
      </c>
      <c r="D39" s="18" t="s">
        <v>784</v>
      </c>
      <c r="E39" s="18" t="s">
        <v>785</v>
      </c>
      <c r="F39" s="18" t="s">
        <v>848</v>
      </c>
      <c r="G39" s="18"/>
      <c r="H39" s="18" t="s">
        <v>287</v>
      </c>
      <c r="I39" s="18" t="s">
        <v>816</v>
      </c>
    </row>
    <row r="40" spans="1:9" ht="26.4" x14ac:dyDescent="0.3">
      <c r="A40" s="18" t="s">
        <v>37</v>
      </c>
      <c r="B40" s="18" t="s">
        <v>832</v>
      </c>
      <c r="C40" s="18" t="s">
        <v>265</v>
      </c>
      <c r="D40" s="18" t="s">
        <v>784</v>
      </c>
      <c r="E40" s="18" t="s">
        <v>785</v>
      </c>
      <c r="F40" s="18" t="s">
        <v>849</v>
      </c>
      <c r="G40" s="18" t="s">
        <v>850</v>
      </c>
      <c r="H40" s="18" t="s">
        <v>276</v>
      </c>
      <c r="I40" s="18"/>
    </row>
    <row r="41" spans="1:9" x14ac:dyDescent="0.3">
      <c r="A41" s="18" t="s">
        <v>37</v>
      </c>
      <c r="B41" s="18" t="s">
        <v>832</v>
      </c>
      <c r="C41" s="18" t="s">
        <v>266</v>
      </c>
      <c r="D41" s="18" t="s">
        <v>784</v>
      </c>
      <c r="E41" s="18" t="s">
        <v>785</v>
      </c>
      <c r="F41" s="18" t="s">
        <v>851</v>
      </c>
      <c r="G41" s="18"/>
      <c r="H41" s="18" t="s">
        <v>276</v>
      </c>
      <c r="I41" s="18"/>
    </row>
    <row r="42" spans="1:9" x14ac:dyDescent="0.3">
      <c r="A42" s="18" t="s">
        <v>37</v>
      </c>
      <c r="B42" s="18" t="s">
        <v>832</v>
      </c>
      <c r="C42" s="18" t="s">
        <v>267</v>
      </c>
      <c r="D42" s="18" t="s">
        <v>784</v>
      </c>
      <c r="E42" s="18" t="s">
        <v>785</v>
      </c>
      <c r="F42" s="18" t="s">
        <v>852</v>
      </c>
      <c r="G42" s="18"/>
      <c r="H42" s="18" t="s">
        <v>276</v>
      </c>
      <c r="I42" s="18"/>
    </row>
    <row r="43" spans="1:9" ht="26.4" x14ac:dyDescent="0.3">
      <c r="A43" s="18" t="s">
        <v>37</v>
      </c>
      <c r="B43" s="18" t="s">
        <v>832</v>
      </c>
      <c r="C43" s="18" t="s">
        <v>109</v>
      </c>
      <c r="D43" s="18" t="s">
        <v>824</v>
      </c>
      <c r="E43" s="18" t="s">
        <v>785</v>
      </c>
      <c r="F43" s="18" t="s">
        <v>853</v>
      </c>
      <c r="G43" s="18"/>
      <c r="H43" s="18" t="s">
        <v>276</v>
      </c>
      <c r="I43" s="18"/>
    </row>
    <row r="44" spans="1:9" x14ac:dyDescent="0.3">
      <c r="A44" s="18" t="s">
        <v>37</v>
      </c>
      <c r="B44" s="18" t="s">
        <v>832</v>
      </c>
      <c r="C44" s="18" t="s">
        <v>268</v>
      </c>
      <c r="D44" s="18" t="s">
        <v>784</v>
      </c>
      <c r="E44" s="18" t="s">
        <v>808</v>
      </c>
      <c r="F44" s="18" t="s">
        <v>854</v>
      </c>
      <c r="G44" s="18"/>
      <c r="H44" s="18" t="s">
        <v>276</v>
      </c>
      <c r="I44" s="18"/>
    </row>
    <row r="45" spans="1:9" x14ac:dyDescent="0.3">
      <c r="A45" s="18" t="s">
        <v>37</v>
      </c>
      <c r="B45" s="18" t="s">
        <v>832</v>
      </c>
      <c r="C45" s="18" t="s">
        <v>111</v>
      </c>
      <c r="D45" s="18" t="s">
        <v>784</v>
      </c>
      <c r="E45" s="18" t="s">
        <v>785</v>
      </c>
      <c r="F45" s="18" t="s">
        <v>855</v>
      </c>
      <c r="G45" s="18"/>
      <c r="H45" s="18" t="s">
        <v>276</v>
      </c>
      <c r="I45" s="18"/>
    </row>
    <row r="46" spans="1:9" ht="52.8" x14ac:dyDescent="0.3">
      <c r="A46" s="18" t="s">
        <v>37</v>
      </c>
      <c r="B46" s="18" t="s">
        <v>832</v>
      </c>
      <c r="C46" s="18" t="s">
        <v>112</v>
      </c>
      <c r="D46" s="18" t="s">
        <v>784</v>
      </c>
      <c r="E46" s="18" t="s">
        <v>785</v>
      </c>
      <c r="F46" s="18" t="s">
        <v>856</v>
      </c>
      <c r="G46" s="18"/>
      <c r="H46" s="18" t="s">
        <v>287</v>
      </c>
      <c r="I46" s="18" t="s">
        <v>829</v>
      </c>
    </row>
    <row r="47" spans="1:9" ht="26.4" x14ac:dyDescent="0.3">
      <c r="A47" s="18" t="s">
        <v>37</v>
      </c>
      <c r="B47" s="18" t="s">
        <v>832</v>
      </c>
      <c r="C47" s="18" t="s">
        <v>113</v>
      </c>
      <c r="D47" s="18" t="s">
        <v>784</v>
      </c>
      <c r="E47" s="18" t="s">
        <v>785</v>
      </c>
      <c r="F47" s="18" t="s">
        <v>857</v>
      </c>
      <c r="G47" s="18"/>
      <c r="H47" s="18" t="s">
        <v>287</v>
      </c>
      <c r="I47" s="18" t="s">
        <v>831</v>
      </c>
    </row>
    <row r="48" spans="1:9" x14ac:dyDescent="0.3">
      <c r="A48" s="18" t="s">
        <v>39</v>
      </c>
      <c r="B48" s="18" t="s">
        <v>858</v>
      </c>
      <c r="C48" s="18" t="s">
        <v>405</v>
      </c>
      <c r="D48" s="18" t="s">
        <v>784</v>
      </c>
      <c r="E48" s="18" t="s">
        <v>785</v>
      </c>
      <c r="F48" s="18" t="s">
        <v>859</v>
      </c>
      <c r="G48" s="18" t="s">
        <v>860</v>
      </c>
      <c r="H48" s="18" t="s">
        <v>276</v>
      </c>
      <c r="I48" s="18" t="s">
        <v>788</v>
      </c>
    </row>
    <row r="49" spans="1:9" x14ac:dyDescent="0.3">
      <c r="A49" s="18" t="s">
        <v>39</v>
      </c>
      <c r="B49" s="18" t="s">
        <v>858</v>
      </c>
      <c r="C49" s="18" t="s">
        <v>406</v>
      </c>
      <c r="D49" s="18" t="s">
        <v>784</v>
      </c>
      <c r="E49" s="18" t="s">
        <v>785</v>
      </c>
      <c r="F49" s="18" t="s">
        <v>861</v>
      </c>
      <c r="G49" s="18" t="s">
        <v>862</v>
      </c>
      <c r="H49" s="18" t="s">
        <v>276</v>
      </c>
      <c r="I49" s="18"/>
    </row>
    <row r="50" spans="1:9" x14ac:dyDescent="0.3">
      <c r="A50" s="18" t="s">
        <v>39</v>
      </c>
      <c r="B50" s="18" t="s">
        <v>858</v>
      </c>
      <c r="C50" s="18" t="s">
        <v>407</v>
      </c>
      <c r="D50" s="18" t="s">
        <v>784</v>
      </c>
      <c r="E50" s="18" t="s">
        <v>785</v>
      </c>
      <c r="F50" s="18" t="s">
        <v>863</v>
      </c>
      <c r="G50" s="18"/>
      <c r="H50" s="18" t="s">
        <v>276</v>
      </c>
      <c r="I50" s="18"/>
    </row>
    <row r="51" spans="1:9" x14ac:dyDescent="0.3">
      <c r="A51" s="18" t="s">
        <v>39</v>
      </c>
      <c r="B51" s="18" t="s">
        <v>858</v>
      </c>
      <c r="C51" s="18" t="s">
        <v>266</v>
      </c>
      <c r="D51" s="18" t="s">
        <v>784</v>
      </c>
      <c r="E51" s="18" t="s">
        <v>785</v>
      </c>
      <c r="F51" s="18" t="s">
        <v>864</v>
      </c>
      <c r="G51" s="18"/>
      <c r="H51" s="18" t="s">
        <v>276</v>
      </c>
      <c r="I51" s="18"/>
    </row>
    <row r="52" spans="1:9" ht="26.4" x14ac:dyDescent="0.3">
      <c r="A52" s="18" t="s">
        <v>39</v>
      </c>
      <c r="B52" s="18" t="s">
        <v>858</v>
      </c>
      <c r="C52" s="18" t="s">
        <v>408</v>
      </c>
      <c r="D52" s="18" t="s">
        <v>784</v>
      </c>
      <c r="E52" s="18" t="s">
        <v>785</v>
      </c>
      <c r="F52" s="18" t="s">
        <v>865</v>
      </c>
      <c r="G52" s="18"/>
      <c r="H52" s="18" t="s">
        <v>287</v>
      </c>
      <c r="I52" s="18" t="s">
        <v>866</v>
      </c>
    </row>
    <row r="53" spans="1:9" ht="26.4" x14ac:dyDescent="0.3">
      <c r="A53" s="18" t="s">
        <v>39</v>
      </c>
      <c r="B53" s="18" t="s">
        <v>858</v>
      </c>
      <c r="C53" s="18" t="s">
        <v>409</v>
      </c>
      <c r="D53" s="18" t="s">
        <v>824</v>
      </c>
      <c r="E53" s="18" t="s">
        <v>785</v>
      </c>
      <c r="F53" s="18" t="s">
        <v>867</v>
      </c>
      <c r="G53" s="18"/>
      <c r="H53" s="18" t="s">
        <v>276</v>
      </c>
      <c r="I53" s="18"/>
    </row>
    <row r="54" spans="1:9" x14ac:dyDescent="0.3">
      <c r="A54" s="18" t="s">
        <v>39</v>
      </c>
      <c r="B54" s="18" t="s">
        <v>858</v>
      </c>
      <c r="C54" s="18" t="s">
        <v>108</v>
      </c>
      <c r="D54" s="18" t="s">
        <v>784</v>
      </c>
      <c r="E54" s="18" t="s">
        <v>785</v>
      </c>
      <c r="F54" s="18" t="s">
        <v>868</v>
      </c>
      <c r="G54" s="18" t="s">
        <v>823</v>
      </c>
      <c r="H54" s="18" t="s">
        <v>276</v>
      </c>
      <c r="I54" s="18"/>
    </row>
    <row r="55" spans="1:9" x14ac:dyDescent="0.3">
      <c r="A55" s="18" t="s">
        <v>39</v>
      </c>
      <c r="B55" s="18" t="s">
        <v>858</v>
      </c>
      <c r="C55" s="18" t="s">
        <v>410</v>
      </c>
      <c r="D55" s="18" t="s">
        <v>784</v>
      </c>
      <c r="E55" s="18" t="s">
        <v>785</v>
      </c>
      <c r="F55" s="18" t="s">
        <v>869</v>
      </c>
      <c r="G55" s="18"/>
      <c r="H55" s="18" t="s">
        <v>276</v>
      </c>
      <c r="I55" s="18"/>
    </row>
    <row r="56" spans="1:9" ht="52.8" x14ac:dyDescent="0.3">
      <c r="A56" s="18" t="s">
        <v>39</v>
      </c>
      <c r="B56" s="18" t="s">
        <v>858</v>
      </c>
      <c r="C56" s="18" t="s">
        <v>112</v>
      </c>
      <c r="D56" s="18" t="s">
        <v>784</v>
      </c>
      <c r="E56" s="18" t="s">
        <v>785</v>
      </c>
      <c r="F56" s="18" t="s">
        <v>856</v>
      </c>
      <c r="G56" s="18"/>
      <c r="H56" s="18" t="s">
        <v>287</v>
      </c>
      <c r="I56" s="18" t="s">
        <v>829</v>
      </c>
    </row>
    <row r="57" spans="1:9" x14ac:dyDescent="0.3">
      <c r="A57" s="18" t="s">
        <v>41</v>
      </c>
      <c r="B57" s="18" t="s">
        <v>870</v>
      </c>
      <c r="C57" s="18" t="s">
        <v>445</v>
      </c>
      <c r="D57" s="18" t="s">
        <v>784</v>
      </c>
      <c r="E57" s="18" t="s">
        <v>785</v>
      </c>
      <c r="F57" s="18" t="s">
        <v>871</v>
      </c>
      <c r="G57" s="18" t="s">
        <v>872</v>
      </c>
      <c r="H57" s="18" t="s">
        <v>276</v>
      </c>
      <c r="I57" s="18" t="s">
        <v>788</v>
      </c>
    </row>
    <row r="58" spans="1:9" x14ac:dyDescent="0.3">
      <c r="A58" s="18" t="s">
        <v>41</v>
      </c>
      <c r="B58" s="18" t="s">
        <v>870</v>
      </c>
      <c r="C58" s="18" t="s">
        <v>446</v>
      </c>
      <c r="D58" s="18" t="s">
        <v>784</v>
      </c>
      <c r="E58" s="18" t="s">
        <v>785</v>
      </c>
      <c r="F58" s="18" t="s">
        <v>873</v>
      </c>
      <c r="G58" s="18"/>
      <c r="H58" s="18" t="s">
        <v>276</v>
      </c>
      <c r="I58" s="18"/>
    </row>
    <row r="59" spans="1:9" x14ac:dyDescent="0.3">
      <c r="A59" s="18" t="s">
        <v>41</v>
      </c>
      <c r="B59" s="18" t="s">
        <v>870</v>
      </c>
      <c r="C59" s="18" t="s">
        <v>447</v>
      </c>
      <c r="D59" s="18" t="s">
        <v>784</v>
      </c>
      <c r="E59" s="18" t="s">
        <v>785</v>
      </c>
      <c r="F59" s="18" t="s">
        <v>874</v>
      </c>
      <c r="G59" s="18"/>
      <c r="H59" s="18" t="s">
        <v>276</v>
      </c>
      <c r="I59" s="18"/>
    </row>
    <row r="60" spans="1:9" x14ac:dyDescent="0.3">
      <c r="A60" s="18" t="s">
        <v>41</v>
      </c>
      <c r="B60" s="18" t="s">
        <v>870</v>
      </c>
      <c r="C60" s="18" t="s">
        <v>95</v>
      </c>
      <c r="D60" s="18" t="s">
        <v>784</v>
      </c>
      <c r="E60" s="18" t="s">
        <v>785</v>
      </c>
      <c r="F60" s="18" t="s">
        <v>875</v>
      </c>
      <c r="G60" s="18" t="s">
        <v>801</v>
      </c>
      <c r="H60" s="18" t="s">
        <v>276</v>
      </c>
      <c r="I60" s="18"/>
    </row>
    <row r="61" spans="1:9" x14ac:dyDescent="0.3">
      <c r="A61" s="18" t="s">
        <v>41</v>
      </c>
      <c r="B61" s="18" t="s">
        <v>870</v>
      </c>
      <c r="C61" s="18" t="s">
        <v>448</v>
      </c>
      <c r="D61" s="18" t="s">
        <v>784</v>
      </c>
      <c r="E61" s="18" t="s">
        <v>785</v>
      </c>
      <c r="F61" s="18" t="s">
        <v>876</v>
      </c>
      <c r="G61" s="18"/>
      <c r="H61" s="18" t="s">
        <v>276</v>
      </c>
      <c r="I61" s="18"/>
    </row>
    <row r="62" spans="1:9" x14ac:dyDescent="0.3">
      <c r="A62" s="18" t="s">
        <v>41</v>
      </c>
      <c r="B62" s="18" t="s">
        <v>870</v>
      </c>
      <c r="C62" s="18" t="s">
        <v>94</v>
      </c>
      <c r="D62" s="18" t="s">
        <v>784</v>
      </c>
      <c r="E62" s="18" t="s">
        <v>785</v>
      </c>
      <c r="F62" s="18" t="s">
        <v>877</v>
      </c>
      <c r="G62" s="18" t="s">
        <v>799</v>
      </c>
      <c r="H62" s="18" t="s">
        <v>276</v>
      </c>
      <c r="I62" s="18"/>
    </row>
    <row r="63" spans="1:9" ht="52.8" x14ac:dyDescent="0.3">
      <c r="A63" s="18" t="s">
        <v>41</v>
      </c>
      <c r="B63" s="18" t="s">
        <v>870</v>
      </c>
      <c r="C63" s="18" t="s">
        <v>112</v>
      </c>
      <c r="D63" s="18" t="s">
        <v>784</v>
      </c>
      <c r="E63" s="18" t="s">
        <v>785</v>
      </c>
      <c r="F63" s="18" t="s">
        <v>856</v>
      </c>
      <c r="G63" s="18"/>
      <c r="H63" s="18" t="s">
        <v>287</v>
      </c>
      <c r="I63" s="18" t="s">
        <v>829</v>
      </c>
    </row>
    <row r="64" spans="1:9" x14ac:dyDescent="0.3">
      <c r="A64" s="18" t="s">
        <v>41</v>
      </c>
      <c r="B64" s="18" t="s">
        <v>870</v>
      </c>
      <c r="C64" s="18" t="s">
        <v>449</v>
      </c>
      <c r="D64" s="18" t="s">
        <v>784</v>
      </c>
      <c r="E64" s="18" t="s">
        <v>785</v>
      </c>
      <c r="F64" s="18" t="s">
        <v>878</v>
      </c>
      <c r="G64" s="18"/>
      <c r="H64" s="18" t="s">
        <v>276</v>
      </c>
      <c r="I64" s="18"/>
    </row>
    <row r="65" spans="1:9" ht="26.4" x14ac:dyDescent="0.3">
      <c r="A65" s="18" t="s">
        <v>41</v>
      </c>
      <c r="B65" s="18" t="s">
        <v>870</v>
      </c>
      <c r="C65" s="18" t="s">
        <v>109</v>
      </c>
      <c r="D65" s="18" t="s">
        <v>824</v>
      </c>
      <c r="E65" s="18" t="s">
        <v>785</v>
      </c>
      <c r="F65" s="18" t="s">
        <v>825</v>
      </c>
      <c r="G65" s="18"/>
      <c r="H65" s="18" t="s">
        <v>276</v>
      </c>
      <c r="I65" s="18"/>
    </row>
    <row r="66" spans="1:9" x14ac:dyDescent="0.3">
      <c r="A66" s="18" t="s">
        <v>45</v>
      </c>
      <c r="B66" s="18" t="s">
        <v>879</v>
      </c>
      <c r="C66" s="18" t="s">
        <v>485</v>
      </c>
      <c r="D66" s="18" t="s">
        <v>784</v>
      </c>
      <c r="E66" s="18" t="s">
        <v>785</v>
      </c>
      <c r="F66" s="18" t="s">
        <v>880</v>
      </c>
      <c r="G66" s="18" t="s">
        <v>881</v>
      </c>
      <c r="H66" s="18" t="s">
        <v>276</v>
      </c>
      <c r="I66" s="18" t="s">
        <v>788</v>
      </c>
    </row>
    <row r="67" spans="1:9" x14ac:dyDescent="0.3">
      <c r="A67" s="18" t="s">
        <v>45</v>
      </c>
      <c r="B67" s="18" t="s">
        <v>879</v>
      </c>
      <c r="C67" s="18" t="s">
        <v>105</v>
      </c>
      <c r="D67" s="18" t="s">
        <v>784</v>
      </c>
      <c r="E67" s="18" t="s">
        <v>785</v>
      </c>
      <c r="F67" s="18" t="s">
        <v>882</v>
      </c>
      <c r="G67" s="18"/>
      <c r="H67" s="18" t="s">
        <v>276</v>
      </c>
      <c r="I67" s="18"/>
    </row>
    <row r="68" spans="1:9" x14ac:dyDescent="0.3">
      <c r="A68" s="18" t="s">
        <v>45</v>
      </c>
      <c r="B68" s="18" t="s">
        <v>879</v>
      </c>
      <c r="C68" s="18" t="s">
        <v>486</v>
      </c>
      <c r="D68" s="18" t="s">
        <v>784</v>
      </c>
      <c r="E68" s="18" t="s">
        <v>785</v>
      </c>
      <c r="F68" s="18" t="s">
        <v>883</v>
      </c>
      <c r="G68" s="18" t="s">
        <v>884</v>
      </c>
      <c r="H68" s="18" t="s">
        <v>276</v>
      </c>
      <c r="I68" s="18"/>
    </row>
    <row r="69" spans="1:9" x14ac:dyDescent="0.3">
      <c r="A69" s="18" t="s">
        <v>45</v>
      </c>
      <c r="B69" s="18" t="s">
        <v>879</v>
      </c>
      <c r="C69" s="18" t="s">
        <v>487</v>
      </c>
      <c r="D69" s="18" t="s">
        <v>784</v>
      </c>
      <c r="E69" s="18" t="s">
        <v>785</v>
      </c>
      <c r="F69" s="18" t="s">
        <v>885</v>
      </c>
      <c r="G69" s="18"/>
      <c r="H69" s="18" t="s">
        <v>276</v>
      </c>
      <c r="I69" s="18"/>
    </row>
    <row r="70" spans="1:9" x14ac:dyDescent="0.3">
      <c r="A70" s="18" t="s">
        <v>45</v>
      </c>
      <c r="B70" s="18" t="s">
        <v>879</v>
      </c>
      <c r="C70" s="18" t="s">
        <v>488</v>
      </c>
      <c r="D70" s="18" t="s">
        <v>784</v>
      </c>
      <c r="E70" s="18" t="s">
        <v>785</v>
      </c>
      <c r="F70" s="18" t="s">
        <v>886</v>
      </c>
      <c r="G70" s="18"/>
      <c r="H70" s="18" t="s">
        <v>276</v>
      </c>
      <c r="I70" s="18"/>
    </row>
    <row r="71" spans="1:9" ht="26.4" x14ac:dyDescent="0.3">
      <c r="A71" s="18" t="s">
        <v>45</v>
      </c>
      <c r="B71" s="18" t="s">
        <v>879</v>
      </c>
      <c r="C71" s="18" t="s">
        <v>489</v>
      </c>
      <c r="D71" s="18" t="s">
        <v>784</v>
      </c>
      <c r="E71" s="18" t="s">
        <v>785</v>
      </c>
      <c r="F71" s="18" t="s">
        <v>887</v>
      </c>
      <c r="G71" s="18" t="s">
        <v>794</v>
      </c>
      <c r="H71" s="18" t="s">
        <v>276</v>
      </c>
      <c r="I71" s="18"/>
    </row>
    <row r="72" spans="1:9" x14ac:dyDescent="0.3">
      <c r="A72" s="18" t="s">
        <v>45</v>
      </c>
      <c r="B72" s="18" t="s">
        <v>879</v>
      </c>
      <c r="C72" s="18" t="s">
        <v>490</v>
      </c>
      <c r="D72" s="18" t="s">
        <v>784</v>
      </c>
      <c r="E72" s="18" t="s">
        <v>785</v>
      </c>
      <c r="F72" s="18" t="s">
        <v>888</v>
      </c>
      <c r="G72" s="18" t="s">
        <v>850</v>
      </c>
      <c r="H72" s="18" t="s">
        <v>276</v>
      </c>
      <c r="I72" s="18"/>
    </row>
    <row r="73" spans="1:9" ht="26.4" x14ac:dyDescent="0.3">
      <c r="A73" s="18" t="s">
        <v>45</v>
      </c>
      <c r="B73" s="18" t="s">
        <v>879</v>
      </c>
      <c r="C73" s="18" t="s">
        <v>491</v>
      </c>
      <c r="D73" s="18" t="s">
        <v>784</v>
      </c>
      <c r="E73" s="18" t="s">
        <v>785</v>
      </c>
      <c r="F73" s="18" t="s">
        <v>889</v>
      </c>
      <c r="G73" s="18" t="s">
        <v>850</v>
      </c>
      <c r="H73" s="18" t="s">
        <v>276</v>
      </c>
      <c r="I73" s="18"/>
    </row>
    <row r="74" spans="1:9" x14ac:dyDescent="0.3">
      <c r="A74" s="18" t="s">
        <v>45</v>
      </c>
      <c r="B74" s="18" t="s">
        <v>879</v>
      </c>
      <c r="C74" s="18" t="s">
        <v>492</v>
      </c>
      <c r="D74" s="18" t="s">
        <v>784</v>
      </c>
      <c r="E74" s="18" t="s">
        <v>785</v>
      </c>
      <c r="F74" s="18" t="s">
        <v>890</v>
      </c>
      <c r="G74" s="18" t="s">
        <v>891</v>
      </c>
      <c r="H74" s="18" t="s">
        <v>276</v>
      </c>
      <c r="I74" s="18"/>
    </row>
    <row r="75" spans="1:9" ht="39.6" x14ac:dyDescent="0.3">
      <c r="A75" s="18" t="s">
        <v>45</v>
      </c>
      <c r="B75" s="18" t="s">
        <v>879</v>
      </c>
      <c r="C75" s="18" t="s">
        <v>493</v>
      </c>
      <c r="D75" s="18" t="s">
        <v>784</v>
      </c>
      <c r="E75" s="18" t="s">
        <v>785</v>
      </c>
      <c r="F75" s="18" t="s">
        <v>892</v>
      </c>
      <c r="G75" s="18"/>
      <c r="H75" s="18" t="s">
        <v>287</v>
      </c>
      <c r="I75" s="18" t="s">
        <v>893</v>
      </c>
    </row>
    <row r="76" spans="1:9" x14ac:dyDescent="0.3">
      <c r="A76" s="18" t="s">
        <v>45</v>
      </c>
      <c r="B76" s="18" t="s">
        <v>879</v>
      </c>
      <c r="C76" s="18" t="s">
        <v>449</v>
      </c>
      <c r="D76" s="18" t="s">
        <v>784</v>
      </c>
      <c r="E76" s="18" t="s">
        <v>785</v>
      </c>
      <c r="F76" s="18" t="s">
        <v>894</v>
      </c>
      <c r="G76" s="18"/>
      <c r="H76" s="18" t="s">
        <v>276</v>
      </c>
      <c r="I76" s="18"/>
    </row>
    <row r="77" spans="1:9" x14ac:dyDescent="0.3">
      <c r="A77" s="18" t="s">
        <v>45</v>
      </c>
      <c r="B77" s="18" t="s">
        <v>879</v>
      </c>
      <c r="C77" s="18" t="s">
        <v>494</v>
      </c>
      <c r="D77" s="18" t="s">
        <v>784</v>
      </c>
      <c r="E77" s="18" t="s">
        <v>785</v>
      </c>
      <c r="F77" s="18" t="s">
        <v>895</v>
      </c>
      <c r="G77" s="18"/>
      <c r="H77" s="18" t="s">
        <v>276</v>
      </c>
      <c r="I77" s="18"/>
    </row>
    <row r="78" spans="1:9" x14ac:dyDescent="0.3">
      <c r="A78" s="18" t="s">
        <v>45</v>
      </c>
      <c r="B78" s="18" t="s">
        <v>879</v>
      </c>
      <c r="C78" s="18" t="s">
        <v>495</v>
      </c>
      <c r="D78" s="18" t="s">
        <v>784</v>
      </c>
      <c r="E78" s="18" t="s">
        <v>785</v>
      </c>
      <c r="F78" s="18" t="s">
        <v>896</v>
      </c>
      <c r="G78" s="18" t="s">
        <v>897</v>
      </c>
      <c r="H78" s="18" t="s">
        <v>276</v>
      </c>
      <c r="I78" s="18"/>
    </row>
    <row r="79" spans="1:9" x14ac:dyDescent="0.3">
      <c r="A79" s="18" t="s">
        <v>45</v>
      </c>
      <c r="B79" s="18" t="s">
        <v>879</v>
      </c>
      <c r="C79" s="18" t="s">
        <v>496</v>
      </c>
      <c r="D79" s="18" t="s">
        <v>784</v>
      </c>
      <c r="E79" s="18" t="s">
        <v>785</v>
      </c>
      <c r="F79" s="18" t="s">
        <v>898</v>
      </c>
      <c r="G79" s="18" t="s">
        <v>897</v>
      </c>
      <c r="H79" s="18" t="s">
        <v>276</v>
      </c>
      <c r="I79" s="18"/>
    </row>
    <row r="80" spans="1:9" x14ac:dyDescent="0.3">
      <c r="A80" s="18" t="s">
        <v>45</v>
      </c>
      <c r="B80" s="18" t="s">
        <v>879</v>
      </c>
      <c r="C80" s="18" t="s">
        <v>266</v>
      </c>
      <c r="D80" s="18" t="s">
        <v>784</v>
      </c>
      <c r="E80" s="18" t="s">
        <v>808</v>
      </c>
      <c r="F80" s="18" t="s">
        <v>899</v>
      </c>
      <c r="G80" s="18"/>
      <c r="H80" s="18" t="s">
        <v>276</v>
      </c>
      <c r="I80" s="18"/>
    </row>
    <row r="81" spans="1:9" ht="26.4" x14ac:dyDescent="0.3">
      <c r="A81" s="18" t="s">
        <v>45</v>
      </c>
      <c r="B81" s="18" t="s">
        <v>879</v>
      </c>
      <c r="C81" s="18" t="s">
        <v>104</v>
      </c>
      <c r="D81" s="18" t="s">
        <v>784</v>
      </c>
      <c r="E81" s="18" t="s">
        <v>785</v>
      </c>
      <c r="F81" s="18" t="s">
        <v>900</v>
      </c>
      <c r="G81" s="18"/>
      <c r="H81" s="18" t="s">
        <v>287</v>
      </c>
      <c r="I81" s="18" t="s">
        <v>816</v>
      </c>
    </row>
    <row r="82" spans="1:9" x14ac:dyDescent="0.3">
      <c r="A82" s="18" t="s">
        <v>45</v>
      </c>
      <c r="B82" s="18" t="s">
        <v>879</v>
      </c>
      <c r="C82" s="18" t="s">
        <v>108</v>
      </c>
      <c r="D82" s="18" t="s">
        <v>784</v>
      </c>
      <c r="E82" s="18" t="s">
        <v>785</v>
      </c>
      <c r="F82" s="18" t="s">
        <v>901</v>
      </c>
      <c r="G82" s="18" t="s">
        <v>823</v>
      </c>
      <c r="H82" s="18" t="s">
        <v>276</v>
      </c>
      <c r="I82" s="18"/>
    </row>
    <row r="83" spans="1:9" ht="26.4" x14ac:dyDescent="0.3">
      <c r="A83" s="18" t="s">
        <v>45</v>
      </c>
      <c r="B83" s="18" t="s">
        <v>879</v>
      </c>
      <c r="C83" s="18" t="s">
        <v>497</v>
      </c>
      <c r="D83" s="18" t="s">
        <v>824</v>
      </c>
      <c r="E83" s="18" t="s">
        <v>785</v>
      </c>
      <c r="F83" s="18" t="s">
        <v>902</v>
      </c>
      <c r="G83" s="18"/>
      <c r="H83" s="18" t="s">
        <v>276</v>
      </c>
      <c r="I83" s="18"/>
    </row>
    <row r="84" spans="1:9" ht="52.8" x14ac:dyDescent="0.3">
      <c r="A84" s="18" t="s">
        <v>45</v>
      </c>
      <c r="B84" s="18" t="s">
        <v>879</v>
      </c>
      <c r="C84" s="18" t="s">
        <v>112</v>
      </c>
      <c r="D84" s="18" t="s">
        <v>784</v>
      </c>
      <c r="E84" s="18" t="s">
        <v>785</v>
      </c>
      <c r="F84" s="18" t="s">
        <v>828</v>
      </c>
      <c r="G84" s="18"/>
      <c r="H84" s="18" t="s">
        <v>287</v>
      </c>
      <c r="I84" s="18" t="s">
        <v>829</v>
      </c>
    </row>
    <row r="85" spans="1:9" x14ac:dyDescent="0.3">
      <c r="A85" s="18" t="s">
        <v>45</v>
      </c>
      <c r="B85" s="18" t="s">
        <v>879</v>
      </c>
      <c r="C85" s="18" t="s">
        <v>498</v>
      </c>
      <c r="D85" s="18" t="s">
        <v>784</v>
      </c>
      <c r="E85" s="18" t="s">
        <v>785</v>
      </c>
      <c r="F85" s="18" t="s">
        <v>903</v>
      </c>
      <c r="G85" s="18"/>
      <c r="H85" s="18" t="s">
        <v>287</v>
      </c>
      <c r="I85" s="18"/>
    </row>
    <row r="86" spans="1:9" x14ac:dyDescent="0.3">
      <c r="A86" s="18" t="s">
        <v>45</v>
      </c>
      <c r="B86" s="18" t="s">
        <v>879</v>
      </c>
      <c r="C86" s="18" t="s">
        <v>499</v>
      </c>
      <c r="D86" s="18" t="s">
        <v>784</v>
      </c>
      <c r="E86" s="18" t="s">
        <v>785</v>
      </c>
      <c r="F86" s="18" t="s">
        <v>904</v>
      </c>
      <c r="G86" s="18"/>
      <c r="H86" s="18" t="s">
        <v>276</v>
      </c>
      <c r="I86" s="18"/>
    </row>
    <row r="87" spans="1:9" x14ac:dyDescent="0.3">
      <c r="A87" s="18" t="s">
        <v>45</v>
      </c>
      <c r="B87" s="18" t="s">
        <v>879</v>
      </c>
      <c r="C87" s="18" t="s">
        <v>500</v>
      </c>
      <c r="D87" s="18" t="s">
        <v>784</v>
      </c>
      <c r="E87" s="18" t="s">
        <v>785</v>
      </c>
      <c r="F87" s="18" t="s">
        <v>905</v>
      </c>
      <c r="G87" s="18"/>
      <c r="H87" s="18" t="s">
        <v>276</v>
      </c>
      <c r="I87" s="18"/>
    </row>
    <row r="88" spans="1:9" ht="26.4" x14ac:dyDescent="0.3">
      <c r="A88" s="18" t="s">
        <v>45</v>
      </c>
      <c r="B88" s="18" t="s">
        <v>879</v>
      </c>
      <c r="C88" s="18" t="s">
        <v>501</v>
      </c>
      <c r="D88" s="18" t="s">
        <v>784</v>
      </c>
      <c r="E88" s="18" t="s">
        <v>785</v>
      </c>
      <c r="F88" s="18" t="s">
        <v>906</v>
      </c>
      <c r="G88" s="18"/>
      <c r="H88" s="18" t="s">
        <v>287</v>
      </c>
      <c r="I88" s="18" t="s">
        <v>907</v>
      </c>
    </row>
    <row r="89" spans="1:9" ht="52.8" x14ac:dyDescent="0.3">
      <c r="A89" s="18" t="s">
        <v>45</v>
      </c>
      <c r="B89" s="18" t="s">
        <v>879</v>
      </c>
      <c r="C89" s="18" t="s">
        <v>502</v>
      </c>
      <c r="D89" s="18" t="s">
        <v>784</v>
      </c>
      <c r="E89" s="18" t="s">
        <v>785</v>
      </c>
      <c r="F89" s="18" t="s">
        <v>908</v>
      </c>
      <c r="G89" s="18"/>
      <c r="H89" s="18" t="s">
        <v>287</v>
      </c>
      <c r="I89" s="18" t="s">
        <v>909</v>
      </c>
    </row>
    <row r="90" spans="1:9" x14ac:dyDescent="0.3">
      <c r="A90" s="18" t="s">
        <v>47</v>
      </c>
      <c r="B90" s="18" t="s">
        <v>910</v>
      </c>
      <c r="C90" s="18" t="s">
        <v>650</v>
      </c>
      <c r="D90" s="18" t="s">
        <v>784</v>
      </c>
      <c r="E90" s="18" t="s">
        <v>785</v>
      </c>
      <c r="F90" s="18" t="s">
        <v>911</v>
      </c>
      <c r="G90" s="18"/>
      <c r="H90" s="18" t="s">
        <v>276</v>
      </c>
      <c r="I90" s="18" t="s">
        <v>788</v>
      </c>
    </row>
    <row r="91" spans="1:9" x14ac:dyDescent="0.3">
      <c r="A91" s="18" t="s">
        <v>47</v>
      </c>
      <c r="B91" s="18" t="s">
        <v>910</v>
      </c>
      <c r="C91" s="18" t="s">
        <v>651</v>
      </c>
      <c r="D91" s="18" t="s">
        <v>784</v>
      </c>
      <c r="E91" s="18" t="s">
        <v>785</v>
      </c>
      <c r="F91" s="18" t="s">
        <v>912</v>
      </c>
      <c r="G91" s="18"/>
      <c r="H91" s="18" t="s">
        <v>276</v>
      </c>
      <c r="I91" s="18"/>
    </row>
    <row r="92" spans="1:9" x14ac:dyDescent="0.3">
      <c r="A92" s="18" t="s">
        <v>47</v>
      </c>
      <c r="B92" s="18" t="s">
        <v>910</v>
      </c>
      <c r="C92" s="18" t="s">
        <v>652</v>
      </c>
      <c r="D92" s="18" t="s">
        <v>784</v>
      </c>
      <c r="E92" s="18" t="s">
        <v>785</v>
      </c>
      <c r="F92" s="18" t="s">
        <v>913</v>
      </c>
      <c r="G92" s="18" t="s">
        <v>850</v>
      </c>
      <c r="H92" s="18" t="s">
        <v>276</v>
      </c>
      <c r="I92" s="18"/>
    </row>
    <row r="93" spans="1:9" x14ac:dyDescent="0.3">
      <c r="A93" s="18" t="s">
        <v>47</v>
      </c>
      <c r="B93" s="18" t="s">
        <v>910</v>
      </c>
      <c r="C93" s="18" t="s">
        <v>653</v>
      </c>
      <c r="D93" s="18" t="s">
        <v>784</v>
      </c>
      <c r="E93" s="18" t="s">
        <v>785</v>
      </c>
      <c r="F93" s="18" t="s">
        <v>914</v>
      </c>
      <c r="G93" s="18"/>
      <c r="H93" s="18" t="s">
        <v>276</v>
      </c>
      <c r="I93" s="18"/>
    </row>
    <row r="94" spans="1:9" x14ac:dyDescent="0.3">
      <c r="A94" s="18" t="s">
        <v>47</v>
      </c>
      <c r="B94" s="18" t="s">
        <v>910</v>
      </c>
      <c r="C94" s="18" t="s">
        <v>654</v>
      </c>
      <c r="D94" s="18" t="s">
        <v>784</v>
      </c>
      <c r="E94" s="18" t="s">
        <v>785</v>
      </c>
      <c r="F94" s="18" t="s">
        <v>915</v>
      </c>
      <c r="G94" s="18"/>
      <c r="H94" s="18" t="s">
        <v>287</v>
      </c>
      <c r="I94" s="18"/>
    </row>
    <row r="95" spans="1:9" x14ac:dyDescent="0.3">
      <c r="A95" s="18" t="s">
        <v>49</v>
      </c>
      <c r="B95" s="18" t="s">
        <v>916</v>
      </c>
      <c r="C95" s="18" t="s">
        <v>680</v>
      </c>
      <c r="D95" s="18" t="s">
        <v>784</v>
      </c>
      <c r="E95" s="18" t="s">
        <v>785</v>
      </c>
      <c r="F95" s="18" t="s">
        <v>917</v>
      </c>
      <c r="G95" s="18"/>
      <c r="H95" s="18" t="s">
        <v>276</v>
      </c>
      <c r="I95" s="18" t="s">
        <v>788</v>
      </c>
    </row>
    <row r="96" spans="1:9" x14ac:dyDescent="0.3">
      <c r="A96" s="18" t="s">
        <v>49</v>
      </c>
      <c r="B96" s="18" t="s">
        <v>916</v>
      </c>
      <c r="C96" s="18" t="s">
        <v>681</v>
      </c>
      <c r="D96" s="18" t="s">
        <v>784</v>
      </c>
      <c r="E96" s="18" t="s">
        <v>785</v>
      </c>
      <c r="F96" s="18" t="s">
        <v>918</v>
      </c>
      <c r="G96" s="18"/>
      <c r="H96" s="18" t="s">
        <v>276</v>
      </c>
      <c r="I96" s="18"/>
    </row>
    <row r="97" spans="1:9" x14ac:dyDescent="0.3">
      <c r="A97" s="18" t="s">
        <v>51</v>
      </c>
      <c r="B97" s="18" t="s">
        <v>919</v>
      </c>
      <c r="C97" s="18" t="s">
        <v>703</v>
      </c>
      <c r="D97" s="18" t="s">
        <v>784</v>
      </c>
      <c r="E97" s="18" t="s">
        <v>785</v>
      </c>
      <c r="F97" s="18" t="s">
        <v>920</v>
      </c>
      <c r="G97" s="18"/>
      <c r="H97" s="18" t="s">
        <v>276</v>
      </c>
      <c r="I97" s="18" t="s">
        <v>788</v>
      </c>
    </row>
    <row r="98" spans="1:9" x14ac:dyDescent="0.3">
      <c r="A98" s="18" t="s">
        <v>51</v>
      </c>
      <c r="B98" s="18" t="s">
        <v>919</v>
      </c>
      <c r="C98" s="18" t="s">
        <v>704</v>
      </c>
      <c r="D98" s="18" t="s">
        <v>784</v>
      </c>
      <c r="E98" s="18" t="s">
        <v>785</v>
      </c>
      <c r="F98" s="18" t="s">
        <v>921</v>
      </c>
      <c r="G98" s="18"/>
      <c r="H98" s="18" t="s">
        <v>276</v>
      </c>
      <c r="I98" s="18"/>
    </row>
    <row r="99" spans="1:9" x14ac:dyDescent="0.3">
      <c r="A99" s="18" t="s">
        <v>51</v>
      </c>
      <c r="B99" s="18" t="s">
        <v>919</v>
      </c>
      <c r="C99" s="18" t="s">
        <v>705</v>
      </c>
      <c r="D99" s="18" t="s">
        <v>784</v>
      </c>
      <c r="E99" s="18" t="s">
        <v>785</v>
      </c>
      <c r="F99" s="18" t="s">
        <v>922</v>
      </c>
      <c r="G99" s="18"/>
      <c r="H99" s="18" t="s">
        <v>276</v>
      </c>
      <c r="I99" s="18"/>
    </row>
    <row r="100" spans="1:9" x14ac:dyDescent="0.3">
      <c r="A100" s="18" t="s">
        <v>51</v>
      </c>
      <c r="B100" s="18" t="s">
        <v>919</v>
      </c>
      <c r="C100" s="18" t="s">
        <v>653</v>
      </c>
      <c r="D100" s="18" t="s">
        <v>784</v>
      </c>
      <c r="E100" s="18" t="s">
        <v>785</v>
      </c>
      <c r="F100" s="18" t="s">
        <v>923</v>
      </c>
      <c r="G100" s="18"/>
      <c r="H100" s="18" t="s">
        <v>276</v>
      </c>
      <c r="I100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13</vt:i4>
      </vt:variant>
      <vt:variant>
        <vt:lpstr>Intervalos com Nome</vt:lpstr>
      </vt:variant>
      <vt:variant>
        <vt:i4>27</vt:i4>
      </vt:variant>
    </vt:vector>
  </HeadingPairs>
  <TitlesOfParts>
    <vt:vector size="40" baseType="lpstr">
      <vt:lpstr>00_LEIA-ME</vt:lpstr>
      <vt:lpstr>PESTEL</vt:lpstr>
      <vt:lpstr>SWOT</vt:lpstr>
      <vt:lpstr>Matriz_TOWS</vt:lpstr>
      <vt:lpstr>Cinco_Forcas</vt:lpstr>
      <vt:lpstr>Vista_SWOT</vt:lpstr>
      <vt:lpstr>Partes_Interessadas</vt:lpstr>
      <vt:lpstr>Alteracoes_Climaticas</vt:lpstr>
      <vt:lpstr>Ambito_SGQ</vt:lpstr>
      <vt:lpstr>Aplicabilidade</vt:lpstr>
      <vt:lpstr>Resumo_Contexto</vt:lpstr>
      <vt:lpstr>Listas</vt:lpstr>
      <vt:lpstr>Dicionario_Dados</vt:lpstr>
      <vt:lpstr>DataRef</vt:lpstr>
      <vt:lpstr>lst_Classificacao</vt:lpstr>
      <vt:lpstr>lst_CondicaoAmbiental</vt:lpstr>
      <vt:lpstr>lst_Cruzamento</vt:lpstr>
      <vt:lpstr>lst_DataReferencia</vt:lpstr>
      <vt:lpstr>lst_Dimensao</vt:lpstr>
      <vt:lpstr>lst_Direcao</vt:lpstr>
      <vt:lpstr>lst_Escala13</vt:lpstr>
      <vt:lpstr>lst_ESG</vt:lpstr>
      <vt:lpstr>lst_Funcao</vt:lpstr>
      <vt:lpstr>lst_Horizonte</vt:lpstr>
      <vt:lpstr>lst_PI_Nivel</vt:lpstr>
      <vt:lpstr>lst_PI_Obrig</vt:lpstr>
      <vt:lpstr>lst_PI_Tipo</vt:lpstr>
      <vt:lpstr>lst_Processo</vt:lpstr>
      <vt:lpstr>lst_Quadrante</vt:lpstr>
      <vt:lpstr>lst_SimNao</vt:lpstr>
      <vt:lpstr>lst_Tema</vt:lpstr>
      <vt:lpstr>lst_Tendencia</vt:lpstr>
      <vt:lpstr>Alteracoes_Climaticas!Títulos_de_Impressão</vt:lpstr>
      <vt:lpstr>Ambito_SGQ!Títulos_de_Impressão</vt:lpstr>
      <vt:lpstr>Aplicabilidade!Títulos_de_Impressão</vt:lpstr>
      <vt:lpstr>Cinco_Forcas!Títulos_de_Impressão</vt:lpstr>
      <vt:lpstr>Matriz_TOWS!Títulos_de_Impressão</vt:lpstr>
      <vt:lpstr>Partes_Interessadas!Títulos_de_Impressão</vt:lpstr>
      <vt:lpstr>PESTEL!Títulos_de_Impressão</vt:lpstr>
      <vt:lpstr>SWOT!Títulos_de_Impressão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RG-SGQ-01 Contexto da Organização — PESTEL, SWOT, Partes Interessadas, 5 Forças e TOWS (SGQ) · Âmbito</dc:title>
  <dc:subject>SGQ NP EN ISO 9001:2026 — Plasticom</dc:subject>
  <dc:creator>Gerente da Qualidade</dc:creator>
  <cp:lastModifiedBy>Aline Meireles</cp:lastModifiedBy>
  <dcterms:created xsi:type="dcterms:W3CDTF">2026-09-30T16:46:41Z</dcterms:created>
  <dcterms:modified xsi:type="dcterms:W3CDTF">2026-09-30T16:47:11Z</dcterms:modified>
</cp:coreProperties>
</file>