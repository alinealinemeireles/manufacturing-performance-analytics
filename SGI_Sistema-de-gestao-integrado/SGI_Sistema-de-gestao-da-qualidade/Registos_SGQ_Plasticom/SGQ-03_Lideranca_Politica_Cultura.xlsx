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C5A6DF42-F88C-4ED9-9D9D-DAD401542E5C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olitica_Qualidade" sheetId="2" r:id="rId2"/>
    <sheet name="Verificacao_Politica" sheetId="3" r:id="rId3"/>
    <sheet name="Lideranca_Compromisso" sheetId="4" r:id="rId4"/>
    <sheet name="Funcoes_Autoridades" sheetId="5" r:id="rId5"/>
    <sheet name="Matriz_RACI" sheetId="6" r:id="rId6"/>
    <sheet name="Cultura_Qualidade" sheetId="7" r:id="rId7"/>
    <sheet name="Respondentes" sheetId="8" r:id="rId8"/>
    <sheet name="Gemba_Walks" sheetId="9" r:id="rId9"/>
    <sheet name="Relatos_Integridade" sheetId="10" r:id="rId10"/>
    <sheet name="Listas" sheetId="11" r:id="rId11"/>
    <sheet name="Dicionario_Dados" sheetId="12" r:id="rId12"/>
  </sheets>
  <definedNames>
    <definedName name="DataRef">Listas!$A$3</definedName>
    <definedName name="lst_Area">Listas!$H$3:$H$7</definedName>
    <definedName name="lst_DataReferencia">Listas!$A$3:$A$3</definedName>
    <definedName name="lst_Estado">Listas!$B$3:$B$5</definedName>
    <definedName name="lst_EstadoRel">Listas!$G$3:$G$4</definedName>
    <definedName name="lst_Funcao">Listas!$C$3:$C$29</definedName>
    <definedName name="lst_Processo">Listas!$D$3:$D$20</definedName>
    <definedName name="lst_RACI">Listas!$E$3:$E$6</definedName>
    <definedName name="lst_TipoRelato">Listas!$F$3:$F$7</definedName>
    <definedName name="_xlnm.Print_Titles" localSheetId="6">Cultura_Qualidade!$4:$4</definedName>
    <definedName name="_xlnm.Print_Titles" localSheetId="4">Funcoes_Autoridades!$1:$1</definedName>
    <definedName name="_xlnm.Print_Titles" localSheetId="8">Gemba_Walks!$1:$1</definedName>
    <definedName name="_xlnm.Print_Titles" localSheetId="3">Lideranca_Compromisso!$4:$4</definedName>
    <definedName name="_xlnm.Print_Titles" localSheetId="5">Matriz_RACI!$4:$4</definedName>
    <definedName name="_xlnm.Print_Titles" localSheetId="9">Relatos_Integridade!$4:$4</definedName>
    <definedName name="_xlnm.Print_Titles" localSheetId="2">Verificacao_Politica!$4:$4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0" l="1"/>
  <c r="I12" i="10"/>
  <c r="I11" i="10"/>
  <c r="I10" i="10"/>
  <c r="I9" i="10"/>
  <c r="I8" i="10"/>
  <c r="I7" i="10"/>
  <c r="I6" i="10"/>
  <c r="I5" i="10"/>
  <c r="G2" i="8"/>
  <c r="L12" i="7"/>
  <c r="I12" i="7"/>
  <c r="K12" i="7" s="1"/>
  <c r="L11" i="7"/>
  <c r="I11" i="7"/>
  <c r="K11" i="7" s="1"/>
  <c r="L10" i="7"/>
  <c r="I10" i="7"/>
  <c r="K10" i="7" s="1"/>
  <c r="L9" i="7"/>
  <c r="I9" i="7"/>
  <c r="K9" i="7" s="1"/>
  <c r="L8" i="7"/>
  <c r="I8" i="7"/>
  <c r="K8" i="7" s="1"/>
  <c r="L7" i="7"/>
  <c r="I7" i="7"/>
  <c r="K7" i="7" s="1"/>
  <c r="L6" i="7"/>
  <c r="I6" i="7"/>
  <c r="K6" i="7" s="1"/>
  <c r="L5" i="7"/>
  <c r="I5" i="7"/>
  <c r="K5" i="7" s="1"/>
  <c r="Z20" i="6"/>
  <c r="Y20" i="6"/>
  <c r="Z19" i="6"/>
  <c r="Y19" i="6"/>
  <c r="Z18" i="6"/>
  <c r="Y18" i="6"/>
  <c r="Z17" i="6"/>
  <c r="Y17" i="6"/>
  <c r="Z16" i="6"/>
  <c r="Y16" i="6"/>
  <c r="Z15" i="6"/>
  <c r="Y15" i="6"/>
  <c r="Z14" i="6"/>
  <c r="Y14" i="6"/>
  <c r="Z13" i="6"/>
  <c r="Y13" i="6"/>
  <c r="Z12" i="6"/>
  <c r="Y12" i="6"/>
  <c r="Z11" i="6"/>
  <c r="Y11" i="6"/>
  <c r="Z10" i="6"/>
  <c r="Y10" i="6"/>
  <c r="Z9" i="6"/>
  <c r="Y9" i="6"/>
  <c r="Z8" i="6"/>
  <c r="Y8" i="6"/>
  <c r="Z7" i="6"/>
  <c r="Y7" i="6"/>
  <c r="Z6" i="6"/>
  <c r="Y6" i="6"/>
  <c r="Z5" i="6"/>
  <c r="Y5" i="6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M5" i="7" l="1"/>
  <c r="M6" i="7"/>
  <c r="M7" i="7"/>
  <c r="M8" i="7"/>
  <c r="M9" i="7"/>
  <c r="M10" i="7"/>
  <c r="M11" i="7"/>
  <c r="M1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Alínea da ISO 9001:2026.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O que a política deve cumprir.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Onde/como está cumprido.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Estado da evidência.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ID da evidência de liderança.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5.1.1 a)–l) ou 5.1.2 a)–c).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O que a norma exige da gestão de topo.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Como a gestão de topo o demonstra na Plasticom.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Evidência objetiva (registo, ata).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Membro da gestão de topo.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Estado da evidência.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Requisito novo na edição 2026.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ID da autoridade.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Cláusula.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Responsabilidade e autoridade atribuída.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Função.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Como foi atribuída e comunicada.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Linha da matriz.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Atividade / processo do SGQ (equivale a Processo_SGA).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Cláusula ISO 9001:2026.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Diretor Geral (Gestão de Topo) (DG)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Diretor Industrial (DIND)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Gerente de Produção (GPROD)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Gerente de Manutenção (GMAN)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Gerente da Qualidade (GQ)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Responsável de Armazém e Logística (LOG)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Responsável de Compras (CMP)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Responsável de R&amp;D (RD)</t>
        </r>
      </text>
    </comment>
    <comment ref="L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Responsável de Recursos Humanos (RH)</t>
        </r>
      </text>
    </comment>
    <comment ref="M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Chefe de Turno (CT)</t>
        </r>
      </text>
    </comment>
    <comment ref="N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Operadores (OPER)</t>
        </r>
      </text>
    </comment>
    <comment ref="O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Diretor Comercial (DCOM)</t>
        </r>
      </text>
    </comment>
    <comment ref="P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Gestor(a) de Cliente (Key Account) (KAM)</t>
        </r>
      </text>
    </comment>
    <comment ref="Q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Planeador(a) de Produção (PLAN)</t>
        </r>
      </text>
    </comment>
    <comment ref="R4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Gerente de Dados / TI (TI)</t>
        </r>
      </text>
    </comment>
    <comment ref="S4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Engenheiro(a) de Processo (EPROC)</t>
        </r>
      </text>
    </comment>
    <comment ref="T4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Técnico(a) da Qualidade / Inspetor(a) (INSP)</t>
        </r>
      </text>
    </comment>
    <comment ref="U4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Técnico(a) de Metrologia (TMET)</t>
        </r>
      </text>
    </comment>
    <comment ref="V4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Técnico(a) de Manutenção (TMAN)</t>
        </r>
      </text>
    </comment>
    <comment ref="W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Auditor(a) Interno(a) do SGQ (AUD)</t>
        </r>
      </text>
    </comment>
    <comment ref="X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Gestor(a) documental (DOC)</t>
        </r>
      </text>
    </comment>
    <comment ref="Y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Número de funções com A (deve ser 1).
[calculado]</t>
        </r>
      </text>
    </comment>
    <comment ref="Z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Exatamente um A (aprova) e pelo menos um R (executa).
[calculado]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Dimensão da cultura (ISO 10010).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Dimensão.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Afirmação do inquérito (escala 1–5).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Média das respostas da área Produção (1–5).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Média das respostas da área Qualidade (1–5).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Média das respostas da área Manutenção (1–5).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Média das respostas da área Comercial (1–5).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Média das respostas da área Logística (1–5).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Média ponderada pelo n.º de respondentes de cada área.
[calculado]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Meta de maturidade para 2027.</t>
        </r>
      </text>
    </comment>
    <comment ref="K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Meta − média.
[calculado]</t>
        </r>
      </text>
    </comment>
    <comment ref="L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Área com menor pontuação.
[calculado]</t>
        </r>
      </text>
    </comment>
    <comment ref="M4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Nível de maturidade (escala de 5 níveis inspirada na ISO 10010 / ISO 9004).
[calculado]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Visita ao terreno da gestão.</t>
        </r>
      </text>
    </comment>
    <comment ref="B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1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Membro da gestão.</t>
        </r>
      </text>
    </comment>
    <comment ref="D1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Processo visitado.</t>
        </r>
      </text>
    </comment>
    <comment ref="E1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Tema da visita.</t>
        </r>
      </text>
    </comment>
    <comment ref="F1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O que foi observado.</t>
        </r>
      </text>
    </comment>
    <comment ref="G1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Ação decidida no local.</t>
        </r>
      </text>
    </comment>
    <comment ref="H1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ID de CAPA, MOC, ação ou registo.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Relato de integridade/ética.</t>
        </r>
      </text>
    </comment>
    <comment ref="B4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Data do relato.</t>
        </r>
      </text>
    </comment>
    <comment ref="C4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Tipo.</t>
        </r>
      </text>
    </comment>
    <comment ref="D4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Descrição (sem identificar o relator quando anónimo).</t>
        </r>
      </text>
    </comment>
    <comment ref="E4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Quem relatou (função ou anónimo).</t>
        </r>
      </text>
    </comment>
    <comment ref="F4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Estado da investigação.</t>
        </r>
      </text>
    </comment>
    <comment ref="G4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Resultado e ação.</t>
        </r>
      </text>
    </comment>
    <comment ref="H4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Aberto / fechado.</t>
        </r>
      </text>
    </comment>
    <comment ref="I4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Dias desde o relato.
[calculado]</t>
        </r>
      </text>
    </comment>
  </commentList>
</comments>
</file>

<file path=xl/sharedStrings.xml><?xml version="1.0" encoding="utf-8"?>
<sst xmlns="http://schemas.openxmlformats.org/spreadsheetml/2006/main" count="1300" uniqueCount="649">
  <si>
    <t>RG-SGQ-03 — Liderança, Política da Qualidade, Funções e Cultura da Qualidade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</si>
  <si>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</si>
  <si>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</si>
  <si>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</si>
  <si>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RG-SGQ-03</t>
  </si>
  <si>
    <t>Título</t>
  </si>
  <si>
    <t>Liderança, Política da Qualidade, Funções e Cultura da Qualidade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</si>
  <si>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</si>
  <si>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</si>
  <si>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</si>
  <si>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</si>
  <si>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</si>
  <si>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</si>
  <si>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</si>
  <si>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</si>
  <si>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</si>
  <si>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</si>
  <si>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</si>
  <si>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</si>
  <si>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</si>
  <si>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</si>
  <si>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</si>
  <si>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Registo único das evidências de liderança exigidas pela ISO 9001:2026, da política da qualidade aprovada (disponível como informação documentada), da matriz RACI e de autoridades, da autoavaliação da cultura da qualidade (ISO 10010) por área, das gemba walks da direção e do canal de relatos de integridade.</t>
  </si>
  <si>
    <t>Utilização / atividades</t>
  </si>
  <si>
    <t>Evidenciar a liderança e o compromisso da gestão de topo, a política da qualidade, as funções e autoridades e o estado da cultura da qualidade e do comportamento ético.</t>
  </si>
  <si>
    <t>Requisitos ISO 9001:2026</t>
  </si>
  <si>
    <t>5.1.1 a)–l) (2026: i) cultura da qualidade e comportamento ético; l) prestar contas); 5.1.2 Foco no cliente; 5.2 Política da qualidade; 5.3 a)–f); 7.3 e) consciencialização da cultura e ética; 7.1.4</t>
  </si>
  <si>
    <t>REFERÊNCIAS DE BOAS PRÁTICAS APLICADAS (orientação — não são requisitos auditáveis da ISO 9001)</t>
  </si>
  <si>
    <t>ISO 10010:2022 — Quality culture</t>
  </si>
  <si>
    <t>Autoavaliação da maturidade da cultura por dimensão e área (tbl_cultura), com lacuna face à meta e ações.</t>
  </si>
  <si>
    <t>ISO/TC 176 APG — Top management / Policy and objectives</t>
  </si>
  <si>
    <t>O auditor entrevista a gestão de topo e procura evidência de envolvimento direto (não delegado): LID-nn com evidência objetiva.</t>
  </si>
  <si>
    <t>Academy — cap. 10–13 (Liderança, Ética ASQ)</t>
  </si>
  <si>
    <t>Código de ética e cultura justa: relatos de integridade tratados como falha do sistema.</t>
  </si>
  <si>
    <t>ESTRUTURA DO FICHEIRO</t>
  </si>
  <si>
    <t>Politica_Qualidade</t>
  </si>
  <si>
    <t>Política da qualidade POL-SGQ-01 rev. 01 (formato de afixação) — 5.2.</t>
  </si>
  <si>
    <t>Verificacao_Politica</t>
  </si>
  <si>
    <t>Verificação da política face a 5.2.1 a)–e) e 5.2.2 a)–d).</t>
  </si>
  <si>
    <t>Lideranca_Compromisso</t>
  </si>
  <si>
    <t>Evidências de liderança e compromisso (5.1.1 a–l) e de foco no cliente (5.1.2 a–c).</t>
  </si>
  <si>
    <t>Funcoes_Autoridades</t>
  </si>
  <si>
    <t>Responsabilidades e autoridades atribuídas pela gestão de topo (5.3 a–f) e autoridades de libertação e de NC.</t>
  </si>
  <si>
    <t>Matriz_RACI</t>
  </si>
  <si>
    <t>Matriz RACI das atividades do SGQ (R executa, A aprova, C consultado, I informado).</t>
  </si>
  <si>
    <t>Cultura_Qualidade</t>
  </si>
  <si>
    <t>Autoavaliação da cultura da qualidade e do comportamento ético (ISO 10010), inquérito de junho/2026 por área.</t>
  </si>
  <si>
    <t>Respondentes</t>
  </si>
  <si>
    <t>N.º de respondentes do inquérito de cultura por área (pesos da média ponderada).</t>
  </si>
  <si>
    <t>Gemba_Walks</t>
  </si>
  <si>
    <t>Gemba walks da gestão de topo (evidência de 5.1.1 f, h, i).</t>
  </si>
  <si>
    <t>Relatos_Integridade</t>
  </si>
  <si>
    <t>Canal de relatos de integridade e comportamento ético relativos à qualidade (5.1.1 i).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</si>
  <si>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</si>
  <si>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</si>
  <si>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</si>
  <si>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</si>
  <si>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</si>
  <si>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</si>
  <si>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</si>
  <si>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</si>
  <si>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</si>
  <si>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</si>
  <si>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</si>
  <si>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</si>
  <si>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</si>
  <si>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</si>
  <si>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</si>
  <si>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</si>
  <si>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</si>
  <si>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</si>
  <si>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RG-SGQ-05</t>
  </si>
  <si>
    <t>Objetivos ligados aos compromissos da política.</t>
  </si>
  <si>
    <t>RG-SGQ-07</t>
  </si>
  <si>
    <t>Sessões de consciencialização sobre política, cultura e ética (7.3).</t>
  </si>
  <si>
    <t>RG-SGQ-17</t>
  </si>
  <si>
    <t>A revisão pela gestão avalia a cultura (tbl_cultura) e as evidências de liderança.</t>
  </si>
  <si>
    <t>PLASTICOM</t>
  </si>
  <si>
    <t>POLÍTICA DA QUALIDADE</t>
  </si>
  <si>
    <t>POL-SGQ-01</t>
  </si>
  <si>
    <t>Plasticom — Unidade 1 (Marinha Grande, Portugal) · NP EN ISO 9001:2026</t>
  </si>
  <si>
    <t>Rev. 01 · 31/12/2026</t>
  </si>
  <si>
    <t>Propósito</t>
  </si>
  <si>
    <t>A Plasticom projeta e fabrica embalagens plásticas para cosmética, alimentar e farmacêutico. Para cumprir o nosso propósito — proteger o que os nossos clientes colocam nas mãos das pessoas — comprometemo-nos a:</t>
  </si>
  <si>
    <t>1. Cumprir os requisitos dos clientes e os requisitos legais e regulamentares aplicáveis aos nossos produtos, incluindo os de materiais em contacto com alimentos e de embalagem farmacêutica.</t>
  </si>
  <si>
    <t>2. Fazer bem à primeira: controlar os processos pela variação (capacidade, SPC e prevenção do erro humano) e não pela inspeção.</t>
  </si>
  <si>
    <t>3. Ouvir o cliente — reclamações, satisfação e requisitos futuros — e responder com rapidez e transparência, incluindo em situações de disrupção.</t>
  </si>
  <si>
    <t>4. Escolher e desenvolver fornecedores que partilhem estes compromissos.</t>
  </si>
  <si>
    <t>5. Promover uma cultura da qualidade e um comportamento ético em que ninguém é pressionado a libertar produto duvidoso e em que relatar um problema é reconhecido.</t>
  </si>
  <si>
    <t>6. Gerir riscos e oportunidades, incluindo os associados às alterações climáticas, para garantir a continuidade do fornecimento.</t>
  </si>
  <si>
    <t>7. Melhorar continuamente a eficácia do sistema de gestão da qualidade, com objetivos mensuráveis revistos pela gestão.</t>
  </si>
  <si>
    <t>Divulgação</t>
  </si>
  <si>
    <t>Esta política é comunicada a todos os colaboradores, está disponível às partes interessadas em plasticom.pt e é revista anualmente na revisão pela gestão.</t>
  </si>
  <si>
    <t>Aprovação</t>
  </si>
  <si>
    <t>Marinha Grande, 28 de setembro de 2026 — Diretor Geral</t>
  </si>
  <si>
    <t>VERIFICAÇÃO DA POLÍTICA DA QUALIDADE (5.2)</t>
  </si>
  <si>
    <t>Requisito</t>
  </si>
  <si>
    <t>Descricao</t>
  </si>
  <si>
    <t>Evidencia</t>
  </si>
  <si>
    <t>5.2.1 a)</t>
  </si>
  <si>
    <t>Apropriada ao propósito e ao contexto da organização</t>
  </si>
  <si>
    <t>Propósito e setores explícitos na introdução</t>
  </si>
  <si>
    <t>Evidenciado</t>
  </si>
  <si>
    <t>5.2.1 b)</t>
  </si>
  <si>
    <t>Proporciona um enquadramento para os objetivos da qualidade</t>
  </si>
  <si>
    <t>Cada objetivo OBJ-Q-nn liga a um compromisso (RG-SGQ-05 coluna Compromisso_Politica)</t>
  </si>
  <si>
    <t>5.2.1 c)</t>
  </si>
  <si>
    <t>Inclui o compromisso de cumprir os requisitos aplicáveis</t>
  </si>
  <si>
    <t>Compromisso 1</t>
  </si>
  <si>
    <t>5.2.1 d)</t>
  </si>
  <si>
    <t>Inclui o compromisso de melhoria contínua do SGQ</t>
  </si>
  <si>
    <t>Compromisso 7</t>
  </si>
  <si>
    <t>5.2.1 e)</t>
  </si>
  <si>
    <t>Tem em conta o contexto e apoia a orientação estratégica (novo 2026)</t>
  </si>
  <si>
    <t>Compromissos 1, 5 e 6 ligados às fatores PESQ-01, SWTQ-W02 e PESQ-06/07 (RG-SGQ-01)</t>
  </si>
  <si>
    <t>5.2.2 a)</t>
  </si>
  <si>
    <t>Disponível como informação documentada</t>
  </si>
  <si>
    <t>POL-SGQ-01 rev. 01 na lista mestra (RG-SGQ-08)</t>
  </si>
  <si>
    <t>5.2.2 b)</t>
  </si>
  <si>
    <t>Comunicada dentro da organização</t>
  </si>
  <si>
    <t>Afixada nos 4 pavilhões; sessão de consciencialização CON-26-01 (RG-SGQ-07)</t>
  </si>
  <si>
    <t>5.2.2 c)</t>
  </si>
  <si>
    <t>Disponível às partes interessadas, conforme apropriado</t>
  </si>
  <si>
    <t>Publicada no site; anexa aos acordos de qualidade</t>
  </si>
  <si>
    <t>5.2.2 d)</t>
  </si>
  <si>
    <t>Implementada, compreendida e aplicada</t>
  </si>
  <si>
    <t>Entrevistas na auditoria AUD-Q-26-03: 7 de 10 operadores explicam o compromisso 2</t>
  </si>
  <si>
    <t>Parcial</t>
  </si>
  <si>
    <t>LIDERANÇA E COMPROMISSO DA GESTÃO DE TOPO (5.1)</t>
  </si>
  <si>
    <t>ISO 9001:2026 acrescenta i) cultura da qualidade e comportamento ético e l) prestar contas pela eficácia</t>
  </si>
  <si>
    <t>ID</t>
  </si>
  <si>
    <t>Alinea</t>
  </si>
  <si>
    <t>Compromisso</t>
  </si>
  <si>
    <t>Como_Demonstra</t>
  </si>
  <si>
    <t>Responsavel</t>
  </si>
  <si>
    <t>Frequencia</t>
  </si>
  <si>
    <t>Novo_2026</t>
  </si>
  <si>
    <t>LID-01</t>
  </si>
  <si>
    <t>5.1.1 a)</t>
  </si>
  <si>
    <t>Política e objetivos estabelecidos e compatíveis com a estratégia</t>
  </si>
  <si>
    <t>Aprovação da política e dos objetivos 2026 na revisão pela gestão</t>
  </si>
  <si>
    <t>Ata RPG-2026-01; RG-SGQ-05</t>
  </si>
  <si>
    <t>Diretor Geral (Gestão de Topo)</t>
  </si>
  <si>
    <t>Anual</t>
  </si>
  <si>
    <t>LID-02</t>
  </si>
  <si>
    <t>5.1.1 b)</t>
  </si>
  <si>
    <t>Integração dos requisitos do SGQ nos processos de negócio</t>
  </si>
  <si>
    <t>Revisão de requisitos no ERP bloqueia encomendas sem especificação aprovada; KPI da qualidade no bónus da chefia</t>
  </si>
  <si>
    <t>RG-SGQ-10; sistema de incentivos 2026</t>
  </si>
  <si>
    <t>LID-03</t>
  </si>
  <si>
    <t>5.1.1 c)</t>
  </si>
  <si>
    <t>Recursos necessários disponíveis</t>
  </si>
  <si>
    <t>Orçamento 2026: visão artificial HF-001, 2 inspetores adicionais no pico, calibração acreditada</t>
  </si>
  <si>
    <t>Orçamento 2026; decisões RPG-2026-01 D03–D05</t>
  </si>
  <si>
    <t>LID-04</t>
  </si>
  <si>
    <t>5.1.1 d)</t>
  </si>
  <si>
    <t>Comunicar a importância de uma gestão da qualidade eficaz</t>
  </si>
  <si>
    <t>Reunião trimestral com todos os turnos; mensagem do DG no lançamento das linhas alimentar/farma</t>
  </si>
  <si>
    <t>Atas das reuniões gerais T1–T3/2026</t>
  </si>
  <si>
    <t>Trimestral</t>
  </si>
  <si>
    <t>LID-05</t>
  </si>
  <si>
    <t>5.1.1 e)</t>
  </si>
  <si>
    <t>Assegurar que o SGQ atinge os resultados pretendidos</t>
  </si>
  <si>
    <t>Painel mensal de KPI revisto no comité de direção</t>
  </si>
  <si>
    <t>RG-SGQ-05 Painel; atas do comité</t>
  </si>
  <si>
    <t>Diretor Industrial</t>
  </si>
  <si>
    <t>Mensal</t>
  </si>
  <si>
    <t>LID-06</t>
  </si>
  <si>
    <t>5.1.1 f)</t>
  </si>
  <si>
    <t>Envolver, orientar e apoiar as pessoas</t>
  </si>
  <si>
    <t>Gemba walks semanais da direção (tbl_gemba); caixa de sugestões com resposta em 15 dias</t>
  </si>
  <si>
    <t>RG-SGQ-03 tbl_gemba; RG-SGQ-19 sugestões</t>
  </si>
  <si>
    <t>Semanal</t>
  </si>
  <si>
    <t>LID-07</t>
  </si>
  <si>
    <t>5.1.1 g)</t>
  </si>
  <si>
    <t>Promover a melhoria contínua</t>
  </si>
  <si>
    <t>Patrocínio dos projetos DMAIC IM-002, SMED e visão artificial</t>
  </si>
  <si>
    <t>RG-SGQ-19 tbl_projetos</t>
  </si>
  <si>
    <t>LID-08</t>
  </si>
  <si>
    <t>5.1.1 h)</t>
  </si>
  <si>
    <t>Apoiar outras funções de gestão a demonstrar liderança</t>
  </si>
  <si>
    <t>Chefes de turno com objetivos de qualidade e formação em liderança de equipas</t>
  </si>
  <si>
    <t>RG-SGQ-07 FOR-Q-12</t>
  </si>
  <si>
    <t>Semestral</t>
  </si>
  <si>
    <t>LID-09</t>
  </si>
  <si>
    <t>5.1.1 i)</t>
  </si>
  <si>
    <t>Promover a cultura da qualidade e o comportamento ético (novo 2026)</t>
  </si>
  <si>
    <t>Código de conduta com cláusula 'nunca libertar produto duvidoso'; canal de relato; avaliação ISO 10010 da cultura</t>
  </si>
  <si>
    <t>RG-SGQ-03 tbl_cultura, tbl_relatos_etica</t>
  </si>
  <si>
    <t>LID-10</t>
  </si>
  <si>
    <t>5.1.1 j)</t>
  </si>
  <si>
    <t>Promover a abordagem por processos</t>
  </si>
  <si>
    <t>Donos de processo nomeados com KPI (RG-SGQ-02)</t>
  </si>
  <si>
    <t>RG-SGQ-02 tbl_processos</t>
  </si>
  <si>
    <t>LID-11</t>
  </si>
  <si>
    <t>5.1.1 k)</t>
  </si>
  <si>
    <t>Promover o pensamento baseado em riscos e em oportunidades</t>
  </si>
  <si>
    <t>Registo de riscos corporativo único com donos de risco da direção</t>
  </si>
  <si>
    <t>RG-SGA-02; RG-SGQ-04</t>
  </si>
  <si>
    <t>LID-12</t>
  </si>
  <si>
    <t>5.1.1 l)</t>
  </si>
  <si>
    <t>Prestar contas pela eficácia do SGQ</t>
  </si>
  <si>
    <t>DG assina a conclusão sobre a eficácia do SGQ na ata da revisão pela gestão</t>
  </si>
  <si>
    <t>RG-SGQ-17 Ata</t>
  </si>
  <si>
    <t>LID-13</t>
  </si>
  <si>
    <t>5.1.2 a)</t>
  </si>
  <si>
    <t>Requisitos do cliente e legais determinados, compreendidos e cumpridos</t>
  </si>
  <si>
    <t>Revisão de requisitos antes de cada encomenda; matriz de requisitos por cliente</t>
  </si>
  <si>
    <t>RG-SGQ-10</t>
  </si>
  <si>
    <t>Diretor Comercial</t>
  </si>
  <si>
    <t>Por encomenda</t>
  </si>
  <si>
    <t>LID-14</t>
  </si>
  <si>
    <t>5.1.2 b)</t>
  </si>
  <si>
    <t>Riscos e oportunidades que afetam a conformidade e a satisfação determinados</t>
  </si>
  <si>
    <t>Riscos R16, R21 e O12 com dono na direção</t>
  </si>
  <si>
    <t>RG-SGQ-04</t>
  </si>
  <si>
    <t>LID-15</t>
  </si>
  <si>
    <t>5.1.2 c)</t>
  </si>
  <si>
    <t>Foco no aumento da satisfação do cliente</t>
  </si>
  <si>
    <t>Inquérito semestral; objetivo de CSI e NPS; visita anual aos 5 maiores clientes</t>
  </si>
  <si>
    <t>RG-SGQ-15; RG-SGQ-05 OBJ-Q-06</t>
  </si>
  <si>
    <t>Referencia</t>
  </si>
  <si>
    <t>Responsabilidade_Autoridade</t>
  </si>
  <si>
    <t>Atribuida_a</t>
  </si>
  <si>
    <t>Evidencia_Atribuicao</t>
  </si>
  <si>
    <t>AUT-01</t>
  </si>
  <si>
    <t>5.3 a)</t>
  </si>
  <si>
    <t>Assegurar que o SGQ está conforme com a ISO 9001:2026</t>
  </si>
  <si>
    <t>Nomeação escrita do DG (02/01/2026)</t>
  </si>
  <si>
    <t>AUT-02</t>
  </si>
  <si>
    <t>5.3 b)</t>
  </si>
  <si>
    <t>Reportar o desempenho do SGQ à gestão de topo</t>
  </si>
  <si>
    <t>Relatório mensal de KPI e entradas da revisão pela gestão</t>
  </si>
  <si>
    <t>AUT-03</t>
  </si>
  <si>
    <t>5.3 c)</t>
  </si>
  <si>
    <t>Assegurar que os processos produzem as saídas pretendidas</t>
  </si>
  <si>
    <t>Donos de processo (RG-SGQ-02)</t>
  </si>
  <si>
    <t>Descrição de funções atualizada em 2026</t>
  </si>
  <si>
    <t>AUT-04</t>
  </si>
  <si>
    <t>5.3 d)</t>
  </si>
  <si>
    <t>Promover o foco no cliente em toda a organização</t>
  </si>
  <si>
    <t>Descrição de funções</t>
  </si>
  <si>
    <t>AUT-05</t>
  </si>
  <si>
    <t>5.3 e)</t>
  </si>
  <si>
    <t>Reportar oportunidades de melhoria</t>
  </si>
  <si>
    <t>Revisão pela gestão; carteira de projetos</t>
  </si>
  <si>
    <t>AUT-06</t>
  </si>
  <si>
    <t>5.3 f)</t>
  </si>
  <si>
    <t>Manter a integridade do SGQ quando se planeiam e implementam alterações</t>
  </si>
  <si>
    <t>Aprovação obrigatória no pedido de alteração MOC (RG-SGQ-06)</t>
  </si>
  <si>
    <t>AUT-07</t>
  </si>
  <si>
    <t>8.6 / 8.7</t>
  </si>
  <si>
    <t>Autoridade para libertar lotes e decidir sobre saídas não conformes</t>
  </si>
  <si>
    <t>Técnico(a) da Qualidade / Inspetor(a) (lotes conformes); Gerente da Qualidade (concessões)</t>
  </si>
  <si>
    <t>Matriz de autoridades de libertação</t>
  </si>
  <si>
    <t>AUT-08</t>
  </si>
  <si>
    <t>8.7</t>
  </si>
  <si>
    <t>Autoridade para parar a linha por problema de qualidade</t>
  </si>
  <si>
    <t>Qualquer operador ou inspetor (andon)</t>
  </si>
  <si>
    <t>Instrução IT-GER-01 'Parar para corrigir'</t>
  </si>
  <si>
    <t>AUT-09</t>
  </si>
  <si>
    <t>8.7.1 d)</t>
  </si>
  <si>
    <t>Autoridade para pedir concessão ao cliente</t>
  </si>
  <si>
    <t>Diretor Comercial + Gerente da Qualidade</t>
  </si>
  <si>
    <t>Formulário de concessão; aceitação escrita do cliente</t>
  </si>
  <si>
    <t>MATRIZ RACI DO SGQ (5.3)</t>
  </si>
  <si>
    <t>Legenda das colunas no comentário de cada cabeçalho · R = executa · A = aprova (um só) · C = consultado · I = informado</t>
  </si>
  <si>
    <t>ID_Processo</t>
  </si>
  <si>
    <t>Processo_SGQ</t>
  </si>
  <si>
    <t>Clausula</t>
  </si>
  <si>
    <t>Diretor_Geral</t>
  </si>
  <si>
    <t>Diretor_Industrial</t>
  </si>
  <si>
    <t>Gerente_Producao</t>
  </si>
  <si>
    <t>Gerente_Manutencao</t>
  </si>
  <si>
    <t>Gerente_Qualidade</t>
  </si>
  <si>
    <t>Resp_Armazem_Logistica</t>
  </si>
  <si>
    <t>Resp_Compras</t>
  </si>
  <si>
    <t>Resp_RD</t>
  </si>
  <si>
    <t>Resp_RH</t>
  </si>
  <si>
    <t>Chefes_Turno</t>
  </si>
  <si>
    <t>Operadores</t>
  </si>
  <si>
    <t>Diretor_Comercial</t>
  </si>
  <si>
    <t>Gestor_Cliente_KAM</t>
  </si>
  <si>
    <t>Planeador_Producao</t>
  </si>
  <si>
    <t>Gerente_Dados_TI</t>
  </si>
  <si>
    <t>Engenheiro_Processo</t>
  </si>
  <si>
    <t>Inspetores_Qualidade</t>
  </si>
  <si>
    <t>Tecnico_Metrologia</t>
  </si>
  <si>
    <t>Tecnico_Manutencao</t>
  </si>
  <si>
    <t>Auditor_Interno_SGQ</t>
  </si>
  <si>
    <t>Gestor_Documental</t>
  </si>
  <si>
    <t>N_Aprovadores</t>
  </si>
  <si>
    <t>Controlo_RACI</t>
  </si>
  <si>
    <t>RACI-Q-01</t>
  </si>
  <si>
    <t>Rever a política e os objetivos da qualidade</t>
  </si>
  <si>
    <t>5.2; 6.2</t>
  </si>
  <si>
    <t>A</t>
  </si>
  <si>
    <t>R</t>
  </si>
  <si>
    <t>C</t>
  </si>
  <si>
    <t>I</t>
  </si>
  <si>
    <t>RACI-Q-02</t>
  </si>
  <si>
    <t>Revisão de requisitos e aceitação de encomendas</t>
  </si>
  <si>
    <t>8.2</t>
  </si>
  <si>
    <t>RACI-Q-03</t>
  </si>
  <si>
    <t>Design e desenvolvimento de novos produtos</t>
  </si>
  <si>
    <t>8.3</t>
  </si>
  <si>
    <t>RACI-Q-04</t>
  </si>
  <si>
    <t>Aprovação e avaliação de fornecedores</t>
  </si>
  <si>
    <t>8.4</t>
  </si>
  <si>
    <t>RACI-Q-05</t>
  </si>
  <si>
    <t>Planeamento da produção</t>
  </si>
  <si>
    <t>8.1; 8.5.1</t>
  </si>
  <si>
    <t>RACI-Q-06</t>
  </si>
  <si>
    <t>Setup e arranque de ordem de fabrico</t>
  </si>
  <si>
    <t>8.5.1</t>
  </si>
  <si>
    <t>RACI-Q-07</t>
  </si>
  <si>
    <t>Inspeção e libertação de lote</t>
  </si>
  <si>
    <t>8.6</t>
  </si>
  <si>
    <t>RACI-Q-08</t>
  </si>
  <si>
    <t>Decisão sobre saída não conforme / concessão</t>
  </si>
  <si>
    <t>RACI-Q-09</t>
  </si>
  <si>
    <t>Tratamento de reclamação de cliente (8D)</t>
  </si>
  <si>
    <t>9.1.2; 10.2</t>
  </si>
  <si>
    <t>RACI-Q-10</t>
  </si>
  <si>
    <t>Calibração e MSA</t>
  </si>
  <si>
    <t>7.1.5</t>
  </si>
  <si>
    <t>RACI-Q-11</t>
  </si>
  <si>
    <t>Planeamento de alterações (MOC)</t>
  </si>
  <si>
    <t>6.3; 8.5.6</t>
  </si>
  <si>
    <t>RACI-Q-12</t>
  </si>
  <si>
    <t>Auditoria interna</t>
  </si>
  <si>
    <t>9.2</t>
  </si>
  <si>
    <t>RACI-Q-13</t>
  </si>
  <si>
    <t>Revisão pela gestão</t>
  </si>
  <si>
    <t>9.3</t>
  </si>
  <si>
    <t>RACI-Q-14</t>
  </si>
  <si>
    <t>Formação e avaliação de competências</t>
  </si>
  <si>
    <t>7.2; 7.3</t>
  </si>
  <si>
    <t>RACI-Q-15</t>
  </si>
  <si>
    <t>Manutenção de máquinas e moldes</t>
  </si>
  <si>
    <t>7.1.3</t>
  </si>
  <si>
    <t>RACI-Q-16</t>
  </si>
  <si>
    <t>Controlo de documentos e registos</t>
  </si>
  <si>
    <t>7.5</t>
  </si>
  <si>
    <t>CULTURA DA QUALIDADE E COMPORTAMENTO ÉTICO — AUTOAVALIAÇÃO ISO 10010 (jun/2026)</t>
  </si>
  <si>
    <t>Evidência de 5.1.1 i) e 7.3 e) · Escala 1–5 · 149 respondentes (folha Respondentes) · Média ponderada, lacuna e nível calculados</t>
  </si>
  <si>
    <t>ID_Dimensao</t>
  </si>
  <si>
    <t>Dimensao</t>
  </si>
  <si>
    <t>Afirmacao_Avaliada</t>
  </si>
  <si>
    <t>Produção</t>
  </si>
  <si>
    <t>Qualidade</t>
  </si>
  <si>
    <t>Manutenção</t>
  </si>
  <si>
    <t>Comercial</t>
  </si>
  <si>
    <t>Logística</t>
  </si>
  <si>
    <t>Media_Ponderada</t>
  </si>
  <si>
    <t>Meta</t>
  </si>
  <si>
    <t>Lacuna</t>
  </si>
  <si>
    <t>Area_Mais_Fraca</t>
  </si>
  <si>
    <t>Nivel_Maturidade</t>
  </si>
  <si>
    <t>CUL-01</t>
  </si>
  <si>
    <t>Propósito, visão e valores partilhados</t>
  </si>
  <si>
    <t>As pessoas conhecem o propósito e os valores e agem de acordo</t>
  </si>
  <si>
    <t>CUL-02</t>
  </si>
  <si>
    <t>Liderança e exemplo da gestão</t>
  </si>
  <si>
    <t>A gestão decide a favor da qualidade mesmo sob pressão de prazo</t>
  </si>
  <si>
    <t>CUL-03</t>
  </si>
  <si>
    <t>Foco no cliente</t>
  </si>
  <si>
    <t>Cada pessoa sabe quem é o cliente do seu trabalho e o que ele valoriza</t>
  </si>
  <si>
    <t>CUL-04</t>
  </si>
  <si>
    <t>Envolvimento e empoderamento das pessoas</t>
  </si>
  <si>
    <t>As pessoas podem parar a linha e propor melhorias</t>
  </si>
  <si>
    <t>CUL-05</t>
  </si>
  <si>
    <t>Decisões baseadas em evidência</t>
  </si>
  <si>
    <t>Decisões apoiadas em dados (SPC, AQL, KPI) e não em opinião</t>
  </si>
  <si>
    <t>CUL-06</t>
  </si>
  <si>
    <t>Aprendizagem e melhoria</t>
  </si>
  <si>
    <t>Os erros são analisados pela causa do sistema e as lições partilhadas</t>
  </si>
  <si>
    <t>CUL-07</t>
  </si>
  <si>
    <t>Comportamento ético e integridade</t>
  </si>
  <si>
    <t>Ninguém é pressionado a aceitar, registar ou libertar algo não conforme</t>
  </si>
  <si>
    <t>CUL-08</t>
  </si>
  <si>
    <t>Comunicação aberta</t>
  </si>
  <si>
    <t>Os problemas sobem rapidamente sem medo de culpa</t>
  </si>
  <si>
    <t>Área</t>
  </si>
  <si>
    <t>Total</t>
  </si>
  <si>
    <t>ID_Gemba</t>
  </si>
  <si>
    <t>Data</t>
  </si>
  <si>
    <t>Lider</t>
  </si>
  <si>
    <t>Processo</t>
  </si>
  <si>
    <t>Tema</t>
  </si>
  <si>
    <t>Observacao</t>
  </si>
  <si>
    <t>Acao_Decidida</t>
  </si>
  <si>
    <t>Ligacao</t>
  </si>
  <si>
    <t>GW-26-01</t>
  </si>
  <si>
    <t>SOP</t>
  </si>
  <si>
    <t>Arranque da linha farmacêutica ISBM-009</t>
  </si>
  <si>
    <t>Instruções da linha nova ainda em rascunho no posto</t>
  </si>
  <si>
    <t>Aprovar IT-SOP-03 antes da produção de série</t>
  </si>
  <si>
    <t>MOC-Q-26-03</t>
  </si>
  <si>
    <t>GW-26-02</t>
  </si>
  <si>
    <t>INJ</t>
  </si>
  <si>
    <t>Turno 2 — passagem de turno</t>
  </si>
  <si>
    <t>Passagem verbal, sem registo do estado dos moldes</t>
  </si>
  <si>
    <t>Checklist de passagem de turno</t>
  </si>
  <si>
    <t>PAQ-26-08</t>
  </si>
  <si>
    <t>GW-26-03</t>
  </si>
  <si>
    <t>LAB</t>
  </si>
  <si>
    <t>Libertação de lotes no pico</t>
  </si>
  <si>
    <t>Fila de lotes a aguardar decisão; pressão para libertar sem leak test</t>
  </si>
  <si>
    <t>Reforçar inspetor no turno 2 em jul–nov</t>
  </si>
  <si>
    <t>RPG-2026-01 D04</t>
  </si>
  <si>
    <t>GW-26-04</t>
  </si>
  <si>
    <t>EXP</t>
  </si>
  <si>
    <t>Expedição — reclamações de produto trocado</t>
  </si>
  <si>
    <t>Etiquetas manuais sem leitura de código de barras na carga</t>
  </si>
  <si>
    <t>Leitura obrigatória na carga (poka-yoke)</t>
  </si>
  <si>
    <t>CAPA-Q-26-02</t>
  </si>
  <si>
    <t>GW-26-05</t>
  </si>
  <si>
    <t>SER</t>
  </si>
  <si>
    <t>SS-001 — aderência</t>
  </si>
  <si>
    <t>Ensaio de aderência feito só no fim do lote</t>
  </si>
  <si>
    <t>Ensaio no arranque + meio do lote</t>
  </si>
  <si>
    <t>PC-DEC-01 rev. 03</t>
  </si>
  <si>
    <t>GW-26-06</t>
  </si>
  <si>
    <t>REC</t>
  </si>
  <si>
    <t>Receção de resina SUP-005</t>
  </si>
  <si>
    <t>Lote em quarentena usado por engano (etiqueta caída)</t>
  </si>
  <si>
    <t>Zona de quarentena fechada e bloqueio no ERP</t>
  </si>
  <si>
    <t>CAPA-Q-26-05</t>
  </si>
  <si>
    <t>GW-26-07</t>
  </si>
  <si>
    <t>Novas máquinas IM-007/IM-008</t>
  </si>
  <si>
    <t>Operador temporário sozinho na IM-008 sem validação</t>
  </si>
  <si>
    <t>Tutor obrigatório até validação no posto</t>
  </si>
  <si>
    <t>GW-26-08</t>
  </si>
  <si>
    <t>Visita com cliente CUST-017 (farma)</t>
  </si>
  <si>
    <t>Cliente pediu evidência do ensaio do anel de inviolabilidade por lote</t>
  </si>
  <si>
    <t>Anexar resultado ao certificado de lote</t>
  </si>
  <si>
    <t>RG-SGQ-13</t>
  </si>
  <si>
    <t>GW-26-09</t>
  </si>
  <si>
    <t>MAN</t>
  </si>
  <si>
    <t>Moldes — contadores de ciclos</t>
  </si>
  <si>
    <t>Contadores não registados no MES</t>
  </si>
  <si>
    <t>Integrar contadores (O2)</t>
  </si>
  <si>
    <t>O2</t>
  </si>
  <si>
    <t>GW-26-10</t>
  </si>
  <si>
    <t>COM</t>
  </si>
  <si>
    <t>Revisão de encomendas após CAPA-Q-26-13</t>
  </si>
  <si>
    <t>Checklist no ERP usada em todas as encomendas observadas</t>
  </si>
  <si>
    <t>Manter; medir exceções mensalmente</t>
  </si>
  <si>
    <t>CAPA-Q-26-13</t>
  </si>
  <si>
    <t>GW-26-11</t>
  </si>
  <si>
    <t>Pico de encomendas — linhas ISBM-009/010</t>
  </si>
  <si>
    <t>Peso fora do alvo no arranque do turno 3; ajuste sem registo</t>
  </si>
  <si>
    <t>Registo obrigatório de ajustes no MES</t>
  </si>
  <si>
    <t>CON-Q-26-18</t>
  </si>
  <si>
    <t>GW-26-12</t>
  </si>
  <si>
    <t>Libertação de lotes com o 2.º inspetor</t>
  </si>
  <si>
    <t>Fila de lotes reduzida para &lt; 4 h</t>
  </si>
  <si>
    <t>Manter reforço até ao fim do pico</t>
  </si>
  <si>
    <t>MOC-Q-26-14</t>
  </si>
  <si>
    <t>GW-26-13</t>
  </si>
  <si>
    <t>Leitura de código de barras na carga</t>
  </si>
  <si>
    <t>Poka-yoke em uso; 0 trocas de produto em nov</t>
  </si>
  <si>
    <t>Estender à expedição de amostras</t>
  </si>
  <si>
    <t>GW-26-14</t>
  </si>
  <si>
    <t>Receção de PP/PVC do fornecedor alternativo</t>
  </si>
  <si>
    <t>Certificados por lote completos; zona de quarentena fechada</t>
  </si>
  <si>
    <t>Qualificação concluída</t>
  </si>
  <si>
    <t>RG-SGQ-12</t>
  </si>
  <si>
    <t>GW-26-15</t>
  </si>
  <si>
    <t>Balanço do ano nas IM-007/008</t>
  </si>
  <si>
    <t>Operadores validados; instruções no HMI (SUG-26-07)</t>
  </si>
  <si>
    <t>Partilhar prática com a injeção antiga</t>
  </si>
  <si>
    <t>SUG-26-07</t>
  </si>
  <si>
    <t>RELATOS DE INTEGRIDADE E COMPORTAMENTO ÉTICO (5.1.1 i)</t>
  </si>
  <si>
    <t>Canal confidencial · Nenhum relator é penalizado · Casos confirmados alimentam a revisão pela gestão</t>
  </si>
  <si>
    <t>ID_Relato</t>
  </si>
  <si>
    <t>Tipo</t>
  </si>
  <si>
    <t>Origem</t>
  </si>
  <si>
    <t>Investigacao</t>
  </si>
  <si>
    <t>Resultado_Acao</t>
  </si>
  <si>
    <t>Dias</t>
  </si>
  <si>
    <t>REL-26-01</t>
  </si>
  <si>
    <t>Pressão para libertar</t>
  </si>
  <si>
    <t>Chefe de turno pediu para registar o lote como aprovado antes do fim do leak test para cumprir a expedição.</t>
  </si>
  <si>
    <t>Anónimo</t>
  </si>
  <si>
    <t>Investigado</t>
  </si>
  <si>
    <t>Confirmado. Lote retido até ensaio; conversa com a chefia; regra 'sem ensaio, sem etiqueta verde' reforçada.</t>
  </si>
  <si>
    <t>Fechado</t>
  </si>
  <si>
    <t>REL-26-02</t>
  </si>
  <si>
    <t>Registo incorreto</t>
  </si>
  <si>
    <t>Medições de peso copiadas do turno anterior num posto do sopro.</t>
  </si>
  <si>
    <t>Inspetor(a)</t>
  </si>
  <si>
    <t>Confirmado num posto (ISBM-006). Formação em integridade de dados; recolha automática do peso da balança para o MES (O3).</t>
  </si>
  <si>
    <t>REL-26-03</t>
  </si>
  <si>
    <t>Concessão sem autorização</t>
  </si>
  <si>
    <t>Lote de tampas com rosca marginal expedido 'por concessão' sem acordo do cliente.</t>
  </si>
  <si>
    <t>Gestor(a) de cliente</t>
  </si>
  <si>
    <t>Confirmado. Cliente informado (8.7.1 c); concessão formal obtida a posteriori; autoridades de concessão clarificadas (AUT-09).</t>
  </si>
  <si>
    <t>REL-26-04</t>
  </si>
  <si>
    <t>Segurança do produto</t>
  </si>
  <si>
    <t>Operador relatou fragmento de palete de madeira perto da linha alimentar.</t>
  </si>
  <si>
    <t>Operador(a)</t>
  </si>
  <si>
    <t>Em análise</t>
  </si>
  <si>
    <t>Zona de embalagem alimentar a rever (AMB-04); reconhecimento público do relato.</t>
  </si>
  <si>
    <t>Aberto</t>
  </si>
  <si>
    <t>LISTAS CONTROLADAS (domínios de validação de dados) — editar aqui para alterar opções</t>
  </si>
  <si>
    <t>DataReferencia</t>
  </si>
  <si>
    <t>Funcao</t>
  </si>
  <si>
    <t>RACI</t>
  </si>
  <si>
    <t>TipoRelato</t>
  </si>
  <si>
    <t>EstadoRel</t>
  </si>
  <si>
    <t>Area</t>
  </si>
  <si>
    <t>GES</t>
  </si>
  <si>
    <t>QUA</t>
  </si>
  <si>
    <t>Por evidenciar</t>
  </si>
  <si>
    <t>Gerente de Produção</t>
  </si>
  <si>
    <t>RD</t>
  </si>
  <si>
    <t>Gerente de Manutenção</t>
  </si>
  <si>
    <t>PCP</t>
  </si>
  <si>
    <t>Outro</t>
  </si>
  <si>
    <t>CMP</t>
  </si>
  <si>
    <t>Responsável de Compras</t>
  </si>
  <si>
    <t>Responsável de R&amp;D</t>
  </si>
  <si>
    <t>Responsável de Armazém e Logística</t>
  </si>
  <si>
    <t>Responsável de Recursos Humanos</t>
  </si>
  <si>
    <t>Gerente de Dados / TI</t>
  </si>
  <si>
    <t>HFS</t>
  </si>
  <si>
    <t>Técnico(a) da Qualidade / Inspetor(a)</t>
  </si>
  <si>
    <t>Técnico(a) de Laboratório</t>
  </si>
  <si>
    <t>Engenheiro(a) de Processo</t>
  </si>
  <si>
    <t>Chefe de Turno</t>
  </si>
  <si>
    <t>MET</t>
  </si>
  <si>
    <t>Operador(a) de Injeção</t>
  </si>
  <si>
    <t>RH</t>
  </si>
  <si>
    <t>Operador(a) de Sopro (ISBM)</t>
  </si>
  <si>
    <t>TI</t>
  </si>
  <si>
    <t>Operador(a) de Serigrafia</t>
  </si>
  <si>
    <t>DOC</t>
  </si>
  <si>
    <t>Operador(a) de Hot Foil</t>
  </si>
  <si>
    <t>Técnico(a) de Manutenção</t>
  </si>
  <si>
    <t>Técnico(a) de Metrologia</t>
  </si>
  <si>
    <t>Auditor(a) Interno(a) do SGQ</t>
  </si>
  <si>
    <t>Gestor(a) de Cliente (Key Account)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</si>
  <si>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</si>
  <si>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</si>
  <si>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</si>
  <si>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</si>
  <si>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</si>
  <si>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</si>
  <si>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Dominio_Unidade</t>
  </si>
  <si>
    <t>Obrigatorio</t>
  </si>
  <si>
    <t>Chave</t>
  </si>
  <si>
    <t>tbl_verif_politica</t>
  </si>
  <si>
    <t>Texto</t>
  </si>
  <si>
    <t>Entrada</t>
  </si>
  <si>
    <t>Alínea da ISO 9001:2026.</t>
  </si>
  <si>
    <t>Sim</t>
  </si>
  <si>
    <t>PK</t>
  </si>
  <si>
    <t>O que a política deve cumprir.</t>
  </si>
  <si>
    <t>Onde/como está cumprido.</t>
  </si>
  <si>
    <t>Estado da evidência.</t>
  </si>
  <si>
    <t>Lista lst_Estado</t>
  </si>
  <si>
    <t>tbl_lideranca</t>
  </si>
  <si>
    <t>ID da evidência de liderança.</t>
  </si>
  <si>
    <t>5.1.1 a)–l) ou 5.1.2 a)–c).</t>
  </si>
  <si>
    <t>O que a norma exige da gestão de topo.</t>
  </si>
  <si>
    <t>Como a gestão de topo o demonstra na Plasticom.</t>
  </si>
  <si>
    <t>Evidência objetiva (registo, ata).</t>
  </si>
  <si>
    <t>Membro da gestão de topo.</t>
  </si>
  <si>
    <t>Lista lst_Funcao</t>
  </si>
  <si>
    <t>Frequência.</t>
  </si>
  <si>
    <t>Calculado (fórmula)</t>
  </si>
  <si>
    <t>Requisito novo na edição 2026.</t>
  </si>
  <si>
    <t>tbl_autoridades</t>
  </si>
  <si>
    <t>ID da autoridade.</t>
  </si>
  <si>
    <t>Cláusula.</t>
  </si>
  <si>
    <t>Responsabilidade e autoridade atribuída.</t>
  </si>
  <si>
    <t>Função.</t>
  </si>
  <si>
    <t>Como foi atribuída e comunicada.</t>
  </si>
  <si>
    <t>tbl_raci</t>
  </si>
  <si>
    <t>Linha da matriz.</t>
  </si>
  <si>
    <t>RACI-Q-nn</t>
  </si>
  <si>
    <t>Atividade / processo do SGQ (equivale a Processo_SGA).</t>
  </si>
  <si>
    <t>Cláusula ISO 9001:2026.</t>
  </si>
  <si>
    <t>Diretor Geral (Gestão de Topo) (DG)</t>
  </si>
  <si>
    <t>Lista lst_RACI</t>
  </si>
  <si>
    <t>Não</t>
  </si>
  <si>
    <t>Diretor Industrial (DIND)</t>
  </si>
  <si>
    <t>Gerente de Produção (GPROD)</t>
  </si>
  <si>
    <t>Gerente de Manutenção (GMAN)</t>
  </si>
  <si>
    <t>Gerente da Qualidade (GQ)</t>
  </si>
  <si>
    <t>Responsável de Armazém e Logística (LOG)</t>
  </si>
  <si>
    <t>Responsável de Compras (CMP)</t>
  </si>
  <si>
    <t>Responsável de R&amp;D (RD)</t>
  </si>
  <si>
    <t>Responsável de Recursos Humanos (RH)</t>
  </si>
  <si>
    <t>Chefe de Turno (CT)</t>
  </si>
  <si>
    <t>Operadores (OPER)</t>
  </si>
  <si>
    <t>Diretor Comercial (DCOM)</t>
  </si>
  <si>
    <t>Gestor(a) de Cliente (Key Account) (KAM)</t>
  </si>
  <si>
    <t>Planeador(a) de Produção (PLAN)</t>
  </si>
  <si>
    <t>Gerente de Dados / TI (TI)</t>
  </si>
  <si>
    <t>Engenheiro(a) de Processo (EPROC)</t>
  </si>
  <si>
    <t>Técnico(a) da Qualidade / Inspetor(a) (INSP)</t>
  </si>
  <si>
    <t>Técnico(a) de Metrologia (TMET)</t>
  </si>
  <si>
    <t>Técnico(a) de Manutenção (TMAN)</t>
  </si>
  <si>
    <t>Auditor(a) Interno(a) do SGQ (AUD)</t>
  </si>
  <si>
    <t>Gestor(a) documental (DOC)</t>
  </si>
  <si>
    <t>Inteiro</t>
  </si>
  <si>
    <t>Número de funções com A (deve ser 1).</t>
  </si>
  <si>
    <t>Exatamente um A (aprova) e pelo menos um R (executa).</t>
  </si>
  <si>
    <t>tbl_cultura</t>
  </si>
  <si>
    <t>Dimensão da cultura (ISO 10010).</t>
  </si>
  <si>
    <t>Dimensão.</t>
  </si>
  <si>
    <t>Afirmação do inquérito (escala 1–5).</t>
  </si>
  <si>
    <t>Decimal</t>
  </si>
  <si>
    <t>Média das respostas da área Produção (1–5).</t>
  </si>
  <si>
    <t>Média das respostas da área Qualidade (1–5).</t>
  </si>
  <si>
    <t>Média das respostas da área Manutenção (1–5).</t>
  </si>
  <si>
    <t>Média das respostas da área Comercial (1–5).</t>
  </si>
  <si>
    <t>Média das respostas da área Logística (1–5).</t>
  </si>
  <si>
    <t>Média ponderada pelo n.º de respondentes de cada área.</t>
  </si>
  <si>
    <t>Meta de maturidade para 2027.</t>
  </si>
  <si>
    <t>Meta − média.</t>
  </si>
  <si>
    <t>Área com menor pontuação.</t>
  </si>
  <si>
    <t>Nível de maturidade (escala de 5 níveis inspirada na ISO 10010 / ISO 9004).</t>
  </si>
  <si>
    <t>tbl_gemba</t>
  </si>
  <si>
    <t>Visita ao terreno da gestão.</t>
  </si>
  <si>
    <t>Data (aaaa-mm-dd)</t>
  </si>
  <si>
    <t>Data.</t>
  </si>
  <si>
    <t>Membro da gestão.</t>
  </si>
  <si>
    <t>Processo visitado.</t>
  </si>
  <si>
    <t>Lista lst_Processo</t>
  </si>
  <si>
    <t>Tema da visita.</t>
  </si>
  <si>
    <t>O que foi observado.</t>
  </si>
  <si>
    <t>Ação decidida no local.</t>
  </si>
  <si>
    <t>ID de CAPA, MOC, ação ou registo.</t>
  </si>
  <si>
    <t>tbl_relatos_etica</t>
  </si>
  <si>
    <t>Relato de integridade/ética.</t>
  </si>
  <si>
    <t>Data do relato.</t>
  </si>
  <si>
    <t>Tipo.</t>
  </si>
  <si>
    <t>Lista lst_TipoRelato</t>
  </si>
  <si>
    <t>Descrição (sem identificar o relator quando anónimo).</t>
  </si>
  <si>
    <t>Quem relatou (função ou anónimo).</t>
  </si>
  <si>
    <t>Estado da investigação.</t>
  </si>
  <si>
    <t>Resultado e ação.</t>
  </si>
  <si>
    <t>Aberto / fechado.</t>
  </si>
  <si>
    <t>Lista lst_EstadoRel</t>
  </si>
  <si>
    <t>Dias desde o relato.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</si>
</sst>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8" x14ac:knownFonts="1">
    <font>
      <sz val="11"/>
      <color theme="1"/>
      <name val="Calibri"/>
      <family val="2"/>
      <scheme val="minor"/>
    </font>
    <font>
      <b/>
      <sz val="16"/>
      <color rgb="FF1F4E5F"/>
      <name val="Arial"/>
    </font>
    <font>
      <b/>
      <sz val="13"/>
      <color rgb="FF0F2F3A"/>
      <name val="Arial"/>
    </font>
    <font>
      <b/>
      <sz val="10"/>
      <name val="Arial"/>
    </font>
    <font>
      <sz val="10"/>
      <name val="Arial"/>
    </font>
    <font>
      <i/>
      <sz val="10"/>
      <color rgb="FF4A5A60"/>
      <name val="Arial"/>
    </font>
    <font>
      <b/>
      <sz val="14"/>
      <color rgb="FF0F2F3A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BEF"/>
      </patternFill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5F"/>
      </bottom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/>
    <xf numFmtId="0" fontId="5" fillId="0" borderId="0" xfId="0" applyFont="1"/>
    <xf numFmtId="0" fontId="3" fillId="2" borderId="0" xfId="0" applyFont="1" applyFill="1"/>
    <xf numFmtId="0" fontId="0" fillId="2" borderId="0" xfId="0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5" fontId="4" fillId="0" borderId="0" xfId="0" applyNumberFormat="1" applyFont="1" applyAlignment="1">
      <alignment horizontal="left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3" fillId="2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7" fillId="3" borderId="2" xfId="0" applyFont="1" applyFill="1" applyBorder="1" applyAlignment="1">
      <alignment horizontal="center" vertical="top" wrapText="1"/>
    </xf>
    <xf numFmtId="49" fontId="4" fillId="0" borderId="2" xfId="0" applyNumberFormat="1" applyFont="1" applyBorder="1" applyAlignment="1">
      <alignment vertical="top" wrapText="1"/>
    </xf>
    <xf numFmtId="0" fontId="7" fillId="4" borderId="2" xfId="0" applyFont="1" applyFill="1" applyBorder="1" applyAlignment="1">
      <alignment horizontal="center" vertical="top" wrapText="1"/>
    </xf>
    <xf numFmtId="49" fontId="4" fillId="5" borderId="2" xfId="0" applyNumberFormat="1" applyFont="1" applyFill="1" applyBorder="1" applyAlignment="1">
      <alignment vertical="top" wrapText="1"/>
    </xf>
    <xf numFmtId="1" fontId="4" fillId="5" borderId="2" xfId="0" applyNumberFormat="1" applyFont="1" applyFill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4" fontId="4" fillId="5" borderId="2" xfId="0" applyNumberFormat="1" applyFont="1" applyFill="1" applyBorder="1" applyAlignment="1">
      <alignment vertical="top" wrapText="1"/>
    </xf>
    <xf numFmtId="1" fontId="4" fillId="0" borderId="2" xfId="0" applyNumberFormat="1" applyFont="1" applyBorder="1" applyAlignment="1">
      <alignment vertical="top" wrapText="1"/>
    </xf>
    <xf numFmtId="1" fontId="3" fillId="0" borderId="2" xfId="0" applyNumberFormat="1" applyFont="1" applyBorder="1" applyAlignment="1">
      <alignment vertical="top" wrapText="1"/>
    </xf>
    <xf numFmtId="165" fontId="4" fillId="0" borderId="2" xfId="0" applyNumberFormat="1" applyFont="1" applyBorder="1" applyAlignment="1">
      <alignment vertical="top" wrapText="1"/>
    </xf>
    <xf numFmtId="0" fontId="7" fillId="3" borderId="0" xfId="0" applyFont="1" applyFill="1" applyAlignment="1">
      <alignment horizontal="center" vertical="top" wrapText="1"/>
    </xf>
    <xf numFmtId="165" fontId="4" fillId="0" borderId="0" xfId="0" applyNumberFormat="1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0" fillId="0" borderId="2" xfId="0" applyBorder="1"/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16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verif_politica" displayName="tbl_verif_politica" ref="A4:D13">
  <autoFilter ref="A4:D13" xr:uid="{00000000-0009-0000-0100-000001000000}"/>
  <tableColumns count="4">
    <tableColumn id="1" xr3:uid="{00000000-0010-0000-0000-000001000000}" name="Requisito"/>
    <tableColumn id="2" xr3:uid="{00000000-0010-0000-0000-000002000000}" name="Descricao"/>
    <tableColumn id="3" xr3:uid="{00000000-0010-0000-0000-000003000000}" name="Evidencia"/>
    <tableColumn id="4" xr3:uid="{00000000-0010-0000-0000-000004000000}" name="Estad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lideranca" displayName="tbl_lideranca" ref="A4:I19">
  <autoFilter ref="A4:I19" xr:uid="{00000000-0009-0000-0100-000002000000}"/>
  <tableColumns count="9">
    <tableColumn id="1" xr3:uid="{00000000-0010-0000-0100-000001000000}" name="ID"/>
    <tableColumn id="2" xr3:uid="{00000000-0010-0000-0100-000002000000}" name="Alinea"/>
    <tableColumn id="3" xr3:uid="{00000000-0010-0000-0100-000003000000}" name="Compromisso"/>
    <tableColumn id="4" xr3:uid="{00000000-0010-0000-0100-000004000000}" name="Como_Demonstra"/>
    <tableColumn id="5" xr3:uid="{00000000-0010-0000-0100-000005000000}" name="Evidencia"/>
    <tableColumn id="6" xr3:uid="{00000000-0010-0000-0100-000006000000}" name="Responsavel"/>
    <tableColumn id="7" xr3:uid="{00000000-0010-0000-0100-000007000000}" name="Estado"/>
    <tableColumn id="8" xr3:uid="{00000000-0010-0000-0100-000008000000}" name="Frequencia"/>
    <tableColumn id="9" xr3:uid="{00000000-0010-0000-0100-000009000000}" name="Novo_202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utoridades" displayName="tbl_autoridades" ref="A1:E10">
  <autoFilter ref="A1:E10" xr:uid="{00000000-0009-0000-0100-000003000000}"/>
  <tableColumns count="5">
    <tableColumn id="1" xr3:uid="{00000000-0010-0000-0200-000001000000}" name="ID"/>
    <tableColumn id="2" xr3:uid="{00000000-0010-0000-0200-000002000000}" name="Referencia"/>
    <tableColumn id="3" xr3:uid="{00000000-0010-0000-0200-000003000000}" name="Responsabilidade_Autoridade"/>
    <tableColumn id="4" xr3:uid="{00000000-0010-0000-0200-000004000000}" name="Atribuida_a"/>
    <tableColumn id="5" xr3:uid="{00000000-0010-0000-0200-000005000000}" name="Evidencia_Atribuic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raci" displayName="tbl_raci" ref="A4:Z20">
  <autoFilter ref="A4:Z20" xr:uid="{00000000-0009-0000-0100-000004000000}"/>
  <tableColumns count="26">
    <tableColumn id="1" xr3:uid="{00000000-0010-0000-0300-000001000000}" name="ID_Processo"/>
    <tableColumn id="2" xr3:uid="{00000000-0010-0000-0300-000002000000}" name="Processo_SGQ"/>
    <tableColumn id="3" xr3:uid="{00000000-0010-0000-0300-000003000000}" name="Clausula"/>
    <tableColumn id="4" xr3:uid="{00000000-0010-0000-0300-000004000000}" name="Diretor_Geral"/>
    <tableColumn id="5" xr3:uid="{00000000-0010-0000-0300-000005000000}" name="Diretor_Industrial"/>
    <tableColumn id="6" xr3:uid="{00000000-0010-0000-0300-000006000000}" name="Gerente_Producao"/>
    <tableColumn id="7" xr3:uid="{00000000-0010-0000-0300-000007000000}" name="Gerente_Manutencao"/>
    <tableColumn id="8" xr3:uid="{00000000-0010-0000-0300-000008000000}" name="Gerente_Qualidade"/>
    <tableColumn id="9" xr3:uid="{00000000-0010-0000-0300-000009000000}" name="Resp_Armazem_Logistica"/>
    <tableColumn id="10" xr3:uid="{00000000-0010-0000-0300-00000A000000}" name="Resp_Compras"/>
    <tableColumn id="11" xr3:uid="{00000000-0010-0000-0300-00000B000000}" name="Resp_RD"/>
    <tableColumn id="12" xr3:uid="{00000000-0010-0000-0300-00000C000000}" name="Resp_RH"/>
    <tableColumn id="13" xr3:uid="{00000000-0010-0000-0300-00000D000000}" name="Chefes_Turno"/>
    <tableColumn id="14" xr3:uid="{00000000-0010-0000-0300-00000E000000}" name="Operadores"/>
    <tableColumn id="15" xr3:uid="{00000000-0010-0000-0300-00000F000000}" name="Diretor_Comercial"/>
    <tableColumn id="16" xr3:uid="{00000000-0010-0000-0300-000010000000}" name="Gestor_Cliente_KAM"/>
    <tableColumn id="17" xr3:uid="{00000000-0010-0000-0300-000011000000}" name="Planeador_Producao"/>
    <tableColumn id="18" xr3:uid="{00000000-0010-0000-0300-000012000000}" name="Gerente_Dados_TI"/>
    <tableColumn id="19" xr3:uid="{00000000-0010-0000-0300-000013000000}" name="Engenheiro_Processo"/>
    <tableColumn id="20" xr3:uid="{00000000-0010-0000-0300-000014000000}" name="Inspetores_Qualidade"/>
    <tableColumn id="21" xr3:uid="{00000000-0010-0000-0300-000015000000}" name="Tecnico_Metrologia"/>
    <tableColumn id="22" xr3:uid="{00000000-0010-0000-0300-000016000000}" name="Tecnico_Manutencao"/>
    <tableColumn id="23" xr3:uid="{00000000-0010-0000-0300-000017000000}" name="Auditor_Interno_SGQ"/>
    <tableColumn id="24" xr3:uid="{00000000-0010-0000-0300-000018000000}" name="Gestor_Documental"/>
    <tableColumn id="25" xr3:uid="{00000000-0010-0000-0300-000019000000}" name="N_Aprovadores"/>
    <tableColumn id="26" xr3:uid="{00000000-0010-0000-0300-00001A000000}" name="Controlo_RACI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ultura" displayName="tbl_cultura" ref="A4:M12">
  <autoFilter ref="A4:M12" xr:uid="{00000000-0009-0000-0100-000005000000}"/>
  <tableColumns count="13">
    <tableColumn id="1" xr3:uid="{00000000-0010-0000-0400-000001000000}" name="ID_Dimensao"/>
    <tableColumn id="2" xr3:uid="{00000000-0010-0000-0400-000002000000}" name="Dimensao"/>
    <tableColumn id="3" xr3:uid="{00000000-0010-0000-0400-000003000000}" name="Afirmacao_Avaliada"/>
    <tableColumn id="4" xr3:uid="{00000000-0010-0000-0400-000004000000}" name="Produção"/>
    <tableColumn id="5" xr3:uid="{00000000-0010-0000-0400-000005000000}" name="Qualidade"/>
    <tableColumn id="6" xr3:uid="{00000000-0010-0000-0400-000006000000}" name="Manutenção"/>
    <tableColumn id="7" xr3:uid="{00000000-0010-0000-0400-000007000000}" name="Comercial"/>
    <tableColumn id="8" xr3:uid="{00000000-0010-0000-0400-000008000000}" name="Logística"/>
    <tableColumn id="9" xr3:uid="{00000000-0010-0000-0400-000009000000}" name="Media_Ponderada"/>
    <tableColumn id="10" xr3:uid="{00000000-0010-0000-0400-00000A000000}" name="Meta"/>
    <tableColumn id="11" xr3:uid="{00000000-0010-0000-0400-00000B000000}" name="Lacuna"/>
    <tableColumn id="12" xr3:uid="{00000000-0010-0000-0400-00000C000000}" name="Area_Mais_Fraca"/>
    <tableColumn id="13" xr3:uid="{00000000-0010-0000-0400-00000D000000}" name="Nivel_Maturidad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gemba" displayName="tbl_gemba" ref="A1:H21">
  <autoFilter ref="A1:H21" xr:uid="{00000000-0009-0000-0100-000006000000}"/>
  <tableColumns count="8">
    <tableColumn id="1" xr3:uid="{00000000-0010-0000-0500-000001000000}" name="ID_Gemba"/>
    <tableColumn id="2" xr3:uid="{00000000-0010-0000-0500-000002000000}" name="Data"/>
    <tableColumn id="3" xr3:uid="{00000000-0010-0000-0500-000003000000}" name="Lider"/>
    <tableColumn id="4" xr3:uid="{00000000-0010-0000-0500-000004000000}" name="Processo"/>
    <tableColumn id="5" xr3:uid="{00000000-0010-0000-0500-000005000000}" name="Tema"/>
    <tableColumn id="6" xr3:uid="{00000000-0010-0000-0500-000006000000}" name="Observacao"/>
    <tableColumn id="7" xr3:uid="{00000000-0010-0000-0500-000007000000}" name="Acao_Decidida"/>
    <tableColumn id="8" xr3:uid="{00000000-0010-0000-0500-000008000000}" name="Ligaca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relatos_etica" displayName="tbl_relatos_etica" ref="A4:I13">
  <autoFilter ref="A4:I13" xr:uid="{00000000-0009-0000-0100-000007000000}"/>
  <tableColumns count="9">
    <tableColumn id="1" xr3:uid="{00000000-0010-0000-0600-000001000000}" name="ID_Relato"/>
    <tableColumn id="2" xr3:uid="{00000000-0010-0000-0600-000002000000}" name="Data"/>
    <tableColumn id="3" xr3:uid="{00000000-0010-0000-0600-000003000000}" name="Tipo"/>
    <tableColumn id="4" xr3:uid="{00000000-0010-0000-0600-000004000000}" name="Descricao"/>
    <tableColumn id="5" xr3:uid="{00000000-0010-0000-0600-000005000000}" name="Origem"/>
    <tableColumn id="6" xr3:uid="{00000000-0010-0000-0600-000006000000}" name="Investigacao"/>
    <tableColumn id="7" xr3:uid="{00000000-0010-0000-0600-000007000000}" name="Resultado_Acao"/>
    <tableColumn id="8" xr3:uid="{00000000-0010-0000-0600-000008000000}" name="Estado"/>
    <tableColumn id="9" xr3:uid="{00000000-0010-0000-0600-000009000000}" name="Dia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dicionario" displayName="tbl_dicionario" ref="A1:I75">
  <autoFilter ref="A1:I75" xr:uid="{00000000-0009-0000-0100-000008000000}"/>
  <tableColumns count="9">
    <tableColumn id="1" xr3:uid="{00000000-0010-0000-0700-000001000000}" name="Folha"/>
    <tableColumn id="2" xr3:uid="{00000000-0010-0000-0700-000002000000}" name="Tabela"/>
    <tableColumn id="3" xr3:uid="{00000000-0010-0000-0700-000003000000}" name="Coluna"/>
    <tableColumn id="4" xr3:uid="{00000000-0010-0000-0700-000004000000}" name="Tipo"/>
    <tableColumn id="5" xr3:uid="{00000000-0010-0000-0700-000005000000}" name="Origem"/>
    <tableColumn id="6" xr3:uid="{00000000-0010-0000-0700-000006000000}" name="Descricao"/>
    <tableColumn id="7" xr3:uid="{00000000-0010-0000-0700-000007000000}" name="Dominio_Unidade"/>
    <tableColumn id="8" xr3:uid="{00000000-0010-0000-0700-000008000000}" name="Obrigatorio"/>
    <tableColumn id="9" xr3:uid="{00000000-0010-0000-07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39.6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5" spans="1:2" x14ac:dyDescent="0.3">
      <c r="A35" s="5" t="s">
        <v>53</v>
      </c>
      <c r="B35" s="6" t="s">
        <v>54</v>
      </c>
    </row>
    <row r="36" spans="1:2" x14ac:dyDescent="0.3">
      <c r="A36" s="5" t="s">
        <v>55</v>
      </c>
      <c r="B36" s="6" t="s">
        <v>56</v>
      </c>
    </row>
    <row r="38" spans="1:2" x14ac:dyDescent="0.3">
      <c r="A38" s="3" t="s">
        <v>57</v>
      </c>
      <c r="B38" s="4"/>
    </row>
    <row r="39" spans="1:2" ht="26.4" x14ac:dyDescent="0.3">
      <c r="A39" s="5" t="s">
        <v>58</v>
      </c>
      <c r="B39" s="6" t="s">
        <v>59</v>
      </c>
    </row>
    <row r="40" spans="1:2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  <row r="42" spans="1:2" ht="26.4" x14ac:dyDescent="0.3">
      <c r="A42" s="5" t="s">
        <v>64</v>
      </c>
      <c r="B42" s="6" t="s">
        <v>65</v>
      </c>
    </row>
    <row r="43" spans="1:2" ht="26.4" x14ac:dyDescent="0.3">
      <c r="A43" s="5" t="s">
        <v>66</v>
      </c>
      <c r="B43" s="6" t="s">
        <v>67</v>
      </c>
    </row>
    <row r="44" spans="1:2" ht="39.6" x14ac:dyDescent="0.3">
      <c r="A44" s="5" t="s">
        <v>68</v>
      </c>
      <c r="B44" s="6" t="s">
        <v>69</v>
      </c>
    </row>
    <row r="46" spans="1:2" x14ac:dyDescent="0.3">
      <c r="A46" s="3" t="s">
        <v>70</v>
      </c>
      <c r="B46" s="4"/>
    </row>
    <row r="47" spans="1:2" x14ac:dyDescent="0.3">
      <c r="A47" s="5" t="s">
        <v>71</v>
      </c>
      <c r="B47" s="6" t="s">
        <v>72</v>
      </c>
    </row>
    <row r="48" spans="1:2" x14ac:dyDescent="0.3">
      <c r="A48" s="5" t="s">
        <v>73</v>
      </c>
      <c r="B48" s="6" t="s">
        <v>74</v>
      </c>
    </row>
    <row r="49" spans="1:2" x14ac:dyDescent="0.3">
      <c r="A49" s="5" t="s">
        <v>75</v>
      </c>
      <c r="B49" s="6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5F"/>
    <pageSetUpPr fitToPage="1"/>
  </sheetPr>
  <dimension ref="A1:F14"/>
  <sheetViews>
    <sheetView showGridLines="0" workbookViewId="0"/>
  </sheetViews>
  <sheetFormatPr defaultRowHeight="14.4" x14ac:dyDescent="0.3"/>
  <cols>
    <col min="1" max="1" width="24" customWidth="1"/>
    <col min="2" max="6" width="22" customWidth="1"/>
  </cols>
  <sheetData>
    <row r="1" spans="1:6" ht="21" x14ac:dyDescent="0.4">
      <c r="A1" s="8" t="s">
        <v>77</v>
      </c>
      <c r="B1" s="9" t="s">
        <v>78</v>
      </c>
      <c r="F1" s="10" t="s">
        <v>79</v>
      </c>
    </row>
    <row r="2" spans="1:6" x14ac:dyDescent="0.3">
      <c r="B2" s="2" t="s">
        <v>80</v>
      </c>
      <c r="F2" s="11" t="s">
        <v>81</v>
      </c>
    </row>
    <row r="3" spans="1:6" x14ac:dyDescent="0.3">
      <c r="A3" s="12"/>
      <c r="B3" s="12"/>
      <c r="C3" s="12"/>
      <c r="D3" s="12"/>
      <c r="E3" s="12"/>
      <c r="F3" s="12"/>
    </row>
    <row r="5" spans="1:6" ht="48" customHeight="1" x14ac:dyDescent="0.3">
      <c r="A5" s="13" t="s">
        <v>82</v>
      </c>
      <c r="B5" s="29" t="s">
        <v>83</v>
      </c>
      <c r="C5" s="28"/>
      <c r="D5" s="28"/>
      <c r="E5" s="28"/>
      <c r="F5" s="28"/>
    </row>
    <row r="6" spans="1:6" ht="31.95" customHeight="1" x14ac:dyDescent="0.3">
      <c r="A6" s="13"/>
      <c r="B6" s="27" t="s">
        <v>84</v>
      </c>
      <c r="C6" s="28"/>
      <c r="D6" s="28"/>
      <c r="E6" s="28"/>
      <c r="F6" s="28"/>
    </row>
    <row r="7" spans="1:6" ht="31.95" customHeight="1" x14ac:dyDescent="0.3">
      <c r="A7" s="13"/>
      <c r="B7" s="27" t="s">
        <v>85</v>
      </c>
      <c r="C7" s="28"/>
      <c r="D7" s="28"/>
      <c r="E7" s="28"/>
      <c r="F7" s="28"/>
    </row>
    <row r="8" spans="1:6" ht="31.95" customHeight="1" x14ac:dyDescent="0.3">
      <c r="A8" s="13"/>
      <c r="B8" s="27" t="s">
        <v>86</v>
      </c>
      <c r="C8" s="28"/>
      <c r="D8" s="28"/>
      <c r="E8" s="28"/>
      <c r="F8" s="28"/>
    </row>
    <row r="9" spans="1:6" ht="31.95" customHeight="1" x14ac:dyDescent="0.3">
      <c r="A9" s="13"/>
      <c r="B9" s="27" t="s">
        <v>87</v>
      </c>
      <c r="C9" s="28"/>
      <c r="D9" s="28"/>
      <c r="E9" s="28"/>
      <c r="F9" s="28"/>
    </row>
    <row r="10" spans="1:6" ht="31.95" customHeight="1" x14ac:dyDescent="0.3">
      <c r="A10" s="13"/>
      <c r="B10" s="27" t="s">
        <v>88</v>
      </c>
      <c r="C10" s="28"/>
      <c r="D10" s="28"/>
      <c r="E10" s="28"/>
      <c r="F10" s="28"/>
    </row>
    <row r="11" spans="1:6" ht="31.95" customHeight="1" x14ac:dyDescent="0.3">
      <c r="A11" s="13"/>
      <c r="B11" s="27" t="s">
        <v>89</v>
      </c>
      <c r="C11" s="28"/>
      <c r="D11" s="28"/>
      <c r="E11" s="28"/>
      <c r="F11" s="28"/>
    </row>
    <row r="12" spans="1:6" ht="31.95" customHeight="1" x14ac:dyDescent="0.3">
      <c r="A12" s="13"/>
      <c r="B12" s="27" t="s">
        <v>90</v>
      </c>
      <c r="C12" s="28"/>
      <c r="D12" s="28"/>
      <c r="E12" s="28"/>
      <c r="F12" s="28"/>
    </row>
    <row r="13" spans="1:6" ht="31.95" customHeight="1" x14ac:dyDescent="0.3">
      <c r="A13" s="13" t="s">
        <v>91</v>
      </c>
      <c r="B13" s="29" t="s">
        <v>92</v>
      </c>
      <c r="C13" s="28"/>
      <c r="D13" s="28"/>
      <c r="E13" s="28"/>
      <c r="F13" s="28"/>
    </row>
    <row r="14" spans="1:6" ht="31.95" customHeight="1" x14ac:dyDescent="0.3">
      <c r="A14" s="13" t="s">
        <v>93</v>
      </c>
      <c r="B14" s="29" t="s">
        <v>94</v>
      </c>
      <c r="C14" s="28"/>
      <c r="D14" s="28"/>
      <c r="E14" s="28"/>
      <c r="F14" s="28"/>
    </row>
  </sheetData>
  <mergeCells count="10">
    <mergeCell ref="B5:F5"/>
    <mergeCell ref="B14:F14"/>
    <mergeCell ref="B8:F8"/>
    <mergeCell ref="B9:F9"/>
    <mergeCell ref="B13:F13"/>
    <mergeCell ref="B12:F12"/>
    <mergeCell ref="B7:F7"/>
    <mergeCell ref="B6:F6"/>
    <mergeCell ref="B10:F10"/>
    <mergeCell ref="B11:F11"/>
  </mergeCells>
  <pageMargins left="0.75" right="0.75" top="1" bottom="1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46" customWidth="1"/>
    <col min="3" max="3" width="60" customWidth="1"/>
    <col min="4" max="4" width="12" customWidth="1"/>
  </cols>
  <sheetData>
    <row r="1" spans="1:4" ht="17.399999999999999" x14ac:dyDescent="0.3">
      <c r="A1" s="1" t="s">
        <v>95</v>
      </c>
    </row>
    <row r="4" spans="1:4" ht="26.4" x14ac:dyDescent="0.3">
      <c r="A4" s="15" t="s">
        <v>96</v>
      </c>
      <c r="B4" s="15" t="s">
        <v>97</v>
      </c>
      <c r="C4" s="15" t="s">
        <v>98</v>
      </c>
      <c r="D4" s="15" t="s">
        <v>14</v>
      </c>
    </row>
    <row r="5" spans="1:4" ht="30" customHeight="1" x14ac:dyDescent="0.3">
      <c r="A5" s="16" t="s">
        <v>99</v>
      </c>
      <c r="B5" s="16" t="s">
        <v>100</v>
      </c>
      <c r="C5" s="16" t="s">
        <v>101</v>
      </c>
      <c r="D5" s="16" t="s">
        <v>102</v>
      </c>
    </row>
    <row r="6" spans="1:4" ht="30" customHeight="1" x14ac:dyDescent="0.3">
      <c r="A6" s="16" t="s">
        <v>103</v>
      </c>
      <c r="B6" s="16" t="s">
        <v>104</v>
      </c>
      <c r="C6" s="16" t="s">
        <v>105</v>
      </c>
      <c r="D6" s="16" t="s">
        <v>102</v>
      </c>
    </row>
    <row r="7" spans="1:4" ht="30" customHeight="1" x14ac:dyDescent="0.3">
      <c r="A7" s="16" t="s">
        <v>106</v>
      </c>
      <c r="B7" s="16" t="s">
        <v>107</v>
      </c>
      <c r="C7" s="16" t="s">
        <v>108</v>
      </c>
      <c r="D7" s="16" t="s">
        <v>102</v>
      </c>
    </row>
    <row r="8" spans="1:4" ht="30" customHeight="1" x14ac:dyDescent="0.3">
      <c r="A8" s="16" t="s">
        <v>109</v>
      </c>
      <c r="B8" s="16" t="s">
        <v>110</v>
      </c>
      <c r="C8" s="16" t="s">
        <v>111</v>
      </c>
      <c r="D8" s="16" t="s">
        <v>102</v>
      </c>
    </row>
    <row r="9" spans="1:4" ht="30" customHeight="1" x14ac:dyDescent="0.3">
      <c r="A9" s="16" t="s">
        <v>112</v>
      </c>
      <c r="B9" s="16" t="s">
        <v>113</v>
      </c>
      <c r="C9" s="16" t="s">
        <v>114</v>
      </c>
      <c r="D9" s="16" t="s">
        <v>102</v>
      </c>
    </row>
    <row r="10" spans="1:4" ht="30" customHeight="1" x14ac:dyDescent="0.3">
      <c r="A10" s="16" t="s">
        <v>115</v>
      </c>
      <c r="B10" s="16" t="s">
        <v>116</v>
      </c>
      <c r="C10" s="16" t="s">
        <v>117</v>
      </c>
      <c r="D10" s="16" t="s">
        <v>102</v>
      </c>
    </row>
    <row r="11" spans="1:4" ht="30" customHeight="1" x14ac:dyDescent="0.3">
      <c r="A11" s="16" t="s">
        <v>118</v>
      </c>
      <c r="B11" s="16" t="s">
        <v>119</v>
      </c>
      <c r="C11" s="16" t="s">
        <v>120</v>
      </c>
      <c r="D11" s="16" t="s">
        <v>102</v>
      </c>
    </row>
    <row r="12" spans="1:4" ht="30" customHeight="1" x14ac:dyDescent="0.3">
      <c r="A12" s="16" t="s">
        <v>121</v>
      </c>
      <c r="B12" s="16" t="s">
        <v>122</v>
      </c>
      <c r="C12" s="16" t="s">
        <v>123</v>
      </c>
      <c r="D12" s="16" t="s">
        <v>102</v>
      </c>
    </row>
    <row r="13" spans="1:4" ht="30" customHeight="1" x14ac:dyDescent="0.3">
      <c r="A13" s="16" t="s">
        <v>124</v>
      </c>
      <c r="B13" s="16" t="s">
        <v>125</v>
      </c>
      <c r="C13" s="16" t="s">
        <v>126</v>
      </c>
      <c r="D13" s="16" t="s">
        <v>127</v>
      </c>
    </row>
  </sheetData>
  <conditionalFormatting sqref="D5:D213">
    <cfRule type="expression" dxfId="15" priority="1">
      <formula>ISNUMBER(SEARCH("Evidenciado",D5))</formula>
    </cfRule>
    <cfRule type="expression" dxfId="14" priority="2">
      <formula>ISNUMBER(SEARCH("Parcial",D5))</formula>
    </cfRule>
    <cfRule type="expression" dxfId="13" priority="3">
      <formula>ISNUMBER(SEARCH("Por",D5))</formula>
    </cfRule>
  </conditionalFormatting>
  <dataValidations count="1">
    <dataValidation type="list" allowBlank="1" showErrorMessage="1" errorTitle="Valor inválido" error="Valor fora da lista controlada (ver folha Listas)." sqref="D5:D213" xr:uid="{00000000-0002-0000-0200-000000000000}">
      <formula1>lst_Estado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8" customWidth="1"/>
    <col min="3" max="3" width="40" customWidth="1"/>
    <col min="4" max="4" width="50" customWidth="1"/>
    <col min="5" max="5" width="34" customWidth="1"/>
    <col min="6" max="6" width="24" customWidth="1"/>
    <col min="7" max="7" width="12" customWidth="1"/>
    <col min="8" max="8" width="11" customWidth="1"/>
    <col min="9" max="9" width="8" customWidth="1"/>
  </cols>
  <sheetData>
    <row r="1" spans="1:9" ht="17.399999999999999" x14ac:dyDescent="0.3">
      <c r="A1" s="1" t="s">
        <v>128</v>
      </c>
    </row>
    <row r="2" spans="1:9" x14ac:dyDescent="0.3">
      <c r="A2" s="2" t="s">
        <v>129</v>
      </c>
    </row>
    <row r="4" spans="1:9" ht="26.4" x14ac:dyDescent="0.3">
      <c r="A4" s="15" t="s">
        <v>130</v>
      </c>
      <c r="B4" s="15" t="s">
        <v>131</v>
      </c>
      <c r="C4" s="15" t="s">
        <v>132</v>
      </c>
      <c r="D4" s="15" t="s">
        <v>133</v>
      </c>
      <c r="E4" s="15" t="s">
        <v>98</v>
      </c>
      <c r="F4" s="15" t="s">
        <v>134</v>
      </c>
      <c r="G4" s="15" t="s">
        <v>14</v>
      </c>
      <c r="H4" s="15" t="s">
        <v>135</v>
      </c>
      <c r="I4" s="17" t="s">
        <v>136</v>
      </c>
    </row>
    <row r="5" spans="1:9" ht="45" customHeight="1" x14ac:dyDescent="0.3">
      <c r="A5" s="16" t="s">
        <v>137</v>
      </c>
      <c r="B5" s="16" t="s">
        <v>138</v>
      </c>
      <c r="C5" s="16" t="s">
        <v>139</v>
      </c>
      <c r="D5" s="16" t="s">
        <v>140</v>
      </c>
      <c r="E5" s="16" t="s">
        <v>141</v>
      </c>
      <c r="F5" s="16" t="s">
        <v>142</v>
      </c>
      <c r="G5" s="16" t="s">
        <v>102</v>
      </c>
      <c r="H5" s="16" t="s">
        <v>143</v>
      </c>
      <c r="I5" s="18" t="str">
        <f t="shared" ref="I5:I19" si="0">IF(OR(B5="5.1.1 i)",B5="5.1.1 l)"),"Sim","Não")</f>
        <v>Não</v>
      </c>
    </row>
    <row r="6" spans="1:9" ht="45" customHeight="1" x14ac:dyDescent="0.3">
      <c r="A6" s="16" t="s">
        <v>144</v>
      </c>
      <c r="B6" s="16" t="s">
        <v>145</v>
      </c>
      <c r="C6" s="16" t="s">
        <v>146</v>
      </c>
      <c r="D6" s="16" t="s">
        <v>147</v>
      </c>
      <c r="E6" s="16" t="s">
        <v>148</v>
      </c>
      <c r="F6" s="16" t="s">
        <v>142</v>
      </c>
      <c r="G6" s="16" t="s">
        <v>127</v>
      </c>
      <c r="H6" s="16" t="s">
        <v>143</v>
      </c>
      <c r="I6" s="18" t="str">
        <f t="shared" si="0"/>
        <v>Não</v>
      </c>
    </row>
    <row r="7" spans="1:9" ht="45" customHeight="1" x14ac:dyDescent="0.3">
      <c r="A7" s="16" t="s">
        <v>149</v>
      </c>
      <c r="B7" s="16" t="s">
        <v>150</v>
      </c>
      <c r="C7" s="16" t="s">
        <v>151</v>
      </c>
      <c r="D7" s="16" t="s">
        <v>152</v>
      </c>
      <c r="E7" s="16" t="s">
        <v>153</v>
      </c>
      <c r="F7" s="16" t="s">
        <v>142</v>
      </c>
      <c r="G7" s="16" t="s">
        <v>102</v>
      </c>
      <c r="H7" s="16" t="s">
        <v>143</v>
      </c>
      <c r="I7" s="18" t="str">
        <f t="shared" si="0"/>
        <v>Não</v>
      </c>
    </row>
    <row r="8" spans="1:9" ht="45" customHeight="1" x14ac:dyDescent="0.3">
      <c r="A8" s="16" t="s">
        <v>154</v>
      </c>
      <c r="B8" s="16" t="s">
        <v>155</v>
      </c>
      <c r="C8" s="16" t="s">
        <v>156</v>
      </c>
      <c r="D8" s="16" t="s">
        <v>157</v>
      </c>
      <c r="E8" s="16" t="s">
        <v>158</v>
      </c>
      <c r="F8" s="16" t="s">
        <v>142</v>
      </c>
      <c r="G8" s="16" t="s">
        <v>102</v>
      </c>
      <c r="H8" s="16" t="s">
        <v>159</v>
      </c>
      <c r="I8" s="18" t="str">
        <f t="shared" si="0"/>
        <v>Não</v>
      </c>
    </row>
    <row r="9" spans="1:9" ht="45" customHeight="1" x14ac:dyDescent="0.3">
      <c r="A9" s="16" t="s">
        <v>160</v>
      </c>
      <c r="B9" s="16" t="s">
        <v>161</v>
      </c>
      <c r="C9" s="16" t="s">
        <v>162</v>
      </c>
      <c r="D9" s="16" t="s">
        <v>163</v>
      </c>
      <c r="E9" s="16" t="s">
        <v>164</v>
      </c>
      <c r="F9" s="16" t="s">
        <v>165</v>
      </c>
      <c r="G9" s="16" t="s">
        <v>102</v>
      </c>
      <c r="H9" s="16" t="s">
        <v>166</v>
      </c>
      <c r="I9" s="18" t="str">
        <f t="shared" si="0"/>
        <v>Não</v>
      </c>
    </row>
    <row r="10" spans="1:9" ht="45" customHeight="1" x14ac:dyDescent="0.3">
      <c r="A10" s="16" t="s">
        <v>167</v>
      </c>
      <c r="B10" s="16" t="s">
        <v>168</v>
      </c>
      <c r="C10" s="16" t="s">
        <v>169</v>
      </c>
      <c r="D10" s="16" t="s">
        <v>170</v>
      </c>
      <c r="E10" s="16" t="s">
        <v>171</v>
      </c>
      <c r="F10" s="16" t="s">
        <v>165</v>
      </c>
      <c r="G10" s="16" t="s">
        <v>102</v>
      </c>
      <c r="H10" s="16" t="s">
        <v>172</v>
      </c>
      <c r="I10" s="18" t="str">
        <f t="shared" si="0"/>
        <v>Não</v>
      </c>
    </row>
    <row r="11" spans="1:9" ht="45" customHeight="1" x14ac:dyDescent="0.3">
      <c r="A11" s="16" t="s">
        <v>173</v>
      </c>
      <c r="B11" s="16" t="s">
        <v>174</v>
      </c>
      <c r="C11" s="16" t="s">
        <v>175</v>
      </c>
      <c r="D11" s="16" t="s">
        <v>176</v>
      </c>
      <c r="E11" s="16" t="s">
        <v>177</v>
      </c>
      <c r="F11" s="16" t="s">
        <v>142</v>
      </c>
      <c r="G11" s="16" t="s">
        <v>102</v>
      </c>
      <c r="H11" s="16" t="s">
        <v>159</v>
      </c>
      <c r="I11" s="18" t="str">
        <f t="shared" si="0"/>
        <v>Não</v>
      </c>
    </row>
    <row r="12" spans="1:9" ht="45" customHeight="1" x14ac:dyDescent="0.3">
      <c r="A12" s="16" t="s">
        <v>178</v>
      </c>
      <c r="B12" s="16" t="s">
        <v>179</v>
      </c>
      <c r="C12" s="16" t="s">
        <v>180</v>
      </c>
      <c r="D12" s="16" t="s">
        <v>181</v>
      </c>
      <c r="E12" s="16" t="s">
        <v>182</v>
      </c>
      <c r="F12" s="16" t="s">
        <v>165</v>
      </c>
      <c r="G12" s="16" t="s">
        <v>127</v>
      </c>
      <c r="H12" s="16" t="s">
        <v>183</v>
      </c>
      <c r="I12" s="18" t="str">
        <f t="shared" si="0"/>
        <v>Não</v>
      </c>
    </row>
    <row r="13" spans="1:9" ht="45" customHeight="1" x14ac:dyDescent="0.3">
      <c r="A13" s="16" t="s">
        <v>184</v>
      </c>
      <c r="B13" s="16" t="s">
        <v>185</v>
      </c>
      <c r="C13" s="16" t="s">
        <v>186</v>
      </c>
      <c r="D13" s="16" t="s">
        <v>187</v>
      </c>
      <c r="E13" s="16" t="s">
        <v>188</v>
      </c>
      <c r="F13" s="16" t="s">
        <v>142</v>
      </c>
      <c r="G13" s="16" t="s">
        <v>127</v>
      </c>
      <c r="H13" s="16" t="s">
        <v>183</v>
      </c>
      <c r="I13" s="18" t="str">
        <f t="shared" si="0"/>
        <v>Sim</v>
      </c>
    </row>
    <row r="14" spans="1:9" ht="45" customHeight="1" x14ac:dyDescent="0.3">
      <c r="A14" s="16" t="s">
        <v>189</v>
      </c>
      <c r="B14" s="16" t="s">
        <v>190</v>
      </c>
      <c r="C14" s="16" t="s">
        <v>191</v>
      </c>
      <c r="D14" s="16" t="s">
        <v>192</v>
      </c>
      <c r="E14" s="16" t="s">
        <v>193</v>
      </c>
      <c r="F14" s="16" t="s">
        <v>11</v>
      </c>
      <c r="G14" s="16" t="s">
        <v>102</v>
      </c>
      <c r="H14" s="16" t="s">
        <v>143</v>
      </c>
      <c r="I14" s="18" t="str">
        <f t="shared" si="0"/>
        <v>Não</v>
      </c>
    </row>
    <row r="15" spans="1:9" ht="45" customHeight="1" x14ac:dyDescent="0.3">
      <c r="A15" s="16" t="s">
        <v>194</v>
      </c>
      <c r="B15" s="16" t="s">
        <v>195</v>
      </c>
      <c r="C15" s="16" t="s">
        <v>196</v>
      </c>
      <c r="D15" s="16" t="s">
        <v>197</v>
      </c>
      <c r="E15" s="16" t="s">
        <v>198</v>
      </c>
      <c r="F15" s="16" t="s">
        <v>142</v>
      </c>
      <c r="G15" s="16" t="s">
        <v>102</v>
      </c>
      <c r="H15" s="16" t="s">
        <v>159</v>
      </c>
      <c r="I15" s="18" t="str">
        <f t="shared" si="0"/>
        <v>Não</v>
      </c>
    </row>
    <row r="16" spans="1:9" ht="45" customHeight="1" x14ac:dyDescent="0.3">
      <c r="A16" s="16" t="s">
        <v>199</v>
      </c>
      <c r="B16" s="16" t="s">
        <v>200</v>
      </c>
      <c r="C16" s="16" t="s">
        <v>201</v>
      </c>
      <c r="D16" s="16" t="s">
        <v>202</v>
      </c>
      <c r="E16" s="16" t="s">
        <v>203</v>
      </c>
      <c r="F16" s="16" t="s">
        <v>142</v>
      </c>
      <c r="G16" s="16" t="s">
        <v>102</v>
      </c>
      <c r="H16" s="16" t="s">
        <v>143</v>
      </c>
      <c r="I16" s="18" t="str">
        <f t="shared" si="0"/>
        <v>Sim</v>
      </c>
    </row>
    <row r="17" spans="1:9" ht="45" customHeight="1" x14ac:dyDescent="0.3">
      <c r="A17" s="16" t="s">
        <v>204</v>
      </c>
      <c r="B17" s="16" t="s">
        <v>205</v>
      </c>
      <c r="C17" s="16" t="s">
        <v>206</v>
      </c>
      <c r="D17" s="16" t="s">
        <v>207</v>
      </c>
      <c r="E17" s="16" t="s">
        <v>208</v>
      </c>
      <c r="F17" s="16" t="s">
        <v>209</v>
      </c>
      <c r="G17" s="16" t="s">
        <v>102</v>
      </c>
      <c r="H17" s="16" t="s">
        <v>210</v>
      </c>
      <c r="I17" s="18" t="str">
        <f t="shared" si="0"/>
        <v>Não</v>
      </c>
    </row>
    <row r="18" spans="1:9" ht="45" customHeight="1" x14ac:dyDescent="0.3">
      <c r="A18" s="16" t="s">
        <v>211</v>
      </c>
      <c r="B18" s="16" t="s">
        <v>212</v>
      </c>
      <c r="C18" s="16" t="s">
        <v>213</v>
      </c>
      <c r="D18" s="16" t="s">
        <v>214</v>
      </c>
      <c r="E18" s="16" t="s">
        <v>215</v>
      </c>
      <c r="F18" s="16" t="s">
        <v>142</v>
      </c>
      <c r="G18" s="16" t="s">
        <v>102</v>
      </c>
      <c r="H18" s="16" t="s">
        <v>159</v>
      </c>
      <c r="I18" s="18" t="str">
        <f t="shared" si="0"/>
        <v>Não</v>
      </c>
    </row>
    <row r="19" spans="1:9" ht="45" customHeight="1" x14ac:dyDescent="0.3">
      <c r="A19" s="16" t="s">
        <v>216</v>
      </c>
      <c r="B19" s="16" t="s">
        <v>217</v>
      </c>
      <c r="C19" s="16" t="s">
        <v>218</v>
      </c>
      <c r="D19" s="16" t="s">
        <v>219</v>
      </c>
      <c r="E19" s="16" t="s">
        <v>220</v>
      </c>
      <c r="F19" s="16" t="s">
        <v>209</v>
      </c>
      <c r="G19" s="16" t="s">
        <v>102</v>
      </c>
      <c r="H19" s="16" t="s">
        <v>183</v>
      </c>
      <c r="I19" s="18" t="str">
        <f t="shared" si="0"/>
        <v>Não</v>
      </c>
    </row>
  </sheetData>
  <conditionalFormatting sqref="G5:G219">
    <cfRule type="expression" dxfId="12" priority="1">
      <formula>ISNUMBER(SEARCH("Evidenciado",G5))</formula>
    </cfRule>
    <cfRule type="expression" dxfId="11" priority="2">
      <formula>ISNUMBER(SEARCH("Parcial",G5))</formula>
    </cfRule>
    <cfRule type="expression" dxfId="10" priority="3">
      <formula>ISNUMBER(SEARCH("Por",G5))</formula>
    </cfRule>
  </conditionalFormatting>
  <conditionalFormatting sqref="I5:I219">
    <cfRule type="expression" dxfId="9" priority="4">
      <formula>ISNUMBER(SEARCH("Sim",I5))</formula>
    </cfRule>
  </conditionalFormatting>
  <dataValidations count="2">
    <dataValidation type="list" allowBlank="1" showErrorMessage="1" errorTitle="Valor inválido" error="Valor fora da lista controlada (ver folha Listas)." sqref="F5:F219" xr:uid="{00000000-0002-0000-0300-000000000000}">
      <formula1>lst_Funcao</formula1>
    </dataValidation>
    <dataValidation type="list" allowBlank="1" showErrorMessage="1" errorTitle="Valor inválido" error="Valor fora da lista controlada (ver folha Listas)." sqref="G5:G219" xr:uid="{00000000-0002-0000-0300-000001000000}">
      <formula1>lst_Estado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0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9" customWidth="1"/>
    <col min="3" max="3" width="50" customWidth="1"/>
    <col min="4" max="4" width="36" customWidth="1"/>
    <col min="5" max="5" width="40" customWidth="1"/>
  </cols>
  <sheetData>
    <row r="1" spans="1:5" ht="26.4" x14ac:dyDescent="0.3">
      <c r="A1" s="15" t="s">
        <v>130</v>
      </c>
      <c r="B1" s="15" t="s">
        <v>221</v>
      </c>
      <c r="C1" s="15" t="s">
        <v>222</v>
      </c>
      <c r="D1" s="15" t="s">
        <v>223</v>
      </c>
      <c r="E1" s="15" t="s">
        <v>224</v>
      </c>
    </row>
    <row r="2" spans="1:5" ht="30" customHeight="1" x14ac:dyDescent="0.3">
      <c r="A2" s="16" t="s">
        <v>225</v>
      </c>
      <c r="B2" s="16" t="s">
        <v>226</v>
      </c>
      <c r="C2" s="16" t="s">
        <v>227</v>
      </c>
      <c r="D2" s="16" t="s">
        <v>11</v>
      </c>
      <c r="E2" s="16" t="s">
        <v>228</v>
      </c>
    </row>
    <row r="3" spans="1:5" ht="30" customHeight="1" x14ac:dyDescent="0.3">
      <c r="A3" s="16" t="s">
        <v>229</v>
      </c>
      <c r="B3" s="16" t="s">
        <v>230</v>
      </c>
      <c r="C3" s="16" t="s">
        <v>231</v>
      </c>
      <c r="D3" s="16" t="s">
        <v>11</v>
      </c>
      <c r="E3" s="16" t="s">
        <v>232</v>
      </c>
    </row>
    <row r="4" spans="1:5" ht="30" customHeight="1" x14ac:dyDescent="0.3">
      <c r="A4" s="16" t="s">
        <v>233</v>
      </c>
      <c r="B4" s="16" t="s">
        <v>234</v>
      </c>
      <c r="C4" s="16" t="s">
        <v>235</v>
      </c>
      <c r="D4" s="16" t="s">
        <v>236</v>
      </c>
      <c r="E4" s="16" t="s">
        <v>237</v>
      </c>
    </row>
    <row r="5" spans="1:5" ht="30" customHeight="1" x14ac:dyDescent="0.3">
      <c r="A5" s="16" t="s">
        <v>238</v>
      </c>
      <c r="B5" s="16" t="s">
        <v>239</v>
      </c>
      <c r="C5" s="16" t="s">
        <v>240</v>
      </c>
      <c r="D5" s="16" t="s">
        <v>209</v>
      </c>
      <c r="E5" s="16" t="s">
        <v>241</v>
      </c>
    </row>
    <row r="6" spans="1:5" ht="30" customHeight="1" x14ac:dyDescent="0.3">
      <c r="A6" s="16" t="s">
        <v>242</v>
      </c>
      <c r="B6" s="16" t="s">
        <v>243</v>
      </c>
      <c r="C6" s="16" t="s">
        <v>244</v>
      </c>
      <c r="D6" s="16" t="s">
        <v>11</v>
      </c>
      <c r="E6" s="16" t="s">
        <v>245</v>
      </c>
    </row>
    <row r="7" spans="1:5" ht="30" customHeight="1" x14ac:dyDescent="0.3">
      <c r="A7" s="16" t="s">
        <v>246</v>
      </c>
      <c r="B7" s="16" t="s">
        <v>247</v>
      </c>
      <c r="C7" s="16" t="s">
        <v>248</v>
      </c>
      <c r="D7" s="16" t="s">
        <v>11</v>
      </c>
      <c r="E7" s="16" t="s">
        <v>249</v>
      </c>
    </row>
    <row r="8" spans="1:5" ht="30" customHeight="1" x14ac:dyDescent="0.3">
      <c r="A8" s="16" t="s">
        <v>250</v>
      </c>
      <c r="B8" s="16" t="s">
        <v>251</v>
      </c>
      <c r="C8" s="16" t="s">
        <v>252</v>
      </c>
      <c r="D8" s="16" t="s">
        <v>253</v>
      </c>
      <c r="E8" s="16" t="s">
        <v>254</v>
      </c>
    </row>
    <row r="9" spans="1:5" ht="30" customHeight="1" x14ac:dyDescent="0.3">
      <c r="A9" s="16" t="s">
        <v>255</v>
      </c>
      <c r="B9" s="16" t="s">
        <v>256</v>
      </c>
      <c r="C9" s="16" t="s">
        <v>257</v>
      </c>
      <c r="D9" s="16" t="s">
        <v>258</v>
      </c>
      <c r="E9" s="16" t="s">
        <v>259</v>
      </c>
    </row>
    <row r="10" spans="1:5" ht="30" customHeight="1" x14ac:dyDescent="0.3">
      <c r="A10" s="16" t="s">
        <v>260</v>
      </c>
      <c r="B10" s="16" t="s">
        <v>261</v>
      </c>
      <c r="C10" s="16" t="s">
        <v>262</v>
      </c>
      <c r="D10" s="16" t="s">
        <v>263</v>
      </c>
      <c r="E10" s="16" t="s">
        <v>264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2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40" customWidth="1"/>
    <col min="3" max="3" width="10" customWidth="1"/>
    <col min="4" max="24" width="7" customWidth="1"/>
    <col min="25" max="25" width="8" customWidth="1"/>
    <col min="26" max="26" width="12" customWidth="1"/>
  </cols>
  <sheetData>
    <row r="1" spans="1:26" ht="17.399999999999999" x14ac:dyDescent="0.3">
      <c r="A1" s="1" t="s">
        <v>265</v>
      </c>
    </row>
    <row r="2" spans="1:26" x14ac:dyDescent="0.3">
      <c r="A2" s="2" t="s">
        <v>266</v>
      </c>
    </row>
    <row r="4" spans="1:26" ht="52.8" x14ac:dyDescent="0.3">
      <c r="A4" s="15" t="s">
        <v>267</v>
      </c>
      <c r="B4" s="15" t="s">
        <v>268</v>
      </c>
      <c r="C4" s="15" t="s">
        <v>269</v>
      </c>
      <c r="D4" s="15" t="s">
        <v>270</v>
      </c>
      <c r="E4" s="15" t="s">
        <v>271</v>
      </c>
      <c r="F4" s="15" t="s">
        <v>272</v>
      </c>
      <c r="G4" s="15" t="s">
        <v>273</v>
      </c>
      <c r="H4" s="15" t="s">
        <v>274</v>
      </c>
      <c r="I4" s="15" t="s">
        <v>275</v>
      </c>
      <c r="J4" s="15" t="s">
        <v>276</v>
      </c>
      <c r="K4" s="15" t="s">
        <v>277</v>
      </c>
      <c r="L4" s="15" t="s">
        <v>278</v>
      </c>
      <c r="M4" s="15" t="s">
        <v>279</v>
      </c>
      <c r="N4" s="15" t="s">
        <v>280</v>
      </c>
      <c r="O4" s="15" t="s">
        <v>281</v>
      </c>
      <c r="P4" s="15" t="s">
        <v>282</v>
      </c>
      <c r="Q4" s="15" t="s">
        <v>283</v>
      </c>
      <c r="R4" s="15" t="s">
        <v>284</v>
      </c>
      <c r="S4" s="15" t="s">
        <v>285</v>
      </c>
      <c r="T4" s="15" t="s">
        <v>286</v>
      </c>
      <c r="U4" s="15" t="s">
        <v>287</v>
      </c>
      <c r="V4" s="15" t="s">
        <v>288</v>
      </c>
      <c r="W4" s="15" t="s">
        <v>289</v>
      </c>
      <c r="X4" s="15" t="s">
        <v>290</v>
      </c>
      <c r="Y4" s="17" t="s">
        <v>291</v>
      </c>
      <c r="Z4" s="17" t="s">
        <v>292</v>
      </c>
    </row>
    <row r="5" spans="1:26" ht="19.95" customHeight="1" x14ac:dyDescent="0.3">
      <c r="A5" s="16" t="s">
        <v>293</v>
      </c>
      <c r="B5" s="16" t="s">
        <v>294</v>
      </c>
      <c r="C5" s="16" t="s">
        <v>295</v>
      </c>
      <c r="D5" s="16" t="s">
        <v>296</v>
      </c>
      <c r="E5" s="16" t="s">
        <v>297</v>
      </c>
      <c r="F5" s="16" t="s">
        <v>298</v>
      </c>
      <c r="G5" s="16"/>
      <c r="H5" s="16" t="s">
        <v>297</v>
      </c>
      <c r="I5" s="16"/>
      <c r="J5" s="16"/>
      <c r="K5" s="16"/>
      <c r="L5" s="16" t="s">
        <v>299</v>
      </c>
      <c r="M5" s="16"/>
      <c r="N5" s="16"/>
      <c r="O5" s="16" t="s">
        <v>298</v>
      </c>
      <c r="P5" s="16"/>
      <c r="Q5" s="16"/>
      <c r="R5" s="16"/>
      <c r="S5" s="16"/>
      <c r="T5" s="16"/>
      <c r="U5" s="16"/>
      <c r="V5" s="16"/>
      <c r="W5" s="16"/>
      <c r="X5" s="16"/>
      <c r="Y5" s="19">
        <f t="shared" ref="Y5:Y20" si="0">IF(A5="","",COUNTIF(D5:X5,"A"))</f>
        <v>1</v>
      </c>
      <c r="Z5" s="18" t="str">
        <f t="shared" ref="Z5:Z20" si="1">IF(A5="","",IF(COUNTIF(D5:X5,"A")&lt;&gt;1,"1 A obrigatório",IF(COUNTIF(D5:X5,"R")=0,"Falta R","OK")))</f>
        <v>OK</v>
      </c>
    </row>
    <row r="6" spans="1:26" ht="19.95" customHeight="1" x14ac:dyDescent="0.3">
      <c r="A6" s="16" t="s">
        <v>300</v>
      </c>
      <c r="B6" s="16" t="s">
        <v>301</v>
      </c>
      <c r="C6" s="16" t="s">
        <v>302</v>
      </c>
      <c r="D6" s="16"/>
      <c r="E6" s="16"/>
      <c r="F6" s="16" t="s">
        <v>298</v>
      </c>
      <c r="G6" s="16"/>
      <c r="H6" s="16" t="s">
        <v>298</v>
      </c>
      <c r="I6" s="16"/>
      <c r="J6" s="16"/>
      <c r="K6" s="16" t="s">
        <v>298</v>
      </c>
      <c r="L6" s="16"/>
      <c r="M6" s="16"/>
      <c r="N6" s="16"/>
      <c r="O6" s="16" t="s">
        <v>296</v>
      </c>
      <c r="P6" s="16" t="s">
        <v>297</v>
      </c>
      <c r="Q6" s="16"/>
      <c r="R6" s="16"/>
      <c r="S6" s="16"/>
      <c r="T6" s="16"/>
      <c r="U6" s="16"/>
      <c r="V6" s="16"/>
      <c r="W6" s="16"/>
      <c r="X6" s="16"/>
      <c r="Y6" s="19">
        <f t="shared" si="0"/>
        <v>1</v>
      </c>
      <c r="Z6" s="18" t="str">
        <f t="shared" si="1"/>
        <v>OK</v>
      </c>
    </row>
    <row r="7" spans="1:26" ht="19.95" customHeight="1" x14ac:dyDescent="0.3">
      <c r="A7" s="16" t="s">
        <v>303</v>
      </c>
      <c r="B7" s="16" t="s">
        <v>304</v>
      </c>
      <c r="C7" s="16" t="s">
        <v>305</v>
      </c>
      <c r="D7" s="16"/>
      <c r="E7" s="16" t="s">
        <v>296</v>
      </c>
      <c r="F7" s="16" t="s">
        <v>298</v>
      </c>
      <c r="G7" s="16"/>
      <c r="H7" s="16" t="s">
        <v>298</v>
      </c>
      <c r="I7" s="16"/>
      <c r="J7" s="16" t="s">
        <v>298</v>
      </c>
      <c r="K7" s="16" t="s">
        <v>297</v>
      </c>
      <c r="L7" s="16"/>
      <c r="M7" s="16"/>
      <c r="N7" s="16"/>
      <c r="O7" s="16" t="s">
        <v>298</v>
      </c>
      <c r="P7" s="16"/>
      <c r="Q7" s="16"/>
      <c r="R7" s="16"/>
      <c r="S7" s="16"/>
      <c r="T7" s="16"/>
      <c r="U7" s="16"/>
      <c r="V7" s="16"/>
      <c r="W7" s="16"/>
      <c r="X7" s="16"/>
      <c r="Y7" s="19">
        <f t="shared" si="0"/>
        <v>1</v>
      </c>
      <c r="Z7" s="18" t="str">
        <f t="shared" si="1"/>
        <v>OK</v>
      </c>
    </row>
    <row r="8" spans="1:26" ht="19.95" customHeight="1" x14ac:dyDescent="0.3">
      <c r="A8" s="16" t="s">
        <v>306</v>
      </c>
      <c r="B8" s="16" t="s">
        <v>307</v>
      </c>
      <c r="C8" s="16" t="s">
        <v>308</v>
      </c>
      <c r="D8" s="16"/>
      <c r="E8" s="16" t="s">
        <v>299</v>
      </c>
      <c r="F8" s="16"/>
      <c r="G8" s="16"/>
      <c r="H8" s="16" t="s">
        <v>297</v>
      </c>
      <c r="I8" s="16"/>
      <c r="J8" s="16" t="s">
        <v>296</v>
      </c>
      <c r="K8" s="16" t="s">
        <v>298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9">
        <f t="shared" si="0"/>
        <v>1</v>
      </c>
      <c r="Z8" s="18" t="str">
        <f t="shared" si="1"/>
        <v>OK</v>
      </c>
    </row>
    <row r="9" spans="1:26" ht="19.95" customHeight="1" x14ac:dyDescent="0.3">
      <c r="A9" s="16" t="s">
        <v>309</v>
      </c>
      <c r="B9" s="16" t="s">
        <v>310</v>
      </c>
      <c r="C9" s="16" t="s">
        <v>311</v>
      </c>
      <c r="D9" s="16"/>
      <c r="E9" s="16"/>
      <c r="F9" s="16" t="s">
        <v>296</v>
      </c>
      <c r="G9" s="16" t="s">
        <v>298</v>
      </c>
      <c r="H9" s="16"/>
      <c r="I9" s="16"/>
      <c r="J9" s="16"/>
      <c r="K9" s="16"/>
      <c r="L9" s="16"/>
      <c r="M9" s="16"/>
      <c r="N9" s="16"/>
      <c r="O9" s="16" t="s">
        <v>298</v>
      </c>
      <c r="P9" s="16"/>
      <c r="Q9" s="16" t="s">
        <v>297</v>
      </c>
      <c r="R9" s="16"/>
      <c r="S9" s="16"/>
      <c r="T9" s="16"/>
      <c r="U9" s="16"/>
      <c r="V9" s="16"/>
      <c r="W9" s="16"/>
      <c r="X9" s="16"/>
      <c r="Y9" s="19">
        <f t="shared" si="0"/>
        <v>1</v>
      </c>
      <c r="Z9" s="18" t="str">
        <f t="shared" si="1"/>
        <v>OK</v>
      </c>
    </row>
    <row r="10" spans="1:26" ht="19.95" customHeight="1" x14ac:dyDescent="0.3">
      <c r="A10" s="16" t="s">
        <v>312</v>
      </c>
      <c r="B10" s="16" t="s">
        <v>313</v>
      </c>
      <c r="C10" s="16" t="s">
        <v>314</v>
      </c>
      <c r="D10" s="16"/>
      <c r="E10" s="16"/>
      <c r="F10" s="16" t="s">
        <v>296</v>
      </c>
      <c r="G10" s="16"/>
      <c r="H10" s="16"/>
      <c r="I10" s="16"/>
      <c r="J10" s="16"/>
      <c r="K10" s="16"/>
      <c r="L10" s="16"/>
      <c r="M10" s="16" t="s">
        <v>297</v>
      </c>
      <c r="N10" s="16" t="s">
        <v>297</v>
      </c>
      <c r="O10" s="16"/>
      <c r="P10" s="16"/>
      <c r="Q10" s="16"/>
      <c r="R10" s="16"/>
      <c r="S10" s="16"/>
      <c r="T10" s="16" t="s">
        <v>298</v>
      </c>
      <c r="U10" s="16"/>
      <c r="V10" s="16"/>
      <c r="W10" s="16"/>
      <c r="X10" s="16"/>
      <c r="Y10" s="19">
        <f t="shared" si="0"/>
        <v>1</v>
      </c>
      <c r="Z10" s="18" t="str">
        <f t="shared" si="1"/>
        <v>OK</v>
      </c>
    </row>
    <row r="11" spans="1:26" ht="19.95" customHeight="1" x14ac:dyDescent="0.3">
      <c r="A11" s="16" t="s">
        <v>315</v>
      </c>
      <c r="B11" s="16" t="s">
        <v>316</v>
      </c>
      <c r="C11" s="16" t="s">
        <v>317</v>
      </c>
      <c r="D11" s="16"/>
      <c r="E11" s="16"/>
      <c r="F11" s="16" t="s">
        <v>299</v>
      </c>
      <c r="G11" s="16"/>
      <c r="H11" s="16" t="s">
        <v>296</v>
      </c>
      <c r="I11" s="16" t="s">
        <v>299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 t="s">
        <v>297</v>
      </c>
      <c r="U11" s="16"/>
      <c r="V11" s="16"/>
      <c r="W11" s="16"/>
      <c r="X11" s="16"/>
      <c r="Y11" s="19">
        <f t="shared" si="0"/>
        <v>1</v>
      </c>
      <c r="Z11" s="18" t="str">
        <f t="shared" si="1"/>
        <v>OK</v>
      </c>
    </row>
    <row r="12" spans="1:26" ht="19.95" customHeight="1" x14ac:dyDescent="0.3">
      <c r="A12" s="16" t="s">
        <v>318</v>
      </c>
      <c r="B12" s="16" t="s">
        <v>319</v>
      </c>
      <c r="C12" s="16" t="s">
        <v>256</v>
      </c>
      <c r="D12" s="16" t="s">
        <v>299</v>
      </c>
      <c r="E12" s="16"/>
      <c r="F12" s="16" t="s">
        <v>298</v>
      </c>
      <c r="G12" s="16"/>
      <c r="H12" s="16" t="s">
        <v>296</v>
      </c>
      <c r="I12" s="16"/>
      <c r="J12" s="16"/>
      <c r="K12" s="16"/>
      <c r="L12" s="16"/>
      <c r="M12" s="16"/>
      <c r="N12" s="16"/>
      <c r="O12" s="16" t="s">
        <v>298</v>
      </c>
      <c r="P12" s="16"/>
      <c r="Q12" s="16"/>
      <c r="R12" s="16"/>
      <c r="S12" s="16"/>
      <c r="T12" s="16" t="s">
        <v>297</v>
      </c>
      <c r="U12" s="16"/>
      <c r="V12" s="16"/>
      <c r="W12" s="16"/>
      <c r="X12" s="16"/>
      <c r="Y12" s="19">
        <f t="shared" si="0"/>
        <v>1</v>
      </c>
      <c r="Z12" s="18" t="str">
        <f t="shared" si="1"/>
        <v>OK</v>
      </c>
    </row>
    <row r="13" spans="1:26" ht="19.95" customHeight="1" x14ac:dyDescent="0.3">
      <c r="A13" s="16" t="s">
        <v>320</v>
      </c>
      <c r="B13" s="16" t="s">
        <v>321</v>
      </c>
      <c r="C13" s="16" t="s">
        <v>322</v>
      </c>
      <c r="D13" s="16"/>
      <c r="E13" s="16"/>
      <c r="F13" s="16" t="s">
        <v>298</v>
      </c>
      <c r="G13" s="16"/>
      <c r="H13" s="16" t="s">
        <v>296</v>
      </c>
      <c r="I13" s="16"/>
      <c r="J13" s="16"/>
      <c r="K13" s="16"/>
      <c r="L13" s="16"/>
      <c r="M13" s="16"/>
      <c r="N13" s="16"/>
      <c r="O13" s="16" t="s">
        <v>299</v>
      </c>
      <c r="P13" s="16" t="s">
        <v>297</v>
      </c>
      <c r="Q13" s="16"/>
      <c r="R13" s="16"/>
      <c r="S13" s="16"/>
      <c r="T13" s="16" t="s">
        <v>298</v>
      </c>
      <c r="U13" s="16"/>
      <c r="V13" s="16"/>
      <c r="W13" s="16"/>
      <c r="X13" s="16"/>
      <c r="Y13" s="19">
        <f t="shared" si="0"/>
        <v>1</v>
      </c>
      <c r="Z13" s="18" t="str">
        <f t="shared" si="1"/>
        <v>OK</v>
      </c>
    </row>
    <row r="14" spans="1:26" ht="19.95" customHeight="1" x14ac:dyDescent="0.3">
      <c r="A14" s="16" t="s">
        <v>323</v>
      </c>
      <c r="B14" s="16" t="s">
        <v>324</v>
      </c>
      <c r="C14" s="16" t="s">
        <v>325</v>
      </c>
      <c r="D14" s="16"/>
      <c r="E14" s="16"/>
      <c r="F14" s="16"/>
      <c r="G14" s="16"/>
      <c r="H14" s="16" t="s">
        <v>296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 t="s">
        <v>298</v>
      </c>
      <c r="U14" s="16" t="s">
        <v>297</v>
      </c>
      <c r="V14" s="16"/>
      <c r="W14" s="16"/>
      <c r="X14" s="16"/>
      <c r="Y14" s="19">
        <f t="shared" si="0"/>
        <v>1</v>
      </c>
      <c r="Z14" s="18" t="str">
        <f t="shared" si="1"/>
        <v>OK</v>
      </c>
    </row>
    <row r="15" spans="1:26" ht="19.95" customHeight="1" x14ac:dyDescent="0.3">
      <c r="A15" s="16" t="s">
        <v>326</v>
      </c>
      <c r="B15" s="16" t="s">
        <v>327</v>
      </c>
      <c r="C15" s="16" t="s">
        <v>328</v>
      </c>
      <c r="D15" s="16"/>
      <c r="E15" s="16" t="s">
        <v>296</v>
      </c>
      <c r="F15" s="16"/>
      <c r="G15" s="16"/>
      <c r="H15" s="16" t="s">
        <v>297</v>
      </c>
      <c r="I15" s="16"/>
      <c r="J15" s="16"/>
      <c r="K15" s="16" t="s">
        <v>298</v>
      </c>
      <c r="L15" s="16" t="s">
        <v>298</v>
      </c>
      <c r="M15" s="16"/>
      <c r="N15" s="16"/>
      <c r="O15" s="16" t="s">
        <v>298</v>
      </c>
      <c r="P15" s="16"/>
      <c r="Q15" s="16"/>
      <c r="R15" s="16"/>
      <c r="S15" s="16" t="s">
        <v>297</v>
      </c>
      <c r="T15" s="16"/>
      <c r="U15" s="16"/>
      <c r="V15" s="16"/>
      <c r="W15" s="16"/>
      <c r="X15" s="16"/>
      <c r="Y15" s="19">
        <f t="shared" si="0"/>
        <v>1</v>
      </c>
      <c r="Z15" s="18" t="str">
        <f t="shared" si="1"/>
        <v>OK</v>
      </c>
    </row>
    <row r="16" spans="1:26" ht="19.95" customHeight="1" x14ac:dyDescent="0.3">
      <c r="A16" s="16" t="s">
        <v>329</v>
      </c>
      <c r="B16" s="16" t="s">
        <v>330</v>
      </c>
      <c r="C16" s="16" t="s">
        <v>331</v>
      </c>
      <c r="D16" s="16" t="s">
        <v>299</v>
      </c>
      <c r="E16" s="16"/>
      <c r="F16" s="16"/>
      <c r="G16" s="16"/>
      <c r="H16" s="16" t="s">
        <v>296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 t="s">
        <v>297</v>
      </c>
      <c r="X16" s="16"/>
      <c r="Y16" s="19">
        <f t="shared" si="0"/>
        <v>1</v>
      </c>
      <c r="Z16" s="18" t="str">
        <f t="shared" si="1"/>
        <v>OK</v>
      </c>
    </row>
    <row r="17" spans="1:26" ht="19.95" customHeight="1" x14ac:dyDescent="0.3">
      <c r="A17" s="16" t="s">
        <v>332</v>
      </c>
      <c r="B17" s="16" t="s">
        <v>333</v>
      </c>
      <c r="C17" s="16" t="s">
        <v>334</v>
      </c>
      <c r="D17" s="16" t="s">
        <v>296</v>
      </c>
      <c r="E17" s="16" t="s">
        <v>297</v>
      </c>
      <c r="F17" s="16"/>
      <c r="G17" s="16"/>
      <c r="H17" s="16" t="s">
        <v>297</v>
      </c>
      <c r="I17" s="16"/>
      <c r="J17" s="16" t="s">
        <v>298</v>
      </c>
      <c r="K17" s="16"/>
      <c r="L17" s="16" t="s">
        <v>298</v>
      </c>
      <c r="M17" s="16"/>
      <c r="N17" s="16"/>
      <c r="O17" s="16" t="s">
        <v>298</v>
      </c>
      <c r="P17" s="16"/>
      <c r="Q17" s="16"/>
      <c r="R17" s="16"/>
      <c r="S17" s="16"/>
      <c r="T17" s="16"/>
      <c r="U17" s="16"/>
      <c r="V17" s="16"/>
      <c r="W17" s="16"/>
      <c r="X17" s="16"/>
      <c r="Y17" s="19">
        <f t="shared" si="0"/>
        <v>1</v>
      </c>
      <c r="Z17" s="18" t="str">
        <f t="shared" si="1"/>
        <v>OK</v>
      </c>
    </row>
    <row r="18" spans="1:26" ht="19.95" customHeight="1" x14ac:dyDescent="0.3">
      <c r="A18" s="16" t="s">
        <v>335</v>
      </c>
      <c r="B18" s="16" t="s">
        <v>336</v>
      </c>
      <c r="C18" s="16" t="s">
        <v>337</v>
      </c>
      <c r="D18" s="16"/>
      <c r="E18" s="16"/>
      <c r="F18" s="16" t="s">
        <v>297</v>
      </c>
      <c r="G18" s="16"/>
      <c r="H18" s="16" t="s">
        <v>298</v>
      </c>
      <c r="I18" s="16"/>
      <c r="J18" s="16"/>
      <c r="K18" s="16"/>
      <c r="L18" s="16" t="s">
        <v>296</v>
      </c>
      <c r="M18" s="16"/>
      <c r="N18" s="16" t="s">
        <v>299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9">
        <f t="shared" si="0"/>
        <v>1</v>
      </c>
      <c r="Z18" s="18" t="str">
        <f t="shared" si="1"/>
        <v>OK</v>
      </c>
    </row>
    <row r="19" spans="1:26" ht="19.95" customHeight="1" x14ac:dyDescent="0.3">
      <c r="A19" s="16" t="s">
        <v>338</v>
      </c>
      <c r="B19" s="16" t="s">
        <v>339</v>
      </c>
      <c r="C19" s="16" t="s">
        <v>340</v>
      </c>
      <c r="D19" s="16"/>
      <c r="E19" s="16"/>
      <c r="F19" s="16" t="s">
        <v>298</v>
      </c>
      <c r="G19" s="16" t="s">
        <v>296</v>
      </c>
      <c r="H19" s="16" t="s">
        <v>299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 t="s">
        <v>297</v>
      </c>
      <c r="W19" s="16"/>
      <c r="X19" s="16"/>
      <c r="Y19" s="19">
        <f t="shared" si="0"/>
        <v>1</v>
      </c>
      <c r="Z19" s="18" t="str">
        <f t="shared" si="1"/>
        <v>OK</v>
      </c>
    </row>
    <row r="20" spans="1:26" ht="19.95" customHeight="1" x14ac:dyDescent="0.3">
      <c r="A20" s="16" t="s">
        <v>341</v>
      </c>
      <c r="B20" s="16" t="s">
        <v>342</v>
      </c>
      <c r="C20" s="16" t="s">
        <v>343</v>
      </c>
      <c r="D20" s="16"/>
      <c r="E20" s="16"/>
      <c r="F20" s="16"/>
      <c r="G20" s="16"/>
      <c r="H20" s="16" t="s">
        <v>296</v>
      </c>
      <c r="I20" s="16"/>
      <c r="J20" s="16"/>
      <c r="K20" s="16"/>
      <c r="L20" s="16"/>
      <c r="M20" s="16"/>
      <c r="N20" s="16"/>
      <c r="O20" s="16"/>
      <c r="P20" s="16"/>
      <c r="Q20" s="16"/>
      <c r="R20" s="16" t="s">
        <v>298</v>
      </c>
      <c r="S20" s="16"/>
      <c r="T20" s="16"/>
      <c r="U20" s="16"/>
      <c r="V20" s="16"/>
      <c r="W20" s="16"/>
      <c r="X20" s="16" t="s">
        <v>297</v>
      </c>
      <c r="Y20" s="19">
        <f t="shared" si="0"/>
        <v>1</v>
      </c>
      <c r="Z20" s="18" t="str">
        <f t="shared" si="1"/>
        <v>OK</v>
      </c>
    </row>
  </sheetData>
  <conditionalFormatting sqref="Z5:Z220">
    <cfRule type="expression" dxfId="8" priority="1">
      <formula>ISNUMBER(SEARCH("OK",Z5))</formula>
    </cfRule>
    <cfRule type="expression" dxfId="7" priority="2">
      <formula>ISNUMBER(SEARCH("A",Z5))</formula>
    </cfRule>
    <cfRule type="expression" dxfId="6" priority="3">
      <formula>ISNUMBER(SEARCH("Falta",Z5))</formula>
    </cfRule>
  </conditionalFormatting>
  <dataValidations count="1">
    <dataValidation type="list" allowBlank="1" showErrorMessage="1" errorTitle="Valor inválido" error="Valor fora da lista controlada (ver folha Listas)." sqref="D5:X220" xr:uid="{00000000-0002-0000-0500-000000000000}">
      <formula1>lst_RACI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2" customWidth="1"/>
    <col min="3" max="3" width="46" customWidth="1"/>
    <col min="4" max="9" width="9" customWidth="1"/>
    <col min="10" max="10" width="6" customWidth="1"/>
    <col min="11" max="11" width="7" customWidth="1"/>
    <col min="12" max="12" width="11" customWidth="1"/>
    <col min="13" max="13" width="12" customWidth="1"/>
  </cols>
  <sheetData>
    <row r="1" spans="1:13" ht="17.399999999999999" x14ac:dyDescent="0.3">
      <c r="A1" s="1" t="s">
        <v>344</v>
      </c>
    </row>
    <row r="2" spans="1:13" x14ac:dyDescent="0.3">
      <c r="A2" s="2" t="s">
        <v>345</v>
      </c>
    </row>
    <row r="4" spans="1:13" ht="39.6" x14ac:dyDescent="0.3">
      <c r="A4" s="15" t="s">
        <v>346</v>
      </c>
      <c r="B4" s="15" t="s">
        <v>347</v>
      </c>
      <c r="C4" s="15" t="s">
        <v>348</v>
      </c>
      <c r="D4" s="15" t="s">
        <v>349</v>
      </c>
      <c r="E4" s="15" t="s">
        <v>350</v>
      </c>
      <c r="F4" s="15" t="s">
        <v>351</v>
      </c>
      <c r="G4" s="15" t="s">
        <v>352</v>
      </c>
      <c r="H4" s="15" t="s">
        <v>353</v>
      </c>
      <c r="I4" s="17" t="s">
        <v>354</v>
      </c>
      <c r="J4" s="15" t="s">
        <v>355</v>
      </c>
      <c r="K4" s="17" t="s">
        <v>356</v>
      </c>
      <c r="L4" s="17" t="s">
        <v>357</v>
      </c>
      <c r="M4" s="17" t="s">
        <v>358</v>
      </c>
    </row>
    <row r="5" spans="1:13" ht="31.95" customHeight="1" x14ac:dyDescent="0.3">
      <c r="A5" s="16" t="s">
        <v>359</v>
      </c>
      <c r="B5" s="16" t="s">
        <v>360</v>
      </c>
      <c r="C5" s="16" t="s">
        <v>361</v>
      </c>
      <c r="D5" s="20">
        <v>3.1</v>
      </c>
      <c r="E5" s="20">
        <v>3.9</v>
      </c>
      <c r="F5" s="20">
        <v>3.4</v>
      </c>
      <c r="G5" s="20">
        <v>3.8</v>
      </c>
      <c r="H5" s="20">
        <v>3.2</v>
      </c>
      <c r="I5" s="21">
        <f>SUMPRODUCT(D5:H5,Respondentes!$B$2:$F$2)/SUM(Respondentes!$B$2:$F$2)</f>
        <v>3.2469798657718125</v>
      </c>
      <c r="J5" s="20">
        <v>3.5</v>
      </c>
      <c r="K5" s="21">
        <f t="shared" ref="K5:K12" si="0">J5-I5</f>
        <v>0.25302013422818748</v>
      </c>
      <c r="L5" s="18" t="str">
        <f t="shared" ref="L5:L12" si="1">INDEX($D$4:$H$4,MATCH(MIN(D5:H5),D5:H5,0))</f>
        <v>Produção</v>
      </c>
      <c r="M5" s="18" t="str">
        <f t="shared" ref="M5:M12" si="2">IF(I5&gt;=4.5,"5-Excelência",IF(I5&gt;=3.5,"4-Proativa",IF(I5&gt;=2.5,"3-Definida",IF(I5&gt;=1.5,"2-Reativa","1-Inicial"))))</f>
        <v>3-Definida</v>
      </c>
    </row>
    <row r="6" spans="1:13" ht="31.95" customHeight="1" x14ac:dyDescent="0.3">
      <c r="A6" s="16" t="s">
        <v>362</v>
      </c>
      <c r="B6" s="16" t="s">
        <v>363</v>
      </c>
      <c r="C6" s="16" t="s">
        <v>364</v>
      </c>
      <c r="D6" s="20">
        <v>2.6</v>
      </c>
      <c r="E6" s="20">
        <v>3.3</v>
      </c>
      <c r="F6" s="20">
        <v>3</v>
      </c>
      <c r="G6" s="20">
        <v>3.4</v>
      </c>
      <c r="H6" s="20">
        <v>2.9</v>
      </c>
      <c r="I6" s="21">
        <f>SUMPRODUCT(D6:H6,Respondentes!$B$2:$F$2)/SUM(Respondentes!$B$2:$F$2)</f>
        <v>2.7785234899328861</v>
      </c>
      <c r="J6" s="20">
        <v>3.5</v>
      </c>
      <c r="K6" s="21">
        <f t="shared" si="0"/>
        <v>0.72147651006711389</v>
      </c>
      <c r="L6" s="18" t="str">
        <f t="shared" si="1"/>
        <v>Produção</v>
      </c>
      <c r="M6" s="18" t="str">
        <f t="shared" si="2"/>
        <v>3-Definida</v>
      </c>
    </row>
    <row r="7" spans="1:13" ht="31.95" customHeight="1" x14ac:dyDescent="0.3">
      <c r="A7" s="16" t="s">
        <v>365</v>
      </c>
      <c r="B7" s="16" t="s">
        <v>366</v>
      </c>
      <c r="C7" s="16" t="s">
        <v>367</v>
      </c>
      <c r="D7" s="20">
        <v>2.9</v>
      </c>
      <c r="E7" s="20">
        <v>3.8</v>
      </c>
      <c r="F7" s="20">
        <v>2.8</v>
      </c>
      <c r="G7" s="20">
        <v>4.2</v>
      </c>
      <c r="H7" s="20">
        <v>3.3</v>
      </c>
      <c r="I7" s="21">
        <f>SUMPRODUCT(D7:H7,Respondentes!$B$2:$F$2)/SUM(Respondentes!$B$2:$F$2)</f>
        <v>3.0899328859060402</v>
      </c>
      <c r="J7" s="20">
        <v>3.5</v>
      </c>
      <c r="K7" s="21">
        <f t="shared" si="0"/>
        <v>0.41006711409395979</v>
      </c>
      <c r="L7" s="18" t="str">
        <f t="shared" si="1"/>
        <v>Manutenção</v>
      </c>
      <c r="M7" s="18" t="str">
        <f t="shared" si="2"/>
        <v>3-Definida</v>
      </c>
    </row>
    <row r="8" spans="1:13" ht="31.95" customHeight="1" x14ac:dyDescent="0.3">
      <c r="A8" s="16" t="s">
        <v>368</v>
      </c>
      <c r="B8" s="16" t="s">
        <v>369</v>
      </c>
      <c r="C8" s="16" t="s">
        <v>370</v>
      </c>
      <c r="D8" s="20">
        <v>2.7</v>
      </c>
      <c r="E8" s="20">
        <v>3.6</v>
      </c>
      <c r="F8" s="20">
        <v>3.3</v>
      </c>
      <c r="G8" s="20">
        <v>3.5</v>
      </c>
      <c r="H8" s="20">
        <v>2.8</v>
      </c>
      <c r="I8" s="21">
        <f>SUMPRODUCT(D8:H8,Respondentes!$B$2:$F$2)/SUM(Respondentes!$B$2:$F$2)</f>
        <v>2.8892617449664431</v>
      </c>
      <c r="J8" s="20">
        <v>3.5</v>
      </c>
      <c r="K8" s="21">
        <f t="shared" si="0"/>
        <v>0.61073825503355694</v>
      </c>
      <c r="L8" s="18" t="str">
        <f t="shared" si="1"/>
        <v>Produção</v>
      </c>
      <c r="M8" s="18" t="str">
        <f t="shared" si="2"/>
        <v>3-Definida</v>
      </c>
    </row>
    <row r="9" spans="1:13" ht="31.95" customHeight="1" x14ac:dyDescent="0.3">
      <c r="A9" s="16" t="s">
        <v>371</v>
      </c>
      <c r="B9" s="16" t="s">
        <v>372</v>
      </c>
      <c r="C9" s="16" t="s">
        <v>373</v>
      </c>
      <c r="D9" s="20">
        <v>3</v>
      </c>
      <c r="E9" s="20">
        <v>4.0999999999999996</v>
      </c>
      <c r="F9" s="20">
        <v>3.5</v>
      </c>
      <c r="G9" s="20">
        <v>3.1</v>
      </c>
      <c r="H9" s="20">
        <v>2.7</v>
      </c>
      <c r="I9" s="21">
        <f>SUMPRODUCT(D9:H9,Respondentes!$B$2:$F$2)/SUM(Respondentes!$B$2:$F$2)</f>
        <v>3.1053691275167785</v>
      </c>
      <c r="J9" s="20">
        <v>3.5</v>
      </c>
      <c r="K9" s="21">
        <f t="shared" si="0"/>
        <v>0.39463087248322148</v>
      </c>
      <c r="L9" s="18" t="str">
        <f t="shared" si="1"/>
        <v>Logística</v>
      </c>
      <c r="M9" s="18" t="str">
        <f t="shared" si="2"/>
        <v>3-Definida</v>
      </c>
    </row>
    <row r="10" spans="1:13" ht="31.95" customHeight="1" x14ac:dyDescent="0.3">
      <c r="A10" s="16" t="s">
        <v>374</v>
      </c>
      <c r="B10" s="16" t="s">
        <v>375</v>
      </c>
      <c r="C10" s="16" t="s">
        <v>376</v>
      </c>
      <c r="D10" s="20">
        <v>2.5</v>
      </c>
      <c r="E10" s="20">
        <v>3.2</v>
      </c>
      <c r="F10" s="20">
        <v>3.1</v>
      </c>
      <c r="G10" s="20">
        <v>3</v>
      </c>
      <c r="H10" s="20">
        <v>2.6</v>
      </c>
      <c r="I10" s="21">
        <f>SUMPRODUCT(D10:H10,Respondentes!$B$2:$F$2)/SUM(Respondentes!$B$2:$F$2)</f>
        <v>2.6550335570469796</v>
      </c>
      <c r="J10" s="20">
        <v>3.5</v>
      </c>
      <c r="K10" s="21">
        <f t="shared" si="0"/>
        <v>0.84496644295302037</v>
      </c>
      <c r="L10" s="18" t="str">
        <f t="shared" si="1"/>
        <v>Produção</v>
      </c>
      <c r="M10" s="18" t="str">
        <f t="shared" si="2"/>
        <v>3-Definida</v>
      </c>
    </row>
    <row r="11" spans="1:13" ht="31.95" customHeight="1" x14ac:dyDescent="0.3">
      <c r="A11" s="16" t="s">
        <v>377</v>
      </c>
      <c r="B11" s="16" t="s">
        <v>378</v>
      </c>
      <c r="C11" s="16" t="s">
        <v>379</v>
      </c>
      <c r="D11" s="20">
        <v>2.8</v>
      </c>
      <c r="E11" s="20">
        <v>3.4</v>
      </c>
      <c r="F11" s="20">
        <v>3.5</v>
      </c>
      <c r="G11" s="20">
        <v>3.6</v>
      </c>
      <c r="H11" s="20">
        <v>3.1</v>
      </c>
      <c r="I11" s="21">
        <f>SUMPRODUCT(D11:H11,Respondentes!$B$2:$F$2)/SUM(Respondentes!$B$2:$F$2)</f>
        <v>2.9986577181208052</v>
      </c>
      <c r="J11" s="20">
        <v>3.5</v>
      </c>
      <c r="K11" s="21">
        <f t="shared" si="0"/>
        <v>0.50134228187919483</v>
      </c>
      <c r="L11" s="18" t="str">
        <f t="shared" si="1"/>
        <v>Produção</v>
      </c>
      <c r="M11" s="18" t="str">
        <f t="shared" si="2"/>
        <v>3-Definida</v>
      </c>
    </row>
    <row r="12" spans="1:13" ht="31.95" customHeight="1" x14ac:dyDescent="0.3">
      <c r="A12" s="16" t="s">
        <v>380</v>
      </c>
      <c r="B12" s="16" t="s">
        <v>381</v>
      </c>
      <c r="C12" s="16" t="s">
        <v>382</v>
      </c>
      <c r="D12" s="20">
        <v>2.4</v>
      </c>
      <c r="E12" s="20">
        <v>3.3</v>
      </c>
      <c r="F12" s="20">
        <v>3</v>
      </c>
      <c r="G12" s="20">
        <v>3.4</v>
      </c>
      <c r="H12" s="20">
        <v>2.7</v>
      </c>
      <c r="I12" s="21">
        <f>SUMPRODUCT(D12:H12,Respondentes!$B$2:$F$2)/SUM(Respondentes!$B$2:$F$2)</f>
        <v>2.6255033557046983</v>
      </c>
      <c r="J12" s="20">
        <v>3.5</v>
      </c>
      <c r="K12" s="21">
        <f t="shared" si="0"/>
        <v>0.87449664429530172</v>
      </c>
      <c r="L12" s="18" t="str">
        <f t="shared" si="1"/>
        <v>Produção</v>
      </c>
      <c r="M12" s="18" t="str">
        <f t="shared" si="2"/>
        <v>3-Definida</v>
      </c>
    </row>
  </sheetData>
  <conditionalFormatting sqref="K5:K212">
    <cfRule type="expression" dxfId="5" priority="4">
      <formula>K5&gt;0.5</formula>
    </cfRule>
  </conditionalFormatting>
  <conditionalFormatting sqref="M5:M212">
    <cfRule type="expression" dxfId="4" priority="1">
      <formula>ISNUMBER(SEARCH("2-",M5))</formula>
    </cfRule>
    <cfRule type="expression" dxfId="3" priority="2">
      <formula>ISNUMBER(SEARCH("3-",M5))</formula>
    </cfRule>
    <cfRule type="expression" dxfId="2" priority="3">
      <formula>ISNUMBER(SEARCH("4-",M5))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2"/>
  <sheetViews>
    <sheetView showGridLines="0" workbookViewId="0"/>
  </sheetViews>
  <sheetFormatPr defaultRowHeight="14.4" x14ac:dyDescent="0.3"/>
  <cols>
    <col min="1" max="1" width="14" customWidth="1"/>
    <col min="2" max="6" width="12" customWidth="1"/>
  </cols>
  <sheetData>
    <row r="1" spans="1:7" x14ac:dyDescent="0.3">
      <c r="A1" s="13" t="s">
        <v>383</v>
      </c>
      <c r="B1" s="13" t="s">
        <v>349</v>
      </c>
      <c r="C1" s="13" t="s">
        <v>350</v>
      </c>
      <c r="D1" s="13" t="s">
        <v>351</v>
      </c>
      <c r="E1" s="13" t="s">
        <v>352</v>
      </c>
      <c r="F1" s="13" t="s">
        <v>353</v>
      </c>
      <c r="G1" s="13" t="s">
        <v>384</v>
      </c>
    </row>
    <row r="2" spans="1:7" x14ac:dyDescent="0.3">
      <c r="A2" s="13" t="s">
        <v>47</v>
      </c>
      <c r="B2" s="22">
        <v>96</v>
      </c>
      <c r="C2" s="22">
        <v>12</v>
      </c>
      <c r="D2" s="22">
        <v>14</v>
      </c>
      <c r="E2" s="22">
        <v>9</v>
      </c>
      <c r="F2" s="22">
        <v>18</v>
      </c>
      <c r="G2" s="23">
        <f>SUM(B2:F2)</f>
        <v>149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2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26" customWidth="1"/>
    <col min="4" max="4" width="7" customWidth="1"/>
    <col min="5" max="5" width="32" customWidth="1"/>
    <col min="6" max="6" width="46" customWidth="1"/>
    <col min="7" max="7" width="40" customWidth="1"/>
    <col min="8" max="8" width="14" customWidth="1"/>
  </cols>
  <sheetData>
    <row r="1" spans="1:8" ht="26.4" x14ac:dyDescent="0.3">
      <c r="A1" s="15" t="s">
        <v>385</v>
      </c>
      <c r="B1" s="15" t="s">
        <v>386</v>
      </c>
      <c r="C1" s="15" t="s">
        <v>387</v>
      </c>
      <c r="D1" s="15" t="s">
        <v>388</v>
      </c>
      <c r="E1" s="15" t="s">
        <v>389</v>
      </c>
      <c r="F1" s="15" t="s">
        <v>390</v>
      </c>
      <c r="G1" s="15" t="s">
        <v>391</v>
      </c>
      <c r="H1" s="15" t="s">
        <v>392</v>
      </c>
    </row>
    <row r="2" spans="1:8" ht="40.049999999999997" customHeight="1" x14ac:dyDescent="0.3">
      <c r="A2" s="16" t="s">
        <v>393</v>
      </c>
      <c r="B2" s="24">
        <v>46176</v>
      </c>
      <c r="C2" s="16" t="s">
        <v>142</v>
      </c>
      <c r="D2" s="16" t="s">
        <v>394</v>
      </c>
      <c r="E2" s="16" t="s">
        <v>395</v>
      </c>
      <c r="F2" s="16" t="s">
        <v>396</v>
      </c>
      <c r="G2" s="16" t="s">
        <v>397</v>
      </c>
      <c r="H2" s="16" t="s">
        <v>398</v>
      </c>
    </row>
    <row r="3" spans="1:8" ht="40.049999999999997" customHeight="1" x14ac:dyDescent="0.3">
      <c r="A3" s="16" t="s">
        <v>399</v>
      </c>
      <c r="B3" s="24">
        <v>46190</v>
      </c>
      <c r="C3" s="16" t="s">
        <v>165</v>
      </c>
      <c r="D3" s="16" t="s">
        <v>400</v>
      </c>
      <c r="E3" s="16" t="s">
        <v>401</v>
      </c>
      <c r="F3" s="16" t="s">
        <v>402</v>
      </c>
      <c r="G3" s="16" t="s">
        <v>403</v>
      </c>
      <c r="H3" s="16" t="s">
        <v>404</v>
      </c>
    </row>
    <row r="4" spans="1:8" ht="40.049999999999997" customHeight="1" x14ac:dyDescent="0.3">
      <c r="A4" s="16" t="s">
        <v>405</v>
      </c>
      <c r="B4" s="24">
        <v>46204</v>
      </c>
      <c r="C4" s="16" t="s">
        <v>11</v>
      </c>
      <c r="D4" s="16" t="s">
        <v>406</v>
      </c>
      <c r="E4" s="16" t="s">
        <v>407</v>
      </c>
      <c r="F4" s="16" t="s">
        <v>408</v>
      </c>
      <c r="G4" s="16" t="s">
        <v>409</v>
      </c>
      <c r="H4" s="16" t="s">
        <v>410</v>
      </c>
    </row>
    <row r="5" spans="1:8" ht="40.049999999999997" customHeight="1" x14ac:dyDescent="0.3">
      <c r="A5" s="16" t="s">
        <v>411</v>
      </c>
      <c r="B5" s="24">
        <v>46218</v>
      </c>
      <c r="C5" s="16" t="s">
        <v>142</v>
      </c>
      <c r="D5" s="16" t="s">
        <v>412</v>
      </c>
      <c r="E5" s="16" t="s">
        <v>413</v>
      </c>
      <c r="F5" s="16" t="s">
        <v>414</v>
      </c>
      <c r="G5" s="16" t="s">
        <v>415</v>
      </c>
      <c r="H5" s="16" t="s">
        <v>416</v>
      </c>
    </row>
    <row r="6" spans="1:8" ht="40.049999999999997" customHeight="1" x14ac:dyDescent="0.3">
      <c r="A6" s="16" t="s">
        <v>417</v>
      </c>
      <c r="B6" s="24">
        <v>46232</v>
      </c>
      <c r="C6" s="16" t="s">
        <v>165</v>
      </c>
      <c r="D6" s="16" t="s">
        <v>418</v>
      </c>
      <c r="E6" s="16" t="s">
        <v>419</v>
      </c>
      <c r="F6" s="16" t="s">
        <v>420</v>
      </c>
      <c r="G6" s="16" t="s">
        <v>421</v>
      </c>
      <c r="H6" s="16" t="s">
        <v>422</v>
      </c>
    </row>
    <row r="7" spans="1:8" ht="40.049999999999997" customHeight="1" x14ac:dyDescent="0.3">
      <c r="A7" s="16" t="s">
        <v>423</v>
      </c>
      <c r="B7" s="24">
        <v>46246</v>
      </c>
      <c r="C7" s="16" t="s">
        <v>11</v>
      </c>
      <c r="D7" s="16" t="s">
        <v>424</v>
      </c>
      <c r="E7" s="16" t="s">
        <v>425</v>
      </c>
      <c r="F7" s="16" t="s">
        <v>426</v>
      </c>
      <c r="G7" s="16" t="s">
        <v>427</v>
      </c>
      <c r="H7" s="16" t="s">
        <v>428</v>
      </c>
    </row>
    <row r="8" spans="1:8" ht="40.049999999999997" customHeight="1" x14ac:dyDescent="0.3">
      <c r="A8" s="16" t="s">
        <v>429</v>
      </c>
      <c r="B8" s="24">
        <v>46260</v>
      </c>
      <c r="C8" s="16" t="s">
        <v>142</v>
      </c>
      <c r="D8" s="16" t="s">
        <v>400</v>
      </c>
      <c r="E8" s="16" t="s">
        <v>430</v>
      </c>
      <c r="F8" s="16" t="s">
        <v>431</v>
      </c>
      <c r="G8" s="16" t="s">
        <v>432</v>
      </c>
      <c r="H8" s="16" t="s">
        <v>73</v>
      </c>
    </row>
    <row r="9" spans="1:8" ht="40.049999999999997" customHeight="1" x14ac:dyDescent="0.3">
      <c r="A9" s="16" t="s">
        <v>433</v>
      </c>
      <c r="B9" s="24">
        <v>46274</v>
      </c>
      <c r="C9" s="16" t="s">
        <v>209</v>
      </c>
      <c r="D9" s="16" t="s">
        <v>406</v>
      </c>
      <c r="E9" s="16" t="s">
        <v>434</v>
      </c>
      <c r="F9" s="16" t="s">
        <v>435</v>
      </c>
      <c r="G9" s="16" t="s">
        <v>436</v>
      </c>
      <c r="H9" s="16" t="s">
        <v>437</v>
      </c>
    </row>
    <row r="10" spans="1:8" ht="40.049999999999997" customHeight="1" x14ac:dyDescent="0.3">
      <c r="A10" s="16" t="s">
        <v>438</v>
      </c>
      <c r="B10" s="24">
        <v>46288</v>
      </c>
      <c r="C10" s="16" t="s">
        <v>165</v>
      </c>
      <c r="D10" s="16" t="s">
        <v>439</v>
      </c>
      <c r="E10" s="16" t="s">
        <v>440</v>
      </c>
      <c r="F10" s="16" t="s">
        <v>441</v>
      </c>
      <c r="G10" s="16" t="s">
        <v>442</v>
      </c>
      <c r="H10" s="16" t="s">
        <v>443</v>
      </c>
    </row>
    <row r="11" spans="1:8" ht="40.049999999999997" customHeight="1" x14ac:dyDescent="0.3">
      <c r="A11" s="16" t="s">
        <v>444</v>
      </c>
      <c r="B11" s="24">
        <v>46302</v>
      </c>
      <c r="C11" s="16" t="s">
        <v>11</v>
      </c>
      <c r="D11" s="16" t="s">
        <v>445</v>
      </c>
      <c r="E11" s="16" t="s">
        <v>446</v>
      </c>
      <c r="F11" s="16" t="s">
        <v>447</v>
      </c>
      <c r="G11" s="16" t="s">
        <v>448</v>
      </c>
      <c r="H11" s="16" t="s">
        <v>449</v>
      </c>
    </row>
    <row r="12" spans="1:8" ht="40.049999999999997" customHeight="1" x14ac:dyDescent="0.3">
      <c r="A12" s="16" t="s">
        <v>450</v>
      </c>
      <c r="B12" s="24">
        <v>46316</v>
      </c>
      <c r="C12" s="16" t="s">
        <v>142</v>
      </c>
      <c r="D12" s="16" t="s">
        <v>394</v>
      </c>
      <c r="E12" s="16" t="s">
        <v>451</v>
      </c>
      <c r="F12" s="16" t="s">
        <v>452</v>
      </c>
      <c r="G12" s="16" t="s">
        <v>453</v>
      </c>
      <c r="H12" s="16" t="s">
        <v>454</v>
      </c>
    </row>
    <row r="13" spans="1:8" ht="40.049999999999997" customHeight="1" x14ac:dyDescent="0.3">
      <c r="A13" s="16" t="s">
        <v>455</v>
      </c>
      <c r="B13" s="24">
        <v>46330</v>
      </c>
      <c r="C13" s="16" t="s">
        <v>165</v>
      </c>
      <c r="D13" s="16" t="s">
        <v>406</v>
      </c>
      <c r="E13" s="16" t="s">
        <v>456</v>
      </c>
      <c r="F13" s="16" t="s">
        <v>457</v>
      </c>
      <c r="G13" s="16" t="s">
        <v>458</v>
      </c>
      <c r="H13" s="16" t="s">
        <v>459</v>
      </c>
    </row>
    <row r="14" spans="1:8" ht="40.049999999999997" customHeight="1" x14ac:dyDescent="0.3">
      <c r="A14" s="16" t="s">
        <v>460</v>
      </c>
      <c r="B14" s="24">
        <v>46344</v>
      </c>
      <c r="C14" s="16" t="s">
        <v>209</v>
      </c>
      <c r="D14" s="16" t="s">
        <v>412</v>
      </c>
      <c r="E14" s="16" t="s">
        <v>461</v>
      </c>
      <c r="F14" s="16" t="s">
        <v>462</v>
      </c>
      <c r="G14" s="16" t="s">
        <v>463</v>
      </c>
      <c r="H14" s="16" t="s">
        <v>416</v>
      </c>
    </row>
    <row r="15" spans="1:8" ht="40.049999999999997" customHeight="1" x14ac:dyDescent="0.3">
      <c r="A15" s="16" t="s">
        <v>464</v>
      </c>
      <c r="B15" s="24">
        <v>46358</v>
      </c>
      <c r="C15" s="16" t="s">
        <v>11</v>
      </c>
      <c r="D15" s="16" t="s">
        <v>424</v>
      </c>
      <c r="E15" s="16" t="s">
        <v>465</v>
      </c>
      <c r="F15" s="16" t="s">
        <v>466</v>
      </c>
      <c r="G15" s="16" t="s">
        <v>467</v>
      </c>
      <c r="H15" s="16" t="s">
        <v>468</v>
      </c>
    </row>
    <row r="16" spans="1:8" ht="40.049999999999997" customHeight="1" x14ac:dyDescent="0.3">
      <c r="A16" s="16" t="s">
        <v>469</v>
      </c>
      <c r="B16" s="24">
        <v>46372</v>
      </c>
      <c r="C16" s="16" t="s">
        <v>142</v>
      </c>
      <c r="D16" s="16" t="s">
        <v>400</v>
      </c>
      <c r="E16" s="16" t="s">
        <v>470</v>
      </c>
      <c r="F16" s="16" t="s">
        <v>471</v>
      </c>
      <c r="G16" s="16" t="s">
        <v>472</v>
      </c>
      <c r="H16" s="16" t="s">
        <v>473</v>
      </c>
    </row>
    <row r="17" spans="1:8" ht="40.049999999999997" customHeight="1" x14ac:dyDescent="0.3">
      <c r="A17" s="16"/>
      <c r="B17" s="24"/>
      <c r="C17" s="16"/>
      <c r="D17" s="16"/>
      <c r="E17" s="16"/>
      <c r="F17" s="16"/>
      <c r="G17" s="16"/>
      <c r="H17" s="16"/>
    </row>
    <row r="18" spans="1:8" ht="40.049999999999997" customHeight="1" x14ac:dyDescent="0.3">
      <c r="A18" s="16"/>
      <c r="B18" s="24"/>
      <c r="C18" s="16"/>
      <c r="D18" s="16"/>
      <c r="E18" s="16"/>
      <c r="F18" s="16"/>
      <c r="G18" s="16"/>
      <c r="H18" s="16"/>
    </row>
    <row r="19" spans="1:8" ht="40.049999999999997" customHeight="1" x14ac:dyDescent="0.3">
      <c r="A19" s="16"/>
      <c r="B19" s="24"/>
      <c r="C19" s="16"/>
      <c r="D19" s="16"/>
      <c r="E19" s="16"/>
      <c r="F19" s="16"/>
      <c r="G19" s="16"/>
      <c r="H19" s="16"/>
    </row>
    <row r="20" spans="1:8" ht="40.049999999999997" customHeight="1" x14ac:dyDescent="0.3">
      <c r="A20" s="16"/>
      <c r="B20" s="24"/>
      <c r="C20" s="16"/>
      <c r="D20" s="16"/>
      <c r="E20" s="16"/>
      <c r="F20" s="16"/>
      <c r="G20" s="16"/>
      <c r="H20" s="16"/>
    </row>
    <row r="21" spans="1:8" ht="40.049999999999997" customHeight="1" x14ac:dyDescent="0.3">
      <c r="A21" s="16"/>
      <c r="B21" s="24"/>
      <c r="C21" s="16"/>
      <c r="D21" s="16"/>
      <c r="E21" s="16"/>
      <c r="F21" s="16"/>
      <c r="G21" s="16"/>
      <c r="H21" s="16"/>
    </row>
  </sheetData>
  <dataValidations count="2">
    <dataValidation type="list" allowBlank="1" showErrorMessage="1" errorTitle="Valor inválido" error="Valor fora da lista controlada (ver folha Listas)." sqref="C2:C221" xr:uid="{00000000-0002-0000-0800-000000000000}">
      <formula1>lst_Funcao</formula1>
    </dataValidation>
    <dataValidation type="list" allowBlank="1" showErrorMessage="1" errorTitle="Valor inválido" error="Valor fora da lista controlada (ver folha Listas)." sqref="D2:D221" xr:uid="{00000000-0002-0000-0800-000001000000}">
      <formula1>lst_Processo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1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1" customWidth="1"/>
    <col min="3" max="3" width="22" customWidth="1"/>
    <col min="4" max="4" width="50" customWidth="1"/>
    <col min="5" max="5" width="16" customWidth="1"/>
    <col min="6" max="6" width="12" customWidth="1"/>
    <col min="7" max="7" width="56" customWidth="1"/>
    <col min="8" max="8" width="9" customWidth="1"/>
    <col min="9" max="9" width="6" customWidth="1"/>
  </cols>
  <sheetData>
    <row r="1" spans="1:9" ht="17.399999999999999" x14ac:dyDescent="0.3">
      <c r="A1" s="1" t="s">
        <v>474</v>
      </c>
    </row>
    <row r="2" spans="1:9" x14ac:dyDescent="0.3">
      <c r="A2" s="2" t="s">
        <v>475</v>
      </c>
    </row>
    <row r="4" spans="1:9" x14ac:dyDescent="0.3">
      <c r="A4" s="15" t="s">
        <v>476</v>
      </c>
      <c r="B4" s="15" t="s">
        <v>386</v>
      </c>
      <c r="C4" s="15" t="s">
        <v>477</v>
      </c>
      <c r="D4" s="15" t="s">
        <v>97</v>
      </c>
      <c r="E4" s="15" t="s">
        <v>478</v>
      </c>
      <c r="F4" s="15" t="s">
        <v>479</v>
      </c>
      <c r="G4" s="15" t="s">
        <v>480</v>
      </c>
      <c r="H4" s="15" t="s">
        <v>14</v>
      </c>
      <c r="I4" s="17" t="s">
        <v>481</v>
      </c>
    </row>
    <row r="5" spans="1:9" ht="48" customHeight="1" x14ac:dyDescent="0.3">
      <c r="A5" s="16" t="s">
        <v>482</v>
      </c>
      <c r="B5" s="24">
        <v>46092</v>
      </c>
      <c r="C5" s="16" t="s">
        <v>483</v>
      </c>
      <c r="D5" s="16" t="s">
        <v>484</v>
      </c>
      <c r="E5" s="16" t="s">
        <v>485</v>
      </c>
      <c r="F5" s="16" t="s">
        <v>486</v>
      </c>
      <c r="G5" s="16" t="s">
        <v>487</v>
      </c>
      <c r="H5" s="16" t="s">
        <v>488</v>
      </c>
      <c r="I5" s="19">
        <f t="shared" ref="I5:I13" si="0">IF(B5="","",DataRef-B5)</f>
        <v>295</v>
      </c>
    </row>
    <row r="6" spans="1:9" ht="48" customHeight="1" x14ac:dyDescent="0.3">
      <c r="A6" s="16" t="s">
        <v>489</v>
      </c>
      <c r="B6" s="24">
        <v>46148</v>
      </c>
      <c r="C6" s="16" t="s">
        <v>490</v>
      </c>
      <c r="D6" s="16" t="s">
        <v>491</v>
      </c>
      <c r="E6" s="16" t="s">
        <v>492</v>
      </c>
      <c r="F6" s="16" t="s">
        <v>486</v>
      </c>
      <c r="G6" s="16" t="s">
        <v>493</v>
      </c>
      <c r="H6" s="16" t="s">
        <v>488</v>
      </c>
      <c r="I6" s="19">
        <f t="shared" si="0"/>
        <v>239</v>
      </c>
    </row>
    <row r="7" spans="1:9" ht="48" customHeight="1" x14ac:dyDescent="0.3">
      <c r="A7" s="16" t="s">
        <v>494</v>
      </c>
      <c r="B7" s="24">
        <v>46225</v>
      </c>
      <c r="C7" s="16" t="s">
        <v>495</v>
      </c>
      <c r="D7" s="16" t="s">
        <v>496</v>
      </c>
      <c r="E7" s="16" t="s">
        <v>497</v>
      </c>
      <c r="F7" s="16" t="s">
        <v>486</v>
      </c>
      <c r="G7" s="16" t="s">
        <v>498</v>
      </c>
      <c r="H7" s="16" t="s">
        <v>488</v>
      </c>
      <c r="I7" s="19">
        <f t="shared" si="0"/>
        <v>162</v>
      </c>
    </row>
    <row r="8" spans="1:9" ht="48" customHeight="1" x14ac:dyDescent="0.3">
      <c r="A8" s="16" t="s">
        <v>499</v>
      </c>
      <c r="B8" s="24">
        <v>46280</v>
      </c>
      <c r="C8" s="16" t="s">
        <v>500</v>
      </c>
      <c r="D8" s="16" t="s">
        <v>501</v>
      </c>
      <c r="E8" s="16" t="s">
        <v>502</v>
      </c>
      <c r="F8" s="16" t="s">
        <v>503</v>
      </c>
      <c r="G8" s="16" t="s">
        <v>504</v>
      </c>
      <c r="H8" s="16" t="s">
        <v>505</v>
      </c>
      <c r="I8" s="19">
        <f t="shared" si="0"/>
        <v>107</v>
      </c>
    </row>
    <row r="9" spans="1:9" ht="48" customHeight="1" x14ac:dyDescent="0.3">
      <c r="A9" s="16"/>
      <c r="B9" s="24"/>
      <c r="C9" s="16"/>
      <c r="D9" s="16"/>
      <c r="E9" s="16"/>
      <c r="F9" s="16"/>
      <c r="G9" s="16"/>
      <c r="H9" s="16"/>
      <c r="I9" s="19" t="str">
        <f t="shared" si="0"/>
        <v/>
      </c>
    </row>
    <row r="10" spans="1:9" ht="48" customHeight="1" x14ac:dyDescent="0.3">
      <c r="A10" s="16"/>
      <c r="B10" s="24"/>
      <c r="C10" s="16"/>
      <c r="D10" s="16"/>
      <c r="E10" s="16"/>
      <c r="F10" s="16"/>
      <c r="G10" s="16"/>
      <c r="H10" s="16"/>
      <c r="I10" s="19" t="str">
        <f t="shared" si="0"/>
        <v/>
      </c>
    </row>
    <row r="11" spans="1:9" ht="48" customHeight="1" x14ac:dyDescent="0.3">
      <c r="A11" s="16"/>
      <c r="B11" s="24"/>
      <c r="C11" s="16"/>
      <c r="D11" s="16"/>
      <c r="E11" s="16"/>
      <c r="F11" s="16"/>
      <c r="G11" s="16"/>
      <c r="H11" s="16"/>
      <c r="I11" s="19" t="str">
        <f t="shared" si="0"/>
        <v/>
      </c>
    </row>
    <row r="12" spans="1:9" ht="48" customHeight="1" x14ac:dyDescent="0.3">
      <c r="A12" s="16"/>
      <c r="B12" s="24"/>
      <c r="C12" s="16"/>
      <c r="D12" s="16"/>
      <c r="E12" s="16"/>
      <c r="F12" s="16"/>
      <c r="G12" s="16"/>
      <c r="H12" s="16"/>
      <c r="I12" s="19" t="str">
        <f t="shared" si="0"/>
        <v/>
      </c>
    </row>
    <row r="13" spans="1:9" ht="48" customHeight="1" x14ac:dyDescent="0.3">
      <c r="A13" s="16"/>
      <c r="B13" s="24"/>
      <c r="C13" s="16"/>
      <c r="D13" s="16"/>
      <c r="E13" s="16"/>
      <c r="F13" s="16"/>
      <c r="G13" s="16"/>
      <c r="H13" s="16"/>
      <c r="I13" s="19" t="str">
        <f t="shared" si="0"/>
        <v/>
      </c>
    </row>
  </sheetData>
  <conditionalFormatting sqref="H5:H213">
    <cfRule type="expression" dxfId="1" priority="1">
      <formula>ISNUMBER(SEARCH("Aberto",H5))</formula>
    </cfRule>
    <cfRule type="expression" dxfId="0" priority="2">
      <formula>ISNUMBER(SEARCH("Fechado",H5))</formula>
    </cfRule>
  </conditionalFormatting>
  <dataValidations count="2">
    <dataValidation type="list" allowBlank="1" showErrorMessage="1" errorTitle="Valor inválido" error="Valor fora da lista controlada (ver folha Listas)." sqref="C5:C213" xr:uid="{00000000-0002-0000-0900-000000000000}">
      <formula1>lst_TipoRelato</formula1>
    </dataValidation>
    <dataValidation type="list" allowBlank="1" showErrorMessage="1" errorTitle="Valor inválido" error="Valor fora da lista controlada (ver folha Listas)." sqref="H5:H213" xr:uid="{00000000-0002-0000-0900-000001000000}">
      <formula1>lst_EstadoRel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45" customWidth="1"/>
    <col min="4" max="5" width="16" customWidth="1"/>
    <col min="6" max="6" width="27" customWidth="1"/>
    <col min="7" max="8" width="16" customWidth="1"/>
  </cols>
  <sheetData>
    <row r="1" spans="1:8" x14ac:dyDescent="0.3">
      <c r="A1" s="10" t="s">
        <v>506</v>
      </c>
    </row>
    <row r="2" spans="1:8" x14ac:dyDescent="0.3">
      <c r="A2" s="25" t="s">
        <v>507</v>
      </c>
      <c r="B2" s="25" t="s">
        <v>14</v>
      </c>
      <c r="C2" s="25" t="s">
        <v>508</v>
      </c>
      <c r="D2" s="25" t="s">
        <v>388</v>
      </c>
      <c r="E2" s="25" t="s">
        <v>509</v>
      </c>
      <c r="F2" s="25" t="s">
        <v>510</v>
      </c>
      <c r="G2" s="25" t="s">
        <v>511</v>
      </c>
      <c r="H2" s="25" t="s">
        <v>512</v>
      </c>
    </row>
    <row r="3" spans="1:8" x14ac:dyDescent="0.3">
      <c r="A3" s="26">
        <v>46387</v>
      </c>
      <c r="B3" s="6" t="s">
        <v>102</v>
      </c>
      <c r="C3" s="6" t="s">
        <v>142</v>
      </c>
      <c r="D3" s="6" t="s">
        <v>513</v>
      </c>
      <c r="E3" s="6" t="s">
        <v>297</v>
      </c>
      <c r="F3" s="6" t="s">
        <v>483</v>
      </c>
      <c r="G3" s="6" t="s">
        <v>505</v>
      </c>
      <c r="H3" s="6" t="s">
        <v>349</v>
      </c>
    </row>
    <row r="4" spans="1:8" x14ac:dyDescent="0.3">
      <c r="B4" s="6" t="s">
        <v>127</v>
      </c>
      <c r="C4" s="6" t="s">
        <v>165</v>
      </c>
      <c r="D4" s="6" t="s">
        <v>514</v>
      </c>
      <c r="E4" s="6" t="s">
        <v>296</v>
      </c>
      <c r="F4" s="6" t="s">
        <v>490</v>
      </c>
      <c r="G4" s="6" t="s">
        <v>488</v>
      </c>
      <c r="H4" s="6" t="s">
        <v>350</v>
      </c>
    </row>
    <row r="5" spans="1:8" x14ac:dyDescent="0.3">
      <c r="B5" s="6" t="s">
        <v>515</v>
      </c>
      <c r="C5" s="6" t="s">
        <v>11</v>
      </c>
      <c r="D5" s="6" t="s">
        <v>445</v>
      </c>
      <c r="E5" s="6" t="s">
        <v>298</v>
      </c>
      <c r="F5" s="6" t="s">
        <v>495</v>
      </c>
      <c r="H5" s="6" t="s">
        <v>351</v>
      </c>
    </row>
    <row r="6" spans="1:8" x14ac:dyDescent="0.3">
      <c r="C6" s="6" t="s">
        <v>516</v>
      </c>
      <c r="D6" s="6" t="s">
        <v>517</v>
      </c>
      <c r="E6" s="6" t="s">
        <v>299</v>
      </c>
      <c r="F6" s="6" t="s">
        <v>500</v>
      </c>
      <c r="H6" s="6" t="s">
        <v>352</v>
      </c>
    </row>
    <row r="7" spans="1:8" x14ac:dyDescent="0.3">
      <c r="C7" s="6" t="s">
        <v>518</v>
      </c>
      <c r="D7" s="6" t="s">
        <v>519</v>
      </c>
      <c r="F7" s="6" t="s">
        <v>520</v>
      </c>
      <c r="H7" s="6" t="s">
        <v>353</v>
      </c>
    </row>
    <row r="8" spans="1:8" x14ac:dyDescent="0.3">
      <c r="C8" s="6" t="s">
        <v>209</v>
      </c>
      <c r="D8" s="6" t="s">
        <v>521</v>
      </c>
    </row>
    <row r="9" spans="1:8" x14ac:dyDescent="0.3">
      <c r="C9" s="6" t="s">
        <v>522</v>
      </c>
      <c r="D9" s="6" t="s">
        <v>424</v>
      </c>
    </row>
    <row r="10" spans="1:8" x14ac:dyDescent="0.3">
      <c r="C10" s="6" t="s">
        <v>523</v>
      </c>
      <c r="D10" s="6" t="s">
        <v>400</v>
      </c>
    </row>
    <row r="11" spans="1:8" x14ac:dyDescent="0.3">
      <c r="C11" s="6" t="s">
        <v>524</v>
      </c>
      <c r="D11" s="6" t="s">
        <v>394</v>
      </c>
    </row>
    <row r="12" spans="1:8" x14ac:dyDescent="0.3">
      <c r="C12" s="6" t="s">
        <v>525</v>
      </c>
      <c r="D12" s="6" t="s">
        <v>418</v>
      </c>
    </row>
    <row r="13" spans="1:8" x14ac:dyDescent="0.3">
      <c r="C13" s="6" t="s">
        <v>526</v>
      </c>
      <c r="D13" s="6" t="s">
        <v>527</v>
      </c>
    </row>
    <row r="14" spans="1:8" x14ac:dyDescent="0.3">
      <c r="C14" s="6" t="s">
        <v>528</v>
      </c>
      <c r="D14" s="6" t="s">
        <v>406</v>
      </c>
    </row>
    <row r="15" spans="1:8" x14ac:dyDescent="0.3">
      <c r="C15" s="6" t="s">
        <v>529</v>
      </c>
      <c r="D15" s="6" t="s">
        <v>412</v>
      </c>
    </row>
    <row r="16" spans="1:8" x14ac:dyDescent="0.3">
      <c r="C16" s="6" t="s">
        <v>530</v>
      </c>
      <c r="D16" s="6" t="s">
        <v>439</v>
      </c>
    </row>
    <row r="17" spans="3:4" x14ac:dyDescent="0.3">
      <c r="C17" s="6" t="s">
        <v>531</v>
      </c>
      <c r="D17" s="6" t="s">
        <v>532</v>
      </c>
    </row>
    <row r="18" spans="3:4" x14ac:dyDescent="0.3">
      <c r="C18" s="6" t="s">
        <v>533</v>
      </c>
      <c r="D18" s="6" t="s">
        <v>534</v>
      </c>
    </row>
    <row r="19" spans="3:4" x14ac:dyDescent="0.3">
      <c r="C19" s="6" t="s">
        <v>535</v>
      </c>
      <c r="D19" s="6" t="s">
        <v>536</v>
      </c>
    </row>
    <row r="20" spans="3:4" x14ac:dyDescent="0.3">
      <c r="C20" s="6" t="s">
        <v>537</v>
      </c>
      <c r="D20" s="6" t="s">
        <v>538</v>
      </c>
    </row>
    <row r="21" spans="3:4" x14ac:dyDescent="0.3">
      <c r="C21" s="6" t="s">
        <v>539</v>
      </c>
    </row>
    <row r="22" spans="3:4" x14ac:dyDescent="0.3">
      <c r="C22" s="6" t="s">
        <v>540</v>
      </c>
    </row>
    <row r="23" spans="3:4" x14ac:dyDescent="0.3">
      <c r="C23" s="6" t="s">
        <v>541</v>
      </c>
    </row>
    <row r="24" spans="3:4" x14ac:dyDescent="0.3">
      <c r="C24" s="6" t="s">
        <v>542</v>
      </c>
    </row>
    <row r="25" spans="3:4" x14ac:dyDescent="0.3">
      <c r="C25" s="6" t="s">
        <v>543</v>
      </c>
    </row>
    <row r="26" spans="3:4" x14ac:dyDescent="0.3">
      <c r="C26" s="6" t="s">
        <v>544</v>
      </c>
    </row>
    <row r="27" spans="3:4" x14ac:dyDescent="0.3">
      <c r="C27" s="6" t="s">
        <v>545</v>
      </c>
    </row>
    <row r="28" spans="3:4" x14ac:dyDescent="0.3">
      <c r="C28" s="6" t="s">
        <v>546</v>
      </c>
    </row>
    <row r="29" spans="3:4" x14ac:dyDescent="0.3">
      <c r="C29" s="6" t="s">
        <v>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5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15" t="s">
        <v>547</v>
      </c>
      <c r="B1" s="15" t="s">
        <v>548</v>
      </c>
      <c r="C1" s="15" t="s">
        <v>549</v>
      </c>
      <c r="D1" s="15" t="s">
        <v>477</v>
      </c>
      <c r="E1" s="15" t="s">
        <v>478</v>
      </c>
      <c r="F1" s="15" t="s">
        <v>97</v>
      </c>
      <c r="G1" s="15" t="s">
        <v>550</v>
      </c>
      <c r="H1" s="15" t="s">
        <v>551</v>
      </c>
      <c r="I1" s="15" t="s">
        <v>552</v>
      </c>
    </row>
    <row r="2" spans="1:9" x14ac:dyDescent="0.3">
      <c r="A2" s="14" t="s">
        <v>37</v>
      </c>
      <c r="B2" s="14" t="s">
        <v>553</v>
      </c>
      <c r="C2" s="14" t="s">
        <v>96</v>
      </c>
      <c r="D2" s="14" t="s">
        <v>554</v>
      </c>
      <c r="E2" s="14" t="s">
        <v>555</v>
      </c>
      <c r="F2" s="14" t="s">
        <v>556</v>
      </c>
      <c r="G2" s="14"/>
      <c r="H2" s="14" t="s">
        <v>557</v>
      </c>
      <c r="I2" s="14" t="s">
        <v>558</v>
      </c>
    </row>
    <row r="3" spans="1:9" x14ac:dyDescent="0.3">
      <c r="A3" s="14" t="s">
        <v>37</v>
      </c>
      <c r="B3" s="14" t="s">
        <v>553</v>
      </c>
      <c r="C3" s="14" t="s">
        <v>97</v>
      </c>
      <c r="D3" s="14" t="s">
        <v>554</v>
      </c>
      <c r="E3" s="14" t="s">
        <v>555</v>
      </c>
      <c r="F3" s="14" t="s">
        <v>559</v>
      </c>
      <c r="G3" s="14"/>
      <c r="H3" s="14" t="s">
        <v>557</v>
      </c>
      <c r="I3" s="14"/>
    </row>
    <row r="4" spans="1:9" x14ac:dyDescent="0.3">
      <c r="A4" s="14" t="s">
        <v>37</v>
      </c>
      <c r="B4" s="14" t="s">
        <v>553</v>
      </c>
      <c r="C4" s="14" t="s">
        <v>98</v>
      </c>
      <c r="D4" s="14" t="s">
        <v>554</v>
      </c>
      <c r="E4" s="14" t="s">
        <v>555</v>
      </c>
      <c r="F4" s="14" t="s">
        <v>560</v>
      </c>
      <c r="G4" s="14"/>
      <c r="H4" s="14" t="s">
        <v>557</v>
      </c>
      <c r="I4" s="14"/>
    </row>
    <row r="5" spans="1:9" x14ac:dyDescent="0.3">
      <c r="A5" s="14" t="s">
        <v>37</v>
      </c>
      <c r="B5" s="14" t="s">
        <v>553</v>
      </c>
      <c r="C5" s="14" t="s">
        <v>14</v>
      </c>
      <c r="D5" s="14" t="s">
        <v>554</v>
      </c>
      <c r="E5" s="14" t="s">
        <v>555</v>
      </c>
      <c r="F5" s="14" t="s">
        <v>561</v>
      </c>
      <c r="G5" s="14" t="s">
        <v>562</v>
      </c>
      <c r="H5" s="14" t="s">
        <v>557</v>
      </c>
      <c r="I5" s="14"/>
    </row>
    <row r="6" spans="1:9" x14ac:dyDescent="0.3">
      <c r="A6" s="14" t="s">
        <v>39</v>
      </c>
      <c r="B6" s="14" t="s">
        <v>563</v>
      </c>
      <c r="C6" s="14" t="s">
        <v>130</v>
      </c>
      <c r="D6" s="14" t="s">
        <v>554</v>
      </c>
      <c r="E6" s="14" t="s">
        <v>555</v>
      </c>
      <c r="F6" s="14" t="s">
        <v>564</v>
      </c>
      <c r="G6" s="14"/>
      <c r="H6" s="14" t="s">
        <v>557</v>
      </c>
      <c r="I6" s="14" t="s">
        <v>558</v>
      </c>
    </row>
    <row r="7" spans="1:9" x14ac:dyDescent="0.3">
      <c r="A7" s="14" t="s">
        <v>39</v>
      </c>
      <c r="B7" s="14" t="s">
        <v>563</v>
      </c>
      <c r="C7" s="14" t="s">
        <v>131</v>
      </c>
      <c r="D7" s="14" t="s">
        <v>554</v>
      </c>
      <c r="E7" s="14" t="s">
        <v>555</v>
      </c>
      <c r="F7" s="14" t="s">
        <v>565</v>
      </c>
      <c r="G7" s="14"/>
      <c r="H7" s="14" t="s">
        <v>557</v>
      </c>
      <c r="I7" s="14"/>
    </row>
    <row r="8" spans="1:9" x14ac:dyDescent="0.3">
      <c r="A8" s="14" t="s">
        <v>39</v>
      </c>
      <c r="B8" s="14" t="s">
        <v>563</v>
      </c>
      <c r="C8" s="14" t="s">
        <v>132</v>
      </c>
      <c r="D8" s="14" t="s">
        <v>554</v>
      </c>
      <c r="E8" s="14" t="s">
        <v>555</v>
      </c>
      <c r="F8" s="14" t="s">
        <v>566</v>
      </c>
      <c r="G8" s="14"/>
      <c r="H8" s="14" t="s">
        <v>557</v>
      </c>
      <c r="I8" s="14"/>
    </row>
    <row r="9" spans="1:9" x14ac:dyDescent="0.3">
      <c r="A9" s="14" t="s">
        <v>39</v>
      </c>
      <c r="B9" s="14" t="s">
        <v>563</v>
      </c>
      <c r="C9" s="14" t="s">
        <v>133</v>
      </c>
      <c r="D9" s="14" t="s">
        <v>554</v>
      </c>
      <c r="E9" s="14" t="s">
        <v>555</v>
      </c>
      <c r="F9" s="14" t="s">
        <v>567</v>
      </c>
      <c r="G9" s="14"/>
      <c r="H9" s="14" t="s">
        <v>557</v>
      </c>
      <c r="I9" s="14"/>
    </row>
    <row r="10" spans="1:9" x14ac:dyDescent="0.3">
      <c r="A10" s="14" t="s">
        <v>39</v>
      </c>
      <c r="B10" s="14" t="s">
        <v>563</v>
      </c>
      <c r="C10" s="14" t="s">
        <v>98</v>
      </c>
      <c r="D10" s="14" t="s">
        <v>554</v>
      </c>
      <c r="E10" s="14" t="s">
        <v>555</v>
      </c>
      <c r="F10" s="14" t="s">
        <v>568</v>
      </c>
      <c r="G10" s="14"/>
      <c r="H10" s="14" t="s">
        <v>557</v>
      </c>
      <c r="I10" s="14"/>
    </row>
    <row r="11" spans="1:9" x14ac:dyDescent="0.3">
      <c r="A11" s="14" t="s">
        <v>39</v>
      </c>
      <c r="B11" s="14" t="s">
        <v>563</v>
      </c>
      <c r="C11" s="14" t="s">
        <v>134</v>
      </c>
      <c r="D11" s="14" t="s">
        <v>554</v>
      </c>
      <c r="E11" s="14" t="s">
        <v>555</v>
      </c>
      <c r="F11" s="14" t="s">
        <v>569</v>
      </c>
      <c r="G11" s="14" t="s">
        <v>570</v>
      </c>
      <c r="H11" s="14" t="s">
        <v>557</v>
      </c>
      <c r="I11" s="14"/>
    </row>
    <row r="12" spans="1:9" x14ac:dyDescent="0.3">
      <c r="A12" s="14" t="s">
        <v>39</v>
      </c>
      <c r="B12" s="14" t="s">
        <v>563</v>
      </c>
      <c r="C12" s="14" t="s">
        <v>14</v>
      </c>
      <c r="D12" s="14" t="s">
        <v>554</v>
      </c>
      <c r="E12" s="14" t="s">
        <v>555</v>
      </c>
      <c r="F12" s="14" t="s">
        <v>561</v>
      </c>
      <c r="G12" s="14" t="s">
        <v>562</v>
      </c>
      <c r="H12" s="14" t="s">
        <v>557</v>
      </c>
      <c r="I12" s="14"/>
    </row>
    <row r="13" spans="1:9" x14ac:dyDescent="0.3">
      <c r="A13" s="14" t="s">
        <v>39</v>
      </c>
      <c r="B13" s="14" t="s">
        <v>563</v>
      </c>
      <c r="C13" s="14" t="s">
        <v>135</v>
      </c>
      <c r="D13" s="14" t="s">
        <v>554</v>
      </c>
      <c r="E13" s="14" t="s">
        <v>555</v>
      </c>
      <c r="F13" s="14" t="s">
        <v>571</v>
      </c>
      <c r="G13" s="14"/>
      <c r="H13" s="14" t="s">
        <v>557</v>
      </c>
      <c r="I13" s="14"/>
    </row>
    <row r="14" spans="1:9" x14ac:dyDescent="0.3">
      <c r="A14" s="14" t="s">
        <v>39</v>
      </c>
      <c r="B14" s="14" t="s">
        <v>563</v>
      </c>
      <c r="C14" s="14" t="s">
        <v>136</v>
      </c>
      <c r="D14" s="14" t="s">
        <v>554</v>
      </c>
      <c r="E14" s="14" t="s">
        <v>572</v>
      </c>
      <c r="F14" s="14" t="s">
        <v>573</v>
      </c>
      <c r="G14" s="14"/>
      <c r="H14" s="14" t="s">
        <v>557</v>
      </c>
      <c r="I14" s="14"/>
    </row>
    <row r="15" spans="1:9" x14ac:dyDescent="0.3">
      <c r="A15" s="14" t="s">
        <v>41</v>
      </c>
      <c r="B15" s="14" t="s">
        <v>574</v>
      </c>
      <c r="C15" s="14" t="s">
        <v>130</v>
      </c>
      <c r="D15" s="14" t="s">
        <v>554</v>
      </c>
      <c r="E15" s="14" t="s">
        <v>555</v>
      </c>
      <c r="F15" s="14" t="s">
        <v>575</v>
      </c>
      <c r="G15" s="14"/>
      <c r="H15" s="14" t="s">
        <v>557</v>
      </c>
      <c r="I15" s="14" t="s">
        <v>558</v>
      </c>
    </row>
    <row r="16" spans="1:9" x14ac:dyDescent="0.3">
      <c r="A16" s="14" t="s">
        <v>41</v>
      </c>
      <c r="B16" s="14" t="s">
        <v>574</v>
      </c>
      <c r="C16" s="14" t="s">
        <v>221</v>
      </c>
      <c r="D16" s="14" t="s">
        <v>554</v>
      </c>
      <c r="E16" s="14" t="s">
        <v>555</v>
      </c>
      <c r="F16" s="14" t="s">
        <v>576</v>
      </c>
      <c r="G16" s="14"/>
      <c r="H16" s="14" t="s">
        <v>557</v>
      </c>
      <c r="I16" s="14"/>
    </row>
    <row r="17" spans="1:9" x14ac:dyDescent="0.3">
      <c r="A17" s="14" t="s">
        <v>41</v>
      </c>
      <c r="B17" s="14" t="s">
        <v>574</v>
      </c>
      <c r="C17" s="14" t="s">
        <v>222</v>
      </c>
      <c r="D17" s="14" t="s">
        <v>554</v>
      </c>
      <c r="E17" s="14" t="s">
        <v>555</v>
      </c>
      <c r="F17" s="14" t="s">
        <v>577</v>
      </c>
      <c r="G17" s="14"/>
      <c r="H17" s="14" t="s">
        <v>557</v>
      </c>
      <c r="I17" s="14"/>
    </row>
    <row r="18" spans="1:9" x14ac:dyDescent="0.3">
      <c r="A18" s="14" t="s">
        <v>41</v>
      </c>
      <c r="B18" s="14" t="s">
        <v>574</v>
      </c>
      <c r="C18" s="14" t="s">
        <v>223</v>
      </c>
      <c r="D18" s="14" t="s">
        <v>554</v>
      </c>
      <c r="E18" s="14" t="s">
        <v>555</v>
      </c>
      <c r="F18" s="14" t="s">
        <v>578</v>
      </c>
      <c r="G18" s="14"/>
      <c r="H18" s="14" t="s">
        <v>557</v>
      </c>
      <c r="I18" s="14"/>
    </row>
    <row r="19" spans="1:9" x14ac:dyDescent="0.3">
      <c r="A19" s="14" t="s">
        <v>41</v>
      </c>
      <c r="B19" s="14" t="s">
        <v>574</v>
      </c>
      <c r="C19" s="14" t="s">
        <v>224</v>
      </c>
      <c r="D19" s="14" t="s">
        <v>554</v>
      </c>
      <c r="E19" s="14" t="s">
        <v>555</v>
      </c>
      <c r="F19" s="14" t="s">
        <v>579</v>
      </c>
      <c r="G19" s="14"/>
      <c r="H19" s="14" t="s">
        <v>557</v>
      </c>
      <c r="I19" s="14"/>
    </row>
    <row r="20" spans="1:9" x14ac:dyDescent="0.3">
      <c r="A20" s="14" t="s">
        <v>43</v>
      </c>
      <c r="B20" s="14" t="s">
        <v>580</v>
      </c>
      <c r="C20" s="14" t="s">
        <v>267</v>
      </c>
      <c r="D20" s="14" t="s">
        <v>554</v>
      </c>
      <c r="E20" s="14" t="s">
        <v>555</v>
      </c>
      <c r="F20" s="14" t="s">
        <v>581</v>
      </c>
      <c r="G20" s="14" t="s">
        <v>582</v>
      </c>
      <c r="H20" s="14" t="s">
        <v>557</v>
      </c>
      <c r="I20" s="14" t="s">
        <v>558</v>
      </c>
    </row>
    <row r="21" spans="1:9" x14ac:dyDescent="0.3">
      <c r="A21" s="14" t="s">
        <v>43</v>
      </c>
      <c r="B21" s="14" t="s">
        <v>580</v>
      </c>
      <c r="C21" s="14" t="s">
        <v>268</v>
      </c>
      <c r="D21" s="14" t="s">
        <v>554</v>
      </c>
      <c r="E21" s="14" t="s">
        <v>555</v>
      </c>
      <c r="F21" s="14" t="s">
        <v>583</v>
      </c>
      <c r="G21" s="14"/>
      <c r="H21" s="14" t="s">
        <v>557</v>
      </c>
      <c r="I21" s="14"/>
    </row>
    <row r="22" spans="1:9" x14ac:dyDescent="0.3">
      <c r="A22" s="14" t="s">
        <v>43</v>
      </c>
      <c r="B22" s="14" t="s">
        <v>580</v>
      </c>
      <c r="C22" s="14" t="s">
        <v>269</v>
      </c>
      <c r="D22" s="14" t="s">
        <v>554</v>
      </c>
      <c r="E22" s="14" t="s">
        <v>555</v>
      </c>
      <c r="F22" s="14" t="s">
        <v>584</v>
      </c>
      <c r="G22" s="14"/>
      <c r="H22" s="14" t="s">
        <v>557</v>
      </c>
      <c r="I22" s="14"/>
    </row>
    <row r="23" spans="1:9" x14ac:dyDescent="0.3">
      <c r="A23" s="14" t="s">
        <v>43</v>
      </c>
      <c r="B23" s="14" t="s">
        <v>580</v>
      </c>
      <c r="C23" s="14" t="s">
        <v>270</v>
      </c>
      <c r="D23" s="14" t="s">
        <v>554</v>
      </c>
      <c r="E23" s="14" t="s">
        <v>555</v>
      </c>
      <c r="F23" s="14" t="s">
        <v>585</v>
      </c>
      <c r="G23" s="14" t="s">
        <v>586</v>
      </c>
      <c r="H23" s="14" t="s">
        <v>587</v>
      </c>
      <c r="I23" s="14"/>
    </row>
    <row r="24" spans="1:9" x14ac:dyDescent="0.3">
      <c r="A24" s="14" t="s">
        <v>43</v>
      </c>
      <c r="B24" s="14" t="s">
        <v>580</v>
      </c>
      <c r="C24" s="14" t="s">
        <v>271</v>
      </c>
      <c r="D24" s="14" t="s">
        <v>554</v>
      </c>
      <c r="E24" s="14" t="s">
        <v>555</v>
      </c>
      <c r="F24" s="14" t="s">
        <v>588</v>
      </c>
      <c r="G24" s="14" t="s">
        <v>586</v>
      </c>
      <c r="H24" s="14" t="s">
        <v>587</v>
      </c>
      <c r="I24" s="14"/>
    </row>
    <row r="25" spans="1:9" x14ac:dyDescent="0.3">
      <c r="A25" s="14" t="s">
        <v>43</v>
      </c>
      <c r="B25" s="14" t="s">
        <v>580</v>
      </c>
      <c r="C25" s="14" t="s">
        <v>272</v>
      </c>
      <c r="D25" s="14" t="s">
        <v>554</v>
      </c>
      <c r="E25" s="14" t="s">
        <v>555</v>
      </c>
      <c r="F25" s="14" t="s">
        <v>589</v>
      </c>
      <c r="G25" s="14" t="s">
        <v>586</v>
      </c>
      <c r="H25" s="14" t="s">
        <v>587</v>
      </c>
      <c r="I25" s="14"/>
    </row>
    <row r="26" spans="1:9" x14ac:dyDescent="0.3">
      <c r="A26" s="14" t="s">
        <v>43</v>
      </c>
      <c r="B26" s="14" t="s">
        <v>580</v>
      </c>
      <c r="C26" s="14" t="s">
        <v>273</v>
      </c>
      <c r="D26" s="14" t="s">
        <v>554</v>
      </c>
      <c r="E26" s="14" t="s">
        <v>555</v>
      </c>
      <c r="F26" s="14" t="s">
        <v>590</v>
      </c>
      <c r="G26" s="14" t="s">
        <v>586</v>
      </c>
      <c r="H26" s="14" t="s">
        <v>587</v>
      </c>
      <c r="I26" s="14"/>
    </row>
    <row r="27" spans="1:9" x14ac:dyDescent="0.3">
      <c r="A27" s="14" t="s">
        <v>43</v>
      </c>
      <c r="B27" s="14" t="s">
        <v>580</v>
      </c>
      <c r="C27" s="14" t="s">
        <v>274</v>
      </c>
      <c r="D27" s="14" t="s">
        <v>554</v>
      </c>
      <c r="E27" s="14" t="s">
        <v>555</v>
      </c>
      <c r="F27" s="14" t="s">
        <v>591</v>
      </c>
      <c r="G27" s="14" t="s">
        <v>586</v>
      </c>
      <c r="H27" s="14" t="s">
        <v>587</v>
      </c>
      <c r="I27" s="14"/>
    </row>
    <row r="28" spans="1:9" x14ac:dyDescent="0.3">
      <c r="A28" s="14" t="s">
        <v>43</v>
      </c>
      <c r="B28" s="14" t="s">
        <v>580</v>
      </c>
      <c r="C28" s="14" t="s">
        <v>275</v>
      </c>
      <c r="D28" s="14" t="s">
        <v>554</v>
      </c>
      <c r="E28" s="14" t="s">
        <v>555</v>
      </c>
      <c r="F28" s="14" t="s">
        <v>592</v>
      </c>
      <c r="G28" s="14" t="s">
        <v>586</v>
      </c>
      <c r="H28" s="14" t="s">
        <v>587</v>
      </c>
      <c r="I28" s="14"/>
    </row>
    <row r="29" spans="1:9" x14ac:dyDescent="0.3">
      <c r="A29" s="14" t="s">
        <v>43</v>
      </c>
      <c r="B29" s="14" t="s">
        <v>580</v>
      </c>
      <c r="C29" s="14" t="s">
        <v>276</v>
      </c>
      <c r="D29" s="14" t="s">
        <v>554</v>
      </c>
      <c r="E29" s="14" t="s">
        <v>555</v>
      </c>
      <c r="F29" s="14" t="s">
        <v>593</v>
      </c>
      <c r="G29" s="14" t="s">
        <v>586</v>
      </c>
      <c r="H29" s="14" t="s">
        <v>587</v>
      </c>
      <c r="I29" s="14"/>
    </row>
    <row r="30" spans="1:9" x14ac:dyDescent="0.3">
      <c r="A30" s="14" t="s">
        <v>43</v>
      </c>
      <c r="B30" s="14" t="s">
        <v>580</v>
      </c>
      <c r="C30" s="14" t="s">
        <v>277</v>
      </c>
      <c r="D30" s="14" t="s">
        <v>554</v>
      </c>
      <c r="E30" s="14" t="s">
        <v>555</v>
      </c>
      <c r="F30" s="14" t="s">
        <v>594</v>
      </c>
      <c r="G30" s="14" t="s">
        <v>586</v>
      </c>
      <c r="H30" s="14" t="s">
        <v>587</v>
      </c>
      <c r="I30" s="14"/>
    </row>
    <row r="31" spans="1:9" x14ac:dyDescent="0.3">
      <c r="A31" s="14" t="s">
        <v>43</v>
      </c>
      <c r="B31" s="14" t="s">
        <v>580</v>
      </c>
      <c r="C31" s="14" t="s">
        <v>278</v>
      </c>
      <c r="D31" s="14" t="s">
        <v>554</v>
      </c>
      <c r="E31" s="14" t="s">
        <v>555</v>
      </c>
      <c r="F31" s="14" t="s">
        <v>595</v>
      </c>
      <c r="G31" s="14" t="s">
        <v>586</v>
      </c>
      <c r="H31" s="14" t="s">
        <v>587</v>
      </c>
      <c r="I31" s="14"/>
    </row>
    <row r="32" spans="1:9" x14ac:dyDescent="0.3">
      <c r="A32" s="14" t="s">
        <v>43</v>
      </c>
      <c r="B32" s="14" t="s">
        <v>580</v>
      </c>
      <c r="C32" s="14" t="s">
        <v>279</v>
      </c>
      <c r="D32" s="14" t="s">
        <v>554</v>
      </c>
      <c r="E32" s="14" t="s">
        <v>555</v>
      </c>
      <c r="F32" s="14" t="s">
        <v>596</v>
      </c>
      <c r="G32" s="14" t="s">
        <v>586</v>
      </c>
      <c r="H32" s="14" t="s">
        <v>587</v>
      </c>
      <c r="I32" s="14"/>
    </row>
    <row r="33" spans="1:9" x14ac:dyDescent="0.3">
      <c r="A33" s="14" t="s">
        <v>43</v>
      </c>
      <c r="B33" s="14" t="s">
        <v>580</v>
      </c>
      <c r="C33" s="14" t="s">
        <v>280</v>
      </c>
      <c r="D33" s="14" t="s">
        <v>554</v>
      </c>
      <c r="E33" s="14" t="s">
        <v>555</v>
      </c>
      <c r="F33" s="14" t="s">
        <v>597</v>
      </c>
      <c r="G33" s="14" t="s">
        <v>586</v>
      </c>
      <c r="H33" s="14" t="s">
        <v>587</v>
      </c>
      <c r="I33" s="14"/>
    </row>
    <row r="34" spans="1:9" x14ac:dyDescent="0.3">
      <c r="A34" s="14" t="s">
        <v>43</v>
      </c>
      <c r="B34" s="14" t="s">
        <v>580</v>
      </c>
      <c r="C34" s="14" t="s">
        <v>281</v>
      </c>
      <c r="D34" s="14" t="s">
        <v>554</v>
      </c>
      <c r="E34" s="14" t="s">
        <v>555</v>
      </c>
      <c r="F34" s="14" t="s">
        <v>598</v>
      </c>
      <c r="G34" s="14" t="s">
        <v>586</v>
      </c>
      <c r="H34" s="14" t="s">
        <v>587</v>
      </c>
      <c r="I34" s="14"/>
    </row>
    <row r="35" spans="1:9" x14ac:dyDescent="0.3">
      <c r="A35" s="14" t="s">
        <v>43</v>
      </c>
      <c r="B35" s="14" t="s">
        <v>580</v>
      </c>
      <c r="C35" s="14" t="s">
        <v>282</v>
      </c>
      <c r="D35" s="14" t="s">
        <v>554</v>
      </c>
      <c r="E35" s="14" t="s">
        <v>555</v>
      </c>
      <c r="F35" s="14" t="s">
        <v>599</v>
      </c>
      <c r="G35" s="14" t="s">
        <v>586</v>
      </c>
      <c r="H35" s="14" t="s">
        <v>587</v>
      </c>
      <c r="I35" s="14"/>
    </row>
    <row r="36" spans="1:9" x14ac:dyDescent="0.3">
      <c r="A36" s="14" t="s">
        <v>43</v>
      </c>
      <c r="B36" s="14" t="s">
        <v>580</v>
      </c>
      <c r="C36" s="14" t="s">
        <v>283</v>
      </c>
      <c r="D36" s="14" t="s">
        <v>554</v>
      </c>
      <c r="E36" s="14" t="s">
        <v>555</v>
      </c>
      <c r="F36" s="14" t="s">
        <v>600</v>
      </c>
      <c r="G36" s="14" t="s">
        <v>586</v>
      </c>
      <c r="H36" s="14" t="s">
        <v>587</v>
      </c>
      <c r="I36" s="14"/>
    </row>
    <row r="37" spans="1:9" x14ac:dyDescent="0.3">
      <c r="A37" s="14" t="s">
        <v>43</v>
      </c>
      <c r="B37" s="14" t="s">
        <v>580</v>
      </c>
      <c r="C37" s="14" t="s">
        <v>284</v>
      </c>
      <c r="D37" s="14" t="s">
        <v>554</v>
      </c>
      <c r="E37" s="14" t="s">
        <v>555</v>
      </c>
      <c r="F37" s="14" t="s">
        <v>601</v>
      </c>
      <c r="G37" s="14" t="s">
        <v>586</v>
      </c>
      <c r="H37" s="14" t="s">
        <v>587</v>
      </c>
      <c r="I37" s="14"/>
    </row>
    <row r="38" spans="1:9" x14ac:dyDescent="0.3">
      <c r="A38" s="14" t="s">
        <v>43</v>
      </c>
      <c r="B38" s="14" t="s">
        <v>580</v>
      </c>
      <c r="C38" s="14" t="s">
        <v>285</v>
      </c>
      <c r="D38" s="14" t="s">
        <v>554</v>
      </c>
      <c r="E38" s="14" t="s">
        <v>555</v>
      </c>
      <c r="F38" s="14" t="s">
        <v>602</v>
      </c>
      <c r="G38" s="14" t="s">
        <v>586</v>
      </c>
      <c r="H38" s="14" t="s">
        <v>587</v>
      </c>
      <c r="I38" s="14"/>
    </row>
    <row r="39" spans="1:9" x14ac:dyDescent="0.3">
      <c r="A39" s="14" t="s">
        <v>43</v>
      </c>
      <c r="B39" s="14" t="s">
        <v>580</v>
      </c>
      <c r="C39" s="14" t="s">
        <v>286</v>
      </c>
      <c r="D39" s="14" t="s">
        <v>554</v>
      </c>
      <c r="E39" s="14" t="s">
        <v>555</v>
      </c>
      <c r="F39" s="14" t="s">
        <v>603</v>
      </c>
      <c r="G39" s="14" t="s">
        <v>586</v>
      </c>
      <c r="H39" s="14" t="s">
        <v>587</v>
      </c>
      <c r="I39" s="14"/>
    </row>
    <row r="40" spans="1:9" x14ac:dyDescent="0.3">
      <c r="A40" s="14" t="s">
        <v>43</v>
      </c>
      <c r="B40" s="14" t="s">
        <v>580</v>
      </c>
      <c r="C40" s="14" t="s">
        <v>287</v>
      </c>
      <c r="D40" s="14" t="s">
        <v>554</v>
      </c>
      <c r="E40" s="14" t="s">
        <v>555</v>
      </c>
      <c r="F40" s="14" t="s">
        <v>604</v>
      </c>
      <c r="G40" s="14" t="s">
        <v>586</v>
      </c>
      <c r="H40" s="14" t="s">
        <v>587</v>
      </c>
      <c r="I40" s="14"/>
    </row>
    <row r="41" spans="1:9" x14ac:dyDescent="0.3">
      <c r="A41" s="14" t="s">
        <v>43</v>
      </c>
      <c r="B41" s="14" t="s">
        <v>580</v>
      </c>
      <c r="C41" s="14" t="s">
        <v>288</v>
      </c>
      <c r="D41" s="14" t="s">
        <v>554</v>
      </c>
      <c r="E41" s="14" t="s">
        <v>555</v>
      </c>
      <c r="F41" s="14" t="s">
        <v>605</v>
      </c>
      <c r="G41" s="14" t="s">
        <v>586</v>
      </c>
      <c r="H41" s="14" t="s">
        <v>587</v>
      </c>
      <c r="I41" s="14"/>
    </row>
    <row r="42" spans="1:9" x14ac:dyDescent="0.3">
      <c r="A42" s="14" t="s">
        <v>43</v>
      </c>
      <c r="B42" s="14" t="s">
        <v>580</v>
      </c>
      <c r="C42" s="14" t="s">
        <v>289</v>
      </c>
      <c r="D42" s="14" t="s">
        <v>554</v>
      </c>
      <c r="E42" s="14" t="s">
        <v>555</v>
      </c>
      <c r="F42" s="14" t="s">
        <v>606</v>
      </c>
      <c r="G42" s="14" t="s">
        <v>586</v>
      </c>
      <c r="H42" s="14" t="s">
        <v>587</v>
      </c>
      <c r="I42" s="14"/>
    </row>
    <row r="43" spans="1:9" x14ac:dyDescent="0.3">
      <c r="A43" s="14" t="s">
        <v>43</v>
      </c>
      <c r="B43" s="14" t="s">
        <v>580</v>
      </c>
      <c r="C43" s="14" t="s">
        <v>290</v>
      </c>
      <c r="D43" s="14" t="s">
        <v>554</v>
      </c>
      <c r="E43" s="14" t="s">
        <v>555</v>
      </c>
      <c r="F43" s="14" t="s">
        <v>607</v>
      </c>
      <c r="G43" s="14" t="s">
        <v>586</v>
      </c>
      <c r="H43" s="14" t="s">
        <v>587</v>
      </c>
      <c r="I43" s="14"/>
    </row>
    <row r="44" spans="1:9" x14ac:dyDescent="0.3">
      <c r="A44" s="14" t="s">
        <v>43</v>
      </c>
      <c r="B44" s="14" t="s">
        <v>580</v>
      </c>
      <c r="C44" s="14" t="s">
        <v>291</v>
      </c>
      <c r="D44" s="14" t="s">
        <v>608</v>
      </c>
      <c r="E44" s="14" t="s">
        <v>572</v>
      </c>
      <c r="F44" s="14" t="s">
        <v>609</v>
      </c>
      <c r="G44" s="14"/>
      <c r="H44" s="14" t="s">
        <v>557</v>
      </c>
      <c r="I44" s="14"/>
    </row>
    <row r="45" spans="1:9" x14ac:dyDescent="0.3">
      <c r="A45" s="14" t="s">
        <v>43</v>
      </c>
      <c r="B45" s="14" t="s">
        <v>580</v>
      </c>
      <c r="C45" s="14" t="s">
        <v>292</v>
      </c>
      <c r="D45" s="14" t="s">
        <v>554</v>
      </c>
      <c r="E45" s="14" t="s">
        <v>572</v>
      </c>
      <c r="F45" s="14" t="s">
        <v>610</v>
      </c>
      <c r="G45" s="14"/>
      <c r="H45" s="14" t="s">
        <v>557</v>
      </c>
      <c r="I45" s="14"/>
    </row>
    <row r="46" spans="1:9" x14ac:dyDescent="0.3">
      <c r="A46" s="14" t="s">
        <v>45</v>
      </c>
      <c r="B46" s="14" t="s">
        <v>611</v>
      </c>
      <c r="C46" s="14" t="s">
        <v>346</v>
      </c>
      <c r="D46" s="14" t="s">
        <v>554</v>
      </c>
      <c r="E46" s="14" t="s">
        <v>555</v>
      </c>
      <c r="F46" s="14" t="s">
        <v>612</v>
      </c>
      <c r="G46" s="14"/>
      <c r="H46" s="14" t="s">
        <v>557</v>
      </c>
      <c r="I46" s="14" t="s">
        <v>558</v>
      </c>
    </row>
    <row r="47" spans="1:9" x14ac:dyDescent="0.3">
      <c r="A47" s="14" t="s">
        <v>45</v>
      </c>
      <c r="B47" s="14" t="s">
        <v>611</v>
      </c>
      <c r="C47" s="14" t="s">
        <v>347</v>
      </c>
      <c r="D47" s="14" t="s">
        <v>554</v>
      </c>
      <c r="E47" s="14" t="s">
        <v>555</v>
      </c>
      <c r="F47" s="14" t="s">
        <v>613</v>
      </c>
      <c r="G47" s="14"/>
      <c r="H47" s="14" t="s">
        <v>557</v>
      </c>
      <c r="I47" s="14"/>
    </row>
    <row r="48" spans="1:9" x14ac:dyDescent="0.3">
      <c r="A48" s="14" t="s">
        <v>45</v>
      </c>
      <c r="B48" s="14" t="s">
        <v>611</v>
      </c>
      <c r="C48" s="14" t="s">
        <v>348</v>
      </c>
      <c r="D48" s="14" t="s">
        <v>554</v>
      </c>
      <c r="E48" s="14" t="s">
        <v>555</v>
      </c>
      <c r="F48" s="14" t="s">
        <v>614</v>
      </c>
      <c r="G48" s="14"/>
      <c r="H48" s="14" t="s">
        <v>557</v>
      </c>
      <c r="I48" s="14"/>
    </row>
    <row r="49" spans="1:9" x14ac:dyDescent="0.3">
      <c r="A49" s="14" t="s">
        <v>45</v>
      </c>
      <c r="B49" s="14" t="s">
        <v>611</v>
      </c>
      <c r="C49" s="14" t="s">
        <v>349</v>
      </c>
      <c r="D49" s="14" t="s">
        <v>615</v>
      </c>
      <c r="E49" s="14" t="s">
        <v>555</v>
      </c>
      <c r="F49" s="14" t="s">
        <v>616</v>
      </c>
      <c r="G49" s="14"/>
      <c r="H49" s="14" t="s">
        <v>557</v>
      </c>
      <c r="I49" s="14"/>
    </row>
    <row r="50" spans="1:9" x14ac:dyDescent="0.3">
      <c r="A50" s="14" t="s">
        <v>45</v>
      </c>
      <c r="B50" s="14" t="s">
        <v>611</v>
      </c>
      <c r="C50" s="14" t="s">
        <v>350</v>
      </c>
      <c r="D50" s="14" t="s">
        <v>615</v>
      </c>
      <c r="E50" s="14" t="s">
        <v>555</v>
      </c>
      <c r="F50" s="14" t="s">
        <v>617</v>
      </c>
      <c r="G50" s="14"/>
      <c r="H50" s="14" t="s">
        <v>557</v>
      </c>
      <c r="I50" s="14"/>
    </row>
    <row r="51" spans="1:9" x14ac:dyDescent="0.3">
      <c r="A51" s="14" t="s">
        <v>45</v>
      </c>
      <c r="B51" s="14" t="s">
        <v>611</v>
      </c>
      <c r="C51" s="14" t="s">
        <v>351</v>
      </c>
      <c r="D51" s="14" t="s">
        <v>615</v>
      </c>
      <c r="E51" s="14" t="s">
        <v>555</v>
      </c>
      <c r="F51" s="14" t="s">
        <v>618</v>
      </c>
      <c r="G51" s="14"/>
      <c r="H51" s="14" t="s">
        <v>557</v>
      </c>
      <c r="I51" s="14"/>
    </row>
    <row r="52" spans="1:9" x14ac:dyDescent="0.3">
      <c r="A52" s="14" t="s">
        <v>45</v>
      </c>
      <c r="B52" s="14" t="s">
        <v>611</v>
      </c>
      <c r="C52" s="14" t="s">
        <v>352</v>
      </c>
      <c r="D52" s="14" t="s">
        <v>615</v>
      </c>
      <c r="E52" s="14" t="s">
        <v>555</v>
      </c>
      <c r="F52" s="14" t="s">
        <v>619</v>
      </c>
      <c r="G52" s="14"/>
      <c r="H52" s="14" t="s">
        <v>557</v>
      </c>
      <c r="I52" s="14"/>
    </row>
    <row r="53" spans="1:9" x14ac:dyDescent="0.3">
      <c r="A53" s="14" t="s">
        <v>45</v>
      </c>
      <c r="B53" s="14" t="s">
        <v>611</v>
      </c>
      <c r="C53" s="14" t="s">
        <v>353</v>
      </c>
      <c r="D53" s="14" t="s">
        <v>615</v>
      </c>
      <c r="E53" s="14" t="s">
        <v>555</v>
      </c>
      <c r="F53" s="14" t="s">
        <v>620</v>
      </c>
      <c r="G53" s="14"/>
      <c r="H53" s="14" t="s">
        <v>557</v>
      </c>
      <c r="I53" s="14"/>
    </row>
    <row r="54" spans="1:9" x14ac:dyDescent="0.3">
      <c r="A54" s="14" t="s">
        <v>45</v>
      </c>
      <c r="B54" s="14" t="s">
        <v>611</v>
      </c>
      <c r="C54" s="14" t="s">
        <v>354</v>
      </c>
      <c r="D54" s="14" t="s">
        <v>615</v>
      </c>
      <c r="E54" s="14" t="s">
        <v>572</v>
      </c>
      <c r="F54" s="14" t="s">
        <v>621</v>
      </c>
      <c r="G54" s="14"/>
      <c r="H54" s="14" t="s">
        <v>557</v>
      </c>
      <c r="I54" s="14"/>
    </row>
    <row r="55" spans="1:9" x14ac:dyDescent="0.3">
      <c r="A55" s="14" t="s">
        <v>45</v>
      </c>
      <c r="B55" s="14" t="s">
        <v>611</v>
      </c>
      <c r="C55" s="14" t="s">
        <v>355</v>
      </c>
      <c r="D55" s="14" t="s">
        <v>615</v>
      </c>
      <c r="E55" s="14" t="s">
        <v>555</v>
      </c>
      <c r="F55" s="14" t="s">
        <v>622</v>
      </c>
      <c r="G55" s="14"/>
      <c r="H55" s="14" t="s">
        <v>557</v>
      </c>
      <c r="I55" s="14"/>
    </row>
    <row r="56" spans="1:9" x14ac:dyDescent="0.3">
      <c r="A56" s="14" t="s">
        <v>45</v>
      </c>
      <c r="B56" s="14" t="s">
        <v>611</v>
      </c>
      <c r="C56" s="14" t="s">
        <v>356</v>
      </c>
      <c r="D56" s="14" t="s">
        <v>615</v>
      </c>
      <c r="E56" s="14" t="s">
        <v>572</v>
      </c>
      <c r="F56" s="14" t="s">
        <v>623</v>
      </c>
      <c r="G56" s="14"/>
      <c r="H56" s="14" t="s">
        <v>557</v>
      </c>
      <c r="I56" s="14"/>
    </row>
    <row r="57" spans="1:9" x14ac:dyDescent="0.3">
      <c r="A57" s="14" t="s">
        <v>45</v>
      </c>
      <c r="B57" s="14" t="s">
        <v>611</v>
      </c>
      <c r="C57" s="14" t="s">
        <v>357</v>
      </c>
      <c r="D57" s="14" t="s">
        <v>554</v>
      </c>
      <c r="E57" s="14" t="s">
        <v>572</v>
      </c>
      <c r="F57" s="14" t="s">
        <v>624</v>
      </c>
      <c r="G57" s="14"/>
      <c r="H57" s="14" t="s">
        <v>557</v>
      </c>
      <c r="I57" s="14"/>
    </row>
    <row r="58" spans="1:9" x14ac:dyDescent="0.3">
      <c r="A58" s="14" t="s">
        <v>45</v>
      </c>
      <c r="B58" s="14" t="s">
        <v>611</v>
      </c>
      <c r="C58" s="14" t="s">
        <v>358</v>
      </c>
      <c r="D58" s="14" t="s">
        <v>554</v>
      </c>
      <c r="E58" s="14" t="s">
        <v>572</v>
      </c>
      <c r="F58" s="14" t="s">
        <v>625</v>
      </c>
      <c r="G58" s="14"/>
      <c r="H58" s="14" t="s">
        <v>557</v>
      </c>
      <c r="I58" s="14"/>
    </row>
    <row r="59" spans="1:9" x14ac:dyDescent="0.3">
      <c r="A59" s="14" t="s">
        <v>49</v>
      </c>
      <c r="B59" s="14" t="s">
        <v>626</v>
      </c>
      <c r="C59" s="14" t="s">
        <v>385</v>
      </c>
      <c r="D59" s="14" t="s">
        <v>554</v>
      </c>
      <c r="E59" s="14" t="s">
        <v>555</v>
      </c>
      <c r="F59" s="14" t="s">
        <v>627</v>
      </c>
      <c r="G59" s="14"/>
      <c r="H59" s="14" t="s">
        <v>557</v>
      </c>
      <c r="I59" s="14" t="s">
        <v>558</v>
      </c>
    </row>
    <row r="60" spans="1:9" ht="26.4" x14ac:dyDescent="0.3">
      <c r="A60" s="14" t="s">
        <v>49</v>
      </c>
      <c r="B60" s="14" t="s">
        <v>626</v>
      </c>
      <c r="C60" s="14" t="s">
        <v>386</v>
      </c>
      <c r="D60" s="14" t="s">
        <v>628</v>
      </c>
      <c r="E60" s="14" t="s">
        <v>555</v>
      </c>
      <c r="F60" s="14" t="s">
        <v>629</v>
      </c>
      <c r="G60" s="14"/>
      <c r="H60" s="14" t="s">
        <v>557</v>
      </c>
      <c r="I60" s="14"/>
    </row>
    <row r="61" spans="1:9" x14ac:dyDescent="0.3">
      <c r="A61" s="14" t="s">
        <v>49</v>
      </c>
      <c r="B61" s="14" t="s">
        <v>626</v>
      </c>
      <c r="C61" s="14" t="s">
        <v>387</v>
      </c>
      <c r="D61" s="14" t="s">
        <v>554</v>
      </c>
      <c r="E61" s="14" t="s">
        <v>555</v>
      </c>
      <c r="F61" s="14" t="s">
        <v>630</v>
      </c>
      <c r="G61" s="14" t="s">
        <v>570</v>
      </c>
      <c r="H61" s="14" t="s">
        <v>557</v>
      </c>
      <c r="I61" s="14"/>
    </row>
    <row r="62" spans="1:9" x14ac:dyDescent="0.3">
      <c r="A62" s="14" t="s">
        <v>49</v>
      </c>
      <c r="B62" s="14" t="s">
        <v>626</v>
      </c>
      <c r="C62" s="14" t="s">
        <v>388</v>
      </c>
      <c r="D62" s="14" t="s">
        <v>554</v>
      </c>
      <c r="E62" s="14" t="s">
        <v>555</v>
      </c>
      <c r="F62" s="14" t="s">
        <v>631</v>
      </c>
      <c r="G62" s="14" t="s">
        <v>632</v>
      </c>
      <c r="H62" s="14" t="s">
        <v>557</v>
      </c>
      <c r="I62" s="14"/>
    </row>
    <row r="63" spans="1:9" x14ac:dyDescent="0.3">
      <c r="A63" s="14" t="s">
        <v>49</v>
      </c>
      <c r="B63" s="14" t="s">
        <v>626</v>
      </c>
      <c r="C63" s="14" t="s">
        <v>389</v>
      </c>
      <c r="D63" s="14" t="s">
        <v>554</v>
      </c>
      <c r="E63" s="14" t="s">
        <v>555</v>
      </c>
      <c r="F63" s="14" t="s">
        <v>633</v>
      </c>
      <c r="G63" s="14"/>
      <c r="H63" s="14" t="s">
        <v>557</v>
      </c>
      <c r="I63" s="14"/>
    </row>
    <row r="64" spans="1:9" x14ac:dyDescent="0.3">
      <c r="A64" s="14" t="s">
        <v>49</v>
      </c>
      <c r="B64" s="14" t="s">
        <v>626</v>
      </c>
      <c r="C64" s="14" t="s">
        <v>390</v>
      </c>
      <c r="D64" s="14" t="s">
        <v>554</v>
      </c>
      <c r="E64" s="14" t="s">
        <v>555</v>
      </c>
      <c r="F64" s="14" t="s">
        <v>634</v>
      </c>
      <c r="G64" s="14"/>
      <c r="H64" s="14" t="s">
        <v>557</v>
      </c>
      <c r="I64" s="14"/>
    </row>
    <row r="65" spans="1:9" x14ac:dyDescent="0.3">
      <c r="A65" s="14" t="s">
        <v>49</v>
      </c>
      <c r="B65" s="14" t="s">
        <v>626</v>
      </c>
      <c r="C65" s="14" t="s">
        <v>391</v>
      </c>
      <c r="D65" s="14" t="s">
        <v>554</v>
      </c>
      <c r="E65" s="14" t="s">
        <v>555</v>
      </c>
      <c r="F65" s="14" t="s">
        <v>635</v>
      </c>
      <c r="G65" s="14"/>
      <c r="H65" s="14" t="s">
        <v>557</v>
      </c>
      <c r="I65" s="14"/>
    </row>
    <row r="66" spans="1:9" x14ac:dyDescent="0.3">
      <c r="A66" s="14" t="s">
        <v>49</v>
      </c>
      <c r="B66" s="14" t="s">
        <v>626</v>
      </c>
      <c r="C66" s="14" t="s">
        <v>392</v>
      </c>
      <c r="D66" s="14" t="s">
        <v>554</v>
      </c>
      <c r="E66" s="14" t="s">
        <v>555</v>
      </c>
      <c r="F66" s="14" t="s">
        <v>636</v>
      </c>
      <c r="G66" s="14"/>
      <c r="H66" s="14" t="s">
        <v>587</v>
      </c>
      <c r="I66" s="14"/>
    </row>
    <row r="67" spans="1:9" x14ac:dyDescent="0.3">
      <c r="A67" s="14" t="s">
        <v>51</v>
      </c>
      <c r="B67" s="14" t="s">
        <v>637</v>
      </c>
      <c r="C67" s="14" t="s">
        <v>476</v>
      </c>
      <c r="D67" s="14" t="s">
        <v>554</v>
      </c>
      <c r="E67" s="14" t="s">
        <v>555</v>
      </c>
      <c r="F67" s="14" t="s">
        <v>638</v>
      </c>
      <c r="G67" s="14"/>
      <c r="H67" s="14" t="s">
        <v>557</v>
      </c>
      <c r="I67" s="14" t="s">
        <v>558</v>
      </c>
    </row>
    <row r="68" spans="1:9" ht="26.4" x14ac:dyDescent="0.3">
      <c r="A68" s="14" t="s">
        <v>51</v>
      </c>
      <c r="B68" s="14" t="s">
        <v>637</v>
      </c>
      <c r="C68" s="14" t="s">
        <v>386</v>
      </c>
      <c r="D68" s="14" t="s">
        <v>628</v>
      </c>
      <c r="E68" s="14" t="s">
        <v>555</v>
      </c>
      <c r="F68" s="14" t="s">
        <v>639</v>
      </c>
      <c r="G68" s="14"/>
      <c r="H68" s="14" t="s">
        <v>557</v>
      </c>
      <c r="I68" s="14"/>
    </row>
    <row r="69" spans="1:9" x14ac:dyDescent="0.3">
      <c r="A69" s="14" t="s">
        <v>51</v>
      </c>
      <c r="B69" s="14" t="s">
        <v>637</v>
      </c>
      <c r="C69" s="14" t="s">
        <v>477</v>
      </c>
      <c r="D69" s="14" t="s">
        <v>554</v>
      </c>
      <c r="E69" s="14" t="s">
        <v>555</v>
      </c>
      <c r="F69" s="14" t="s">
        <v>640</v>
      </c>
      <c r="G69" s="14" t="s">
        <v>641</v>
      </c>
      <c r="H69" s="14" t="s">
        <v>557</v>
      </c>
      <c r="I69" s="14"/>
    </row>
    <row r="70" spans="1:9" x14ac:dyDescent="0.3">
      <c r="A70" s="14" t="s">
        <v>51</v>
      </c>
      <c r="B70" s="14" t="s">
        <v>637</v>
      </c>
      <c r="C70" s="14" t="s">
        <v>97</v>
      </c>
      <c r="D70" s="14" t="s">
        <v>554</v>
      </c>
      <c r="E70" s="14" t="s">
        <v>555</v>
      </c>
      <c r="F70" s="14" t="s">
        <v>642</v>
      </c>
      <c r="G70" s="14"/>
      <c r="H70" s="14" t="s">
        <v>557</v>
      </c>
      <c r="I70" s="14"/>
    </row>
    <row r="71" spans="1:9" x14ac:dyDescent="0.3">
      <c r="A71" s="14" t="s">
        <v>51</v>
      </c>
      <c r="B71" s="14" t="s">
        <v>637</v>
      </c>
      <c r="C71" s="14" t="s">
        <v>478</v>
      </c>
      <c r="D71" s="14" t="s">
        <v>554</v>
      </c>
      <c r="E71" s="14" t="s">
        <v>555</v>
      </c>
      <c r="F71" s="14" t="s">
        <v>643</v>
      </c>
      <c r="G71" s="14"/>
      <c r="H71" s="14" t="s">
        <v>557</v>
      </c>
      <c r="I71" s="14"/>
    </row>
    <row r="72" spans="1:9" x14ac:dyDescent="0.3">
      <c r="A72" s="14" t="s">
        <v>51</v>
      </c>
      <c r="B72" s="14" t="s">
        <v>637</v>
      </c>
      <c r="C72" s="14" t="s">
        <v>479</v>
      </c>
      <c r="D72" s="14" t="s">
        <v>554</v>
      </c>
      <c r="E72" s="14" t="s">
        <v>555</v>
      </c>
      <c r="F72" s="14" t="s">
        <v>644</v>
      </c>
      <c r="G72" s="14"/>
      <c r="H72" s="14" t="s">
        <v>557</v>
      </c>
      <c r="I72" s="14"/>
    </row>
    <row r="73" spans="1:9" x14ac:dyDescent="0.3">
      <c r="A73" s="14" t="s">
        <v>51</v>
      </c>
      <c r="B73" s="14" t="s">
        <v>637</v>
      </c>
      <c r="C73" s="14" t="s">
        <v>480</v>
      </c>
      <c r="D73" s="14" t="s">
        <v>554</v>
      </c>
      <c r="E73" s="14" t="s">
        <v>555</v>
      </c>
      <c r="F73" s="14" t="s">
        <v>645</v>
      </c>
      <c r="G73" s="14"/>
      <c r="H73" s="14" t="s">
        <v>557</v>
      </c>
      <c r="I73" s="14"/>
    </row>
    <row r="74" spans="1:9" x14ac:dyDescent="0.3">
      <c r="A74" s="14" t="s">
        <v>51</v>
      </c>
      <c r="B74" s="14" t="s">
        <v>637</v>
      </c>
      <c r="C74" s="14" t="s">
        <v>14</v>
      </c>
      <c r="D74" s="14" t="s">
        <v>554</v>
      </c>
      <c r="E74" s="14" t="s">
        <v>555</v>
      </c>
      <c r="F74" s="14" t="s">
        <v>646</v>
      </c>
      <c r="G74" s="14" t="s">
        <v>647</v>
      </c>
      <c r="H74" s="14" t="s">
        <v>557</v>
      </c>
      <c r="I74" s="14"/>
    </row>
    <row r="75" spans="1:9" x14ac:dyDescent="0.3">
      <c r="A75" s="14" t="s">
        <v>51</v>
      </c>
      <c r="B75" s="14" t="s">
        <v>637</v>
      </c>
      <c r="C75" s="14" t="s">
        <v>481</v>
      </c>
      <c r="D75" s="14" t="s">
        <v>608</v>
      </c>
      <c r="E75" s="14" t="s">
        <v>572</v>
      </c>
      <c r="F75" s="14" t="s">
        <v>648</v>
      </c>
      <c r="G75" s="14"/>
      <c r="H75" s="14" t="s">
        <v>557</v>
      </c>
      <c r="I75" s="1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16</vt:i4>
      </vt:variant>
    </vt:vector>
  </HeadingPairs>
  <TitlesOfParts>
    <vt:vector size="28" baseType="lpstr">
      <vt:lpstr>00_LEIA-ME</vt:lpstr>
      <vt:lpstr>Politica_Qualidade</vt:lpstr>
      <vt:lpstr>Verificacao_Politica</vt:lpstr>
      <vt:lpstr>Lideranca_Compromisso</vt:lpstr>
      <vt:lpstr>Funcoes_Autoridades</vt:lpstr>
      <vt:lpstr>Matriz_RACI</vt:lpstr>
      <vt:lpstr>Cultura_Qualidade</vt:lpstr>
      <vt:lpstr>Respondentes</vt:lpstr>
      <vt:lpstr>Gemba_Walks</vt:lpstr>
      <vt:lpstr>Relatos_Integridade</vt:lpstr>
      <vt:lpstr>Listas</vt:lpstr>
      <vt:lpstr>Dicionario_Dados</vt:lpstr>
      <vt:lpstr>DataRef</vt:lpstr>
      <vt:lpstr>lst_Area</vt:lpstr>
      <vt:lpstr>lst_DataReferencia</vt:lpstr>
      <vt:lpstr>lst_Estado</vt:lpstr>
      <vt:lpstr>lst_EstadoRel</vt:lpstr>
      <vt:lpstr>lst_Funcao</vt:lpstr>
      <vt:lpstr>lst_Processo</vt:lpstr>
      <vt:lpstr>lst_RACI</vt:lpstr>
      <vt:lpstr>lst_TipoRelato</vt:lpstr>
      <vt:lpstr>Cultura_Qualidade!Títulos_de_Impressão</vt:lpstr>
      <vt:lpstr>Funcoes_Autoridades!Títulos_de_Impressão</vt:lpstr>
      <vt:lpstr>Gemba_Walks!Títulos_de_Impressão</vt:lpstr>
      <vt:lpstr>Lideranca_Compromisso!Títulos_de_Impressão</vt:lpstr>
      <vt:lpstr>Matriz_RACI!Títulos_de_Impressão</vt:lpstr>
      <vt:lpstr>Relatos_Integridade!Títulos_de_Impressão</vt:lpstr>
      <vt:lpstr>Verificacao_Politica!Títulos_de_Impressão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RG-SGQ-03 Liderança, Política da Qualidade, Funções e Cultura da Qualidade</dc:title>
  <dc:subject>SGQ NP EN ISO 9001:2026 — Plasticom</dc:subject>
  <dc:creator>Gerente da Qualidade</dc:creator>
  <cp:lastModifiedBy>Aline Meireles</cp:lastModifiedBy>
  <dcterms:created xsi:type="dcterms:W3CDTF">2026-09-30T16:46:42Z</dcterms:created>
  <dcterms:modified xsi:type="dcterms:W3CDTF">2026-09-30T16:47:11Z</dcterms:modified>
</cp:coreProperties>
</file>