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I_Sistema-de-gestao-da-qualidade\Registos_SGQ_Plasticom\"/>
    </mc:Choice>
  </mc:AlternateContent>
  <xr:revisionPtr revIDLastSave="0" documentId="13_ncr:1_{2E69436D-D177-43D1-81ED-BF9308C6D3D8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Auditores" sheetId="2" r:id="rId2"/>
    <sheet name="Priorizacao_Risco" sheetId="3" r:id="rId3"/>
    <sheet name="Programa_Auditorias" sheetId="4" r:id="rId4"/>
    <sheet name="Riscos_Programa" sheetId="5" r:id="rId5"/>
    <sheet name="Checklist_Auditorias" sheetId="6" r:id="rId6"/>
    <sheet name="Constatacoes" sheetId="7" r:id="rId7"/>
    <sheet name="Avaliacao_Programa" sheetId="8" r:id="rId8"/>
    <sheet name="Listas" sheetId="9" r:id="rId9"/>
    <sheet name="Dicionario_Dados" sheetId="10" r:id="rId10"/>
  </sheets>
  <definedNames>
    <definedName name="DataRef">Listas!$A$3</definedName>
    <definedName name="lst_DataReferencia">Listas!$A$3:$A$3</definedName>
    <definedName name="lst_EstadoAud">Listas!$D$3:$D$6</definedName>
    <definedName name="lst_EstadoConst">Listas!$F$3:$F$5</definedName>
    <definedName name="lst_Metodo">Listas!$C$3:$C$6</definedName>
    <definedName name="lst_Processo">Listas!$B$3:$B$21</definedName>
    <definedName name="lst_ResChk">Listas!$G$3:$G$6</definedName>
    <definedName name="lst_RO">Listas!$H$3:$H$4</definedName>
    <definedName name="lst_SimNao">Listas!$I$3:$I$4</definedName>
    <definedName name="lst_TipoConst">Listas!$E$3:$E$7</definedName>
    <definedName name="_xlnm.Print_Titles" localSheetId="1">Auditores!$4:$4</definedName>
    <definedName name="_xlnm.Print_Titles" localSheetId="5">Checklist_Auditorias!$1:$1</definedName>
    <definedName name="_xlnm.Print_Titles" localSheetId="6">Constatacoes!$4:$4</definedName>
    <definedName name="_xlnm.Print_Titles" localSheetId="2">Priorizacao_Risco!$4:$4</definedName>
    <definedName name="_xlnm.Print_Titles" localSheetId="3">Programa_Auditorias!$4:$4</definedName>
    <definedName name="_xlnm.Print_Titles" localSheetId="4">Riscos_Programa!$1:$1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10" i="8"/>
  <c r="B9" i="8"/>
  <c r="B8" i="8"/>
  <c r="B7" i="8"/>
  <c r="B5" i="8"/>
  <c r="B4" i="8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L13" i="4"/>
  <c r="K13" i="4"/>
  <c r="J13" i="4"/>
  <c r="K12" i="4"/>
  <c r="J12" i="4"/>
  <c r="L12" i="4" s="1"/>
  <c r="K11" i="4"/>
  <c r="J11" i="4"/>
  <c r="L11" i="4" s="1"/>
  <c r="K10" i="4"/>
  <c r="J10" i="4"/>
  <c r="L10" i="4" s="1"/>
  <c r="K9" i="4"/>
  <c r="J9" i="4"/>
  <c r="L9" i="4" s="1"/>
  <c r="L8" i="4"/>
  <c r="K8" i="4"/>
  <c r="J8" i="4"/>
  <c r="K7" i="4"/>
  <c r="J7" i="4"/>
  <c r="L7" i="4" s="1"/>
  <c r="K6" i="4"/>
  <c r="J6" i="4"/>
  <c r="L6" i="4" s="1"/>
  <c r="K5" i="4"/>
  <c r="J5" i="4"/>
  <c r="L5" i="4" s="1"/>
  <c r="P22" i="3"/>
  <c r="L22" i="3"/>
  <c r="K22" i="3"/>
  <c r="J22" i="3"/>
  <c r="M22" i="3" s="1"/>
  <c r="N22" i="3" s="1"/>
  <c r="O22" i="3" s="1"/>
  <c r="Q22" i="3" s="1"/>
  <c r="P21" i="3"/>
  <c r="M21" i="3"/>
  <c r="N21" i="3" s="1"/>
  <c r="O21" i="3" s="1"/>
  <c r="Q21" i="3" s="1"/>
  <c r="L21" i="3"/>
  <c r="K21" i="3"/>
  <c r="J21" i="3"/>
  <c r="P20" i="3"/>
  <c r="L20" i="3"/>
  <c r="K20" i="3"/>
  <c r="J20" i="3"/>
  <c r="M20" i="3" s="1"/>
  <c r="N20" i="3" s="1"/>
  <c r="O20" i="3" s="1"/>
  <c r="Q20" i="3" s="1"/>
  <c r="P19" i="3"/>
  <c r="L19" i="3"/>
  <c r="K19" i="3"/>
  <c r="J19" i="3"/>
  <c r="M19" i="3" s="1"/>
  <c r="N19" i="3" s="1"/>
  <c r="O19" i="3" s="1"/>
  <c r="Q19" i="3" s="1"/>
  <c r="P18" i="3"/>
  <c r="L18" i="3"/>
  <c r="K18" i="3"/>
  <c r="J18" i="3"/>
  <c r="P17" i="3"/>
  <c r="L17" i="3"/>
  <c r="K17" i="3"/>
  <c r="J17" i="3"/>
  <c r="P16" i="3"/>
  <c r="L16" i="3"/>
  <c r="K16" i="3"/>
  <c r="J16" i="3"/>
  <c r="P15" i="3"/>
  <c r="L15" i="3"/>
  <c r="K15" i="3"/>
  <c r="J15" i="3"/>
  <c r="P14" i="3"/>
  <c r="L14" i="3"/>
  <c r="K14" i="3"/>
  <c r="J14" i="3"/>
  <c r="P13" i="3"/>
  <c r="L13" i="3"/>
  <c r="K13" i="3"/>
  <c r="J13" i="3"/>
  <c r="P12" i="3"/>
  <c r="L12" i="3"/>
  <c r="K12" i="3"/>
  <c r="J12" i="3"/>
  <c r="P11" i="3"/>
  <c r="L11" i="3"/>
  <c r="K11" i="3"/>
  <c r="J11" i="3"/>
  <c r="P10" i="3"/>
  <c r="L10" i="3"/>
  <c r="K10" i="3"/>
  <c r="J10" i="3"/>
  <c r="P9" i="3"/>
  <c r="L9" i="3"/>
  <c r="K9" i="3"/>
  <c r="J9" i="3"/>
  <c r="P8" i="3"/>
  <c r="L8" i="3"/>
  <c r="K8" i="3"/>
  <c r="J8" i="3"/>
  <c r="P7" i="3"/>
  <c r="L7" i="3"/>
  <c r="K7" i="3"/>
  <c r="J7" i="3"/>
  <c r="P6" i="3"/>
  <c r="L6" i="3"/>
  <c r="K6" i="3"/>
  <c r="J6" i="3"/>
  <c r="P5" i="3"/>
  <c r="L5" i="3"/>
  <c r="K5" i="3"/>
  <c r="J5" i="3"/>
  <c r="L10" i="2"/>
  <c r="L9" i="2"/>
  <c r="L8" i="2"/>
  <c r="L7" i="2"/>
  <c r="L6" i="2"/>
  <c r="L5" i="2"/>
  <c r="B12" i="8" l="1"/>
  <c r="B6" i="8"/>
  <c r="B14" i="8"/>
  <c r="M5" i="3"/>
  <c r="N5" i="3" s="1"/>
  <c r="O5" i="3" s="1"/>
  <c r="Q5" i="3" s="1"/>
  <c r="M6" i="3"/>
  <c r="N6" i="3" s="1"/>
  <c r="O6" i="3" s="1"/>
  <c r="Q6" i="3" s="1"/>
  <c r="M7" i="3"/>
  <c r="N7" i="3" s="1"/>
  <c r="O7" i="3" s="1"/>
  <c r="Q7" i="3" s="1"/>
  <c r="M8" i="3"/>
  <c r="N8" i="3" s="1"/>
  <c r="O8" i="3" s="1"/>
  <c r="Q8" i="3" s="1"/>
  <c r="M9" i="3"/>
  <c r="N9" i="3" s="1"/>
  <c r="O9" i="3" s="1"/>
  <c r="Q9" i="3" s="1"/>
  <c r="M10" i="3"/>
  <c r="N10" i="3" s="1"/>
  <c r="O10" i="3" s="1"/>
  <c r="Q10" i="3" s="1"/>
  <c r="M11" i="3"/>
  <c r="N11" i="3" s="1"/>
  <c r="O11" i="3" s="1"/>
  <c r="Q11" i="3" s="1"/>
  <c r="M12" i="3"/>
  <c r="N12" i="3" s="1"/>
  <c r="O12" i="3" s="1"/>
  <c r="Q12" i="3" s="1"/>
  <c r="M13" i="3"/>
  <c r="N13" i="3" s="1"/>
  <c r="O13" i="3" s="1"/>
  <c r="Q13" i="3" s="1"/>
  <c r="M14" i="3"/>
  <c r="N14" i="3" s="1"/>
  <c r="O14" i="3" s="1"/>
  <c r="Q14" i="3" s="1"/>
  <c r="M15" i="3"/>
  <c r="N15" i="3" s="1"/>
  <c r="O15" i="3" s="1"/>
  <c r="Q15" i="3" s="1"/>
  <c r="M16" i="3"/>
  <c r="N16" i="3" s="1"/>
  <c r="O16" i="3" s="1"/>
  <c r="Q16" i="3" s="1"/>
  <c r="M17" i="3"/>
  <c r="N17" i="3" s="1"/>
  <c r="O17" i="3" s="1"/>
  <c r="Q17" i="3" s="1"/>
  <c r="M18" i="3"/>
  <c r="N18" i="3" s="1"/>
  <c r="O18" i="3" s="1"/>
  <c r="Q18" i="3" s="1"/>
  <c r="B13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Auditor.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Nome (dataset) ou função.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Função.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Formação em auditoria (ISO 19011:2026).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Conhecimento do setor/processo.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Âmbito de atuação.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Horas de auditoria acumuladas.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Avaliação de desempenho (1–5) pelo coordenador (19011 7.6).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Processos onde trabalha (independência, 9.2.2 b).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Competente em auditoria remota/híbrida (19011:2026).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Última formação.</t>
        </r>
      </text>
    </comment>
    <comment ref="L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Critério: ≥ 6 h e avaliação ≥ 3,5.
[calculado]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Processo.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Processo.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Importância para a conformidade do produto e a satisfação (1–3).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NC do processo no período (dataset).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Reclamações atribuídas ao processo (dataset).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Alterações (MOC) que afetam o processo.</t>
        </r>
      </text>
    </comment>
    <comment ref="G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1 sem NC · 2 NC menores · 3 NC maior/recorrente.</t>
        </r>
      </text>
    </comment>
    <comment ref="H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Requisitos legais/cliente críticos (1–3).</t>
        </r>
      </text>
    </comment>
    <comment ref="I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Data da última auditoria.</t>
        </r>
      </text>
    </comment>
    <comment ref="J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0–3 pontos pelas NC.
[calculado]</t>
        </r>
      </text>
    </comment>
    <comment ref="K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0–3 pontos pelas reclamações.
[calculado]</t>
        </r>
      </text>
    </comment>
    <comment ref="L4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0–3 pontos pelas alterações.
[calculado]</t>
        </r>
      </text>
    </comment>
    <comment ref="M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Pontuação de risco para o programa.
[calculado]</t>
        </r>
      </text>
    </comment>
    <comment ref="N4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≥ 16 → semestral · 11–15 → anual · ≤ 10 → 18 meses.
[calculado]</t>
        </r>
      </text>
    </comment>
    <comment ref="O4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Próxima auditoria requerida.
[calculado]</t>
        </r>
      </text>
    </comment>
    <comment ref="P4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O processo aparece no âmbito de alguma auditoria do programa?
[calculado]</t>
        </r>
      </text>
    </comment>
    <comment ref="Q4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Alerta.
[calculado]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Auditoria.</t>
        </r>
      </text>
    </comment>
    <comment ref="B4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Âmbito e processos (9.2.2 a).</t>
        </r>
      </text>
    </comment>
    <comment ref="C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Objetivo (9.2.2 a).</t>
        </r>
      </text>
    </comment>
    <comment ref="D4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Critérios (9.2.2 a).</t>
        </r>
      </text>
    </comment>
    <comment ref="E4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Presencial / remota / híbrida (19011:2026).</t>
        </r>
      </text>
    </comment>
    <comment ref="F4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Auditores (IDs).</t>
        </r>
      </text>
    </comment>
    <comment ref="G4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Data planeada.</t>
        </r>
      </text>
    </comment>
    <comment ref="H4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Data de realização.</t>
        </r>
      </text>
    </comment>
    <comment ref="I4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Estado.</t>
        </r>
      </text>
    </comment>
    <comment ref="J4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Constatações registadas.
[calculado]</t>
        </r>
      </text>
    </comment>
    <comment ref="K4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NC maiores e menores.
[calculado]</t>
        </r>
      </text>
    </comment>
    <comment ref="L4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Relatório entregue ao dono do processo e à gestão (9.2.2 c).
[calculado]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Risco/oportunidade do programa.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Risco ou oportunidade.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Descrição (ISO 19011:2026 5.3).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Efeito no programa.</t>
        </r>
      </text>
    </comment>
    <comment ref="E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Tratamento.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Pergunta.
[calculado]</t>
        </r>
      </text>
    </comment>
    <comment ref="B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Auditoria.</t>
        </r>
      </text>
    </comment>
    <comment ref="C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Cláusula.</t>
        </r>
      </text>
    </comment>
    <comment ref="D1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Processo.</t>
        </r>
      </text>
    </comment>
    <comment ref="E1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Pergunta de auditoria (apoio à memória, não substitui o julgamento).</t>
        </r>
      </text>
    </comment>
    <comment ref="F1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Evidência objetiva recolhida (entrevista, observação, registo, dado).</t>
        </r>
      </text>
    </comment>
    <comment ref="G1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C conforme · NC · OBS · OM.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Constatação.</t>
        </r>
      </text>
    </comment>
    <comment ref="B4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Auditoria.</t>
        </r>
      </text>
    </comment>
    <comment ref="C4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Requisito ISO 9001:2026.</t>
        </r>
      </text>
    </comment>
    <comment ref="D4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Classificação.</t>
        </r>
      </text>
    </comment>
    <comment ref="E4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Processo.</t>
        </r>
      </text>
    </comment>
    <comment ref="F4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Condição encontrada.</t>
        </r>
      </text>
    </comment>
    <comment ref="G4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Evidência objetiva.</t>
        </r>
      </text>
    </comment>
    <comment ref="H4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Ação corretiva (RG-SGQ-18).</t>
        </r>
      </text>
    </comment>
    <comment ref="I4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Prazo.</t>
        </r>
      </text>
    </comment>
    <comment ref="J4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Estado.</t>
        </r>
      </text>
    </comment>
    <comment ref="K4" authorId="0" shapeId="0" xr:uid="{00000000-0006-0000-0600-00000B000000}">
      <text>
        <r>
          <rPr>
            <sz val="11"/>
            <color theme="1"/>
            <rFont val="Calibri"/>
            <family val="2"/>
            <scheme val="minor"/>
          </rPr>
          <t>Fecho.</t>
        </r>
      </text>
    </comment>
    <comment ref="L4" authorId="0" shapeId="0" xr:uid="{00000000-0006-0000-0600-00000C000000}">
      <text>
        <r>
          <rPr>
            <sz val="11"/>
            <color theme="1"/>
            <rFont val="Calibri"/>
            <family val="2"/>
            <scheme val="minor"/>
          </rPr>
          <t>NC exigem ação corretiva sem demora injustificada.
[calculado]</t>
        </r>
      </text>
    </comment>
  </commentList>
</comments>
</file>

<file path=xl/sharedStrings.xml><?xml version="1.0" encoding="utf-8"?>
<sst xmlns="http://schemas.openxmlformats.org/spreadsheetml/2006/main" count="1211" uniqueCount="570">
  <si>
    <t>RG-SGQ-16 — Auditoria Interna do SGQ — Programa, Execução e Constatações</t>
  </si>
  <si>
    <t>Sistema de Gestão da Qualidade NP EN ISO 9001:2026 · Plasticom — Unidade 1 (Marinha Grande, Portugal) · Registo do SGQ (fábrica simulada)</t>
  </si>
  <si>
    <t>CONTROLO DO DOCUMENTO (7.5 — informação documentada)</t>
  </si>
  <si>
    <t>Código do registo</t>
  </si>
  <si>
    <t>RG-SGQ-16</t>
  </si>
  <si>
    <t>Título</t>
  </si>
  <si>
    <t>Auditoria Interna do SGQ — Programa, Execução e Constatações</t>
  </si>
  <si>
    <t>Versão / Revisão</t>
  </si>
  <si>
    <t>01</t>
  </si>
  <si>
    <t>Data de emissão</t>
  </si>
  <si>
    <t>Elaborado por</t>
  </si>
  <si>
    <t>Gerente da Qualidade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</si>
  <si>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</si>
  <si>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</si>
  <si>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</si>
  <si>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</si>
  <si>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</si>
  <si>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</si>
  <si>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</si>
  <si>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SGQ &gt; Registos_SGQ_Plasticom (a versão eletrónica é a controlada; cópias impressas são não controladas). Proteção contra alterações não intencionais (7.5.3.2): edição só pelo dono do registo; histórico de versões no repositório.</t>
  </si>
  <si>
    <t>FINALIDADE E ÂMBITO</t>
  </si>
  <si>
    <t>Finalidade</t>
  </si>
  <si>
    <t>Programa de auditoria 2025–2026 com priorização por risco calculada (importância, NC e reclamações reais do dataset, alterações, resultados anteriores, requisitos críticos), auditores com competência e independência, riscos e oportunidades do programa (ISO 19011:2026), checklist e constatações da auditoria integrada SGI de set/2026 e avaliação do programa.</t>
  </si>
  <si>
    <t>Utilização / atividades</t>
  </si>
  <si>
    <t>Planear o programa de auditoria com base no risco, qualificar auditores independentes, gerir os riscos do programa, executar auditorias com checklist, registar constatações e acompanhar as ações sem demora injustificada.</t>
  </si>
  <si>
    <t>Requisitos ISO 9001:2026</t>
  </si>
  <si>
    <t>9.2.1 a) b); 9.2.2 frequência, métodos, responsabilidades, planeamento e relato; importância dos processos, resultados anteriores e alterações; a)–d) objetivos/critérios/âmbito, objetividade e imparcialidade, relato à gestão, correções e ações corretivas; informação documentada da implementação e dos resultados</t>
  </si>
  <si>
    <t>REFERÊNCIAS DE BOAS PRÁTICAS APLICADAS (orientação — não são requisitos auditáveis da ISO 9001)</t>
  </si>
  <si>
    <t>ISO 19011:2026 (Academy cap. 92–93)</t>
  </si>
  <si>
    <t>Programa → planeamento → execução → evidência → conclusões → relato → acompanhamento → melhoria do programa; riscos e oportunidades do programa; auditoria remota só com evidência suficiente.</t>
  </si>
  <si>
    <t>ISO/TC 176 APG — Internal audits</t>
  </si>
  <si>
    <t>Prioridade aos processos críticos para a qualidade, complexos, com problemas passados, que exigem validação ou qualificação; competência e imparcialidade; uso dos resultados para melhorar (tbl_priorizacao).</t>
  </si>
  <si>
    <t>ISO/TC 176 APG — Nonconformity documenting</t>
  </si>
  <si>
    <t>Constatação = requisito + evidência objetiva + condição encontrada; sem prescrever a solução.</t>
  </si>
  <si>
    <t>iso9001help.co.uk — Internal audit</t>
  </si>
  <si>
    <t>Programa anual, planos, checklists como apoio (não substituem o julgamento) e relatório.</t>
  </si>
  <si>
    <t>ESTRUTURA DO FICHEIRO</t>
  </si>
  <si>
    <t>Auditores</t>
  </si>
  <si>
    <t>Auditores internos: competência, desempenho e independência (9.2.2 b; ISO 19011:2026 cap. 7).</t>
  </si>
  <si>
    <t>Priorizacao_Risco</t>
  </si>
  <si>
    <t>Priorização do programa de auditoria por risco (9.2.2; APG): importância, NC, reclamações, alterações e resultados anteriores.</t>
  </si>
  <si>
    <t>Programa_Auditorias</t>
  </si>
  <si>
    <t>Programa de auditorias internas 2025–2026 (9.2.2).</t>
  </si>
  <si>
    <t>Riscos_Programa</t>
  </si>
  <si>
    <t>Riscos e oportunidades do próprio programa de auditoria (ISO 19011:2026).</t>
  </si>
  <si>
    <t>Checklist_Auditorias</t>
  </si>
  <si>
    <t>Checklist e evidências da auditoria integrada AUD-Q-26-03 (16–18/09/2026).</t>
  </si>
  <si>
    <t>Constatacoes</t>
  </si>
  <si>
    <t>Constatações das auditorias internas com ligação às ações corretivas.</t>
  </si>
  <si>
    <t>Avaliacao_Programa</t>
  </si>
  <si>
    <t>Avaliação do programa de auditoria (19011:2026 5.7) e KPI-Q-19.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</si>
  <si>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</si>
  <si>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</si>
  <si>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</si>
  <si>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</si>
  <si>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</si>
  <si>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</si>
  <si>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</si>
  <si>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</si>
  <si>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</si>
  <si>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</si>
  <si>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</si>
  <si>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</si>
  <si>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do SGQ e do SGA — ver SGQ-00_Indice_Modelo_Dados.xlsx.</t>
  </si>
  <si>
    <t>Datas e unidades</t>
  </si>
  <si>
    <t>Datas em formato data (aaaa-mm-dd); números como números; a unidade está no nome da coluna ou no dicionário. Data de referência do SGQ: 2026-12-31.</t>
  </si>
  <si>
    <t>Dados</t>
  </si>
  <si>
    <t>Fábrica simulada Plasticom. Dados operacionais e de qualidade extraídos do dataset do projeto (datasets/silver e datasets/dim, período 2025-07-01 a 2026-12-31); os campos de gestão que o dataset não tem (datas de resposta, avaliações, decisões) são simulação didática coerente com esses dados.</t>
  </si>
  <si>
    <t>LIGAÇÕES A OUTROS REGISTOS</t>
  </si>
  <si>
    <t>RG-SGQ-18</t>
  </si>
  <si>
    <t>CAPA das constatações (ID_CAPA).</t>
  </si>
  <si>
    <t>RG-SGA-14</t>
  </si>
  <si>
    <t>Programa de auditorias do SGA — auditoria integrada AUD-Q-26-03 partilhada.</t>
  </si>
  <si>
    <t>RG-SGQ-17</t>
  </si>
  <si>
    <t>Resultados das auditorias como entrada da revisão pela gestão (9.3.2 d3).</t>
  </si>
  <si>
    <t>AUDITORES INTERNOS — COMPETÊNCIA E IMPARCIALIDADE</t>
  </si>
  <si>
    <t>ID_Auditor</t>
  </si>
  <si>
    <t>Nome</t>
  </si>
  <si>
    <t>Funcao</t>
  </si>
  <si>
    <t>Qualificacao</t>
  </si>
  <si>
    <t>Conhecimento_Tecnico</t>
  </si>
  <si>
    <t>Pode_Auditar</t>
  </si>
  <si>
    <t>Horas_Auditoria</t>
  </si>
  <si>
    <t>Avaliacao_Desempenho</t>
  </si>
  <si>
    <t>Nao_Pode_Auditar</t>
  </si>
  <si>
    <t>Competencia_Remota</t>
  </si>
  <si>
    <t>Ultima_Formacao</t>
  </si>
  <si>
    <t>Qualificado</t>
  </si>
  <si>
    <t>AUD-01</t>
  </si>
  <si>
    <t>Auditor coordenador (ISO 19011:2026, 40 h)</t>
  </si>
  <si>
    <t>ISO 9001:2026; 8D; estatística</t>
  </si>
  <si>
    <t>Todos os processos</t>
  </si>
  <si>
    <t>QUA; DOC</t>
  </si>
  <si>
    <t>Sim</t>
  </si>
  <si>
    <t>AUD-02</t>
  </si>
  <si>
    <t>Ana Silva</t>
  </si>
  <si>
    <t>Técnico(a) da Qualidade / Inspetor(a)</t>
  </si>
  <si>
    <t>Auditor interno (ISO 19011:2026, 16 h — FOR-Q-02)</t>
  </si>
  <si>
    <t>Inspeção; ISO 2859-1; laboratório</t>
  </si>
  <si>
    <t>Produção; compras; receção</t>
  </si>
  <si>
    <t>LAB; MET</t>
  </si>
  <si>
    <t>AUD-03</t>
  </si>
  <si>
    <t>Carlos Mendes</t>
  </si>
  <si>
    <t>Inspeção; SPC</t>
  </si>
  <si>
    <t>Produção; expedição</t>
  </si>
  <si>
    <t>LAB</t>
  </si>
  <si>
    <t>AUD-04</t>
  </si>
  <si>
    <t>Elena Santos</t>
  </si>
  <si>
    <t>Técnico(a) de Laboratório</t>
  </si>
  <si>
    <t>Ensaios FCM e farma; metrologia</t>
  </si>
  <si>
    <t>Design; fornecedores; clientes farma</t>
  </si>
  <si>
    <t>AUD-05</t>
  </si>
  <si>
    <t>Auditor externo (consultor)</t>
  </si>
  <si>
    <t>Auditor(a) Interno(a) do SGQ</t>
  </si>
  <si>
    <t>Auditor coordenador IRCA ISO 9001</t>
  </si>
  <si>
    <t>Sistemas de gestão; setor de embalagem</t>
  </si>
  <si>
    <t>QUA; DOC; GES (independência da Qualidade)</t>
  </si>
  <si>
    <t>—</t>
  </si>
  <si>
    <t>AUD-06</t>
  </si>
  <si>
    <t>Gestor do SGA / EHS</t>
  </si>
  <si>
    <t>Gestor do SGA / EHS (Responsável Ambiental)</t>
  </si>
  <si>
    <t>Auditor ISO 14001:2026 e ISO 19011:2026</t>
  </si>
  <si>
    <t>Ambiente; químicos; resíduos</t>
  </si>
  <si>
    <t>Auditorias integradas SGI (aspetos ambientais)</t>
  </si>
  <si>
    <t>PROGRAMA DE AUDITORIA BASEADO NO RISCO — PRIORIZAÇÃO POR PROCESSO (9.2.2)</t>
  </si>
  <si>
    <t>NC e reclamações do dataset por processo · Score = 2×importância + NC + reclamações + alterações + resultado anterior + requisitos críticos · Frequência calculada</t>
  </si>
  <si>
    <t>Processo</t>
  </si>
  <si>
    <t>Importancia</t>
  </si>
  <si>
    <t>NC_Periodo</t>
  </si>
  <si>
    <t>Reclamacoes_Periodo</t>
  </si>
  <si>
    <t>Alteracoes_2026</t>
  </si>
  <si>
    <t>Resultado_Auditoria_Anterior</t>
  </si>
  <si>
    <t>Requisitos_Criticos</t>
  </si>
  <si>
    <t>Ultima_Auditoria</t>
  </si>
  <si>
    <t>Pts_NC</t>
  </si>
  <si>
    <t>Pts_Reclamacoes</t>
  </si>
  <si>
    <t>Pts_Alteracoes</t>
  </si>
  <si>
    <t>Score_Risco</t>
  </si>
  <si>
    <t>Frequencia_Meses</t>
  </si>
  <si>
    <t>Proxima_Auditoria</t>
  </si>
  <si>
    <t>Coberto_Programa</t>
  </si>
  <si>
    <t>Alerta</t>
  </si>
  <si>
    <t>GES</t>
  </si>
  <si>
    <t>Gestão estratégica e revisão pela gestão</t>
  </si>
  <si>
    <t>QUA</t>
  </si>
  <si>
    <t>Gestão da qualidade (SGQ, auditorias, melhoria, CAPA)</t>
  </si>
  <si>
    <t>COM</t>
  </si>
  <si>
    <t>Comercial: requisitos do cliente, propostas, encomendas e satisfação</t>
  </si>
  <si>
    <t>RD</t>
  </si>
  <si>
    <t>Design e desenvolvimento de produto (R&amp;D)</t>
  </si>
  <si>
    <t>PCP</t>
  </si>
  <si>
    <t>Planeamento e controlo da produção</t>
  </si>
  <si>
    <t>CMP</t>
  </si>
  <si>
    <t>Compras e gestão de fornecedores</t>
  </si>
  <si>
    <t>REC</t>
  </si>
  <si>
    <t>Receção, inspeção de receção e armazenagem de matérias-primas</t>
  </si>
  <si>
    <t>INJ</t>
  </si>
  <si>
    <t>Injeção de tampas e potes</t>
  </si>
  <si>
    <t>SOP</t>
  </si>
  <si>
    <t>Sopro de frascos (ISBM)</t>
  </si>
  <si>
    <t>SER</t>
  </si>
  <si>
    <t>Serigrafia (decoração)</t>
  </si>
  <si>
    <t>HFS</t>
  </si>
  <si>
    <t>Hot foil stamping (decoração)</t>
  </si>
  <si>
    <t>Controlo da qualidade e laboratório (inspeção, ensaios, libertação)</t>
  </si>
  <si>
    <t>EXP</t>
  </si>
  <si>
    <t>Embalagem, armazém de produto acabado e expedição</t>
  </si>
  <si>
    <t>MAN</t>
  </si>
  <si>
    <t>Manutenção de máquinas e moldes</t>
  </si>
  <si>
    <t>MET</t>
  </si>
  <si>
    <t>Metrologia (calibração, verificação e MSA)</t>
  </si>
  <si>
    <t>RH</t>
  </si>
  <si>
    <t>Recursos humanos, competência e formação</t>
  </si>
  <si>
    <t>TI</t>
  </si>
  <si>
    <t>Sistemas de informação e dados (ERP, MES, data warehouse)</t>
  </si>
  <si>
    <t>DOC</t>
  </si>
  <si>
    <t>Controlo da informação documentada</t>
  </si>
  <si>
    <t>PROGRAMA DE AUDITORIAS INTERNAS 2025–2026</t>
  </si>
  <si>
    <t>ID_Auditoria</t>
  </si>
  <si>
    <t>Ambito</t>
  </si>
  <si>
    <t>Objetivo</t>
  </si>
  <si>
    <t>Criterios</t>
  </si>
  <si>
    <t>Metodo</t>
  </si>
  <si>
    <t>Equipa_Auditora</t>
  </si>
  <si>
    <t>Data_Planeada</t>
  </si>
  <si>
    <t>Data_Real</t>
  </si>
  <si>
    <t>N_Constatacoes</t>
  </si>
  <si>
    <t>N_NC</t>
  </si>
  <si>
    <t>Relatorio_Emitido</t>
  </si>
  <si>
    <t>AUD-Q-25-03</t>
  </si>
  <si>
    <t>Produção (INJ, SOP, SER, HFS) e laboratório</t>
  </si>
  <si>
    <t>Verificar o controlo da produção e a libertação</t>
  </si>
  <si>
    <t>ISO 9001:2015; PC-*; PR-SGQ-13</t>
  </si>
  <si>
    <t>Presencial</t>
  </si>
  <si>
    <t>AUD-02; AUD-03</t>
  </si>
  <si>
    <t>Realizada</t>
  </si>
  <si>
    <t>AUD-Q-26-01</t>
  </si>
  <si>
    <t>Compras, fornecedores e receção (CMP, REC)</t>
  </si>
  <si>
    <t>Avaliar o controlo de fornecedores externos após reclamações de MP</t>
  </si>
  <si>
    <t>ISO 9001:2015 8.4; PR-SGQ-12; PC-MP-01</t>
  </si>
  <si>
    <t>Híbrida (fornecedor remoto)</t>
  </si>
  <si>
    <t>AUD-01; AUD-04</t>
  </si>
  <si>
    <t>AUD-Q-26-02</t>
  </si>
  <si>
    <t>Injeção e sopro, incl. arranque das linhas novas (INJ, SOP, PCP)</t>
  </si>
  <si>
    <t>Verificar os arranques de ISBM-009/010 e IM-007/008</t>
  </si>
  <si>
    <t>ISO 9001:2015 8.5; MOC-Q-26-02/03</t>
  </si>
  <si>
    <t>AUD-Q-26-03</t>
  </si>
  <si>
    <t>Auditoria integrada SGI: liderança, SER, LAB, EXP, MAN, MET (qualidade + ambiente)</t>
  </si>
  <si>
    <t>Conformidade com a ISO 9001:2026 (transição) e eficácia; integrar com a auditoria SGA</t>
  </si>
  <si>
    <t>ISO 9001:2026; ISO 14001:2026; requisitos internos</t>
  </si>
  <si>
    <t>AUD-01; AUD-04; AUD-06</t>
  </si>
  <si>
    <t>AUD-Q-26-04</t>
  </si>
  <si>
    <t>Comercial e design (COM, RD) — requisitos alimentar/farma</t>
  </si>
  <si>
    <t>Verificar revisão de requisitos e projetos DD-26-01 a 06</t>
  </si>
  <si>
    <t>ISO 9001:2026 8.2, 8.3</t>
  </si>
  <si>
    <t>AUD-05; AUD-04</t>
  </si>
  <si>
    <t>AUD-Q-26-05</t>
  </si>
  <si>
    <t>Gestão da qualidade, documentação, TI e RH (QUA, DOC, TI, RH)</t>
  </si>
  <si>
    <t>Independência: auditor externo audita a função Qualidade</t>
  </si>
  <si>
    <t>ISO 9001:2026 7, 9, 10</t>
  </si>
  <si>
    <t>Híbrida</t>
  </si>
  <si>
    <t>AUD-Q-26-06</t>
  </si>
  <si>
    <t>Gestão de topo (GES) — liderança, cultura e revisão pela gestão</t>
  </si>
  <si>
    <t>Evidência de 5.1.1 i), l) e 9.3</t>
  </si>
  <si>
    <t>ISO 9001:2026 5, 6, 9.3</t>
  </si>
  <si>
    <t>AUD-Q-26-07</t>
  </si>
  <si>
    <t>Injeção e sopro (INJ, SOP, PCP) — seguimento semestral exigido pela priorização por risco</t>
  </si>
  <si>
    <t>Verificar a estabilização das linhas novas e o seguimento da CON-Q-26-02</t>
  </si>
  <si>
    <t>ISO 9001:2026 7.2, 8.5.1</t>
  </si>
  <si>
    <t>AUD-Q-27-01</t>
  </si>
  <si>
    <t>Auditoria de transição ISO 9001:2026 (organismo de certificação)</t>
  </si>
  <si>
    <t>Transição da certificação para a edição 2026</t>
  </si>
  <si>
    <t>ISO 9001:2026</t>
  </si>
  <si>
    <t>Organismo externo</t>
  </si>
  <si>
    <t>Planeada</t>
  </si>
  <si>
    <t>ID</t>
  </si>
  <si>
    <t>Tipo</t>
  </si>
  <si>
    <t>Descricao</t>
  </si>
  <si>
    <t>Efeito</t>
  </si>
  <si>
    <t>Tratamento</t>
  </si>
  <si>
    <t>RP-01</t>
  </si>
  <si>
    <t>Risco</t>
  </si>
  <si>
    <t>Indisponibilidade dos auditores internos (inspetores) no pico set–nov</t>
  </si>
  <si>
    <t>Auditorias adiadas; programa não cumprido</t>
  </si>
  <si>
    <t>Planear auditorias fora do pico; auditor externo de reserva</t>
  </si>
  <si>
    <t>RP-02</t>
  </si>
  <si>
    <t>Falta de independência ao auditar a função Qualidade</t>
  </si>
  <si>
    <t>Constatações enviesadas</t>
  </si>
  <si>
    <t>Auditor externo (AUD-05) para QUA, DOC e GES</t>
  </si>
  <si>
    <t>RP-03</t>
  </si>
  <si>
    <t>Competência insuficiente em requisitos farmacêuticos e alimentares</t>
  </si>
  <si>
    <t>Não detetar incumprimentos legais</t>
  </si>
  <si>
    <t>AUD-04 com formação FCM/farma; especialista técnico convidado</t>
  </si>
  <si>
    <t>RP-04</t>
  </si>
  <si>
    <t>Auditorias remotas a fornecedores sem acesso a evidência suficiente (19011:2026)</t>
  </si>
  <si>
    <t>Conclusões sem evidência</t>
  </si>
  <si>
    <t>Remoto só para revisão documental; visita no local para processo</t>
  </si>
  <si>
    <t>RP-05</t>
  </si>
  <si>
    <t>Segurança da informação na partilha de documentos de clientes em auditoria remota</t>
  </si>
  <si>
    <t>Violação de confidencialidade</t>
  </si>
  <si>
    <t>Plataforma aprovada pela TI; acesso só de leitura</t>
  </si>
  <si>
    <t>RP-06</t>
  </si>
  <si>
    <t>Oportunidade</t>
  </si>
  <si>
    <t>Auditorias integradas SGQ + SGA (menos interrupções, visão por processo)</t>
  </si>
  <si>
    <t>Equipa mista na AUD-Q-26-03</t>
  </si>
  <si>
    <t>RP-07</t>
  </si>
  <si>
    <t>Usar os dados do data warehouse para escolher amostras (lotes, ordens, reclamações)</t>
  </si>
  <si>
    <t>Amostragem baseada em risco com dados reais</t>
  </si>
  <si>
    <t>ID_Pergunta</t>
  </si>
  <si>
    <t>Clausula</t>
  </si>
  <si>
    <t>Processo_Auditado</t>
  </si>
  <si>
    <t>Questao_Auditoria</t>
  </si>
  <si>
    <t>Evidencia_Objetiva</t>
  </si>
  <si>
    <t>Resultado</t>
  </si>
  <si>
    <t>5.1.1 i)</t>
  </si>
  <si>
    <t>LID</t>
  </si>
  <si>
    <t>A gestão promove a cultura da qualidade e o comportamento ético? Como?</t>
  </si>
  <si>
    <t>Entrevista ao DG; canal de relatos (4 casos); inquérito ISO 10010</t>
  </si>
  <si>
    <t>C</t>
  </si>
  <si>
    <t>5.2.2 d)</t>
  </si>
  <si>
    <t>A política é compreendida? (entrevistar 10 operadores)</t>
  </si>
  <si>
    <t>7 de 10 explicam 'fazer bem à primeira'</t>
  </si>
  <si>
    <t>OBS</t>
  </si>
  <si>
    <t>6.1.2</t>
  </si>
  <si>
    <t>As ações para riscos são proporcionais e a eficácia é avaliada?</t>
  </si>
  <si>
    <t>RG-SGQ-04: R3, R13, R20 com eficácia 'Não eficaz' e ação replaneada</t>
  </si>
  <si>
    <t>6.3</t>
  </si>
  <si>
    <t>As alterações são planeadas (a–g) antes da implementação?</t>
  </si>
  <si>
    <t>Compressores substituídos em fev/2026 sem MOC (autorizado em set/2026)</t>
  </si>
  <si>
    <t>NC</t>
  </si>
  <si>
    <t>7.1.5.2</t>
  </si>
  <si>
    <t>Os equipamentos em uso têm confirmação válida e identificação do estado?</t>
  </si>
  <si>
    <t>EQM-022 e EQM-031 com confirmação vencida em uso</t>
  </si>
  <si>
    <t>Quando um equipamento está fora de tolerância, avaliam-se os resultados anteriores?</t>
  </si>
  <si>
    <t>OOT-26-01 com avaliação retrospetiva completa</t>
  </si>
  <si>
    <t>7.2</t>
  </si>
  <si>
    <t>O operador da SS-001 turno 2 tem competência validada?</t>
  </si>
  <si>
    <t>Validado (FOR-Q-09, nível 3)</t>
  </si>
  <si>
    <t>7.3 e)</t>
  </si>
  <si>
    <t>As pessoas conhecem a cultura da qualidade e o canal de relatos?</t>
  </si>
  <si>
    <t>Sessão CON-26-03 com 86% de cobertura</t>
  </si>
  <si>
    <t>8.5.1 g)</t>
  </si>
  <si>
    <t>Que ações previnem o erro humano na expedição?</t>
  </si>
  <si>
    <t>Leitura de código de barras em implementação (EH-01); 29 reclamações de produto trocado</t>
  </si>
  <si>
    <t>8.5.2</t>
  </si>
  <si>
    <t>É possível rastrear um lote até ao lote de resina?</t>
  </si>
  <si>
    <t>RST-26-02: resina deduzida por FIFO — consumo só regista masterbatch</t>
  </si>
  <si>
    <t>8.6</t>
  </si>
  <si>
    <t>A libertação tem evidência de conformidade e de quem autorizou?</t>
  </si>
  <si>
    <t>Amostra de 20 lotes de ago/2026: todos com inspetor e decisão</t>
  </si>
  <si>
    <t>8.7</t>
  </si>
  <si>
    <t>As concessões têm aprovação do cliente?</t>
  </si>
  <si>
    <t>9 concessões sem aprovação do cliente (tbl_concessoes); REL-26-03</t>
  </si>
  <si>
    <t>Lotes retrabalhados são reverificados?</t>
  </si>
  <si>
    <t>Amostra de 5 lotes retrabalhados: reinspeção registada</t>
  </si>
  <si>
    <t>8.3.6</t>
  </si>
  <si>
    <t>As características de inspeção dos produtos novos estão corretas?</t>
  </si>
  <si>
    <t>TP-013 (tampa de encaixe) inspecionada à 'rosca'; 7 lotes rejeitados por característica inexistente</t>
  </si>
  <si>
    <t>9.1.1</t>
  </si>
  <si>
    <t>Os resultados de monitorização são analisados?</t>
  </si>
  <si>
    <t>Painel de KPI mensal revisto no comité</t>
  </si>
  <si>
    <t>10.2</t>
  </si>
  <si>
    <t>As NC maiores têm ação corretiva e a eficácia é verificada?</t>
  </si>
  <si>
    <t>272 NC maiores sem CAPA; eficácia das CAPA 56%</t>
  </si>
  <si>
    <t>8.2.3</t>
  </si>
  <si>
    <t>As encomendas são revistas antes do compromisso?</t>
  </si>
  <si>
    <t>539 encomendas de ago/2026: 3 exceções (1 revisão tardia, 1 sem requisitos legais, 1 sem capacidade)</t>
  </si>
  <si>
    <t>9.1.2</t>
  </si>
  <si>
    <t>A satisfação é monitorizada e usada?</t>
  </si>
  <si>
    <t>Inquérito semestral; AT-2 prazos com a maior lacuna (1,9)</t>
  </si>
  <si>
    <t>OM</t>
  </si>
  <si>
    <t>7.1.4</t>
  </si>
  <si>
    <t>O ambiente de operação é controlado (calor, fadiga)?</t>
  </si>
  <si>
    <t>Registo de temperatura da nave; checklist de passagem de turno em implementação</t>
  </si>
  <si>
    <t>9.2.2</t>
  </si>
  <si>
    <t>O programa de auditoria considera importância, resultados anteriores e alterações?</t>
  </si>
  <si>
    <t>Priorização por risco (tbl_priorizacao)</t>
  </si>
  <si>
    <t>As encomendas são revistas antes do compromisso (após a CAPA-Q-26-13)?</t>
  </si>
  <si>
    <t>40 encomendas de out/2026: 0 exceções; checklist no ERP</t>
  </si>
  <si>
    <t>8.3.4</t>
  </si>
  <si>
    <t>A verificação e validação do design dos SKU farmacêuticos está registada?</t>
  </si>
  <si>
    <t>DD-26-05: validação da estanquidade do pote PT-015 com o cliente sem registo</t>
  </si>
  <si>
    <t>8.3.5</t>
  </si>
  <si>
    <t>As saídas do design incluem as características de inspeção corretas?</t>
  </si>
  <si>
    <t>Auditoria da configuração dos 17 SKU novos sem desvios (CAPA-Q-26-11)</t>
  </si>
  <si>
    <t>7.5.3</t>
  </si>
  <si>
    <t>Os documentos em uso estão dentro do prazo de revisão?</t>
  </si>
  <si>
    <t>3 documentos com revisão vencida (PR-SGQ-11, PR-SGQ-18, IT-HFS-01)</t>
  </si>
  <si>
    <t>O comité de CAPA reduziu as NC maiores sem ação e as vencidas?</t>
  </si>
  <si>
    <t>CAPA vencidas de 49% para 31%; 17% das NC maiores de out–nov ainda sem CAPA</t>
  </si>
  <si>
    <t>A eficácia da formação é avaliada?</t>
  </si>
  <si>
    <t>Registo com níveis N1–N4 (ISO 10015)</t>
  </si>
  <si>
    <t>5.1.1 l)</t>
  </si>
  <si>
    <t>A gestão de topo presta contas da eficácia do SGQ?</t>
  </si>
  <si>
    <t>Ata RPG-2026-01 assinada; seguimento mensal das decisões</t>
  </si>
  <si>
    <t>9.3</t>
  </si>
  <si>
    <t>A revisão pela gestão cobre os 3 sistemas do SGI de forma coerente?</t>
  </si>
  <si>
    <t>SGQ e SGA revistos em set/2026; SGE em 18/12/2026 — agendas separadas</t>
  </si>
  <si>
    <t>7.2; 8.5.1 e)</t>
  </si>
  <si>
    <t>Os operadores das máquinas novas estão validados no posto?</t>
  </si>
  <si>
    <t>IM-007/008: 6 operadores validados; tutor documentado</t>
  </si>
  <si>
    <t>8.5.1</t>
  </si>
  <si>
    <t>Os parâmetros das ISBM-009/010 estão estabilizados e registados?</t>
  </si>
  <si>
    <t>Fichas de parâmetros rev. 02; Cpk do peso 1,18 (meta 1,33)</t>
  </si>
  <si>
    <t>CONSTATAÇÕES DE AUDITORIA E ACOMPANHAMENTO (9.2.2 c–d)</t>
  </si>
  <si>
    <t>As constatações de set/2026 correspondem a problemas reais visíveis nos registos RG-SGQ-06, 09, 10, 11, 14 e 18</t>
  </si>
  <si>
    <t>ID_Constatacao</t>
  </si>
  <si>
    <t>Classificacao</t>
  </si>
  <si>
    <t>Constatacao</t>
  </si>
  <si>
    <t>ID_CAPA</t>
  </si>
  <si>
    <t>Prazo</t>
  </si>
  <si>
    <t>Data_Fecho</t>
  </si>
  <si>
    <t>Controlo_Qualidade</t>
  </si>
  <si>
    <t>CON-Q-26-13</t>
  </si>
  <si>
    <t>NC menor</t>
  </si>
  <si>
    <t>Validação da estanquidade do pote farmacêutico PT-015 feita com o cliente sem registo da validação nem dos critérios de aceitação.</t>
  </si>
  <si>
    <t>DD-26-05; correio eletrónico do cliente</t>
  </si>
  <si>
    <t>CAPA-Q-26-14</t>
  </si>
  <si>
    <t>Fechada</t>
  </si>
  <si>
    <t>CON-Q-26-14</t>
  </si>
  <si>
    <t>Boa prática</t>
  </si>
  <si>
    <t>Checklist de revisão de encomendas no ERP eliminou as exceções (0 em 40 encomendas de out/2026).</t>
  </si>
  <si>
    <t>tbl_revisao_encomendas; ERP</t>
  </si>
  <si>
    <t>CON-Q-26-15</t>
  </si>
  <si>
    <t>Observação</t>
  </si>
  <si>
    <t>3 documentos com revisão vencida em uso (PR-SGQ-11, PR-SGQ-18, IT-HFS-01).</t>
  </si>
  <si>
    <t>tbl_lista_mestra</t>
  </si>
  <si>
    <t>CON-Q-26-16</t>
  </si>
  <si>
    <t>10.2.1</t>
  </si>
  <si>
    <t>17% das NC maiores de out–nov/2026 ainda sem CAPA (melhoria face a set/2026, mas a decisão RPG-2026-01-D01 não está cumprida).</t>
  </si>
  <si>
    <t>tbl_snc; tbl_capa</t>
  </si>
  <si>
    <t>CAPA-Q-26-12</t>
  </si>
  <si>
    <t>Em tratamento</t>
  </si>
  <si>
    <t>CON-Q-26-17</t>
  </si>
  <si>
    <t>Oportunidade de melhoria</t>
  </si>
  <si>
    <t>Integrar as revisões pela gestão do SGQ, do SGA e do SGE numa única agenda anual do SGI.</t>
  </si>
  <si>
    <t>Atas RPG-2026-01, RG-2026 e RD-E-2026-01</t>
  </si>
  <si>
    <t>Aberta</t>
  </si>
  <si>
    <t>CON-Q-26-18</t>
  </si>
  <si>
    <t>Cpk do peso nas ISBM-009/010 em 1,18 (meta 1,33): estabilização ainda em curso.</t>
  </si>
  <si>
    <t>SPC dez/2026</t>
  </si>
  <si>
    <t>CON-Q-26-01</t>
  </si>
  <si>
    <t>8.4.1</t>
  </si>
  <si>
    <t>SUP-005 com 74% de lotes aceites mantido como aprovado condicional sem plano de ação documentado nem prazo.</t>
  </si>
  <si>
    <t>Scorecard S2-2025 (classe D); lista de fornecedores aprovados</t>
  </si>
  <si>
    <t>CAPA-Q-26-05</t>
  </si>
  <si>
    <t>CON-Q-26-02</t>
  </si>
  <si>
    <t>Operador temporário a trabalhar sozinho na IM-008 sem validação no posto.</t>
  </si>
  <si>
    <t>Matriz de competências; observação no posto (GW-26-07)</t>
  </si>
  <si>
    <t>CAPA-Q-26-06</t>
  </si>
  <si>
    <t>CON-Q-26-03</t>
  </si>
  <si>
    <t>8.7.1 d); 8.6</t>
  </si>
  <si>
    <t>NC maior</t>
  </si>
  <si>
    <t>Concessões libertadas para clientes sem aprovação do cliente (9 casos no período), incluindo lotes com defeitos críticos na amostra.</t>
  </si>
  <si>
    <t>tbl_concessoes (RG-SGQ-14); relato REL-26-03</t>
  </si>
  <si>
    <t>CAPA-Q-26-08</t>
  </si>
  <si>
    <t>CON-Q-26-04</t>
  </si>
  <si>
    <t>7.1.5.2 a) b)</t>
  </si>
  <si>
    <t>Dois equipamentos com confirmação metrológica vencida em uso (EQM-022, EQM-031).</t>
  </si>
  <si>
    <t>Inventário; etiquetas; OOT-26-02/03</t>
  </si>
  <si>
    <t>CAPA-Q-26-09</t>
  </si>
  <si>
    <t>CON-Q-26-05</t>
  </si>
  <si>
    <t>6.3; 8.5.6</t>
  </si>
  <si>
    <t>Substituição dos compressores sem planeamento da alteração (consequências na qualidade do ar de sopro não avaliadas).</t>
  </si>
  <si>
    <t>MOC-Q-26-11 retroativo; NC-SGA-26-06 (SGA)</t>
  </si>
  <si>
    <t>CAPA-Q-26-10</t>
  </si>
  <si>
    <t>CON-Q-26-06</t>
  </si>
  <si>
    <t>8.3.6; 8.5.1 a)</t>
  </si>
  <si>
    <t>Característica 'rosca' aplicada à tampa de encaixe TP-013 no plano de inspeção por atributos; 7 lotes rejeitados por uma característica inexistente.</t>
  </si>
  <si>
    <t>Dataset de inspeção por atributos (TP-013, 85 inspeções de rosca); DC-26-01</t>
  </si>
  <si>
    <t>CAPA-Q-26-11</t>
  </si>
  <si>
    <t>CON-Q-26-07</t>
  </si>
  <si>
    <t>10.2.1 b) d)</t>
  </si>
  <si>
    <t>Ação corretiva não sistemática: 272 NC maiores/críticas sem CAPA; 44% das CAPA avaliadas não eficazes; 49% vencidas.</t>
  </si>
  <si>
    <t>RG-SGQ-14 tbl_snc; RG-SGQ-18 tbl_capa</t>
  </si>
  <si>
    <t>CON-Q-26-08</t>
  </si>
  <si>
    <t>8.5.2 d)</t>
  </si>
  <si>
    <t>Rastreabilidade ao lote de resina depende do FIFO: o consumo só regista o lote de masterbatch.</t>
  </si>
  <si>
    <t>RST-26-02/03</t>
  </si>
  <si>
    <t>CON-Q-26-09</t>
  </si>
  <si>
    <t>7.3 a); 5.2.2 d)</t>
  </si>
  <si>
    <t>3 de 10 operadores entrevistados não explicam como a política se aplica ao seu trabalho.</t>
  </si>
  <si>
    <t>Entrevistas</t>
  </si>
  <si>
    <t>CON-Q-26-10</t>
  </si>
  <si>
    <t>Cumprimento de prazos é o atributo com maior lacuna de satisfação (importância 4,7 vs. satisfação 2,8).</t>
  </si>
  <si>
    <t>tbl_atributos (RG-SGQ-15)</t>
  </si>
  <si>
    <t>CON-Q-26-11</t>
  </si>
  <si>
    <t>7.1.5.1</t>
  </si>
  <si>
    <t>Estudo Gage R&amp;R calculado por fórmulas sobre os dados brutos, com critérios AIAG e decisão rastreável.</t>
  </si>
  <si>
    <t>GRR_Calculo (RG-SGQ-09)</t>
  </si>
  <si>
    <t>CON-Q-26-12</t>
  </si>
  <si>
    <t>8.2.3.1</t>
  </si>
  <si>
    <t>Encomendas aceites com revisão depois do compromisso, sem verificação de requisitos legais (alimentar) e sem capacidade confirmada.</t>
  </si>
  <si>
    <t>tbl_revisao_encomendas (3 exceções em 539)</t>
  </si>
  <si>
    <t>CAPA-Q-26-13</t>
  </si>
  <si>
    <t>AVALIAÇÃO DO PROGRAMA DE AUDITORIA — calculado</t>
  </si>
  <si>
    <t>Indicador</t>
  </si>
  <si>
    <t>Valor</t>
  </si>
  <si>
    <t>Auditorias planeadas até à data de referência</t>
  </si>
  <si>
    <t>Auditorias realizadas</t>
  </si>
  <si>
    <t>KPI-Q-19 — cumprimento do programa</t>
  </si>
  <si>
    <t>Constatações totais</t>
  </si>
  <si>
    <t xml:space="preserve">  NC maiores</t>
  </si>
  <si>
    <t xml:space="preserve">  NC menores</t>
  </si>
  <si>
    <t xml:space="preserve">  observações e oportunidades</t>
  </si>
  <si>
    <t>Constatações fechadas</t>
  </si>
  <si>
    <t>NC sem CAPA</t>
  </si>
  <si>
    <t>Processos com auditoria vencida</t>
  </si>
  <si>
    <t>Auditores qualificados</t>
  </si>
  <si>
    <t>LISTAS CONTROLADAS (domínios de validação de dados) — editar aqui para alterar opções</t>
  </si>
  <si>
    <t>DataReferencia</t>
  </si>
  <si>
    <t>EstadoAud</t>
  </si>
  <si>
    <t>TipoConst</t>
  </si>
  <si>
    <t>EstadoConst</t>
  </si>
  <si>
    <t>ResChk</t>
  </si>
  <si>
    <t>RO</t>
  </si>
  <si>
    <t>SimNao</t>
  </si>
  <si>
    <t>Remota</t>
  </si>
  <si>
    <t>Não</t>
  </si>
  <si>
    <t>Adiada</t>
  </si>
  <si>
    <t>Cancelada</t>
  </si>
  <si>
    <t>Folha</t>
  </si>
  <si>
    <t>Tabela</t>
  </si>
  <si>
    <t>Coluna</t>
  </si>
  <si>
    <t>Origem</t>
  </si>
  <si>
    <t>Dominio_Unidade</t>
  </si>
  <si>
    <t>Obrigatorio</t>
  </si>
  <si>
    <t>Chave</t>
  </si>
  <si>
    <t>tbl_auditores</t>
  </si>
  <si>
    <t>Texto</t>
  </si>
  <si>
    <t>Entrada</t>
  </si>
  <si>
    <t>Auditor.</t>
  </si>
  <si>
    <t>PK</t>
  </si>
  <si>
    <t>Nome (dataset) ou função.</t>
  </si>
  <si>
    <t>Função.</t>
  </si>
  <si>
    <t>Formação em auditoria (ISO 19011:2026).</t>
  </si>
  <si>
    <t>Conhecimento do setor/processo.</t>
  </si>
  <si>
    <t>Âmbito de atuação.</t>
  </si>
  <si>
    <t>Inteiro</t>
  </si>
  <si>
    <t>Horas de auditoria acumuladas.</t>
  </si>
  <si>
    <t>Decimal</t>
  </si>
  <si>
    <t>Avaliação de desempenho (1–5) pelo coordenador (19011 7.6).</t>
  </si>
  <si>
    <t>Processos onde trabalha (independência, 9.2.2 b).</t>
  </si>
  <si>
    <t>Competente em auditoria remota/híbrida (19011:2026).</t>
  </si>
  <si>
    <t>Lista lst_SimNao</t>
  </si>
  <si>
    <t>Data (aaaa-mm-dd)</t>
  </si>
  <si>
    <t>Última formação.</t>
  </si>
  <si>
    <t>Calculado (fórmula)</t>
  </si>
  <si>
    <t>Critério: ≥ 6 h e avaliação ≥ 3,5.</t>
  </si>
  <si>
    <t>tbl_priorizacao</t>
  </si>
  <si>
    <t>Processo.</t>
  </si>
  <si>
    <t>Lista lst_Processo</t>
  </si>
  <si>
    <t>Importância para a conformidade do produto e a satisfação (1–3).</t>
  </si>
  <si>
    <t>NC do processo no período (dataset).</t>
  </si>
  <si>
    <t>Reclamações atribuídas ao processo (dataset).</t>
  </si>
  <si>
    <t>Alterações (MOC) que afetam o processo.</t>
  </si>
  <si>
    <t>1 sem NC · 2 NC menores · 3 NC maior/recorrente.</t>
  </si>
  <si>
    <t>Requisitos legais/cliente críticos (1–3).</t>
  </si>
  <si>
    <t>Data da última auditoria.</t>
  </si>
  <si>
    <t>0–3 pontos pelas NC.</t>
  </si>
  <si>
    <t>0–3 pontos pelas reclamações.</t>
  </si>
  <si>
    <t>0–3 pontos pelas alterações.</t>
  </si>
  <si>
    <t>Pontuação de risco para o programa.</t>
  </si>
  <si>
    <t>≥ 16 → semestral · 11–15 → anual · ≤ 10 → 18 meses.</t>
  </si>
  <si>
    <t>Próxima auditoria requerida.</t>
  </si>
  <si>
    <t>O processo aparece no âmbito de alguma auditoria do programa?</t>
  </si>
  <si>
    <t>Alerta.</t>
  </si>
  <si>
    <t>tbl_programa_auditorias</t>
  </si>
  <si>
    <t>Auditoria.</t>
  </si>
  <si>
    <t>Âmbito e processos (9.2.2 a).</t>
  </si>
  <si>
    <t>Objetivo (9.2.2 a).</t>
  </si>
  <si>
    <t>Critérios (9.2.2 a).</t>
  </si>
  <si>
    <t>Presencial / remota / híbrida (19011:2026).</t>
  </si>
  <si>
    <t>Lista lst_Metodo</t>
  </si>
  <si>
    <t>Auditores (IDs).</t>
  </si>
  <si>
    <t>Data planeada.</t>
  </si>
  <si>
    <t>Data de realização.</t>
  </si>
  <si>
    <t>Estado.</t>
  </si>
  <si>
    <t>Lista lst_EstadoAud</t>
  </si>
  <si>
    <t>Constatações registadas.</t>
  </si>
  <si>
    <t>NC maiores e menores.</t>
  </si>
  <si>
    <t>Relatório entregue ao dono do processo e à gestão (9.2.2 c).</t>
  </si>
  <si>
    <t>tbl_riscos_programa</t>
  </si>
  <si>
    <t>Risco/oportunidade do programa.</t>
  </si>
  <si>
    <t>Risco ou oportunidade.</t>
  </si>
  <si>
    <t>Lista lst_RO</t>
  </si>
  <si>
    <t>Descrição (ISO 19011:2026 5.3).</t>
  </si>
  <si>
    <t>Efeito no programa.</t>
  </si>
  <si>
    <t>Tratamento.</t>
  </si>
  <si>
    <t>tbl_checklist_aud</t>
  </si>
  <si>
    <t>Pergunta.</t>
  </si>
  <si>
    <t>FK → tbl_programa_auditorias</t>
  </si>
  <si>
    <t>Cláusula.</t>
  </si>
  <si>
    <t>Pergunta de auditoria (apoio à memória, não substitui o julgamento).</t>
  </si>
  <si>
    <t>Evidência objetiva recolhida (entrevista, observação, registo, dado).</t>
  </si>
  <si>
    <t>C conforme · NC · OBS · OM.</t>
  </si>
  <si>
    <t>Lista lst_ResChk</t>
  </si>
  <si>
    <t>tbl_constatacoes</t>
  </si>
  <si>
    <t>Constatação.</t>
  </si>
  <si>
    <t>Requisito ISO 9001:2026.</t>
  </si>
  <si>
    <t>Classificação.</t>
  </si>
  <si>
    <t>Lista lst_TipoConst</t>
  </si>
  <si>
    <t>Condição encontrada.</t>
  </si>
  <si>
    <t>Evidência objetiva.</t>
  </si>
  <si>
    <t>Ação corretiva (RG-SGQ-18).</t>
  </si>
  <si>
    <t>FK → RG-SGQ-18</t>
  </si>
  <si>
    <t>Prazo.</t>
  </si>
  <si>
    <t>Lista lst_EstadoConst</t>
  </si>
  <si>
    <t>Fecho.</t>
  </si>
  <si>
    <t>NC exigem ação corretiva sem demora injustificada.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</si>
</sst>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b/>
      <sz val="10"/>
      <color rgb="FFFFFFFF"/>
      <name val="Arial"/>
    </font>
    <font>
      <sz val="10"/>
      <name val="Arial"/>
    </font>
    <font>
      <i/>
      <sz val="10"/>
      <color rgb="FF4A5A6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4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165" fontId="3" fillId="0" borderId="0" xfId="0" applyNumberFormat="1" applyFont="1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49" fontId="3" fillId="0" borderId="1" xfId="0" applyNumberFormat="1" applyFont="1" applyBorder="1" applyAlignment="1">
      <alignment vertical="top" wrapText="1"/>
    </xf>
    <xf numFmtId="1" fontId="3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165" fontId="3" fillId="0" borderId="1" xfId="0" applyNumberFormat="1" applyFont="1" applyBorder="1" applyAlignment="1">
      <alignment vertical="top" wrapText="1"/>
    </xf>
    <xf numFmtId="49" fontId="3" fillId="4" borderId="1" xfId="0" applyNumberFormat="1" applyFont="1" applyFill="1" applyBorder="1" applyAlignment="1">
      <alignment vertical="top" wrapText="1"/>
    </xf>
    <xf numFmtId="1" fontId="3" fillId="4" borderId="1" xfId="0" applyNumberFormat="1" applyFont="1" applyFill="1" applyBorder="1" applyAlignment="1">
      <alignment vertical="top" wrapText="1"/>
    </xf>
    <xf numFmtId="165" fontId="3" fillId="4" borderId="1" xfId="0" applyNumberFormat="1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9" fontId="3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0" borderId="0" xfId="0" applyFont="1"/>
    <xf numFmtId="0" fontId="2" fillId="2" borderId="0" xfId="0" applyFont="1" applyFill="1" applyAlignment="1">
      <alignment horizontal="center" vertical="top" wrapText="1"/>
    </xf>
    <xf numFmtId="165" fontId="3" fillId="0" borderId="0" xfId="0" applyNumberFormat="1" applyFont="1" applyAlignment="1">
      <alignment vertical="top" wrapText="1"/>
    </xf>
  </cellXfs>
  <cellStyles count="1">
    <cellStyle name="Normal" xfId="0" builtinId="0"/>
  </cellStyles>
  <dxfs count="23"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auditores" displayName="tbl_auditores" ref="A4:L10">
  <autoFilter ref="A4:L10" xr:uid="{00000000-0009-0000-0100-000001000000}"/>
  <tableColumns count="12">
    <tableColumn id="1" xr3:uid="{00000000-0010-0000-0000-000001000000}" name="ID_Auditor"/>
    <tableColumn id="2" xr3:uid="{00000000-0010-0000-0000-000002000000}" name="Nome"/>
    <tableColumn id="3" xr3:uid="{00000000-0010-0000-0000-000003000000}" name="Funcao"/>
    <tableColumn id="4" xr3:uid="{00000000-0010-0000-0000-000004000000}" name="Qualificacao"/>
    <tableColumn id="5" xr3:uid="{00000000-0010-0000-0000-000005000000}" name="Conhecimento_Tecnico"/>
    <tableColumn id="6" xr3:uid="{00000000-0010-0000-0000-000006000000}" name="Pode_Auditar"/>
    <tableColumn id="7" xr3:uid="{00000000-0010-0000-0000-000007000000}" name="Horas_Auditoria"/>
    <tableColumn id="8" xr3:uid="{00000000-0010-0000-0000-000008000000}" name="Avaliacao_Desempenho"/>
    <tableColumn id="9" xr3:uid="{00000000-0010-0000-0000-000009000000}" name="Nao_Pode_Auditar"/>
    <tableColumn id="10" xr3:uid="{00000000-0010-0000-0000-00000A000000}" name="Competencia_Remota"/>
    <tableColumn id="11" xr3:uid="{00000000-0010-0000-0000-00000B000000}" name="Ultima_Formacao"/>
    <tableColumn id="12" xr3:uid="{00000000-0010-0000-0000-00000C000000}" name="Qualificad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priorizacao" displayName="tbl_priorizacao" ref="A4:Q22">
  <autoFilter ref="A4:Q22" xr:uid="{00000000-0009-0000-0100-000002000000}"/>
  <tableColumns count="17">
    <tableColumn id="1" xr3:uid="{00000000-0010-0000-0100-000001000000}" name="Processo"/>
    <tableColumn id="2" xr3:uid="{00000000-0010-0000-0100-000002000000}" name="Nome"/>
    <tableColumn id="3" xr3:uid="{00000000-0010-0000-0100-000003000000}" name="Importancia"/>
    <tableColumn id="4" xr3:uid="{00000000-0010-0000-0100-000004000000}" name="NC_Periodo"/>
    <tableColumn id="5" xr3:uid="{00000000-0010-0000-0100-000005000000}" name="Reclamacoes_Periodo"/>
    <tableColumn id="6" xr3:uid="{00000000-0010-0000-0100-000006000000}" name="Alteracoes_2026"/>
    <tableColumn id="7" xr3:uid="{00000000-0010-0000-0100-000007000000}" name="Resultado_Auditoria_Anterior"/>
    <tableColumn id="8" xr3:uid="{00000000-0010-0000-0100-000008000000}" name="Requisitos_Criticos"/>
    <tableColumn id="9" xr3:uid="{00000000-0010-0000-0100-000009000000}" name="Ultima_Auditoria"/>
    <tableColumn id="10" xr3:uid="{00000000-0010-0000-0100-00000A000000}" name="Pts_NC"/>
    <tableColumn id="11" xr3:uid="{00000000-0010-0000-0100-00000B000000}" name="Pts_Reclamacoes"/>
    <tableColumn id="12" xr3:uid="{00000000-0010-0000-0100-00000C000000}" name="Pts_Alteracoes"/>
    <tableColumn id="13" xr3:uid="{00000000-0010-0000-0100-00000D000000}" name="Score_Risco"/>
    <tableColumn id="14" xr3:uid="{00000000-0010-0000-0100-00000E000000}" name="Frequencia_Meses"/>
    <tableColumn id="15" xr3:uid="{00000000-0010-0000-0100-00000F000000}" name="Proxima_Auditoria"/>
    <tableColumn id="16" xr3:uid="{00000000-0010-0000-0100-000010000000}" name="Coberto_Programa"/>
    <tableColumn id="17" xr3:uid="{00000000-0010-0000-0100-000011000000}" name="Alerta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programa_auditorias" displayName="tbl_programa_auditorias" ref="A4:L13">
  <autoFilter ref="A4:L13" xr:uid="{00000000-0009-0000-0100-000003000000}"/>
  <tableColumns count="12">
    <tableColumn id="1" xr3:uid="{00000000-0010-0000-0200-000001000000}" name="ID_Auditoria"/>
    <tableColumn id="2" xr3:uid="{00000000-0010-0000-0200-000002000000}" name="Ambito"/>
    <tableColumn id="3" xr3:uid="{00000000-0010-0000-0200-000003000000}" name="Objetivo"/>
    <tableColumn id="4" xr3:uid="{00000000-0010-0000-0200-000004000000}" name="Criterios"/>
    <tableColumn id="5" xr3:uid="{00000000-0010-0000-0200-000005000000}" name="Metodo"/>
    <tableColumn id="6" xr3:uid="{00000000-0010-0000-0200-000006000000}" name="Equipa_Auditora"/>
    <tableColumn id="7" xr3:uid="{00000000-0010-0000-0200-000007000000}" name="Data_Planeada"/>
    <tableColumn id="8" xr3:uid="{00000000-0010-0000-0200-000008000000}" name="Data_Real"/>
    <tableColumn id="9" xr3:uid="{00000000-0010-0000-0200-000009000000}" name="Estado"/>
    <tableColumn id="10" xr3:uid="{00000000-0010-0000-0200-00000A000000}" name="N_Constatacoes"/>
    <tableColumn id="11" xr3:uid="{00000000-0010-0000-0200-00000B000000}" name="N_NC"/>
    <tableColumn id="12" xr3:uid="{00000000-0010-0000-0200-00000C000000}" name="Relatorio_Emitido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riscos_programa" displayName="tbl_riscos_programa" ref="A1:E8">
  <autoFilter ref="A1:E8" xr:uid="{00000000-0009-0000-0100-000004000000}"/>
  <tableColumns count="5">
    <tableColumn id="1" xr3:uid="{00000000-0010-0000-0300-000001000000}" name="ID"/>
    <tableColumn id="2" xr3:uid="{00000000-0010-0000-0300-000002000000}" name="Tipo"/>
    <tableColumn id="3" xr3:uid="{00000000-0010-0000-0300-000003000000}" name="Descricao"/>
    <tableColumn id="4" xr3:uid="{00000000-0010-0000-0300-000004000000}" name="Efeito"/>
    <tableColumn id="5" xr3:uid="{00000000-0010-0000-0300-000005000000}" name="Tratamento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checklist_aud" displayName="tbl_checklist_aud" ref="A1:G31">
  <autoFilter ref="A1:G31" xr:uid="{00000000-0009-0000-0100-000005000000}"/>
  <tableColumns count="7">
    <tableColumn id="1" xr3:uid="{00000000-0010-0000-0400-000001000000}" name="ID_Pergunta"/>
    <tableColumn id="2" xr3:uid="{00000000-0010-0000-0400-000002000000}" name="ID_Auditoria"/>
    <tableColumn id="3" xr3:uid="{00000000-0010-0000-0400-000003000000}" name="Clausula"/>
    <tableColumn id="4" xr3:uid="{00000000-0010-0000-0400-000004000000}" name="Processo_Auditado"/>
    <tableColumn id="5" xr3:uid="{00000000-0010-0000-0400-000005000000}" name="Questao_Auditoria"/>
    <tableColumn id="6" xr3:uid="{00000000-0010-0000-0400-000006000000}" name="Evidencia_Objetiva"/>
    <tableColumn id="7" xr3:uid="{00000000-0010-0000-0400-000007000000}" name="Resultado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constatacoes" displayName="tbl_constatacoes" ref="A4:L27">
  <autoFilter ref="A4:L27" xr:uid="{00000000-0009-0000-0100-000006000000}"/>
  <tableColumns count="12">
    <tableColumn id="1" xr3:uid="{00000000-0010-0000-0500-000001000000}" name="ID_Constatacao"/>
    <tableColumn id="2" xr3:uid="{00000000-0010-0000-0500-000002000000}" name="ID_Auditoria"/>
    <tableColumn id="3" xr3:uid="{00000000-0010-0000-0500-000003000000}" name="Clausula"/>
    <tableColumn id="4" xr3:uid="{00000000-0010-0000-0500-000004000000}" name="Classificacao"/>
    <tableColumn id="5" xr3:uid="{00000000-0010-0000-0500-000005000000}" name="Processo_Auditado"/>
    <tableColumn id="6" xr3:uid="{00000000-0010-0000-0500-000006000000}" name="Constatacao"/>
    <tableColumn id="7" xr3:uid="{00000000-0010-0000-0500-000007000000}" name="Evidencia_Objetiva"/>
    <tableColumn id="8" xr3:uid="{00000000-0010-0000-0500-000008000000}" name="ID_CAPA"/>
    <tableColumn id="9" xr3:uid="{00000000-0010-0000-0500-000009000000}" name="Prazo"/>
    <tableColumn id="10" xr3:uid="{00000000-0010-0000-0500-00000A000000}" name="Estado"/>
    <tableColumn id="11" xr3:uid="{00000000-0010-0000-0500-00000B000000}" name="Data_Fecho"/>
    <tableColumn id="12" xr3:uid="{00000000-0010-0000-0500-00000C000000}" name="Controlo_Qualidade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dicionario" displayName="tbl_dicionario" ref="A1:I66">
  <autoFilter ref="A1:I66" xr:uid="{00000000-0009-0000-0100-000007000000}"/>
  <tableColumns count="9">
    <tableColumn id="1" xr3:uid="{00000000-0010-0000-0600-000001000000}" name="Folha"/>
    <tableColumn id="2" xr3:uid="{00000000-0010-0000-0600-000002000000}" name="Tabela"/>
    <tableColumn id="3" xr3:uid="{00000000-0010-0000-0600-000003000000}" name="Coluna"/>
    <tableColumn id="4" xr3:uid="{00000000-0010-0000-0600-000004000000}" name="Tipo"/>
    <tableColumn id="5" xr3:uid="{00000000-0010-0000-0600-000005000000}" name="Origem"/>
    <tableColumn id="6" xr3:uid="{00000000-0010-0000-0600-000006000000}" name="Descricao"/>
    <tableColumn id="7" xr3:uid="{00000000-0010-0000-0600-000007000000}" name="Dominio_Unidade"/>
    <tableColumn id="8" xr3:uid="{00000000-0010-0000-0600-000008000000}" name="Obrigatorio"/>
    <tableColumn id="9" xr3:uid="{00000000-0010-0000-06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48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39.6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ht="39.6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ht="26.4" x14ac:dyDescent="0.3">
      <c r="A21" s="5" t="s">
        <v>28</v>
      </c>
      <c r="B21" s="6" t="s">
        <v>29</v>
      </c>
    </row>
    <row r="22" spans="1:2" ht="26.4" x14ac:dyDescent="0.3">
      <c r="A22" s="5" t="s">
        <v>30</v>
      </c>
      <c r="B22" s="6" t="s">
        <v>31</v>
      </c>
    </row>
    <row r="23" spans="1:2" ht="26.4" x14ac:dyDescent="0.3">
      <c r="A23" s="5" t="s">
        <v>32</v>
      </c>
      <c r="B23" s="6" t="s">
        <v>33</v>
      </c>
    </row>
    <row r="24" spans="1:2" ht="26.4" x14ac:dyDescent="0.3">
      <c r="A24" s="5" t="s">
        <v>34</v>
      </c>
      <c r="B24" s="6" t="s">
        <v>35</v>
      </c>
    </row>
    <row r="26" spans="1:2" x14ac:dyDescent="0.3">
      <c r="A26" s="3" t="s">
        <v>36</v>
      </c>
      <c r="B26" s="4"/>
    </row>
    <row r="27" spans="1:2" x14ac:dyDescent="0.3">
      <c r="A27" s="5" t="s">
        <v>37</v>
      </c>
      <c r="B27" s="6" t="s">
        <v>38</v>
      </c>
    </row>
    <row r="28" spans="1:2" x14ac:dyDescent="0.3">
      <c r="A28" s="5" t="s">
        <v>39</v>
      </c>
      <c r="B28" s="6" t="s">
        <v>40</v>
      </c>
    </row>
    <row r="29" spans="1:2" x14ac:dyDescent="0.3">
      <c r="A29" s="5" t="s">
        <v>41</v>
      </c>
      <c r="B29" s="6" t="s">
        <v>42</v>
      </c>
    </row>
    <row r="30" spans="1:2" x14ac:dyDescent="0.3">
      <c r="A30" s="5" t="s">
        <v>43</v>
      </c>
      <c r="B30" s="6" t="s">
        <v>44</v>
      </c>
    </row>
    <row r="31" spans="1:2" x14ac:dyDescent="0.3">
      <c r="A31" s="5" t="s">
        <v>45</v>
      </c>
      <c r="B31" s="6" t="s">
        <v>46</v>
      </c>
    </row>
    <row r="32" spans="1:2" x14ac:dyDescent="0.3">
      <c r="A32" s="5" t="s">
        <v>47</v>
      </c>
      <c r="B32" s="6" t="s">
        <v>48</v>
      </c>
    </row>
    <row r="33" spans="1:2" x14ac:dyDescent="0.3">
      <c r="A33" s="5" t="s">
        <v>49</v>
      </c>
      <c r="B33" s="6" t="s">
        <v>50</v>
      </c>
    </row>
    <row r="34" spans="1:2" x14ac:dyDescent="0.3">
      <c r="A34" s="5" t="s">
        <v>51</v>
      </c>
      <c r="B34" s="6" t="s">
        <v>52</v>
      </c>
    </row>
    <row r="35" spans="1:2" x14ac:dyDescent="0.3">
      <c r="A35" s="5" t="s">
        <v>53</v>
      </c>
      <c r="B35" s="6" t="s">
        <v>54</v>
      </c>
    </row>
    <row r="37" spans="1:2" x14ac:dyDescent="0.3">
      <c r="A37" s="3" t="s">
        <v>55</v>
      </c>
      <c r="B37" s="4"/>
    </row>
    <row r="38" spans="1:2" ht="26.4" x14ac:dyDescent="0.3">
      <c r="A38" s="5" t="s">
        <v>56</v>
      </c>
      <c r="B38" s="6" t="s">
        <v>57</v>
      </c>
    </row>
    <row r="39" spans="1:2" x14ac:dyDescent="0.3">
      <c r="A39" s="5" t="s">
        <v>58</v>
      </c>
      <c r="B39" s="6" t="s">
        <v>59</v>
      </c>
    </row>
    <row r="40" spans="1:2" x14ac:dyDescent="0.3">
      <c r="A40" s="5" t="s">
        <v>60</v>
      </c>
      <c r="B40" s="6" t="s">
        <v>61</v>
      </c>
    </row>
    <row r="41" spans="1:2" ht="26.4" x14ac:dyDescent="0.3">
      <c r="A41" s="5" t="s">
        <v>62</v>
      </c>
      <c r="B41" s="6" t="s">
        <v>63</v>
      </c>
    </row>
    <row r="42" spans="1:2" ht="26.4" x14ac:dyDescent="0.3">
      <c r="A42" s="5" t="s">
        <v>64</v>
      </c>
      <c r="B42" s="6" t="s">
        <v>65</v>
      </c>
    </row>
    <row r="43" spans="1:2" ht="39.6" x14ac:dyDescent="0.3">
      <c r="A43" s="5" t="s">
        <v>66</v>
      </c>
      <c r="B43" s="6" t="s">
        <v>67</v>
      </c>
    </row>
    <row r="45" spans="1:2" x14ac:dyDescent="0.3">
      <c r="A45" s="3" t="s">
        <v>68</v>
      </c>
      <c r="B45" s="4"/>
    </row>
    <row r="46" spans="1:2" x14ac:dyDescent="0.3">
      <c r="A46" s="5" t="s">
        <v>69</v>
      </c>
      <c r="B46" s="6" t="s">
        <v>70</v>
      </c>
    </row>
    <row r="47" spans="1:2" x14ac:dyDescent="0.3">
      <c r="A47" s="5" t="s">
        <v>71</v>
      </c>
      <c r="B47" s="6" t="s">
        <v>72</v>
      </c>
    </row>
    <row r="48" spans="1:2" x14ac:dyDescent="0.3">
      <c r="A48" s="5" t="s">
        <v>73</v>
      </c>
      <c r="B48" s="6" t="s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0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22" customWidth="1"/>
    <col min="3" max="3" width="24" customWidth="1"/>
    <col min="4" max="4" width="36" customWidth="1"/>
    <col min="5" max="6" width="30" customWidth="1"/>
    <col min="7" max="7" width="8" customWidth="1"/>
    <col min="8" max="8" width="9" customWidth="1"/>
    <col min="9" max="9" width="14" customWidth="1"/>
    <col min="10" max="10" width="9" customWidth="1"/>
    <col min="11" max="11" width="11" customWidth="1"/>
    <col min="12" max="12" width="9" customWidth="1"/>
  </cols>
  <sheetData>
    <row r="1" spans="1:12" ht="17.399999999999999" x14ac:dyDescent="0.3">
      <c r="A1" s="1" t="s">
        <v>75</v>
      </c>
    </row>
    <row r="4" spans="1:12" ht="39.6" x14ac:dyDescent="0.3">
      <c r="A4" s="8" t="s">
        <v>76</v>
      </c>
      <c r="B4" s="8" t="s">
        <v>77</v>
      </c>
      <c r="C4" s="8" t="s">
        <v>78</v>
      </c>
      <c r="D4" s="8" t="s">
        <v>79</v>
      </c>
      <c r="E4" s="8" t="s">
        <v>80</v>
      </c>
      <c r="F4" s="8" t="s">
        <v>81</v>
      </c>
      <c r="G4" s="8" t="s">
        <v>82</v>
      </c>
      <c r="H4" s="8" t="s">
        <v>83</v>
      </c>
      <c r="I4" s="8" t="s">
        <v>84</v>
      </c>
      <c r="J4" s="8" t="s">
        <v>85</v>
      </c>
      <c r="K4" s="8" t="s">
        <v>86</v>
      </c>
      <c r="L4" s="9" t="s">
        <v>87</v>
      </c>
    </row>
    <row r="5" spans="1:12" ht="30" customHeight="1" x14ac:dyDescent="0.3">
      <c r="A5" s="10" t="s">
        <v>88</v>
      </c>
      <c r="B5" s="10" t="s">
        <v>11</v>
      </c>
      <c r="C5" s="10" t="s">
        <v>11</v>
      </c>
      <c r="D5" s="10" t="s">
        <v>89</v>
      </c>
      <c r="E5" s="10" t="s">
        <v>90</v>
      </c>
      <c r="F5" s="10" t="s">
        <v>91</v>
      </c>
      <c r="G5" s="11">
        <v>28</v>
      </c>
      <c r="H5" s="12">
        <v>4.5999999999999996</v>
      </c>
      <c r="I5" s="10" t="s">
        <v>92</v>
      </c>
      <c r="J5" s="10" t="s">
        <v>93</v>
      </c>
      <c r="K5" s="13">
        <v>46287</v>
      </c>
      <c r="L5" s="14" t="str">
        <f t="shared" ref="L5:L10" si="0">IF(A5="","",IF(AND(G5&gt;=6,H5&gt;=3.5),"Sim","Em observação"))</f>
        <v>Sim</v>
      </c>
    </row>
    <row r="6" spans="1:12" ht="30" customHeight="1" x14ac:dyDescent="0.3">
      <c r="A6" s="10" t="s">
        <v>94</v>
      </c>
      <c r="B6" s="10" t="s">
        <v>95</v>
      </c>
      <c r="C6" s="10" t="s">
        <v>96</v>
      </c>
      <c r="D6" s="10" t="s">
        <v>97</v>
      </c>
      <c r="E6" s="10" t="s">
        <v>98</v>
      </c>
      <c r="F6" s="10" t="s">
        <v>99</v>
      </c>
      <c r="G6" s="11">
        <v>9</v>
      </c>
      <c r="H6" s="12">
        <v>4.2</v>
      </c>
      <c r="I6" s="10" t="s">
        <v>100</v>
      </c>
      <c r="J6" s="10" t="s">
        <v>93</v>
      </c>
      <c r="K6" s="13">
        <v>46287</v>
      </c>
      <c r="L6" s="14" t="str">
        <f t="shared" si="0"/>
        <v>Sim</v>
      </c>
    </row>
    <row r="7" spans="1:12" ht="30" customHeight="1" x14ac:dyDescent="0.3">
      <c r="A7" s="10" t="s">
        <v>101</v>
      </c>
      <c r="B7" s="10" t="s">
        <v>102</v>
      </c>
      <c r="C7" s="10" t="s">
        <v>96</v>
      </c>
      <c r="D7" s="10" t="s">
        <v>97</v>
      </c>
      <c r="E7" s="10" t="s">
        <v>103</v>
      </c>
      <c r="F7" s="10" t="s">
        <v>104</v>
      </c>
      <c r="G7" s="11">
        <v>11</v>
      </c>
      <c r="H7" s="12">
        <v>4</v>
      </c>
      <c r="I7" s="10" t="s">
        <v>105</v>
      </c>
      <c r="J7" s="10" t="s">
        <v>93</v>
      </c>
      <c r="K7" s="13">
        <v>46287</v>
      </c>
      <c r="L7" s="14" t="str">
        <f t="shared" si="0"/>
        <v>Sim</v>
      </c>
    </row>
    <row r="8" spans="1:12" ht="30" customHeight="1" x14ac:dyDescent="0.3">
      <c r="A8" s="10" t="s">
        <v>106</v>
      </c>
      <c r="B8" s="10" t="s">
        <v>107</v>
      </c>
      <c r="C8" s="10" t="s">
        <v>108</v>
      </c>
      <c r="D8" s="10" t="s">
        <v>97</v>
      </c>
      <c r="E8" s="10" t="s">
        <v>109</v>
      </c>
      <c r="F8" s="10" t="s">
        <v>110</v>
      </c>
      <c r="G8" s="11">
        <v>6</v>
      </c>
      <c r="H8" s="12">
        <v>4.4000000000000004</v>
      </c>
      <c r="I8" s="10" t="s">
        <v>100</v>
      </c>
      <c r="J8" s="10" t="s">
        <v>93</v>
      </c>
      <c r="K8" s="13">
        <v>46287</v>
      </c>
      <c r="L8" s="14" t="str">
        <f t="shared" si="0"/>
        <v>Sim</v>
      </c>
    </row>
    <row r="9" spans="1:12" ht="30" customHeight="1" x14ac:dyDescent="0.3">
      <c r="A9" s="10" t="s">
        <v>111</v>
      </c>
      <c r="B9" s="10" t="s">
        <v>112</v>
      </c>
      <c r="C9" s="10" t="s">
        <v>113</v>
      </c>
      <c r="D9" s="10" t="s">
        <v>114</v>
      </c>
      <c r="E9" s="10" t="s">
        <v>115</v>
      </c>
      <c r="F9" s="10" t="s">
        <v>116</v>
      </c>
      <c r="G9" s="11">
        <v>60</v>
      </c>
      <c r="H9" s="12">
        <v>4.7</v>
      </c>
      <c r="I9" s="10" t="s">
        <v>117</v>
      </c>
      <c r="J9" s="10" t="s">
        <v>93</v>
      </c>
      <c r="K9" s="13">
        <v>46096</v>
      </c>
      <c r="L9" s="14" t="str">
        <f t="shared" si="0"/>
        <v>Sim</v>
      </c>
    </row>
    <row r="10" spans="1:12" ht="30" customHeight="1" x14ac:dyDescent="0.3">
      <c r="A10" s="10" t="s">
        <v>118</v>
      </c>
      <c r="B10" s="10" t="s">
        <v>119</v>
      </c>
      <c r="C10" s="10" t="s">
        <v>120</v>
      </c>
      <c r="D10" s="10" t="s">
        <v>121</v>
      </c>
      <c r="E10" s="10" t="s">
        <v>122</v>
      </c>
      <c r="F10" s="10" t="s">
        <v>123</v>
      </c>
      <c r="G10" s="11">
        <v>14</v>
      </c>
      <c r="H10" s="12">
        <v>4.0999999999999996</v>
      </c>
      <c r="I10" s="10" t="s">
        <v>117</v>
      </c>
      <c r="J10" s="10" t="s">
        <v>93</v>
      </c>
      <c r="K10" s="13">
        <v>46287</v>
      </c>
      <c r="L10" s="14" t="str">
        <f t="shared" si="0"/>
        <v>Sim</v>
      </c>
    </row>
  </sheetData>
  <conditionalFormatting sqref="L5:L210">
    <cfRule type="expression" dxfId="22" priority="1">
      <formula>ISNUMBER(SEARCH("Sim",L5))</formula>
    </cfRule>
    <cfRule type="expression" dxfId="21" priority="2">
      <formula>ISNUMBER(SEARCH("observação",L5))</formula>
    </cfRule>
  </conditionalFormatting>
  <dataValidations count="1">
    <dataValidation type="list" allowBlank="1" showErrorMessage="1" errorTitle="Valor inválido" error="Valor fora da lista controlada (ver folha Listas)." sqref="J5:J210" xr:uid="{00000000-0002-0000-0100-000000000000}">
      <formula1>lst_SimNao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22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40" customWidth="1"/>
    <col min="3" max="4" width="8" customWidth="1"/>
    <col min="5" max="5" width="9" customWidth="1"/>
    <col min="6" max="6" width="8" customWidth="1"/>
    <col min="7" max="7" width="9" customWidth="1"/>
    <col min="8" max="8" width="8" customWidth="1"/>
    <col min="9" max="9" width="11" customWidth="1"/>
    <col min="10" max="10" width="6" customWidth="1"/>
    <col min="11" max="13" width="7" customWidth="1"/>
    <col min="14" max="14" width="9" customWidth="1"/>
    <col min="15" max="15" width="11" customWidth="1"/>
    <col min="16" max="17" width="12" customWidth="1"/>
  </cols>
  <sheetData>
    <row r="1" spans="1:17" ht="17.399999999999999" x14ac:dyDescent="0.3">
      <c r="A1" s="1" t="s">
        <v>124</v>
      </c>
    </row>
    <row r="2" spans="1:17" x14ac:dyDescent="0.3">
      <c r="A2" s="2" t="s">
        <v>125</v>
      </c>
    </row>
    <row r="4" spans="1:17" ht="52.8" x14ac:dyDescent="0.3">
      <c r="A4" s="8" t="s">
        <v>126</v>
      </c>
      <c r="B4" s="8" t="s">
        <v>77</v>
      </c>
      <c r="C4" s="8" t="s">
        <v>127</v>
      </c>
      <c r="D4" s="8" t="s">
        <v>128</v>
      </c>
      <c r="E4" s="8" t="s">
        <v>129</v>
      </c>
      <c r="F4" s="8" t="s">
        <v>130</v>
      </c>
      <c r="G4" s="8" t="s">
        <v>131</v>
      </c>
      <c r="H4" s="8" t="s">
        <v>132</v>
      </c>
      <c r="I4" s="8" t="s">
        <v>133</v>
      </c>
      <c r="J4" s="9" t="s">
        <v>134</v>
      </c>
      <c r="K4" s="9" t="s">
        <v>135</v>
      </c>
      <c r="L4" s="9" t="s">
        <v>136</v>
      </c>
      <c r="M4" s="9" t="s">
        <v>137</v>
      </c>
      <c r="N4" s="9" t="s">
        <v>138</v>
      </c>
      <c r="O4" s="9" t="s">
        <v>139</v>
      </c>
      <c r="P4" s="9" t="s">
        <v>140</v>
      </c>
      <c r="Q4" s="9" t="s">
        <v>141</v>
      </c>
    </row>
    <row r="5" spans="1:17" ht="18" customHeight="1" x14ac:dyDescent="0.3">
      <c r="A5" s="10" t="s">
        <v>142</v>
      </c>
      <c r="B5" s="10" t="s">
        <v>143</v>
      </c>
      <c r="C5" s="11">
        <v>3</v>
      </c>
      <c r="D5" s="11">
        <v>0</v>
      </c>
      <c r="E5" s="11">
        <v>0</v>
      </c>
      <c r="F5" s="11">
        <v>0</v>
      </c>
      <c r="G5" s="11">
        <v>1</v>
      </c>
      <c r="H5" s="11">
        <v>2</v>
      </c>
      <c r="I5" s="13">
        <v>46365</v>
      </c>
      <c r="J5" s="15">
        <f t="shared" ref="J5:J22" si="0">IF(D5&gt;=300,3,IF(D5&gt;=50,2,IF(D5&gt;0,1,0)))</f>
        <v>0</v>
      </c>
      <c r="K5" s="15">
        <f t="shared" ref="K5:K22" si="1">IF(E5&gt;=40,3,IF(E5&gt;=10,2,IF(E5&gt;0,1,0)))</f>
        <v>0</v>
      </c>
      <c r="L5" s="15">
        <f t="shared" ref="L5:L22" si="2">MIN(3,F5)</f>
        <v>0</v>
      </c>
      <c r="M5" s="15">
        <f t="shared" ref="M5:M22" si="3">C5*2+J5+K5+L5+G5+H5</f>
        <v>9</v>
      </c>
      <c r="N5" s="15">
        <f t="shared" ref="N5:N22" si="4">IF(M5&gt;=16,6,IF(M5&gt;=11,12,18))</f>
        <v>18</v>
      </c>
      <c r="O5" s="16">
        <f t="shared" ref="O5:O22" si="5">EDATE(I5,N5)</f>
        <v>46913</v>
      </c>
      <c r="P5" s="14" t="str">
        <f>IF(COUNTIF(tbl_programa_auditorias[Ambito],"*("&amp;A5&amp;"*")+COUNTIF(tbl_programa_auditorias[Ambito],"* "&amp;A5&amp;",*")+COUNTIF(tbl_programa_auditorias[Ambito],"* "&amp;A5&amp;")*")+COUNTIF(tbl_programa_auditorias[Ambito],"* "&amp;A5&amp;" *")&gt;0,"Sim","Verificar")</f>
        <v>Sim</v>
      </c>
      <c r="Q5" s="14" t="str">
        <f t="shared" ref="Q5:Q22" si="6">IF(O5&lt;DataRef,"Auditoria vencida",IF(O5&lt;DataRef+90,"Nos próximos 90 d","OK"))</f>
        <v>OK</v>
      </c>
    </row>
    <row r="6" spans="1:17" ht="18" customHeight="1" x14ac:dyDescent="0.3">
      <c r="A6" s="10" t="s">
        <v>144</v>
      </c>
      <c r="B6" s="10" t="s">
        <v>145</v>
      </c>
      <c r="C6" s="11">
        <v>3</v>
      </c>
      <c r="D6" s="11">
        <v>0</v>
      </c>
      <c r="E6" s="11">
        <v>0</v>
      </c>
      <c r="F6" s="11">
        <v>1</v>
      </c>
      <c r="G6" s="11">
        <v>3</v>
      </c>
      <c r="H6" s="11">
        <v>2</v>
      </c>
      <c r="I6" s="13">
        <v>46343</v>
      </c>
      <c r="J6" s="15">
        <f t="shared" si="0"/>
        <v>0</v>
      </c>
      <c r="K6" s="15">
        <f t="shared" si="1"/>
        <v>0</v>
      </c>
      <c r="L6" s="15">
        <f t="shared" si="2"/>
        <v>1</v>
      </c>
      <c r="M6" s="15">
        <f t="shared" si="3"/>
        <v>12</v>
      </c>
      <c r="N6" s="15">
        <f t="shared" si="4"/>
        <v>12</v>
      </c>
      <c r="O6" s="16">
        <f t="shared" si="5"/>
        <v>46708</v>
      </c>
      <c r="P6" s="14" t="str">
        <f>IF(COUNTIF(tbl_programa_auditorias[Ambito],"*("&amp;A6&amp;"*")+COUNTIF(tbl_programa_auditorias[Ambito],"* "&amp;A6&amp;",*")+COUNTIF(tbl_programa_auditorias[Ambito],"* "&amp;A6&amp;")*")+COUNTIF(tbl_programa_auditorias[Ambito],"* "&amp;A6&amp;" *")&gt;0,"Sim","Verificar")</f>
        <v>Sim</v>
      </c>
      <c r="Q6" s="14" t="str">
        <f t="shared" si="6"/>
        <v>OK</v>
      </c>
    </row>
    <row r="7" spans="1:17" ht="18" customHeight="1" x14ac:dyDescent="0.3">
      <c r="A7" s="10" t="s">
        <v>146</v>
      </c>
      <c r="B7" s="10" t="s">
        <v>147</v>
      </c>
      <c r="C7" s="11">
        <v>3</v>
      </c>
      <c r="D7" s="11">
        <v>0</v>
      </c>
      <c r="E7" s="11">
        <v>0</v>
      </c>
      <c r="F7" s="11">
        <v>1</v>
      </c>
      <c r="G7" s="11">
        <v>2</v>
      </c>
      <c r="H7" s="11">
        <v>2</v>
      </c>
      <c r="I7" s="13">
        <v>46315</v>
      </c>
      <c r="J7" s="15">
        <f t="shared" si="0"/>
        <v>0</v>
      </c>
      <c r="K7" s="15">
        <f t="shared" si="1"/>
        <v>0</v>
      </c>
      <c r="L7" s="15">
        <f t="shared" si="2"/>
        <v>1</v>
      </c>
      <c r="M7" s="15">
        <f t="shared" si="3"/>
        <v>11</v>
      </c>
      <c r="N7" s="15">
        <f t="shared" si="4"/>
        <v>12</v>
      </c>
      <c r="O7" s="16">
        <f t="shared" si="5"/>
        <v>46680</v>
      </c>
      <c r="P7" s="14" t="str">
        <f>IF(COUNTIF(tbl_programa_auditorias[Ambito],"*("&amp;A7&amp;"*")+COUNTIF(tbl_programa_auditorias[Ambito],"* "&amp;A7&amp;",*")+COUNTIF(tbl_programa_auditorias[Ambito],"* "&amp;A7&amp;")*")+COUNTIF(tbl_programa_auditorias[Ambito],"* "&amp;A7&amp;" *")&gt;0,"Sim","Verificar")</f>
        <v>Sim</v>
      </c>
      <c r="Q7" s="14" t="str">
        <f t="shared" si="6"/>
        <v>OK</v>
      </c>
    </row>
    <row r="8" spans="1:17" ht="18" customHeight="1" x14ac:dyDescent="0.3">
      <c r="A8" s="10" t="s">
        <v>148</v>
      </c>
      <c r="B8" s="10" t="s">
        <v>149</v>
      </c>
      <c r="C8" s="11">
        <v>3</v>
      </c>
      <c r="D8" s="11">
        <v>0</v>
      </c>
      <c r="E8" s="11">
        <v>0</v>
      </c>
      <c r="F8" s="11">
        <v>2</v>
      </c>
      <c r="G8" s="11">
        <v>2</v>
      </c>
      <c r="H8" s="11">
        <v>3</v>
      </c>
      <c r="I8" s="13">
        <v>46315</v>
      </c>
      <c r="J8" s="15">
        <f t="shared" si="0"/>
        <v>0</v>
      </c>
      <c r="K8" s="15">
        <f t="shared" si="1"/>
        <v>0</v>
      </c>
      <c r="L8" s="15">
        <f t="shared" si="2"/>
        <v>2</v>
      </c>
      <c r="M8" s="15">
        <f t="shared" si="3"/>
        <v>13</v>
      </c>
      <c r="N8" s="15">
        <f t="shared" si="4"/>
        <v>12</v>
      </c>
      <c r="O8" s="16">
        <f t="shared" si="5"/>
        <v>46680</v>
      </c>
      <c r="P8" s="14" t="str">
        <f>IF(COUNTIF(tbl_programa_auditorias[Ambito],"*("&amp;A8&amp;"*")+COUNTIF(tbl_programa_auditorias[Ambito],"* "&amp;A8&amp;",*")+COUNTIF(tbl_programa_auditorias[Ambito],"* "&amp;A8&amp;")*")+COUNTIF(tbl_programa_auditorias[Ambito],"* "&amp;A8&amp;" *")&gt;0,"Sim","Verificar")</f>
        <v>Sim</v>
      </c>
      <c r="Q8" s="14" t="str">
        <f t="shared" si="6"/>
        <v>OK</v>
      </c>
    </row>
    <row r="9" spans="1:17" ht="18" customHeight="1" x14ac:dyDescent="0.3">
      <c r="A9" s="10" t="s">
        <v>150</v>
      </c>
      <c r="B9" s="10" t="s">
        <v>151</v>
      </c>
      <c r="C9" s="11">
        <v>2</v>
      </c>
      <c r="D9" s="11">
        <v>0</v>
      </c>
      <c r="E9" s="11">
        <v>0</v>
      </c>
      <c r="F9" s="11">
        <v>1</v>
      </c>
      <c r="G9" s="11">
        <v>2</v>
      </c>
      <c r="H9" s="11">
        <v>1</v>
      </c>
      <c r="I9" s="13">
        <v>46350</v>
      </c>
      <c r="J9" s="15">
        <f t="shared" si="0"/>
        <v>0</v>
      </c>
      <c r="K9" s="15">
        <f t="shared" si="1"/>
        <v>0</v>
      </c>
      <c r="L9" s="15">
        <f t="shared" si="2"/>
        <v>1</v>
      </c>
      <c r="M9" s="15">
        <f t="shared" si="3"/>
        <v>8</v>
      </c>
      <c r="N9" s="15">
        <f t="shared" si="4"/>
        <v>18</v>
      </c>
      <c r="O9" s="16">
        <f t="shared" si="5"/>
        <v>46897</v>
      </c>
      <c r="P9" s="14" t="str">
        <f>IF(COUNTIF(tbl_programa_auditorias[Ambito],"*("&amp;A9&amp;"*")+COUNTIF(tbl_programa_auditorias[Ambito],"* "&amp;A9&amp;",*")+COUNTIF(tbl_programa_auditorias[Ambito],"* "&amp;A9&amp;")*")+COUNTIF(tbl_programa_auditorias[Ambito],"* "&amp;A9&amp;" *")&gt;0,"Sim","Verificar")</f>
        <v>Sim</v>
      </c>
      <c r="Q9" s="14" t="str">
        <f t="shared" si="6"/>
        <v>OK</v>
      </c>
    </row>
    <row r="10" spans="1:17" ht="18" customHeight="1" x14ac:dyDescent="0.3">
      <c r="A10" s="10" t="s">
        <v>152</v>
      </c>
      <c r="B10" s="10" t="s">
        <v>153</v>
      </c>
      <c r="C10" s="11">
        <v>3</v>
      </c>
      <c r="D10" s="11">
        <v>0</v>
      </c>
      <c r="E10" s="11">
        <v>0</v>
      </c>
      <c r="F10" s="11">
        <v>2</v>
      </c>
      <c r="G10" s="11">
        <v>3</v>
      </c>
      <c r="H10" s="11">
        <v>3</v>
      </c>
      <c r="I10" s="13">
        <v>46091</v>
      </c>
      <c r="J10" s="15">
        <f t="shared" si="0"/>
        <v>0</v>
      </c>
      <c r="K10" s="15">
        <f t="shared" si="1"/>
        <v>0</v>
      </c>
      <c r="L10" s="15">
        <f t="shared" si="2"/>
        <v>2</v>
      </c>
      <c r="M10" s="15">
        <f t="shared" si="3"/>
        <v>14</v>
      </c>
      <c r="N10" s="15">
        <f t="shared" si="4"/>
        <v>12</v>
      </c>
      <c r="O10" s="16">
        <f t="shared" si="5"/>
        <v>46456</v>
      </c>
      <c r="P10" s="14" t="str">
        <f>IF(COUNTIF(tbl_programa_auditorias[Ambito],"*("&amp;A10&amp;"*")+COUNTIF(tbl_programa_auditorias[Ambito],"* "&amp;A10&amp;",*")+COUNTIF(tbl_programa_auditorias[Ambito],"* "&amp;A10&amp;")*")+COUNTIF(tbl_programa_auditorias[Ambito],"* "&amp;A10&amp;" *")&gt;0,"Sim","Verificar")</f>
        <v>Sim</v>
      </c>
      <c r="Q10" s="14" t="str">
        <f t="shared" si="6"/>
        <v>Nos próximos 90 d</v>
      </c>
    </row>
    <row r="11" spans="1:17" ht="18" customHeight="1" x14ac:dyDescent="0.3">
      <c r="A11" s="10" t="s">
        <v>154</v>
      </c>
      <c r="B11" s="10" t="s">
        <v>155</v>
      </c>
      <c r="C11" s="11">
        <v>2</v>
      </c>
      <c r="D11" s="11">
        <v>0</v>
      </c>
      <c r="E11" s="11">
        <v>0</v>
      </c>
      <c r="F11" s="11">
        <v>0</v>
      </c>
      <c r="G11" s="11">
        <v>2</v>
      </c>
      <c r="H11" s="11">
        <v>2</v>
      </c>
      <c r="I11" s="13">
        <v>46091</v>
      </c>
      <c r="J11" s="15">
        <f t="shared" si="0"/>
        <v>0</v>
      </c>
      <c r="K11" s="15">
        <f t="shared" si="1"/>
        <v>0</v>
      </c>
      <c r="L11" s="15">
        <f t="shared" si="2"/>
        <v>0</v>
      </c>
      <c r="M11" s="15">
        <f t="shared" si="3"/>
        <v>8</v>
      </c>
      <c r="N11" s="15">
        <f t="shared" si="4"/>
        <v>18</v>
      </c>
      <c r="O11" s="16">
        <f t="shared" si="5"/>
        <v>46640</v>
      </c>
      <c r="P11" s="14" t="str">
        <f>IF(COUNTIF(tbl_programa_auditorias[Ambito],"*("&amp;A11&amp;"*")+COUNTIF(tbl_programa_auditorias[Ambito],"* "&amp;A11&amp;",*")+COUNTIF(tbl_programa_auditorias[Ambito],"* "&amp;A11&amp;")*")+COUNTIF(tbl_programa_auditorias[Ambito],"* "&amp;A11&amp;" *")&gt;0,"Sim","Verificar")</f>
        <v>Sim</v>
      </c>
      <c r="Q11" s="14" t="str">
        <f t="shared" si="6"/>
        <v>OK</v>
      </c>
    </row>
    <row r="12" spans="1:17" ht="18" customHeight="1" x14ac:dyDescent="0.3">
      <c r="A12" s="10" t="s">
        <v>156</v>
      </c>
      <c r="B12" s="10" t="s">
        <v>157</v>
      </c>
      <c r="C12" s="11">
        <v>3</v>
      </c>
      <c r="D12" s="11">
        <v>468</v>
      </c>
      <c r="E12" s="11">
        <v>79</v>
      </c>
      <c r="F12" s="11">
        <v>3</v>
      </c>
      <c r="G12" s="11">
        <v>2</v>
      </c>
      <c r="H12" s="11">
        <v>3</v>
      </c>
      <c r="I12" s="13">
        <v>46350</v>
      </c>
      <c r="J12" s="15">
        <f t="shared" si="0"/>
        <v>3</v>
      </c>
      <c r="K12" s="15">
        <f t="shared" si="1"/>
        <v>3</v>
      </c>
      <c r="L12" s="15">
        <f t="shared" si="2"/>
        <v>3</v>
      </c>
      <c r="M12" s="15">
        <f t="shared" si="3"/>
        <v>20</v>
      </c>
      <c r="N12" s="15">
        <f t="shared" si="4"/>
        <v>6</v>
      </c>
      <c r="O12" s="16">
        <f t="shared" si="5"/>
        <v>46531</v>
      </c>
      <c r="P12" s="14" t="str">
        <f>IF(COUNTIF(tbl_programa_auditorias[Ambito],"*("&amp;A12&amp;"*")+COUNTIF(tbl_programa_auditorias[Ambito],"* "&amp;A12&amp;",*")+COUNTIF(tbl_programa_auditorias[Ambito],"* "&amp;A12&amp;")*")+COUNTIF(tbl_programa_auditorias[Ambito],"* "&amp;A12&amp;" *")&gt;0,"Sim","Verificar")</f>
        <v>Sim</v>
      </c>
      <c r="Q12" s="14" t="str">
        <f t="shared" si="6"/>
        <v>OK</v>
      </c>
    </row>
    <row r="13" spans="1:17" ht="18" customHeight="1" x14ac:dyDescent="0.3">
      <c r="A13" s="10" t="s">
        <v>158</v>
      </c>
      <c r="B13" s="10" t="s">
        <v>159</v>
      </c>
      <c r="C13" s="11">
        <v>3</v>
      </c>
      <c r="D13" s="11">
        <v>265</v>
      </c>
      <c r="E13" s="11">
        <v>120</v>
      </c>
      <c r="F13" s="11">
        <v>2</v>
      </c>
      <c r="G13" s="11">
        <v>2</v>
      </c>
      <c r="H13" s="11">
        <v>3</v>
      </c>
      <c r="I13" s="13">
        <v>46350</v>
      </c>
      <c r="J13" s="15">
        <f t="shared" si="0"/>
        <v>2</v>
      </c>
      <c r="K13" s="15">
        <f t="shared" si="1"/>
        <v>3</v>
      </c>
      <c r="L13" s="15">
        <f t="shared" si="2"/>
        <v>2</v>
      </c>
      <c r="M13" s="15">
        <f t="shared" si="3"/>
        <v>18</v>
      </c>
      <c r="N13" s="15">
        <f t="shared" si="4"/>
        <v>6</v>
      </c>
      <c r="O13" s="16">
        <f t="shared" si="5"/>
        <v>46531</v>
      </c>
      <c r="P13" s="14" t="str">
        <f>IF(COUNTIF(tbl_programa_auditorias[Ambito],"*("&amp;A13&amp;"*")+COUNTIF(tbl_programa_auditorias[Ambito],"* "&amp;A13&amp;",*")+COUNTIF(tbl_programa_auditorias[Ambito],"* "&amp;A13&amp;")*")+COUNTIF(tbl_programa_auditorias[Ambito],"* "&amp;A13&amp;" *")&gt;0,"Sim","Verificar")</f>
        <v>Sim</v>
      </c>
      <c r="Q13" s="14" t="str">
        <f t="shared" si="6"/>
        <v>OK</v>
      </c>
    </row>
    <row r="14" spans="1:17" ht="18" customHeight="1" x14ac:dyDescent="0.3">
      <c r="A14" s="10" t="s">
        <v>160</v>
      </c>
      <c r="B14" s="10" t="s">
        <v>161</v>
      </c>
      <c r="C14" s="11">
        <v>3</v>
      </c>
      <c r="D14" s="11">
        <v>327</v>
      </c>
      <c r="E14" s="11">
        <v>3</v>
      </c>
      <c r="F14" s="11">
        <v>0</v>
      </c>
      <c r="G14" s="11">
        <v>3</v>
      </c>
      <c r="H14" s="11">
        <v>2</v>
      </c>
      <c r="I14" s="13">
        <v>46281</v>
      </c>
      <c r="J14" s="15">
        <f t="shared" si="0"/>
        <v>3</v>
      </c>
      <c r="K14" s="15">
        <f t="shared" si="1"/>
        <v>1</v>
      </c>
      <c r="L14" s="15">
        <f t="shared" si="2"/>
        <v>0</v>
      </c>
      <c r="M14" s="15">
        <f t="shared" si="3"/>
        <v>15</v>
      </c>
      <c r="N14" s="15">
        <f t="shared" si="4"/>
        <v>12</v>
      </c>
      <c r="O14" s="16">
        <f t="shared" si="5"/>
        <v>46646</v>
      </c>
      <c r="P14" s="14" t="str">
        <f>IF(COUNTIF(tbl_programa_auditorias[Ambito],"*("&amp;A14&amp;"*")+COUNTIF(tbl_programa_auditorias[Ambito],"* "&amp;A14&amp;",*")+COUNTIF(tbl_programa_auditorias[Ambito],"* "&amp;A14&amp;")*")+COUNTIF(tbl_programa_auditorias[Ambito],"* "&amp;A14&amp;" *")&gt;0,"Sim","Verificar")</f>
        <v>Sim</v>
      </c>
      <c r="Q14" s="14" t="str">
        <f t="shared" si="6"/>
        <v>OK</v>
      </c>
    </row>
    <row r="15" spans="1:17" ht="18" customHeight="1" x14ac:dyDescent="0.3">
      <c r="A15" s="10" t="s">
        <v>162</v>
      </c>
      <c r="B15" s="10" t="s">
        <v>163</v>
      </c>
      <c r="C15" s="11">
        <v>2</v>
      </c>
      <c r="D15" s="11">
        <v>1</v>
      </c>
      <c r="E15" s="11">
        <v>8</v>
      </c>
      <c r="F15" s="11">
        <v>0</v>
      </c>
      <c r="G15" s="11">
        <v>2</v>
      </c>
      <c r="H15" s="11">
        <v>1</v>
      </c>
      <c r="I15" s="13">
        <v>46000</v>
      </c>
      <c r="J15" s="15">
        <f t="shared" si="0"/>
        <v>1</v>
      </c>
      <c r="K15" s="15">
        <f t="shared" si="1"/>
        <v>1</v>
      </c>
      <c r="L15" s="15">
        <f t="shared" si="2"/>
        <v>0</v>
      </c>
      <c r="M15" s="15">
        <f t="shared" si="3"/>
        <v>9</v>
      </c>
      <c r="N15" s="15">
        <f t="shared" si="4"/>
        <v>18</v>
      </c>
      <c r="O15" s="16">
        <f t="shared" si="5"/>
        <v>46547</v>
      </c>
      <c r="P15" s="14" t="str">
        <f>IF(COUNTIF(tbl_programa_auditorias[Ambito],"*("&amp;A15&amp;"*")+COUNTIF(tbl_programa_auditorias[Ambito],"* "&amp;A15&amp;",*")+COUNTIF(tbl_programa_auditorias[Ambito],"* "&amp;A15&amp;")*")+COUNTIF(tbl_programa_auditorias[Ambito],"* "&amp;A15&amp;" *")&gt;0,"Sim","Verificar")</f>
        <v>Sim</v>
      </c>
      <c r="Q15" s="14" t="str">
        <f t="shared" si="6"/>
        <v>OK</v>
      </c>
    </row>
    <row r="16" spans="1:17" ht="18" customHeight="1" x14ac:dyDescent="0.3">
      <c r="A16" s="10" t="s">
        <v>105</v>
      </c>
      <c r="B16" s="10" t="s">
        <v>164</v>
      </c>
      <c r="C16" s="11">
        <v>3</v>
      </c>
      <c r="D16" s="11">
        <v>0</v>
      </c>
      <c r="E16" s="11">
        <v>0</v>
      </c>
      <c r="F16" s="11">
        <v>1</v>
      </c>
      <c r="G16" s="11">
        <v>3</v>
      </c>
      <c r="H16" s="11">
        <v>3</v>
      </c>
      <c r="I16" s="13">
        <v>46281</v>
      </c>
      <c r="J16" s="15">
        <f t="shared" si="0"/>
        <v>0</v>
      </c>
      <c r="K16" s="15">
        <f t="shared" si="1"/>
        <v>0</v>
      </c>
      <c r="L16" s="15">
        <f t="shared" si="2"/>
        <v>1</v>
      </c>
      <c r="M16" s="15">
        <f t="shared" si="3"/>
        <v>13</v>
      </c>
      <c r="N16" s="15">
        <f t="shared" si="4"/>
        <v>12</v>
      </c>
      <c r="O16" s="16">
        <f t="shared" si="5"/>
        <v>46646</v>
      </c>
      <c r="P16" s="14" t="str">
        <f>IF(COUNTIF(tbl_programa_auditorias[Ambito],"*("&amp;A16&amp;"*")+COUNTIF(tbl_programa_auditorias[Ambito],"* "&amp;A16&amp;",*")+COUNTIF(tbl_programa_auditorias[Ambito],"* "&amp;A16&amp;")*")+COUNTIF(tbl_programa_auditorias[Ambito],"* "&amp;A16&amp;" *")&gt;0,"Sim","Verificar")</f>
        <v>Sim</v>
      </c>
      <c r="Q16" s="14" t="str">
        <f t="shared" si="6"/>
        <v>OK</v>
      </c>
    </row>
    <row r="17" spans="1:17" ht="18" customHeight="1" x14ac:dyDescent="0.3">
      <c r="A17" s="10" t="s">
        <v>165</v>
      </c>
      <c r="B17" s="10" t="s">
        <v>166</v>
      </c>
      <c r="C17" s="11">
        <v>3</v>
      </c>
      <c r="D17" s="11">
        <v>0</v>
      </c>
      <c r="E17" s="11">
        <v>0</v>
      </c>
      <c r="F17" s="11">
        <v>1</v>
      </c>
      <c r="G17" s="11">
        <v>3</v>
      </c>
      <c r="H17" s="11">
        <v>2</v>
      </c>
      <c r="I17" s="13">
        <v>46282</v>
      </c>
      <c r="J17" s="15">
        <f t="shared" si="0"/>
        <v>0</v>
      </c>
      <c r="K17" s="15">
        <f t="shared" si="1"/>
        <v>0</v>
      </c>
      <c r="L17" s="15">
        <f t="shared" si="2"/>
        <v>1</v>
      </c>
      <c r="M17" s="15">
        <f t="shared" si="3"/>
        <v>12</v>
      </c>
      <c r="N17" s="15">
        <f t="shared" si="4"/>
        <v>12</v>
      </c>
      <c r="O17" s="16">
        <f t="shared" si="5"/>
        <v>46647</v>
      </c>
      <c r="P17" s="14" t="str">
        <f>IF(COUNTIF(tbl_programa_auditorias[Ambito],"*("&amp;A17&amp;"*")+COUNTIF(tbl_programa_auditorias[Ambito],"* "&amp;A17&amp;",*")+COUNTIF(tbl_programa_auditorias[Ambito],"* "&amp;A17&amp;")*")+COUNTIF(tbl_programa_auditorias[Ambito],"* "&amp;A17&amp;" *")&gt;0,"Sim","Verificar")</f>
        <v>Sim</v>
      </c>
      <c r="Q17" s="14" t="str">
        <f t="shared" si="6"/>
        <v>OK</v>
      </c>
    </row>
    <row r="18" spans="1:17" ht="18" customHeight="1" x14ac:dyDescent="0.3">
      <c r="A18" s="10" t="s">
        <v>167</v>
      </c>
      <c r="B18" s="10" t="s">
        <v>168</v>
      </c>
      <c r="C18" s="11">
        <v>2</v>
      </c>
      <c r="D18" s="11">
        <v>0</v>
      </c>
      <c r="E18" s="11">
        <v>0</v>
      </c>
      <c r="F18" s="11">
        <v>2</v>
      </c>
      <c r="G18" s="11">
        <v>2</v>
      </c>
      <c r="H18" s="11">
        <v>1</v>
      </c>
      <c r="I18" s="13">
        <v>46282</v>
      </c>
      <c r="J18" s="15">
        <f t="shared" si="0"/>
        <v>0</v>
      </c>
      <c r="K18" s="15">
        <f t="shared" si="1"/>
        <v>0</v>
      </c>
      <c r="L18" s="15">
        <f t="shared" si="2"/>
        <v>2</v>
      </c>
      <c r="M18" s="15">
        <f t="shared" si="3"/>
        <v>9</v>
      </c>
      <c r="N18" s="15">
        <f t="shared" si="4"/>
        <v>18</v>
      </c>
      <c r="O18" s="16">
        <f t="shared" si="5"/>
        <v>46829</v>
      </c>
      <c r="P18" s="14" t="str">
        <f>IF(COUNTIF(tbl_programa_auditorias[Ambito],"*("&amp;A18&amp;"*")+COUNTIF(tbl_programa_auditorias[Ambito],"* "&amp;A18&amp;",*")+COUNTIF(tbl_programa_auditorias[Ambito],"* "&amp;A18&amp;")*")+COUNTIF(tbl_programa_auditorias[Ambito],"* "&amp;A18&amp;" *")&gt;0,"Sim","Verificar")</f>
        <v>Sim</v>
      </c>
      <c r="Q18" s="14" t="str">
        <f t="shared" si="6"/>
        <v>OK</v>
      </c>
    </row>
    <row r="19" spans="1:17" ht="18" customHeight="1" x14ac:dyDescent="0.3">
      <c r="A19" s="10" t="s">
        <v>169</v>
      </c>
      <c r="B19" s="10" t="s">
        <v>170</v>
      </c>
      <c r="C19" s="11">
        <v>3</v>
      </c>
      <c r="D19" s="11">
        <v>0</v>
      </c>
      <c r="E19" s="11">
        <v>0</v>
      </c>
      <c r="F19" s="11">
        <v>0</v>
      </c>
      <c r="G19" s="11">
        <v>3</v>
      </c>
      <c r="H19" s="11">
        <v>2</v>
      </c>
      <c r="I19" s="13">
        <v>46281</v>
      </c>
      <c r="J19" s="15">
        <f t="shared" si="0"/>
        <v>0</v>
      </c>
      <c r="K19" s="15">
        <f t="shared" si="1"/>
        <v>0</v>
      </c>
      <c r="L19" s="15">
        <f t="shared" si="2"/>
        <v>0</v>
      </c>
      <c r="M19" s="15">
        <f t="shared" si="3"/>
        <v>11</v>
      </c>
      <c r="N19" s="15">
        <f t="shared" si="4"/>
        <v>12</v>
      </c>
      <c r="O19" s="16">
        <f t="shared" si="5"/>
        <v>46646</v>
      </c>
      <c r="P19" s="14" t="str">
        <f>IF(COUNTIF(tbl_programa_auditorias[Ambito],"*("&amp;A19&amp;"*")+COUNTIF(tbl_programa_auditorias[Ambito],"* "&amp;A19&amp;",*")+COUNTIF(tbl_programa_auditorias[Ambito],"* "&amp;A19&amp;")*")+COUNTIF(tbl_programa_auditorias[Ambito],"* "&amp;A19&amp;" *")&gt;0,"Sim","Verificar")</f>
        <v>Sim</v>
      </c>
      <c r="Q19" s="14" t="str">
        <f t="shared" si="6"/>
        <v>OK</v>
      </c>
    </row>
    <row r="20" spans="1:17" ht="18" customHeight="1" x14ac:dyDescent="0.3">
      <c r="A20" s="10" t="s">
        <v>171</v>
      </c>
      <c r="B20" s="10" t="s">
        <v>172</v>
      </c>
      <c r="C20" s="11">
        <v>2</v>
      </c>
      <c r="D20" s="11">
        <v>0</v>
      </c>
      <c r="E20" s="11">
        <v>0</v>
      </c>
      <c r="F20" s="11">
        <v>0</v>
      </c>
      <c r="G20" s="11">
        <v>2</v>
      </c>
      <c r="H20" s="11">
        <v>1</v>
      </c>
      <c r="I20" s="13">
        <v>46343</v>
      </c>
      <c r="J20" s="15">
        <f t="shared" si="0"/>
        <v>0</v>
      </c>
      <c r="K20" s="15">
        <f t="shared" si="1"/>
        <v>0</v>
      </c>
      <c r="L20" s="15">
        <f t="shared" si="2"/>
        <v>0</v>
      </c>
      <c r="M20" s="15">
        <f t="shared" si="3"/>
        <v>7</v>
      </c>
      <c r="N20" s="15">
        <f t="shared" si="4"/>
        <v>18</v>
      </c>
      <c r="O20" s="16">
        <f t="shared" si="5"/>
        <v>46890</v>
      </c>
      <c r="P20" s="14" t="str">
        <f>IF(COUNTIF(tbl_programa_auditorias[Ambito],"*("&amp;A20&amp;"*")+COUNTIF(tbl_programa_auditorias[Ambito],"* "&amp;A20&amp;",*")+COUNTIF(tbl_programa_auditorias[Ambito],"* "&amp;A20&amp;")*")+COUNTIF(tbl_programa_auditorias[Ambito],"* "&amp;A20&amp;" *")&gt;0,"Sim","Verificar")</f>
        <v>Sim</v>
      </c>
      <c r="Q20" s="14" t="str">
        <f t="shared" si="6"/>
        <v>OK</v>
      </c>
    </row>
    <row r="21" spans="1:17" ht="18" customHeight="1" x14ac:dyDescent="0.3">
      <c r="A21" s="10" t="s">
        <v>173</v>
      </c>
      <c r="B21" s="10" t="s">
        <v>174</v>
      </c>
      <c r="C21" s="11">
        <v>2</v>
      </c>
      <c r="D21" s="11">
        <v>0</v>
      </c>
      <c r="E21" s="11">
        <v>0</v>
      </c>
      <c r="F21" s="11">
        <v>0</v>
      </c>
      <c r="G21" s="11">
        <v>1</v>
      </c>
      <c r="H21" s="11">
        <v>1</v>
      </c>
      <c r="I21" s="13">
        <v>46343</v>
      </c>
      <c r="J21" s="15">
        <f t="shared" si="0"/>
        <v>0</v>
      </c>
      <c r="K21" s="15">
        <f t="shared" si="1"/>
        <v>0</v>
      </c>
      <c r="L21" s="15">
        <f t="shared" si="2"/>
        <v>0</v>
      </c>
      <c r="M21" s="15">
        <f t="shared" si="3"/>
        <v>6</v>
      </c>
      <c r="N21" s="15">
        <f t="shared" si="4"/>
        <v>18</v>
      </c>
      <c r="O21" s="16">
        <f t="shared" si="5"/>
        <v>46890</v>
      </c>
      <c r="P21" s="14" t="str">
        <f>IF(COUNTIF(tbl_programa_auditorias[Ambito],"*("&amp;A21&amp;"*")+COUNTIF(tbl_programa_auditorias[Ambito],"* "&amp;A21&amp;",*")+COUNTIF(tbl_programa_auditorias[Ambito],"* "&amp;A21&amp;")*")+COUNTIF(tbl_programa_auditorias[Ambito],"* "&amp;A21&amp;" *")&gt;0,"Sim","Verificar")</f>
        <v>Sim</v>
      </c>
      <c r="Q21" s="14" t="str">
        <f t="shared" si="6"/>
        <v>OK</v>
      </c>
    </row>
    <row r="22" spans="1:17" ht="18" customHeight="1" x14ac:dyDescent="0.3">
      <c r="A22" s="10" t="s">
        <v>175</v>
      </c>
      <c r="B22" s="10" t="s">
        <v>176</v>
      </c>
      <c r="C22" s="11">
        <v>2</v>
      </c>
      <c r="D22" s="11">
        <v>0</v>
      </c>
      <c r="E22" s="11">
        <v>0</v>
      </c>
      <c r="F22" s="11">
        <v>0</v>
      </c>
      <c r="G22" s="11">
        <v>2</v>
      </c>
      <c r="H22" s="11">
        <v>1</v>
      </c>
      <c r="I22" s="13">
        <v>46343</v>
      </c>
      <c r="J22" s="15">
        <f t="shared" si="0"/>
        <v>0</v>
      </c>
      <c r="K22" s="15">
        <f t="shared" si="1"/>
        <v>0</v>
      </c>
      <c r="L22" s="15">
        <f t="shared" si="2"/>
        <v>0</v>
      </c>
      <c r="M22" s="15">
        <f t="shared" si="3"/>
        <v>7</v>
      </c>
      <c r="N22" s="15">
        <f t="shared" si="4"/>
        <v>18</v>
      </c>
      <c r="O22" s="16">
        <f t="shared" si="5"/>
        <v>46890</v>
      </c>
      <c r="P22" s="14" t="str">
        <f>IF(COUNTIF(tbl_programa_auditorias[Ambito],"*("&amp;A22&amp;"*")+COUNTIF(tbl_programa_auditorias[Ambito],"* "&amp;A22&amp;",*")+COUNTIF(tbl_programa_auditorias[Ambito],"* "&amp;A22&amp;")*")+COUNTIF(tbl_programa_auditorias[Ambito],"* "&amp;A22&amp;" *")&gt;0,"Sim","Verificar")</f>
        <v>Sim</v>
      </c>
      <c r="Q22" s="14" t="str">
        <f t="shared" si="6"/>
        <v>OK</v>
      </c>
    </row>
  </sheetData>
  <conditionalFormatting sqref="N5:N222">
    <cfRule type="expression" dxfId="20" priority="1">
      <formula>N5=6</formula>
    </cfRule>
  </conditionalFormatting>
  <conditionalFormatting sqref="Q5:Q222">
    <cfRule type="expression" dxfId="19" priority="2">
      <formula>ISNUMBER(SEARCH("vencida",Q5))</formula>
    </cfRule>
    <cfRule type="expression" dxfId="18" priority="3">
      <formula>ISNUMBER(SEARCH("90 d",Q5))</formula>
    </cfRule>
    <cfRule type="expression" dxfId="17" priority="4">
      <formula>ISNUMBER(SEARCH("OK",Q5))</formula>
    </cfRule>
  </conditionalFormatting>
  <dataValidations count="1">
    <dataValidation type="list" allowBlank="1" showErrorMessage="1" errorTitle="Valor inválido" error="Valor fora da lista controlada (ver folha Listas)." sqref="A5:A222" xr:uid="{00000000-0002-0000-0200-000000000000}">
      <formula1>lst_Processo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13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44" customWidth="1"/>
    <col min="3" max="3" width="40" customWidth="1"/>
    <col min="4" max="4" width="30" customWidth="1"/>
    <col min="5" max="5" width="14" customWidth="1"/>
    <col min="6" max="6" width="16" customWidth="1"/>
    <col min="7" max="8" width="11" customWidth="1"/>
    <col min="9" max="9" width="10" customWidth="1"/>
    <col min="10" max="10" width="8" customWidth="1"/>
    <col min="11" max="11" width="6" customWidth="1"/>
    <col min="12" max="12" width="9" customWidth="1"/>
  </cols>
  <sheetData>
    <row r="1" spans="1:12" ht="17.399999999999999" x14ac:dyDescent="0.3">
      <c r="A1" s="1" t="s">
        <v>177</v>
      </c>
    </row>
    <row r="4" spans="1:12" ht="39.6" x14ac:dyDescent="0.3">
      <c r="A4" s="8" t="s">
        <v>178</v>
      </c>
      <c r="B4" s="8" t="s">
        <v>179</v>
      </c>
      <c r="C4" s="8" t="s">
        <v>180</v>
      </c>
      <c r="D4" s="8" t="s">
        <v>181</v>
      </c>
      <c r="E4" s="8" t="s">
        <v>182</v>
      </c>
      <c r="F4" s="8" t="s">
        <v>183</v>
      </c>
      <c r="G4" s="8" t="s">
        <v>184</v>
      </c>
      <c r="H4" s="8" t="s">
        <v>185</v>
      </c>
      <c r="I4" s="8" t="s">
        <v>14</v>
      </c>
      <c r="J4" s="9" t="s">
        <v>186</v>
      </c>
      <c r="K4" s="9" t="s">
        <v>187</v>
      </c>
      <c r="L4" s="9" t="s">
        <v>188</v>
      </c>
    </row>
    <row r="5" spans="1:12" ht="40.049999999999997" customHeight="1" x14ac:dyDescent="0.3">
      <c r="A5" s="10" t="s">
        <v>189</v>
      </c>
      <c r="B5" s="10" t="s">
        <v>190</v>
      </c>
      <c r="C5" s="10" t="s">
        <v>191</v>
      </c>
      <c r="D5" s="10" t="s">
        <v>192</v>
      </c>
      <c r="E5" s="10" t="s">
        <v>193</v>
      </c>
      <c r="F5" s="10" t="s">
        <v>194</v>
      </c>
      <c r="G5" s="13">
        <v>46000</v>
      </c>
      <c r="H5" s="13">
        <v>46000</v>
      </c>
      <c r="I5" s="10" t="s">
        <v>195</v>
      </c>
      <c r="J5" s="15">
        <f>COUNTIF(tbl_constatacoes[ID_Auditoria],A5)</f>
        <v>0</v>
      </c>
      <c r="K5" s="15">
        <f>COUNTIFS(tbl_constatacoes[ID_Auditoria],A5,tbl_constatacoes[Classificacao],"NC*")</f>
        <v>0</v>
      </c>
      <c r="L5" s="14" t="str">
        <f t="shared" ref="L5:L13" si="0">IF(I5&lt;&gt;"Realizada","",IF(J5&gt;0,"Sim","Verificar"))</f>
        <v>Verificar</v>
      </c>
    </row>
    <row r="6" spans="1:12" ht="40.049999999999997" customHeight="1" x14ac:dyDescent="0.3">
      <c r="A6" s="10" t="s">
        <v>196</v>
      </c>
      <c r="B6" s="10" t="s">
        <v>197</v>
      </c>
      <c r="C6" s="10" t="s">
        <v>198</v>
      </c>
      <c r="D6" s="10" t="s">
        <v>199</v>
      </c>
      <c r="E6" s="10" t="s">
        <v>200</v>
      </c>
      <c r="F6" s="10" t="s">
        <v>201</v>
      </c>
      <c r="G6" s="13">
        <v>46091</v>
      </c>
      <c r="H6" s="13">
        <v>46091</v>
      </c>
      <c r="I6" s="10" t="s">
        <v>195</v>
      </c>
      <c r="J6" s="15">
        <f>COUNTIF(tbl_constatacoes[ID_Auditoria],A6)</f>
        <v>1</v>
      </c>
      <c r="K6" s="15">
        <f>COUNTIFS(tbl_constatacoes[ID_Auditoria],A6,tbl_constatacoes[Classificacao],"NC*")</f>
        <v>1</v>
      </c>
      <c r="L6" s="14" t="str">
        <f t="shared" si="0"/>
        <v>Sim</v>
      </c>
    </row>
    <row r="7" spans="1:12" ht="40.049999999999997" customHeight="1" x14ac:dyDescent="0.3">
      <c r="A7" s="10" t="s">
        <v>202</v>
      </c>
      <c r="B7" s="10" t="s">
        <v>203</v>
      </c>
      <c r="C7" s="10" t="s">
        <v>204</v>
      </c>
      <c r="D7" s="10" t="s">
        <v>205</v>
      </c>
      <c r="E7" s="10" t="s">
        <v>193</v>
      </c>
      <c r="F7" s="10" t="s">
        <v>194</v>
      </c>
      <c r="G7" s="13">
        <v>46154</v>
      </c>
      <c r="H7" s="13">
        <v>46154</v>
      </c>
      <c r="I7" s="10" t="s">
        <v>195</v>
      </c>
      <c r="J7" s="15">
        <f>COUNTIF(tbl_constatacoes[ID_Auditoria],A7)</f>
        <v>1</v>
      </c>
      <c r="K7" s="15">
        <f>COUNTIFS(tbl_constatacoes[ID_Auditoria],A7,tbl_constatacoes[Classificacao],"NC*")</f>
        <v>1</v>
      </c>
      <c r="L7" s="14" t="str">
        <f t="shared" si="0"/>
        <v>Sim</v>
      </c>
    </row>
    <row r="8" spans="1:12" ht="40.049999999999997" customHeight="1" x14ac:dyDescent="0.3">
      <c r="A8" s="10" t="s">
        <v>206</v>
      </c>
      <c r="B8" s="10" t="s">
        <v>207</v>
      </c>
      <c r="C8" s="10" t="s">
        <v>208</v>
      </c>
      <c r="D8" s="10" t="s">
        <v>209</v>
      </c>
      <c r="E8" s="10" t="s">
        <v>193</v>
      </c>
      <c r="F8" s="10" t="s">
        <v>210</v>
      </c>
      <c r="G8" s="13">
        <v>46281</v>
      </c>
      <c r="H8" s="13">
        <v>46281</v>
      </c>
      <c r="I8" s="10" t="s">
        <v>195</v>
      </c>
      <c r="J8" s="15">
        <f>COUNTIF(tbl_constatacoes[ID_Auditoria],A8)</f>
        <v>10</v>
      </c>
      <c r="K8" s="15">
        <f>COUNTIFS(tbl_constatacoes[ID_Auditoria],A8,tbl_constatacoes[Classificacao],"NC*")</f>
        <v>6</v>
      </c>
      <c r="L8" s="14" t="str">
        <f t="shared" si="0"/>
        <v>Sim</v>
      </c>
    </row>
    <row r="9" spans="1:12" ht="40.049999999999997" customHeight="1" x14ac:dyDescent="0.3">
      <c r="A9" s="10" t="s">
        <v>211</v>
      </c>
      <c r="B9" s="10" t="s">
        <v>212</v>
      </c>
      <c r="C9" s="10" t="s">
        <v>213</v>
      </c>
      <c r="D9" s="10" t="s">
        <v>214</v>
      </c>
      <c r="E9" s="10" t="s">
        <v>193</v>
      </c>
      <c r="F9" s="10" t="s">
        <v>215</v>
      </c>
      <c r="G9" s="13">
        <v>46315</v>
      </c>
      <c r="H9" s="13">
        <v>46315</v>
      </c>
      <c r="I9" s="10" t="s">
        <v>195</v>
      </c>
      <c r="J9" s="15">
        <f>COUNTIF(tbl_constatacoes[ID_Auditoria],A9)</f>
        <v>2</v>
      </c>
      <c r="K9" s="15">
        <f>COUNTIFS(tbl_constatacoes[ID_Auditoria],A9,tbl_constatacoes[Classificacao],"NC*")</f>
        <v>1</v>
      </c>
      <c r="L9" s="14" t="str">
        <f t="shared" si="0"/>
        <v>Sim</v>
      </c>
    </row>
    <row r="10" spans="1:12" ht="40.049999999999997" customHeight="1" x14ac:dyDescent="0.3">
      <c r="A10" s="10" t="s">
        <v>216</v>
      </c>
      <c r="B10" s="10" t="s">
        <v>217</v>
      </c>
      <c r="C10" s="10" t="s">
        <v>218</v>
      </c>
      <c r="D10" s="10" t="s">
        <v>219</v>
      </c>
      <c r="E10" s="10" t="s">
        <v>220</v>
      </c>
      <c r="F10" s="10" t="s">
        <v>111</v>
      </c>
      <c r="G10" s="13">
        <v>46343</v>
      </c>
      <c r="H10" s="13">
        <v>46343</v>
      </c>
      <c r="I10" s="10" t="s">
        <v>195</v>
      </c>
      <c r="J10" s="15">
        <f>COUNTIF(tbl_constatacoes[ID_Auditoria],A10)</f>
        <v>2</v>
      </c>
      <c r="K10" s="15">
        <f>COUNTIFS(tbl_constatacoes[ID_Auditoria],A10,tbl_constatacoes[Classificacao],"NC*")</f>
        <v>1</v>
      </c>
      <c r="L10" s="14" t="str">
        <f t="shared" si="0"/>
        <v>Sim</v>
      </c>
    </row>
    <row r="11" spans="1:12" ht="40.049999999999997" customHeight="1" x14ac:dyDescent="0.3">
      <c r="A11" s="10" t="s">
        <v>221</v>
      </c>
      <c r="B11" s="10" t="s">
        <v>222</v>
      </c>
      <c r="C11" s="10" t="s">
        <v>223</v>
      </c>
      <c r="D11" s="10" t="s">
        <v>224</v>
      </c>
      <c r="E11" s="10" t="s">
        <v>193</v>
      </c>
      <c r="F11" s="10" t="s">
        <v>111</v>
      </c>
      <c r="G11" s="13">
        <v>46365</v>
      </c>
      <c r="H11" s="13">
        <v>46365</v>
      </c>
      <c r="I11" s="10" t="s">
        <v>195</v>
      </c>
      <c r="J11" s="15">
        <f>COUNTIF(tbl_constatacoes[ID_Auditoria],A11)</f>
        <v>1</v>
      </c>
      <c r="K11" s="15">
        <f>COUNTIFS(tbl_constatacoes[ID_Auditoria],A11,tbl_constatacoes[Classificacao],"NC*")</f>
        <v>0</v>
      </c>
      <c r="L11" s="14" t="str">
        <f t="shared" si="0"/>
        <v>Sim</v>
      </c>
    </row>
    <row r="12" spans="1:12" ht="40.049999999999997" customHeight="1" x14ac:dyDescent="0.3">
      <c r="A12" s="10" t="s">
        <v>225</v>
      </c>
      <c r="B12" s="10" t="s">
        <v>226</v>
      </c>
      <c r="C12" s="10" t="s">
        <v>227</v>
      </c>
      <c r="D12" s="10" t="s">
        <v>228</v>
      </c>
      <c r="E12" s="10" t="s">
        <v>193</v>
      </c>
      <c r="F12" s="10" t="s">
        <v>194</v>
      </c>
      <c r="G12" s="13">
        <v>46350</v>
      </c>
      <c r="H12" s="13">
        <v>46350</v>
      </c>
      <c r="I12" s="10" t="s">
        <v>195</v>
      </c>
      <c r="J12" s="15">
        <f>COUNTIF(tbl_constatacoes[ID_Auditoria],A12)</f>
        <v>1</v>
      </c>
      <c r="K12" s="15">
        <f>COUNTIFS(tbl_constatacoes[ID_Auditoria],A12,tbl_constatacoes[Classificacao],"NC*")</f>
        <v>0</v>
      </c>
      <c r="L12" s="14" t="str">
        <f t="shared" si="0"/>
        <v>Sim</v>
      </c>
    </row>
    <row r="13" spans="1:12" ht="40.049999999999997" customHeight="1" x14ac:dyDescent="0.3">
      <c r="A13" s="10" t="s">
        <v>229</v>
      </c>
      <c r="B13" s="10" t="s">
        <v>230</v>
      </c>
      <c r="C13" s="10" t="s">
        <v>231</v>
      </c>
      <c r="D13" s="10" t="s">
        <v>232</v>
      </c>
      <c r="E13" s="10" t="s">
        <v>193</v>
      </c>
      <c r="F13" s="10" t="s">
        <v>233</v>
      </c>
      <c r="G13" s="13">
        <v>46455</v>
      </c>
      <c r="H13" s="13"/>
      <c r="I13" s="10" t="s">
        <v>234</v>
      </c>
      <c r="J13" s="15">
        <f>COUNTIF(tbl_constatacoes[ID_Auditoria],A13)</f>
        <v>0</v>
      </c>
      <c r="K13" s="15">
        <f>COUNTIFS(tbl_constatacoes[ID_Auditoria],A13,tbl_constatacoes[Classificacao],"NC*")</f>
        <v>0</v>
      </c>
      <c r="L13" s="14" t="str">
        <f t="shared" si="0"/>
        <v/>
      </c>
    </row>
  </sheetData>
  <conditionalFormatting sqref="I5:I213">
    <cfRule type="expression" dxfId="16" priority="1">
      <formula>ISNUMBER(SEARCH("Realizada",I5))</formula>
    </cfRule>
    <cfRule type="expression" dxfId="15" priority="2">
      <formula>ISNUMBER(SEARCH("Planeada",I5))</formula>
    </cfRule>
    <cfRule type="expression" dxfId="14" priority="3">
      <formula>ISNUMBER(SEARCH("Adiada",I5))</formula>
    </cfRule>
  </conditionalFormatting>
  <dataValidations count="2">
    <dataValidation type="list" allowBlank="1" showErrorMessage="1" errorTitle="Valor inválido" error="Valor fora da lista controlada (ver folha Listas)." sqref="E5:E213" xr:uid="{00000000-0002-0000-0300-000000000000}">
      <formula1>lst_Metodo</formula1>
    </dataValidation>
    <dataValidation type="list" allowBlank="1" showErrorMessage="1" errorTitle="Valor inválido" error="Valor fora da lista controlada (ver folha Listas)." sqref="I5:I213" xr:uid="{00000000-0002-0000-0300-000001000000}">
      <formula1>lst_EstadoAud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8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2" width="11" customWidth="1"/>
    <col min="3" max="3" width="56" customWidth="1"/>
    <col min="4" max="4" width="30" customWidth="1"/>
    <col min="5" max="5" width="50" customWidth="1"/>
  </cols>
  <sheetData>
    <row r="1" spans="1:5" x14ac:dyDescent="0.3">
      <c r="A1" s="8" t="s">
        <v>235</v>
      </c>
      <c r="B1" s="8" t="s">
        <v>236</v>
      </c>
      <c r="C1" s="8" t="s">
        <v>237</v>
      </c>
      <c r="D1" s="8" t="s">
        <v>238</v>
      </c>
      <c r="E1" s="8" t="s">
        <v>239</v>
      </c>
    </row>
    <row r="2" spans="1:5" ht="30" customHeight="1" x14ac:dyDescent="0.3">
      <c r="A2" s="10" t="s">
        <v>240</v>
      </c>
      <c r="B2" s="10" t="s">
        <v>241</v>
      </c>
      <c r="C2" s="10" t="s">
        <v>242</v>
      </c>
      <c r="D2" s="10" t="s">
        <v>243</v>
      </c>
      <c r="E2" s="10" t="s">
        <v>244</v>
      </c>
    </row>
    <row r="3" spans="1:5" ht="30" customHeight="1" x14ac:dyDescent="0.3">
      <c r="A3" s="10" t="s">
        <v>245</v>
      </c>
      <c r="B3" s="10" t="s">
        <v>241</v>
      </c>
      <c r="C3" s="10" t="s">
        <v>246</v>
      </c>
      <c r="D3" s="10" t="s">
        <v>247</v>
      </c>
      <c r="E3" s="10" t="s">
        <v>248</v>
      </c>
    </row>
    <row r="4" spans="1:5" ht="30" customHeight="1" x14ac:dyDescent="0.3">
      <c r="A4" s="10" t="s">
        <v>249</v>
      </c>
      <c r="B4" s="10" t="s">
        <v>241</v>
      </c>
      <c r="C4" s="10" t="s">
        <v>250</v>
      </c>
      <c r="D4" s="10" t="s">
        <v>251</v>
      </c>
      <c r="E4" s="10" t="s">
        <v>252</v>
      </c>
    </row>
    <row r="5" spans="1:5" ht="30" customHeight="1" x14ac:dyDescent="0.3">
      <c r="A5" s="10" t="s">
        <v>253</v>
      </c>
      <c r="B5" s="10" t="s">
        <v>241</v>
      </c>
      <c r="C5" s="10" t="s">
        <v>254</v>
      </c>
      <c r="D5" s="10" t="s">
        <v>255</v>
      </c>
      <c r="E5" s="10" t="s">
        <v>256</v>
      </c>
    </row>
    <row r="6" spans="1:5" ht="30" customHeight="1" x14ac:dyDescent="0.3">
      <c r="A6" s="10" t="s">
        <v>257</v>
      </c>
      <c r="B6" s="10" t="s">
        <v>241</v>
      </c>
      <c r="C6" s="10" t="s">
        <v>258</v>
      </c>
      <c r="D6" s="10" t="s">
        <v>259</v>
      </c>
      <c r="E6" s="10" t="s">
        <v>260</v>
      </c>
    </row>
    <row r="7" spans="1:5" ht="30" customHeight="1" x14ac:dyDescent="0.3">
      <c r="A7" s="10" t="s">
        <v>261</v>
      </c>
      <c r="B7" s="10" t="s">
        <v>262</v>
      </c>
      <c r="C7" s="10" t="s">
        <v>263</v>
      </c>
      <c r="D7" s="10" t="s">
        <v>117</v>
      </c>
      <c r="E7" s="10" t="s">
        <v>264</v>
      </c>
    </row>
    <row r="8" spans="1:5" ht="30" customHeight="1" x14ac:dyDescent="0.3">
      <c r="A8" s="10" t="s">
        <v>265</v>
      </c>
      <c r="B8" s="10" t="s">
        <v>262</v>
      </c>
      <c r="C8" s="10" t="s">
        <v>266</v>
      </c>
      <c r="D8" s="10" t="s">
        <v>117</v>
      </c>
      <c r="E8" s="10" t="s">
        <v>267</v>
      </c>
    </row>
  </sheetData>
  <conditionalFormatting sqref="B2:B208">
    <cfRule type="expression" dxfId="13" priority="1">
      <formula>ISNUMBER(SEARCH("Risco",B2))</formula>
    </cfRule>
    <cfRule type="expression" dxfId="12" priority="2">
      <formula>ISNUMBER(SEARCH("Oportunidade",B2))</formula>
    </cfRule>
  </conditionalFormatting>
  <dataValidations count="1">
    <dataValidation type="list" allowBlank="1" showErrorMessage="1" errorTitle="Valor inválido" error="Valor fora da lista controlada (ver folha Listas)." sqref="B2:B208" xr:uid="{00000000-0002-0000-0400-000000000000}">
      <formula1>lst_RO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31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11" customWidth="1"/>
    <col min="3" max="3" width="9" customWidth="1"/>
    <col min="4" max="4" width="6" customWidth="1"/>
    <col min="5" max="5" width="56" customWidth="1"/>
    <col min="6" max="6" width="60" customWidth="1"/>
    <col min="7" max="7" width="6" customWidth="1"/>
  </cols>
  <sheetData>
    <row r="1" spans="1:7" ht="52.8" x14ac:dyDescent="0.3">
      <c r="A1" s="9" t="s">
        <v>268</v>
      </c>
      <c r="B1" s="8" t="s">
        <v>178</v>
      </c>
      <c r="C1" s="8" t="s">
        <v>269</v>
      </c>
      <c r="D1" s="8" t="s">
        <v>270</v>
      </c>
      <c r="E1" s="8" t="s">
        <v>271</v>
      </c>
      <c r="F1" s="8" t="s">
        <v>272</v>
      </c>
      <c r="G1" s="8" t="s">
        <v>273</v>
      </c>
    </row>
    <row r="2" spans="1:7" ht="30" customHeight="1" x14ac:dyDescent="0.3">
      <c r="A2" s="14" t="str">
        <f t="shared" ref="A2:A31" si="0">"CHK-"&amp;TEXT(ROW()-1,"00")</f>
        <v>CHK-01</v>
      </c>
      <c r="B2" s="10" t="s">
        <v>206</v>
      </c>
      <c r="C2" s="10" t="s">
        <v>274</v>
      </c>
      <c r="D2" s="10" t="s">
        <v>275</v>
      </c>
      <c r="E2" s="10" t="s">
        <v>276</v>
      </c>
      <c r="F2" s="10" t="s">
        <v>277</v>
      </c>
      <c r="G2" s="10" t="s">
        <v>278</v>
      </c>
    </row>
    <row r="3" spans="1:7" ht="30" customHeight="1" x14ac:dyDescent="0.3">
      <c r="A3" s="14" t="str">
        <f t="shared" si="0"/>
        <v>CHK-02</v>
      </c>
      <c r="B3" s="10" t="s">
        <v>206</v>
      </c>
      <c r="C3" s="10" t="s">
        <v>279</v>
      </c>
      <c r="D3" s="10" t="s">
        <v>275</v>
      </c>
      <c r="E3" s="10" t="s">
        <v>280</v>
      </c>
      <c r="F3" s="10" t="s">
        <v>281</v>
      </c>
      <c r="G3" s="10" t="s">
        <v>282</v>
      </c>
    </row>
    <row r="4" spans="1:7" ht="30" customHeight="1" x14ac:dyDescent="0.3">
      <c r="A4" s="14" t="str">
        <f t="shared" si="0"/>
        <v>CHK-03</v>
      </c>
      <c r="B4" s="10" t="s">
        <v>206</v>
      </c>
      <c r="C4" s="10" t="s">
        <v>283</v>
      </c>
      <c r="D4" s="10" t="s">
        <v>144</v>
      </c>
      <c r="E4" s="10" t="s">
        <v>284</v>
      </c>
      <c r="F4" s="10" t="s">
        <v>285</v>
      </c>
      <c r="G4" s="10" t="s">
        <v>278</v>
      </c>
    </row>
    <row r="5" spans="1:7" ht="30" customHeight="1" x14ac:dyDescent="0.3">
      <c r="A5" s="14" t="str">
        <f t="shared" si="0"/>
        <v>CHK-04</v>
      </c>
      <c r="B5" s="10" t="s">
        <v>206</v>
      </c>
      <c r="C5" s="10" t="s">
        <v>286</v>
      </c>
      <c r="D5" s="10" t="s">
        <v>167</v>
      </c>
      <c r="E5" s="10" t="s">
        <v>287</v>
      </c>
      <c r="F5" s="10" t="s">
        <v>288</v>
      </c>
      <c r="G5" s="10" t="s">
        <v>289</v>
      </c>
    </row>
    <row r="6" spans="1:7" ht="30" customHeight="1" x14ac:dyDescent="0.3">
      <c r="A6" s="14" t="str">
        <f t="shared" si="0"/>
        <v>CHK-05</v>
      </c>
      <c r="B6" s="10" t="s">
        <v>206</v>
      </c>
      <c r="C6" s="10" t="s">
        <v>290</v>
      </c>
      <c r="D6" s="10" t="s">
        <v>169</v>
      </c>
      <c r="E6" s="10" t="s">
        <v>291</v>
      </c>
      <c r="F6" s="10" t="s">
        <v>292</v>
      </c>
      <c r="G6" s="10" t="s">
        <v>289</v>
      </c>
    </row>
    <row r="7" spans="1:7" ht="30" customHeight="1" x14ac:dyDescent="0.3">
      <c r="A7" s="14" t="str">
        <f t="shared" si="0"/>
        <v>CHK-06</v>
      </c>
      <c r="B7" s="10" t="s">
        <v>206</v>
      </c>
      <c r="C7" s="10" t="s">
        <v>290</v>
      </c>
      <c r="D7" s="10" t="s">
        <v>169</v>
      </c>
      <c r="E7" s="10" t="s">
        <v>293</v>
      </c>
      <c r="F7" s="10" t="s">
        <v>294</v>
      </c>
      <c r="G7" s="10" t="s">
        <v>278</v>
      </c>
    </row>
    <row r="8" spans="1:7" ht="30" customHeight="1" x14ac:dyDescent="0.3">
      <c r="A8" s="14" t="str">
        <f t="shared" si="0"/>
        <v>CHK-07</v>
      </c>
      <c r="B8" s="10" t="s">
        <v>206</v>
      </c>
      <c r="C8" s="10" t="s">
        <v>295</v>
      </c>
      <c r="D8" s="10" t="s">
        <v>160</v>
      </c>
      <c r="E8" s="10" t="s">
        <v>296</v>
      </c>
      <c r="F8" s="10" t="s">
        <v>297</v>
      </c>
      <c r="G8" s="10" t="s">
        <v>278</v>
      </c>
    </row>
    <row r="9" spans="1:7" ht="30" customHeight="1" x14ac:dyDescent="0.3">
      <c r="A9" s="14" t="str">
        <f t="shared" si="0"/>
        <v>CHK-08</v>
      </c>
      <c r="B9" s="10" t="s">
        <v>206</v>
      </c>
      <c r="C9" s="10" t="s">
        <v>298</v>
      </c>
      <c r="D9" s="10" t="s">
        <v>160</v>
      </c>
      <c r="E9" s="10" t="s">
        <v>299</v>
      </c>
      <c r="F9" s="10" t="s">
        <v>300</v>
      </c>
      <c r="G9" s="10" t="s">
        <v>278</v>
      </c>
    </row>
    <row r="10" spans="1:7" ht="30" customHeight="1" x14ac:dyDescent="0.3">
      <c r="A10" s="14" t="str">
        <f t="shared" si="0"/>
        <v>CHK-09</v>
      </c>
      <c r="B10" s="10" t="s">
        <v>206</v>
      </c>
      <c r="C10" s="10" t="s">
        <v>301</v>
      </c>
      <c r="D10" s="10" t="s">
        <v>165</v>
      </c>
      <c r="E10" s="10" t="s">
        <v>302</v>
      </c>
      <c r="F10" s="10" t="s">
        <v>303</v>
      </c>
      <c r="G10" s="10" t="s">
        <v>282</v>
      </c>
    </row>
    <row r="11" spans="1:7" ht="30" customHeight="1" x14ac:dyDescent="0.3">
      <c r="A11" s="14" t="str">
        <f t="shared" si="0"/>
        <v>CHK-10</v>
      </c>
      <c r="B11" s="10" t="s">
        <v>206</v>
      </c>
      <c r="C11" s="10" t="s">
        <v>304</v>
      </c>
      <c r="D11" s="10" t="s">
        <v>105</v>
      </c>
      <c r="E11" s="10" t="s">
        <v>305</v>
      </c>
      <c r="F11" s="10" t="s">
        <v>306</v>
      </c>
      <c r="G11" s="10" t="s">
        <v>282</v>
      </c>
    </row>
    <row r="12" spans="1:7" ht="30" customHeight="1" x14ac:dyDescent="0.3">
      <c r="A12" s="14" t="str">
        <f t="shared" si="0"/>
        <v>CHK-11</v>
      </c>
      <c r="B12" s="10" t="s">
        <v>206</v>
      </c>
      <c r="C12" s="10" t="s">
        <v>307</v>
      </c>
      <c r="D12" s="10" t="s">
        <v>105</v>
      </c>
      <c r="E12" s="10" t="s">
        <v>308</v>
      </c>
      <c r="F12" s="10" t="s">
        <v>309</v>
      </c>
      <c r="G12" s="10" t="s">
        <v>278</v>
      </c>
    </row>
    <row r="13" spans="1:7" ht="30" customHeight="1" x14ac:dyDescent="0.3">
      <c r="A13" s="14" t="str">
        <f t="shared" si="0"/>
        <v>CHK-12</v>
      </c>
      <c r="B13" s="10" t="s">
        <v>206</v>
      </c>
      <c r="C13" s="10" t="s">
        <v>310</v>
      </c>
      <c r="D13" s="10" t="s">
        <v>105</v>
      </c>
      <c r="E13" s="10" t="s">
        <v>311</v>
      </c>
      <c r="F13" s="10" t="s">
        <v>312</v>
      </c>
      <c r="G13" s="10" t="s">
        <v>289</v>
      </c>
    </row>
    <row r="14" spans="1:7" ht="30" customHeight="1" x14ac:dyDescent="0.3">
      <c r="A14" s="14" t="str">
        <f t="shared" si="0"/>
        <v>CHK-13</v>
      </c>
      <c r="B14" s="10" t="s">
        <v>206</v>
      </c>
      <c r="C14" s="10" t="s">
        <v>310</v>
      </c>
      <c r="D14" s="10" t="s">
        <v>105</v>
      </c>
      <c r="E14" s="10" t="s">
        <v>313</v>
      </c>
      <c r="F14" s="10" t="s">
        <v>314</v>
      </c>
      <c r="G14" s="10" t="s">
        <v>278</v>
      </c>
    </row>
    <row r="15" spans="1:7" ht="30" customHeight="1" x14ac:dyDescent="0.3">
      <c r="A15" s="14" t="str">
        <f t="shared" si="0"/>
        <v>CHK-14</v>
      </c>
      <c r="B15" s="10" t="s">
        <v>206</v>
      </c>
      <c r="C15" s="10" t="s">
        <v>315</v>
      </c>
      <c r="D15" s="10" t="s">
        <v>105</v>
      </c>
      <c r="E15" s="10" t="s">
        <v>316</v>
      </c>
      <c r="F15" s="10" t="s">
        <v>317</v>
      </c>
      <c r="G15" s="10" t="s">
        <v>289</v>
      </c>
    </row>
    <row r="16" spans="1:7" ht="30" customHeight="1" x14ac:dyDescent="0.3">
      <c r="A16" s="14" t="str">
        <f t="shared" si="0"/>
        <v>CHK-15</v>
      </c>
      <c r="B16" s="10" t="s">
        <v>206</v>
      </c>
      <c r="C16" s="10" t="s">
        <v>318</v>
      </c>
      <c r="D16" s="10" t="s">
        <v>105</v>
      </c>
      <c r="E16" s="10" t="s">
        <v>319</v>
      </c>
      <c r="F16" s="10" t="s">
        <v>320</v>
      </c>
      <c r="G16" s="10" t="s">
        <v>278</v>
      </c>
    </row>
    <row r="17" spans="1:7" ht="30" customHeight="1" x14ac:dyDescent="0.3">
      <c r="A17" s="14" t="str">
        <f t="shared" si="0"/>
        <v>CHK-16</v>
      </c>
      <c r="B17" s="10" t="s">
        <v>206</v>
      </c>
      <c r="C17" s="10" t="s">
        <v>321</v>
      </c>
      <c r="D17" s="10" t="s">
        <v>144</v>
      </c>
      <c r="E17" s="10" t="s">
        <v>322</v>
      </c>
      <c r="F17" s="10" t="s">
        <v>323</v>
      </c>
      <c r="G17" s="10" t="s">
        <v>289</v>
      </c>
    </row>
    <row r="18" spans="1:7" ht="30" customHeight="1" x14ac:dyDescent="0.3">
      <c r="A18" s="14" t="str">
        <f t="shared" si="0"/>
        <v>CHK-17</v>
      </c>
      <c r="B18" s="10" t="s">
        <v>206</v>
      </c>
      <c r="C18" s="10" t="s">
        <v>324</v>
      </c>
      <c r="D18" s="10" t="s">
        <v>146</v>
      </c>
      <c r="E18" s="10" t="s">
        <v>325</v>
      </c>
      <c r="F18" s="10" t="s">
        <v>326</v>
      </c>
      <c r="G18" s="10" t="s">
        <v>289</v>
      </c>
    </row>
    <row r="19" spans="1:7" ht="30" customHeight="1" x14ac:dyDescent="0.3">
      <c r="A19" s="14" t="str">
        <f t="shared" si="0"/>
        <v>CHK-18</v>
      </c>
      <c r="B19" s="10" t="s">
        <v>206</v>
      </c>
      <c r="C19" s="10" t="s">
        <v>327</v>
      </c>
      <c r="D19" s="10" t="s">
        <v>146</v>
      </c>
      <c r="E19" s="10" t="s">
        <v>328</v>
      </c>
      <c r="F19" s="10" t="s">
        <v>329</v>
      </c>
      <c r="G19" s="10" t="s">
        <v>330</v>
      </c>
    </row>
    <row r="20" spans="1:7" ht="30" customHeight="1" x14ac:dyDescent="0.3">
      <c r="A20" s="14" t="str">
        <f t="shared" si="0"/>
        <v>CHK-19</v>
      </c>
      <c r="B20" s="10" t="s">
        <v>206</v>
      </c>
      <c r="C20" s="10" t="s">
        <v>331</v>
      </c>
      <c r="D20" s="10" t="s">
        <v>150</v>
      </c>
      <c r="E20" s="10" t="s">
        <v>332</v>
      </c>
      <c r="F20" s="10" t="s">
        <v>333</v>
      </c>
      <c r="G20" s="10" t="s">
        <v>278</v>
      </c>
    </row>
    <row r="21" spans="1:7" ht="30" customHeight="1" x14ac:dyDescent="0.3">
      <c r="A21" s="14" t="str">
        <f t="shared" si="0"/>
        <v>CHK-20</v>
      </c>
      <c r="B21" s="10" t="s">
        <v>206</v>
      </c>
      <c r="C21" s="10" t="s">
        <v>334</v>
      </c>
      <c r="D21" s="10" t="s">
        <v>144</v>
      </c>
      <c r="E21" s="10" t="s">
        <v>335</v>
      </c>
      <c r="F21" s="10" t="s">
        <v>336</v>
      </c>
      <c r="G21" s="10" t="s">
        <v>278</v>
      </c>
    </row>
    <row r="22" spans="1:7" ht="30" customHeight="1" x14ac:dyDescent="0.3">
      <c r="A22" s="14" t="str">
        <f t="shared" si="0"/>
        <v>CHK-21</v>
      </c>
      <c r="B22" s="10" t="s">
        <v>211</v>
      </c>
      <c r="C22" s="10" t="s">
        <v>324</v>
      </c>
      <c r="D22" s="10" t="s">
        <v>146</v>
      </c>
      <c r="E22" s="10" t="s">
        <v>337</v>
      </c>
      <c r="F22" s="10" t="s">
        <v>338</v>
      </c>
      <c r="G22" s="10" t="s">
        <v>278</v>
      </c>
    </row>
    <row r="23" spans="1:7" ht="30" customHeight="1" x14ac:dyDescent="0.3">
      <c r="A23" s="14" t="str">
        <f t="shared" si="0"/>
        <v>CHK-22</v>
      </c>
      <c r="B23" s="10" t="s">
        <v>211</v>
      </c>
      <c r="C23" s="10" t="s">
        <v>339</v>
      </c>
      <c r="D23" s="10" t="s">
        <v>148</v>
      </c>
      <c r="E23" s="10" t="s">
        <v>340</v>
      </c>
      <c r="F23" s="10" t="s">
        <v>341</v>
      </c>
      <c r="G23" s="10" t="s">
        <v>289</v>
      </c>
    </row>
    <row r="24" spans="1:7" ht="30" customHeight="1" x14ac:dyDescent="0.3">
      <c r="A24" s="14" t="str">
        <f t="shared" si="0"/>
        <v>CHK-23</v>
      </c>
      <c r="B24" s="10" t="s">
        <v>211</v>
      </c>
      <c r="C24" s="10" t="s">
        <v>342</v>
      </c>
      <c r="D24" s="10" t="s">
        <v>148</v>
      </c>
      <c r="E24" s="10" t="s">
        <v>343</v>
      </c>
      <c r="F24" s="10" t="s">
        <v>344</v>
      </c>
      <c r="G24" s="10" t="s">
        <v>278</v>
      </c>
    </row>
    <row r="25" spans="1:7" ht="30" customHeight="1" x14ac:dyDescent="0.3">
      <c r="A25" s="14" t="str">
        <f t="shared" si="0"/>
        <v>CHK-24</v>
      </c>
      <c r="B25" s="10" t="s">
        <v>216</v>
      </c>
      <c r="C25" s="10" t="s">
        <v>345</v>
      </c>
      <c r="D25" s="10" t="s">
        <v>175</v>
      </c>
      <c r="E25" s="10" t="s">
        <v>346</v>
      </c>
      <c r="F25" s="10" t="s">
        <v>347</v>
      </c>
      <c r="G25" s="10" t="s">
        <v>282</v>
      </c>
    </row>
    <row r="26" spans="1:7" ht="30" customHeight="1" x14ac:dyDescent="0.3">
      <c r="A26" s="14" t="str">
        <f t="shared" si="0"/>
        <v>CHK-25</v>
      </c>
      <c r="B26" s="10" t="s">
        <v>216</v>
      </c>
      <c r="C26" s="10" t="s">
        <v>321</v>
      </c>
      <c r="D26" s="10" t="s">
        <v>144</v>
      </c>
      <c r="E26" s="10" t="s">
        <v>348</v>
      </c>
      <c r="F26" s="10" t="s">
        <v>349</v>
      </c>
      <c r="G26" s="10" t="s">
        <v>289</v>
      </c>
    </row>
    <row r="27" spans="1:7" ht="30" customHeight="1" x14ac:dyDescent="0.3">
      <c r="A27" s="14" t="str">
        <f t="shared" si="0"/>
        <v>CHK-26</v>
      </c>
      <c r="B27" s="10" t="s">
        <v>216</v>
      </c>
      <c r="C27" s="10" t="s">
        <v>295</v>
      </c>
      <c r="D27" s="10" t="s">
        <v>171</v>
      </c>
      <c r="E27" s="10" t="s">
        <v>350</v>
      </c>
      <c r="F27" s="10" t="s">
        <v>351</v>
      </c>
      <c r="G27" s="10" t="s">
        <v>278</v>
      </c>
    </row>
    <row r="28" spans="1:7" ht="30" customHeight="1" x14ac:dyDescent="0.3">
      <c r="A28" s="14" t="str">
        <f t="shared" si="0"/>
        <v>CHK-27</v>
      </c>
      <c r="B28" s="10" t="s">
        <v>221</v>
      </c>
      <c r="C28" s="10" t="s">
        <v>352</v>
      </c>
      <c r="D28" s="10" t="s">
        <v>142</v>
      </c>
      <c r="E28" s="10" t="s">
        <v>353</v>
      </c>
      <c r="F28" s="10" t="s">
        <v>354</v>
      </c>
      <c r="G28" s="10" t="s">
        <v>278</v>
      </c>
    </row>
    <row r="29" spans="1:7" ht="30" customHeight="1" x14ac:dyDescent="0.3">
      <c r="A29" s="14" t="str">
        <f t="shared" si="0"/>
        <v>CHK-28</v>
      </c>
      <c r="B29" s="10" t="s">
        <v>221</v>
      </c>
      <c r="C29" s="10" t="s">
        <v>355</v>
      </c>
      <c r="D29" s="10" t="s">
        <v>142</v>
      </c>
      <c r="E29" s="10" t="s">
        <v>356</v>
      </c>
      <c r="F29" s="10" t="s">
        <v>357</v>
      </c>
      <c r="G29" s="10" t="s">
        <v>330</v>
      </c>
    </row>
    <row r="30" spans="1:7" ht="30" customHeight="1" x14ac:dyDescent="0.3">
      <c r="A30" s="14" t="str">
        <f t="shared" si="0"/>
        <v>CHK-29</v>
      </c>
      <c r="B30" s="10" t="s">
        <v>225</v>
      </c>
      <c r="C30" s="10" t="s">
        <v>358</v>
      </c>
      <c r="D30" s="10" t="s">
        <v>156</v>
      </c>
      <c r="E30" s="10" t="s">
        <v>359</v>
      </c>
      <c r="F30" s="10" t="s">
        <v>360</v>
      </c>
      <c r="G30" s="10" t="s">
        <v>278</v>
      </c>
    </row>
    <row r="31" spans="1:7" ht="30" customHeight="1" x14ac:dyDescent="0.3">
      <c r="A31" s="14" t="str">
        <f t="shared" si="0"/>
        <v>CHK-30</v>
      </c>
      <c r="B31" s="10" t="s">
        <v>225</v>
      </c>
      <c r="C31" s="10" t="s">
        <v>361</v>
      </c>
      <c r="D31" s="10" t="s">
        <v>158</v>
      </c>
      <c r="E31" s="10" t="s">
        <v>362</v>
      </c>
      <c r="F31" s="10" t="s">
        <v>363</v>
      </c>
      <c r="G31" s="10" t="s">
        <v>282</v>
      </c>
    </row>
  </sheetData>
  <conditionalFormatting sqref="G2:G231">
    <cfRule type="expression" dxfId="11" priority="1">
      <formula>ISNUMBER(SEARCH("NC",G2))</formula>
    </cfRule>
    <cfRule type="expression" dxfId="10" priority="2">
      <formula>ISNUMBER(SEARCH("OBS",G2))</formula>
    </cfRule>
    <cfRule type="expression" dxfId="9" priority="3">
      <formula>ISNUMBER(SEARCH("OM",G2))</formula>
    </cfRule>
    <cfRule type="expression" dxfId="8" priority="4">
      <formula>ISNUMBER(SEARCH("C",G2))</formula>
    </cfRule>
  </conditionalFormatting>
  <dataValidations count="2">
    <dataValidation type="list" allowBlank="1" showErrorMessage="1" errorTitle="Valor inválido" error="Valor fora da lista controlada (ver folha Listas)." sqref="D2:D231" xr:uid="{00000000-0002-0000-0500-000000000000}">
      <formula1>lst_Processo</formula1>
    </dataValidation>
    <dataValidation type="list" allowBlank="1" showErrorMessage="1" errorTitle="Valor inválido" error="Valor fora da lista controlada (ver folha Listas)." sqref="G2:G231" xr:uid="{00000000-0002-0000-0500-000001000000}">
      <formula1>lst_ResChk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27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11" customWidth="1"/>
    <col min="3" max="4" width="14" customWidth="1"/>
    <col min="5" max="5" width="6" customWidth="1"/>
    <col min="6" max="6" width="60" customWidth="1"/>
    <col min="7" max="7" width="40" customWidth="1"/>
    <col min="8" max="9" width="11" customWidth="1"/>
    <col min="10" max="10" width="12" customWidth="1"/>
    <col min="11" max="11" width="11" customWidth="1"/>
    <col min="12" max="12" width="20" customWidth="1"/>
  </cols>
  <sheetData>
    <row r="1" spans="1:12" ht="17.399999999999999" x14ac:dyDescent="0.3">
      <c r="A1" s="1" t="s">
        <v>364</v>
      </c>
    </row>
    <row r="2" spans="1:12" x14ac:dyDescent="0.3">
      <c r="A2" s="2" t="s">
        <v>365</v>
      </c>
    </row>
    <row r="4" spans="1:12" ht="52.8" x14ac:dyDescent="0.3">
      <c r="A4" s="8" t="s">
        <v>366</v>
      </c>
      <c r="B4" s="8" t="s">
        <v>178</v>
      </c>
      <c r="C4" s="8" t="s">
        <v>269</v>
      </c>
      <c r="D4" s="8" t="s">
        <v>367</v>
      </c>
      <c r="E4" s="8" t="s">
        <v>270</v>
      </c>
      <c r="F4" s="8" t="s">
        <v>368</v>
      </c>
      <c r="G4" s="8" t="s">
        <v>272</v>
      </c>
      <c r="H4" s="8" t="s">
        <v>369</v>
      </c>
      <c r="I4" s="8" t="s">
        <v>370</v>
      </c>
      <c r="J4" s="8" t="s">
        <v>14</v>
      </c>
      <c r="K4" s="8" t="s">
        <v>371</v>
      </c>
      <c r="L4" s="9" t="s">
        <v>372</v>
      </c>
    </row>
    <row r="5" spans="1:12" ht="45" customHeight="1" x14ac:dyDescent="0.3">
      <c r="A5" s="10" t="s">
        <v>373</v>
      </c>
      <c r="B5" s="10" t="s">
        <v>211</v>
      </c>
      <c r="C5" s="10" t="s">
        <v>339</v>
      </c>
      <c r="D5" s="10" t="s">
        <v>374</v>
      </c>
      <c r="E5" s="10" t="s">
        <v>148</v>
      </c>
      <c r="F5" s="10" t="s">
        <v>375</v>
      </c>
      <c r="G5" s="10" t="s">
        <v>376</v>
      </c>
      <c r="H5" s="10" t="s">
        <v>377</v>
      </c>
      <c r="I5" s="13">
        <v>46371</v>
      </c>
      <c r="J5" s="10" t="s">
        <v>378</v>
      </c>
      <c r="K5" s="13">
        <v>46366</v>
      </c>
      <c r="L5" s="14" t="str">
        <f t="shared" ref="L5:L27" si="0">IF(A5="","",IF(AND(LEFT(D5,2)="NC",H5=""),"FALTA CAPA (9.2.2 d)",IF(AND(J5&lt;&gt;"Fechada",I5&lt;&gt;"",I5&lt;DataRef),"Atrasada","OK")))</f>
        <v>OK</v>
      </c>
    </row>
    <row r="6" spans="1:12" ht="45" customHeight="1" x14ac:dyDescent="0.3">
      <c r="A6" s="10" t="s">
        <v>379</v>
      </c>
      <c r="B6" s="10" t="s">
        <v>211</v>
      </c>
      <c r="C6" s="10" t="s">
        <v>324</v>
      </c>
      <c r="D6" s="10" t="s">
        <v>380</v>
      </c>
      <c r="E6" s="10" t="s">
        <v>146</v>
      </c>
      <c r="F6" s="10" t="s">
        <v>381</v>
      </c>
      <c r="G6" s="10" t="s">
        <v>382</v>
      </c>
      <c r="H6" s="10"/>
      <c r="I6" s="13"/>
      <c r="J6" s="10" t="s">
        <v>378</v>
      </c>
      <c r="K6" s="13">
        <v>46315</v>
      </c>
      <c r="L6" s="14" t="str">
        <f t="shared" si="0"/>
        <v>OK</v>
      </c>
    </row>
    <row r="7" spans="1:12" ht="45" customHeight="1" x14ac:dyDescent="0.3">
      <c r="A7" s="10" t="s">
        <v>383</v>
      </c>
      <c r="B7" s="10" t="s">
        <v>216</v>
      </c>
      <c r="C7" s="10" t="s">
        <v>345</v>
      </c>
      <c r="D7" s="10" t="s">
        <v>384</v>
      </c>
      <c r="E7" s="10" t="s">
        <v>175</v>
      </c>
      <c r="F7" s="10" t="s">
        <v>385</v>
      </c>
      <c r="G7" s="10" t="s">
        <v>386</v>
      </c>
      <c r="H7" s="10"/>
      <c r="I7" s="13"/>
      <c r="J7" s="10" t="s">
        <v>378</v>
      </c>
      <c r="K7" s="13">
        <v>46371</v>
      </c>
      <c r="L7" s="14" t="str">
        <f t="shared" si="0"/>
        <v>OK</v>
      </c>
    </row>
    <row r="8" spans="1:12" ht="45" customHeight="1" x14ac:dyDescent="0.3">
      <c r="A8" s="10" t="s">
        <v>387</v>
      </c>
      <c r="B8" s="10" t="s">
        <v>216</v>
      </c>
      <c r="C8" s="10" t="s">
        <v>388</v>
      </c>
      <c r="D8" s="10" t="s">
        <v>374</v>
      </c>
      <c r="E8" s="10" t="s">
        <v>144</v>
      </c>
      <c r="F8" s="10" t="s">
        <v>389</v>
      </c>
      <c r="G8" s="10" t="s">
        <v>390</v>
      </c>
      <c r="H8" s="10" t="s">
        <v>391</v>
      </c>
      <c r="I8" s="13">
        <v>46387</v>
      </c>
      <c r="J8" s="10" t="s">
        <v>392</v>
      </c>
      <c r="K8" s="13"/>
      <c r="L8" s="14" t="str">
        <f t="shared" si="0"/>
        <v>OK</v>
      </c>
    </row>
    <row r="9" spans="1:12" ht="45" customHeight="1" x14ac:dyDescent="0.3">
      <c r="A9" s="10" t="s">
        <v>393</v>
      </c>
      <c r="B9" s="10" t="s">
        <v>221</v>
      </c>
      <c r="C9" s="10" t="s">
        <v>355</v>
      </c>
      <c r="D9" s="10" t="s">
        <v>394</v>
      </c>
      <c r="E9" s="10" t="s">
        <v>142</v>
      </c>
      <c r="F9" s="10" t="s">
        <v>395</v>
      </c>
      <c r="G9" s="10" t="s">
        <v>396</v>
      </c>
      <c r="H9" s="10"/>
      <c r="I9" s="13"/>
      <c r="J9" s="10" t="s">
        <v>397</v>
      </c>
      <c r="K9" s="13"/>
      <c r="L9" s="14" t="str">
        <f t="shared" si="0"/>
        <v>OK</v>
      </c>
    </row>
    <row r="10" spans="1:12" ht="45" customHeight="1" x14ac:dyDescent="0.3">
      <c r="A10" s="10" t="s">
        <v>398</v>
      </c>
      <c r="B10" s="10" t="s">
        <v>225</v>
      </c>
      <c r="C10" s="10" t="s">
        <v>361</v>
      </c>
      <c r="D10" s="10" t="s">
        <v>384</v>
      </c>
      <c r="E10" s="10" t="s">
        <v>158</v>
      </c>
      <c r="F10" s="10" t="s">
        <v>399</v>
      </c>
      <c r="G10" s="10" t="s">
        <v>400</v>
      </c>
      <c r="H10" s="10"/>
      <c r="I10" s="13"/>
      <c r="J10" s="10" t="s">
        <v>397</v>
      </c>
      <c r="K10" s="13"/>
      <c r="L10" s="14" t="str">
        <f t="shared" si="0"/>
        <v>OK</v>
      </c>
    </row>
    <row r="11" spans="1:12" ht="45" customHeight="1" x14ac:dyDescent="0.3">
      <c r="A11" s="10" t="s">
        <v>401</v>
      </c>
      <c r="B11" s="10" t="s">
        <v>196</v>
      </c>
      <c r="C11" s="10" t="s">
        <v>402</v>
      </c>
      <c r="D11" s="10" t="s">
        <v>374</v>
      </c>
      <c r="E11" s="10" t="s">
        <v>152</v>
      </c>
      <c r="F11" s="10" t="s">
        <v>403</v>
      </c>
      <c r="G11" s="10" t="s">
        <v>404</v>
      </c>
      <c r="H11" s="10" t="s">
        <v>405</v>
      </c>
      <c r="I11" s="13">
        <v>46203</v>
      </c>
      <c r="J11" s="10" t="s">
        <v>378</v>
      </c>
      <c r="K11" s="13">
        <v>46193</v>
      </c>
      <c r="L11" s="14" t="str">
        <f t="shared" si="0"/>
        <v>OK</v>
      </c>
    </row>
    <row r="12" spans="1:12" ht="45" customHeight="1" x14ac:dyDescent="0.3">
      <c r="A12" s="10" t="s">
        <v>406</v>
      </c>
      <c r="B12" s="10" t="s">
        <v>202</v>
      </c>
      <c r="C12" s="10" t="s">
        <v>358</v>
      </c>
      <c r="D12" s="10" t="s">
        <v>374</v>
      </c>
      <c r="E12" s="10" t="s">
        <v>156</v>
      </c>
      <c r="F12" s="10" t="s">
        <v>407</v>
      </c>
      <c r="G12" s="10" t="s">
        <v>408</v>
      </c>
      <c r="H12" s="10" t="s">
        <v>409</v>
      </c>
      <c r="I12" s="13">
        <v>46234</v>
      </c>
      <c r="J12" s="10" t="s">
        <v>378</v>
      </c>
      <c r="K12" s="13">
        <v>46228</v>
      </c>
      <c r="L12" s="14" t="str">
        <f t="shared" si="0"/>
        <v>OK</v>
      </c>
    </row>
    <row r="13" spans="1:12" ht="45" customHeight="1" x14ac:dyDescent="0.3">
      <c r="A13" s="10" t="s">
        <v>410</v>
      </c>
      <c r="B13" s="10" t="s">
        <v>206</v>
      </c>
      <c r="C13" s="10" t="s">
        <v>411</v>
      </c>
      <c r="D13" s="10" t="s">
        <v>412</v>
      </c>
      <c r="E13" s="10" t="s">
        <v>105</v>
      </c>
      <c r="F13" s="10" t="s">
        <v>413</v>
      </c>
      <c r="G13" s="10" t="s">
        <v>414</v>
      </c>
      <c r="H13" s="10" t="s">
        <v>415</v>
      </c>
      <c r="I13" s="13">
        <v>46326</v>
      </c>
      <c r="J13" s="10" t="s">
        <v>378</v>
      </c>
      <c r="K13" s="13">
        <v>46325</v>
      </c>
      <c r="L13" s="14" t="str">
        <f t="shared" si="0"/>
        <v>OK</v>
      </c>
    </row>
    <row r="14" spans="1:12" ht="45" customHeight="1" x14ac:dyDescent="0.3">
      <c r="A14" s="10" t="s">
        <v>416</v>
      </c>
      <c r="B14" s="10" t="s">
        <v>206</v>
      </c>
      <c r="C14" s="10" t="s">
        <v>417</v>
      </c>
      <c r="D14" s="10" t="s">
        <v>374</v>
      </c>
      <c r="E14" s="10" t="s">
        <v>169</v>
      </c>
      <c r="F14" s="10" t="s">
        <v>418</v>
      </c>
      <c r="G14" s="10" t="s">
        <v>419</v>
      </c>
      <c r="H14" s="10" t="s">
        <v>420</v>
      </c>
      <c r="I14" s="13">
        <v>46310</v>
      </c>
      <c r="J14" s="10" t="s">
        <v>378</v>
      </c>
      <c r="K14" s="13">
        <v>46309</v>
      </c>
      <c r="L14" s="14" t="str">
        <f t="shared" si="0"/>
        <v>OK</v>
      </c>
    </row>
    <row r="15" spans="1:12" ht="45" customHeight="1" x14ac:dyDescent="0.3">
      <c r="A15" s="10" t="s">
        <v>421</v>
      </c>
      <c r="B15" s="10" t="s">
        <v>206</v>
      </c>
      <c r="C15" s="10" t="s">
        <v>422</v>
      </c>
      <c r="D15" s="10" t="s">
        <v>374</v>
      </c>
      <c r="E15" s="10" t="s">
        <v>167</v>
      </c>
      <c r="F15" s="10" t="s">
        <v>423</v>
      </c>
      <c r="G15" s="10" t="s">
        <v>424</v>
      </c>
      <c r="H15" s="10" t="s">
        <v>425</v>
      </c>
      <c r="I15" s="13">
        <v>46356</v>
      </c>
      <c r="J15" s="10" t="s">
        <v>378</v>
      </c>
      <c r="K15" s="13">
        <v>46351</v>
      </c>
      <c r="L15" s="14" t="str">
        <f t="shared" si="0"/>
        <v>OK</v>
      </c>
    </row>
    <row r="16" spans="1:12" ht="45" customHeight="1" x14ac:dyDescent="0.3">
      <c r="A16" s="10" t="s">
        <v>426</v>
      </c>
      <c r="B16" s="10" t="s">
        <v>206</v>
      </c>
      <c r="C16" s="10" t="s">
        <v>427</v>
      </c>
      <c r="D16" s="10" t="s">
        <v>374</v>
      </c>
      <c r="E16" s="10" t="s">
        <v>105</v>
      </c>
      <c r="F16" s="10" t="s">
        <v>428</v>
      </c>
      <c r="G16" s="10" t="s">
        <v>429</v>
      </c>
      <c r="H16" s="10" t="s">
        <v>430</v>
      </c>
      <c r="I16" s="13">
        <v>46326</v>
      </c>
      <c r="J16" s="10" t="s">
        <v>378</v>
      </c>
      <c r="K16" s="13">
        <v>46324</v>
      </c>
      <c r="L16" s="14" t="str">
        <f t="shared" si="0"/>
        <v>OK</v>
      </c>
    </row>
    <row r="17" spans="1:12" ht="45" customHeight="1" x14ac:dyDescent="0.3">
      <c r="A17" s="10" t="s">
        <v>431</v>
      </c>
      <c r="B17" s="10" t="s">
        <v>206</v>
      </c>
      <c r="C17" s="10" t="s">
        <v>432</v>
      </c>
      <c r="D17" s="10" t="s">
        <v>412</v>
      </c>
      <c r="E17" s="10" t="s">
        <v>144</v>
      </c>
      <c r="F17" s="10" t="s">
        <v>433</v>
      </c>
      <c r="G17" s="10" t="s">
        <v>434</v>
      </c>
      <c r="H17" s="10" t="s">
        <v>391</v>
      </c>
      <c r="I17" s="13">
        <v>46387</v>
      </c>
      <c r="J17" s="10" t="s">
        <v>392</v>
      </c>
      <c r="K17" s="13"/>
      <c r="L17" s="14" t="str">
        <f t="shared" si="0"/>
        <v>OK</v>
      </c>
    </row>
    <row r="18" spans="1:12" ht="45" customHeight="1" x14ac:dyDescent="0.3">
      <c r="A18" s="10" t="s">
        <v>435</v>
      </c>
      <c r="B18" s="10" t="s">
        <v>206</v>
      </c>
      <c r="C18" s="10" t="s">
        <v>436</v>
      </c>
      <c r="D18" s="10" t="s">
        <v>384</v>
      </c>
      <c r="E18" s="10" t="s">
        <v>105</v>
      </c>
      <c r="F18" s="10" t="s">
        <v>437</v>
      </c>
      <c r="G18" s="10" t="s">
        <v>438</v>
      </c>
      <c r="H18" s="10"/>
      <c r="I18" s="13"/>
      <c r="J18" s="10" t="s">
        <v>397</v>
      </c>
      <c r="K18" s="13"/>
      <c r="L18" s="14" t="str">
        <f t="shared" si="0"/>
        <v>OK</v>
      </c>
    </row>
    <row r="19" spans="1:12" ht="45" customHeight="1" x14ac:dyDescent="0.3">
      <c r="A19" s="10" t="s">
        <v>439</v>
      </c>
      <c r="B19" s="10" t="s">
        <v>206</v>
      </c>
      <c r="C19" s="10" t="s">
        <v>440</v>
      </c>
      <c r="D19" s="10" t="s">
        <v>384</v>
      </c>
      <c r="E19" s="10" t="s">
        <v>160</v>
      </c>
      <c r="F19" s="10" t="s">
        <v>441</v>
      </c>
      <c r="G19" s="10" t="s">
        <v>442</v>
      </c>
      <c r="H19" s="10"/>
      <c r="I19" s="13"/>
      <c r="J19" s="10" t="s">
        <v>378</v>
      </c>
      <c r="K19" s="13">
        <v>46330</v>
      </c>
      <c r="L19" s="14" t="str">
        <f t="shared" si="0"/>
        <v>OK</v>
      </c>
    </row>
    <row r="20" spans="1:12" ht="45" customHeight="1" x14ac:dyDescent="0.3">
      <c r="A20" s="10" t="s">
        <v>443</v>
      </c>
      <c r="B20" s="10" t="s">
        <v>206</v>
      </c>
      <c r="C20" s="10" t="s">
        <v>327</v>
      </c>
      <c r="D20" s="10" t="s">
        <v>394</v>
      </c>
      <c r="E20" s="10" t="s">
        <v>146</v>
      </c>
      <c r="F20" s="10" t="s">
        <v>444</v>
      </c>
      <c r="G20" s="10" t="s">
        <v>445</v>
      </c>
      <c r="H20" s="10"/>
      <c r="I20" s="13"/>
      <c r="J20" s="10" t="s">
        <v>397</v>
      </c>
      <c r="K20" s="13"/>
      <c r="L20" s="14" t="str">
        <f t="shared" si="0"/>
        <v>OK</v>
      </c>
    </row>
    <row r="21" spans="1:12" ht="45" customHeight="1" x14ac:dyDescent="0.3">
      <c r="A21" s="10" t="s">
        <v>446</v>
      </c>
      <c r="B21" s="10" t="s">
        <v>206</v>
      </c>
      <c r="C21" s="10" t="s">
        <v>447</v>
      </c>
      <c r="D21" s="10" t="s">
        <v>380</v>
      </c>
      <c r="E21" s="10" t="s">
        <v>169</v>
      </c>
      <c r="F21" s="10" t="s">
        <v>448</v>
      </c>
      <c r="G21" s="10" t="s">
        <v>449</v>
      </c>
      <c r="H21" s="10"/>
      <c r="I21" s="13"/>
      <c r="J21" s="10" t="s">
        <v>378</v>
      </c>
      <c r="K21" s="13">
        <v>46281</v>
      </c>
      <c r="L21" s="14" t="str">
        <f t="shared" si="0"/>
        <v>OK</v>
      </c>
    </row>
    <row r="22" spans="1:12" ht="45" customHeight="1" x14ac:dyDescent="0.3">
      <c r="A22" s="10" t="s">
        <v>450</v>
      </c>
      <c r="B22" s="10" t="s">
        <v>206</v>
      </c>
      <c r="C22" s="10" t="s">
        <v>451</v>
      </c>
      <c r="D22" s="10" t="s">
        <v>374</v>
      </c>
      <c r="E22" s="10" t="s">
        <v>146</v>
      </c>
      <c r="F22" s="10" t="s">
        <v>452</v>
      </c>
      <c r="G22" s="10" t="s">
        <v>453</v>
      </c>
      <c r="H22" s="10" t="s">
        <v>454</v>
      </c>
      <c r="I22" s="13">
        <v>46341</v>
      </c>
      <c r="J22" s="10" t="s">
        <v>378</v>
      </c>
      <c r="K22" s="13">
        <v>46338</v>
      </c>
      <c r="L22" s="14" t="str">
        <f t="shared" si="0"/>
        <v>OK</v>
      </c>
    </row>
    <row r="23" spans="1:12" ht="45" customHeight="1" x14ac:dyDescent="0.3">
      <c r="A23" s="10"/>
      <c r="B23" s="10"/>
      <c r="C23" s="10"/>
      <c r="D23" s="10"/>
      <c r="E23" s="10"/>
      <c r="F23" s="10"/>
      <c r="G23" s="10"/>
      <c r="H23" s="10"/>
      <c r="I23" s="13"/>
      <c r="J23" s="10"/>
      <c r="K23" s="13"/>
      <c r="L23" s="14" t="str">
        <f t="shared" si="0"/>
        <v/>
      </c>
    </row>
    <row r="24" spans="1:12" ht="45" customHeight="1" x14ac:dyDescent="0.3">
      <c r="A24" s="10"/>
      <c r="B24" s="10"/>
      <c r="C24" s="10"/>
      <c r="D24" s="10"/>
      <c r="E24" s="10"/>
      <c r="F24" s="10"/>
      <c r="G24" s="10"/>
      <c r="H24" s="10"/>
      <c r="I24" s="13"/>
      <c r="J24" s="10"/>
      <c r="K24" s="13"/>
      <c r="L24" s="14" t="str">
        <f t="shared" si="0"/>
        <v/>
      </c>
    </row>
    <row r="25" spans="1:12" ht="45" customHeight="1" x14ac:dyDescent="0.3">
      <c r="A25" s="10"/>
      <c r="B25" s="10"/>
      <c r="C25" s="10"/>
      <c r="D25" s="10"/>
      <c r="E25" s="10"/>
      <c r="F25" s="10"/>
      <c r="G25" s="10"/>
      <c r="H25" s="10"/>
      <c r="I25" s="13"/>
      <c r="J25" s="10"/>
      <c r="K25" s="13"/>
      <c r="L25" s="14" t="str">
        <f t="shared" si="0"/>
        <v/>
      </c>
    </row>
    <row r="26" spans="1:12" ht="45" customHeight="1" x14ac:dyDescent="0.3">
      <c r="A26" s="10"/>
      <c r="B26" s="10"/>
      <c r="C26" s="10"/>
      <c r="D26" s="10"/>
      <c r="E26" s="10"/>
      <c r="F26" s="10"/>
      <c r="G26" s="10"/>
      <c r="H26" s="10"/>
      <c r="I26" s="13"/>
      <c r="J26" s="10"/>
      <c r="K26" s="13"/>
      <c r="L26" s="14" t="str">
        <f t="shared" si="0"/>
        <v/>
      </c>
    </row>
    <row r="27" spans="1:12" ht="45" customHeight="1" x14ac:dyDescent="0.3">
      <c r="A27" s="10"/>
      <c r="B27" s="10"/>
      <c r="C27" s="10"/>
      <c r="D27" s="10"/>
      <c r="E27" s="10"/>
      <c r="F27" s="10"/>
      <c r="G27" s="10"/>
      <c r="H27" s="10"/>
      <c r="I27" s="13"/>
      <c r="J27" s="10"/>
      <c r="K27" s="13"/>
      <c r="L27" s="14" t="str">
        <f t="shared" si="0"/>
        <v/>
      </c>
    </row>
  </sheetData>
  <conditionalFormatting sqref="D5:D227">
    <cfRule type="expression" dxfId="7" priority="1">
      <formula>ISNUMBER(SEARCH("maior",D5))</formula>
    </cfRule>
    <cfRule type="expression" dxfId="6" priority="2">
      <formula>ISNUMBER(SEARCH("menor",D5))</formula>
    </cfRule>
    <cfRule type="expression" dxfId="5" priority="3">
      <formula>ISNUMBER(SEARCH("Observação",D5))</formula>
    </cfRule>
    <cfRule type="expression" dxfId="4" priority="4">
      <formula>ISNUMBER(SEARCH("Oportunidade",D5))</formula>
    </cfRule>
    <cfRule type="expression" dxfId="3" priority="5">
      <formula>ISNUMBER(SEARCH("Boa",D5))</formula>
    </cfRule>
  </conditionalFormatting>
  <conditionalFormatting sqref="L5:L227">
    <cfRule type="expression" dxfId="2" priority="6">
      <formula>ISNUMBER(SEARCH("FALTA",L5))</formula>
    </cfRule>
    <cfRule type="expression" dxfId="1" priority="7">
      <formula>ISNUMBER(SEARCH("Atrasada",L5))</formula>
    </cfRule>
    <cfRule type="expression" dxfId="0" priority="8">
      <formula>ISNUMBER(SEARCH("OK",L5))</formula>
    </cfRule>
  </conditionalFormatting>
  <dataValidations count="3">
    <dataValidation type="list" allowBlank="1" showErrorMessage="1" errorTitle="Valor inválido" error="Valor fora da lista controlada (ver folha Listas)." sqref="D5:D227" xr:uid="{00000000-0002-0000-0600-000000000000}">
      <formula1>lst_TipoConst</formula1>
    </dataValidation>
    <dataValidation type="list" allowBlank="1" showErrorMessage="1" errorTitle="Valor inválido" error="Valor fora da lista controlada (ver folha Listas)." sqref="E5:E227" xr:uid="{00000000-0002-0000-0600-000001000000}">
      <formula1>lst_Processo</formula1>
    </dataValidation>
    <dataValidation type="list" allowBlank="1" showErrorMessage="1" errorTitle="Valor inválido" error="Valor fora da lista controlada (ver folha Listas)." sqref="J5:J227" xr:uid="{00000000-0002-0000-0600-000002000000}">
      <formula1>lst_EstadoConst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14"/>
  <sheetViews>
    <sheetView showGridLines="0" workbookViewId="0"/>
  </sheetViews>
  <sheetFormatPr defaultRowHeight="14.4" x14ac:dyDescent="0.3"/>
  <cols>
    <col min="1" max="1" width="60" customWidth="1"/>
    <col min="2" max="2" width="12" customWidth="1"/>
  </cols>
  <sheetData>
    <row r="1" spans="1:2" ht="17.399999999999999" x14ac:dyDescent="0.3">
      <c r="A1" s="1" t="s">
        <v>455</v>
      </c>
    </row>
    <row r="3" spans="1:2" x14ac:dyDescent="0.3">
      <c r="A3" s="8" t="s">
        <v>456</v>
      </c>
      <c r="B3" s="8" t="s">
        <v>457</v>
      </c>
    </row>
    <row r="4" spans="1:2" x14ac:dyDescent="0.3">
      <c r="A4" s="17" t="s">
        <v>458</v>
      </c>
      <c r="B4" s="11">
        <f>COUNTIFS(tbl_programa_auditorias[Data_Planeada],"&lt;="&amp;DataRef)</f>
        <v>8</v>
      </c>
    </row>
    <row r="5" spans="1:2" x14ac:dyDescent="0.3">
      <c r="A5" s="17" t="s">
        <v>459</v>
      </c>
      <c r="B5" s="11">
        <f>COUNTIF(tbl_programa_auditorias[Estado],"Realizada")</f>
        <v>8</v>
      </c>
    </row>
    <row r="6" spans="1:2" x14ac:dyDescent="0.3">
      <c r="A6" s="17" t="s">
        <v>460</v>
      </c>
      <c r="B6" s="18">
        <f>IFERROR(B5/B4,"")</f>
        <v>1</v>
      </c>
    </row>
    <row r="7" spans="1:2" x14ac:dyDescent="0.3">
      <c r="A7" s="17" t="s">
        <v>461</v>
      </c>
      <c r="B7" s="11">
        <f>COUNTA(tbl_constatacoes[ID_Constatacao])</f>
        <v>18</v>
      </c>
    </row>
    <row r="8" spans="1:2" x14ac:dyDescent="0.3">
      <c r="A8" s="19" t="s">
        <v>462</v>
      </c>
      <c r="B8" s="11">
        <f>COUNTIF(tbl_constatacoes[Classificacao],"NC maior")</f>
        <v>2</v>
      </c>
    </row>
    <row r="9" spans="1:2" x14ac:dyDescent="0.3">
      <c r="A9" s="19" t="s">
        <v>463</v>
      </c>
      <c r="B9" s="11">
        <f>COUNTIF(tbl_constatacoes[Classificacao],"NC menor")</f>
        <v>8</v>
      </c>
    </row>
    <row r="10" spans="1:2" x14ac:dyDescent="0.3">
      <c r="A10" s="19" t="s">
        <v>464</v>
      </c>
      <c r="B10" s="11">
        <f>COUNTIF(tbl_constatacoes[Classificacao],"Observação")+COUNTIF(tbl_constatacoes[Classificacao],"Oportunidade de melhoria")</f>
        <v>6</v>
      </c>
    </row>
    <row r="11" spans="1:2" x14ac:dyDescent="0.3">
      <c r="A11" s="17" t="s">
        <v>465</v>
      </c>
      <c r="B11" s="11">
        <f>COUNTIF(tbl_constatacoes[Estado],"Fechada")</f>
        <v>12</v>
      </c>
    </row>
    <row r="12" spans="1:2" x14ac:dyDescent="0.3">
      <c r="A12" s="17" t="s">
        <v>466</v>
      </c>
      <c r="B12" s="11">
        <f>COUNTIF(tbl_constatacoes[Controlo_Qualidade],"FALTA*")</f>
        <v>0</v>
      </c>
    </row>
    <row r="13" spans="1:2" x14ac:dyDescent="0.3">
      <c r="A13" s="17" t="s">
        <v>467</v>
      </c>
      <c r="B13" s="11">
        <f>COUNTIF(tbl_priorizacao[Alerta],"Auditoria vencida")</f>
        <v>0</v>
      </c>
    </row>
    <row r="14" spans="1:2" x14ac:dyDescent="0.3">
      <c r="A14" s="17" t="s">
        <v>468</v>
      </c>
      <c r="B14" s="11">
        <f>COUNTIF(tbl_auditores[Qualificado],"Sim")</f>
        <v>6</v>
      </c>
    </row>
  </sheetData>
  <pageMargins left="0.75" right="0.75" top="1" bottom="1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1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16" customWidth="1"/>
    <col min="3" max="3" width="29" customWidth="1"/>
    <col min="4" max="4" width="16" customWidth="1"/>
    <col min="5" max="5" width="26" customWidth="1"/>
    <col min="6" max="9" width="16" customWidth="1"/>
  </cols>
  <sheetData>
    <row r="1" spans="1:9" x14ac:dyDescent="0.3">
      <c r="A1" s="20" t="s">
        <v>469</v>
      </c>
    </row>
    <row r="2" spans="1:9" x14ac:dyDescent="0.3">
      <c r="A2" s="21" t="s">
        <v>470</v>
      </c>
      <c r="B2" s="21" t="s">
        <v>126</v>
      </c>
      <c r="C2" s="21" t="s">
        <v>182</v>
      </c>
      <c r="D2" s="21" t="s">
        <v>471</v>
      </c>
      <c r="E2" s="21" t="s">
        <v>472</v>
      </c>
      <c r="F2" s="21" t="s">
        <v>473</v>
      </c>
      <c r="G2" s="21" t="s">
        <v>474</v>
      </c>
      <c r="H2" s="21" t="s">
        <v>475</v>
      </c>
      <c r="I2" s="21" t="s">
        <v>476</v>
      </c>
    </row>
    <row r="3" spans="1:9" x14ac:dyDescent="0.3">
      <c r="A3" s="22">
        <v>46387</v>
      </c>
      <c r="B3" s="6" t="s">
        <v>142</v>
      </c>
      <c r="C3" s="6" t="s">
        <v>193</v>
      </c>
      <c r="D3" s="6" t="s">
        <v>234</v>
      </c>
      <c r="E3" s="6" t="s">
        <v>412</v>
      </c>
      <c r="F3" s="6" t="s">
        <v>397</v>
      </c>
      <c r="G3" s="6" t="s">
        <v>278</v>
      </c>
      <c r="H3" s="6" t="s">
        <v>241</v>
      </c>
      <c r="I3" s="6" t="s">
        <v>93</v>
      </c>
    </row>
    <row r="4" spans="1:9" x14ac:dyDescent="0.3">
      <c r="B4" s="6" t="s">
        <v>144</v>
      </c>
      <c r="C4" s="6" t="s">
        <v>477</v>
      </c>
      <c r="D4" s="6" t="s">
        <v>195</v>
      </c>
      <c r="E4" s="6" t="s">
        <v>374</v>
      </c>
      <c r="F4" s="6" t="s">
        <v>392</v>
      </c>
      <c r="G4" s="6" t="s">
        <v>289</v>
      </c>
      <c r="H4" s="6" t="s">
        <v>262</v>
      </c>
      <c r="I4" s="6" t="s">
        <v>478</v>
      </c>
    </row>
    <row r="5" spans="1:9" x14ac:dyDescent="0.3">
      <c r="B5" s="6" t="s">
        <v>146</v>
      </c>
      <c r="C5" s="6" t="s">
        <v>220</v>
      </c>
      <c r="D5" s="6" t="s">
        <v>479</v>
      </c>
      <c r="E5" s="6" t="s">
        <v>384</v>
      </c>
      <c r="F5" s="6" t="s">
        <v>378</v>
      </c>
      <c r="G5" s="6" t="s">
        <v>282</v>
      </c>
    </row>
    <row r="6" spans="1:9" x14ac:dyDescent="0.3">
      <c r="B6" s="6" t="s">
        <v>148</v>
      </c>
      <c r="C6" s="6" t="s">
        <v>200</v>
      </c>
      <c r="D6" s="6" t="s">
        <v>480</v>
      </c>
      <c r="E6" s="6" t="s">
        <v>394</v>
      </c>
      <c r="G6" s="6" t="s">
        <v>330</v>
      </c>
    </row>
    <row r="7" spans="1:9" x14ac:dyDescent="0.3">
      <c r="B7" s="6" t="s">
        <v>150</v>
      </c>
      <c r="E7" s="6" t="s">
        <v>380</v>
      </c>
    </row>
    <row r="8" spans="1:9" x14ac:dyDescent="0.3">
      <c r="B8" s="6" t="s">
        <v>152</v>
      </c>
    </row>
    <row r="9" spans="1:9" x14ac:dyDescent="0.3">
      <c r="B9" s="6" t="s">
        <v>154</v>
      </c>
    </row>
    <row r="10" spans="1:9" x14ac:dyDescent="0.3">
      <c r="B10" s="6" t="s">
        <v>156</v>
      </c>
    </row>
    <row r="11" spans="1:9" x14ac:dyDescent="0.3">
      <c r="B11" s="6" t="s">
        <v>158</v>
      </c>
    </row>
    <row r="12" spans="1:9" x14ac:dyDescent="0.3">
      <c r="B12" s="6" t="s">
        <v>160</v>
      </c>
    </row>
    <row r="13" spans="1:9" x14ac:dyDescent="0.3">
      <c r="B13" s="6" t="s">
        <v>162</v>
      </c>
    </row>
    <row r="14" spans="1:9" x14ac:dyDescent="0.3">
      <c r="B14" s="6" t="s">
        <v>105</v>
      </c>
    </row>
    <row r="15" spans="1:9" x14ac:dyDescent="0.3">
      <c r="B15" s="6" t="s">
        <v>165</v>
      </c>
    </row>
    <row r="16" spans="1:9" x14ac:dyDescent="0.3">
      <c r="B16" s="6" t="s">
        <v>167</v>
      </c>
    </row>
    <row r="17" spans="2:2" x14ac:dyDescent="0.3">
      <c r="B17" s="6" t="s">
        <v>169</v>
      </c>
    </row>
    <row r="18" spans="2:2" x14ac:dyDescent="0.3">
      <c r="B18" s="6" t="s">
        <v>171</v>
      </c>
    </row>
    <row r="19" spans="2:2" x14ac:dyDescent="0.3">
      <c r="B19" s="6" t="s">
        <v>173</v>
      </c>
    </row>
    <row r="20" spans="2:2" x14ac:dyDescent="0.3">
      <c r="B20" s="6" t="s">
        <v>175</v>
      </c>
    </row>
    <row r="21" spans="2:2" x14ac:dyDescent="0.3">
      <c r="B21" s="6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6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481</v>
      </c>
      <c r="B1" s="8" t="s">
        <v>482</v>
      </c>
      <c r="C1" s="8" t="s">
        <v>483</v>
      </c>
      <c r="D1" s="8" t="s">
        <v>236</v>
      </c>
      <c r="E1" s="8" t="s">
        <v>484</v>
      </c>
      <c r="F1" s="8" t="s">
        <v>237</v>
      </c>
      <c r="G1" s="8" t="s">
        <v>485</v>
      </c>
      <c r="H1" s="8" t="s">
        <v>486</v>
      </c>
      <c r="I1" s="8" t="s">
        <v>487</v>
      </c>
    </row>
    <row r="2" spans="1:9" x14ac:dyDescent="0.3">
      <c r="A2" s="19" t="s">
        <v>37</v>
      </c>
      <c r="B2" s="19" t="s">
        <v>488</v>
      </c>
      <c r="C2" s="19" t="s">
        <v>76</v>
      </c>
      <c r="D2" s="19" t="s">
        <v>489</v>
      </c>
      <c r="E2" s="19" t="s">
        <v>490</v>
      </c>
      <c r="F2" s="19" t="s">
        <v>491</v>
      </c>
      <c r="G2" s="19"/>
      <c r="H2" s="19" t="s">
        <v>93</v>
      </c>
      <c r="I2" s="19" t="s">
        <v>492</v>
      </c>
    </row>
    <row r="3" spans="1:9" x14ac:dyDescent="0.3">
      <c r="A3" s="19" t="s">
        <v>37</v>
      </c>
      <c r="B3" s="19" t="s">
        <v>488</v>
      </c>
      <c r="C3" s="19" t="s">
        <v>77</v>
      </c>
      <c r="D3" s="19" t="s">
        <v>489</v>
      </c>
      <c r="E3" s="19" t="s">
        <v>490</v>
      </c>
      <c r="F3" s="19" t="s">
        <v>493</v>
      </c>
      <c r="G3" s="19"/>
      <c r="H3" s="19" t="s">
        <v>93</v>
      </c>
      <c r="I3" s="19"/>
    </row>
    <row r="4" spans="1:9" x14ac:dyDescent="0.3">
      <c r="A4" s="19" t="s">
        <v>37</v>
      </c>
      <c r="B4" s="19" t="s">
        <v>488</v>
      </c>
      <c r="C4" s="19" t="s">
        <v>78</v>
      </c>
      <c r="D4" s="19" t="s">
        <v>489</v>
      </c>
      <c r="E4" s="19" t="s">
        <v>490</v>
      </c>
      <c r="F4" s="19" t="s">
        <v>494</v>
      </c>
      <c r="G4" s="19"/>
      <c r="H4" s="19" t="s">
        <v>93</v>
      </c>
      <c r="I4" s="19"/>
    </row>
    <row r="5" spans="1:9" x14ac:dyDescent="0.3">
      <c r="A5" s="19" t="s">
        <v>37</v>
      </c>
      <c r="B5" s="19" t="s">
        <v>488</v>
      </c>
      <c r="C5" s="19" t="s">
        <v>79</v>
      </c>
      <c r="D5" s="19" t="s">
        <v>489</v>
      </c>
      <c r="E5" s="19" t="s">
        <v>490</v>
      </c>
      <c r="F5" s="19" t="s">
        <v>495</v>
      </c>
      <c r="G5" s="19"/>
      <c r="H5" s="19" t="s">
        <v>93</v>
      </c>
      <c r="I5" s="19"/>
    </row>
    <row r="6" spans="1:9" x14ac:dyDescent="0.3">
      <c r="A6" s="19" t="s">
        <v>37</v>
      </c>
      <c r="B6" s="19" t="s">
        <v>488</v>
      </c>
      <c r="C6" s="19" t="s">
        <v>80</v>
      </c>
      <c r="D6" s="19" t="s">
        <v>489</v>
      </c>
      <c r="E6" s="19" t="s">
        <v>490</v>
      </c>
      <c r="F6" s="19" t="s">
        <v>496</v>
      </c>
      <c r="G6" s="19"/>
      <c r="H6" s="19" t="s">
        <v>93</v>
      </c>
      <c r="I6" s="19"/>
    </row>
    <row r="7" spans="1:9" x14ac:dyDescent="0.3">
      <c r="A7" s="19" t="s">
        <v>37</v>
      </c>
      <c r="B7" s="19" t="s">
        <v>488</v>
      </c>
      <c r="C7" s="19" t="s">
        <v>81</v>
      </c>
      <c r="D7" s="19" t="s">
        <v>489</v>
      </c>
      <c r="E7" s="19" t="s">
        <v>490</v>
      </c>
      <c r="F7" s="19" t="s">
        <v>497</v>
      </c>
      <c r="G7" s="19"/>
      <c r="H7" s="19" t="s">
        <v>93</v>
      </c>
      <c r="I7" s="19"/>
    </row>
    <row r="8" spans="1:9" x14ac:dyDescent="0.3">
      <c r="A8" s="19" t="s">
        <v>37</v>
      </c>
      <c r="B8" s="19" t="s">
        <v>488</v>
      </c>
      <c r="C8" s="19" t="s">
        <v>82</v>
      </c>
      <c r="D8" s="19" t="s">
        <v>498</v>
      </c>
      <c r="E8" s="19" t="s">
        <v>490</v>
      </c>
      <c r="F8" s="19" t="s">
        <v>499</v>
      </c>
      <c r="G8" s="19"/>
      <c r="H8" s="19" t="s">
        <v>93</v>
      </c>
      <c r="I8" s="19"/>
    </row>
    <row r="9" spans="1:9" x14ac:dyDescent="0.3">
      <c r="A9" s="19" t="s">
        <v>37</v>
      </c>
      <c r="B9" s="19" t="s">
        <v>488</v>
      </c>
      <c r="C9" s="19" t="s">
        <v>83</v>
      </c>
      <c r="D9" s="19" t="s">
        <v>500</v>
      </c>
      <c r="E9" s="19" t="s">
        <v>490</v>
      </c>
      <c r="F9" s="19" t="s">
        <v>501</v>
      </c>
      <c r="G9" s="19"/>
      <c r="H9" s="19" t="s">
        <v>93</v>
      </c>
      <c r="I9" s="19"/>
    </row>
    <row r="10" spans="1:9" x14ac:dyDescent="0.3">
      <c r="A10" s="19" t="s">
        <v>37</v>
      </c>
      <c r="B10" s="19" t="s">
        <v>488</v>
      </c>
      <c r="C10" s="19" t="s">
        <v>84</v>
      </c>
      <c r="D10" s="19" t="s">
        <v>489</v>
      </c>
      <c r="E10" s="19" t="s">
        <v>490</v>
      </c>
      <c r="F10" s="19" t="s">
        <v>502</v>
      </c>
      <c r="G10" s="19"/>
      <c r="H10" s="19" t="s">
        <v>93</v>
      </c>
      <c r="I10" s="19"/>
    </row>
    <row r="11" spans="1:9" x14ac:dyDescent="0.3">
      <c r="A11" s="19" t="s">
        <v>37</v>
      </c>
      <c r="B11" s="19" t="s">
        <v>488</v>
      </c>
      <c r="C11" s="19" t="s">
        <v>85</v>
      </c>
      <c r="D11" s="19" t="s">
        <v>489</v>
      </c>
      <c r="E11" s="19" t="s">
        <v>490</v>
      </c>
      <c r="F11" s="19" t="s">
        <v>503</v>
      </c>
      <c r="G11" s="19" t="s">
        <v>504</v>
      </c>
      <c r="H11" s="19" t="s">
        <v>93</v>
      </c>
      <c r="I11" s="19"/>
    </row>
    <row r="12" spans="1:9" ht="26.4" x14ac:dyDescent="0.3">
      <c r="A12" s="19" t="s">
        <v>37</v>
      </c>
      <c r="B12" s="19" t="s">
        <v>488</v>
      </c>
      <c r="C12" s="19" t="s">
        <v>86</v>
      </c>
      <c r="D12" s="19" t="s">
        <v>505</v>
      </c>
      <c r="E12" s="19" t="s">
        <v>490</v>
      </c>
      <c r="F12" s="19" t="s">
        <v>506</v>
      </c>
      <c r="G12" s="19"/>
      <c r="H12" s="19" t="s">
        <v>93</v>
      </c>
      <c r="I12" s="19"/>
    </row>
    <row r="13" spans="1:9" x14ac:dyDescent="0.3">
      <c r="A13" s="19" t="s">
        <v>37</v>
      </c>
      <c r="B13" s="19" t="s">
        <v>488</v>
      </c>
      <c r="C13" s="19" t="s">
        <v>87</v>
      </c>
      <c r="D13" s="19" t="s">
        <v>489</v>
      </c>
      <c r="E13" s="19" t="s">
        <v>507</v>
      </c>
      <c r="F13" s="19" t="s">
        <v>508</v>
      </c>
      <c r="G13" s="19"/>
      <c r="H13" s="19" t="s">
        <v>93</v>
      </c>
      <c r="I13" s="19"/>
    </row>
    <row r="14" spans="1:9" x14ac:dyDescent="0.3">
      <c r="A14" s="19" t="s">
        <v>39</v>
      </c>
      <c r="B14" s="19" t="s">
        <v>509</v>
      </c>
      <c r="C14" s="19" t="s">
        <v>126</v>
      </c>
      <c r="D14" s="19" t="s">
        <v>489</v>
      </c>
      <c r="E14" s="19" t="s">
        <v>490</v>
      </c>
      <c r="F14" s="19" t="s">
        <v>510</v>
      </c>
      <c r="G14" s="19" t="s">
        <v>511</v>
      </c>
      <c r="H14" s="19" t="s">
        <v>93</v>
      </c>
      <c r="I14" s="19" t="s">
        <v>492</v>
      </c>
    </row>
    <row r="15" spans="1:9" x14ac:dyDescent="0.3">
      <c r="A15" s="19" t="s">
        <v>39</v>
      </c>
      <c r="B15" s="19" t="s">
        <v>509</v>
      </c>
      <c r="C15" s="19" t="s">
        <v>77</v>
      </c>
      <c r="D15" s="19" t="s">
        <v>489</v>
      </c>
      <c r="E15" s="19" t="s">
        <v>490</v>
      </c>
      <c r="F15" s="19" t="s">
        <v>510</v>
      </c>
      <c r="G15" s="19"/>
      <c r="H15" s="19" t="s">
        <v>93</v>
      </c>
      <c r="I15" s="19"/>
    </row>
    <row r="16" spans="1:9" x14ac:dyDescent="0.3">
      <c r="A16" s="19" t="s">
        <v>39</v>
      </c>
      <c r="B16" s="19" t="s">
        <v>509</v>
      </c>
      <c r="C16" s="19" t="s">
        <v>127</v>
      </c>
      <c r="D16" s="19" t="s">
        <v>498</v>
      </c>
      <c r="E16" s="19" t="s">
        <v>490</v>
      </c>
      <c r="F16" s="19" t="s">
        <v>512</v>
      </c>
      <c r="G16" s="19"/>
      <c r="H16" s="19" t="s">
        <v>93</v>
      </c>
      <c r="I16" s="19"/>
    </row>
    <row r="17" spans="1:9" x14ac:dyDescent="0.3">
      <c r="A17" s="19" t="s">
        <v>39</v>
      </c>
      <c r="B17" s="19" t="s">
        <v>509</v>
      </c>
      <c r="C17" s="19" t="s">
        <v>128</v>
      </c>
      <c r="D17" s="19" t="s">
        <v>498</v>
      </c>
      <c r="E17" s="19" t="s">
        <v>490</v>
      </c>
      <c r="F17" s="19" t="s">
        <v>513</v>
      </c>
      <c r="G17" s="19"/>
      <c r="H17" s="19" t="s">
        <v>93</v>
      </c>
      <c r="I17" s="19"/>
    </row>
    <row r="18" spans="1:9" x14ac:dyDescent="0.3">
      <c r="A18" s="19" t="s">
        <v>39</v>
      </c>
      <c r="B18" s="19" t="s">
        <v>509</v>
      </c>
      <c r="C18" s="19" t="s">
        <v>129</v>
      </c>
      <c r="D18" s="19" t="s">
        <v>498</v>
      </c>
      <c r="E18" s="19" t="s">
        <v>490</v>
      </c>
      <c r="F18" s="19" t="s">
        <v>514</v>
      </c>
      <c r="G18" s="19"/>
      <c r="H18" s="19" t="s">
        <v>93</v>
      </c>
      <c r="I18" s="19"/>
    </row>
    <row r="19" spans="1:9" x14ac:dyDescent="0.3">
      <c r="A19" s="19" t="s">
        <v>39</v>
      </c>
      <c r="B19" s="19" t="s">
        <v>509</v>
      </c>
      <c r="C19" s="19" t="s">
        <v>130</v>
      </c>
      <c r="D19" s="19" t="s">
        <v>498</v>
      </c>
      <c r="E19" s="19" t="s">
        <v>490</v>
      </c>
      <c r="F19" s="19" t="s">
        <v>515</v>
      </c>
      <c r="G19" s="19"/>
      <c r="H19" s="19" t="s">
        <v>93</v>
      </c>
      <c r="I19" s="19"/>
    </row>
    <row r="20" spans="1:9" x14ac:dyDescent="0.3">
      <c r="A20" s="19" t="s">
        <v>39</v>
      </c>
      <c r="B20" s="19" t="s">
        <v>509</v>
      </c>
      <c r="C20" s="19" t="s">
        <v>131</v>
      </c>
      <c r="D20" s="19" t="s">
        <v>498</v>
      </c>
      <c r="E20" s="19" t="s">
        <v>490</v>
      </c>
      <c r="F20" s="19" t="s">
        <v>516</v>
      </c>
      <c r="G20" s="19"/>
      <c r="H20" s="19" t="s">
        <v>93</v>
      </c>
      <c r="I20" s="19"/>
    </row>
    <row r="21" spans="1:9" x14ac:dyDescent="0.3">
      <c r="A21" s="19" t="s">
        <v>39</v>
      </c>
      <c r="B21" s="19" t="s">
        <v>509</v>
      </c>
      <c r="C21" s="19" t="s">
        <v>132</v>
      </c>
      <c r="D21" s="19" t="s">
        <v>498</v>
      </c>
      <c r="E21" s="19" t="s">
        <v>490</v>
      </c>
      <c r="F21" s="19" t="s">
        <v>517</v>
      </c>
      <c r="G21" s="19"/>
      <c r="H21" s="19" t="s">
        <v>93</v>
      </c>
      <c r="I21" s="19"/>
    </row>
    <row r="22" spans="1:9" ht="26.4" x14ac:dyDescent="0.3">
      <c r="A22" s="19" t="s">
        <v>39</v>
      </c>
      <c r="B22" s="19" t="s">
        <v>509</v>
      </c>
      <c r="C22" s="19" t="s">
        <v>133</v>
      </c>
      <c r="D22" s="19" t="s">
        <v>505</v>
      </c>
      <c r="E22" s="19" t="s">
        <v>490</v>
      </c>
      <c r="F22" s="19" t="s">
        <v>518</v>
      </c>
      <c r="G22" s="19"/>
      <c r="H22" s="19" t="s">
        <v>93</v>
      </c>
      <c r="I22" s="19"/>
    </row>
    <row r="23" spans="1:9" x14ac:dyDescent="0.3">
      <c r="A23" s="19" t="s">
        <v>39</v>
      </c>
      <c r="B23" s="19" t="s">
        <v>509</v>
      </c>
      <c r="C23" s="19" t="s">
        <v>134</v>
      </c>
      <c r="D23" s="19" t="s">
        <v>498</v>
      </c>
      <c r="E23" s="19" t="s">
        <v>507</v>
      </c>
      <c r="F23" s="19" t="s">
        <v>519</v>
      </c>
      <c r="G23" s="19"/>
      <c r="H23" s="19" t="s">
        <v>93</v>
      </c>
      <c r="I23" s="19"/>
    </row>
    <row r="24" spans="1:9" x14ac:dyDescent="0.3">
      <c r="A24" s="19" t="s">
        <v>39</v>
      </c>
      <c r="B24" s="19" t="s">
        <v>509</v>
      </c>
      <c r="C24" s="19" t="s">
        <v>135</v>
      </c>
      <c r="D24" s="19" t="s">
        <v>498</v>
      </c>
      <c r="E24" s="19" t="s">
        <v>507</v>
      </c>
      <c r="F24" s="19" t="s">
        <v>520</v>
      </c>
      <c r="G24" s="19"/>
      <c r="H24" s="19" t="s">
        <v>93</v>
      </c>
      <c r="I24" s="19"/>
    </row>
    <row r="25" spans="1:9" x14ac:dyDescent="0.3">
      <c r="A25" s="19" t="s">
        <v>39</v>
      </c>
      <c r="B25" s="19" t="s">
        <v>509</v>
      </c>
      <c r="C25" s="19" t="s">
        <v>136</v>
      </c>
      <c r="D25" s="19" t="s">
        <v>498</v>
      </c>
      <c r="E25" s="19" t="s">
        <v>507</v>
      </c>
      <c r="F25" s="19" t="s">
        <v>521</v>
      </c>
      <c r="G25" s="19"/>
      <c r="H25" s="19" t="s">
        <v>93</v>
      </c>
      <c r="I25" s="19"/>
    </row>
    <row r="26" spans="1:9" x14ac:dyDescent="0.3">
      <c r="A26" s="19" t="s">
        <v>39</v>
      </c>
      <c r="B26" s="19" t="s">
        <v>509</v>
      </c>
      <c r="C26" s="19" t="s">
        <v>137</v>
      </c>
      <c r="D26" s="19" t="s">
        <v>498</v>
      </c>
      <c r="E26" s="19" t="s">
        <v>507</v>
      </c>
      <c r="F26" s="19" t="s">
        <v>522</v>
      </c>
      <c r="G26" s="19"/>
      <c r="H26" s="19" t="s">
        <v>93</v>
      </c>
      <c r="I26" s="19"/>
    </row>
    <row r="27" spans="1:9" x14ac:dyDescent="0.3">
      <c r="A27" s="19" t="s">
        <v>39</v>
      </c>
      <c r="B27" s="19" t="s">
        <v>509</v>
      </c>
      <c r="C27" s="19" t="s">
        <v>138</v>
      </c>
      <c r="D27" s="19" t="s">
        <v>498</v>
      </c>
      <c r="E27" s="19" t="s">
        <v>507</v>
      </c>
      <c r="F27" s="19" t="s">
        <v>523</v>
      </c>
      <c r="G27" s="19"/>
      <c r="H27" s="19" t="s">
        <v>93</v>
      </c>
      <c r="I27" s="19"/>
    </row>
    <row r="28" spans="1:9" ht="26.4" x14ac:dyDescent="0.3">
      <c r="A28" s="19" t="s">
        <v>39</v>
      </c>
      <c r="B28" s="19" t="s">
        <v>509</v>
      </c>
      <c r="C28" s="19" t="s">
        <v>139</v>
      </c>
      <c r="D28" s="19" t="s">
        <v>505</v>
      </c>
      <c r="E28" s="19" t="s">
        <v>507</v>
      </c>
      <c r="F28" s="19" t="s">
        <v>524</v>
      </c>
      <c r="G28" s="19"/>
      <c r="H28" s="19" t="s">
        <v>93</v>
      </c>
      <c r="I28" s="19"/>
    </row>
    <row r="29" spans="1:9" x14ac:dyDescent="0.3">
      <c r="A29" s="19" t="s">
        <v>39</v>
      </c>
      <c r="B29" s="19" t="s">
        <v>509</v>
      </c>
      <c r="C29" s="19" t="s">
        <v>140</v>
      </c>
      <c r="D29" s="19" t="s">
        <v>489</v>
      </c>
      <c r="E29" s="19" t="s">
        <v>507</v>
      </c>
      <c r="F29" s="19" t="s">
        <v>525</v>
      </c>
      <c r="G29" s="19"/>
      <c r="H29" s="19" t="s">
        <v>93</v>
      </c>
      <c r="I29" s="19"/>
    </row>
    <row r="30" spans="1:9" x14ac:dyDescent="0.3">
      <c r="A30" s="19" t="s">
        <v>39</v>
      </c>
      <c r="B30" s="19" t="s">
        <v>509</v>
      </c>
      <c r="C30" s="19" t="s">
        <v>141</v>
      </c>
      <c r="D30" s="19" t="s">
        <v>489</v>
      </c>
      <c r="E30" s="19" t="s">
        <v>507</v>
      </c>
      <c r="F30" s="19" t="s">
        <v>526</v>
      </c>
      <c r="G30" s="19"/>
      <c r="H30" s="19" t="s">
        <v>93</v>
      </c>
      <c r="I30" s="19"/>
    </row>
    <row r="31" spans="1:9" x14ac:dyDescent="0.3">
      <c r="A31" s="19" t="s">
        <v>41</v>
      </c>
      <c r="B31" s="19" t="s">
        <v>527</v>
      </c>
      <c r="C31" s="19" t="s">
        <v>178</v>
      </c>
      <c r="D31" s="19" t="s">
        <v>489</v>
      </c>
      <c r="E31" s="19" t="s">
        <v>490</v>
      </c>
      <c r="F31" s="19" t="s">
        <v>528</v>
      </c>
      <c r="G31" s="19"/>
      <c r="H31" s="19" t="s">
        <v>93</v>
      </c>
      <c r="I31" s="19" t="s">
        <v>492</v>
      </c>
    </row>
    <row r="32" spans="1:9" x14ac:dyDescent="0.3">
      <c r="A32" s="19" t="s">
        <v>41</v>
      </c>
      <c r="B32" s="19" t="s">
        <v>527</v>
      </c>
      <c r="C32" s="19" t="s">
        <v>179</v>
      </c>
      <c r="D32" s="19" t="s">
        <v>489</v>
      </c>
      <c r="E32" s="19" t="s">
        <v>490</v>
      </c>
      <c r="F32" s="19" t="s">
        <v>529</v>
      </c>
      <c r="G32" s="19"/>
      <c r="H32" s="19" t="s">
        <v>93</v>
      </c>
      <c r="I32" s="19"/>
    </row>
    <row r="33" spans="1:9" x14ac:dyDescent="0.3">
      <c r="A33" s="19" t="s">
        <v>41</v>
      </c>
      <c r="B33" s="19" t="s">
        <v>527</v>
      </c>
      <c r="C33" s="19" t="s">
        <v>180</v>
      </c>
      <c r="D33" s="19" t="s">
        <v>489</v>
      </c>
      <c r="E33" s="19" t="s">
        <v>490</v>
      </c>
      <c r="F33" s="19" t="s">
        <v>530</v>
      </c>
      <c r="G33" s="19"/>
      <c r="H33" s="19" t="s">
        <v>93</v>
      </c>
      <c r="I33" s="19"/>
    </row>
    <row r="34" spans="1:9" x14ac:dyDescent="0.3">
      <c r="A34" s="19" t="s">
        <v>41</v>
      </c>
      <c r="B34" s="19" t="s">
        <v>527</v>
      </c>
      <c r="C34" s="19" t="s">
        <v>181</v>
      </c>
      <c r="D34" s="19" t="s">
        <v>489</v>
      </c>
      <c r="E34" s="19" t="s">
        <v>490</v>
      </c>
      <c r="F34" s="19" t="s">
        <v>531</v>
      </c>
      <c r="G34" s="19"/>
      <c r="H34" s="19" t="s">
        <v>93</v>
      </c>
      <c r="I34" s="19"/>
    </row>
    <row r="35" spans="1:9" x14ac:dyDescent="0.3">
      <c r="A35" s="19" t="s">
        <v>41</v>
      </c>
      <c r="B35" s="19" t="s">
        <v>527</v>
      </c>
      <c r="C35" s="19" t="s">
        <v>182</v>
      </c>
      <c r="D35" s="19" t="s">
        <v>489</v>
      </c>
      <c r="E35" s="19" t="s">
        <v>490</v>
      </c>
      <c r="F35" s="19" t="s">
        <v>532</v>
      </c>
      <c r="G35" s="19" t="s">
        <v>533</v>
      </c>
      <c r="H35" s="19" t="s">
        <v>93</v>
      </c>
      <c r="I35" s="19"/>
    </row>
    <row r="36" spans="1:9" x14ac:dyDescent="0.3">
      <c r="A36" s="19" t="s">
        <v>41</v>
      </c>
      <c r="B36" s="19" t="s">
        <v>527</v>
      </c>
      <c r="C36" s="19" t="s">
        <v>183</v>
      </c>
      <c r="D36" s="19" t="s">
        <v>489</v>
      </c>
      <c r="E36" s="19" t="s">
        <v>490</v>
      </c>
      <c r="F36" s="19" t="s">
        <v>534</v>
      </c>
      <c r="G36" s="19"/>
      <c r="H36" s="19" t="s">
        <v>93</v>
      </c>
      <c r="I36" s="19"/>
    </row>
    <row r="37" spans="1:9" ht="26.4" x14ac:dyDescent="0.3">
      <c r="A37" s="19" t="s">
        <v>41</v>
      </c>
      <c r="B37" s="19" t="s">
        <v>527</v>
      </c>
      <c r="C37" s="19" t="s">
        <v>184</v>
      </c>
      <c r="D37" s="19" t="s">
        <v>505</v>
      </c>
      <c r="E37" s="19" t="s">
        <v>490</v>
      </c>
      <c r="F37" s="19" t="s">
        <v>535</v>
      </c>
      <c r="G37" s="19"/>
      <c r="H37" s="19" t="s">
        <v>93</v>
      </c>
      <c r="I37" s="19"/>
    </row>
    <row r="38" spans="1:9" ht="26.4" x14ac:dyDescent="0.3">
      <c r="A38" s="19" t="s">
        <v>41</v>
      </c>
      <c r="B38" s="19" t="s">
        <v>527</v>
      </c>
      <c r="C38" s="19" t="s">
        <v>185</v>
      </c>
      <c r="D38" s="19" t="s">
        <v>505</v>
      </c>
      <c r="E38" s="19" t="s">
        <v>490</v>
      </c>
      <c r="F38" s="19" t="s">
        <v>536</v>
      </c>
      <c r="G38" s="19"/>
      <c r="H38" s="19" t="s">
        <v>478</v>
      </c>
      <c r="I38" s="19"/>
    </row>
    <row r="39" spans="1:9" x14ac:dyDescent="0.3">
      <c r="A39" s="19" t="s">
        <v>41</v>
      </c>
      <c r="B39" s="19" t="s">
        <v>527</v>
      </c>
      <c r="C39" s="19" t="s">
        <v>14</v>
      </c>
      <c r="D39" s="19" t="s">
        <v>489</v>
      </c>
      <c r="E39" s="19" t="s">
        <v>490</v>
      </c>
      <c r="F39" s="19" t="s">
        <v>537</v>
      </c>
      <c r="G39" s="19" t="s">
        <v>538</v>
      </c>
      <c r="H39" s="19" t="s">
        <v>93</v>
      </c>
      <c r="I39" s="19"/>
    </row>
    <row r="40" spans="1:9" x14ac:dyDescent="0.3">
      <c r="A40" s="19" t="s">
        <v>41</v>
      </c>
      <c r="B40" s="19" t="s">
        <v>527</v>
      </c>
      <c r="C40" s="19" t="s">
        <v>186</v>
      </c>
      <c r="D40" s="19" t="s">
        <v>498</v>
      </c>
      <c r="E40" s="19" t="s">
        <v>507</v>
      </c>
      <c r="F40" s="19" t="s">
        <v>539</v>
      </c>
      <c r="G40" s="19"/>
      <c r="H40" s="19" t="s">
        <v>93</v>
      </c>
      <c r="I40" s="19"/>
    </row>
    <row r="41" spans="1:9" x14ac:dyDescent="0.3">
      <c r="A41" s="19" t="s">
        <v>41</v>
      </c>
      <c r="B41" s="19" t="s">
        <v>527</v>
      </c>
      <c r="C41" s="19" t="s">
        <v>187</v>
      </c>
      <c r="D41" s="19" t="s">
        <v>498</v>
      </c>
      <c r="E41" s="19" t="s">
        <v>507</v>
      </c>
      <c r="F41" s="19" t="s">
        <v>540</v>
      </c>
      <c r="G41" s="19"/>
      <c r="H41" s="19" t="s">
        <v>93</v>
      </c>
      <c r="I41" s="19"/>
    </row>
    <row r="42" spans="1:9" x14ac:dyDescent="0.3">
      <c r="A42" s="19" t="s">
        <v>41</v>
      </c>
      <c r="B42" s="19" t="s">
        <v>527</v>
      </c>
      <c r="C42" s="19" t="s">
        <v>188</v>
      </c>
      <c r="D42" s="19" t="s">
        <v>489</v>
      </c>
      <c r="E42" s="19" t="s">
        <v>507</v>
      </c>
      <c r="F42" s="19" t="s">
        <v>541</v>
      </c>
      <c r="G42" s="19"/>
      <c r="H42" s="19" t="s">
        <v>93</v>
      </c>
      <c r="I42" s="19"/>
    </row>
    <row r="43" spans="1:9" x14ac:dyDescent="0.3">
      <c r="A43" s="19" t="s">
        <v>43</v>
      </c>
      <c r="B43" s="19" t="s">
        <v>542</v>
      </c>
      <c r="C43" s="19" t="s">
        <v>235</v>
      </c>
      <c r="D43" s="19" t="s">
        <v>489</v>
      </c>
      <c r="E43" s="19" t="s">
        <v>490</v>
      </c>
      <c r="F43" s="19" t="s">
        <v>543</v>
      </c>
      <c r="G43" s="19"/>
      <c r="H43" s="19" t="s">
        <v>93</v>
      </c>
      <c r="I43" s="19" t="s">
        <v>492</v>
      </c>
    </row>
    <row r="44" spans="1:9" x14ac:dyDescent="0.3">
      <c r="A44" s="19" t="s">
        <v>43</v>
      </c>
      <c r="B44" s="19" t="s">
        <v>542</v>
      </c>
      <c r="C44" s="19" t="s">
        <v>236</v>
      </c>
      <c r="D44" s="19" t="s">
        <v>489</v>
      </c>
      <c r="E44" s="19" t="s">
        <v>490</v>
      </c>
      <c r="F44" s="19" t="s">
        <v>544</v>
      </c>
      <c r="G44" s="19" t="s">
        <v>545</v>
      </c>
      <c r="H44" s="19" t="s">
        <v>93</v>
      </c>
      <c r="I44" s="19"/>
    </row>
    <row r="45" spans="1:9" x14ac:dyDescent="0.3">
      <c r="A45" s="19" t="s">
        <v>43</v>
      </c>
      <c r="B45" s="19" t="s">
        <v>542</v>
      </c>
      <c r="C45" s="19" t="s">
        <v>237</v>
      </c>
      <c r="D45" s="19" t="s">
        <v>489</v>
      </c>
      <c r="E45" s="19" t="s">
        <v>490</v>
      </c>
      <c r="F45" s="19" t="s">
        <v>546</v>
      </c>
      <c r="G45" s="19"/>
      <c r="H45" s="19" t="s">
        <v>93</v>
      </c>
      <c r="I45" s="19"/>
    </row>
    <row r="46" spans="1:9" x14ac:dyDescent="0.3">
      <c r="A46" s="19" t="s">
        <v>43</v>
      </c>
      <c r="B46" s="19" t="s">
        <v>542</v>
      </c>
      <c r="C46" s="19" t="s">
        <v>238</v>
      </c>
      <c r="D46" s="19" t="s">
        <v>489</v>
      </c>
      <c r="E46" s="19" t="s">
        <v>490</v>
      </c>
      <c r="F46" s="19" t="s">
        <v>547</v>
      </c>
      <c r="G46" s="19"/>
      <c r="H46" s="19" t="s">
        <v>93</v>
      </c>
      <c r="I46" s="19"/>
    </row>
    <row r="47" spans="1:9" x14ac:dyDescent="0.3">
      <c r="A47" s="19" t="s">
        <v>43</v>
      </c>
      <c r="B47" s="19" t="s">
        <v>542</v>
      </c>
      <c r="C47" s="19" t="s">
        <v>239</v>
      </c>
      <c r="D47" s="19" t="s">
        <v>489</v>
      </c>
      <c r="E47" s="19" t="s">
        <v>490</v>
      </c>
      <c r="F47" s="19" t="s">
        <v>548</v>
      </c>
      <c r="G47" s="19"/>
      <c r="H47" s="19" t="s">
        <v>93</v>
      </c>
      <c r="I47" s="19"/>
    </row>
    <row r="48" spans="1:9" x14ac:dyDescent="0.3">
      <c r="A48" s="19" t="s">
        <v>45</v>
      </c>
      <c r="B48" s="19" t="s">
        <v>549</v>
      </c>
      <c r="C48" s="19" t="s">
        <v>268</v>
      </c>
      <c r="D48" s="19" t="s">
        <v>489</v>
      </c>
      <c r="E48" s="19" t="s">
        <v>507</v>
      </c>
      <c r="F48" s="19" t="s">
        <v>550</v>
      </c>
      <c r="G48" s="19"/>
      <c r="H48" s="19" t="s">
        <v>93</v>
      </c>
      <c r="I48" s="19"/>
    </row>
    <row r="49" spans="1:9" ht="39.6" x14ac:dyDescent="0.3">
      <c r="A49" s="19" t="s">
        <v>45</v>
      </c>
      <c r="B49" s="19" t="s">
        <v>549</v>
      </c>
      <c r="C49" s="19" t="s">
        <v>178</v>
      </c>
      <c r="D49" s="19" t="s">
        <v>489</v>
      </c>
      <c r="E49" s="19" t="s">
        <v>490</v>
      </c>
      <c r="F49" s="19" t="s">
        <v>528</v>
      </c>
      <c r="G49" s="19"/>
      <c r="H49" s="19" t="s">
        <v>93</v>
      </c>
      <c r="I49" s="19" t="s">
        <v>551</v>
      </c>
    </row>
    <row r="50" spans="1:9" x14ac:dyDescent="0.3">
      <c r="A50" s="19" t="s">
        <v>45</v>
      </c>
      <c r="B50" s="19" t="s">
        <v>549</v>
      </c>
      <c r="C50" s="19" t="s">
        <v>269</v>
      </c>
      <c r="D50" s="19" t="s">
        <v>489</v>
      </c>
      <c r="E50" s="19" t="s">
        <v>490</v>
      </c>
      <c r="F50" s="19" t="s">
        <v>552</v>
      </c>
      <c r="G50" s="19"/>
      <c r="H50" s="19" t="s">
        <v>93</v>
      </c>
      <c r="I50" s="19"/>
    </row>
    <row r="51" spans="1:9" x14ac:dyDescent="0.3">
      <c r="A51" s="19" t="s">
        <v>45</v>
      </c>
      <c r="B51" s="19" t="s">
        <v>549</v>
      </c>
      <c r="C51" s="19" t="s">
        <v>270</v>
      </c>
      <c r="D51" s="19" t="s">
        <v>489</v>
      </c>
      <c r="E51" s="19" t="s">
        <v>490</v>
      </c>
      <c r="F51" s="19" t="s">
        <v>510</v>
      </c>
      <c r="G51" s="19" t="s">
        <v>511</v>
      </c>
      <c r="H51" s="19" t="s">
        <v>93</v>
      </c>
      <c r="I51" s="19"/>
    </row>
    <row r="52" spans="1:9" x14ac:dyDescent="0.3">
      <c r="A52" s="19" t="s">
        <v>45</v>
      </c>
      <c r="B52" s="19" t="s">
        <v>549</v>
      </c>
      <c r="C52" s="19" t="s">
        <v>271</v>
      </c>
      <c r="D52" s="19" t="s">
        <v>489</v>
      </c>
      <c r="E52" s="19" t="s">
        <v>490</v>
      </c>
      <c r="F52" s="19" t="s">
        <v>553</v>
      </c>
      <c r="G52" s="19"/>
      <c r="H52" s="19" t="s">
        <v>93</v>
      </c>
      <c r="I52" s="19"/>
    </row>
    <row r="53" spans="1:9" x14ac:dyDescent="0.3">
      <c r="A53" s="19" t="s">
        <v>45</v>
      </c>
      <c r="B53" s="19" t="s">
        <v>549</v>
      </c>
      <c r="C53" s="19" t="s">
        <v>272</v>
      </c>
      <c r="D53" s="19" t="s">
        <v>489</v>
      </c>
      <c r="E53" s="19" t="s">
        <v>490</v>
      </c>
      <c r="F53" s="19" t="s">
        <v>554</v>
      </c>
      <c r="G53" s="19"/>
      <c r="H53" s="19" t="s">
        <v>93</v>
      </c>
      <c r="I53" s="19"/>
    </row>
    <row r="54" spans="1:9" x14ac:dyDescent="0.3">
      <c r="A54" s="19" t="s">
        <v>45</v>
      </c>
      <c r="B54" s="19" t="s">
        <v>549</v>
      </c>
      <c r="C54" s="19" t="s">
        <v>273</v>
      </c>
      <c r="D54" s="19" t="s">
        <v>489</v>
      </c>
      <c r="E54" s="19" t="s">
        <v>490</v>
      </c>
      <c r="F54" s="19" t="s">
        <v>555</v>
      </c>
      <c r="G54" s="19" t="s">
        <v>556</v>
      </c>
      <c r="H54" s="19" t="s">
        <v>93</v>
      </c>
      <c r="I54" s="19"/>
    </row>
    <row r="55" spans="1:9" x14ac:dyDescent="0.3">
      <c r="A55" s="19" t="s">
        <v>47</v>
      </c>
      <c r="B55" s="19" t="s">
        <v>557</v>
      </c>
      <c r="C55" s="19" t="s">
        <v>366</v>
      </c>
      <c r="D55" s="19" t="s">
        <v>489</v>
      </c>
      <c r="E55" s="19" t="s">
        <v>490</v>
      </c>
      <c r="F55" s="19" t="s">
        <v>558</v>
      </c>
      <c r="G55" s="19"/>
      <c r="H55" s="19" t="s">
        <v>93</v>
      </c>
      <c r="I55" s="19" t="s">
        <v>492</v>
      </c>
    </row>
    <row r="56" spans="1:9" ht="39.6" x14ac:dyDescent="0.3">
      <c r="A56" s="19" t="s">
        <v>47</v>
      </c>
      <c r="B56" s="19" t="s">
        <v>557</v>
      </c>
      <c r="C56" s="19" t="s">
        <v>178</v>
      </c>
      <c r="D56" s="19" t="s">
        <v>489</v>
      </c>
      <c r="E56" s="19" t="s">
        <v>490</v>
      </c>
      <c r="F56" s="19" t="s">
        <v>528</v>
      </c>
      <c r="G56" s="19"/>
      <c r="H56" s="19" t="s">
        <v>93</v>
      </c>
      <c r="I56" s="19" t="s">
        <v>551</v>
      </c>
    </row>
    <row r="57" spans="1:9" x14ac:dyDescent="0.3">
      <c r="A57" s="19" t="s">
        <v>47</v>
      </c>
      <c r="B57" s="19" t="s">
        <v>557</v>
      </c>
      <c r="C57" s="19" t="s">
        <v>269</v>
      </c>
      <c r="D57" s="19" t="s">
        <v>489</v>
      </c>
      <c r="E57" s="19" t="s">
        <v>490</v>
      </c>
      <c r="F57" s="19" t="s">
        <v>559</v>
      </c>
      <c r="G57" s="19"/>
      <c r="H57" s="19" t="s">
        <v>93</v>
      </c>
      <c r="I57" s="19"/>
    </row>
    <row r="58" spans="1:9" x14ac:dyDescent="0.3">
      <c r="A58" s="19" t="s">
        <v>47</v>
      </c>
      <c r="B58" s="19" t="s">
        <v>557</v>
      </c>
      <c r="C58" s="19" t="s">
        <v>367</v>
      </c>
      <c r="D58" s="19" t="s">
        <v>489</v>
      </c>
      <c r="E58" s="19" t="s">
        <v>490</v>
      </c>
      <c r="F58" s="19" t="s">
        <v>560</v>
      </c>
      <c r="G58" s="19" t="s">
        <v>561</v>
      </c>
      <c r="H58" s="19" t="s">
        <v>93</v>
      </c>
      <c r="I58" s="19"/>
    </row>
    <row r="59" spans="1:9" x14ac:dyDescent="0.3">
      <c r="A59" s="19" t="s">
        <v>47</v>
      </c>
      <c r="B59" s="19" t="s">
        <v>557</v>
      </c>
      <c r="C59" s="19" t="s">
        <v>270</v>
      </c>
      <c r="D59" s="19" t="s">
        <v>489</v>
      </c>
      <c r="E59" s="19" t="s">
        <v>490</v>
      </c>
      <c r="F59" s="19" t="s">
        <v>510</v>
      </c>
      <c r="G59" s="19" t="s">
        <v>511</v>
      </c>
      <c r="H59" s="19" t="s">
        <v>93</v>
      </c>
      <c r="I59" s="19"/>
    </row>
    <row r="60" spans="1:9" x14ac:dyDescent="0.3">
      <c r="A60" s="19" t="s">
        <v>47</v>
      </c>
      <c r="B60" s="19" t="s">
        <v>557</v>
      </c>
      <c r="C60" s="19" t="s">
        <v>368</v>
      </c>
      <c r="D60" s="19" t="s">
        <v>489</v>
      </c>
      <c r="E60" s="19" t="s">
        <v>490</v>
      </c>
      <c r="F60" s="19" t="s">
        <v>562</v>
      </c>
      <c r="G60" s="19"/>
      <c r="H60" s="19" t="s">
        <v>93</v>
      </c>
      <c r="I60" s="19"/>
    </row>
    <row r="61" spans="1:9" x14ac:dyDescent="0.3">
      <c r="A61" s="19" t="s">
        <v>47</v>
      </c>
      <c r="B61" s="19" t="s">
        <v>557</v>
      </c>
      <c r="C61" s="19" t="s">
        <v>272</v>
      </c>
      <c r="D61" s="19" t="s">
        <v>489</v>
      </c>
      <c r="E61" s="19" t="s">
        <v>490</v>
      </c>
      <c r="F61" s="19" t="s">
        <v>563</v>
      </c>
      <c r="G61" s="19"/>
      <c r="H61" s="19" t="s">
        <v>93</v>
      </c>
      <c r="I61" s="19"/>
    </row>
    <row r="62" spans="1:9" ht="26.4" x14ac:dyDescent="0.3">
      <c r="A62" s="19" t="s">
        <v>47</v>
      </c>
      <c r="B62" s="19" t="s">
        <v>557</v>
      </c>
      <c r="C62" s="19" t="s">
        <v>369</v>
      </c>
      <c r="D62" s="19" t="s">
        <v>489</v>
      </c>
      <c r="E62" s="19" t="s">
        <v>490</v>
      </c>
      <c r="F62" s="19" t="s">
        <v>564</v>
      </c>
      <c r="G62" s="19"/>
      <c r="H62" s="19" t="s">
        <v>478</v>
      </c>
      <c r="I62" s="19" t="s">
        <v>565</v>
      </c>
    </row>
    <row r="63" spans="1:9" ht="26.4" x14ac:dyDescent="0.3">
      <c r="A63" s="19" t="s">
        <v>47</v>
      </c>
      <c r="B63" s="19" t="s">
        <v>557</v>
      </c>
      <c r="C63" s="19" t="s">
        <v>370</v>
      </c>
      <c r="D63" s="19" t="s">
        <v>505</v>
      </c>
      <c r="E63" s="19" t="s">
        <v>490</v>
      </c>
      <c r="F63" s="19" t="s">
        <v>566</v>
      </c>
      <c r="G63" s="19"/>
      <c r="H63" s="19" t="s">
        <v>478</v>
      </c>
      <c r="I63" s="19"/>
    </row>
    <row r="64" spans="1:9" x14ac:dyDescent="0.3">
      <c r="A64" s="19" t="s">
        <v>47</v>
      </c>
      <c r="B64" s="19" t="s">
        <v>557</v>
      </c>
      <c r="C64" s="19" t="s">
        <v>14</v>
      </c>
      <c r="D64" s="19" t="s">
        <v>489</v>
      </c>
      <c r="E64" s="19" t="s">
        <v>490</v>
      </c>
      <c r="F64" s="19" t="s">
        <v>537</v>
      </c>
      <c r="G64" s="19" t="s">
        <v>567</v>
      </c>
      <c r="H64" s="19" t="s">
        <v>93</v>
      </c>
      <c r="I64" s="19"/>
    </row>
    <row r="65" spans="1:9" ht="26.4" x14ac:dyDescent="0.3">
      <c r="A65" s="19" t="s">
        <v>47</v>
      </c>
      <c r="B65" s="19" t="s">
        <v>557</v>
      </c>
      <c r="C65" s="19" t="s">
        <v>371</v>
      </c>
      <c r="D65" s="19" t="s">
        <v>505</v>
      </c>
      <c r="E65" s="19" t="s">
        <v>490</v>
      </c>
      <c r="F65" s="19" t="s">
        <v>568</v>
      </c>
      <c r="G65" s="19"/>
      <c r="H65" s="19" t="s">
        <v>478</v>
      </c>
      <c r="I65" s="19"/>
    </row>
    <row r="66" spans="1:9" x14ac:dyDescent="0.3">
      <c r="A66" s="19" t="s">
        <v>47</v>
      </c>
      <c r="B66" s="19" t="s">
        <v>557</v>
      </c>
      <c r="C66" s="19" t="s">
        <v>372</v>
      </c>
      <c r="D66" s="19" t="s">
        <v>489</v>
      </c>
      <c r="E66" s="19" t="s">
        <v>507</v>
      </c>
      <c r="F66" s="19" t="s">
        <v>569</v>
      </c>
      <c r="G66" s="19"/>
      <c r="H66" s="19" t="s">
        <v>93</v>
      </c>
      <c r="I66" s="19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10</vt:i4>
      </vt:variant>
      <vt:variant>
        <vt:lpstr>Intervalos com Nome</vt:lpstr>
      </vt:variant>
      <vt:variant>
        <vt:i4>16</vt:i4>
      </vt:variant>
    </vt:vector>
  </HeadingPairs>
  <TitlesOfParts>
    <vt:vector size="26" baseType="lpstr">
      <vt:lpstr>00_LEIA-ME</vt:lpstr>
      <vt:lpstr>Auditores</vt:lpstr>
      <vt:lpstr>Priorizacao_Risco</vt:lpstr>
      <vt:lpstr>Programa_Auditorias</vt:lpstr>
      <vt:lpstr>Riscos_Programa</vt:lpstr>
      <vt:lpstr>Checklist_Auditorias</vt:lpstr>
      <vt:lpstr>Constatacoes</vt:lpstr>
      <vt:lpstr>Avaliacao_Programa</vt:lpstr>
      <vt:lpstr>Listas</vt:lpstr>
      <vt:lpstr>Dicionario_Dados</vt:lpstr>
      <vt:lpstr>DataRef</vt:lpstr>
      <vt:lpstr>lst_DataReferencia</vt:lpstr>
      <vt:lpstr>lst_EstadoAud</vt:lpstr>
      <vt:lpstr>lst_EstadoConst</vt:lpstr>
      <vt:lpstr>lst_Metodo</vt:lpstr>
      <vt:lpstr>lst_Processo</vt:lpstr>
      <vt:lpstr>lst_ResChk</vt:lpstr>
      <vt:lpstr>lst_RO</vt:lpstr>
      <vt:lpstr>lst_SimNao</vt:lpstr>
      <vt:lpstr>lst_TipoConst</vt:lpstr>
      <vt:lpstr>Auditores!Títulos_de_Impressão</vt:lpstr>
      <vt:lpstr>Checklist_Auditorias!Títulos_de_Impressão</vt:lpstr>
      <vt:lpstr>Constatacoes!Títulos_de_Impressão</vt:lpstr>
      <vt:lpstr>Priorizacao_Risco!Títulos_de_Impressão</vt:lpstr>
      <vt:lpstr>Programa_Auditorias!Títulos_de_Impressão</vt:lpstr>
      <vt:lpstr>Riscos_Programa!Títulos_de_Impressão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RG-SGQ-16 Auditoria Interna do SGQ — Programa, Execução e Constatações</dc:title>
  <dc:subject>SGQ NP EN ISO 9001:2026 — Plasticom</dc:subject>
  <dc:creator>Gerente da Qualidade</dc:creator>
  <cp:lastModifiedBy>Aline Meireles</cp:lastModifiedBy>
  <dcterms:created xsi:type="dcterms:W3CDTF">2026-09-30T16:47:02Z</dcterms:created>
  <dcterms:modified xsi:type="dcterms:W3CDTF">2026-09-30T16:47:14Z</dcterms:modified>
</cp:coreProperties>
</file>