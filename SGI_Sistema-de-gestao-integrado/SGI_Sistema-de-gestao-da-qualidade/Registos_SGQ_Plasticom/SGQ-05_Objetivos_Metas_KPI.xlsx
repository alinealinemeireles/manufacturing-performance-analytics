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A8CF0722-74E7-48A3-9EA8-722528510B3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Base_Mensal" sheetId="2" r:id="rId2"/>
    <sheet name="KPI_Mensal" sheetId="3" r:id="rId3"/>
    <sheet name="Catalogo_KPI" sheetId="4" r:id="rId4"/>
    <sheet name="Painel_KPI" sheetId="5" r:id="rId5"/>
    <sheet name="Objetivos_Qualidade" sheetId="6" r:id="rId6"/>
    <sheet name="Plano_Monitorizacao" sheetId="7" r:id="rId7"/>
    <sheet name="Listas" sheetId="8" r:id="rId8"/>
    <sheet name="Dicionario_Dados" sheetId="9" r:id="rId9"/>
  </sheets>
  <definedNames>
    <definedName name="DataRef">Listas!$A$3</definedName>
    <definedName name="lst_DataReferencia">Listas!$A$3:$A$3</definedName>
    <definedName name="lst_Frequencia">Listas!$E$3:$E$6</definedName>
    <definedName name="lst_Funcao">Listas!$C$3:$C$28</definedName>
    <definedName name="lst_Polaridade">Listas!$D$3:$D$4</definedName>
    <definedName name="lst_Processo">Listas!$B$3:$B$20</definedName>
    <definedName name="_xlnm.Print_Titles" localSheetId="1">Base_Mensal!$4:$4</definedName>
    <definedName name="_xlnm.Print_Titles" localSheetId="3">Catalogo_KPI!$1:$1</definedName>
    <definedName name="_xlnm.Print_Titles" localSheetId="2">KPI_Mensal!$4:$4</definedName>
    <definedName name="_xlnm.Print_Titles" localSheetId="5">Objetivos_Qualidade!$4:$4</definedName>
    <definedName name="_xlnm.Print_Titles" localSheetId="6">Plano_Monitorizacao!$4:$4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6" l="1"/>
  <c r="T12" i="6"/>
  <c r="S12" i="6"/>
  <c r="R12" i="6"/>
  <c r="Q12" i="6"/>
  <c r="P12" i="6"/>
  <c r="O12" i="6"/>
  <c r="E12" i="6"/>
  <c r="Z11" i="6"/>
  <c r="T11" i="6"/>
  <c r="S11" i="6"/>
  <c r="R11" i="6"/>
  <c r="Q11" i="6"/>
  <c r="P11" i="6"/>
  <c r="O11" i="6"/>
  <c r="E11" i="6"/>
  <c r="Z10" i="6"/>
  <c r="T10" i="6"/>
  <c r="S10" i="6"/>
  <c r="R10" i="6"/>
  <c r="Q10" i="6"/>
  <c r="P10" i="6"/>
  <c r="O10" i="6"/>
  <c r="M10" i="6"/>
  <c r="L10" i="6" s="1"/>
  <c r="E10" i="6"/>
  <c r="Z9" i="6"/>
  <c r="T9" i="6"/>
  <c r="S9" i="6"/>
  <c r="R9" i="6"/>
  <c r="Q9" i="6"/>
  <c r="P9" i="6"/>
  <c r="U9" i="6" s="1"/>
  <c r="O9" i="6"/>
  <c r="E9" i="6"/>
  <c r="Z8" i="6"/>
  <c r="T8" i="6"/>
  <c r="S8" i="6"/>
  <c r="R8" i="6"/>
  <c r="Q8" i="6"/>
  <c r="P8" i="6"/>
  <c r="O8" i="6"/>
  <c r="E8" i="6"/>
  <c r="Z7" i="6"/>
  <c r="T7" i="6"/>
  <c r="S7" i="6"/>
  <c r="R7" i="6"/>
  <c r="Q7" i="6"/>
  <c r="P7" i="6"/>
  <c r="O7" i="6"/>
  <c r="E7" i="6"/>
  <c r="Z6" i="6"/>
  <c r="T6" i="6"/>
  <c r="S6" i="6"/>
  <c r="R6" i="6"/>
  <c r="Q6" i="6"/>
  <c r="P6" i="6"/>
  <c r="O6" i="6"/>
  <c r="E6" i="6"/>
  <c r="Z5" i="6"/>
  <c r="T5" i="6"/>
  <c r="S5" i="6"/>
  <c r="R5" i="6"/>
  <c r="Q5" i="6"/>
  <c r="P5" i="6"/>
  <c r="O5" i="6"/>
  <c r="E5" i="6"/>
  <c r="G18" i="5"/>
  <c r="C18" i="5"/>
  <c r="G17" i="5"/>
  <c r="C17" i="5"/>
  <c r="G16" i="5"/>
  <c r="C16" i="5"/>
  <c r="G15" i="5"/>
  <c r="C15" i="5"/>
  <c r="G14" i="5"/>
  <c r="C14" i="5"/>
  <c r="G13" i="5"/>
  <c r="H13" i="5" s="1"/>
  <c r="C13" i="5"/>
  <c r="G12" i="5"/>
  <c r="D12" i="5"/>
  <c r="C12" i="5"/>
  <c r="G11" i="5"/>
  <c r="C11" i="5"/>
  <c r="G10" i="5"/>
  <c r="C10" i="5"/>
  <c r="G9" i="5"/>
  <c r="C9" i="5"/>
  <c r="G8" i="5"/>
  <c r="C8" i="5"/>
  <c r="G7" i="5"/>
  <c r="C7" i="5"/>
  <c r="G6" i="5"/>
  <c r="C6" i="5"/>
  <c r="G5" i="5"/>
  <c r="C5" i="5"/>
  <c r="L21" i="4"/>
  <c r="K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F10" i="6" s="1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O22" i="3"/>
  <c r="D18" i="5" s="1"/>
  <c r="M12" i="6" s="1"/>
  <c r="N22" i="3"/>
  <c r="D17" i="5" s="1"/>
  <c r="M22" i="3"/>
  <c r="D16" i="5" s="1"/>
  <c r="L22" i="3"/>
  <c r="D15" i="5" s="1"/>
  <c r="K22" i="3"/>
  <c r="D14" i="5" s="1"/>
  <c r="M9" i="6" s="1"/>
  <c r="J22" i="3"/>
  <c r="D13" i="5" s="1"/>
  <c r="I22" i="3"/>
  <c r="H22" i="3"/>
  <c r="D11" i="5" s="1"/>
  <c r="G22" i="3"/>
  <c r="D10" i="5" s="1"/>
  <c r="F22" i="3"/>
  <c r="D9" i="5" s="1"/>
  <c r="E22" i="3"/>
  <c r="D8" i="5" s="1"/>
  <c r="M7" i="6" s="1"/>
  <c r="D22" i="3"/>
  <c r="D7" i="5" s="1"/>
  <c r="C22" i="3"/>
  <c r="D6" i="5" s="1"/>
  <c r="M6" i="6" s="1"/>
  <c r="B22" i="3"/>
  <c r="D5" i="5" s="1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O18" i="3"/>
  <c r="F18" i="5" s="1"/>
  <c r="N18" i="3"/>
  <c r="M18" i="3"/>
  <c r="L18" i="3"/>
  <c r="K18" i="3"/>
  <c r="J18" i="3"/>
  <c r="I18" i="3"/>
  <c r="H18" i="3"/>
  <c r="G18" i="3"/>
  <c r="F10" i="5" s="1"/>
  <c r="F18" i="3"/>
  <c r="E18" i="3"/>
  <c r="D18" i="3"/>
  <c r="C18" i="3"/>
  <c r="B18" i="3"/>
  <c r="O17" i="3"/>
  <c r="N17" i="3"/>
  <c r="F17" i="5" s="1"/>
  <c r="I17" i="5" s="1"/>
  <c r="M17" i="3"/>
  <c r="F16" i="5" s="1"/>
  <c r="I16" i="5" s="1"/>
  <c r="L17" i="3"/>
  <c r="K17" i="3"/>
  <c r="F14" i="5" s="1"/>
  <c r="J17" i="3"/>
  <c r="F13" i="5" s="1"/>
  <c r="I17" i="3"/>
  <c r="F12" i="5" s="1"/>
  <c r="I12" i="5" s="1"/>
  <c r="H17" i="3"/>
  <c r="G17" i="3"/>
  <c r="F17" i="3"/>
  <c r="F9" i="5" s="1"/>
  <c r="I9" i="5" s="1"/>
  <c r="E17" i="3"/>
  <c r="F8" i="5" s="1"/>
  <c r="I8" i="5" s="1"/>
  <c r="D17" i="3"/>
  <c r="C17" i="3"/>
  <c r="F6" i="5" s="1"/>
  <c r="B17" i="3"/>
  <c r="F5" i="5" s="1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O11" i="3"/>
  <c r="N11" i="3"/>
  <c r="M11" i="3"/>
  <c r="E16" i="5" s="1"/>
  <c r="L11" i="3"/>
  <c r="K11" i="3"/>
  <c r="J11" i="3"/>
  <c r="I11" i="3"/>
  <c r="E12" i="5" s="1"/>
  <c r="H11" i="3"/>
  <c r="G11" i="3"/>
  <c r="F11" i="3"/>
  <c r="E11" i="3"/>
  <c r="E8" i="5" s="1"/>
  <c r="D11" i="3"/>
  <c r="C11" i="3"/>
  <c r="B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O5" i="3"/>
  <c r="N5" i="3"/>
  <c r="J14" i="4" s="1"/>
  <c r="F8" i="6" s="1"/>
  <c r="M5" i="3"/>
  <c r="J13" i="4" s="1"/>
  <c r="L5" i="3"/>
  <c r="K5" i="3"/>
  <c r="J5" i="3"/>
  <c r="J10" i="4" s="1"/>
  <c r="I5" i="3"/>
  <c r="J9" i="4" s="1"/>
  <c r="F11" i="6" s="1"/>
  <c r="H5" i="3"/>
  <c r="G5" i="3"/>
  <c r="F5" i="3"/>
  <c r="J6" i="4" s="1"/>
  <c r="E5" i="3"/>
  <c r="J5" i="4" s="1"/>
  <c r="F7" i="6" s="1"/>
  <c r="D5" i="3"/>
  <c r="C5" i="3"/>
  <c r="B5" i="3"/>
  <c r="J2" i="4" s="1"/>
  <c r="F5" i="6" s="1"/>
  <c r="H16" i="5" l="1"/>
  <c r="I5" i="5"/>
  <c r="H12" i="5"/>
  <c r="U5" i="6"/>
  <c r="J3" i="4"/>
  <c r="F6" i="6" s="1"/>
  <c r="J7" i="4"/>
  <c r="J11" i="4"/>
  <c r="F9" i="6" s="1"/>
  <c r="N9" i="6" s="1"/>
  <c r="J21" i="4"/>
  <c r="F12" i="6" s="1"/>
  <c r="E6" i="5"/>
  <c r="E10" i="5"/>
  <c r="E14" i="5"/>
  <c r="E18" i="5"/>
  <c r="I18" i="5"/>
  <c r="U6" i="6"/>
  <c r="U8" i="6"/>
  <c r="U11" i="6"/>
  <c r="U12" i="6"/>
  <c r="I13" i="5"/>
  <c r="I10" i="5"/>
  <c r="U7" i="6"/>
  <c r="J4" i="4"/>
  <c r="J8" i="4"/>
  <c r="J12" i="4"/>
  <c r="E7" i="5"/>
  <c r="E11" i="5"/>
  <c r="E15" i="5"/>
  <c r="E5" i="5"/>
  <c r="E9" i="5"/>
  <c r="E13" i="5"/>
  <c r="E17" i="5"/>
  <c r="F7" i="5"/>
  <c r="I7" i="5" s="1"/>
  <c r="F11" i="5"/>
  <c r="F15" i="5"/>
  <c r="I15" i="5" s="1"/>
  <c r="I6" i="5"/>
  <c r="I14" i="5"/>
  <c r="U10" i="6"/>
  <c r="L9" i="6"/>
  <c r="L6" i="6"/>
  <c r="N6" i="6"/>
  <c r="N12" i="6"/>
  <c r="L12" i="6"/>
  <c r="H9" i="5"/>
  <c r="M5" i="6"/>
  <c r="H5" i="5"/>
  <c r="H17" i="5"/>
  <c r="M8" i="6"/>
  <c r="N7" i="6"/>
  <c r="L7" i="6"/>
  <c r="I11" i="5"/>
  <c r="H8" i="5"/>
  <c r="H7" i="5"/>
  <c r="H11" i="5"/>
  <c r="H15" i="5"/>
  <c r="N10" i="6"/>
  <c r="M11" i="6"/>
  <c r="H6" i="5"/>
  <c r="H10" i="5"/>
  <c r="H14" i="5"/>
  <c r="H18" i="5"/>
  <c r="N11" i="6" l="1"/>
  <c r="L11" i="6"/>
  <c r="N5" i="6"/>
  <c r="L5" i="6"/>
  <c r="N8" i="6"/>
  <c r="L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Mês (aaaa-mm).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Unidades produzidas — agregado do dataset.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Unidades rejeitadas — agregado do dataset.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Soma do OEE das ordens — agregado do dataset.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N.º de ordens de fabrico — agregado do dataset.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Lotes com decisão de libertação — agregado do dataset.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Lotes aprovados à primeira — agregado do dataset.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Lotes aprovados por concessão — agregado do dataset.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Lotes rejeitados — agregado do dataset.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Unidades expedidas — agregado do dataset.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Vendas (€) — agregado do dataset.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Linhas de encomenda expedidas — agregado do dataset.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Reclamações recebidas — agregado do dataset.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Reclamações de serviço/logística — agregado do dataset.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Unidades afetadas reclamadas — agregado do dataset.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Reclamações críticas — agregado do dataset.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Reclamações resolvidas no mês — agregado do dataset.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Σ dias de resolução — agregado do dataset.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Lotes de MP recebidos — agregado do dataset.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Lotes de MP aceites sem derrogação — agregado do dataset.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Reclamações a fornecedores — agregado do dataset.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Σ dias de resposta dos fornecedores — agregado do dataset.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CAPA com prazo no mês — agregado do dataset.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CAPA fechadas até ao prazo — agregado do dataset.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CAPA fechadas eficazes — agregado do dataset.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CAPA fechadas não eficazes — agregado do dataset.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Subgrupos SPC (variáveis) — agregado do dataset.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Subgrupos com Cpk ≥ 1,00 — agregado do dataset.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Linhas entregues completas e no prazo (SIMULADO)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KPI-Q-01.
[calculado]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KPI-Q-02.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KPI-Q-03.
[calculado]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KPI-Q-04.
[calculado]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KPI-Q-05.
[calculado]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KPI-Q-06.
[calculado]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KPI-Q-07.
[calculado]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KPI-Q-08.
[calculado]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KPI-Q-09.
[calculado]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KPI-Q-10.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KPI-Q-11.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KPI-Q-12.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KPI-Q-13.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KPI-Q-20 (simulado).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do indicador.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Nome do indicador.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Fórmula de cálculo (definição operacional).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Maior ou menor é melhor.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Frequência de cálculo.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Origem dos dados.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Responsável pelo indicador.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Meta (percentagens como fração).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Linha de base: média dos 12 primeiros meses do dataset (jul/2025–jun/2026) em tbl_kpi_mensal; vazio para KPI de outros registos.
[calculado]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Objetivo que o indicador mede (1.º encontrado).
[calculado]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Linha do plano de monitorização que alimenta o KPI.
[calculado]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[Só SGQ] Processo.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[Só SGQ] Coluna em tbl_kpi_mensal ('—' se vem de outro registo).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Identificador do objetivo da qualidade.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Compromisso da política a que dá corpo (6.2.1 a).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Objetivo mensurável (6.2.1 b): verbo + indicador + meta + prazo.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Indicador (régua).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Nome e unidade do KPI.
[calculado]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Linha de base (do catálogo de KPI).
[calculado]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Valor numérico do KPI a atingir (percentagens como fração).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Quando será concluído (6.2.2 d).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O que vai ser feito (6.2.2 a).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Recursos (6.2.2 b).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Quem é responsável (6.2.2 c).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Estado face à meta.
[calculado]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Último valor do painel.
[calculado]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Percentagem do caminho baseline → meta já percorrido (negativo = afastou-se).
[calculado]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Dias até ao prazo.
[calculado]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S: declaração clara e ligada a um indicador.
[calculado]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M: meta numérica.
[calculado]</t>
        </r>
      </text>
    </comment>
    <comment ref="R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A: recursos, responsável e ações planeadas (6.2.2 a–c).
[calculado]</t>
        </r>
      </text>
    </comment>
    <comment ref="S4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R: nasce da política e de um processo.
[calculado]</t>
        </r>
      </text>
    </comment>
    <comment ref="T4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T: data limite (6.2.2 d).
[calculado]</t>
        </r>
      </text>
    </comment>
    <comment ref="U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SMART se os 5 critérios estiverem cumpridos.
[calculado]</t>
        </r>
      </text>
    </comment>
    <comment ref="V4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[Só SGQ] Frequência de acompanhamento.</t>
        </r>
      </text>
    </comment>
    <comment ref="W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[Só SGQ] Como os resultados são avaliados (6.2.2 e).</t>
        </r>
      </text>
    </comment>
    <comment ref="X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[Só SGQ] Processo.</t>
        </r>
      </text>
    </comment>
    <comment ref="Y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[Só SGQ] Funções e níveis a que se aplica (6.2.1).</t>
        </r>
      </text>
    </comment>
    <comment ref="Z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Da definição do KPI.
[calculado]</t>
        </r>
      </text>
    </comment>
    <comment ref="AA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[Só SGQ] Como foi comunicado (6.2.1 e).</t>
        </r>
      </text>
    </comment>
    <comment ref="AB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Última atualização (6.2.1 f).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Linha do plano de monitorização.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O que monitorizar e medir (9.1.1 a).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Métodos de monitorização, medição, análise e avaliação (9.1.1 b).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Quando monitorizar e medir (9.1.1 c).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Responsável pela recolha.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KPI alimentado.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[Só SGQ] Quando analisar e avaliar os resultados (9.1.1 d).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[Só SGQ] Onde fica a evidência dos resultados.</t>
        </r>
      </text>
    </comment>
  </commentList>
</comments>
</file>

<file path=xl/sharedStrings.xml><?xml version="1.0" encoding="utf-8"?>
<sst xmlns="http://schemas.openxmlformats.org/spreadsheetml/2006/main" count="1397" uniqueCount="580">
  <si>
    <t>RG-SGQ-05 — Objetivos da Qualidade, KPI e Plano de Monitorização e Medição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</si>
  <si>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</si>
  <si>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</si>
  <si>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</si>
  <si>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RG-SGQ-05</t>
  </si>
  <si>
    <t>Título</t>
  </si>
  <si>
    <t>Objetivos da Qualidade, KPI e Plano de Monitorização e Medição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</si>
  <si>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</si>
  <si>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</si>
  <si>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</si>
  <si>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</si>
  <si>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</si>
  <si>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</si>
  <si>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</si>
  <si>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</si>
  <si>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</si>
  <si>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</si>
  <si>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</si>
  <si>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</si>
  <si>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</si>
  <si>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</si>
  <si>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</si>
  <si>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Base mensal de desempenho da qualidade 2025-07 a 2026-12 agregada do dataset (produção, lotes, vendas, reclamações, matérias-primas, fornecedores, CAPA, SPC) e 13 KPI mensais calculados por fórmula, com painel de estado face às metas, objetivos SMART com o plano 6.2.2 e o plano de monitorização e medição 9.1.1.</t>
  </si>
  <si>
    <t>Utilização / atividades</t>
  </si>
  <si>
    <t>Estabelecer objetivos da qualidade mensuráveis e o planeamento para os atingir; definir o que se monitoriza, como, quando se mede e quando se analisa; acompanhar os KPI mensais.</t>
  </si>
  <si>
    <t>Requisitos ISO 9001:2026</t>
  </si>
  <si>
    <t>6.2.1 a)–h) Objetivos da qualidade (disponíveis como informação documentada); 6.2.2 a)–e) planeamento; 9.1.1 a)–d) monitorização e medição (evidência dos resultados); 9.1.3 análise e avaliação; 5.1.1 e)</t>
  </si>
  <si>
    <t>REFERÊNCIAS DE BOAS PRÁTICAS APLICADAS (orientação — não são requisitos auditáveis da ISO 9001)</t>
  </si>
  <si>
    <t>ISO/TC 176 APG — Policy and objectives</t>
  </si>
  <si>
    <t>Objetivos mensuráveis, com responsável, prazo, recursos e método de avaliação — tbl_objetivos colunas 6.2.2 a)–e).</t>
  </si>
  <si>
    <t>Academy — cap. 157 (VoC → CTQ → KPI) e cap. 180 (DPU, DPMO, FPY)</t>
  </si>
  <si>
    <t>Ligação cliente → CTQ → KPI → meta; métricas de rendimento.</t>
  </si>
  <si>
    <t>iso9001help.co.uk — Monitoring and measurement</t>
  </si>
  <si>
    <t>Plano de monitorização com o quê/como/quando medir/quando analisar e registo da evidência.</t>
  </si>
  <si>
    <t>ESTRUTURA DO FICHEIRO</t>
  </si>
  <si>
    <t>Base_Mensal</t>
  </si>
  <si>
    <t>Base mensal de desempenho agregada do dataset (factos de entrada dos KPI).</t>
  </si>
  <si>
    <t>KPI_Mensal</t>
  </si>
  <si>
    <t>KPI mensais calculados por fórmula a partir da base mensal (9.1.1 — evidência dos resultados).</t>
  </si>
  <si>
    <t>Catalogo_KPI</t>
  </si>
  <si>
    <t>Catálogo de indicadores do SGQ (definição, meta, dono, fonte).</t>
  </si>
  <si>
    <t>Painel_KPI</t>
  </si>
  <si>
    <t>Painel calculado: último mês, média de 12 meses, tendência de 6 meses e estado face à meta de cada KPI mensal; gráficos.</t>
  </si>
  <si>
    <t>Objetivos_Qualidade</t>
  </si>
  <si>
    <t>Objetivos da qualidade e planeamento para os atingir (6.2.1 e 6.2.2).</t>
  </si>
  <si>
    <t>Plano_Monitorizacao</t>
  </si>
  <si>
    <t>Plano de monitorização, medição, análise e avaliação (9.1.1 a–d) — mesma estrutura do RG-SGA-13.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</si>
  <si>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</si>
  <si>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</si>
  <si>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</si>
  <si>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</si>
  <si>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</si>
  <si>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</si>
  <si>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</si>
  <si>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</si>
  <si>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</si>
  <si>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</si>
  <si>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</si>
  <si>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</si>
  <si>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</si>
  <si>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</si>
  <si>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</si>
  <si>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</si>
  <si>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</si>
  <si>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</si>
  <si>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RG-SGQ-03 Política</t>
  </si>
  <si>
    <t>Cada objetivo liga a um compromisso da política (6.2.1 a).</t>
  </si>
  <si>
    <t>RG-SGQ-04</t>
  </si>
  <si>
    <t>KPI usados para avaliar a eficácia das ações de risco.</t>
  </si>
  <si>
    <t>RG-SGQ-15 / RG-SGQ-19</t>
  </si>
  <si>
    <t>KPI semestrais (CSI, NPS) e custo da qualidade.</t>
  </si>
  <si>
    <t>RG-SGA-05</t>
  </si>
  <si>
    <t>Objetivos ambientais do SGI (mesma estrutura SMART).</t>
  </si>
  <si>
    <t>BASE MENSAL DE DESEMPENHO DA QUALIDADE — dados do dataset</t>
  </si>
  <si>
    <t>2025-07-01 a 2026-12-31 · Uma linha por mês · Linhas_OTIF é simulado (o dataset não tem data prometida)</t>
  </si>
  <si>
    <t>Mes</t>
  </si>
  <si>
    <t>Produzido</t>
  </si>
  <si>
    <t>Rejeitado</t>
  </si>
  <si>
    <t>OEE_Soma</t>
  </si>
  <si>
    <t>Ordens</t>
  </si>
  <si>
    <t>Lotes_Decididos</t>
  </si>
  <si>
    <t>Lotes_1a</t>
  </si>
  <si>
    <t>Lotes_Concessao</t>
  </si>
  <si>
    <t>Lotes_Rejeitados</t>
  </si>
  <si>
    <t>Expedido</t>
  </si>
  <si>
    <t>Vendas_EUR</t>
  </si>
  <si>
    <t>Linhas_Expedidas</t>
  </si>
  <si>
    <t>Reclamacoes</t>
  </si>
  <si>
    <t>Reclamacoes_Servico</t>
  </si>
  <si>
    <t>Qtd_Afetada</t>
  </si>
  <si>
    <t>Reclamacoes_Criticas</t>
  </si>
  <si>
    <t>Reclamacoes_Resolvidas</t>
  </si>
  <si>
    <t>Dias_Resolucao_Soma</t>
  </si>
  <si>
    <t>Lotes_MP</t>
  </si>
  <si>
    <t>Lotes_MP_Aceites</t>
  </si>
  <si>
    <t>SCAR</t>
  </si>
  <si>
    <t>Dias_Resposta_SCAR_Soma</t>
  </si>
  <si>
    <t>CAPA_Com_Prazo</t>
  </si>
  <si>
    <t>CAPA_Fechadas_No_Prazo</t>
  </si>
  <si>
    <t>CAPA_Eficazes</t>
  </si>
  <si>
    <t>CAPA_Nao_Eficazes</t>
  </si>
  <si>
    <t>Subgrupos_SPC</t>
  </si>
  <si>
    <t>Subgrupos_Cpk_1</t>
  </si>
  <si>
    <t>Linhas_OTIF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</si>
  <si>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</si>
  <si>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</si>
  <si>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</si>
  <si>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</si>
  <si>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</si>
  <si>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</si>
  <si>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</si>
  <si>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</si>
  <si>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</si>
  <si>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</si>
  <si>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</si>
  <si>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</si>
  <si>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</si>
  <si>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</si>
  <si>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</si>
  <si>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</si>
  <si>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</si>
  <si>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</si>
  <si>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KPI MENSAIS DA QUALIDADE — calculados</t>
  </si>
  <si>
    <t>Todas as colunas são fórmulas sobre tbl_base_mensal · Metas e estado no Painel_KPI</t>
  </si>
  <si>
    <t>Taxa_Rejeicao</t>
  </si>
  <si>
    <t>FPY_Lotes</t>
  </si>
  <si>
    <t>PPM_Cliente</t>
  </si>
  <si>
    <t>CPMU</t>
  </si>
  <si>
    <t>Dias_Resolucao</t>
  </si>
  <si>
    <t>OEE</t>
  </si>
  <si>
    <t>Dias_Resposta_SCAR</t>
  </si>
  <si>
    <t>CAPA_No_Prazo</t>
  </si>
  <si>
    <t>CAPA_Eficacia</t>
  </si>
  <si>
    <t>Taxa_Concessao</t>
  </si>
  <si>
    <t>Pct_Cpk_1</t>
  </si>
  <si>
    <t>OTIF</t>
  </si>
  <si>
    <t>ID_KPI</t>
  </si>
  <si>
    <t>Nome</t>
  </si>
  <si>
    <t>Formula_Calculo</t>
  </si>
  <si>
    <t>Unidade</t>
  </si>
  <si>
    <t>Polaridade</t>
  </si>
  <si>
    <t>Frequencia</t>
  </si>
  <si>
    <t>Fonte_Dados</t>
  </si>
  <si>
    <t>Responsavel</t>
  </si>
  <si>
    <t>Meta</t>
  </si>
  <si>
    <t>Baseline</t>
  </si>
  <si>
    <t>ID_OBJ</t>
  </si>
  <si>
    <t>ID_MED</t>
  </si>
  <si>
    <t>Processo</t>
  </si>
  <si>
    <t>Coluna_Mensal</t>
  </si>
  <si>
    <t>KPI-Q-01</t>
  </si>
  <si>
    <t>Taxa de rejeição interna</t>
  </si>
  <si>
    <t>Rejeitado ÷ produzido</t>
  </si>
  <si>
    <t>%</t>
  </si>
  <si>
    <t>Menor</t>
  </si>
  <si>
    <t>Mensal</t>
  </si>
  <si>
    <t>fact_production (RejectedQty, ProducedQty)</t>
  </si>
  <si>
    <t>Gerente de Produção</t>
  </si>
  <si>
    <t>PCP</t>
  </si>
  <si>
    <t>KPI-Q-02</t>
  </si>
  <si>
    <t>Lotes aprovados à primeira (FPY de lote)</t>
  </si>
  <si>
    <t>Lotes 'Aprovado à primeira' ÷ lotes decididos</t>
  </si>
  <si>
    <t>Maior</t>
  </si>
  <si>
    <t>disposição de lotes (frasco, tampa, decoração)</t>
  </si>
  <si>
    <t>LAB</t>
  </si>
  <si>
    <t>KPI-Q-03</t>
  </si>
  <si>
    <t>PPM de cliente</t>
  </si>
  <si>
    <t>Quantidade afetada reclamada ÷ quantidade expedida × 10⁶</t>
  </si>
  <si>
    <t>ppm</t>
  </si>
  <si>
    <t>reclamações (QtyAffected) e vendas (ShippedQty)</t>
  </si>
  <si>
    <t>Diretor Comercial</t>
  </si>
  <si>
    <t>COM</t>
  </si>
  <si>
    <t>KPI-Q-04</t>
  </si>
  <si>
    <t>Reclamações por milhão de unidades expedidas (CPMU)</t>
  </si>
  <si>
    <t>N.º de reclamações ÷ unidades expedidas × 10⁶</t>
  </si>
  <si>
    <t>rec./milhão</t>
  </si>
  <si>
    <t>reclamações e vendas</t>
  </si>
  <si>
    <t>KPI-Q-05</t>
  </si>
  <si>
    <t>Reclamações de serviço / logística</t>
  </si>
  <si>
    <t>Contagem</t>
  </si>
  <si>
    <t>n.º</t>
  </si>
  <si>
    <t>reclamações (atraso, quantidade, produto trocado, rótulo)</t>
  </si>
  <si>
    <t>Responsável de Armazém e Logística</t>
  </si>
  <si>
    <t>EXP</t>
  </si>
  <si>
    <t>KPI-Q-06</t>
  </si>
  <si>
    <t>Tempo médio de resolução de reclamações</t>
  </si>
  <si>
    <t>Σ dias até resolução ÷ reclamações resolvidas</t>
  </si>
  <si>
    <t>dias</t>
  </si>
  <si>
    <t>reclamações resolvidas no mês</t>
  </si>
  <si>
    <t>KPI-Q-07</t>
  </si>
  <si>
    <t>OEE médio</t>
  </si>
  <si>
    <t>Média do OEE das ordens do mês</t>
  </si>
  <si>
    <t>fact_production (OEE por ordem)</t>
  </si>
  <si>
    <t>KPI-Q-08</t>
  </si>
  <si>
    <t>Lotes de matéria-prima aceites sem derrogação</t>
  </si>
  <si>
    <t>Lotes 'Accepted' ÷ lotes recebidos</t>
  </si>
  <si>
    <t>disposição de lotes de MP</t>
  </si>
  <si>
    <t>Responsável de Compras</t>
  </si>
  <si>
    <t>CMP</t>
  </si>
  <si>
    <t>KPI-Q-09</t>
  </si>
  <si>
    <t>Tempo de resposta dos fornecedores a reclamações (SCAR)</t>
  </si>
  <si>
    <t>Média dos dias até resposta</t>
  </si>
  <si>
    <t>reclamações a fornecedores</t>
  </si>
  <si>
    <t>KPI-Q-10</t>
  </si>
  <si>
    <t>CAPA fechadas no prazo</t>
  </si>
  <si>
    <t>CAPA com prazo no mês fechadas até ao prazo ÷ CAPA com prazo no mês</t>
  </si>
  <si>
    <t>CAPA com prazo no mês</t>
  </si>
  <si>
    <t>QUA</t>
  </si>
  <si>
    <t>KPI-Q-11</t>
  </si>
  <si>
    <t>Eficácia das CAPA</t>
  </si>
  <si>
    <t>Eficazes ÷ (eficazes + não eficazes)</t>
  </si>
  <si>
    <t>CAPA fechadas no mês com eficácia avaliada</t>
  </si>
  <si>
    <t>KPI-Q-12</t>
  </si>
  <si>
    <t>Lotes libertados por concessão</t>
  </si>
  <si>
    <t>Lotes 'Aprovado por concessão' ÷ lotes decididos</t>
  </si>
  <si>
    <t>disposição de lotes</t>
  </si>
  <si>
    <t>KPI-Q-13</t>
  </si>
  <si>
    <t>Subgrupos SPC com Cpk ≥ 1,00</t>
  </si>
  <si>
    <t>Subgrupos com Cpk ≥ 1,00 ÷ subgrupos (meta de longo prazo: Cpk ≥ 1,33)</t>
  </si>
  <si>
    <t>inspeção por variáveis (frascos e tampas)</t>
  </si>
  <si>
    <t>KPI-Q-14</t>
  </si>
  <si>
    <t>Índice de satisfação do cliente (CSI)</t>
  </si>
  <si>
    <t>Satisfação ponderada pela importância</t>
  </si>
  <si>
    <t>Semestral</t>
  </si>
  <si>
    <t>RG-SGQ-15 inquérito</t>
  </si>
  <si>
    <t>—</t>
  </si>
  <si>
    <t>KPI-Q-15</t>
  </si>
  <si>
    <t>Net Promoter Score (NPS)</t>
  </si>
  <si>
    <t>% promotores − % detratores</t>
  </si>
  <si>
    <t>pontos</t>
  </si>
  <si>
    <t>KPI-Q-16</t>
  </si>
  <si>
    <t>Custo das falhas (interna + externa) em % do valor da produção</t>
  </si>
  <si>
    <t>(Falha interna + externa) ÷ (produzido × preço médio)</t>
  </si>
  <si>
    <t>RG-SGQ-19 COQ</t>
  </si>
  <si>
    <t>Diretor Geral (Gestão de Topo)</t>
  </si>
  <si>
    <t>GES</t>
  </si>
  <si>
    <t>KPI-Q-17</t>
  </si>
  <si>
    <t>Equipamentos de medição com confirmação metrológica válida</t>
  </si>
  <si>
    <t>Equipamentos válidos ÷ equipamentos em uso</t>
  </si>
  <si>
    <t>RG-SGQ-09</t>
  </si>
  <si>
    <t>MET</t>
  </si>
  <si>
    <t>KPI-Q-18</t>
  </si>
  <si>
    <t>Cumprimento do plano de formação</t>
  </si>
  <si>
    <t>Ações realizadas ÷ planeadas</t>
  </si>
  <si>
    <t>Trimestral</t>
  </si>
  <si>
    <t>RG-SGQ-07</t>
  </si>
  <si>
    <t>Responsável de Recursos Humanos</t>
  </si>
  <si>
    <t>RH</t>
  </si>
  <si>
    <t>KPI-Q-19</t>
  </si>
  <si>
    <t>Cumprimento do programa de auditorias</t>
  </si>
  <si>
    <t>Auditorias realizadas ÷ planeadas até à data</t>
  </si>
  <si>
    <t>RG-SGQ-16</t>
  </si>
  <si>
    <t>KPI-Q-20</t>
  </si>
  <si>
    <t>Entregas completas e no prazo (OTIF)</t>
  </si>
  <si>
    <t>Linhas entregues completas e na data ÷ linhas</t>
  </si>
  <si>
    <t>ERP (simulado — o dataset não tem datas prometidas)</t>
  </si>
  <si>
    <t>PAINEL DE KPI DA QUALIDADE — calculado</t>
  </si>
  <si>
    <t>Último mês = 2026-12 · Estado: verde cumpre a meta; vermelho não cumpre · Tendência = declive dos últimos 6 meses (por mês)</t>
  </si>
  <si>
    <t>KPI</t>
  </si>
  <si>
    <t>Último mês</t>
  </si>
  <si>
    <t>Média 12 meses</t>
  </si>
  <si>
    <t>Tendência 6 m</t>
  </si>
  <si>
    <t>A melhorar?</t>
  </si>
  <si>
    <t>KPI semestrais / de outros registos: KPI-Q-14 e KPI-Q-15 (RG-SGQ-15), KPI-Q-16 (RG-SGQ-19), KPI-Q-17 (RG-SGQ-09), KPI-Q-18 (RG-SGQ-07), KPI-Q-19 (RG-SGQ-16).</t>
  </si>
  <si>
    <t>OBJETIVOS DA QUALIDADE 2026–2027 E PLANEAMENTO (6.2)</t>
  </si>
  <si>
    <t>Disponíveis como informação documentada (6.2.1 g) · Valor atual e estado calculados a partir do Painel_KPI</t>
  </si>
  <si>
    <t>Compromisso_Politica</t>
  </si>
  <si>
    <t>Declaracao_Objetivo</t>
  </si>
  <si>
    <t>Indicador_KPI</t>
  </si>
  <si>
    <t>Meta_Numerica</t>
  </si>
  <si>
    <t>Prazo</t>
  </si>
  <si>
    <t>O_que_Fazer</t>
  </si>
  <si>
    <t>Recursos</t>
  </si>
  <si>
    <t>Valor_Atual</t>
  </si>
  <si>
    <t>Progresso</t>
  </si>
  <si>
    <t>Dias_ate_Prazo</t>
  </si>
  <si>
    <t>S_Especifico</t>
  </si>
  <si>
    <t>M_Mensuravel</t>
  </si>
  <si>
    <t>A_Atingivel</t>
  </si>
  <si>
    <t>R_Relevante</t>
  </si>
  <si>
    <t>T_Temporal</t>
  </si>
  <si>
    <t>Validacao_SMART</t>
  </si>
  <si>
    <t>Quando_Acompanhar</t>
  </si>
  <si>
    <t>Como_Avaliar</t>
  </si>
  <si>
    <t>Funcoes_Niveis</t>
  </si>
  <si>
    <t>Comunicado</t>
  </si>
  <si>
    <t>Data_Revisao</t>
  </si>
  <si>
    <t>OBJ-Q-01</t>
  </si>
  <si>
    <t>2. Fazer bem à primeira</t>
  </si>
  <si>
    <t>Reduzir a taxa de rejeição interna de 2,3% para 2,0%</t>
  </si>
  <si>
    <t>DMAIC IM-002 replicado à injeção; SPC de espessura no sopro; manutenção de moldes por ciclos</t>
  </si>
  <si>
    <t>€ 45 000 (DOE, contadores, formação); 1 engenheiro de processo</t>
  </si>
  <si>
    <t>Mensal até dez/2026</t>
  </si>
  <si>
    <t>Média móvel de 3 meses ≤ 2,0% no painel</t>
  </si>
  <si>
    <t>Produção; Engenharia de processo</t>
  </si>
  <si>
    <t>Quadro de KPI por área + reunião geral</t>
  </si>
  <si>
    <t>OBJ-Q-02</t>
  </si>
  <si>
    <t>Aumentar os lotes aprovados à primeira para ≥ 92%</t>
  </si>
  <si>
    <t>Leak tester 100% nas ISBM; ensaio de aderência no arranque; safe launch dos SKU novos</t>
  </si>
  <si>
    <t>€ 60 000 (leak testers); 2 inspetores no pico</t>
  </si>
  <si>
    <t>FPY de lote do mês ≥ 92% em 3 meses consecutivos</t>
  </si>
  <si>
    <t>Qualidade; Produção</t>
  </si>
  <si>
    <t>OBJ-Q-03</t>
  </si>
  <si>
    <t>3. Ouvir o cliente</t>
  </si>
  <si>
    <t>Reduzir as reclamações para ≤ 3,0 por milhão de unidades expedidas</t>
  </si>
  <si>
    <t>8D em todas as reclamações críticas; poka-yoke na expedição; visão artificial na HF-001</t>
  </si>
  <si>
    <t>€ 85 000 (visão); equipa 8D</t>
  </si>
  <si>
    <t>CPMU médio de 6 meses ≤ 3,0</t>
  </si>
  <si>
    <t>Comercial; Qualidade; Logística</t>
  </si>
  <si>
    <t>OBJ-Q-04</t>
  </si>
  <si>
    <t>Atingir Cpk ≥ 1,00 em 70% dos subgrupos (hoje 46%; etapa para Cpk ≥ 1,33)</t>
  </si>
  <si>
    <t>Estudos de capacidade por característica crítica; centragem de processo; MSA nas características sem estudo</t>
  </si>
  <si>
    <t>Software SPC; técnico de metrologia</t>
  </si>
  <si>
    <t>% de subgrupos com Cpk ≥ 1,00</t>
  </si>
  <si>
    <t>Qualidade; Engenharia de processo</t>
  </si>
  <si>
    <t>OBJ-Q-05</t>
  </si>
  <si>
    <t>7. Melhorar continuamente</t>
  </si>
  <si>
    <t>Fechar ≥ 85% das CAPA no prazo e ter ≥ 80% eficazes</t>
  </si>
  <si>
    <t>Revisão semanal de CAPA; 8D para NC maiores; verificação de eficácia aos 90 dias</t>
  </si>
  <si>
    <t>4 h/semana do comité de CAPA</t>
  </si>
  <si>
    <t>Semanal / mensal</t>
  </si>
  <si>
    <t>KPI-Q-10 e KPI-Q-11 no painel</t>
  </si>
  <si>
    <t>Todos os donos de CAPA</t>
  </si>
  <si>
    <t>OBJ-Q-06</t>
  </si>
  <si>
    <t>Atingir CSI ≥ 80% e NPS ≥ 30 no inquérito de clientes</t>
  </si>
  <si>
    <t>Plano de ação por atributo com lacuna; visita anual aos 5 maiores clientes</t>
  </si>
  <si>
    <t>Tempo do Key Account</t>
  </si>
  <si>
    <t>Resultado do inquérito de dez/2026</t>
  </si>
  <si>
    <t>Comercial</t>
  </si>
  <si>
    <t>OBJ-Q-07</t>
  </si>
  <si>
    <t>4. Fornecedores</t>
  </si>
  <si>
    <t>Aumentar os lotes de MP aceites sem derrogação para ≥ 95%</t>
  </si>
  <si>
    <t>Aprovação condicional do SUP-005; scorecard mensal; auditorias a SUP-004 e SUP-009</t>
  </si>
  <si>
    <t>Auditor de fornecedores; ensaios</t>
  </si>
  <si>
    <t>Lotes aceites ≥ 95% em 3 meses</t>
  </si>
  <si>
    <t>Compras; Qualidade</t>
  </si>
  <si>
    <t>OBJ-Q-08</t>
  </si>
  <si>
    <t>Entregar ≥ 97% das linhas completas e no prazo (OTIF)</t>
  </si>
  <si>
    <t>Plano de capacidade set–nov; leitura de código de barras na carga; stock de segurança de resinas</t>
  </si>
  <si>
    <t>Planeador adicional no pico</t>
  </si>
  <si>
    <t>OTIF mensal ≥ 97%</t>
  </si>
  <si>
    <t>Logística; Planeamento</t>
  </si>
  <si>
    <t>PLANO DE MONITORIZAÇÃO E MEDIÇÃO (9.1.1)</t>
  </si>
  <si>
    <t>O_Que_Medir</t>
  </si>
  <si>
    <t>Como_Medir</t>
  </si>
  <si>
    <t>Quando_Medir</t>
  </si>
  <si>
    <t>Quem_Mede</t>
  </si>
  <si>
    <t>Quando_Analisar</t>
  </si>
  <si>
    <t>Registo_Evidencia</t>
  </si>
  <si>
    <t>PMM-01</t>
  </si>
  <si>
    <t>Características do produto (dimensionais, peso, espessura)</t>
  </si>
  <si>
    <t>Inspeção por variáveis ISO 3951; cartas X̄-R; Cpk</t>
  </si>
  <si>
    <t>A cada 30 min – 2 h (plano de controlo)</t>
  </si>
  <si>
    <t>Técnico(a) da Qualidade / Inspetor(a)</t>
  </si>
  <si>
    <t>Por turno (reação) e mensal (capacidade)</t>
  </si>
  <si>
    <t>RG-SGQ-13 / SPC</t>
  </si>
  <si>
    <t>PMM-02</t>
  </si>
  <si>
    <t>Características por atributos (visuais, fuga, rosca, anel)</t>
  </si>
  <si>
    <t>Amostragem ISO 2859-1:2026, nível II, AQL por classe</t>
  </si>
  <si>
    <t>Por lote</t>
  </si>
  <si>
    <t>Por lote (libertação) e mensal (ppm)</t>
  </si>
  <si>
    <t>RG-SGQ-13 tbl_libertacao</t>
  </si>
  <si>
    <t>PMM-03</t>
  </si>
  <si>
    <t>Parâmetros de processo críticos (temperatura, velocidade, arrefecimento)</t>
  </si>
  <si>
    <t>Registo automático no MES; limites do DOE</t>
  </si>
  <si>
    <t>Contínuo</t>
  </si>
  <si>
    <t>Engenheiro(a) de Processo</t>
  </si>
  <si>
    <t>Diário</t>
  </si>
  <si>
    <t>fact_process_parameters</t>
  </si>
  <si>
    <t>PMM-04</t>
  </si>
  <si>
    <t>Rejeição e sucata por máquina</t>
  </si>
  <si>
    <t>Contagem no MES</t>
  </si>
  <si>
    <t>Por ordem de fabrico</t>
  </si>
  <si>
    <t>Diário (reunião de produção) e mensal</t>
  </si>
  <si>
    <t>fact_production</t>
  </si>
  <si>
    <t>PMM-05</t>
  </si>
  <si>
    <t>OEE e paragens</t>
  </si>
  <si>
    <t>MES (disponibilidade, desempenho, qualidade)</t>
  </si>
  <si>
    <t>Diário e mensal</t>
  </si>
  <si>
    <t>fact_production / fact_downtime</t>
  </si>
  <si>
    <t>PMM-06</t>
  </si>
  <si>
    <t>Matéria-prima recebida</t>
  </si>
  <si>
    <t>Ensaios de receção (MFI, densidade, humidade)</t>
  </si>
  <si>
    <t>Por lote recebido</t>
  </si>
  <si>
    <t>Técnico(a) de Laboratório</t>
  </si>
  <si>
    <t>Mensal (scorecard)</t>
  </si>
  <si>
    <t>RG-SGQ-12</t>
  </si>
  <si>
    <t>PMM-07</t>
  </si>
  <si>
    <t>Satisfação do cliente</t>
  </si>
  <si>
    <t>Inquérito CSI/NPS/CES + reclamações + reuniões</t>
  </si>
  <si>
    <t>Semestral (inquérito); contínuo (reclamações)</t>
  </si>
  <si>
    <t>Semestral e revisão pela gestão</t>
  </si>
  <si>
    <t>RG-SGQ-15</t>
  </si>
  <si>
    <t>PMM-08</t>
  </si>
  <si>
    <t>Reclamações de cliente</t>
  </si>
  <si>
    <t>Registo ISO 10002; 8D</t>
  </si>
  <si>
    <t>Por ocorrência</t>
  </si>
  <si>
    <t>Mensal (Pareto, CPMU)</t>
  </si>
  <si>
    <t>PMM-09</t>
  </si>
  <si>
    <t>Desempenho dos fornecedores</t>
  </si>
  <si>
    <t>Scorecard ponderado</t>
  </si>
  <si>
    <t>Semestral (reavaliação)</t>
  </si>
  <si>
    <t>PMM-10</t>
  </si>
  <si>
    <t>Eficácia das ações corretivas</t>
  </si>
  <si>
    <t>Verificação de eficácia aos 90 dias</t>
  </si>
  <si>
    <t>Por CAPA</t>
  </si>
  <si>
    <t>RG-SGQ-18</t>
  </si>
  <si>
    <t>PMM-11</t>
  </si>
  <si>
    <t>Eficácia das ações para riscos e oportunidades</t>
  </si>
  <si>
    <t>Método definido em cada risco/oportunidade</t>
  </si>
  <si>
    <t>Conforme a ação</t>
  </si>
  <si>
    <t>Trimestral e revisão pela gestão</t>
  </si>
  <si>
    <t>PMM-12</t>
  </si>
  <si>
    <t>Estado metrológico dos equipamentos</t>
  </si>
  <si>
    <t>Calibração/verificação e MSA</t>
  </si>
  <si>
    <t>Conforme intervalo</t>
  </si>
  <si>
    <t>Técnico(a) de Metrologia</t>
  </si>
  <si>
    <t>PMM-13</t>
  </si>
  <si>
    <t>Custo da qualidade</t>
  </si>
  <si>
    <t>Método PAF (prevenção, avaliação, falhas)</t>
  </si>
  <si>
    <t>RG-SGQ-19</t>
  </si>
  <si>
    <t>PMM-14</t>
  </si>
  <si>
    <t>Eficácia do SGQ (auditorias)</t>
  </si>
  <si>
    <t>Auditoria interna ISO 19011:2026</t>
  </si>
  <si>
    <t>Programa anual</t>
  </si>
  <si>
    <t>Após cada auditoria e anual</t>
  </si>
  <si>
    <t>LISTAS CONTROLADAS (domínios de validação de dados) — editar aqui para alterar opções</t>
  </si>
  <si>
    <t>DataReferencia</t>
  </si>
  <si>
    <t>Funcao</t>
  </si>
  <si>
    <t>Diretor Industrial</t>
  </si>
  <si>
    <t>RD</t>
  </si>
  <si>
    <t>Anual</t>
  </si>
  <si>
    <t>Gerente de Manutenção</t>
  </si>
  <si>
    <t>REC</t>
  </si>
  <si>
    <t>INJ</t>
  </si>
  <si>
    <t>Responsável de R&amp;D</t>
  </si>
  <si>
    <t>SOP</t>
  </si>
  <si>
    <t>SER</t>
  </si>
  <si>
    <t>HFS</t>
  </si>
  <si>
    <t>Gerente de Dados / TI</t>
  </si>
  <si>
    <t>MAN</t>
  </si>
  <si>
    <t>Chefe de Turno</t>
  </si>
  <si>
    <t>Operador(a) de Injeção</t>
  </si>
  <si>
    <t>TI</t>
  </si>
  <si>
    <t>Operador(a) de Sopro (ISBM)</t>
  </si>
  <si>
    <t>DOC</t>
  </si>
  <si>
    <t>Operador(a) de Serigrafia</t>
  </si>
  <si>
    <t>Operador(a) de Hot Foil</t>
  </si>
  <si>
    <t>Técnico(a) de Manutenção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</si>
  <si>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</si>
  <si>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</si>
  <si>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</si>
  <si>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</si>
  <si>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</si>
  <si>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</si>
  <si>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</si>
  <si>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</si>
  <si>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</si>
  <si>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</si>
  <si>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</si>
  <si>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</si>
  <si>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</si>
  <si>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</si>
  <si>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tbl_base_mensal</t>
  </si>
  <si>
    <t>Texto</t>
  </si>
  <si>
    <t>Entrada</t>
  </si>
  <si>
    <t>Mês (aaaa-mm).</t>
  </si>
  <si>
    <t>Sim</t>
  </si>
  <si>
    <t>PK</t>
  </si>
  <si>
    <t>Decimal</t>
  </si>
  <si>
    <t>Unidades produzidas — agregado do dataset.</t>
  </si>
  <si>
    <t>Unidades rejeitadas — agregado do dataset.</t>
  </si>
  <si>
    <t>Soma do OEE das ordens — agregado do dataset.</t>
  </si>
  <si>
    <t>N.º de ordens de fabrico — agregado do dataset.</t>
  </si>
  <si>
    <t>Lotes com decisão de libertação — agregado do dataset.</t>
  </si>
  <si>
    <t>Lotes aprovados à primeira — agregado do dataset.</t>
  </si>
  <si>
    <t>Lotes aprovados por concessão — agregado do dataset.</t>
  </si>
  <si>
    <t>Lotes rejeitados — agregado do dataset.</t>
  </si>
  <si>
    <t>Unidades expedidas — agregado do dataset.</t>
  </si>
  <si>
    <t>Moeda (EUR)</t>
  </si>
  <si>
    <t>Vendas (€) — agregado do dataset.</t>
  </si>
  <si>
    <t>Linhas de encomenda expedidas — agregado do dataset.</t>
  </si>
  <si>
    <t>Reclamações recebidas — agregado do dataset.</t>
  </si>
  <si>
    <t>Reclamações de serviço/logística — agregado do dataset.</t>
  </si>
  <si>
    <t>Unidades afetadas reclamadas — agregado do dataset.</t>
  </si>
  <si>
    <t>Reclamações críticas — agregado do dataset.</t>
  </si>
  <si>
    <t>Reclamações resolvidas no mês — agregado do dataset.</t>
  </si>
  <si>
    <t>Σ dias de resolução — agregado do dataset.</t>
  </si>
  <si>
    <t>Lotes de MP recebidos — agregado do dataset.</t>
  </si>
  <si>
    <t>Lotes de MP aceites sem derrogação — agregado do dataset.</t>
  </si>
  <si>
    <t>Reclamações a fornecedores — agregado do dataset.</t>
  </si>
  <si>
    <t>Σ dias de resposta dos fornecedores — agregado do dataset.</t>
  </si>
  <si>
    <t>CAPA com prazo no mês — agregado do dataset.</t>
  </si>
  <si>
    <t>CAPA fechadas até ao prazo — agregado do dataset.</t>
  </si>
  <si>
    <t>CAPA fechadas eficazes — agregado do dataset.</t>
  </si>
  <si>
    <t>CAPA fechadas não eficazes — agregado do dataset.</t>
  </si>
  <si>
    <t>Subgrupos SPC (variáveis) — agregado do dataset.</t>
  </si>
  <si>
    <t>Subgrupos com Cpk ≥ 1,00 — agregado do dataset.</t>
  </si>
  <si>
    <t>Linhas entregues completas e no prazo (SIMULADO)</t>
  </si>
  <si>
    <t>tbl_kpi_mensal</t>
  </si>
  <si>
    <t>Mês.</t>
  </si>
  <si>
    <t>PK / FK → tbl_base_mensal</t>
  </si>
  <si>
    <t>Percentagem (fração 0-1)</t>
  </si>
  <si>
    <t>Calculado (fórmula)</t>
  </si>
  <si>
    <t>KPI-Q-01.</t>
  </si>
  <si>
    <t>KPI-Q-02.</t>
  </si>
  <si>
    <t>KPI-Q-03.</t>
  </si>
  <si>
    <t>KPI-Q-04.</t>
  </si>
  <si>
    <t>KPI-Q-05.</t>
  </si>
  <si>
    <t>KPI-Q-06.</t>
  </si>
  <si>
    <t>KPI-Q-07.</t>
  </si>
  <si>
    <t>KPI-Q-08.</t>
  </si>
  <si>
    <t>KPI-Q-09.</t>
  </si>
  <si>
    <t>KPI-Q-10.</t>
  </si>
  <si>
    <t>KPI-Q-11.</t>
  </si>
  <si>
    <t>KPI-Q-12.</t>
  </si>
  <si>
    <t>KPI-Q-13.</t>
  </si>
  <si>
    <t>KPI-Q-20 (simulado).</t>
  </si>
  <si>
    <t>tbl_kpi</t>
  </si>
  <si>
    <t>Identificador do indicador.</t>
  </si>
  <si>
    <t>Nome do indicador.</t>
  </si>
  <si>
    <t>Fórmula de cálculo (definição operacional).</t>
  </si>
  <si>
    <t>Unidade.</t>
  </si>
  <si>
    <t>Maior ou menor é melhor.</t>
  </si>
  <si>
    <t>Lista lst_Polaridade</t>
  </si>
  <si>
    <t>Frequência de cálculo.</t>
  </si>
  <si>
    <t>Lista lst_Frequencia</t>
  </si>
  <si>
    <t>Origem dos dados.</t>
  </si>
  <si>
    <t>Responsável pelo indicador.</t>
  </si>
  <si>
    <t>Lista lst_Funcao</t>
  </si>
  <si>
    <t>Meta (percentagens como fração).</t>
  </si>
  <si>
    <t>Linha de base: média dos 12 primeiros meses do dataset (jul/2025–jun/2026) em tbl_kpi_mensal; vazio para KPI de outros registos.</t>
  </si>
  <si>
    <t>Objetivo que o indicador mede (1.º encontrado).</t>
  </si>
  <si>
    <t>FK → tbl_objetivos</t>
  </si>
  <si>
    <t>Linha do plano de monitorização que alimenta o KPI.</t>
  </si>
  <si>
    <t>FK → tbl_plano_monitorizacao</t>
  </si>
  <si>
    <t>[Só SGQ] Processo.</t>
  </si>
  <si>
    <t>Lista lst_Processo</t>
  </si>
  <si>
    <t>[Só SGQ] Coluna em tbl_kpi_mensal ('—' se vem de outro registo).</t>
  </si>
  <si>
    <t>tbl_objetivos</t>
  </si>
  <si>
    <t>Identificador do objetivo da qualidade.</t>
  </si>
  <si>
    <t>Compromisso da política a que dá corpo (6.2.1 a).</t>
  </si>
  <si>
    <t>Objetivo mensurável (6.2.1 b): verbo + indicador + meta + prazo.</t>
  </si>
  <si>
    <t>Indicador (régua).</t>
  </si>
  <si>
    <t>FK → tbl_kpi</t>
  </si>
  <si>
    <t>Nome e unidade do KPI.</t>
  </si>
  <si>
    <t>Linha de base (do catálogo de KPI).</t>
  </si>
  <si>
    <t>Valor numérico do KPI a atingir (percentagens como fração).</t>
  </si>
  <si>
    <t>Data (aaaa-mm-dd)</t>
  </si>
  <si>
    <t>Quando será concluído (6.2.2 d).</t>
  </si>
  <si>
    <t>O que vai ser feito (6.2.2 a).</t>
  </si>
  <si>
    <t>Recursos (6.2.2 b).</t>
  </si>
  <si>
    <t>Quem é responsável (6.2.2 c).</t>
  </si>
  <si>
    <t>Estado face à meta.</t>
  </si>
  <si>
    <t>Último valor do painel.</t>
  </si>
  <si>
    <t>Percentagem do caminho baseline → meta já percorrido (negativo = afastou-se).</t>
  </si>
  <si>
    <t>Inteiro</t>
  </si>
  <si>
    <t>Dias até ao prazo.</t>
  </si>
  <si>
    <t>S: declaração clara e ligada a um indicador.</t>
  </si>
  <si>
    <t>M: meta numérica.</t>
  </si>
  <si>
    <t>A: recursos, responsável e ações planeadas (6.2.2 a–c).</t>
  </si>
  <si>
    <t>R: nasce da política e de um processo.</t>
  </si>
  <si>
    <t>T: data limite (6.2.2 d).</t>
  </si>
  <si>
    <t>SMART se os 5 critérios estiverem cumpridos.</t>
  </si>
  <si>
    <t>[Só SGQ] Frequência de acompanhamento.</t>
  </si>
  <si>
    <t>[Só SGQ] Como os resultados são avaliados (6.2.2 e).</t>
  </si>
  <si>
    <t>[Só SGQ] Funções e níveis a que se aplica (6.2.1).</t>
  </si>
  <si>
    <t>Da definição do KPI.</t>
  </si>
  <si>
    <t>[Só SGQ] Como foi comunicado (6.2.1 e).</t>
  </si>
  <si>
    <t>Última atualização (6.2.1 f).</t>
  </si>
  <si>
    <t>tbl_plano_monitorizacao</t>
  </si>
  <si>
    <t>Linha do plano de monitorização.</t>
  </si>
  <si>
    <t>O que monitorizar e medir (9.1.1 a).</t>
  </si>
  <si>
    <t>Métodos de monitorização, medição, análise e avaliação (9.1.1 b).</t>
  </si>
  <si>
    <t>Quando monitorizar e medir (9.1.1 c).</t>
  </si>
  <si>
    <t>Responsável pela recolha.</t>
  </si>
  <si>
    <t>KPI alimentado.</t>
  </si>
  <si>
    <t>Não</t>
  </si>
  <si>
    <t>[Só SGQ] Quando analisar e avaliar os resultados (9.1.1 d).</t>
  </si>
  <si>
    <t>[Só SGQ] Onde fica a evidência dos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</si>
</sst>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\€"/>
    <numFmt numFmtId="165" formatCode="0.0%"/>
    <numFmt numFmtId="166" formatCode="#,##0.0"/>
    <numFmt numFmtId="167" formatCode="0.0000"/>
    <numFmt numFmtId="168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8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8" fontId="4" fillId="0" borderId="1" xfId="0" applyNumberFormat="1" applyFont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8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9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Taxa de rejeição interna (meta 2,0%)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KPI_Mensal!$B$4</c:f>
              <c:strCache>
                <c:ptCount val="1"/>
                <c:pt idx="0">
                  <c:v>Taxa_Rejeicao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KPI_Mensal!$A$5:$A$22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KPI_Mensal!$B$5:$B$22</c:f>
              <c:numCache>
                <c:formatCode>0.0%</c:formatCode>
                <c:ptCount val="18"/>
                <c:pt idx="0">
                  <c:v>2.3182758097258432E-2</c:v>
                </c:pt>
                <c:pt idx="1">
                  <c:v>2.3422908073984613E-2</c:v>
                </c:pt>
                <c:pt idx="2">
                  <c:v>2.5344015489581536E-2</c:v>
                </c:pt>
                <c:pt idx="3">
                  <c:v>2.344426328498482E-2</c:v>
                </c:pt>
                <c:pt idx="4">
                  <c:v>2.4128627056902399E-2</c:v>
                </c:pt>
                <c:pt idx="5">
                  <c:v>2.3353771640560593E-2</c:v>
                </c:pt>
                <c:pt idx="6">
                  <c:v>2.3485734972113814E-2</c:v>
                </c:pt>
                <c:pt idx="7">
                  <c:v>2.2918925274137969E-2</c:v>
                </c:pt>
                <c:pt idx="8">
                  <c:v>2.5059499008428594E-2</c:v>
                </c:pt>
                <c:pt idx="9">
                  <c:v>2.4720994271817252E-2</c:v>
                </c:pt>
                <c:pt idx="10">
                  <c:v>2.4480867407931518E-2</c:v>
                </c:pt>
                <c:pt idx="11">
                  <c:v>2.3053964779402383E-2</c:v>
                </c:pt>
                <c:pt idx="12">
                  <c:v>2.27279859960695E-2</c:v>
                </c:pt>
                <c:pt idx="13">
                  <c:v>2.2187601465152341E-2</c:v>
                </c:pt>
                <c:pt idx="14">
                  <c:v>2.3752450635665528E-2</c:v>
                </c:pt>
                <c:pt idx="15">
                  <c:v>2.2903659089345E-2</c:v>
                </c:pt>
                <c:pt idx="16">
                  <c:v>2.2797887315184132E-2</c:v>
                </c:pt>
                <c:pt idx="17">
                  <c:v>2.2511394769661464E-2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1-49C2-AC36-5D8FA04D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Reclamações por milhão expedido (meta 3,0)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KPI_Mensal!$E$4</c:f>
              <c:strCache>
                <c:ptCount val="1"/>
                <c:pt idx="0">
                  <c:v>CPMU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KPI_Mensal!$A$5:$A$22</c:f>
              <c:strCache>
                <c:ptCount val="18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  <c:pt idx="13">
                  <c:v>2026-08</c:v>
                </c:pt>
                <c:pt idx="14">
                  <c:v>2026-09</c:v>
                </c:pt>
                <c:pt idx="15">
                  <c:v>2026-10</c:v>
                </c:pt>
                <c:pt idx="16">
                  <c:v>2026-11</c:v>
                </c:pt>
                <c:pt idx="17">
                  <c:v>2026-12</c:v>
                </c:pt>
              </c:strCache>
            </c:strRef>
          </c:cat>
          <c:val>
            <c:numRef>
              <c:f>KPI_Mensal!$E$5:$E$22</c:f>
              <c:numCache>
                <c:formatCode>#,##0.00</c:formatCode>
                <c:ptCount val="18"/>
                <c:pt idx="0">
                  <c:v>0.4704279577216986</c:v>
                </c:pt>
                <c:pt idx="1">
                  <c:v>5.5615297861631525</c:v>
                </c:pt>
                <c:pt idx="2">
                  <c:v>3.8613434471929104</c:v>
                </c:pt>
                <c:pt idx="3">
                  <c:v>5.4526625156325892</c:v>
                </c:pt>
                <c:pt idx="4">
                  <c:v>4.1285805114485541</c:v>
                </c:pt>
                <c:pt idx="5">
                  <c:v>9.1258216711283993</c:v>
                </c:pt>
                <c:pt idx="6">
                  <c:v>2.9421921759019014</c:v>
                </c:pt>
                <c:pt idx="7">
                  <c:v>4.0984950326240206</c:v>
                </c:pt>
                <c:pt idx="8">
                  <c:v>4.426512151882485</c:v>
                </c:pt>
                <c:pt idx="9">
                  <c:v>5.7844126276041425</c:v>
                </c:pt>
                <c:pt idx="10">
                  <c:v>6.1055751634971269</c:v>
                </c:pt>
                <c:pt idx="11">
                  <c:v>4.039840911064922</c:v>
                </c:pt>
                <c:pt idx="12">
                  <c:v>4.1050213740999277</c:v>
                </c:pt>
                <c:pt idx="13">
                  <c:v>3.1754891752866499</c:v>
                </c:pt>
                <c:pt idx="14">
                  <c:v>6.613200882590009</c:v>
                </c:pt>
                <c:pt idx="15">
                  <c:v>3.5306994315573914</c:v>
                </c:pt>
                <c:pt idx="16">
                  <c:v>4.1408124688145058</c:v>
                </c:pt>
                <c:pt idx="17">
                  <c:v>4.2019234304502886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C-433F-A90D-618FD496E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se_mensal" displayName="tbl_base_mensal" ref="A4:AC22">
  <autoFilter ref="A4:AC22" xr:uid="{00000000-0009-0000-0100-000001000000}"/>
  <tableColumns count="29">
    <tableColumn id="1" xr3:uid="{00000000-0010-0000-0000-000001000000}" name="Mes"/>
    <tableColumn id="2" xr3:uid="{00000000-0010-0000-0000-000002000000}" name="Produzido"/>
    <tableColumn id="3" xr3:uid="{00000000-0010-0000-0000-000003000000}" name="Rejeitado"/>
    <tableColumn id="4" xr3:uid="{00000000-0010-0000-0000-000004000000}" name="OEE_Soma"/>
    <tableColumn id="5" xr3:uid="{00000000-0010-0000-0000-000005000000}" name="Ordens"/>
    <tableColumn id="6" xr3:uid="{00000000-0010-0000-0000-000006000000}" name="Lotes_Decididos"/>
    <tableColumn id="7" xr3:uid="{00000000-0010-0000-0000-000007000000}" name="Lotes_1a"/>
    <tableColumn id="8" xr3:uid="{00000000-0010-0000-0000-000008000000}" name="Lotes_Concessao"/>
    <tableColumn id="9" xr3:uid="{00000000-0010-0000-0000-000009000000}" name="Lotes_Rejeitados"/>
    <tableColumn id="10" xr3:uid="{00000000-0010-0000-0000-00000A000000}" name="Expedido"/>
    <tableColumn id="11" xr3:uid="{00000000-0010-0000-0000-00000B000000}" name="Vendas_EUR"/>
    <tableColumn id="12" xr3:uid="{00000000-0010-0000-0000-00000C000000}" name="Linhas_Expedidas"/>
    <tableColumn id="13" xr3:uid="{00000000-0010-0000-0000-00000D000000}" name="Reclamacoes"/>
    <tableColumn id="14" xr3:uid="{00000000-0010-0000-0000-00000E000000}" name="Reclamacoes_Servico"/>
    <tableColumn id="15" xr3:uid="{00000000-0010-0000-0000-00000F000000}" name="Qtd_Afetada"/>
    <tableColumn id="16" xr3:uid="{00000000-0010-0000-0000-000010000000}" name="Reclamacoes_Criticas"/>
    <tableColumn id="17" xr3:uid="{00000000-0010-0000-0000-000011000000}" name="Reclamacoes_Resolvidas"/>
    <tableColumn id="18" xr3:uid="{00000000-0010-0000-0000-000012000000}" name="Dias_Resolucao_Soma"/>
    <tableColumn id="19" xr3:uid="{00000000-0010-0000-0000-000013000000}" name="Lotes_MP"/>
    <tableColumn id="20" xr3:uid="{00000000-0010-0000-0000-000014000000}" name="Lotes_MP_Aceites"/>
    <tableColumn id="21" xr3:uid="{00000000-0010-0000-0000-000015000000}" name="SCAR"/>
    <tableColumn id="22" xr3:uid="{00000000-0010-0000-0000-000016000000}" name="Dias_Resposta_SCAR_Soma"/>
    <tableColumn id="23" xr3:uid="{00000000-0010-0000-0000-000017000000}" name="CAPA_Com_Prazo"/>
    <tableColumn id="24" xr3:uid="{00000000-0010-0000-0000-000018000000}" name="CAPA_Fechadas_No_Prazo"/>
    <tableColumn id="25" xr3:uid="{00000000-0010-0000-0000-000019000000}" name="CAPA_Eficazes"/>
    <tableColumn id="26" xr3:uid="{00000000-0010-0000-0000-00001A000000}" name="CAPA_Nao_Eficazes"/>
    <tableColumn id="27" xr3:uid="{00000000-0010-0000-0000-00001B000000}" name="Subgrupos_SPC"/>
    <tableColumn id="28" xr3:uid="{00000000-0010-0000-0000-00001C000000}" name="Subgrupos_Cpk_1"/>
    <tableColumn id="29" xr3:uid="{00000000-0010-0000-0000-00001D000000}" name="Linhas_OTIF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kpi_mensal" displayName="tbl_kpi_mensal" ref="A4:O22">
  <autoFilter ref="A4:O22" xr:uid="{00000000-0009-0000-0100-000002000000}"/>
  <tableColumns count="15">
    <tableColumn id="1" xr3:uid="{00000000-0010-0000-0100-000001000000}" name="Mes"/>
    <tableColumn id="2" xr3:uid="{00000000-0010-0000-0100-000002000000}" name="Taxa_Rejeicao"/>
    <tableColumn id="3" xr3:uid="{00000000-0010-0000-0100-000003000000}" name="FPY_Lotes"/>
    <tableColumn id="4" xr3:uid="{00000000-0010-0000-0100-000004000000}" name="PPM_Cliente"/>
    <tableColumn id="5" xr3:uid="{00000000-0010-0000-0100-000005000000}" name="CPMU"/>
    <tableColumn id="6" xr3:uid="{00000000-0010-0000-0100-000006000000}" name="Reclamacoes_Servico"/>
    <tableColumn id="7" xr3:uid="{00000000-0010-0000-0100-000007000000}" name="Dias_Resolucao"/>
    <tableColumn id="8" xr3:uid="{00000000-0010-0000-0100-000008000000}" name="OEE"/>
    <tableColumn id="9" xr3:uid="{00000000-0010-0000-0100-000009000000}" name="Lotes_MP_Aceites"/>
    <tableColumn id="10" xr3:uid="{00000000-0010-0000-0100-00000A000000}" name="Dias_Resposta_SCAR"/>
    <tableColumn id="11" xr3:uid="{00000000-0010-0000-0100-00000B000000}" name="CAPA_No_Prazo"/>
    <tableColumn id="12" xr3:uid="{00000000-0010-0000-0100-00000C000000}" name="CAPA_Eficacia"/>
    <tableColumn id="13" xr3:uid="{00000000-0010-0000-0100-00000D000000}" name="Taxa_Concessao"/>
    <tableColumn id="14" xr3:uid="{00000000-0010-0000-0100-00000E000000}" name="Pct_Cpk_1"/>
    <tableColumn id="15" xr3:uid="{00000000-0010-0000-0100-00000F000000}" name="OTIF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kpi" displayName="tbl_kpi" ref="A1:N21">
  <autoFilter ref="A1:N21" xr:uid="{00000000-0009-0000-0100-000003000000}"/>
  <tableColumns count="14">
    <tableColumn id="1" xr3:uid="{00000000-0010-0000-0200-000001000000}" name="ID_KPI"/>
    <tableColumn id="2" xr3:uid="{00000000-0010-0000-0200-000002000000}" name="Nome"/>
    <tableColumn id="3" xr3:uid="{00000000-0010-0000-0200-000003000000}" name="Formula_Calculo"/>
    <tableColumn id="4" xr3:uid="{00000000-0010-0000-0200-000004000000}" name="Unidade"/>
    <tableColumn id="5" xr3:uid="{00000000-0010-0000-0200-000005000000}" name="Polaridade"/>
    <tableColumn id="6" xr3:uid="{00000000-0010-0000-0200-000006000000}" name="Frequencia"/>
    <tableColumn id="7" xr3:uid="{00000000-0010-0000-0200-000007000000}" name="Fonte_Dados"/>
    <tableColumn id="8" xr3:uid="{00000000-0010-0000-0200-000008000000}" name="Responsavel"/>
    <tableColumn id="9" xr3:uid="{00000000-0010-0000-0200-000009000000}" name="Meta"/>
    <tableColumn id="10" xr3:uid="{00000000-0010-0000-0200-00000A000000}" name="Baseline"/>
    <tableColumn id="11" xr3:uid="{00000000-0010-0000-0200-00000B000000}" name="ID_OBJ"/>
    <tableColumn id="12" xr3:uid="{00000000-0010-0000-0200-00000C000000}" name="ID_MED"/>
    <tableColumn id="13" xr3:uid="{00000000-0010-0000-0200-00000D000000}" name="Processo"/>
    <tableColumn id="14" xr3:uid="{00000000-0010-0000-0200-00000E000000}" name="Coluna_Mens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objetivos" displayName="tbl_objetivos" ref="A4:AB12">
  <autoFilter ref="A4:AB12" xr:uid="{00000000-0009-0000-0100-000004000000}"/>
  <tableColumns count="28">
    <tableColumn id="1" xr3:uid="{00000000-0010-0000-0300-000001000000}" name="ID_OBJ"/>
    <tableColumn id="2" xr3:uid="{00000000-0010-0000-0300-000002000000}" name="Compromisso_Politica"/>
    <tableColumn id="3" xr3:uid="{00000000-0010-0000-0300-000003000000}" name="Declaracao_Objetivo"/>
    <tableColumn id="4" xr3:uid="{00000000-0010-0000-0300-000004000000}" name="ID_KPI"/>
    <tableColumn id="5" xr3:uid="{00000000-0010-0000-0300-000005000000}" name="Indicador_KPI"/>
    <tableColumn id="6" xr3:uid="{00000000-0010-0000-0300-000006000000}" name="Baseline"/>
    <tableColumn id="7" xr3:uid="{00000000-0010-0000-0300-000007000000}" name="Meta_Numerica"/>
    <tableColumn id="8" xr3:uid="{00000000-0010-0000-0300-000008000000}" name="Prazo"/>
    <tableColumn id="9" xr3:uid="{00000000-0010-0000-0300-000009000000}" name="O_que_Fazer"/>
    <tableColumn id="10" xr3:uid="{00000000-0010-0000-0300-00000A000000}" name="Recursos"/>
    <tableColumn id="11" xr3:uid="{00000000-0010-0000-0300-00000B000000}" name="Responsavel"/>
    <tableColumn id="12" xr3:uid="{00000000-0010-0000-0300-00000C000000}" name="Estado"/>
    <tableColumn id="13" xr3:uid="{00000000-0010-0000-0300-00000D000000}" name="Valor_Atual"/>
    <tableColumn id="14" xr3:uid="{00000000-0010-0000-0300-00000E000000}" name="Progresso"/>
    <tableColumn id="15" xr3:uid="{00000000-0010-0000-0300-00000F000000}" name="Dias_ate_Prazo"/>
    <tableColumn id="16" xr3:uid="{00000000-0010-0000-0300-000010000000}" name="S_Especifico"/>
    <tableColumn id="17" xr3:uid="{00000000-0010-0000-0300-000011000000}" name="M_Mensuravel"/>
    <tableColumn id="18" xr3:uid="{00000000-0010-0000-0300-000012000000}" name="A_Atingivel"/>
    <tableColumn id="19" xr3:uid="{00000000-0010-0000-0300-000013000000}" name="R_Relevante"/>
    <tableColumn id="20" xr3:uid="{00000000-0010-0000-0300-000014000000}" name="T_Temporal"/>
    <tableColumn id="21" xr3:uid="{00000000-0010-0000-0300-000015000000}" name="Validacao_SMART"/>
    <tableColumn id="22" xr3:uid="{00000000-0010-0000-0300-000016000000}" name="Quando_Acompanhar"/>
    <tableColumn id="23" xr3:uid="{00000000-0010-0000-0300-000017000000}" name="Como_Avaliar"/>
    <tableColumn id="24" xr3:uid="{00000000-0010-0000-0300-000018000000}" name="Processo"/>
    <tableColumn id="25" xr3:uid="{00000000-0010-0000-0300-000019000000}" name="Funcoes_Niveis"/>
    <tableColumn id="26" xr3:uid="{00000000-0010-0000-0300-00001A000000}" name="Polaridade"/>
    <tableColumn id="27" xr3:uid="{00000000-0010-0000-0300-00001B000000}" name="Comunicado"/>
    <tableColumn id="28" xr3:uid="{00000000-0010-0000-0300-00001C000000}" name="Data_Revis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lano_monitorizacao" displayName="tbl_plano_monitorizacao" ref="A4:H18">
  <autoFilter ref="A4:H18" xr:uid="{00000000-0009-0000-0100-000005000000}"/>
  <tableColumns count="8">
    <tableColumn id="1" xr3:uid="{00000000-0010-0000-0400-000001000000}" name="ID_MED"/>
    <tableColumn id="2" xr3:uid="{00000000-0010-0000-0400-000002000000}" name="O_Que_Medir"/>
    <tableColumn id="3" xr3:uid="{00000000-0010-0000-0400-000003000000}" name="Como_Medir"/>
    <tableColumn id="4" xr3:uid="{00000000-0010-0000-0400-000004000000}" name="Quando_Medir"/>
    <tableColumn id="5" xr3:uid="{00000000-0010-0000-0400-000005000000}" name="Quem_Mede"/>
    <tableColumn id="6" xr3:uid="{00000000-0010-0000-0400-000006000000}" name="ID_KPI"/>
    <tableColumn id="7" xr3:uid="{00000000-0010-0000-0400-000007000000}" name="Quando_Analisar"/>
    <tableColumn id="8" xr3:uid="{00000000-0010-0000-0400-000008000000}" name="Registo_Evidenci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95">
  <autoFilter ref="A1:I95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ht="26.4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39.6" x14ac:dyDescent="0.3">
      <c r="A41" s="5" t="s">
        <v>62</v>
      </c>
      <c r="B41" s="6" t="s">
        <v>63</v>
      </c>
    </row>
    <row r="43" spans="1:2" x14ac:dyDescent="0.3">
      <c r="A43" s="3" t="s">
        <v>64</v>
      </c>
      <c r="B43" s="4"/>
    </row>
    <row r="44" spans="1:2" x14ac:dyDescent="0.3">
      <c r="A44" s="5" t="s">
        <v>65</v>
      </c>
      <c r="B44" s="6" t="s">
        <v>66</v>
      </c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2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9" width="11" customWidth="1"/>
  </cols>
  <sheetData>
    <row r="1" spans="1:29" ht="17.399999999999999" x14ac:dyDescent="0.3">
      <c r="A1" s="1" t="s">
        <v>73</v>
      </c>
    </row>
    <row r="2" spans="1:29" x14ac:dyDescent="0.3">
      <c r="A2" s="2" t="s">
        <v>74</v>
      </c>
    </row>
    <row r="4" spans="1:29" ht="39.6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90</v>
      </c>
      <c r="Q4" s="8" t="s">
        <v>91</v>
      </c>
      <c r="R4" s="8" t="s">
        <v>92</v>
      </c>
      <c r="S4" s="8" t="s">
        <v>93</v>
      </c>
      <c r="T4" s="8" t="s">
        <v>94</v>
      </c>
      <c r="U4" s="8" t="s">
        <v>95</v>
      </c>
      <c r="V4" s="8" t="s">
        <v>96</v>
      </c>
      <c r="W4" s="8" t="s">
        <v>97</v>
      </c>
      <c r="X4" s="8" t="s">
        <v>98</v>
      </c>
      <c r="Y4" s="8" t="s">
        <v>99</v>
      </c>
      <c r="Z4" s="8" t="s">
        <v>100</v>
      </c>
      <c r="AA4" s="8" t="s">
        <v>101</v>
      </c>
      <c r="AB4" s="8" t="s">
        <v>102</v>
      </c>
      <c r="AC4" s="8" t="s">
        <v>103</v>
      </c>
    </row>
    <row r="5" spans="1:29" ht="16.05" customHeight="1" x14ac:dyDescent="0.3">
      <c r="A5" s="9" t="s">
        <v>104</v>
      </c>
      <c r="B5" s="10">
        <v>6350668</v>
      </c>
      <c r="C5" s="10">
        <v>147226</v>
      </c>
      <c r="D5" s="11">
        <v>674.49277498014283</v>
      </c>
      <c r="E5" s="10">
        <v>867</v>
      </c>
      <c r="F5" s="10">
        <v>446</v>
      </c>
      <c r="G5" s="10">
        <v>387</v>
      </c>
      <c r="H5" s="10">
        <v>5</v>
      </c>
      <c r="I5" s="10">
        <v>47</v>
      </c>
      <c r="J5" s="10">
        <v>2125724</v>
      </c>
      <c r="K5" s="12">
        <v>283228.32</v>
      </c>
      <c r="L5" s="10">
        <v>374</v>
      </c>
      <c r="M5" s="10">
        <v>1</v>
      </c>
      <c r="N5" s="10">
        <v>0</v>
      </c>
      <c r="O5" s="10">
        <v>36</v>
      </c>
      <c r="P5" s="10">
        <v>0</v>
      </c>
      <c r="Q5" s="10">
        <v>0</v>
      </c>
      <c r="R5" s="10">
        <v>0</v>
      </c>
      <c r="S5" s="10">
        <v>104</v>
      </c>
      <c r="T5" s="10">
        <v>91</v>
      </c>
      <c r="U5" s="10">
        <v>8</v>
      </c>
      <c r="V5" s="10">
        <v>67</v>
      </c>
      <c r="W5" s="10">
        <v>0</v>
      </c>
      <c r="X5" s="10">
        <v>0</v>
      </c>
      <c r="Y5" s="10">
        <v>2</v>
      </c>
      <c r="Z5" s="10">
        <v>1</v>
      </c>
      <c r="AA5" s="10">
        <v>16473</v>
      </c>
      <c r="AB5" s="10">
        <v>7660</v>
      </c>
      <c r="AC5" s="10">
        <v>365</v>
      </c>
    </row>
    <row r="6" spans="1:29" ht="16.05" customHeight="1" x14ac:dyDescent="0.3">
      <c r="A6" s="9" t="s">
        <v>105</v>
      </c>
      <c r="B6" s="10">
        <v>6363215</v>
      </c>
      <c r="C6" s="10">
        <v>149045</v>
      </c>
      <c r="D6" s="11">
        <v>633.10554382429552</v>
      </c>
      <c r="E6" s="10">
        <v>822</v>
      </c>
      <c r="F6" s="10">
        <v>434</v>
      </c>
      <c r="G6" s="10">
        <v>370</v>
      </c>
      <c r="H6" s="10">
        <v>10</v>
      </c>
      <c r="I6" s="10">
        <v>46</v>
      </c>
      <c r="J6" s="10">
        <v>2517293</v>
      </c>
      <c r="K6" s="12">
        <v>318985.93</v>
      </c>
      <c r="L6" s="10">
        <v>445</v>
      </c>
      <c r="M6" s="10">
        <v>14</v>
      </c>
      <c r="N6" s="10">
        <v>10</v>
      </c>
      <c r="O6" s="10">
        <v>795</v>
      </c>
      <c r="P6" s="10">
        <v>4</v>
      </c>
      <c r="Q6" s="10">
        <v>4</v>
      </c>
      <c r="R6" s="10">
        <v>55</v>
      </c>
      <c r="S6" s="10">
        <v>102</v>
      </c>
      <c r="T6" s="10">
        <v>97</v>
      </c>
      <c r="U6" s="10">
        <v>1</v>
      </c>
      <c r="V6" s="10">
        <v>4</v>
      </c>
      <c r="W6" s="10">
        <v>33</v>
      </c>
      <c r="X6" s="10">
        <v>11</v>
      </c>
      <c r="Y6" s="10">
        <v>9</v>
      </c>
      <c r="Z6" s="10">
        <v>11</v>
      </c>
      <c r="AA6" s="10">
        <v>16195</v>
      </c>
      <c r="AB6" s="10">
        <v>7453</v>
      </c>
      <c r="AC6" s="10">
        <v>428</v>
      </c>
    </row>
    <row r="7" spans="1:29" ht="16.05" customHeight="1" x14ac:dyDescent="0.3">
      <c r="A7" s="9" t="s">
        <v>106</v>
      </c>
      <c r="B7" s="10">
        <v>6007651</v>
      </c>
      <c r="C7" s="10">
        <v>152258</v>
      </c>
      <c r="D7" s="11">
        <v>646.70451331907475</v>
      </c>
      <c r="E7" s="10">
        <v>841</v>
      </c>
      <c r="F7" s="10">
        <v>437</v>
      </c>
      <c r="G7" s="10">
        <v>371</v>
      </c>
      <c r="H7" s="10">
        <v>11</v>
      </c>
      <c r="I7" s="10">
        <v>48</v>
      </c>
      <c r="J7" s="10">
        <v>2330795</v>
      </c>
      <c r="K7" s="12">
        <v>297387.18</v>
      </c>
      <c r="L7" s="10">
        <v>438</v>
      </c>
      <c r="M7" s="10">
        <v>9</v>
      </c>
      <c r="N7" s="10">
        <v>4</v>
      </c>
      <c r="O7" s="10">
        <v>492</v>
      </c>
      <c r="P7" s="10">
        <v>4</v>
      </c>
      <c r="Q7" s="10">
        <v>8</v>
      </c>
      <c r="R7" s="10">
        <v>192</v>
      </c>
      <c r="S7" s="10">
        <v>101</v>
      </c>
      <c r="T7" s="10">
        <v>88</v>
      </c>
      <c r="U7" s="10">
        <v>6</v>
      </c>
      <c r="V7" s="10">
        <v>36</v>
      </c>
      <c r="W7" s="10">
        <v>49</v>
      </c>
      <c r="X7" s="10">
        <v>25</v>
      </c>
      <c r="Y7" s="10">
        <v>9</v>
      </c>
      <c r="Z7" s="10">
        <v>12</v>
      </c>
      <c r="AA7" s="10">
        <v>15671</v>
      </c>
      <c r="AB7" s="10">
        <v>7436</v>
      </c>
      <c r="AC7" s="10">
        <v>420</v>
      </c>
    </row>
    <row r="8" spans="1:29" ht="16.05" customHeight="1" x14ac:dyDescent="0.3">
      <c r="A8" s="9" t="s">
        <v>107</v>
      </c>
      <c r="B8" s="10">
        <v>6140692</v>
      </c>
      <c r="C8" s="10">
        <v>143964</v>
      </c>
      <c r="D8" s="11">
        <v>681.65139748794343</v>
      </c>
      <c r="E8" s="10">
        <v>892</v>
      </c>
      <c r="F8" s="10">
        <v>494</v>
      </c>
      <c r="G8" s="10">
        <v>424</v>
      </c>
      <c r="H8" s="10">
        <v>15</v>
      </c>
      <c r="I8" s="10">
        <v>51</v>
      </c>
      <c r="J8" s="10">
        <v>2567553</v>
      </c>
      <c r="K8" s="12">
        <v>323233.56</v>
      </c>
      <c r="L8" s="10">
        <v>491</v>
      </c>
      <c r="M8" s="10">
        <v>14</v>
      </c>
      <c r="N8" s="10">
        <v>8</v>
      </c>
      <c r="O8" s="10">
        <v>439</v>
      </c>
      <c r="P8" s="10">
        <v>5</v>
      </c>
      <c r="Q8" s="10">
        <v>9</v>
      </c>
      <c r="R8" s="10">
        <v>143</v>
      </c>
      <c r="S8" s="10">
        <v>114</v>
      </c>
      <c r="T8" s="10">
        <v>107</v>
      </c>
      <c r="U8" s="10">
        <v>4</v>
      </c>
      <c r="V8" s="10">
        <v>25</v>
      </c>
      <c r="W8" s="10">
        <v>44</v>
      </c>
      <c r="X8" s="10">
        <v>15</v>
      </c>
      <c r="Y8" s="10">
        <v>13</v>
      </c>
      <c r="Z8" s="10">
        <v>13</v>
      </c>
      <c r="AA8" s="10">
        <v>16244</v>
      </c>
      <c r="AB8" s="10">
        <v>7569</v>
      </c>
      <c r="AC8" s="10">
        <v>472</v>
      </c>
    </row>
    <row r="9" spans="1:29" ht="16.05" customHeight="1" x14ac:dyDescent="0.3">
      <c r="A9" s="9" t="s">
        <v>108</v>
      </c>
      <c r="B9" s="10">
        <v>5970750</v>
      </c>
      <c r="C9" s="10">
        <v>144066</v>
      </c>
      <c r="D9" s="11">
        <v>640.68827462951583</v>
      </c>
      <c r="E9" s="10">
        <v>841</v>
      </c>
      <c r="F9" s="10">
        <v>439</v>
      </c>
      <c r="G9" s="10">
        <v>372</v>
      </c>
      <c r="H9" s="10">
        <v>6</v>
      </c>
      <c r="I9" s="10">
        <v>52</v>
      </c>
      <c r="J9" s="10">
        <v>2422140</v>
      </c>
      <c r="K9" s="12">
        <v>322056.36</v>
      </c>
      <c r="L9" s="10">
        <v>455</v>
      </c>
      <c r="M9" s="10">
        <v>10</v>
      </c>
      <c r="N9" s="10">
        <v>7</v>
      </c>
      <c r="O9" s="10">
        <v>333</v>
      </c>
      <c r="P9" s="10">
        <v>1</v>
      </c>
      <c r="Q9" s="10">
        <v>12</v>
      </c>
      <c r="R9" s="10">
        <v>235</v>
      </c>
      <c r="S9" s="10">
        <v>102</v>
      </c>
      <c r="T9" s="10">
        <v>92</v>
      </c>
      <c r="U9" s="10">
        <v>2</v>
      </c>
      <c r="V9" s="10">
        <v>13</v>
      </c>
      <c r="W9" s="10">
        <v>45</v>
      </c>
      <c r="X9" s="10">
        <v>24</v>
      </c>
      <c r="Y9" s="10">
        <v>11</v>
      </c>
      <c r="Z9" s="10">
        <v>9</v>
      </c>
      <c r="AA9" s="10">
        <v>15722</v>
      </c>
      <c r="AB9" s="10">
        <v>7357</v>
      </c>
      <c r="AC9" s="10">
        <v>434</v>
      </c>
    </row>
    <row r="10" spans="1:29" ht="16.05" customHeight="1" x14ac:dyDescent="0.3">
      <c r="A10" s="9" t="s">
        <v>109</v>
      </c>
      <c r="B10" s="10">
        <v>6132928</v>
      </c>
      <c r="C10" s="10">
        <v>143227</v>
      </c>
      <c r="D10" s="11">
        <v>644.63287441438536</v>
      </c>
      <c r="E10" s="10">
        <v>852</v>
      </c>
      <c r="F10" s="10">
        <v>442</v>
      </c>
      <c r="G10" s="10">
        <v>393</v>
      </c>
      <c r="H10" s="10">
        <v>5</v>
      </c>
      <c r="I10" s="10">
        <v>39</v>
      </c>
      <c r="J10" s="10">
        <v>2520321</v>
      </c>
      <c r="K10" s="12">
        <v>318200.07</v>
      </c>
      <c r="L10" s="10">
        <v>472</v>
      </c>
      <c r="M10" s="10">
        <v>23</v>
      </c>
      <c r="N10" s="10">
        <v>11</v>
      </c>
      <c r="O10" s="10">
        <v>1194</v>
      </c>
      <c r="P10" s="10">
        <v>5</v>
      </c>
      <c r="Q10" s="10">
        <v>12</v>
      </c>
      <c r="R10" s="10">
        <v>170</v>
      </c>
      <c r="S10" s="10">
        <v>116</v>
      </c>
      <c r="T10" s="10">
        <v>100</v>
      </c>
      <c r="U10" s="10">
        <v>7</v>
      </c>
      <c r="V10" s="10">
        <v>47</v>
      </c>
      <c r="W10" s="10">
        <v>56</v>
      </c>
      <c r="X10" s="10">
        <v>31</v>
      </c>
      <c r="Y10" s="10">
        <v>20</v>
      </c>
      <c r="Z10" s="10">
        <v>12</v>
      </c>
      <c r="AA10" s="10">
        <v>16252</v>
      </c>
      <c r="AB10" s="10">
        <v>7539</v>
      </c>
      <c r="AC10" s="10">
        <v>450</v>
      </c>
    </row>
    <row r="11" spans="1:29" ht="16.05" customHeight="1" x14ac:dyDescent="0.3">
      <c r="A11" s="9" t="s">
        <v>110</v>
      </c>
      <c r="B11" s="10">
        <v>6038474</v>
      </c>
      <c r="C11" s="10">
        <v>141818</v>
      </c>
      <c r="D11" s="11">
        <v>625.90893146475923</v>
      </c>
      <c r="E11" s="10">
        <v>817</v>
      </c>
      <c r="F11" s="10">
        <v>426</v>
      </c>
      <c r="G11" s="10">
        <v>368</v>
      </c>
      <c r="H11" s="10">
        <v>6</v>
      </c>
      <c r="I11" s="10">
        <v>49</v>
      </c>
      <c r="J11" s="10">
        <v>2719061</v>
      </c>
      <c r="K11" s="12">
        <v>318417.75</v>
      </c>
      <c r="L11" s="10">
        <v>480</v>
      </c>
      <c r="M11" s="10">
        <v>8</v>
      </c>
      <c r="N11" s="10">
        <v>4</v>
      </c>
      <c r="O11" s="10">
        <v>711</v>
      </c>
      <c r="P11" s="10">
        <v>3</v>
      </c>
      <c r="Q11" s="10">
        <v>11</v>
      </c>
      <c r="R11" s="10">
        <v>211</v>
      </c>
      <c r="S11" s="10">
        <v>103</v>
      </c>
      <c r="T11" s="10">
        <v>90</v>
      </c>
      <c r="U11" s="10">
        <v>6</v>
      </c>
      <c r="V11" s="10">
        <v>33</v>
      </c>
      <c r="W11" s="10">
        <v>39</v>
      </c>
      <c r="X11" s="10">
        <v>21</v>
      </c>
      <c r="Y11" s="10">
        <v>7</v>
      </c>
      <c r="Z11" s="10">
        <v>8</v>
      </c>
      <c r="AA11" s="10">
        <v>16273</v>
      </c>
      <c r="AB11" s="10">
        <v>7774</v>
      </c>
      <c r="AC11" s="10">
        <v>465</v>
      </c>
    </row>
    <row r="12" spans="1:29" ht="16.05" customHeight="1" x14ac:dyDescent="0.3">
      <c r="A12" s="9" t="s">
        <v>111</v>
      </c>
      <c r="B12" s="10">
        <v>5579581</v>
      </c>
      <c r="C12" s="10">
        <v>127878</v>
      </c>
      <c r="D12" s="11">
        <v>582.32638228919586</v>
      </c>
      <c r="E12" s="10">
        <v>757</v>
      </c>
      <c r="F12" s="10">
        <v>389</v>
      </c>
      <c r="G12" s="10">
        <v>330</v>
      </c>
      <c r="H12" s="10">
        <v>5</v>
      </c>
      <c r="I12" s="10">
        <v>51</v>
      </c>
      <c r="J12" s="10">
        <v>2195928</v>
      </c>
      <c r="K12" s="12">
        <v>295454</v>
      </c>
      <c r="L12" s="10">
        <v>397</v>
      </c>
      <c r="M12" s="10">
        <v>9</v>
      </c>
      <c r="N12" s="10">
        <v>5</v>
      </c>
      <c r="O12" s="10">
        <v>493</v>
      </c>
      <c r="P12" s="10">
        <v>3</v>
      </c>
      <c r="Q12" s="10">
        <v>9</v>
      </c>
      <c r="R12" s="10">
        <v>177</v>
      </c>
      <c r="S12" s="10">
        <v>92</v>
      </c>
      <c r="T12" s="10">
        <v>84</v>
      </c>
      <c r="U12" s="10">
        <v>2</v>
      </c>
      <c r="V12" s="10">
        <v>7</v>
      </c>
      <c r="W12" s="10">
        <v>30</v>
      </c>
      <c r="X12" s="10">
        <v>13</v>
      </c>
      <c r="Y12" s="10">
        <v>9</v>
      </c>
      <c r="Z12" s="10">
        <v>13</v>
      </c>
      <c r="AA12" s="10">
        <v>14704</v>
      </c>
      <c r="AB12" s="10">
        <v>6738</v>
      </c>
      <c r="AC12" s="10">
        <v>380</v>
      </c>
    </row>
    <row r="13" spans="1:29" ht="16.05" customHeight="1" x14ac:dyDescent="0.3">
      <c r="A13" s="9" t="s">
        <v>112</v>
      </c>
      <c r="B13" s="10">
        <v>6350526</v>
      </c>
      <c r="C13" s="10">
        <v>159141</v>
      </c>
      <c r="D13" s="11">
        <v>651.15848240555056</v>
      </c>
      <c r="E13" s="10">
        <v>851</v>
      </c>
      <c r="F13" s="10">
        <v>439</v>
      </c>
      <c r="G13" s="10">
        <v>375</v>
      </c>
      <c r="H13" s="10">
        <v>8</v>
      </c>
      <c r="I13" s="10">
        <v>49</v>
      </c>
      <c r="J13" s="10">
        <v>2259115</v>
      </c>
      <c r="K13" s="12">
        <v>291820.89</v>
      </c>
      <c r="L13" s="10">
        <v>430</v>
      </c>
      <c r="M13" s="10">
        <v>10</v>
      </c>
      <c r="N13" s="10">
        <v>4</v>
      </c>
      <c r="O13" s="10">
        <v>669</v>
      </c>
      <c r="P13" s="10">
        <v>2</v>
      </c>
      <c r="Q13" s="10">
        <v>12</v>
      </c>
      <c r="R13" s="10">
        <v>226</v>
      </c>
      <c r="S13" s="10">
        <v>99</v>
      </c>
      <c r="T13" s="10">
        <v>85</v>
      </c>
      <c r="U13" s="10">
        <v>7</v>
      </c>
      <c r="V13" s="10">
        <v>47</v>
      </c>
      <c r="W13" s="10">
        <v>37</v>
      </c>
      <c r="X13" s="10">
        <v>23</v>
      </c>
      <c r="Y13" s="10">
        <v>13</v>
      </c>
      <c r="Z13" s="10">
        <v>10</v>
      </c>
      <c r="AA13" s="10">
        <v>16342</v>
      </c>
      <c r="AB13" s="10">
        <v>7591</v>
      </c>
      <c r="AC13" s="10">
        <v>410</v>
      </c>
    </row>
    <row r="14" spans="1:29" ht="16.05" customHeight="1" x14ac:dyDescent="0.3">
      <c r="A14" s="9" t="s">
        <v>113</v>
      </c>
      <c r="B14" s="10">
        <v>5787874</v>
      </c>
      <c r="C14" s="10">
        <v>143082</v>
      </c>
      <c r="D14" s="11">
        <v>619.96431225608137</v>
      </c>
      <c r="E14" s="10">
        <v>831</v>
      </c>
      <c r="F14" s="10">
        <v>440</v>
      </c>
      <c r="G14" s="10">
        <v>390</v>
      </c>
      <c r="H14" s="10">
        <v>6</v>
      </c>
      <c r="I14" s="10">
        <v>36</v>
      </c>
      <c r="J14" s="10">
        <v>2593176</v>
      </c>
      <c r="K14" s="12">
        <v>312343.62</v>
      </c>
      <c r="L14" s="10">
        <v>458</v>
      </c>
      <c r="M14" s="10">
        <v>15</v>
      </c>
      <c r="N14" s="10">
        <v>6</v>
      </c>
      <c r="O14" s="10">
        <v>662</v>
      </c>
      <c r="P14" s="10">
        <v>5</v>
      </c>
      <c r="Q14" s="10">
        <v>10</v>
      </c>
      <c r="R14" s="10">
        <v>130</v>
      </c>
      <c r="S14" s="10">
        <v>104</v>
      </c>
      <c r="T14" s="10">
        <v>96</v>
      </c>
      <c r="U14" s="10">
        <v>5</v>
      </c>
      <c r="V14" s="10">
        <v>28</v>
      </c>
      <c r="W14" s="10">
        <v>56</v>
      </c>
      <c r="X14" s="10">
        <v>24</v>
      </c>
      <c r="Y14" s="10">
        <v>17</v>
      </c>
      <c r="Z14" s="10">
        <v>6</v>
      </c>
      <c r="AA14" s="10">
        <v>15617</v>
      </c>
      <c r="AB14" s="10">
        <v>7300</v>
      </c>
      <c r="AC14" s="10">
        <v>436</v>
      </c>
    </row>
    <row r="15" spans="1:29" ht="16.05" customHeight="1" x14ac:dyDescent="0.3">
      <c r="A15" s="9" t="s">
        <v>114</v>
      </c>
      <c r="B15" s="10">
        <v>6169185</v>
      </c>
      <c r="C15" s="10">
        <v>151027</v>
      </c>
      <c r="D15" s="11">
        <v>669.52171737582842</v>
      </c>
      <c r="E15" s="10">
        <v>877</v>
      </c>
      <c r="F15" s="10">
        <v>441</v>
      </c>
      <c r="G15" s="10">
        <v>373</v>
      </c>
      <c r="H15" s="10">
        <v>3</v>
      </c>
      <c r="I15" s="10">
        <v>59</v>
      </c>
      <c r="J15" s="10">
        <v>2456771</v>
      </c>
      <c r="K15" s="12">
        <v>295775.59999999998</v>
      </c>
      <c r="L15" s="10">
        <v>454</v>
      </c>
      <c r="M15" s="10">
        <v>15</v>
      </c>
      <c r="N15" s="10">
        <v>12</v>
      </c>
      <c r="O15" s="10">
        <v>771</v>
      </c>
      <c r="P15" s="10">
        <v>1</v>
      </c>
      <c r="Q15" s="10">
        <v>9</v>
      </c>
      <c r="R15" s="10">
        <v>186</v>
      </c>
      <c r="S15" s="10">
        <v>112</v>
      </c>
      <c r="T15" s="10">
        <v>98</v>
      </c>
      <c r="U15" s="10">
        <v>6</v>
      </c>
      <c r="V15" s="10">
        <v>30</v>
      </c>
      <c r="W15" s="10">
        <v>43</v>
      </c>
      <c r="X15" s="10">
        <v>25</v>
      </c>
      <c r="Y15" s="10">
        <v>12</v>
      </c>
      <c r="Z15" s="10">
        <v>8</v>
      </c>
      <c r="AA15" s="10">
        <v>16148</v>
      </c>
      <c r="AB15" s="10">
        <v>7437</v>
      </c>
      <c r="AC15" s="10">
        <v>432</v>
      </c>
    </row>
    <row r="16" spans="1:29" ht="16.05" customHeight="1" x14ac:dyDescent="0.3">
      <c r="A16" s="9" t="s">
        <v>115</v>
      </c>
      <c r="B16" s="10">
        <v>5838345</v>
      </c>
      <c r="C16" s="10">
        <v>134597</v>
      </c>
      <c r="D16" s="11">
        <v>619.33180164219834</v>
      </c>
      <c r="E16" s="10">
        <v>816</v>
      </c>
      <c r="F16" s="10">
        <v>430</v>
      </c>
      <c r="G16" s="10">
        <v>371</v>
      </c>
      <c r="H16" s="10">
        <v>8</v>
      </c>
      <c r="I16" s="10">
        <v>47</v>
      </c>
      <c r="J16" s="10">
        <v>2475345</v>
      </c>
      <c r="K16" s="12">
        <v>332360.25</v>
      </c>
      <c r="L16" s="10">
        <v>449</v>
      </c>
      <c r="M16" s="10">
        <v>10</v>
      </c>
      <c r="N16" s="10">
        <v>4</v>
      </c>
      <c r="O16" s="10">
        <v>410</v>
      </c>
      <c r="P16" s="10">
        <v>2</v>
      </c>
      <c r="Q16" s="10">
        <v>10</v>
      </c>
      <c r="R16" s="10">
        <v>248</v>
      </c>
      <c r="S16" s="10">
        <v>102</v>
      </c>
      <c r="T16" s="10">
        <v>92</v>
      </c>
      <c r="U16" s="10">
        <v>4</v>
      </c>
      <c r="V16" s="10">
        <v>28</v>
      </c>
      <c r="W16" s="10">
        <v>37</v>
      </c>
      <c r="X16" s="10">
        <v>16</v>
      </c>
      <c r="Y16" s="10">
        <v>13</v>
      </c>
      <c r="Z16" s="10">
        <v>10</v>
      </c>
      <c r="AA16" s="10">
        <v>15707</v>
      </c>
      <c r="AB16" s="10">
        <v>7272</v>
      </c>
      <c r="AC16" s="10">
        <v>439</v>
      </c>
    </row>
    <row r="17" spans="1:29" ht="16.05" customHeight="1" x14ac:dyDescent="0.3">
      <c r="A17" s="9" t="s">
        <v>116</v>
      </c>
      <c r="B17" s="10">
        <v>7710978</v>
      </c>
      <c r="C17" s="10">
        <v>175255</v>
      </c>
      <c r="D17" s="11">
        <v>779.44523328860237</v>
      </c>
      <c r="E17" s="10">
        <v>1061</v>
      </c>
      <c r="F17" s="10">
        <v>536</v>
      </c>
      <c r="G17" s="10">
        <v>461</v>
      </c>
      <c r="H17" s="10">
        <v>9</v>
      </c>
      <c r="I17" s="10">
        <v>59</v>
      </c>
      <c r="J17" s="10">
        <v>2679645</v>
      </c>
      <c r="K17" s="12">
        <v>353821.84</v>
      </c>
      <c r="L17" s="10">
        <v>529</v>
      </c>
      <c r="M17" s="10">
        <v>11</v>
      </c>
      <c r="N17" s="10">
        <v>4</v>
      </c>
      <c r="O17" s="10">
        <v>494</v>
      </c>
      <c r="P17" s="10">
        <v>2</v>
      </c>
      <c r="Q17" s="10">
        <v>9</v>
      </c>
      <c r="R17" s="10">
        <v>159</v>
      </c>
      <c r="S17" s="10">
        <v>98</v>
      </c>
      <c r="T17" s="10">
        <v>90</v>
      </c>
      <c r="U17" s="10">
        <v>3</v>
      </c>
      <c r="V17" s="10">
        <v>24</v>
      </c>
      <c r="W17" s="10">
        <v>46</v>
      </c>
      <c r="X17" s="10">
        <v>23</v>
      </c>
      <c r="Y17" s="10">
        <v>15</v>
      </c>
      <c r="Z17" s="10">
        <v>9</v>
      </c>
      <c r="AA17" s="10">
        <v>20997</v>
      </c>
      <c r="AB17" s="10">
        <v>9169</v>
      </c>
      <c r="AC17" s="10">
        <v>509</v>
      </c>
    </row>
    <row r="18" spans="1:29" ht="16.05" customHeight="1" x14ac:dyDescent="0.3">
      <c r="A18" s="9" t="s">
        <v>117</v>
      </c>
      <c r="B18" s="10">
        <v>8411139</v>
      </c>
      <c r="C18" s="10">
        <v>186623</v>
      </c>
      <c r="D18" s="11">
        <v>807.84983087017315</v>
      </c>
      <c r="E18" s="10">
        <v>1074</v>
      </c>
      <c r="F18" s="10">
        <v>568</v>
      </c>
      <c r="G18" s="10">
        <v>478</v>
      </c>
      <c r="H18" s="10">
        <v>7</v>
      </c>
      <c r="I18" s="10">
        <v>75</v>
      </c>
      <c r="J18" s="10">
        <v>2834209</v>
      </c>
      <c r="K18" s="12">
        <v>382590.1</v>
      </c>
      <c r="L18" s="10">
        <v>526</v>
      </c>
      <c r="M18" s="10">
        <v>9</v>
      </c>
      <c r="N18" s="10">
        <v>3</v>
      </c>
      <c r="O18" s="10">
        <v>402</v>
      </c>
      <c r="P18" s="10">
        <v>3</v>
      </c>
      <c r="Q18" s="10">
        <v>7</v>
      </c>
      <c r="R18" s="10">
        <v>129</v>
      </c>
      <c r="S18" s="10">
        <v>120</v>
      </c>
      <c r="T18" s="10">
        <v>111</v>
      </c>
      <c r="U18" s="10">
        <v>2</v>
      </c>
      <c r="V18" s="10">
        <v>16</v>
      </c>
      <c r="W18" s="10">
        <v>39</v>
      </c>
      <c r="X18" s="10">
        <v>21</v>
      </c>
      <c r="Y18" s="10">
        <v>11</v>
      </c>
      <c r="Z18" s="10">
        <v>7</v>
      </c>
      <c r="AA18" s="10">
        <v>21977</v>
      </c>
      <c r="AB18" s="10">
        <v>9388</v>
      </c>
      <c r="AC18" s="10">
        <v>511</v>
      </c>
    </row>
    <row r="19" spans="1:29" ht="16.05" customHeight="1" x14ac:dyDescent="0.3">
      <c r="A19" s="9" t="s">
        <v>118</v>
      </c>
      <c r="B19" s="10">
        <v>7934676</v>
      </c>
      <c r="C19" s="10">
        <v>188468</v>
      </c>
      <c r="D19" s="11">
        <v>784.05587777971346</v>
      </c>
      <c r="E19" s="10">
        <v>1068</v>
      </c>
      <c r="F19" s="10">
        <v>559</v>
      </c>
      <c r="G19" s="10">
        <v>479</v>
      </c>
      <c r="H19" s="10">
        <v>2</v>
      </c>
      <c r="I19" s="10">
        <v>71</v>
      </c>
      <c r="J19" s="10">
        <v>2570616</v>
      </c>
      <c r="K19" s="12">
        <v>376718.37</v>
      </c>
      <c r="L19" s="10">
        <v>513</v>
      </c>
      <c r="M19" s="10">
        <v>17</v>
      </c>
      <c r="N19" s="10">
        <v>9</v>
      </c>
      <c r="O19" s="10">
        <v>1031</v>
      </c>
      <c r="P19" s="10">
        <v>6</v>
      </c>
      <c r="Q19" s="10">
        <v>16</v>
      </c>
      <c r="R19" s="10">
        <v>225</v>
      </c>
      <c r="S19" s="10">
        <v>106</v>
      </c>
      <c r="T19" s="10">
        <v>99</v>
      </c>
      <c r="U19" s="10">
        <v>2</v>
      </c>
      <c r="V19" s="10">
        <v>11</v>
      </c>
      <c r="W19" s="10">
        <v>53</v>
      </c>
      <c r="X19" s="10">
        <v>33</v>
      </c>
      <c r="Y19" s="10">
        <v>20</v>
      </c>
      <c r="Z19" s="10">
        <v>14</v>
      </c>
      <c r="AA19" s="10">
        <v>21209</v>
      </c>
      <c r="AB19" s="10">
        <v>9077</v>
      </c>
      <c r="AC19" s="10">
        <v>495</v>
      </c>
    </row>
    <row r="20" spans="1:29" ht="16.05" customHeight="1" x14ac:dyDescent="0.3">
      <c r="A20" s="9" t="s">
        <v>119</v>
      </c>
      <c r="B20" s="10">
        <v>8427780</v>
      </c>
      <c r="C20" s="10">
        <v>193027</v>
      </c>
      <c r="D20" s="11">
        <v>815.65648262454897</v>
      </c>
      <c r="E20" s="10">
        <v>1078</v>
      </c>
      <c r="F20" s="10">
        <v>589</v>
      </c>
      <c r="G20" s="10">
        <v>513</v>
      </c>
      <c r="H20" s="10">
        <v>8</v>
      </c>
      <c r="I20" s="10">
        <v>62</v>
      </c>
      <c r="J20" s="10">
        <v>3115530</v>
      </c>
      <c r="K20" s="12">
        <v>427960.86</v>
      </c>
      <c r="L20" s="10">
        <v>581</v>
      </c>
      <c r="M20" s="10">
        <v>11</v>
      </c>
      <c r="N20" s="10">
        <v>6</v>
      </c>
      <c r="O20" s="10">
        <v>579</v>
      </c>
      <c r="P20" s="10">
        <v>3</v>
      </c>
      <c r="Q20" s="10">
        <v>7</v>
      </c>
      <c r="R20" s="10">
        <v>138</v>
      </c>
      <c r="S20" s="10">
        <v>114</v>
      </c>
      <c r="T20" s="10">
        <v>102</v>
      </c>
      <c r="U20" s="10">
        <v>5</v>
      </c>
      <c r="V20" s="10">
        <v>32</v>
      </c>
      <c r="W20" s="10">
        <v>53</v>
      </c>
      <c r="X20" s="10">
        <v>27</v>
      </c>
      <c r="Y20" s="10">
        <v>16</v>
      </c>
      <c r="Z20" s="10">
        <v>5</v>
      </c>
      <c r="AA20" s="10">
        <v>21865</v>
      </c>
      <c r="AB20" s="10">
        <v>9586</v>
      </c>
      <c r="AC20" s="10">
        <v>557</v>
      </c>
    </row>
    <row r="21" spans="1:29" ht="16.05" customHeight="1" x14ac:dyDescent="0.3">
      <c r="A21" s="9" t="s">
        <v>120</v>
      </c>
      <c r="B21" s="10">
        <v>7717952</v>
      </c>
      <c r="C21" s="10">
        <v>175953</v>
      </c>
      <c r="D21" s="11">
        <v>767.74278798429509</v>
      </c>
      <c r="E21" s="10">
        <v>1026</v>
      </c>
      <c r="F21" s="10">
        <v>519</v>
      </c>
      <c r="G21" s="10">
        <v>443</v>
      </c>
      <c r="H21" s="10">
        <v>3</v>
      </c>
      <c r="I21" s="10">
        <v>62</v>
      </c>
      <c r="J21" s="10">
        <v>2897982</v>
      </c>
      <c r="K21" s="12">
        <v>405374.15</v>
      </c>
      <c r="L21" s="10">
        <v>538</v>
      </c>
      <c r="M21" s="10">
        <v>12</v>
      </c>
      <c r="N21" s="10">
        <v>7</v>
      </c>
      <c r="O21" s="10">
        <v>588</v>
      </c>
      <c r="P21" s="10">
        <v>2</v>
      </c>
      <c r="Q21" s="10">
        <v>7</v>
      </c>
      <c r="R21" s="10">
        <v>122</v>
      </c>
      <c r="S21" s="10">
        <v>104</v>
      </c>
      <c r="T21" s="10">
        <v>92</v>
      </c>
      <c r="U21" s="10">
        <v>6</v>
      </c>
      <c r="V21" s="10">
        <v>39</v>
      </c>
      <c r="W21" s="10">
        <v>36</v>
      </c>
      <c r="X21" s="10">
        <v>17</v>
      </c>
      <c r="Y21" s="10">
        <v>8</v>
      </c>
      <c r="Z21" s="10">
        <v>9</v>
      </c>
      <c r="AA21" s="10">
        <v>21154</v>
      </c>
      <c r="AB21" s="10">
        <v>9184</v>
      </c>
      <c r="AC21" s="10">
        <v>515</v>
      </c>
    </row>
    <row r="22" spans="1:29" ht="16.05" customHeight="1" x14ac:dyDescent="0.3">
      <c r="A22" s="9" t="s">
        <v>121</v>
      </c>
      <c r="B22" s="10">
        <v>7862818</v>
      </c>
      <c r="C22" s="10">
        <v>177003</v>
      </c>
      <c r="D22" s="11">
        <v>766.14210595921634</v>
      </c>
      <c r="E22" s="10">
        <v>1026</v>
      </c>
      <c r="F22" s="10">
        <v>540</v>
      </c>
      <c r="G22" s="10">
        <v>459</v>
      </c>
      <c r="H22" s="10">
        <v>5</v>
      </c>
      <c r="I22" s="10">
        <v>71</v>
      </c>
      <c r="J22" s="10">
        <v>2855835</v>
      </c>
      <c r="K22" s="12">
        <v>376749.74</v>
      </c>
      <c r="L22" s="10">
        <v>518</v>
      </c>
      <c r="M22" s="10">
        <v>12</v>
      </c>
      <c r="N22" s="10">
        <v>4</v>
      </c>
      <c r="O22" s="10">
        <v>632</v>
      </c>
      <c r="P22" s="10">
        <v>4</v>
      </c>
      <c r="Q22" s="10">
        <v>13</v>
      </c>
      <c r="R22" s="10">
        <v>255</v>
      </c>
      <c r="S22" s="10">
        <v>103</v>
      </c>
      <c r="T22" s="10">
        <v>92</v>
      </c>
      <c r="U22" s="10">
        <v>4</v>
      </c>
      <c r="V22" s="10">
        <v>35</v>
      </c>
      <c r="W22" s="10">
        <v>56</v>
      </c>
      <c r="X22" s="10">
        <v>30</v>
      </c>
      <c r="Y22" s="10">
        <v>13</v>
      </c>
      <c r="Z22" s="10">
        <v>15</v>
      </c>
      <c r="AA22" s="10">
        <v>21234</v>
      </c>
      <c r="AB22" s="10">
        <v>9403</v>
      </c>
      <c r="AC22" s="10">
        <v>500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4" width="9" customWidth="1"/>
    <col min="5" max="5" width="8" customWidth="1"/>
    <col min="6" max="7" width="9" customWidth="1"/>
    <col min="8" max="8" width="8" customWidth="1"/>
    <col min="9" max="14" width="9" customWidth="1"/>
    <col min="15" max="15" width="8" customWidth="1"/>
  </cols>
  <sheetData>
    <row r="1" spans="1:15" ht="17.399999999999999" x14ac:dyDescent="0.3">
      <c r="A1" s="1" t="s">
        <v>122</v>
      </c>
    </row>
    <row r="2" spans="1:15" x14ac:dyDescent="0.3">
      <c r="A2" s="2" t="s">
        <v>123</v>
      </c>
    </row>
    <row r="4" spans="1:15" ht="39.6" x14ac:dyDescent="0.3">
      <c r="A4" s="8" t="s">
        <v>75</v>
      </c>
      <c r="B4" s="13" t="s">
        <v>124</v>
      </c>
      <c r="C4" s="13" t="s">
        <v>125</v>
      </c>
      <c r="D4" s="13" t="s">
        <v>126</v>
      </c>
      <c r="E4" s="13" t="s">
        <v>127</v>
      </c>
      <c r="F4" s="13" t="s">
        <v>88</v>
      </c>
      <c r="G4" s="13" t="s">
        <v>128</v>
      </c>
      <c r="H4" s="13" t="s">
        <v>129</v>
      </c>
      <c r="I4" s="13" t="s">
        <v>94</v>
      </c>
      <c r="J4" s="13" t="s">
        <v>130</v>
      </c>
      <c r="K4" s="13" t="s">
        <v>131</v>
      </c>
      <c r="L4" s="13" t="s">
        <v>132</v>
      </c>
      <c r="M4" s="13" t="s">
        <v>133</v>
      </c>
      <c r="N4" s="13" t="s">
        <v>134</v>
      </c>
      <c r="O4" s="13" t="s">
        <v>135</v>
      </c>
    </row>
    <row r="5" spans="1:15" ht="16.05" customHeight="1" x14ac:dyDescent="0.3">
      <c r="A5" s="9" t="s">
        <v>104</v>
      </c>
      <c r="B5" s="14">
        <f>IFERROR(INDEX(tbl_base_mensal[Rejeitado],MATCH(A5,tbl_base_mensal[Mes],0))/INDEX(tbl_base_mensal[Produzido],MATCH(A5,tbl_base_mensal[Mes],0)),"")</f>
        <v>2.3182758097258432E-2</v>
      </c>
      <c r="C5" s="14">
        <f>IFERROR(INDEX(tbl_base_mensal[Lotes_1a],MATCH(A5,tbl_base_mensal[Mes],0))/INDEX(tbl_base_mensal[Lotes_Decididos],MATCH(A5,tbl_base_mensal[Mes],0)),"")</f>
        <v>0.86771300448430488</v>
      </c>
      <c r="D5" s="15">
        <f>IFERROR(INDEX(tbl_base_mensal[Qtd_Afetada],MATCH(A5,tbl_base_mensal[Mes],0))/INDEX(tbl_base_mensal[Expedido],MATCH(A5,tbl_base_mensal[Mes],0))*1000000,"")</f>
        <v>16.93540647798115</v>
      </c>
      <c r="E5" s="16">
        <f>IFERROR(INDEX(tbl_base_mensal[Reclamacoes],MATCH(A5,tbl_base_mensal[Mes],0))/INDEX(tbl_base_mensal[Expedido],MATCH(A5,tbl_base_mensal[Mes],0))*1000000,"")</f>
        <v>0.4704279577216986</v>
      </c>
      <c r="F5" s="15">
        <f>INDEX(tbl_base_mensal[Reclamacoes_Servico],MATCH(A5,tbl_base_mensal[Mes],0))</f>
        <v>0</v>
      </c>
      <c r="G5" s="17" t="str">
        <f>IFERROR(INDEX(tbl_base_mensal[Dias_Resolucao_Soma],MATCH(A5,tbl_base_mensal[Mes],0))/INDEX(tbl_base_mensal[Reclamacoes_Resolvidas],MATCH(A5,tbl_base_mensal[Mes],0)),"")</f>
        <v/>
      </c>
      <c r="H5" s="14">
        <f>IFERROR(INDEX(tbl_base_mensal[OEE_Soma],MATCH(A5,tbl_base_mensal[Mes],0))/INDEX(tbl_base_mensal[Ordens],MATCH(A5,tbl_base_mensal[Mes],0)),"")</f>
        <v>0.77796167817778872</v>
      </c>
      <c r="I5" s="14">
        <f>IFERROR(INDEX(tbl_base_mensal[Lotes_MP_Aceites],MATCH(A5,tbl_base_mensal[Mes],0))/INDEX(tbl_base_mensal[Lotes_MP],MATCH(A5,tbl_base_mensal[Mes],0)),"")</f>
        <v>0.875</v>
      </c>
      <c r="J5" s="17">
        <f>IFERROR(INDEX(tbl_base_mensal[Dias_Resposta_SCAR_Soma],MATCH(A5,tbl_base_mensal[Mes],0))/INDEX(tbl_base_mensal[SCAR],MATCH(A5,tbl_base_mensal[Mes],0)),"")</f>
        <v>8.375</v>
      </c>
      <c r="K5" s="14" t="str">
        <f>IFERROR(INDEX(tbl_base_mensal[CAPA_Fechadas_No_Prazo],MATCH(A5,tbl_base_mensal[Mes],0))/INDEX(tbl_base_mensal[CAPA_Com_Prazo],MATCH(A5,tbl_base_mensal[Mes],0)),"")</f>
        <v/>
      </c>
      <c r="L5" s="14">
        <f>IFERROR(INDEX(tbl_base_mensal[CAPA_Eficazes],MATCH(A5,tbl_base_mensal[Mes],0))/(INDEX(tbl_base_mensal[CAPA_Eficazes],MATCH(A5,tbl_base_mensal[Mes],0))+INDEX(tbl_base_mensal[CAPA_Nao_Eficazes],MATCH(A5,tbl_base_mensal[Mes],0))),"")</f>
        <v>0.66666666666666663</v>
      </c>
      <c r="M5" s="14">
        <f>IFERROR(INDEX(tbl_base_mensal[Lotes_Concessao],MATCH(A5,tbl_base_mensal[Mes],0))/INDEX(tbl_base_mensal[Lotes_Decididos],MATCH(A5,tbl_base_mensal[Mes],0)),"")</f>
        <v>1.1210762331838564E-2</v>
      </c>
      <c r="N5" s="14">
        <f>IFERROR(INDEX(tbl_base_mensal[Subgrupos_Cpk_1],MATCH(A5,tbl_base_mensal[Mes],0))/INDEX(tbl_base_mensal[Subgrupos_SPC],MATCH(A5,tbl_base_mensal[Mes],0)),"")</f>
        <v>0.46500333879681904</v>
      </c>
      <c r="O5" s="14">
        <f>IFERROR(INDEX(tbl_base_mensal[Linhas_OTIF],MATCH(A5,tbl_base_mensal[Mes],0))/INDEX(tbl_base_mensal[Linhas_Expedidas],MATCH(A5,tbl_base_mensal[Mes],0)),"")</f>
        <v>0.97593582887700536</v>
      </c>
    </row>
    <row r="6" spans="1:15" ht="16.05" customHeight="1" x14ac:dyDescent="0.3">
      <c r="A6" s="9" t="s">
        <v>105</v>
      </c>
      <c r="B6" s="14">
        <f>IFERROR(INDEX(tbl_base_mensal[Rejeitado],MATCH(A6,tbl_base_mensal[Mes],0))/INDEX(tbl_base_mensal[Produzido],MATCH(A6,tbl_base_mensal[Mes],0)),"")</f>
        <v>2.3422908073984613E-2</v>
      </c>
      <c r="C6" s="14">
        <f>IFERROR(INDEX(tbl_base_mensal[Lotes_1a],MATCH(A6,tbl_base_mensal[Mes],0))/INDEX(tbl_base_mensal[Lotes_Decididos],MATCH(A6,tbl_base_mensal[Mes],0)),"")</f>
        <v>0.85253456221198154</v>
      </c>
      <c r="D6" s="15">
        <f>IFERROR(INDEX(tbl_base_mensal[Qtd_Afetada],MATCH(A6,tbl_base_mensal[Mes],0))/INDEX(tbl_base_mensal[Expedido],MATCH(A6,tbl_base_mensal[Mes],0))*1000000,"")</f>
        <v>315.81544142855046</v>
      </c>
      <c r="E6" s="16">
        <f>IFERROR(INDEX(tbl_base_mensal[Reclamacoes],MATCH(A6,tbl_base_mensal[Mes],0))/INDEX(tbl_base_mensal[Expedido],MATCH(A6,tbl_base_mensal[Mes],0))*1000000,"")</f>
        <v>5.5615297861631525</v>
      </c>
      <c r="F6" s="15">
        <f>INDEX(tbl_base_mensal[Reclamacoes_Servico],MATCH(A6,tbl_base_mensal[Mes],0))</f>
        <v>10</v>
      </c>
      <c r="G6" s="17">
        <f>IFERROR(INDEX(tbl_base_mensal[Dias_Resolucao_Soma],MATCH(A6,tbl_base_mensal[Mes],0))/INDEX(tbl_base_mensal[Reclamacoes_Resolvidas],MATCH(A6,tbl_base_mensal[Mes],0)),"")</f>
        <v>13.75</v>
      </c>
      <c r="H6" s="14">
        <f>IFERROR(INDEX(tbl_base_mensal[OEE_Soma],MATCH(A6,tbl_base_mensal[Mes],0))/INDEX(tbl_base_mensal[Ordens],MATCH(A6,tbl_base_mensal[Mes],0)),"")</f>
        <v>0.77020139151374156</v>
      </c>
      <c r="I6" s="14">
        <f>IFERROR(INDEX(tbl_base_mensal[Lotes_MP_Aceites],MATCH(A6,tbl_base_mensal[Mes],0))/INDEX(tbl_base_mensal[Lotes_MP],MATCH(A6,tbl_base_mensal[Mes],0)),"")</f>
        <v>0.9509803921568627</v>
      </c>
      <c r="J6" s="17">
        <f>IFERROR(INDEX(tbl_base_mensal[Dias_Resposta_SCAR_Soma],MATCH(A6,tbl_base_mensal[Mes],0))/INDEX(tbl_base_mensal[SCAR],MATCH(A6,tbl_base_mensal[Mes],0)),"")</f>
        <v>4</v>
      </c>
      <c r="K6" s="14">
        <f>IFERROR(INDEX(tbl_base_mensal[CAPA_Fechadas_No_Prazo],MATCH(A6,tbl_base_mensal[Mes],0))/INDEX(tbl_base_mensal[CAPA_Com_Prazo],MATCH(A6,tbl_base_mensal[Mes],0)),"")</f>
        <v>0.33333333333333331</v>
      </c>
      <c r="L6" s="14">
        <f>IFERROR(INDEX(tbl_base_mensal[CAPA_Eficazes],MATCH(A6,tbl_base_mensal[Mes],0))/(INDEX(tbl_base_mensal[CAPA_Eficazes],MATCH(A6,tbl_base_mensal[Mes],0))+INDEX(tbl_base_mensal[CAPA_Nao_Eficazes],MATCH(A6,tbl_base_mensal[Mes],0))),"")</f>
        <v>0.45</v>
      </c>
      <c r="M6" s="14">
        <f>IFERROR(INDEX(tbl_base_mensal[Lotes_Concessao],MATCH(A6,tbl_base_mensal[Mes],0))/INDEX(tbl_base_mensal[Lotes_Decididos],MATCH(A6,tbl_base_mensal[Mes],0)),"")</f>
        <v>2.3041474654377881E-2</v>
      </c>
      <c r="N6" s="14">
        <f>IFERROR(INDEX(tbl_base_mensal[Subgrupos_Cpk_1],MATCH(A6,tbl_base_mensal[Mes],0))/INDEX(tbl_base_mensal[Subgrupos_SPC],MATCH(A6,tbl_base_mensal[Mes],0)),"")</f>
        <v>0.46020376659462797</v>
      </c>
      <c r="O6" s="14">
        <f>IFERROR(INDEX(tbl_base_mensal[Linhas_OTIF],MATCH(A6,tbl_base_mensal[Mes],0))/INDEX(tbl_base_mensal[Linhas_Expedidas],MATCH(A6,tbl_base_mensal[Mes],0)),"")</f>
        <v>0.96179775280898872</v>
      </c>
    </row>
    <row r="7" spans="1:15" ht="16.05" customHeight="1" x14ac:dyDescent="0.3">
      <c r="A7" s="9" t="s">
        <v>106</v>
      </c>
      <c r="B7" s="14">
        <f>IFERROR(INDEX(tbl_base_mensal[Rejeitado],MATCH(A7,tbl_base_mensal[Mes],0))/INDEX(tbl_base_mensal[Produzido],MATCH(A7,tbl_base_mensal[Mes],0)),"")</f>
        <v>2.5344015489581536E-2</v>
      </c>
      <c r="C7" s="14">
        <f>IFERROR(INDEX(tbl_base_mensal[Lotes_1a],MATCH(A7,tbl_base_mensal[Mes],0))/INDEX(tbl_base_mensal[Lotes_Decididos],MATCH(A7,tbl_base_mensal[Mes],0)),"")</f>
        <v>0.84897025171624718</v>
      </c>
      <c r="D7" s="15">
        <f>IFERROR(INDEX(tbl_base_mensal[Qtd_Afetada],MATCH(A7,tbl_base_mensal[Mes],0))/INDEX(tbl_base_mensal[Expedido],MATCH(A7,tbl_base_mensal[Mes],0))*1000000,"")</f>
        <v>211.08677511321244</v>
      </c>
      <c r="E7" s="16">
        <f>IFERROR(INDEX(tbl_base_mensal[Reclamacoes],MATCH(A7,tbl_base_mensal[Mes],0))/INDEX(tbl_base_mensal[Expedido],MATCH(A7,tbl_base_mensal[Mes],0))*1000000,"")</f>
        <v>3.8613434471929104</v>
      </c>
      <c r="F7" s="15">
        <f>INDEX(tbl_base_mensal[Reclamacoes_Servico],MATCH(A7,tbl_base_mensal[Mes],0))</f>
        <v>4</v>
      </c>
      <c r="G7" s="17">
        <f>IFERROR(INDEX(tbl_base_mensal[Dias_Resolucao_Soma],MATCH(A7,tbl_base_mensal[Mes],0))/INDEX(tbl_base_mensal[Reclamacoes_Resolvidas],MATCH(A7,tbl_base_mensal[Mes],0)),"")</f>
        <v>24</v>
      </c>
      <c r="H7" s="14">
        <f>IFERROR(INDEX(tbl_base_mensal[OEE_Soma],MATCH(A7,tbl_base_mensal[Mes],0))/INDEX(tbl_base_mensal[Ordens],MATCH(A7,tbl_base_mensal[Mes],0)),"")</f>
        <v>0.76897088385145629</v>
      </c>
      <c r="I7" s="14">
        <f>IFERROR(INDEX(tbl_base_mensal[Lotes_MP_Aceites],MATCH(A7,tbl_base_mensal[Mes],0))/INDEX(tbl_base_mensal[Lotes_MP],MATCH(A7,tbl_base_mensal[Mes],0)),"")</f>
        <v>0.87128712871287128</v>
      </c>
      <c r="J7" s="17">
        <f>IFERROR(INDEX(tbl_base_mensal[Dias_Resposta_SCAR_Soma],MATCH(A7,tbl_base_mensal[Mes],0))/INDEX(tbl_base_mensal[SCAR],MATCH(A7,tbl_base_mensal[Mes],0)),"")</f>
        <v>6</v>
      </c>
      <c r="K7" s="14">
        <f>IFERROR(INDEX(tbl_base_mensal[CAPA_Fechadas_No_Prazo],MATCH(A7,tbl_base_mensal[Mes],0))/INDEX(tbl_base_mensal[CAPA_Com_Prazo],MATCH(A7,tbl_base_mensal[Mes],0)),"")</f>
        <v>0.51020408163265307</v>
      </c>
      <c r="L7" s="14">
        <f>IFERROR(INDEX(tbl_base_mensal[CAPA_Eficazes],MATCH(A7,tbl_base_mensal[Mes],0))/(INDEX(tbl_base_mensal[CAPA_Eficazes],MATCH(A7,tbl_base_mensal[Mes],0))+INDEX(tbl_base_mensal[CAPA_Nao_Eficazes],MATCH(A7,tbl_base_mensal[Mes],0))),"")</f>
        <v>0.42857142857142855</v>
      </c>
      <c r="M7" s="14">
        <f>IFERROR(INDEX(tbl_base_mensal[Lotes_Concessao],MATCH(A7,tbl_base_mensal[Mes],0))/INDEX(tbl_base_mensal[Lotes_Decididos],MATCH(A7,tbl_base_mensal[Mes],0)),"")</f>
        <v>2.5171624713958809E-2</v>
      </c>
      <c r="N7" s="14">
        <f>IFERROR(INDEX(tbl_base_mensal[Subgrupos_Cpk_1],MATCH(A7,tbl_base_mensal[Mes],0))/INDEX(tbl_base_mensal[Subgrupos_SPC],MATCH(A7,tbl_base_mensal[Mes],0)),"")</f>
        <v>0.47450705124114606</v>
      </c>
      <c r="O7" s="14">
        <f>IFERROR(INDEX(tbl_base_mensal[Linhas_OTIF],MATCH(A7,tbl_base_mensal[Mes],0))/INDEX(tbl_base_mensal[Linhas_Expedidas],MATCH(A7,tbl_base_mensal[Mes],0)),"")</f>
        <v>0.95890410958904104</v>
      </c>
    </row>
    <row r="8" spans="1:15" ht="16.05" customHeight="1" x14ac:dyDescent="0.3">
      <c r="A8" s="9" t="s">
        <v>107</v>
      </c>
      <c r="B8" s="14">
        <f>IFERROR(INDEX(tbl_base_mensal[Rejeitado],MATCH(A8,tbl_base_mensal[Mes],0))/INDEX(tbl_base_mensal[Produzido],MATCH(A8,tbl_base_mensal[Mes],0)),"")</f>
        <v>2.344426328498482E-2</v>
      </c>
      <c r="C8" s="14">
        <f>IFERROR(INDEX(tbl_base_mensal[Lotes_1a],MATCH(A8,tbl_base_mensal[Mes],0))/INDEX(tbl_base_mensal[Lotes_Decididos],MATCH(A8,tbl_base_mensal[Mes],0)),"")</f>
        <v>0.8582995951417004</v>
      </c>
      <c r="D8" s="15">
        <f>IFERROR(INDEX(tbl_base_mensal[Qtd_Afetada],MATCH(A8,tbl_base_mensal[Mes],0))/INDEX(tbl_base_mensal[Expedido],MATCH(A8,tbl_base_mensal[Mes],0))*1000000,"")</f>
        <v>170.97991745447905</v>
      </c>
      <c r="E8" s="16">
        <f>IFERROR(INDEX(tbl_base_mensal[Reclamacoes],MATCH(A8,tbl_base_mensal[Mes],0))/INDEX(tbl_base_mensal[Expedido],MATCH(A8,tbl_base_mensal[Mes],0))*1000000,"")</f>
        <v>5.4526625156325892</v>
      </c>
      <c r="F8" s="15">
        <f>INDEX(tbl_base_mensal[Reclamacoes_Servico],MATCH(A8,tbl_base_mensal[Mes],0))</f>
        <v>8</v>
      </c>
      <c r="G8" s="17">
        <f>IFERROR(INDEX(tbl_base_mensal[Dias_Resolucao_Soma],MATCH(A8,tbl_base_mensal[Mes],0))/INDEX(tbl_base_mensal[Reclamacoes_Resolvidas],MATCH(A8,tbl_base_mensal[Mes],0)),"")</f>
        <v>15.888888888888889</v>
      </c>
      <c r="H8" s="14">
        <f>IFERROR(INDEX(tbl_base_mensal[OEE_Soma],MATCH(A8,tbl_base_mensal[Mes],0))/INDEX(tbl_base_mensal[Ordens],MATCH(A8,tbl_base_mensal[Mes],0)),"")</f>
        <v>0.76418318104029537</v>
      </c>
      <c r="I8" s="14">
        <f>IFERROR(INDEX(tbl_base_mensal[Lotes_MP_Aceites],MATCH(A8,tbl_base_mensal[Mes],0))/INDEX(tbl_base_mensal[Lotes_MP],MATCH(A8,tbl_base_mensal[Mes],0)),"")</f>
        <v>0.93859649122807021</v>
      </c>
      <c r="J8" s="17">
        <f>IFERROR(INDEX(tbl_base_mensal[Dias_Resposta_SCAR_Soma],MATCH(A8,tbl_base_mensal[Mes],0))/INDEX(tbl_base_mensal[SCAR],MATCH(A8,tbl_base_mensal[Mes],0)),"")</f>
        <v>6.25</v>
      </c>
      <c r="K8" s="14">
        <f>IFERROR(INDEX(tbl_base_mensal[CAPA_Fechadas_No_Prazo],MATCH(A8,tbl_base_mensal[Mes],0))/INDEX(tbl_base_mensal[CAPA_Com_Prazo],MATCH(A8,tbl_base_mensal[Mes],0)),"")</f>
        <v>0.34090909090909088</v>
      </c>
      <c r="L8" s="14">
        <f>IFERROR(INDEX(tbl_base_mensal[CAPA_Eficazes],MATCH(A8,tbl_base_mensal[Mes],0))/(INDEX(tbl_base_mensal[CAPA_Eficazes],MATCH(A8,tbl_base_mensal[Mes],0))+INDEX(tbl_base_mensal[CAPA_Nao_Eficazes],MATCH(A8,tbl_base_mensal[Mes],0))),"")</f>
        <v>0.5</v>
      </c>
      <c r="M8" s="14">
        <f>IFERROR(INDEX(tbl_base_mensal[Lotes_Concessao],MATCH(A8,tbl_base_mensal[Mes],0))/INDEX(tbl_base_mensal[Lotes_Decididos],MATCH(A8,tbl_base_mensal[Mes],0)),"")</f>
        <v>3.0364372469635626E-2</v>
      </c>
      <c r="N8" s="14">
        <f>IFERROR(INDEX(tbl_base_mensal[Subgrupos_Cpk_1],MATCH(A8,tbl_base_mensal[Mes],0))/INDEX(tbl_base_mensal[Subgrupos_SPC],MATCH(A8,tbl_base_mensal[Mes],0)),"")</f>
        <v>0.46595666092095545</v>
      </c>
      <c r="O8" s="14">
        <f>IFERROR(INDEX(tbl_base_mensal[Linhas_OTIF],MATCH(A8,tbl_base_mensal[Mes],0))/INDEX(tbl_base_mensal[Linhas_Expedidas],MATCH(A8,tbl_base_mensal[Mes],0)),"")</f>
        <v>0.96130346232179231</v>
      </c>
    </row>
    <row r="9" spans="1:15" ht="16.05" customHeight="1" x14ac:dyDescent="0.3">
      <c r="A9" s="9" t="s">
        <v>108</v>
      </c>
      <c r="B9" s="14">
        <f>IFERROR(INDEX(tbl_base_mensal[Rejeitado],MATCH(A9,tbl_base_mensal[Mes],0))/INDEX(tbl_base_mensal[Produzido],MATCH(A9,tbl_base_mensal[Mes],0)),"")</f>
        <v>2.4128627056902399E-2</v>
      </c>
      <c r="C9" s="14">
        <f>IFERROR(INDEX(tbl_base_mensal[Lotes_1a],MATCH(A9,tbl_base_mensal[Mes],0))/INDEX(tbl_base_mensal[Lotes_Decididos],MATCH(A9,tbl_base_mensal[Mes],0)),"")</f>
        <v>0.84738041002277908</v>
      </c>
      <c r="D9" s="15">
        <f>IFERROR(INDEX(tbl_base_mensal[Qtd_Afetada],MATCH(A9,tbl_base_mensal[Mes],0))/INDEX(tbl_base_mensal[Expedido],MATCH(A9,tbl_base_mensal[Mes],0))*1000000,"")</f>
        <v>137.48173103123682</v>
      </c>
      <c r="E9" s="16">
        <f>IFERROR(INDEX(tbl_base_mensal[Reclamacoes],MATCH(A9,tbl_base_mensal[Mes],0))/INDEX(tbl_base_mensal[Expedido],MATCH(A9,tbl_base_mensal[Mes],0))*1000000,"")</f>
        <v>4.1285805114485541</v>
      </c>
      <c r="F9" s="15">
        <f>INDEX(tbl_base_mensal[Reclamacoes_Servico],MATCH(A9,tbl_base_mensal[Mes],0))</f>
        <v>7</v>
      </c>
      <c r="G9" s="17">
        <f>IFERROR(INDEX(tbl_base_mensal[Dias_Resolucao_Soma],MATCH(A9,tbl_base_mensal[Mes],0))/INDEX(tbl_base_mensal[Reclamacoes_Resolvidas],MATCH(A9,tbl_base_mensal[Mes],0)),"")</f>
        <v>19.583333333333332</v>
      </c>
      <c r="H9" s="14">
        <f>IFERROR(INDEX(tbl_base_mensal[OEE_Soma],MATCH(A9,tbl_base_mensal[Mes],0))/INDEX(tbl_base_mensal[Ordens],MATCH(A9,tbl_base_mensal[Mes],0)),"")</f>
        <v>0.7618172112122662</v>
      </c>
      <c r="I9" s="14">
        <f>IFERROR(INDEX(tbl_base_mensal[Lotes_MP_Aceites],MATCH(A9,tbl_base_mensal[Mes],0))/INDEX(tbl_base_mensal[Lotes_MP],MATCH(A9,tbl_base_mensal[Mes],0)),"")</f>
        <v>0.90196078431372551</v>
      </c>
      <c r="J9" s="17">
        <f>IFERROR(INDEX(tbl_base_mensal[Dias_Resposta_SCAR_Soma],MATCH(A9,tbl_base_mensal[Mes],0))/INDEX(tbl_base_mensal[SCAR],MATCH(A9,tbl_base_mensal[Mes],0)),"")</f>
        <v>6.5</v>
      </c>
      <c r="K9" s="14">
        <f>IFERROR(INDEX(tbl_base_mensal[CAPA_Fechadas_No_Prazo],MATCH(A9,tbl_base_mensal[Mes],0))/INDEX(tbl_base_mensal[CAPA_Com_Prazo],MATCH(A9,tbl_base_mensal[Mes],0)),"")</f>
        <v>0.53333333333333333</v>
      </c>
      <c r="L9" s="14">
        <f>IFERROR(INDEX(tbl_base_mensal[CAPA_Eficazes],MATCH(A9,tbl_base_mensal[Mes],0))/(INDEX(tbl_base_mensal[CAPA_Eficazes],MATCH(A9,tbl_base_mensal[Mes],0))+INDEX(tbl_base_mensal[CAPA_Nao_Eficazes],MATCH(A9,tbl_base_mensal[Mes],0))),"")</f>
        <v>0.55000000000000004</v>
      </c>
      <c r="M9" s="14">
        <f>IFERROR(INDEX(tbl_base_mensal[Lotes_Concessao],MATCH(A9,tbl_base_mensal[Mes],0))/INDEX(tbl_base_mensal[Lotes_Decididos],MATCH(A9,tbl_base_mensal[Mes],0)),"")</f>
        <v>1.366742596810934E-2</v>
      </c>
      <c r="N9" s="14">
        <f>IFERROR(INDEX(tbl_base_mensal[Subgrupos_Cpk_1],MATCH(A9,tbl_base_mensal[Mes],0))/INDEX(tbl_base_mensal[Subgrupos_SPC],MATCH(A9,tbl_base_mensal[Mes],0)),"")</f>
        <v>0.46794300979519143</v>
      </c>
      <c r="O9" s="14">
        <f>IFERROR(INDEX(tbl_base_mensal[Linhas_OTIF],MATCH(A9,tbl_base_mensal[Mes],0))/INDEX(tbl_base_mensal[Linhas_Expedidas],MATCH(A9,tbl_base_mensal[Mes],0)),"")</f>
        <v>0.9538461538461539</v>
      </c>
    </row>
    <row r="10" spans="1:15" ht="16.05" customHeight="1" x14ac:dyDescent="0.3">
      <c r="A10" s="9" t="s">
        <v>109</v>
      </c>
      <c r="B10" s="14">
        <f>IFERROR(INDEX(tbl_base_mensal[Rejeitado],MATCH(A10,tbl_base_mensal[Mes],0))/INDEX(tbl_base_mensal[Produzido],MATCH(A10,tbl_base_mensal[Mes],0)),"")</f>
        <v>2.3353771640560593E-2</v>
      </c>
      <c r="C10" s="14">
        <f>IFERROR(INDEX(tbl_base_mensal[Lotes_1a],MATCH(A10,tbl_base_mensal[Mes],0))/INDEX(tbl_base_mensal[Lotes_Decididos],MATCH(A10,tbl_base_mensal[Mes],0)),"")</f>
        <v>0.88914027149321262</v>
      </c>
      <c r="D10" s="15">
        <f>IFERROR(INDEX(tbl_base_mensal[Qtd_Afetada],MATCH(A10,tbl_base_mensal[Mes],0))/INDEX(tbl_base_mensal[Expedido],MATCH(A10,tbl_base_mensal[Mes],0))*1000000,"")</f>
        <v>473.7491771881439</v>
      </c>
      <c r="E10" s="16">
        <f>IFERROR(INDEX(tbl_base_mensal[Reclamacoes],MATCH(A10,tbl_base_mensal[Mes],0))/INDEX(tbl_base_mensal[Expedido],MATCH(A10,tbl_base_mensal[Mes],0))*1000000,"")</f>
        <v>9.1258216711283993</v>
      </c>
      <c r="F10" s="15">
        <f>INDEX(tbl_base_mensal[Reclamacoes_Servico],MATCH(A10,tbl_base_mensal[Mes],0))</f>
        <v>11</v>
      </c>
      <c r="G10" s="17">
        <f>IFERROR(INDEX(tbl_base_mensal[Dias_Resolucao_Soma],MATCH(A10,tbl_base_mensal[Mes],0))/INDEX(tbl_base_mensal[Reclamacoes_Resolvidas],MATCH(A10,tbl_base_mensal[Mes],0)),"")</f>
        <v>14.166666666666666</v>
      </c>
      <c r="H10" s="14">
        <f>IFERROR(INDEX(tbl_base_mensal[OEE_Soma],MATCH(A10,tbl_base_mensal[Mes],0))/INDEX(tbl_base_mensal[Ordens],MATCH(A10,tbl_base_mensal[Mes],0)),"")</f>
        <v>0.7566113549464617</v>
      </c>
      <c r="I10" s="14">
        <f>IFERROR(INDEX(tbl_base_mensal[Lotes_MP_Aceites],MATCH(A10,tbl_base_mensal[Mes],0))/INDEX(tbl_base_mensal[Lotes_MP],MATCH(A10,tbl_base_mensal[Mes],0)),"")</f>
        <v>0.86206896551724133</v>
      </c>
      <c r="J10" s="17">
        <f>IFERROR(INDEX(tbl_base_mensal[Dias_Resposta_SCAR_Soma],MATCH(A10,tbl_base_mensal[Mes],0))/INDEX(tbl_base_mensal[SCAR],MATCH(A10,tbl_base_mensal[Mes],0)),"")</f>
        <v>6.7142857142857144</v>
      </c>
      <c r="K10" s="14">
        <f>IFERROR(INDEX(tbl_base_mensal[CAPA_Fechadas_No_Prazo],MATCH(A10,tbl_base_mensal[Mes],0))/INDEX(tbl_base_mensal[CAPA_Com_Prazo],MATCH(A10,tbl_base_mensal[Mes],0)),"")</f>
        <v>0.5535714285714286</v>
      </c>
      <c r="L10" s="14">
        <f>IFERROR(INDEX(tbl_base_mensal[CAPA_Eficazes],MATCH(A10,tbl_base_mensal[Mes],0))/(INDEX(tbl_base_mensal[CAPA_Eficazes],MATCH(A10,tbl_base_mensal[Mes],0))+INDEX(tbl_base_mensal[CAPA_Nao_Eficazes],MATCH(A10,tbl_base_mensal[Mes],0))),"")</f>
        <v>0.625</v>
      </c>
      <c r="M10" s="14">
        <f>IFERROR(INDEX(tbl_base_mensal[Lotes_Concessao],MATCH(A10,tbl_base_mensal[Mes],0))/INDEX(tbl_base_mensal[Lotes_Decididos],MATCH(A10,tbl_base_mensal[Mes],0)),"")</f>
        <v>1.1312217194570135E-2</v>
      </c>
      <c r="N10" s="14">
        <f>IFERROR(INDEX(tbl_base_mensal[Subgrupos_Cpk_1],MATCH(A10,tbl_base_mensal[Mes],0))/INDEX(tbl_base_mensal[Subgrupos_SPC],MATCH(A10,tbl_base_mensal[Mes],0)),"")</f>
        <v>0.46388136844696037</v>
      </c>
      <c r="O10" s="14">
        <f>IFERROR(INDEX(tbl_base_mensal[Linhas_OTIF],MATCH(A10,tbl_base_mensal[Mes],0))/INDEX(tbl_base_mensal[Linhas_Expedidas],MATCH(A10,tbl_base_mensal[Mes],0)),"")</f>
        <v>0.95338983050847459</v>
      </c>
    </row>
    <row r="11" spans="1:15" ht="16.05" customHeight="1" x14ac:dyDescent="0.3">
      <c r="A11" s="9" t="s">
        <v>110</v>
      </c>
      <c r="B11" s="14">
        <f>IFERROR(INDEX(tbl_base_mensal[Rejeitado],MATCH(A11,tbl_base_mensal[Mes],0))/INDEX(tbl_base_mensal[Produzido],MATCH(A11,tbl_base_mensal[Mes],0)),"")</f>
        <v>2.3485734972113814E-2</v>
      </c>
      <c r="C11" s="14">
        <f>IFERROR(INDEX(tbl_base_mensal[Lotes_1a],MATCH(A11,tbl_base_mensal[Mes],0))/INDEX(tbl_base_mensal[Lotes_Decididos],MATCH(A11,tbl_base_mensal[Mes],0)),"")</f>
        <v>0.863849765258216</v>
      </c>
      <c r="D11" s="15">
        <f>IFERROR(INDEX(tbl_base_mensal[Qtd_Afetada],MATCH(A11,tbl_base_mensal[Mes],0))/INDEX(tbl_base_mensal[Expedido],MATCH(A11,tbl_base_mensal[Mes],0))*1000000,"")</f>
        <v>261.48732963328149</v>
      </c>
      <c r="E11" s="16">
        <f>IFERROR(INDEX(tbl_base_mensal[Reclamacoes],MATCH(A11,tbl_base_mensal[Mes],0))/INDEX(tbl_base_mensal[Expedido],MATCH(A11,tbl_base_mensal[Mes],0))*1000000,"")</f>
        <v>2.9421921759019014</v>
      </c>
      <c r="F11" s="15">
        <f>INDEX(tbl_base_mensal[Reclamacoes_Servico],MATCH(A11,tbl_base_mensal[Mes],0))</f>
        <v>4</v>
      </c>
      <c r="G11" s="17">
        <f>IFERROR(INDEX(tbl_base_mensal[Dias_Resolucao_Soma],MATCH(A11,tbl_base_mensal[Mes],0))/INDEX(tbl_base_mensal[Reclamacoes_Resolvidas],MATCH(A11,tbl_base_mensal[Mes],0)),"")</f>
        <v>19.181818181818183</v>
      </c>
      <c r="H11" s="14">
        <f>IFERROR(INDEX(tbl_base_mensal[OEE_Soma],MATCH(A11,tbl_base_mensal[Mes],0))/INDEX(tbl_base_mensal[Ordens],MATCH(A11,tbl_base_mensal[Mes],0)),"")</f>
        <v>0.76610640326163926</v>
      </c>
      <c r="I11" s="14">
        <f>IFERROR(INDEX(tbl_base_mensal[Lotes_MP_Aceites],MATCH(A11,tbl_base_mensal[Mes],0))/INDEX(tbl_base_mensal[Lotes_MP],MATCH(A11,tbl_base_mensal[Mes],0)),"")</f>
        <v>0.87378640776699024</v>
      </c>
      <c r="J11" s="17">
        <f>IFERROR(INDEX(tbl_base_mensal[Dias_Resposta_SCAR_Soma],MATCH(A11,tbl_base_mensal[Mes],0))/INDEX(tbl_base_mensal[SCAR],MATCH(A11,tbl_base_mensal[Mes],0)),"")</f>
        <v>5.5</v>
      </c>
      <c r="K11" s="14">
        <f>IFERROR(INDEX(tbl_base_mensal[CAPA_Fechadas_No_Prazo],MATCH(A11,tbl_base_mensal[Mes],0))/INDEX(tbl_base_mensal[CAPA_Com_Prazo],MATCH(A11,tbl_base_mensal[Mes],0)),"")</f>
        <v>0.53846153846153844</v>
      </c>
      <c r="L11" s="14">
        <f>IFERROR(INDEX(tbl_base_mensal[CAPA_Eficazes],MATCH(A11,tbl_base_mensal[Mes],0))/(INDEX(tbl_base_mensal[CAPA_Eficazes],MATCH(A11,tbl_base_mensal[Mes],0))+INDEX(tbl_base_mensal[CAPA_Nao_Eficazes],MATCH(A11,tbl_base_mensal[Mes],0))),"")</f>
        <v>0.46666666666666667</v>
      </c>
      <c r="M11" s="14">
        <f>IFERROR(INDEX(tbl_base_mensal[Lotes_Concessao],MATCH(A11,tbl_base_mensal[Mes],0))/INDEX(tbl_base_mensal[Lotes_Decididos],MATCH(A11,tbl_base_mensal[Mes],0)),"")</f>
        <v>1.4084507042253521E-2</v>
      </c>
      <c r="N11" s="14">
        <f>IFERROR(INDEX(tbl_base_mensal[Subgrupos_Cpk_1],MATCH(A11,tbl_base_mensal[Mes],0))/INDEX(tbl_base_mensal[Subgrupos_SPC],MATCH(A11,tbl_base_mensal[Mes],0)),"")</f>
        <v>0.47772383703066429</v>
      </c>
      <c r="O11" s="14">
        <f>IFERROR(INDEX(tbl_base_mensal[Linhas_OTIF],MATCH(A11,tbl_base_mensal[Mes],0))/INDEX(tbl_base_mensal[Linhas_Expedidas],MATCH(A11,tbl_base_mensal[Mes],0)),"")</f>
        <v>0.96875</v>
      </c>
    </row>
    <row r="12" spans="1:15" ht="16.05" customHeight="1" x14ac:dyDescent="0.3">
      <c r="A12" s="9" t="s">
        <v>111</v>
      </c>
      <c r="B12" s="14">
        <f>IFERROR(INDEX(tbl_base_mensal[Rejeitado],MATCH(A12,tbl_base_mensal[Mes],0))/INDEX(tbl_base_mensal[Produzido],MATCH(A12,tbl_base_mensal[Mes],0)),"")</f>
        <v>2.2918925274137969E-2</v>
      </c>
      <c r="C12" s="14">
        <f>IFERROR(INDEX(tbl_base_mensal[Lotes_1a],MATCH(A12,tbl_base_mensal[Mes],0))/INDEX(tbl_base_mensal[Lotes_Decididos],MATCH(A12,tbl_base_mensal[Mes],0)),"")</f>
        <v>0.84832904884318761</v>
      </c>
      <c r="D12" s="15">
        <f>IFERROR(INDEX(tbl_base_mensal[Qtd_Afetada],MATCH(A12,tbl_base_mensal[Mes],0))/INDEX(tbl_base_mensal[Expedido],MATCH(A12,tbl_base_mensal[Mes],0))*1000000,"")</f>
        <v>224.50645012040468</v>
      </c>
      <c r="E12" s="16">
        <f>IFERROR(INDEX(tbl_base_mensal[Reclamacoes],MATCH(A12,tbl_base_mensal[Mes],0))/INDEX(tbl_base_mensal[Expedido],MATCH(A12,tbl_base_mensal[Mes],0))*1000000,"")</f>
        <v>4.0984950326240206</v>
      </c>
      <c r="F12" s="15">
        <f>INDEX(tbl_base_mensal[Reclamacoes_Servico],MATCH(A12,tbl_base_mensal[Mes],0))</f>
        <v>5</v>
      </c>
      <c r="G12" s="17">
        <f>IFERROR(INDEX(tbl_base_mensal[Dias_Resolucao_Soma],MATCH(A12,tbl_base_mensal[Mes],0))/INDEX(tbl_base_mensal[Reclamacoes_Resolvidas],MATCH(A12,tbl_base_mensal[Mes],0)),"")</f>
        <v>19.666666666666668</v>
      </c>
      <c r="H12" s="14">
        <f>IFERROR(INDEX(tbl_base_mensal[OEE_Soma],MATCH(A12,tbl_base_mensal[Mes],0))/INDEX(tbl_base_mensal[Ordens],MATCH(A12,tbl_base_mensal[Mes],0)),"")</f>
        <v>0.76925545877040402</v>
      </c>
      <c r="I12" s="14">
        <f>IFERROR(INDEX(tbl_base_mensal[Lotes_MP_Aceites],MATCH(A12,tbl_base_mensal[Mes],0))/INDEX(tbl_base_mensal[Lotes_MP],MATCH(A12,tbl_base_mensal[Mes],0)),"")</f>
        <v>0.91304347826086951</v>
      </c>
      <c r="J12" s="17">
        <f>IFERROR(INDEX(tbl_base_mensal[Dias_Resposta_SCAR_Soma],MATCH(A12,tbl_base_mensal[Mes],0))/INDEX(tbl_base_mensal[SCAR],MATCH(A12,tbl_base_mensal[Mes],0)),"")</f>
        <v>3.5</v>
      </c>
      <c r="K12" s="14">
        <f>IFERROR(INDEX(tbl_base_mensal[CAPA_Fechadas_No_Prazo],MATCH(A12,tbl_base_mensal[Mes],0))/INDEX(tbl_base_mensal[CAPA_Com_Prazo],MATCH(A12,tbl_base_mensal[Mes],0)),"")</f>
        <v>0.43333333333333335</v>
      </c>
      <c r="L12" s="14">
        <f>IFERROR(INDEX(tbl_base_mensal[CAPA_Eficazes],MATCH(A12,tbl_base_mensal[Mes],0))/(INDEX(tbl_base_mensal[CAPA_Eficazes],MATCH(A12,tbl_base_mensal[Mes],0))+INDEX(tbl_base_mensal[CAPA_Nao_Eficazes],MATCH(A12,tbl_base_mensal[Mes],0))),"")</f>
        <v>0.40909090909090912</v>
      </c>
      <c r="M12" s="14">
        <f>IFERROR(INDEX(tbl_base_mensal[Lotes_Concessao],MATCH(A12,tbl_base_mensal[Mes],0))/INDEX(tbl_base_mensal[Lotes_Decididos],MATCH(A12,tbl_base_mensal[Mes],0)),"")</f>
        <v>1.2853470437017995E-2</v>
      </c>
      <c r="N12" s="14">
        <f>IFERROR(INDEX(tbl_base_mensal[Subgrupos_Cpk_1],MATCH(A12,tbl_base_mensal[Mes],0))/INDEX(tbl_base_mensal[Subgrupos_SPC],MATCH(A12,tbl_base_mensal[Mes],0)),"")</f>
        <v>0.45824265505984768</v>
      </c>
      <c r="O12" s="14">
        <f>IFERROR(INDEX(tbl_base_mensal[Linhas_OTIF],MATCH(A12,tbl_base_mensal[Mes],0))/INDEX(tbl_base_mensal[Linhas_Expedidas],MATCH(A12,tbl_base_mensal[Mes],0)),"")</f>
        <v>0.95717884130982367</v>
      </c>
    </row>
    <row r="13" spans="1:15" ht="16.05" customHeight="1" x14ac:dyDescent="0.3">
      <c r="A13" s="9" t="s">
        <v>112</v>
      </c>
      <c r="B13" s="14">
        <f>IFERROR(INDEX(tbl_base_mensal[Rejeitado],MATCH(A13,tbl_base_mensal[Mes],0))/INDEX(tbl_base_mensal[Produzido],MATCH(A13,tbl_base_mensal[Mes],0)),"")</f>
        <v>2.5059499008428594E-2</v>
      </c>
      <c r="C13" s="14">
        <f>IFERROR(INDEX(tbl_base_mensal[Lotes_1a],MATCH(A13,tbl_base_mensal[Mes],0))/INDEX(tbl_base_mensal[Lotes_Decididos],MATCH(A13,tbl_base_mensal[Mes],0)),"")</f>
        <v>0.85421412300683375</v>
      </c>
      <c r="D13" s="15">
        <f>IFERROR(INDEX(tbl_base_mensal[Qtd_Afetada],MATCH(A13,tbl_base_mensal[Mes],0))/INDEX(tbl_base_mensal[Expedido],MATCH(A13,tbl_base_mensal[Mes],0))*1000000,"")</f>
        <v>296.13366296093824</v>
      </c>
      <c r="E13" s="16">
        <f>IFERROR(INDEX(tbl_base_mensal[Reclamacoes],MATCH(A13,tbl_base_mensal[Mes],0))/INDEX(tbl_base_mensal[Expedido],MATCH(A13,tbl_base_mensal[Mes],0))*1000000,"")</f>
        <v>4.426512151882485</v>
      </c>
      <c r="F13" s="15">
        <f>INDEX(tbl_base_mensal[Reclamacoes_Servico],MATCH(A13,tbl_base_mensal[Mes],0))</f>
        <v>4</v>
      </c>
      <c r="G13" s="17">
        <f>IFERROR(INDEX(tbl_base_mensal[Dias_Resolucao_Soma],MATCH(A13,tbl_base_mensal[Mes],0))/INDEX(tbl_base_mensal[Reclamacoes_Resolvidas],MATCH(A13,tbl_base_mensal[Mes],0)),"")</f>
        <v>18.833333333333332</v>
      </c>
      <c r="H13" s="14">
        <f>IFERROR(INDEX(tbl_base_mensal[OEE_Soma],MATCH(A13,tbl_base_mensal[Mes],0))/INDEX(tbl_base_mensal[Ordens],MATCH(A13,tbl_base_mensal[Mes],0)),"")</f>
        <v>0.76516860447185731</v>
      </c>
      <c r="I13" s="14">
        <f>IFERROR(INDEX(tbl_base_mensal[Lotes_MP_Aceites],MATCH(A13,tbl_base_mensal[Mes],0))/INDEX(tbl_base_mensal[Lotes_MP],MATCH(A13,tbl_base_mensal[Mes],0)),"")</f>
        <v>0.85858585858585856</v>
      </c>
      <c r="J13" s="17">
        <f>IFERROR(INDEX(tbl_base_mensal[Dias_Resposta_SCAR_Soma],MATCH(A13,tbl_base_mensal[Mes],0))/INDEX(tbl_base_mensal[SCAR],MATCH(A13,tbl_base_mensal[Mes],0)),"")</f>
        <v>6.7142857142857144</v>
      </c>
      <c r="K13" s="14">
        <f>IFERROR(INDEX(tbl_base_mensal[CAPA_Fechadas_No_Prazo],MATCH(A13,tbl_base_mensal[Mes],0))/INDEX(tbl_base_mensal[CAPA_Com_Prazo],MATCH(A13,tbl_base_mensal[Mes],0)),"")</f>
        <v>0.6216216216216216</v>
      </c>
      <c r="L13" s="14">
        <f>IFERROR(INDEX(tbl_base_mensal[CAPA_Eficazes],MATCH(A13,tbl_base_mensal[Mes],0))/(INDEX(tbl_base_mensal[CAPA_Eficazes],MATCH(A13,tbl_base_mensal[Mes],0))+INDEX(tbl_base_mensal[CAPA_Nao_Eficazes],MATCH(A13,tbl_base_mensal[Mes],0))),"")</f>
        <v>0.56521739130434778</v>
      </c>
      <c r="M13" s="14">
        <f>IFERROR(INDEX(tbl_base_mensal[Lotes_Concessao],MATCH(A13,tbl_base_mensal[Mes],0))/INDEX(tbl_base_mensal[Lotes_Decididos],MATCH(A13,tbl_base_mensal[Mes],0)),"")</f>
        <v>1.8223234624145785E-2</v>
      </c>
      <c r="N13" s="14">
        <f>IFERROR(INDEX(tbl_base_mensal[Subgrupos_Cpk_1],MATCH(A13,tbl_base_mensal[Mes],0))/INDEX(tbl_base_mensal[Subgrupos_SPC],MATCH(A13,tbl_base_mensal[Mes],0)),"")</f>
        <v>0.46450862807489901</v>
      </c>
      <c r="O13" s="14">
        <f>IFERROR(INDEX(tbl_base_mensal[Linhas_OTIF],MATCH(A13,tbl_base_mensal[Mes],0))/INDEX(tbl_base_mensal[Linhas_Expedidas],MATCH(A13,tbl_base_mensal[Mes],0)),"")</f>
        <v>0.95348837209302328</v>
      </c>
    </row>
    <row r="14" spans="1:15" ht="16.05" customHeight="1" x14ac:dyDescent="0.3">
      <c r="A14" s="9" t="s">
        <v>113</v>
      </c>
      <c r="B14" s="14">
        <f>IFERROR(INDEX(tbl_base_mensal[Rejeitado],MATCH(A14,tbl_base_mensal[Mes],0))/INDEX(tbl_base_mensal[Produzido],MATCH(A14,tbl_base_mensal[Mes],0)),"")</f>
        <v>2.4720994271817252E-2</v>
      </c>
      <c r="C14" s="14">
        <f>IFERROR(INDEX(tbl_base_mensal[Lotes_1a],MATCH(A14,tbl_base_mensal[Mes],0))/INDEX(tbl_base_mensal[Lotes_Decididos],MATCH(A14,tbl_base_mensal[Mes],0)),"")</f>
        <v>0.88636363636363635</v>
      </c>
      <c r="D14" s="15">
        <f>IFERROR(INDEX(tbl_base_mensal[Qtd_Afetada],MATCH(A14,tbl_base_mensal[Mes],0))/INDEX(tbl_base_mensal[Expedido],MATCH(A14,tbl_base_mensal[Mes],0))*1000000,"")</f>
        <v>255.28541063159616</v>
      </c>
      <c r="E14" s="16">
        <f>IFERROR(INDEX(tbl_base_mensal[Reclamacoes],MATCH(A14,tbl_base_mensal[Mes],0))/INDEX(tbl_base_mensal[Expedido],MATCH(A14,tbl_base_mensal[Mes],0))*1000000,"")</f>
        <v>5.7844126276041425</v>
      </c>
      <c r="F14" s="15">
        <f>INDEX(tbl_base_mensal[Reclamacoes_Servico],MATCH(A14,tbl_base_mensal[Mes],0))</f>
        <v>6</v>
      </c>
      <c r="G14" s="17">
        <f>IFERROR(INDEX(tbl_base_mensal[Dias_Resolucao_Soma],MATCH(A14,tbl_base_mensal[Mes],0))/INDEX(tbl_base_mensal[Reclamacoes_Resolvidas],MATCH(A14,tbl_base_mensal[Mes],0)),"")</f>
        <v>13</v>
      </c>
      <c r="H14" s="14">
        <f>IFERROR(INDEX(tbl_base_mensal[OEE_Soma],MATCH(A14,tbl_base_mensal[Mes],0))/INDEX(tbl_base_mensal[Ordens],MATCH(A14,tbl_base_mensal[Mes],0)),"")</f>
        <v>0.7460461037979319</v>
      </c>
      <c r="I14" s="14">
        <f>IFERROR(INDEX(tbl_base_mensal[Lotes_MP_Aceites],MATCH(A14,tbl_base_mensal[Mes],0))/INDEX(tbl_base_mensal[Lotes_MP],MATCH(A14,tbl_base_mensal[Mes],0)),"")</f>
        <v>0.92307692307692313</v>
      </c>
      <c r="J14" s="17">
        <f>IFERROR(INDEX(tbl_base_mensal[Dias_Resposta_SCAR_Soma],MATCH(A14,tbl_base_mensal[Mes],0))/INDEX(tbl_base_mensal[SCAR],MATCH(A14,tbl_base_mensal[Mes],0)),"")</f>
        <v>5.6</v>
      </c>
      <c r="K14" s="14">
        <f>IFERROR(INDEX(tbl_base_mensal[CAPA_Fechadas_No_Prazo],MATCH(A14,tbl_base_mensal[Mes],0))/INDEX(tbl_base_mensal[CAPA_Com_Prazo],MATCH(A14,tbl_base_mensal[Mes],0)),"")</f>
        <v>0.42857142857142855</v>
      </c>
      <c r="L14" s="14">
        <f>IFERROR(INDEX(tbl_base_mensal[CAPA_Eficazes],MATCH(A14,tbl_base_mensal[Mes],0))/(INDEX(tbl_base_mensal[CAPA_Eficazes],MATCH(A14,tbl_base_mensal[Mes],0))+INDEX(tbl_base_mensal[CAPA_Nao_Eficazes],MATCH(A14,tbl_base_mensal[Mes],0))),"")</f>
        <v>0.73913043478260865</v>
      </c>
      <c r="M14" s="14">
        <f>IFERROR(INDEX(tbl_base_mensal[Lotes_Concessao],MATCH(A14,tbl_base_mensal[Mes],0))/INDEX(tbl_base_mensal[Lotes_Decididos],MATCH(A14,tbl_base_mensal[Mes],0)),"")</f>
        <v>1.3636363636363636E-2</v>
      </c>
      <c r="N14" s="14">
        <f>IFERROR(INDEX(tbl_base_mensal[Subgrupos_Cpk_1],MATCH(A14,tbl_base_mensal[Mes],0))/INDEX(tbl_base_mensal[Subgrupos_SPC],MATCH(A14,tbl_base_mensal[Mes],0)),"")</f>
        <v>0.46743932893641543</v>
      </c>
      <c r="O14" s="14">
        <f>IFERROR(INDEX(tbl_base_mensal[Linhas_OTIF],MATCH(A14,tbl_base_mensal[Mes],0))/INDEX(tbl_base_mensal[Linhas_Expedidas],MATCH(A14,tbl_base_mensal[Mes],0)),"")</f>
        <v>0.95196506550218341</v>
      </c>
    </row>
    <row r="15" spans="1:15" ht="16.05" customHeight="1" x14ac:dyDescent="0.3">
      <c r="A15" s="9" t="s">
        <v>114</v>
      </c>
      <c r="B15" s="14">
        <f>IFERROR(INDEX(tbl_base_mensal[Rejeitado],MATCH(A15,tbl_base_mensal[Mes],0))/INDEX(tbl_base_mensal[Produzido],MATCH(A15,tbl_base_mensal[Mes],0)),"")</f>
        <v>2.4480867407931518E-2</v>
      </c>
      <c r="C15" s="14">
        <f>IFERROR(INDEX(tbl_base_mensal[Lotes_1a],MATCH(A15,tbl_base_mensal[Mes],0))/INDEX(tbl_base_mensal[Lotes_Decididos],MATCH(A15,tbl_base_mensal[Mes],0)),"")</f>
        <v>0.8458049886621315</v>
      </c>
      <c r="D15" s="15">
        <f>IFERROR(INDEX(tbl_base_mensal[Qtd_Afetada],MATCH(A15,tbl_base_mensal[Mes],0))/INDEX(tbl_base_mensal[Expedido],MATCH(A15,tbl_base_mensal[Mes],0))*1000000,"")</f>
        <v>313.82656340375235</v>
      </c>
      <c r="E15" s="16">
        <f>IFERROR(INDEX(tbl_base_mensal[Reclamacoes],MATCH(A15,tbl_base_mensal[Mes],0))/INDEX(tbl_base_mensal[Expedido],MATCH(A15,tbl_base_mensal[Mes],0))*1000000,"")</f>
        <v>6.1055751634971269</v>
      </c>
      <c r="F15" s="15">
        <f>INDEX(tbl_base_mensal[Reclamacoes_Servico],MATCH(A15,tbl_base_mensal[Mes],0))</f>
        <v>12</v>
      </c>
      <c r="G15" s="17">
        <f>IFERROR(INDEX(tbl_base_mensal[Dias_Resolucao_Soma],MATCH(A15,tbl_base_mensal[Mes],0))/INDEX(tbl_base_mensal[Reclamacoes_Resolvidas],MATCH(A15,tbl_base_mensal[Mes],0)),"")</f>
        <v>20.666666666666668</v>
      </c>
      <c r="H15" s="14">
        <f>IFERROR(INDEX(tbl_base_mensal[OEE_Soma],MATCH(A15,tbl_base_mensal[Mes],0))/INDEX(tbl_base_mensal[Ordens],MATCH(A15,tbl_base_mensal[Mes],0)),"")</f>
        <v>0.76342271080482149</v>
      </c>
      <c r="I15" s="14">
        <f>IFERROR(INDEX(tbl_base_mensal[Lotes_MP_Aceites],MATCH(A15,tbl_base_mensal[Mes],0))/INDEX(tbl_base_mensal[Lotes_MP],MATCH(A15,tbl_base_mensal[Mes],0)),"")</f>
        <v>0.875</v>
      </c>
      <c r="J15" s="17">
        <f>IFERROR(INDEX(tbl_base_mensal[Dias_Resposta_SCAR_Soma],MATCH(A15,tbl_base_mensal[Mes],0))/INDEX(tbl_base_mensal[SCAR],MATCH(A15,tbl_base_mensal[Mes],0)),"")</f>
        <v>5</v>
      </c>
      <c r="K15" s="14">
        <f>IFERROR(INDEX(tbl_base_mensal[CAPA_Fechadas_No_Prazo],MATCH(A15,tbl_base_mensal[Mes],0))/INDEX(tbl_base_mensal[CAPA_Com_Prazo],MATCH(A15,tbl_base_mensal[Mes],0)),"")</f>
        <v>0.58139534883720934</v>
      </c>
      <c r="L15" s="14">
        <f>IFERROR(INDEX(tbl_base_mensal[CAPA_Eficazes],MATCH(A15,tbl_base_mensal[Mes],0))/(INDEX(tbl_base_mensal[CAPA_Eficazes],MATCH(A15,tbl_base_mensal[Mes],0))+INDEX(tbl_base_mensal[CAPA_Nao_Eficazes],MATCH(A15,tbl_base_mensal[Mes],0))),"")</f>
        <v>0.6</v>
      </c>
      <c r="M15" s="14">
        <f>IFERROR(INDEX(tbl_base_mensal[Lotes_Concessao],MATCH(A15,tbl_base_mensal[Mes],0))/INDEX(tbl_base_mensal[Lotes_Decididos],MATCH(A15,tbl_base_mensal[Mes],0)),"")</f>
        <v>6.8027210884353739E-3</v>
      </c>
      <c r="N15" s="14">
        <f>IFERROR(INDEX(tbl_base_mensal[Subgrupos_Cpk_1],MATCH(A15,tbl_base_mensal[Mes],0))/INDEX(tbl_base_mensal[Subgrupos_SPC],MATCH(A15,tbl_base_mensal[Mes],0)),"")</f>
        <v>0.46055239038890267</v>
      </c>
      <c r="O15" s="14">
        <f>IFERROR(INDEX(tbl_base_mensal[Linhas_OTIF],MATCH(A15,tbl_base_mensal[Mes],0))/INDEX(tbl_base_mensal[Linhas_Expedidas],MATCH(A15,tbl_base_mensal[Mes],0)),"")</f>
        <v>0.95154185022026427</v>
      </c>
    </row>
    <row r="16" spans="1:15" ht="16.05" customHeight="1" x14ac:dyDescent="0.3">
      <c r="A16" s="9" t="s">
        <v>115</v>
      </c>
      <c r="B16" s="14">
        <f>IFERROR(INDEX(tbl_base_mensal[Rejeitado],MATCH(A16,tbl_base_mensal[Mes],0))/INDEX(tbl_base_mensal[Produzido],MATCH(A16,tbl_base_mensal[Mes],0)),"")</f>
        <v>2.3053964779402383E-2</v>
      </c>
      <c r="C16" s="14">
        <f>IFERROR(INDEX(tbl_base_mensal[Lotes_1a],MATCH(A16,tbl_base_mensal[Mes],0))/INDEX(tbl_base_mensal[Lotes_Decididos],MATCH(A16,tbl_base_mensal[Mes],0)),"")</f>
        <v>0.86279069767441863</v>
      </c>
      <c r="D16" s="15">
        <f>IFERROR(INDEX(tbl_base_mensal[Qtd_Afetada],MATCH(A16,tbl_base_mensal[Mes],0))/INDEX(tbl_base_mensal[Expedido],MATCH(A16,tbl_base_mensal[Mes],0))*1000000,"")</f>
        <v>165.63347735366182</v>
      </c>
      <c r="E16" s="16">
        <f>IFERROR(INDEX(tbl_base_mensal[Reclamacoes],MATCH(A16,tbl_base_mensal[Mes],0))/INDEX(tbl_base_mensal[Expedido],MATCH(A16,tbl_base_mensal[Mes],0))*1000000,"")</f>
        <v>4.039840911064922</v>
      </c>
      <c r="F16" s="15">
        <f>INDEX(tbl_base_mensal[Reclamacoes_Servico],MATCH(A16,tbl_base_mensal[Mes],0))</f>
        <v>4</v>
      </c>
      <c r="G16" s="17">
        <f>IFERROR(INDEX(tbl_base_mensal[Dias_Resolucao_Soma],MATCH(A16,tbl_base_mensal[Mes],0))/INDEX(tbl_base_mensal[Reclamacoes_Resolvidas],MATCH(A16,tbl_base_mensal[Mes],0)),"")</f>
        <v>24.8</v>
      </c>
      <c r="H16" s="14">
        <f>IFERROR(INDEX(tbl_base_mensal[OEE_Soma],MATCH(A16,tbl_base_mensal[Mes],0))/INDEX(tbl_base_mensal[Ordens],MATCH(A16,tbl_base_mensal[Mes],0)),"")</f>
        <v>0.75898505103210578</v>
      </c>
      <c r="I16" s="14">
        <f>IFERROR(INDEX(tbl_base_mensal[Lotes_MP_Aceites],MATCH(A16,tbl_base_mensal[Mes],0))/INDEX(tbl_base_mensal[Lotes_MP],MATCH(A16,tbl_base_mensal[Mes],0)),"")</f>
        <v>0.90196078431372551</v>
      </c>
      <c r="J16" s="17">
        <f>IFERROR(INDEX(tbl_base_mensal[Dias_Resposta_SCAR_Soma],MATCH(A16,tbl_base_mensal[Mes],0))/INDEX(tbl_base_mensal[SCAR],MATCH(A16,tbl_base_mensal[Mes],0)),"")</f>
        <v>7</v>
      </c>
      <c r="K16" s="14">
        <f>IFERROR(INDEX(tbl_base_mensal[CAPA_Fechadas_No_Prazo],MATCH(A16,tbl_base_mensal[Mes],0))/INDEX(tbl_base_mensal[CAPA_Com_Prazo],MATCH(A16,tbl_base_mensal[Mes],0)),"")</f>
        <v>0.43243243243243246</v>
      </c>
      <c r="L16" s="14">
        <f>IFERROR(INDEX(tbl_base_mensal[CAPA_Eficazes],MATCH(A16,tbl_base_mensal[Mes],0))/(INDEX(tbl_base_mensal[CAPA_Eficazes],MATCH(A16,tbl_base_mensal[Mes],0))+INDEX(tbl_base_mensal[CAPA_Nao_Eficazes],MATCH(A16,tbl_base_mensal[Mes],0))),"")</f>
        <v>0.56521739130434778</v>
      </c>
      <c r="M16" s="14">
        <f>IFERROR(INDEX(tbl_base_mensal[Lotes_Concessao],MATCH(A16,tbl_base_mensal[Mes],0))/INDEX(tbl_base_mensal[Lotes_Decididos],MATCH(A16,tbl_base_mensal[Mes],0)),"")</f>
        <v>1.8604651162790697E-2</v>
      </c>
      <c r="N16" s="14">
        <f>IFERROR(INDEX(tbl_base_mensal[Subgrupos_Cpk_1],MATCH(A16,tbl_base_mensal[Mes],0))/INDEX(tbl_base_mensal[Subgrupos_SPC],MATCH(A16,tbl_base_mensal[Mes],0)),"")</f>
        <v>0.46297828993442414</v>
      </c>
      <c r="O16" s="14">
        <f>IFERROR(INDEX(tbl_base_mensal[Linhas_OTIF],MATCH(A16,tbl_base_mensal[Mes],0))/INDEX(tbl_base_mensal[Linhas_Expedidas],MATCH(A16,tbl_base_mensal[Mes],0)),"")</f>
        <v>0.97772828507795095</v>
      </c>
    </row>
    <row r="17" spans="1:15" ht="16.05" customHeight="1" x14ac:dyDescent="0.3">
      <c r="A17" s="9" t="s">
        <v>116</v>
      </c>
      <c r="B17" s="14">
        <f>IFERROR(INDEX(tbl_base_mensal[Rejeitado],MATCH(A17,tbl_base_mensal[Mes],0))/INDEX(tbl_base_mensal[Produzido],MATCH(A17,tbl_base_mensal[Mes],0)),"")</f>
        <v>2.27279859960695E-2</v>
      </c>
      <c r="C17" s="14">
        <f>IFERROR(INDEX(tbl_base_mensal[Lotes_1a],MATCH(A17,tbl_base_mensal[Mes],0))/INDEX(tbl_base_mensal[Lotes_Decididos],MATCH(A17,tbl_base_mensal[Mes],0)),"")</f>
        <v>0.8600746268656716</v>
      </c>
      <c r="D17" s="15">
        <f>IFERROR(INDEX(tbl_base_mensal[Qtd_Afetada],MATCH(A17,tbl_base_mensal[Mes],0))/INDEX(tbl_base_mensal[Expedido],MATCH(A17,tbl_base_mensal[Mes],0))*1000000,"")</f>
        <v>184.35277807321492</v>
      </c>
      <c r="E17" s="16">
        <f>IFERROR(INDEX(tbl_base_mensal[Reclamacoes],MATCH(A17,tbl_base_mensal[Mes],0))/INDEX(tbl_base_mensal[Expedido],MATCH(A17,tbl_base_mensal[Mes],0))*1000000,"")</f>
        <v>4.1050213740999277</v>
      </c>
      <c r="F17" s="15">
        <f>INDEX(tbl_base_mensal[Reclamacoes_Servico],MATCH(A17,tbl_base_mensal[Mes],0))</f>
        <v>4</v>
      </c>
      <c r="G17" s="17">
        <f>IFERROR(INDEX(tbl_base_mensal[Dias_Resolucao_Soma],MATCH(A17,tbl_base_mensal[Mes],0))/INDEX(tbl_base_mensal[Reclamacoes_Resolvidas],MATCH(A17,tbl_base_mensal[Mes],0)),"")</f>
        <v>17.666666666666668</v>
      </c>
      <c r="H17" s="14">
        <f>IFERROR(INDEX(tbl_base_mensal[OEE_Soma],MATCH(A17,tbl_base_mensal[Mes],0))/INDEX(tbl_base_mensal[Ordens],MATCH(A17,tbl_base_mensal[Mes],0)),"")</f>
        <v>0.73463264211932366</v>
      </c>
      <c r="I17" s="14">
        <f>IFERROR(INDEX(tbl_base_mensal[Lotes_MP_Aceites],MATCH(A17,tbl_base_mensal[Mes],0))/INDEX(tbl_base_mensal[Lotes_MP],MATCH(A17,tbl_base_mensal[Mes],0)),"")</f>
        <v>0.91836734693877553</v>
      </c>
      <c r="J17" s="17">
        <f>IFERROR(INDEX(tbl_base_mensal[Dias_Resposta_SCAR_Soma],MATCH(A17,tbl_base_mensal[Mes],0))/INDEX(tbl_base_mensal[SCAR],MATCH(A17,tbl_base_mensal[Mes],0)),"")</f>
        <v>8</v>
      </c>
      <c r="K17" s="14">
        <f>IFERROR(INDEX(tbl_base_mensal[CAPA_Fechadas_No_Prazo],MATCH(A17,tbl_base_mensal[Mes],0))/INDEX(tbl_base_mensal[CAPA_Com_Prazo],MATCH(A17,tbl_base_mensal[Mes],0)),"")</f>
        <v>0.5</v>
      </c>
      <c r="L17" s="14">
        <f>IFERROR(INDEX(tbl_base_mensal[CAPA_Eficazes],MATCH(A17,tbl_base_mensal[Mes],0))/(INDEX(tbl_base_mensal[CAPA_Eficazes],MATCH(A17,tbl_base_mensal[Mes],0))+INDEX(tbl_base_mensal[CAPA_Nao_Eficazes],MATCH(A17,tbl_base_mensal[Mes],0))),"")</f>
        <v>0.625</v>
      </c>
      <c r="M17" s="14">
        <f>IFERROR(INDEX(tbl_base_mensal[Lotes_Concessao],MATCH(A17,tbl_base_mensal[Mes],0))/INDEX(tbl_base_mensal[Lotes_Decididos],MATCH(A17,tbl_base_mensal[Mes],0)),"")</f>
        <v>1.6791044776119403E-2</v>
      </c>
      <c r="N17" s="14">
        <f>IFERROR(INDEX(tbl_base_mensal[Subgrupos_Cpk_1],MATCH(A17,tbl_base_mensal[Mes],0))/INDEX(tbl_base_mensal[Subgrupos_SPC],MATCH(A17,tbl_base_mensal[Mes],0)),"")</f>
        <v>0.43668143068057341</v>
      </c>
      <c r="O17" s="14">
        <f>IFERROR(INDEX(tbl_base_mensal[Linhas_OTIF],MATCH(A17,tbl_base_mensal[Mes],0))/INDEX(tbl_base_mensal[Linhas_Expedidas],MATCH(A17,tbl_base_mensal[Mes],0)),"")</f>
        <v>0.96219281663516065</v>
      </c>
    </row>
    <row r="18" spans="1:15" ht="16.05" customHeight="1" x14ac:dyDescent="0.3">
      <c r="A18" s="9" t="s">
        <v>117</v>
      </c>
      <c r="B18" s="14">
        <f>IFERROR(INDEX(tbl_base_mensal[Rejeitado],MATCH(A18,tbl_base_mensal[Mes],0))/INDEX(tbl_base_mensal[Produzido],MATCH(A18,tbl_base_mensal[Mes],0)),"")</f>
        <v>2.2187601465152341E-2</v>
      </c>
      <c r="C18" s="14">
        <f>IFERROR(INDEX(tbl_base_mensal[Lotes_1a],MATCH(A18,tbl_base_mensal[Mes],0))/INDEX(tbl_base_mensal[Lotes_Decididos],MATCH(A18,tbl_base_mensal[Mes],0)),"")</f>
        <v>0.84154929577464788</v>
      </c>
      <c r="D18" s="15">
        <f>IFERROR(INDEX(tbl_base_mensal[Qtd_Afetada],MATCH(A18,tbl_base_mensal[Mes],0))/INDEX(tbl_base_mensal[Expedido],MATCH(A18,tbl_base_mensal[Mes],0))*1000000,"")</f>
        <v>141.838516496137</v>
      </c>
      <c r="E18" s="16">
        <f>IFERROR(INDEX(tbl_base_mensal[Reclamacoes],MATCH(A18,tbl_base_mensal[Mes],0))/INDEX(tbl_base_mensal[Expedido],MATCH(A18,tbl_base_mensal[Mes],0))*1000000,"")</f>
        <v>3.1754891752866499</v>
      </c>
      <c r="F18" s="15">
        <f>INDEX(tbl_base_mensal[Reclamacoes_Servico],MATCH(A18,tbl_base_mensal[Mes],0))</f>
        <v>3</v>
      </c>
      <c r="G18" s="17">
        <f>IFERROR(INDEX(tbl_base_mensal[Dias_Resolucao_Soma],MATCH(A18,tbl_base_mensal[Mes],0))/INDEX(tbl_base_mensal[Reclamacoes_Resolvidas],MATCH(A18,tbl_base_mensal[Mes],0)),"")</f>
        <v>18.428571428571427</v>
      </c>
      <c r="H18" s="14">
        <f>IFERROR(INDEX(tbl_base_mensal[OEE_Soma],MATCH(A18,tbl_base_mensal[Mes],0))/INDEX(tbl_base_mensal[Ordens],MATCH(A18,tbl_base_mensal[Mes],0)),"")</f>
        <v>0.75218792446012395</v>
      </c>
      <c r="I18" s="14">
        <f>IFERROR(INDEX(tbl_base_mensal[Lotes_MP_Aceites],MATCH(A18,tbl_base_mensal[Mes],0))/INDEX(tbl_base_mensal[Lotes_MP],MATCH(A18,tbl_base_mensal[Mes],0)),"")</f>
        <v>0.92500000000000004</v>
      </c>
      <c r="J18" s="17">
        <f>IFERROR(INDEX(tbl_base_mensal[Dias_Resposta_SCAR_Soma],MATCH(A18,tbl_base_mensal[Mes],0))/INDEX(tbl_base_mensal[SCAR],MATCH(A18,tbl_base_mensal[Mes],0)),"")</f>
        <v>8</v>
      </c>
      <c r="K18" s="14">
        <f>IFERROR(INDEX(tbl_base_mensal[CAPA_Fechadas_No_Prazo],MATCH(A18,tbl_base_mensal[Mes],0))/INDEX(tbl_base_mensal[CAPA_Com_Prazo],MATCH(A18,tbl_base_mensal[Mes],0)),"")</f>
        <v>0.53846153846153844</v>
      </c>
      <c r="L18" s="14">
        <f>IFERROR(INDEX(tbl_base_mensal[CAPA_Eficazes],MATCH(A18,tbl_base_mensal[Mes],0))/(INDEX(tbl_base_mensal[CAPA_Eficazes],MATCH(A18,tbl_base_mensal[Mes],0))+INDEX(tbl_base_mensal[CAPA_Nao_Eficazes],MATCH(A18,tbl_base_mensal[Mes],0))),"")</f>
        <v>0.61111111111111116</v>
      </c>
      <c r="M18" s="14">
        <f>IFERROR(INDEX(tbl_base_mensal[Lotes_Concessao],MATCH(A18,tbl_base_mensal[Mes],0))/INDEX(tbl_base_mensal[Lotes_Decididos],MATCH(A18,tbl_base_mensal[Mes],0)),"")</f>
        <v>1.232394366197183E-2</v>
      </c>
      <c r="N18" s="14">
        <f>IFERROR(INDEX(tbl_base_mensal[Subgrupos_Cpk_1],MATCH(A18,tbl_base_mensal[Mes],0))/INDEX(tbl_base_mensal[Subgrupos_SPC],MATCH(A18,tbl_base_mensal[Mes],0)),"")</f>
        <v>0.4271738635846567</v>
      </c>
      <c r="O18" s="14">
        <f>IFERROR(INDEX(tbl_base_mensal[Linhas_OTIF],MATCH(A18,tbl_base_mensal[Mes],0))/INDEX(tbl_base_mensal[Linhas_Expedidas],MATCH(A18,tbl_base_mensal[Mes],0)),"")</f>
        <v>0.97148288973384034</v>
      </c>
    </row>
    <row r="19" spans="1:15" ht="16.05" customHeight="1" x14ac:dyDescent="0.3">
      <c r="A19" s="9" t="s">
        <v>118</v>
      </c>
      <c r="B19" s="14">
        <f>IFERROR(INDEX(tbl_base_mensal[Rejeitado],MATCH(A19,tbl_base_mensal[Mes],0))/INDEX(tbl_base_mensal[Produzido],MATCH(A19,tbl_base_mensal[Mes],0)),"")</f>
        <v>2.3752450635665528E-2</v>
      </c>
      <c r="C19" s="14">
        <f>IFERROR(INDEX(tbl_base_mensal[Lotes_1a],MATCH(A19,tbl_base_mensal[Mes],0))/INDEX(tbl_base_mensal[Lotes_Decididos],MATCH(A19,tbl_base_mensal[Mes],0)),"")</f>
        <v>0.85688729874776381</v>
      </c>
      <c r="D19" s="15">
        <f>IFERROR(INDEX(tbl_base_mensal[Qtd_Afetada],MATCH(A19,tbl_base_mensal[Mes],0))/INDEX(tbl_base_mensal[Expedido],MATCH(A19,tbl_base_mensal[Mes],0))*1000000,"")</f>
        <v>401.07118293825295</v>
      </c>
      <c r="E19" s="16">
        <f>IFERROR(INDEX(tbl_base_mensal[Reclamacoes],MATCH(A19,tbl_base_mensal[Mes],0))/INDEX(tbl_base_mensal[Expedido],MATCH(A19,tbl_base_mensal[Mes],0))*1000000,"")</f>
        <v>6.613200882590009</v>
      </c>
      <c r="F19" s="15">
        <f>INDEX(tbl_base_mensal[Reclamacoes_Servico],MATCH(A19,tbl_base_mensal[Mes],0))</f>
        <v>9</v>
      </c>
      <c r="G19" s="17">
        <f>IFERROR(INDEX(tbl_base_mensal[Dias_Resolucao_Soma],MATCH(A19,tbl_base_mensal[Mes],0))/INDEX(tbl_base_mensal[Reclamacoes_Resolvidas],MATCH(A19,tbl_base_mensal[Mes],0)),"")</f>
        <v>14.0625</v>
      </c>
      <c r="H19" s="14">
        <f>IFERROR(INDEX(tbl_base_mensal[OEE_Soma],MATCH(A19,tbl_base_mensal[Mes],0))/INDEX(tbl_base_mensal[Ordens],MATCH(A19,tbl_base_mensal[Mes],0)),"")</f>
        <v>0.73413471702220356</v>
      </c>
      <c r="I19" s="14">
        <f>IFERROR(INDEX(tbl_base_mensal[Lotes_MP_Aceites],MATCH(A19,tbl_base_mensal[Mes],0))/INDEX(tbl_base_mensal[Lotes_MP],MATCH(A19,tbl_base_mensal[Mes],0)),"")</f>
        <v>0.93396226415094341</v>
      </c>
      <c r="J19" s="17">
        <f>IFERROR(INDEX(tbl_base_mensal[Dias_Resposta_SCAR_Soma],MATCH(A19,tbl_base_mensal[Mes],0))/INDEX(tbl_base_mensal[SCAR],MATCH(A19,tbl_base_mensal[Mes],0)),"")</f>
        <v>5.5</v>
      </c>
      <c r="K19" s="14">
        <f>IFERROR(INDEX(tbl_base_mensal[CAPA_Fechadas_No_Prazo],MATCH(A19,tbl_base_mensal[Mes],0))/INDEX(tbl_base_mensal[CAPA_Com_Prazo],MATCH(A19,tbl_base_mensal[Mes],0)),"")</f>
        <v>0.62264150943396224</v>
      </c>
      <c r="L19" s="14">
        <f>IFERROR(INDEX(tbl_base_mensal[CAPA_Eficazes],MATCH(A19,tbl_base_mensal[Mes],0))/(INDEX(tbl_base_mensal[CAPA_Eficazes],MATCH(A19,tbl_base_mensal[Mes],0))+INDEX(tbl_base_mensal[CAPA_Nao_Eficazes],MATCH(A19,tbl_base_mensal[Mes],0))),"")</f>
        <v>0.58823529411764708</v>
      </c>
      <c r="M19" s="14">
        <f>IFERROR(INDEX(tbl_base_mensal[Lotes_Concessao],MATCH(A19,tbl_base_mensal[Mes],0))/INDEX(tbl_base_mensal[Lotes_Decididos],MATCH(A19,tbl_base_mensal[Mes],0)),"")</f>
        <v>3.5778175313059034E-3</v>
      </c>
      <c r="N19" s="14">
        <f>IFERROR(INDEX(tbl_base_mensal[Subgrupos_Cpk_1],MATCH(A19,tbl_base_mensal[Mes],0))/INDEX(tbl_base_mensal[Subgrupos_SPC],MATCH(A19,tbl_base_mensal[Mes],0)),"")</f>
        <v>0.42797868829270591</v>
      </c>
      <c r="O19" s="14">
        <f>IFERROR(INDEX(tbl_base_mensal[Linhas_OTIF],MATCH(A19,tbl_base_mensal[Mes],0))/INDEX(tbl_base_mensal[Linhas_Expedidas],MATCH(A19,tbl_base_mensal[Mes],0)),"")</f>
        <v>0.96491228070175439</v>
      </c>
    </row>
    <row r="20" spans="1:15" ht="16.05" customHeight="1" x14ac:dyDescent="0.3">
      <c r="A20" s="9" t="s">
        <v>119</v>
      </c>
      <c r="B20" s="14">
        <f>IFERROR(INDEX(tbl_base_mensal[Rejeitado],MATCH(A20,tbl_base_mensal[Mes],0))/INDEX(tbl_base_mensal[Produzido],MATCH(A20,tbl_base_mensal[Mes],0)),"")</f>
        <v>2.2903659089345E-2</v>
      </c>
      <c r="C20" s="14">
        <f>IFERROR(INDEX(tbl_base_mensal[Lotes_1a],MATCH(A20,tbl_base_mensal[Mes],0))/INDEX(tbl_base_mensal[Lotes_Decididos],MATCH(A20,tbl_base_mensal[Mes],0)),"")</f>
        <v>0.87096774193548387</v>
      </c>
      <c r="D20" s="15">
        <f>IFERROR(INDEX(tbl_base_mensal[Qtd_Afetada],MATCH(A20,tbl_base_mensal[Mes],0))/INDEX(tbl_base_mensal[Expedido],MATCH(A20,tbl_base_mensal[Mes],0))*1000000,"")</f>
        <v>185.84317917015724</v>
      </c>
      <c r="E20" s="16">
        <f>IFERROR(INDEX(tbl_base_mensal[Reclamacoes],MATCH(A20,tbl_base_mensal[Mes],0))/INDEX(tbl_base_mensal[Expedido],MATCH(A20,tbl_base_mensal[Mes],0))*1000000,"")</f>
        <v>3.5306994315573914</v>
      </c>
      <c r="F20" s="15">
        <f>INDEX(tbl_base_mensal[Reclamacoes_Servico],MATCH(A20,tbl_base_mensal[Mes],0))</f>
        <v>6</v>
      </c>
      <c r="G20" s="17">
        <f>IFERROR(INDEX(tbl_base_mensal[Dias_Resolucao_Soma],MATCH(A20,tbl_base_mensal[Mes],0))/INDEX(tbl_base_mensal[Reclamacoes_Resolvidas],MATCH(A20,tbl_base_mensal[Mes],0)),"")</f>
        <v>19.714285714285715</v>
      </c>
      <c r="H20" s="14">
        <f>IFERROR(INDEX(tbl_base_mensal[OEE_Soma],MATCH(A20,tbl_base_mensal[Mes],0))/INDEX(tbl_base_mensal[Ordens],MATCH(A20,tbl_base_mensal[Mes],0)),"")</f>
        <v>0.75663866662759649</v>
      </c>
      <c r="I20" s="14">
        <f>IFERROR(INDEX(tbl_base_mensal[Lotes_MP_Aceites],MATCH(A20,tbl_base_mensal[Mes],0))/INDEX(tbl_base_mensal[Lotes_MP],MATCH(A20,tbl_base_mensal[Mes],0)),"")</f>
        <v>0.89473684210526316</v>
      </c>
      <c r="J20" s="17">
        <f>IFERROR(INDEX(tbl_base_mensal[Dias_Resposta_SCAR_Soma],MATCH(A20,tbl_base_mensal[Mes],0))/INDEX(tbl_base_mensal[SCAR],MATCH(A20,tbl_base_mensal[Mes],0)),"")</f>
        <v>6.4</v>
      </c>
      <c r="K20" s="14">
        <f>IFERROR(INDEX(tbl_base_mensal[CAPA_Fechadas_No_Prazo],MATCH(A20,tbl_base_mensal[Mes],0))/INDEX(tbl_base_mensal[CAPA_Com_Prazo],MATCH(A20,tbl_base_mensal[Mes],0)),"")</f>
        <v>0.50943396226415094</v>
      </c>
      <c r="L20" s="14">
        <f>IFERROR(INDEX(tbl_base_mensal[CAPA_Eficazes],MATCH(A20,tbl_base_mensal[Mes],0))/(INDEX(tbl_base_mensal[CAPA_Eficazes],MATCH(A20,tbl_base_mensal[Mes],0))+INDEX(tbl_base_mensal[CAPA_Nao_Eficazes],MATCH(A20,tbl_base_mensal[Mes],0))),"")</f>
        <v>0.76190476190476186</v>
      </c>
      <c r="M20" s="14">
        <f>IFERROR(INDEX(tbl_base_mensal[Lotes_Concessao],MATCH(A20,tbl_base_mensal[Mes],0))/INDEX(tbl_base_mensal[Lotes_Decididos],MATCH(A20,tbl_base_mensal[Mes],0)),"")</f>
        <v>1.3582342954159592E-2</v>
      </c>
      <c r="N20" s="14">
        <f>IFERROR(INDEX(tbl_base_mensal[Subgrupos_Cpk_1],MATCH(A20,tbl_base_mensal[Mes],0))/INDEX(tbl_base_mensal[Subgrupos_SPC],MATCH(A20,tbl_base_mensal[Mes],0)),"")</f>
        <v>0.43841756231420076</v>
      </c>
      <c r="O20" s="14">
        <f>IFERROR(INDEX(tbl_base_mensal[Linhas_OTIF],MATCH(A20,tbl_base_mensal[Mes],0))/INDEX(tbl_base_mensal[Linhas_Expedidas],MATCH(A20,tbl_base_mensal[Mes],0)),"")</f>
        <v>0.95869191049913938</v>
      </c>
    </row>
    <row r="21" spans="1:15" ht="16.05" customHeight="1" x14ac:dyDescent="0.3">
      <c r="A21" s="9" t="s">
        <v>120</v>
      </c>
      <c r="B21" s="14">
        <f>IFERROR(INDEX(tbl_base_mensal[Rejeitado],MATCH(A21,tbl_base_mensal[Mes],0))/INDEX(tbl_base_mensal[Produzido],MATCH(A21,tbl_base_mensal[Mes],0)),"")</f>
        <v>2.2797887315184132E-2</v>
      </c>
      <c r="C21" s="14">
        <f>IFERROR(INDEX(tbl_base_mensal[Lotes_1a],MATCH(A21,tbl_base_mensal[Mes],0))/INDEX(tbl_base_mensal[Lotes_Decididos],MATCH(A21,tbl_base_mensal[Mes],0)),"")</f>
        <v>0.8535645472061657</v>
      </c>
      <c r="D21" s="15">
        <f>IFERROR(INDEX(tbl_base_mensal[Qtd_Afetada],MATCH(A21,tbl_base_mensal[Mes],0))/INDEX(tbl_base_mensal[Expedido],MATCH(A21,tbl_base_mensal[Mes],0))*1000000,"")</f>
        <v>202.89981097191082</v>
      </c>
      <c r="E21" s="16">
        <f>IFERROR(INDEX(tbl_base_mensal[Reclamacoes],MATCH(A21,tbl_base_mensal[Mes],0))/INDEX(tbl_base_mensal[Expedido],MATCH(A21,tbl_base_mensal[Mes],0))*1000000,"")</f>
        <v>4.1408124688145058</v>
      </c>
      <c r="F21" s="15">
        <f>INDEX(tbl_base_mensal[Reclamacoes_Servico],MATCH(A21,tbl_base_mensal[Mes],0))</f>
        <v>7</v>
      </c>
      <c r="G21" s="17">
        <f>IFERROR(INDEX(tbl_base_mensal[Dias_Resolucao_Soma],MATCH(A21,tbl_base_mensal[Mes],0))/INDEX(tbl_base_mensal[Reclamacoes_Resolvidas],MATCH(A21,tbl_base_mensal[Mes],0)),"")</f>
        <v>17.428571428571427</v>
      </c>
      <c r="H21" s="14">
        <f>IFERROR(INDEX(tbl_base_mensal[OEE_Soma],MATCH(A21,tbl_base_mensal[Mes],0))/INDEX(tbl_base_mensal[Ordens],MATCH(A21,tbl_base_mensal[Mes],0)),"")</f>
        <v>0.74828731772348445</v>
      </c>
      <c r="I21" s="14">
        <f>IFERROR(INDEX(tbl_base_mensal[Lotes_MP_Aceites],MATCH(A21,tbl_base_mensal[Mes],0))/INDEX(tbl_base_mensal[Lotes_MP],MATCH(A21,tbl_base_mensal[Mes],0)),"")</f>
        <v>0.88461538461538458</v>
      </c>
      <c r="J21" s="17">
        <f>IFERROR(INDEX(tbl_base_mensal[Dias_Resposta_SCAR_Soma],MATCH(A21,tbl_base_mensal[Mes],0))/INDEX(tbl_base_mensal[SCAR],MATCH(A21,tbl_base_mensal[Mes],0)),"")</f>
        <v>6.5</v>
      </c>
      <c r="K21" s="14">
        <f>IFERROR(INDEX(tbl_base_mensal[CAPA_Fechadas_No_Prazo],MATCH(A21,tbl_base_mensal[Mes],0))/INDEX(tbl_base_mensal[CAPA_Com_Prazo],MATCH(A21,tbl_base_mensal[Mes],0)),"")</f>
        <v>0.47222222222222221</v>
      </c>
      <c r="L21" s="14">
        <f>IFERROR(INDEX(tbl_base_mensal[CAPA_Eficazes],MATCH(A21,tbl_base_mensal[Mes],0))/(INDEX(tbl_base_mensal[CAPA_Eficazes],MATCH(A21,tbl_base_mensal[Mes],0))+INDEX(tbl_base_mensal[CAPA_Nao_Eficazes],MATCH(A21,tbl_base_mensal[Mes],0))),"")</f>
        <v>0.47058823529411764</v>
      </c>
      <c r="M21" s="14">
        <f>IFERROR(INDEX(tbl_base_mensal[Lotes_Concessao],MATCH(A21,tbl_base_mensal[Mes],0))/INDEX(tbl_base_mensal[Lotes_Decididos],MATCH(A21,tbl_base_mensal[Mes],0)),"")</f>
        <v>5.7803468208092483E-3</v>
      </c>
      <c r="N21" s="14">
        <f>IFERROR(INDEX(tbl_base_mensal[Subgrupos_Cpk_1],MATCH(A21,tbl_base_mensal[Mes],0))/INDEX(tbl_base_mensal[Subgrupos_SPC],MATCH(A21,tbl_base_mensal[Mes],0)),"")</f>
        <v>0.43414956982131037</v>
      </c>
      <c r="O21" s="14">
        <f>IFERROR(INDEX(tbl_base_mensal[Linhas_OTIF],MATCH(A21,tbl_base_mensal[Mes],0))/INDEX(tbl_base_mensal[Linhas_Expedidas],MATCH(A21,tbl_base_mensal[Mes],0)),"")</f>
        <v>0.95724907063197029</v>
      </c>
    </row>
    <row r="22" spans="1:15" ht="16.05" customHeight="1" x14ac:dyDescent="0.3">
      <c r="A22" s="9" t="s">
        <v>121</v>
      </c>
      <c r="B22" s="14">
        <f>IFERROR(INDEX(tbl_base_mensal[Rejeitado],MATCH(A22,tbl_base_mensal[Mes],0))/INDEX(tbl_base_mensal[Produzido],MATCH(A22,tbl_base_mensal[Mes],0)),"")</f>
        <v>2.2511394769661464E-2</v>
      </c>
      <c r="C22" s="14">
        <f>IFERROR(INDEX(tbl_base_mensal[Lotes_1a],MATCH(A22,tbl_base_mensal[Mes],0))/INDEX(tbl_base_mensal[Lotes_Decididos],MATCH(A22,tbl_base_mensal[Mes],0)),"")</f>
        <v>0.85</v>
      </c>
      <c r="D22" s="15">
        <f>IFERROR(INDEX(tbl_base_mensal[Qtd_Afetada],MATCH(A22,tbl_base_mensal[Mes],0))/INDEX(tbl_base_mensal[Expedido],MATCH(A22,tbl_base_mensal[Mes],0))*1000000,"")</f>
        <v>221.30130067038186</v>
      </c>
      <c r="E22" s="16">
        <f>IFERROR(INDEX(tbl_base_mensal[Reclamacoes],MATCH(A22,tbl_base_mensal[Mes],0))/INDEX(tbl_base_mensal[Expedido],MATCH(A22,tbl_base_mensal[Mes],0))*1000000,"")</f>
        <v>4.2019234304502886</v>
      </c>
      <c r="F22" s="15">
        <f>INDEX(tbl_base_mensal[Reclamacoes_Servico],MATCH(A22,tbl_base_mensal[Mes],0))</f>
        <v>4</v>
      </c>
      <c r="G22" s="17">
        <f>IFERROR(INDEX(tbl_base_mensal[Dias_Resolucao_Soma],MATCH(A22,tbl_base_mensal[Mes],0))/INDEX(tbl_base_mensal[Reclamacoes_Resolvidas],MATCH(A22,tbl_base_mensal[Mes],0)),"")</f>
        <v>19.615384615384617</v>
      </c>
      <c r="H22" s="14">
        <f>IFERROR(INDEX(tbl_base_mensal[OEE_Soma],MATCH(A22,tbl_base_mensal[Mes],0))/INDEX(tbl_base_mensal[Ordens],MATCH(A22,tbl_base_mensal[Mes],0)),"")</f>
        <v>0.74672719879065919</v>
      </c>
      <c r="I22" s="14">
        <f>IFERROR(INDEX(tbl_base_mensal[Lotes_MP_Aceites],MATCH(A22,tbl_base_mensal[Mes],0))/INDEX(tbl_base_mensal[Lotes_MP],MATCH(A22,tbl_base_mensal[Mes],0)),"")</f>
        <v>0.89320388349514568</v>
      </c>
      <c r="J22" s="17">
        <f>IFERROR(INDEX(tbl_base_mensal[Dias_Resposta_SCAR_Soma],MATCH(A22,tbl_base_mensal[Mes],0))/INDEX(tbl_base_mensal[SCAR],MATCH(A22,tbl_base_mensal[Mes],0)),"")</f>
        <v>8.75</v>
      </c>
      <c r="K22" s="14">
        <f>IFERROR(INDEX(tbl_base_mensal[CAPA_Fechadas_No_Prazo],MATCH(A22,tbl_base_mensal[Mes],0))/INDEX(tbl_base_mensal[CAPA_Com_Prazo],MATCH(A22,tbl_base_mensal[Mes],0)),"")</f>
        <v>0.5357142857142857</v>
      </c>
      <c r="L22" s="14">
        <f>IFERROR(INDEX(tbl_base_mensal[CAPA_Eficazes],MATCH(A22,tbl_base_mensal[Mes],0))/(INDEX(tbl_base_mensal[CAPA_Eficazes],MATCH(A22,tbl_base_mensal[Mes],0))+INDEX(tbl_base_mensal[CAPA_Nao_Eficazes],MATCH(A22,tbl_base_mensal[Mes],0))),"")</f>
        <v>0.4642857142857143</v>
      </c>
      <c r="M22" s="14">
        <f>IFERROR(INDEX(tbl_base_mensal[Lotes_Concessao],MATCH(A22,tbl_base_mensal[Mes],0))/INDEX(tbl_base_mensal[Lotes_Decididos],MATCH(A22,tbl_base_mensal[Mes],0)),"")</f>
        <v>9.2592592592592587E-3</v>
      </c>
      <c r="N22" s="14">
        <f>IFERROR(INDEX(tbl_base_mensal[Subgrupos_Cpk_1],MATCH(A22,tbl_base_mensal[Mes],0))/INDEX(tbl_base_mensal[Subgrupos_SPC],MATCH(A22,tbl_base_mensal[Mes],0)),"")</f>
        <v>0.44282754073655456</v>
      </c>
      <c r="O22" s="14">
        <f>IFERROR(INDEX(tbl_base_mensal[Linhas_OTIF],MATCH(A22,tbl_base_mensal[Mes],0))/INDEX(tbl_base_mensal[Linhas_Expedidas],MATCH(A22,tbl_base_mensal[Mes],0)),"")</f>
        <v>0.96525096525096521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8" customWidth="1"/>
    <col min="3" max="3" width="40" customWidth="1"/>
    <col min="4" max="4" width="9" customWidth="1"/>
    <col min="5" max="5" width="8" customWidth="1"/>
    <col min="6" max="6" width="10" customWidth="1"/>
    <col min="7" max="7" width="32" customWidth="1"/>
    <col min="8" max="8" width="24" customWidth="1"/>
    <col min="9" max="9" width="8" customWidth="1"/>
    <col min="10" max="11" width="9" customWidth="1"/>
    <col min="12" max="12" width="8" customWidth="1"/>
    <col min="13" max="13" width="7" customWidth="1"/>
    <col min="14" max="14" width="16" customWidth="1"/>
  </cols>
  <sheetData>
    <row r="1" spans="1:14" ht="26.4" x14ac:dyDescent="0.3">
      <c r="A1" s="8" t="s">
        <v>136</v>
      </c>
      <c r="B1" s="8" t="s">
        <v>137</v>
      </c>
      <c r="C1" s="8" t="s">
        <v>138</v>
      </c>
      <c r="D1" s="8" t="s">
        <v>139</v>
      </c>
      <c r="E1" s="8" t="s">
        <v>140</v>
      </c>
      <c r="F1" s="8" t="s">
        <v>141</v>
      </c>
      <c r="G1" s="8" t="s">
        <v>142</v>
      </c>
      <c r="H1" s="8" t="s">
        <v>143</v>
      </c>
      <c r="I1" s="8" t="s">
        <v>144</v>
      </c>
      <c r="J1" s="13" t="s">
        <v>145</v>
      </c>
      <c r="K1" s="13" t="s">
        <v>146</v>
      </c>
      <c r="L1" s="13" t="s">
        <v>147</v>
      </c>
      <c r="M1" s="8" t="s">
        <v>148</v>
      </c>
      <c r="N1" s="8" t="s">
        <v>149</v>
      </c>
    </row>
    <row r="2" spans="1:14" ht="30" customHeight="1" x14ac:dyDescent="0.3">
      <c r="A2" s="9" t="s">
        <v>150</v>
      </c>
      <c r="B2" s="9" t="s">
        <v>151</v>
      </c>
      <c r="C2" s="9" t="s">
        <v>152</v>
      </c>
      <c r="D2" s="9" t="s">
        <v>153</v>
      </c>
      <c r="E2" s="9" t="s">
        <v>154</v>
      </c>
      <c r="F2" s="9" t="s">
        <v>155</v>
      </c>
      <c r="G2" s="9" t="s">
        <v>156</v>
      </c>
      <c r="H2" s="9" t="s">
        <v>157</v>
      </c>
      <c r="I2" s="11">
        <v>0.02</v>
      </c>
      <c r="J2" s="16">
        <f>IF(OR(A2="",N2="—"),"",IFERROR(AVERAGE(INDEX(KPI_Mensal!$A$5:$O$16,0,MATCH(N2,KPI_Mensal!$A$4:$O$4,0))),""))</f>
        <v>2.3883027446425328E-2</v>
      </c>
      <c r="K2" s="18" t="str">
        <f>IFERROR(INDEX(tbl_objetivos[ID_OBJ],MATCH(A2,tbl_objetivos[ID_KPI],0)),"")</f>
        <v>OBJ-Q-01</v>
      </c>
      <c r="L2" s="18" t="str">
        <f>IFERROR(INDEX(tbl_plano_monitorizacao[ID_MED],MATCH(A2,tbl_plano_monitorizacao[ID_KPI],0)),"")</f>
        <v>PMM-03</v>
      </c>
      <c r="M2" s="9" t="s">
        <v>158</v>
      </c>
      <c r="N2" s="9" t="s">
        <v>124</v>
      </c>
    </row>
    <row r="3" spans="1:14" ht="30" customHeight="1" x14ac:dyDescent="0.3">
      <c r="A3" s="9" t="s">
        <v>159</v>
      </c>
      <c r="B3" s="9" t="s">
        <v>160</v>
      </c>
      <c r="C3" s="9" t="s">
        <v>161</v>
      </c>
      <c r="D3" s="9" t="s">
        <v>153</v>
      </c>
      <c r="E3" s="9" t="s">
        <v>162</v>
      </c>
      <c r="F3" s="9" t="s">
        <v>155</v>
      </c>
      <c r="G3" s="9" t="s">
        <v>163</v>
      </c>
      <c r="H3" s="9" t="s">
        <v>11</v>
      </c>
      <c r="I3" s="11">
        <v>0.92</v>
      </c>
      <c r="J3" s="16">
        <f>IF(OR(A3="",N3="—"),"",IFERROR(AVERAGE(INDEX(KPI_Mensal!$A$5:$O$16,0,MATCH(N3,KPI_Mensal!$A$4:$O$4,0))),""))</f>
        <v>0.86044919623988736</v>
      </c>
      <c r="K3" s="18" t="str">
        <f>IFERROR(INDEX(tbl_objetivos[ID_OBJ],MATCH(A3,tbl_objetivos[ID_KPI],0)),"")</f>
        <v>OBJ-Q-02</v>
      </c>
      <c r="L3" s="18" t="str">
        <f>IFERROR(INDEX(tbl_plano_monitorizacao[ID_MED],MATCH(A3,tbl_plano_monitorizacao[ID_KPI],0)),"")</f>
        <v>PMM-02</v>
      </c>
      <c r="M3" s="9" t="s">
        <v>164</v>
      </c>
      <c r="N3" s="9" t="s">
        <v>125</v>
      </c>
    </row>
    <row r="4" spans="1:14" ht="30" customHeight="1" x14ac:dyDescent="0.3">
      <c r="A4" s="9" t="s">
        <v>165</v>
      </c>
      <c r="B4" s="9" t="s">
        <v>166</v>
      </c>
      <c r="C4" s="9" t="s">
        <v>167</v>
      </c>
      <c r="D4" s="9" t="s">
        <v>168</v>
      </c>
      <c r="E4" s="9" t="s">
        <v>154</v>
      </c>
      <c r="F4" s="9" t="s">
        <v>155</v>
      </c>
      <c r="G4" s="9" t="s">
        <v>169</v>
      </c>
      <c r="H4" s="9" t="s">
        <v>170</v>
      </c>
      <c r="I4" s="11">
        <v>150</v>
      </c>
      <c r="J4" s="16">
        <f>IF(OR(A4="",N4="—"),"",IFERROR(AVERAGE(INDEX(KPI_Mensal!$A$5:$O$16,0,MATCH(N4,KPI_Mensal!$A$4:$O$4,0))),""))</f>
        <v>236.91011189976993</v>
      </c>
      <c r="K4" s="18" t="str">
        <f>IFERROR(INDEX(tbl_objetivos[ID_OBJ],MATCH(A4,tbl_objetivos[ID_KPI],0)),"")</f>
        <v/>
      </c>
      <c r="L4" s="18" t="str">
        <f>IFERROR(INDEX(tbl_plano_monitorizacao[ID_MED],MATCH(A4,tbl_plano_monitorizacao[ID_KPI],0)),"")</f>
        <v/>
      </c>
      <c r="M4" s="9" t="s">
        <v>171</v>
      </c>
      <c r="N4" s="9" t="s">
        <v>126</v>
      </c>
    </row>
    <row r="5" spans="1:14" ht="30" customHeight="1" x14ac:dyDescent="0.3">
      <c r="A5" s="9" t="s">
        <v>172</v>
      </c>
      <c r="B5" s="9" t="s">
        <v>173</v>
      </c>
      <c r="C5" s="9" t="s">
        <v>174</v>
      </c>
      <c r="D5" s="9" t="s">
        <v>175</v>
      </c>
      <c r="E5" s="9" t="s">
        <v>154</v>
      </c>
      <c r="F5" s="9" t="s">
        <v>155</v>
      </c>
      <c r="G5" s="9" t="s">
        <v>176</v>
      </c>
      <c r="H5" s="9" t="s">
        <v>170</v>
      </c>
      <c r="I5" s="11">
        <v>3</v>
      </c>
      <c r="J5" s="16">
        <f>IF(OR(A5="",N5="—"),"",IFERROR(AVERAGE(INDEX(KPI_Mensal!$A$5:$O$16,0,MATCH(N5,KPI_Mensal!$A$4:$O$4,0))),""))</f>
        <v>4.6664494959884921</v>
      </c>
      <c r="K5" s="18" t="str">
        <f>IFERROR(INDEX(tbl_objetivos[ID_OBJ],MATCH(A5,tbl_objetivos[ID_KPI],0)),"")</f>
        <v>OBJ-Q-03</v>
      </c>
      <c r="L5" s="18" t="str">
        <f>IFERROR(INDEX(tbl_plano_monitorizacao[ID_MED],MATCH(A5,tbl_plano_monitorizacao[ID_KPI],0)),"")</f>
        <v>PMM-08</v>
      </c>
      <c r="M5" s="9" t="s">
        <v>171</v>
      </c>
      <c r="N5" s="9" t="s">
        <v>127</v>
      </c>
    </row>
    <row r="6" spans="1:14" ht="30" customHeight="1" x14ac:dyDescent="0.3">
      <c r="A6" s="9" t="s">
        <v>177</v>
      </c>
      <c r="B6" s="9" t="s">
        <v>178</v>
      </c>
      <c r="C6" s="9" t="s">
        <v>179</v>
      </c>
      <c r="D6" s="9" t="s">
        <v>180</v>
      </c>
      <c r="E6" s="9" t="s">
        <v>154</v>
      </c>
      <c r="F6" s="9" t="s">
        <v>155</v>
      </c>
      <c r="G6" s="9" t="s">
        <v>181</v>
      </c>
      <c r="H6" s="9" t="s">
        <v>182</v>
      </c>
      <c r="I6" s="11">
        <v>5</v>
      </c>
      <c r="J6" s="16">
        <f>IF(OR(A6="",N6="—"),"",IFERROR(AVERAGE(INDEX(KPI_Mensal!$A$5:$O$16,0,MATCH(N6,KPI_Mensal!$A$4:$O$4,0))),""))</f>
        <v>6.25</v>
      </c>
      <c r="K6" s="18" t="str">
        <f>IFERROR(INDEX(tbl_objetivos[ID_OBJ],MATCH(A6,tbl_objetivos[ID_KPI],0)),"")</f>
        <v/>
      </c>
      <c r="L6" s="18" t="str">
        <f>IFERROR(INDEX(tbl_plano_monitorizacao[ID_MED],MATCH(A6,tbl_plano_monitorizacao[ID_KPI],0)),"")</f>
        <v/>
      </c>
      <c r="M6" s="9" t="s">
        <v>183</v>
      </c>
      <c r="N6" s="9" t="s">
        <v>88</v>
      </c>
    </row>
    <row r="7" spans="1:14" ht="30" customHeight="1" x14ac:dyDescent="0.3">
      <c r="A7" s="9" t="s">
        <v>184</v>
      </c>
      <c r="B7" s="9" t="s">
        <v>185</v>
      </c>
      <c r="C7" s="9" t="s">
        <v>186</v>
      </c>
      <c r="D7" s="9" t="s">
        <v>187</v>
      </c>
      <c r="E7" s="9" t="s">
        <v>154</v>
      </c>
      <c r="F7" s="9" t="s">
        <v>155</v>
      </c>
      <c r="G7" s="9" t="s">
        <v>188</v>
      </c>
      <c r="H7" s="9" t="s">
        <v>170</v>
      </c>
      <c r="I7" s="11">
        <v>20</v>
      </c>
      <c r="J7" s="16">
        <f>IF(OR(A7="",N7="—"),"",IFERROR(AVERAGE(INDEX(KPI_Mensal!$A$5:$O$16,0,MATCH(N7,KPI_Mensal!$A$4:$O$4,0))),""))</f>
        <v>18.503397612488524</v>
      </c>
      <c r="K7" s="18" t="str">
        <f>IFERROR(INDEX(tbl_objetivos[ID_OBJ],MATCH(A7,tbl_objetivos[ID_KPI],0)),"")</f>
        <v/>
      </c>
      <c r="L7" s="18" t="str">
        <f>IFERROR(INDEX(tbl_plano_monitorizacao[ID_MED],MATCH(A7,tbl_plano_monitorizacao[ID_KPI],0)),"")</f>
        <v/>
      </c>
      <c r="M7" s="9" t="s">
        <v>171</v>
      </c>
      <c r="N7" s="9" t="s">
        <v>128</v>
      </c>
    </row>
    <row r="8" spans="1:14" ht="30" customHeight="1" x14ac:dyDescent="0.3">
      <c r="A8" s="9" t="s">
        <v>189</v>
      </c>
      <c r="B8" s="9" t="s">
        <v>190</v>
      </c>
      <c r="C8" s="9" t="s">
        <v>191</v>
      </c>
      <c r="D8" s="9" t="s">
        <v>153</v>
      </c>
      <c r="E8" s="9" t="s">
        <v>162</v>
      </c>
      <c r="F8" s="9" t="s">
        <v>155</v>
      </c>
      <c r="G8" s="9" t="s">
        <v>192</v>
      </c>
      <c r="H8" s="9" t="s">
        <v>157</v>
      </c>
      <c r="I8" s="11">
        <v>0.80500000000000005</v>
      </c>
      <c r="J8" s="16">
        <f>IF(OR(A8="",N8="—"),"",IFERROR(AVERAGE(INDEX(KPI_Mensal!$A$5:$O$16,0,MATCH(N8,KPI_Mensal!$A$4:$O$4,0))),""))</f>
        <v>0.76406083607339748</v>
      </c>
      <c r="K8" s="18" t="str">
        <f>IFERROR(INDEX(tbl_objetivos[ID_OBJ],MATCH(A8,tbl_objetivos[ID_KPI],0)),"")</f>
        <v/>
      </c>
      <c r="L8" s="18" t="str">
        <f>IFERROR(INDEX(tbl_plano_monitorizacao[ID_MED],MATCH(A8,tbl_plano_monitorizacao[ID_KPI],0)),"")</f>
        <v>PMM-05</v>
      </c>
      <c r="M8" s="9" t="s">
        <v>158</v>
      </c>
      <c r="N8" s="9" t="s">
        <v>129</v>
      </c>
    </row>
    <row r="9" spans="1:14" ht="30" customHeight="1" x14ac:dyDescent="0.3">
      <c r="A9" s="9" t="s">
        <v>193</v>
      </c>
      <c r="B9" s="9" t="s">
        <v>194</v>
      </c>
      <c r="C9" s="9" t="s">
        <v>195</v>
      </c>
      <c r="D9" s="9" t="s">
        <v>153</v>
      </c>
      <c r="E9" s="9" t="s">
        <v>162</v>
      </c>
      <c r="F9" s="9" t="s">
        <v>155</v>
      </c>
      <c r="G9" s="9" t="s">
        <v>196</v>
      </c>
      <c r="H9" s="9" t="s">
        <v>197</v>
      </c>
      <c r="I9" s="11">
        <v>0.95</v>
      </c>
      <c r="J9" s="16">
        <f>IF(OR(A9="",N9="—"),"",IFERROR(AVERAGE(INDEX(KPI_Mensal!$A$5:$O$16,0,MATCH(N9,KPI_Mensal!$A$4:$O$4,0))),""))</f>
        <v>0.89544560116109484</v>
      </c>
      <c r="K9" s="18" t="str">
        <f>IFERROR(INDEX(tbl_objetivos[ID_OBJ],MATCH(A9,tbl_objetivos[ID_KPI],0)),"")</f>
        <v>OBJ-Q-07</v>
      </c>
      <c r="L9" s="18" t="str">
        <f>IFERROR(INDEX(tbl_plano_monitorizacao[ID_MED],MATCH(A9,tbl_plano_monitorizacao[ID_KPI],0)),"")</f>
        <v>PMM-06</v>
      </c>
      <c r="M9" s="9" t="s">
        <v>198</v>
      </c>
      <c r="N9" s="9" t="s">
        <v>94</v>
      </c>
    </row>
    <row r="10" spans="1:14" ht="30" customHeight="1" x14ac:dyDescent="0.3">
      <c r="A10" s="9" t="s">
        <v>199</v>
      </c>
      <c r="B10" s="9" t="s">
        <v>200</v>
      </c>
      <c r="C10" s="9" t="s">
        <v>201</v>
      </c>
      <c r="D10" s="9" t="s">
        <v>187</v>
      </c>
      <c r="E10" s="9" t="s">
        <v>154</v>
      </c>
      <c r="F10" s="9" t="s">
        <v>155</v>
      </c>
      <c r="G10" s="9" t="s">
        <v>202</v>
      </c>
      <c r="H10" s="9" t="s">
        <v>197</v>
      </c>
      <c r="I10" s="11">
        <v>7</v>
      </c>
      <c r="J10" s="16">
        <f>IF(OR(A10="",N10="—"),"",IFERROR(AVERAGE(INDEX(KPI_Mensal!$A$5:$O$16,0,MATCH(N10,KPI_Mensal!$A$4:$O$4,0))),""))</f>
        <v>5.9294642857142863</v>
      </c>
      <c r="K10" s="18" t="str">
        <f>IFERROR(INDEX(tbl_objetivos[ID_OBJ],MATCH(A10,tbl_objetivos[ID_KPI],0)),"")</f>
        <v/>
      </c>
      <c r="L10" s="18" t="str">
        <f>IFERROR(INDEX(tbl_plano_monitorizacao[ID_MED],MATCH(A10,tbl_plano_monitorizacao[ID_KPI],0)),"")</f>
        <v/>
      </c>
      <c r="M10" s="9" t="s">
        <v>198</v>
      </c>
      <c r="N10" s="9" t="s">
        <v>130</v>
      </c>
    </row>
    <row r="11" spans="1:14" ht="30" customHeight="1" x14ac:dyDescent="0.3">
      <c r="A11" s="9" t="s">
        <v>203</v>
      </c>
      <c r="B11" s="9" t="s">
        <v>204</v>
      </c>
      <c r="C11" s="9" t="s">
        <v>205</v>
      </c>
      <c r="D11" s="9" t="s">
        <v>153</v>
      </c>
      <c r="E11" s="9" t="s">
        <v>162</v>
      </c>
      <c r="F11" s="9" t="s">
        <v>155</v>
      </c>
      <c r="G11" s="9" t="s">
        <v>206</v>
      </c>
      <c r="H11" s="9" t="s">
        <v>11</v>
      </c>
      <c r="I11" s="11">
        <v>0.85</v>
      </c>
      <c r="J11" s="16">
        <f>IF(OR(A11="",N11="—"),"",IFERROR(AVERAGE(INDEX(KPI_Mensal!$A$5:$O$16,0,MATCH(N11,KPI_Mensal!$A$4:$O$4,0))),""))</f>
        <v>0.4824697246397639</v>
      </c>
      <c r="K11" s="18" t="str">
        <f>IFERROR(INDEX(tbl_objetivos[ID_OBJ],MATCH(A11,tbl_objetivos[ID_KPI],0)),"")</f>
        <v>OBJ-Q-05</v>
      </c>
      <c r="L11" s="18" t="str">
        <f>IFERROR(INDEX(tbl_plano_monitorizacao[ID_MED],MATCH(A11,tbl_plano_monitorizacao[ID_KPI],0)),"")</f>
        <v/>
      </c>
      <c r="M11" s="9" t="s">
        <v>207</v>
      </c>
      <c r="N11" s="9" t="s">
        <v>131</v>
      </c>
    </row>
    <row r="12" spans="1:14" ht="30" customHeight="1" x14ac:dyDescent="0.3">
      <c r="A12" s="9" t="s">
        <v>208</v>
      </c>
      <c r="B12" s="9" t="s">
        <v>209</v>
      </c>
      <c r="C12" s="9" t="s">
        <v>210</v>
      </c>
      <c r="D12" s="9" t="s">
        <v>153</v>
      </c>
      <c r="E12" s="9" t="s">
        <v>162</v>
      </c>
      <c r="F12" s="9" t="s">
        <v>155</v>
      </c>
      <c r="G12" s="9" t="s">
        <v>211</v>
      </c>
      <c r="H12" s="9" t="s">
        <v>11</v>
      </c>
      <c r="I12" s="11">
        <v>0.8</v>
      </c>
      <c r="J12" s="16">
        <f>IF(OR(A12="",N12="—"),"",IFERROR(AVERAGE(INDEX(KPI_Mensal!$A$5:$O$16,0,MATCH(N12,KPI_Mensal!$A$4:$O$4,0))),""))</f>
        <v>0.54713007403224789</v>
      </c>
      <c r="K12" s="18" t="str">
        <f>IFERROR(INDEX(tbl_objetivos[ID_OBJ],MATCH(A12,tbl_objetivos[ID_KPI],0)),"")</f>
        <v/>
      </c>
      <c r="L12" s="18" t="str">
        <f>IFERROR(INDEX(tbl_plano_monitorizacao[ID_MED],MATCH(A12,tbl_plano_monitorizacao[ID_KPI],0)),"")</f>
        <v>PMM-10</v>
      </c>
      <c r="M12" s="9" t="s">
        <v>207</v>
      </c>
      <c r="N12" s="9" t="s">
        <v>132</v>
      </c>
    </row>
    <row r="13" spans="1:14" ht="30" customHeight="1" x14ac:dyDescent="0.3">
      <c r="A13" s="9" t="s">
        <v>212</v>
      </c>
      <c r="B13" s="9" t="s">
        <v>213</v>
      </c>
      <c r="C13" s="9" t="s">
        <v>214</v>
      </c>
      <c r="D13" s="9" t="s">
        <v>153</v>
      </c>
      <c r="E13" s="9" t="s">
        <v>154</v>
      </c>
      <c r="F13" s="9" t="s">
        <v>155</v>
      </c>
      <c r="G13" s="9" t="s">
        <v>215</v>
      </c>
      <c r="H13" s="9" t="s">
        <v>11</v>
      </c>
      <c r="I13" s="11">
        <v>0.01</v>
      </c>
      <c r="J13" s="16">
        <f>IF(OR(A13="",N13="—"),"",IFERROR(AVERAGE(INDEX(KPI_Mensal!$A$5:$O$16,0,MATCH(N13,KPI_Mensal!$A$4:$O$4,0))),""))</f>
        <v>1.6581068776958117E-2</v>
      </c>
      <c r="K13" s="18" t="str">
        <f>IFERROR(INDEX(tbl_objetivos[ID_OBJ],MATCH(A13,tbl_objetivos[ID_KPI],0)),"")</f>
        <v/>
      </c>
      <c r="L13" s="18" t="str">
        <f>IFERROR(INDEX(tbl_plano_monitorizacao[ID_MED],MATCH(A13,tbl_plano_monitorizacao[ID_KPI],0)),"")</f>
        <v/>
      </c>
      <c r="M13" s="9" t="s">
        <v>164</v>
      </c>
      <c r="N13" s="9" t="s">
        <v>133</v>
      </c>
    </row>
    <row r="14" spans="1:14" ht="30" customHeight="1" x14ac:dyDescent="0.3">
      <c r="A14" s="9" t="s">
        <v>216</v>
      </c>
      <c r="B14" s="9" t="s">
        <v>217</v>
      </c>
      <c r="C14" s="9" t="s">
        <v>218</v>
      </c>
      <c r="D14" s="9" t="s">
        <v>153</v>
      </c>
      <c r="E14" s="9" t="s">
        <v>162</v>
      </c>
      <c r="F14" s="9" t="s">
        <v>155</v>
      </c>
      <c r="G14" s="9" t="s">
        <v>219</v>
      </c>
      <c r="H14" s="9" t="s">
        <v>11</v>
      </c>
      <c r="I14" s="11">
        <v>0.7</v>
      </c>
      <c r="J14" s="16">
        <f>IF(OR(A14="",N14="—"),"",IFERROR(AVERAGE(INDEX(KPI_Mensal!$A$5:$O$16,0,MATCH(N14,KPI_Mensal!$A$4:$O$4,0))),""))</f>
        <v>0.46574502710173782</v>
      </c>
      <c r="K14" s="18" t="str">
        <f>IFERROR(INDEX(tbl_objetivos[ID_OBJ],MATCH(A14,tbl_objetivos[ID_KPI],0)),"")</f>
        <v>OBJ-Q-04</v>
      </c>
      <c r="L14" s="18" t="str">
        <f>IFERROR(INDEX(tbl_plano_monitorizacao[ID_MED],MATCH(A14,tbl_plano_monitorizacao[ID_KPI],0)),"")</f>
        <v>PMM-01</v>
      </c>
      <c r="M14" s="9" t="s">
        <v>164</v>
      </c>
      <c r="N14" s="9" t="s">
        <v>134</v>
      </c>
    </row>
    <row r="15" spans="1:14" ht="30" customHeight="1" x14ac:dyDescent="0.3">
      <c r="A15" s="9" t="s">
        <v>220</v>
      </c>
      <c r="B15" s="9" t="s">
        <v>221</v>
      </c>
      <c r="C15" s="9" t="s">
        <v>222</v>
      </c>
      <c r="D15" s="9" t="s">
        <v>153</v>
      </c>
      <c r="E15" s="9" t="s">
        <v>162</v>
      </c>
      <c r="F15" s="9" t="s">
        <v>223</v>
      </c>
      <c r="G15" s="9" t="s">
        <v>224</v>
      </c>
      <c r="H15" s="9" t="s">
        <v>170</v>
      </c>
      <c r="I15" s="11">
        <v>0.8</v>
      </c>
      <c r="J15" s="16" t="str">
        <f>IF(OR(A15="",N15="—"),"",IFERROR(AVERAGE(INDEX(KPI_Mensal!$A$5:$O$16,0,MATCH(N15,KPI_Mensal!$A$4:$O$4,0))),""))</f>
        <v/>
      </c>
      <c r="K15" s="18" t="str">
        <f>IFERROR(INDEX(tbl_objetivos[ID_OBJ],MATCH(A15,tbl_objetivos[ID_KPI],0)),"")</f>
        <v>OBJ-Q-06</v>
      </c>
      <c r="L15" s="18" t="str">
        <f>IFERROR(INDEX(tbl_plano_monitorizacao[ID_MED],MATCH(A15,tbl_plano_monitorizacao[ID_KPI],0)),"")</f>
        <v>PMM-07</v>
      </c>
      <c r="M15" s="9" t="s">
        <v>171</v>
      </c>
      <c r="N15" s="9" t="s">
        <v>225</v>
      </c>
    </row>
    <row r="16" spans="1:14" ht="30" customHeight="1" x14ac:dyDescent="0.3">
      <c r="A16" s="9" t="s">
        <v>226</v>
      </c>
      <c r="B16" s="9" t="s">
        <v>227</v>
      </c>
      <c r="C16" s="9" t="s">
        <v>228</v>
      </c>
      <c r="D16" s="9" t="s">
        <v>229</v>
      </c>
      <c r="E16" s="9" t="s">
        <v>162</v>
      </c>
      <c r="F16" s="9" t="s">
        <v>223</v>
      </c>
      <c r="G16" s="9" t="s">
        <v>224</v>
      </c>
      <c r="H16" s="9" t="s">
        <v>170</v>
      </c>
      <c r="I16" s="11">
        <v>30</v>
      </c>
      <c r="J16" s="16" t="str">
        <f>IF(OR(A16="",N16="—"),"",IFERROR(AVERAGE(INDEX(KPI_Mensal!$A$5:$O$16,0,MATCH(N16,KPI_Mensal!$A$4:$O$4,0))),""))</f>
        <v/>
      </c>
      <c r="K16" s="18" t="str">
        <f>IFERROR(INDEX(tbl_objetivos[ID_OBJ],MATCH(A16,tbl_objetivos[ID_KPI],0)),"")</f>
        <v/>
      </c>
      <c r="L16" s="18" t="str">
        <f>IFERROR(INDEX(tbl_plano_monitorizacao[ID_MED],MATCH(A16,tbl_plano_monitorizacao[ID_KPI],0)),"")</f>
        <v/>
      </c>
      <c r="M16" s="9" t="s">
        <v>171</v>
      </c>
      <c r="N16" s="9" t="s">
        <v>225</v>
      </c>
    </row>
    <row r="17" spans="1:14" ht="30" customHeight="1" x14ac:dyDescent="0.3">
      <c r="A17" s="9" t="s">
        <v>230</v>
      </c>
      <c r="B17" s="9" t="s">
        <v>231</v>
      </c>
      <c r="C17" s="9" t="s">
        <v>232</v>
      </c>
      <c r="D17" s="9" t="s">
        <v>153</v>
      </c>
      <c r="E17" s="9" t="s">
        <v>154</v>
      </c>
      <c r="F17" s="9" t="s">
        <v>155</v>
      </c>
      <c r="G17" s="9" t="s">
        <v>233</v>
      </c>
      <c r="H17" s="9" t="s">
        <v>234</v>
      </c>
      <c r="I17" s="11">
        <v>0.03</v>
      </c>
      <c r="J17" s="16" t="str">
        <f>IF(OR(A17="",N17="—"),"",IFERROR(AVERAGE(INDEX(KPI_Mensal!$A$5:$O$16,0,MATCH(N17,KPI_Mensal!$A$4:$O$4,0))),""))</f>
        <v/>
      </c>
      <c r="K17" s="18" t="str">
        <f>IFERROR(INDEX(tbl_objetivos[ID_OBJ],MATCH(A17,tbl_objetivos[ID_KPI],0)),"")</f>
        <v/>
      </c>
      <c r="L17" s="18" t="str">
        <f>IFERROR(INDEX(tbl_plano_monitorizacao[ID_MED],MATCH(A17,tbl_plano_monitorizacao[ID_KPI],0)),"")</f>
        <v>PMM-13</v>
      </c>
      <c r="M17" s="9" t="s">
        <v>235</v>
      </c>
      <c r="N17" s="9" t="s">
        <v>225</v>
      </c>
    </row>
    <row r="18" spans="1:14" ht="30" customHeight="1" x14ac:dyDescent="0.3">
      <c r="A18" s="9" t="s">
        <v>236</v>
      </c>
      <c r="B18" s="9" t="s">
        <v>237</v>
      </c>
      <c r="C18" s="9" t="s">
        <v>238</v>
      </c>
      <c r="D18" s="9" t="s">
        <v>153</v>
      </c>
      <c r="E18" s="9" t="s">
        <v>162</v>
      </c>
      <c r="F18" s="9" t="s">
        <v>155</v>
      </c>
      <c r="G18" s="9" t="s">
        <v>239</v>
      </c>
      <c r="H18" s="9" t="s">
        <v>11</v>
      </c>
      <c r="I18" s="11">
        <v>1</v>
      </c>
      <c r="J18" s="16" t="str">
        <f>IF(OR(A18="",N18="—"),"",IFERROR(AVERAGE(INDEX(KPI_Mensal!$A$5:$O$16,0,MATCH(N18,KPI_Mensal!$A$4:$O$4,0))),""))</f>
        <v/>
      </c>
      <c r="K18" s="18" t="str">
        <f>IFERROR(INDEX(tbl_objetivos[ID_OBJ],MATCH(A18,tbl_objetivos[ID_KPI],0)),"")</f>
        <v/>
      </c>
      <c r="L18" s="18" t="str">
        <f>IFERROR(INDEX(tbl_plano_monitorizacao[ID_MED],MATCH(A18,tbl_plano_monitorizacao[ID_KPI],0)),"")</f>
        <v>PMM-12</v>
      </c>
      <c r="M18" s="9" t="s">
        <v>240</v>
      </c>
      <c r="N18" s="9" t="s">
        <v>225</v>
      </c>
    </row>
    <row r="19" spans="1:14" ht="30" customHeight="1" x14ac:dyDescent="0.3">
      <c r="A19" s="9" t="s">
        <v>241</v>
      </c>
      <c r="B19" s="9" t="s">
        <v>242</v>
      </c>
      <c r="C19" s="9" t="s">
        <v>243</v>
      </c>
      <c r="D19" s="9" t="s">
        <v>153</v>
      </c>
      <c r="E19" s="9" t="s">
        <v>162</v>
      </c>
      <c r="F19" s="9" t="s">
        <v>244</v>
      </c>
      <c r="G19" s="9" t="s">
        <v>245</v>
      </c>
      <c r="H19" s="9" t="s">
        <v>246</v>
      </c>
      <c r="I19" s="11">
        <v>0.9</v>
      </c>
      <c r="J19" s="16" t="str">
        <f>IF(OR(A19="",N19="—"),"",IFERROR(AVERAGE(INDEX(KPI_Mensal!$A$5:$O$16,0,MATCH(N19,KPI_Mensal!$A$4:$O$4,0))),""))</f>
        <v/>
      </c>
      <c r="K19" s="18" t="str">
        <f>IFERROR(INDEX(tbl_objetivos[ID_OBJ],MATCH(A19,tbl_objetivos[ID_KPI],0)),"")</f>
        <v/>
      </c>
      <c r="L19" s="18" t="str">
        <f>IFERROR(INDEX(tbl_plano_monitorizacao[ID_MED],MATCH(A19,tbl_plano_monitorizacao[ID_KPI],0)),"")</f>
        <v/>
      </c>
      <c r="M19" s="9" t="s">
        <v>247</v>
      </c>
      <c r="N19" s="9" t="s">
        <v>225</v>
      </c>
    </row>
    <row r="20" spans="1:14" ht="30" customHeight="1" x14ac:dyDescent="0.3">
      <c r="A20" s="9" t="s">
        <v>248</v>
      </c>
      <c r="B20" s="9" t="s">
        <v>249</v>
      </c>
      <c r="C20" s="9" t="s">
        <v>250</v>
      </c>
      <c r="D20" s="9" t="s">
        <v>153</v>
      </c>
      <c r="E20" s="9" t="s">
        <v>162</v>
      </c>
      <c r="F20" s="9" t="s">
        <v>244</v>
      </c>
      <c r="G20" s="9" t="s">
        <v>251</v>
      </c>
      <c r="H20" s="9" t="s">
        <v>11</v>
      </c>
      <c r="I20" s="11">
        <v>1</v>
      </c>
      <c r="J20" s="16" t="str">
        <f>IF(OR(A20="",N20="—"),"",IFERROR(AVERAGE(INDEX(KPI_Mensal!$A$5:$O$16,0,MATCH(N20,KPI_Mensal!$A$4:$O$4,0))),""))</f>
        <v/>
      </c>
      <c r="K20" s="18" t="str">
        <f>IFERROR(INDEX(tbl_objetivos[ID_OBJ],MATCH(A20,tbl_objetivos[ID_KPI],0)),"")</f>
        <v/>
      </c>
      <c r="L20" s="18" t="str">
        <f>IFERROR(INDEX(tbl_plano_monitorizacao[ID_MED],MATCH(A20,tbl_plano_monitorizacao[ID_KPI],0)),"")</f>
        <v>PMM-14</v>
      </c>
      <c r="M20" s="9" t="s">
        <v>207</v>
      </c>
      <c r="N20" s="9" t="s">
        <v>225</v>
      </c>
    </row>
    <row r="21" spans="1:14" ht="30" customHeight="1" x14ac:dyDescent="0.3">
      <c r="A21" s="9" t="s">
        <v>252</v>
      </c>
      <c r="B21" s="9" t="s">
        <v>253</v>
      </c>
      <c r="C21" s="9" t="s">
        <v>254</v>
      </c>
      <c r="D21" s="9" t="s">
        <v>153</v>
      </c>
      <c r="E21" s="9" t="s">
        <v>162</v>
      </c>
      <c r="F21" s="9" t="s">
        <v>155</v>
      </c>
      <c r="G21" s="9" t="s">
        <v>255</v>
      </c>
      <c r="H21" s="9" t="s">
        <v>182</v>
      </c>
      <c r="I21" s="11">
        <v>0.97</v>
      </c>
      <c r="J21" s="16">
        <f>IF(OR(A21="",N21="—"),"",IFERROR(AVERAGE(INDEX(KPI_Mensal!$A$5:$O$16,0,MATCH(N21,KPI_Mensal!$A$4:$O$4,0))),""))</f>
        <v>0.96048579601289186</v>
      </c>
      <c r="K21" s="18" t="str">
        <f>IFERROR(INDEX(tbl_objetivos[ID_OBJ],MATCH(A21,tbl_objetivos[ID_KPI],0)),"")</f>
        <v>OBJ-Q-08</v>
      </c>
      <c r="L21" s="18" t="str">
        <f>IFERROR(INDEX(tbl_plano_monitorizacao[ID_MED],MATCH(A21,tbl_plano_monitorizacao[ID_KPI],0)),"")</f>
        <v/>
      </c>
      <c r="M21" s="9" t="s">
        <v>183</v>
      </c>
      <c r="N21" s="9" t="s">
        <v>135</v>
      </c>
    </row>
  </sheetData>
  <dataValidations count="4">
    <dataValidation type="list" allowBlank="1" showErrorMessage="1" errorTitle="Valor inválido" error="Valor fora da lista controlada (ver folha Listas)." sqref="E2:E221" xr:uid="{00000000-0002-0000-0300-000000000000}">
      <formula1>lst_Polaridade</formula1>
    </dataValidation>
    <dataValidation type="list" allowBlank="1" showErrorMessage="1" errorTitle="Valor inválido" error="Valor fora da lista controlada (ver folha Listas)." sqref="F2:F221" xr:uid="{00000000-0002-0000-0300-000001000000}">
      <formula1>lst_Frequencia</formula1>
    </dataValidation>
    <dataValidation type="list" allowBlank="1" showErrorMessage="1" errorTitle="Valor inválido" error="Valor fora da lista controlada (ver folha Listas)." sqref="H2:H221" xr:uid="{00000000-0002-0000-0300-000002000000}">
      <formula1>lst_Funcao</formula1>
    </dataValidation>
    <dataValidation type="list" allowBlank="1" showErrorMessage="1" errorTitle="Valor inválido" error="Valor fora da lista controlada (ver folha Listas)." sqref="M2:M221" xr:uid="{00000000-0002-0000-0300-000003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I19"/>
  <sheetViews>
    <sheetView showGridLines="0" workbookViewId="0"/>
  </sheetViews>
  <sheetFormatPr defaultRowHeight="14.4" x14ac:dyDescent="0.3"/>
  <cols>
    <col min="1" max="1" width="10" customWidth="1"/>
    <col min="2" max="2" width="44" customWidth="1"/>
    <col min="3" max="3" width="10" customWidth="1"/>
    <col min="4" max="4" width="11" customWidth="1"/>
    <col min="5" max="6" width="12" customWidth="1"/>
    <col min="7" max="7" width="10" customWidth="1"/>
    <col min="8" max="9" width="12" customWidth="1"/>
  </cols>
  <sheetData>
    <row r="1" spans="1:9" ht="17.399999999999999" x14ac:dyDescent="0.3">
      <c r="A1" s="1" t="s">
        <v>256</v>
      </c>
    </row>
    <row r="2" spans="1:9" x14ac:dyDescent="0.3">
      <c r="A2" s="2" t="s">
        <v>257</v>
      </c>
    </row>
    <row r="4" spans="1:9" ht="26.4" x14ac:dyDescent="0.3">
      <c r="A4" s="8" t="s">
        <v>136</v>
      </c>
      <c r="B4" s="8" t="s">
        <v>258</v>
      </c>
      <c r="C4" s="8" t="s">
        <v>144</v>
      </c>
      <c r="D4" s="8" t="s">
        <v>259</v>
      </c>
      <c r="E4" s="8" t="s">
        <v>260</v>
      </c>
      <c r="F4" s="8" t="s">
        <v>261</v>
      </c>
      <c r="G4" s="8" t="s">
        <v>140</v>
      </c>
      <c r="H4" s="8" t="s">
        <v>14</v>
      </c>
      <c r="I4" s="8" t="s">
        <v>262</v>
      </c>
    </row>
    <row r="5" spans="1:9" x14ac:dyDescent="0.3">
      <c r="A5" s="19" t="s">
        <v>150</v>
      </c>
      <c r="B5" s="19" t="s">
        <v>151</v>
      </c>
      <c r="C5" s="20">
        <f>INDEX(tbl_kpi[Meta],MATCH(A5,tbl_kpi[ID_KPI],0))</f>
        <v>0.02</v>
      </c>
      <c r="D5" s="20">
        <f>INDEX(tbl_kpi_mensal[Taxa_Rejeicao],18)</f>
        <v>2.2511394769661464E-2</v>
      </c>
      <c r="E5" s="20">
        <f>AVERAGE(INDEX(tbl_kpi_mensal[Taxa_Rejeicao],7):INDEX(tbl_kpi_mensal[Taxa_Rejeicao],18))</f>
        <v>2.3383413748742459E-2</v>
      </c>
      <c r="F5" s="21">
        <f>SLOPE(INDEX(tbl_kpi_mensal[Taxa_Rejeicao],13):INDEX(tbl_kpi_mensal[Taxa_Rejeicao],18),{1;2;3;4;5;6})</f>
        <v>-2.8825750932954886E-6</v>
      </c>
      <c r="G5" s="19" t="str">
        <f>INDEX(tbl_kpi[Polaridade],MATCH(A5,tbl_kpi[ID_KPI],0))</f>
        <v>Menor</v>
      </c>
      <c r="H5" s="19" t="str">
        <f t="shared" ref="H5:H18" si="0">IF(G5="Maior",IF(D5&gt;=C5,"Cumpre","Não cumpre"),IF(D5&lt;=C5,"Cumpre","Não cumpre"))</f>
        <v>Não cumpre</v>
      </c>
      <c r="I5" s="19" t="str">
        <f t="shared" ref="I5:I18" si="1">IF(G5="Maior",IF(F5&gt;0,"A melhorar","A piorar"),IF(F5&lt;0,"A melhorar","A piorar"))</f>
        <v>A melhorar</v>
      </c>
    </row>
    <row r="6" spans="1:9" x14ac:dyDescent="0.3">
      <c r="A6" s="19" t="s">
        <v>159</v>
      </c>
      <c r="B6" s="19" t="s">
        <v>160</v>
      </c>
      <c r="C6" s="20">
        <f>INDEX(tbl_kpi[Meta],MATCH(A6,tbl_kpi[ID_KPI],0))</f>
        <v>0.92</v>
      </c>
      <c r="D6" s="20">
        <f>INDEX(tbl_kpi_mensal[FPY_Lotes],18)</f>
        <v>0.85</v>
      </c>
      <c r="E6" s="20">
        <f>AVERAGE(INDEX(tbl_kpi_mensal[FPY_Lotes],7):INDEX(tbl_kpi_mensal[FPY_Lotes],18))</f>
        <v>0.85786631419484616</v>
      </c>
      <c r="F6" s="21">
        <f>SLOPE(INDEX(tbl_kpi_mensal[FPY_Lotes],13):INDEX(tbl_kpi_mensal[FPY_Lotes],18),{1;2;3;4;5;6})</f>
        <v>-7.0553384595590476E-6</v>
      </c>
      <c r="G6" s="19" t="str">
        <f>INDEX(tbl_kpi[Polaridade],MATCH(A6,tbl_kpi[ID_KPI],0))</f>
        <v>Maior</v>
      </c>
      <c r="H6" s="19" t="str">
        <f t="shared" si="0"/>
        <v>Não cumpre</v>
      </c>
      <c r="I6" s="19" t="str">
        <f t="shared" si="1"/>
        <v>A piorar</v>
      </c>
    </row>
    <row r="7" spans="1:9" x14ac:dyDescent="0.3">
      <c r="A7" s="19" t="s">
        <v>165</v>
      </c>
      <c r="B7" s="19" t="s">
        <v>166</v>
      </c>
      <c r="C7" s="10">
        <f>INDEX(tbl_kpi[Meta],MATCH(A7,tbl_kpi[ID_KPI],0))</f>
        <v>150</v>
      </c>
      <c r="D7" s="10">
        <f>INDEX(tbl_kpi_mensal[PPM_Cliente],18)</f>
        <v>221.30130067038186</v>
      </c>
      <c r="E7" s="10">
        <f>AVERAGE(INDEX(tbl_kpi_mensal[PPM_Cliente],7):INDEX(tbl_kpi_mensal[PPM_Cliente],18))</f>
        <v>237.84830520197417</v>
      </c>
      <c r="F7" s="22">
        <f>SLOPE(INDEX(tbl_kpi_mensal[PPM_Cliente],13):INDEX(tbl_kpi_mensal[PPM_Cliente],18),{1;2;3;4;5;6})</f>
        <v>4.362814075573155</v>
      </c>
      <c r="G7" s="19" t="str">
        <f>INDEX(tbl_kpi[Polaridade],MATCH(A7,tbl_kpi[ID_KPI],0))</f>
        <v>Menor</v>
      </c>
      <c r="H7" s="19" t="str">
        <f t="shared" si="0"/>
        <v>Não cumpre</v>
      </c>
      <c r="I7" s="19" t="str">
        <f t="shared" si="1"/>
        <v>A piorar</v>
      </c>
    </row>
    <row r="8" spans="1:9" ht="26.4" x14ac:dyDescent="0.3">
      <c r="A8" s="19" t="s">
        <v>172</v>
      </c>
      <c r="B8" s="19" t="s">
        <v>173</v>
      </c>
      <c r="C8" s="11">
        <f>INDEX(tbl_kpi[Meta],MATCH(A8,tbl_kpi[ID_KPI],0))</f>
        <v>3</v>
      </c>
      <c r="D8" s="11">
        <f>INDEX(tbl_kpi_mensal[CPMU],18)</f>
        <v>4.2019234304502886</v>
      </c>
      <c r="E8" s="11">
        <f>AVERAGE(INDEX(tbl_kpi_mensal[CPMU],7):INDEX(tbl_kpi_mensal[CPMU],18))</f>
        <v>4.4303479021144474</v>
      </c>
      <c r="F8" s="22">
        <f>SLOPE(INDEX(tbl_kpi_mensal[CPMU],13):INDEX(tbl_kpi_mensal[CPMU],18),{1;2;3;4;5;6})</f>
        <v>8.5136774657929865E-3</v>
      </c>
      <c r="G8" s="19" t="str">
        <f>INDEX(tbl_kpi[Polaridade],MATCH(A8,tbl_kpi[ID_KPI],0))</f>
        <v>Menor</v>
      </c>
      <c r="H8" s="19" t="str">
        <f t="shared" si="0"/>
        <v>Não cumpre</v>
      </c>
      <c r="I8" s="19" t="str">
        <f t="shared" si="1"/>
        <v>A piorar</v>
      </c>
    </row>
    <row r="9" spans="1:9" x14ac:dyDescent="0.3">
      <c r="A9" s="19" t="s">
        <v>177</v>
      </c>
      <c r="B9" s="19" t="s">
        <v>178</v>
      </c>
      <c r="C9" s="10">
        <f>INDEX(tbl_kpi[Meta],MATCH(A9,tbl_kpi[ID_KPI],0))</f>
        <v>5</v>
      </c>
      <c r="D9" s="10">
        <f>INDEX(tbl_kpi_mensal[Reclamacoes_Servico],18)</f>
        <v>4</v>
      </c>
      <c r="E9" s="10">
        <f>AVERAGE(INDEX(tbl_kpi_mensal[Reclamacoes_Servico],7):INDEX(tbl_kpi_mensal[Reclamacoes_Servico],18))</f>
        <v>5.666666666666667</v>
      </c>
      <c r="F9" s="22">
        <f>SLOPE(INDEX(tbl_kpi_mensal[Reclamacoes_Servico],13):INDEX(tbl_kpi_mensal[Reclamacoes_Servico],18),{1;2;3;4;5;6})</f>
        <v>0.25714285714285712</v>
      </c>
      <c r="G9" s="19" t="str">
        <f>INDEX(tbl_kpi[Polaridade],MATCH(A9,tbl_kpi[ID_KPI],0))</f>
        <v>Menor</v>
      </c>
      <c r="H9" s="19" t="str">
        <f t="shared" si="0"/>
        <v>Cumpre</v>
      </c>
      <c r="I9" s="19" t="str">
        <f t="shared" si="1"/>
        <v>A piorar</v>
      </c>
    </row>
    <row r="10" spans="1:9" x14ac:dyDescent="0.3">
      <c r="A10" s="19" t="s">
        <v>184</v>
      </c>
      <c r="B10" s="19" t="s">
        <v>185</v>
      </c>
      <c r="C10" s="23">
        <f>INDEX(tbl_kpi[Meta],MATCH(A10,tbl_kpi[ID_KPI],0))</f>
        <v>20</v>
      </c>
      <c r="D10" s="23">
        <f>INDEX(tbl_kpi_mensal[Dias_Resolucao],18)</f>
        <v>19.615384615384617</v>
      </c>
      <c r="E10" s="23">
        <f>AVERAGE(INDEX(tbl_kpi_mensal[Dias_Resolucao],7):INDEX(tbl_kpi_mensal[Dias_Resolucao],18))</f>
        <v>18.588705391830391</v>
      </c>
      <c r="F10" s="22">
        <f>SLOPE(INDEX(tbl_kpi_mensal[Dias_Resolucao],13):INDEX(tbl_kpi_mensal[Dias_Resolucao],18),{1;2;3;4;5;6})</f>
        <v>0.35415358451072743</v>
      </c>
      <c r="G10" s="19" t="str">
        <f>INDEX(tbl_kpi[Polaridade],MATCH(A10,tbl_kpi[ID_KPI],0))</f>
        <v>Menor</v>
      </c>
      <c r="H10" s="19" t="str">
        <f t="shared" si="0"/>
        <v>Cumpre</v>
      </c>
      <c r="I10" s="19" t="str">
        <f t="shared" si="1"/>
        <v>A piorar</v>
      </c>
    </row>
    <row r="11" spans="1:9" x14ac:dyDescent="0.3">
      <c r="A11" s="19" t="s">
        <v>189</v>
      </c>
      <c r="B11" s="19" t="s">
        <v>190</v>
      </c>
      <c r="C11" s="20">
        <f>INDEX(tbl_kpi[Meta],MATCH(A11,tbl_kpi[ID_KPI],0))</f>
        <v>0.80500000000000005</v>
      </c>
      <c r="D11" s="20">
        <f>INDEX(tbl_kpi_mensal[OEE],18)</f>
        <v>0.74672719879065919</v>
      </c>
      <c r="E11" s="20">
        <f>AVERAGE(INDEX(tbl_kpi_mensal[OEE],7):INDEX(tbl_kpi_mensal[OEE],18))</f>
        <v>0.75346606657351245</v>
      </c>
      <c r="F11" s="21">
        <f>SLOPE(INDEX(tbl_kpi_mensal[OEE],13):INDEX(tbl_kpi_mensal[OEE],18),{1;2;3;4;5;6})</f>
        <v>2.0364260786329153E-3</v>
      </c>
      <c r="G11" s="19" t="str">
        <f>INDEX(tbl_kpi[Polaridade],MATCH(A11,tbl_kpi[ID_KPI],0))</f>
        <v>Maior</v>
      </c>
      <c r="H11" s="19" t="str">
        <f t="shared" si="0"/>
        <v>Não cumpre</v>
      </c>
      <c r="I11" s="19" t="str">
        <f t="shared" si="1"/>
        <v>A melhorar</v>
      </c>
    </row>
    <row r="12" spans="1:9" x14ac:dyDescent="0.3">
      <c r="A12" s="19" t="s">
        <v>193</v>
      </c>
      <c r="B12" s="19" t="s">
        <v>194</v>
      </c>
      <c r="C12" s="20">
        <f>INDEX(tbl_kpi[Meta],MATCH(A12,tbl_kpi[ID_KPI],0))</f>
        <v>0.95</v>
      </c>
      <c r="D12" s="20">
        <f>INDEX(tbl_kpi_mensal[Lotes_MP_Aceites],18)</f>
        <v>0.89320388349514568</v>
      </c>
      <c r="E12" s="20">
        <f>AVERAGE(INDEX(tbl_kpi_mensal[Lotes_MP_Aceites],7):INDEX(tbl_kpi_mensal[Lotes_MP_Aceites],18))</f>
        <v>0.89961159777582334</v>
      </c>
      <c r="F12" s="21">
        <f>SLOPE(INDEX(tbl_kpi_mensal[Lotes_MP_Aceites],13):INDEX(tbl_kpi_mensal[Lotes_MP_Aceites],18),{1;2;3;4;5;6})</f>
        <v>-8.1770452976478829E-3</v>
      </c>
      <c r="G12" s="19" t="str">
        <f>INDEX(tbl_kpi[Polaridade],MATCH(A12,tbl_kpi[ID_KPI],0))</f>
        <v>Maior</v>
      </c>
      <c r="H12" s="19" t="str">
        <f t="shared" si="0"/>
        <v>Não cumpre</v>
      </c>
      <c r="I12" s="19" t="str">
        <f t="shared" si="1"/>
        <v>A piorar</v>
      </c>
    </row>
    <row r="13" spans="1:9" ht="26.4" x14ac:dyDescent="0.3">
      <c r="A13" s="19" t="s">
        <v>199</v>
      </c>
      <c r="B13" s="19" t="s">
        <v>200</v>
      </c>
      <c r="C13" s="23">
        <f>INDEX(tbl_kpi[Meta],MATCH(A13,tbl_kpi[ID_KPI],0))</f>
        <v>7</v>
      </c>
      <c r="D13" s="23">
        <f>INDEX(tbl_kpi_mensal[Dias_Resposta_SCAR],18)</f>
        <v>8.75</v>
      </c>
      <c r="E13" s="23">
        <f>AVERAGE(INDEX(tbl_kpi_mensal[Dias_Resposta_SCAR],7):INDEX(tbl_kpi_mensal[Dias_Resposta_SCAR],18))</f>
        <v>6.3720238095238102</v>
      </c>
      <c r="F13" s="22">
        <f>SLOPE(INDEX(tbl_kpi_mensal[Dias_Resposta_SCAR],13):INDEX(tbl_kpi_mensal[Dias_Resposta_SCAR],18),{1;2;3;4;5;6})</f>
        <v>4.2857142857142955E-3</v>
      </c>
      <c r="G13" s="19" t="str">
        <f>INDEX(tbl_kpi[Polaridade],MATCH(A13,tbl_kpi[ID_KPI],0))</f>
        <v>Menor</v>
      </c>
      <c r="H13" s="19" t="str">
        <f t="shared" si="0"/>
        <v>Não cumpre</v>
      </c>
      <c r="I13" s="19" t="str">
        <f t="shared" si="1"/>
        <v>A piorar</v>
      </c>
    </row>
    <row r="14" spans="1:9" x14ac:dyDescent="0.3">
      <c r="A14" s="19" t="s">
        <v>203</v>
      </c>
      <c r="B14" s="19" t="s">
        <v>204</v>
      </c>
      <c r="C14" s="20">
        <f>INDEX(tbl_kpi[Meta],MATCH(A14,tbl_kpi[ID_KPI],0))</f>
        <v>0.85</v>
      </c>
      <c r="D14" s="20">
        <f>INDEX(tbl_kpi_mensal[CAPA_No_Prazo],18)</f>
        <v>0.5357142857142857</v>
      </c>
      <c r="E14" s="20">
        <f>AVERAGE(INDEX(tbl_kpi_mensal[CAPA_No_Prazo],7):INDEX(tbl_kpi_mensal[CAPA_No_Prazo],18))</f>
        <v>0.51785743511281024</v>
      </c>
      <c r="F14" s="21">
        <f>SLOPE(INDEX(tbl_kpi_mensal[CAPA_No_Prazo],13):INDEX(tbl_kpi_mensal[CAPA_No_Prazo],18),{1;2;3;4;5;6})</f>
        <v>-3.8101162090380422E-3</v>
      </c>
      <c r="G14" s="19" t="str">
        <f>INDEX(tbl_kpi[Polaridade],MATCH(A14,tbl_kpi[ID_KPI],0))</f>
        <v>Maior</v>
      </c>
      <c r="H14" s="19" t="str">
        <f t="shared" si="0"/>
        <v>Não cumpre</v>
      </c>
      <c r="I14" s="19" t="str">
        <f t="shared" si="1"/>
        <v>A piorar</v>
      </c>
    </row>
    <row r="15" spans="1:9" x14ac:dyDescent="0.3">
      <c r="A15" s="19" t="s">
        <v>208</v>
      </c>
      <c r="B15" s="19" t="s">
        <v>209</v>
      </c>
      <c r="C15" s="20">
        <f>INDEX(tbl_kpi[Meta],MATCH(A15,tbl_kpi[ID_KPI],0))</f>
        <v>0.8</v>
      </c>
      <c r="D15" s="20">
        <f>INDEX(tbl_kpi_mensal[CAPA_Eficacia],18)</f>
        <v>0.4642857142857143</v>
      </c>
      <c r="E15" s="20">
        <f>AVERAGE(INDEX(tbl_kpi_mensal[CAPA_Eficacia],7):INDEX(tbl_kpi_mensal[CAPA_Eficacia],18))</f>
        <v>0.57220399248851928</v>
      </c>
      <c r="F15" s="21">
        <f>SLOPE(INDEX(tbl_kpi_mensal[CAPA_Eficacia],13):INDEX(tbl_kpi_mensal[CAPA_Eficacia],18),{1;2;3;4;5;6})</f>
        <v>-3.0042016806722697E-2</v>
      </c>
      <c r="G15" s="19" t="str">
        <f>INDEX(tbl_kpi[Polaridade],MATCH(A15,tbl_kpi[ID_KPI],0))</f>
        <v>Maior</v>
      </c>
      <c r="H15" s="19" t="str">
        <f t="shared" si="0"/>
        <v>Não cumpre</v>
      </c>
      <c r="I15" s="19" t="str">
        <f t="shared" si="1"/>
        <v>A piorar</v>
      </c>
    </row>
    <row r="16" spans="1:9" x14ac:dyDescent="0.3">
      <c r="A16" s="19" t="s">
        <v>212</v>
      </c>
      <c r="B16" s="19" t="s">
        <v>213</v>
      </c>
      <c r="C16" s="20">
        <f>INDEX(tbl_kpi[Meta],MATCH(A16,tbl_kpi[ID_KPI],0))</f>
        <v>0.01</v>
      </c>
      <c r="D16" s="20">
        <f>INDEX(tbl_kpi_mensal[Taxa_Concessao],18)</f>
        <v>9.2592592592592587E-3</v>
      </c>
      <c r="E16" s="20">
        <f>AVERAGE(INDEX(tbl_kpi_mensal[Taxa_Concessao],7):INDEX(tbl_kpi_mensal[Taxa_Concessao],18))</f>
        <v>1.2126641916219353E-2</v>
      </c>
      <c r="F16" s="21">
        <f>SLOPE(INDEX(tbl_kpi_mensal[Taxa_Concessao],13):INDEX(tbl_kpi_mensal[Taxa_Concessao],18),{1;2;3;4;5;6})</f>
        <v>-1.3510055052838507E-3</v>
      </c>
      <c r="G16" s="19" t="str">
        <f>INDEX(tbl_kpi[Polaridade],MATCH(A16,tbl_kpi[ID_KPI],0))</f>
        <v>Menor</v>
      </c>
      <c r="H16" s="19" t="str">
        <f t="shared" si="0"/>
        <v>Cumpre</v>
      </c>
      <c r="I16" s="19" t="str">
        <f t="shared" si="1"/>
        <v>A melhorar</v>
      </c>
    </row>
    <row r="17" spans="1:9" x14ac:dyDescent="0.3">
      <c r="A17" s="19" t="s">
        <v>216</v>
      </c>
      <c r="B17" s="19" t="s">
        <v>217</v>
      </c>
      <c r="C17" s="20">
        <f>INDEX(tbl_kpi[Meta],MATCH(A17,tbl_kpi[ID_KPI],0))</f>
        <v>0.7</v>
      </c>
      <c r="D17" s="20">
        <f>INDEX(tbl_kpi_mensal[Pct_Cpk_1],18)</f>
        <v>0.44282754073655456</v>
      </c>
      <c r="E17" s="20">
        <f>AVERAGE(INDEX(tbl_kpi_mensal[Pct_Cpk_1],7):INDEX(tbl_kpi_mensal[Pct_Cpk_1],18))</f>
        <v>0.44988948207126295</v>
      </c>
      <c r="F17" s="21">
        <f>SLOPE(INDEX(tbl_kpi_mensal[Pct_Cpk_1],13):INDEX(tbl_kpi_mensal[Pct_Cpk_1],18),{1;2;3;4;5;6})</f>
        <v>1.7741869431817596E-3</v>
      </c>
      <c r="G17" s="19" t="str">
        <f>INDEX(tbl_kpi[Polaridade],MATCH(A17,tbl_kpi[ID_KPI],0))</f>
        <v>Maior</v>
      </c>
      <c r="H17" s="19" t="str">
        <f t="shared" si="0"/>
        <v>Não cumpre</v>
      </c>
      <c r="I17" s="19" t="str">
        <f t="shared" si="1"/>
        <v>A melhorar</v>
      </c>
    </row>
    <row r="18" spans="1:9" x14ac:dyDescent="0.3">
      <c r="A18" s="19" t="s">
        <v>252</v>
      </c>
      <c r="B18" s="19" t="s">
        <v>253</v>
      </c>
      <c r="C18" s="20">
        <f>INDEX(tbl_kpi[Meta],MATCH(A18,tbl_kpi[ID_KPI],0))</f>
        <v>0.97</v>
      </c>
      <c r="D18" s="20">
        <f>INDEX(tbl_kpi_mensal[OTIF],18)</f>
        <v>0.96525096525096521</v>
      </c>
      <c r="E18" s="20">
        <f>AVERAGE(INDEX(tbl_kpi_mensal[OTIF],7):INDEX(tbl_kpi_mensal[OTIF],18))</f>
        <v>0.96170269563800626</v>
      </c>
      <c r="F18" s="21">
        <f>SLOPE(INDEX(tbl_kpi_mensal[OTIF],13):INDEX(tbl_kpi_mensal[OTIF],18),{1;2;3;4;5;6})</f>
        <v>-9.6088812654863921E-4</v>
      </c>
      <c r="G18" s="19" t="str">
        <f>INDEX(tbl_kpi[Polaridade],MATCH(A18,tbl_kpi[ID_KPI],0))</f>
        <v>Maior</v>
      </c>
      <c r="H18" s="19" t="str">
        <f t="shared" si="0"/>
        <v>Não cumpre</v>
      </c>
      <c r="I18" s="19" t="str">
        <f t="shared" si="1"/>
        <v>A piorar</v>
      </c>
    </row>
    <row r="19" spans="1:9" x14ac:dyDescent="0.3">
      <c r="A19" s="2" t="s">
        <v>263</v>
      </c>
    </row>
  </sheetData>
  <conditionalFormatting sqref="H5:H18">
    <cfRule type="expression" dxfId="8" priority="1">
      <formula>ISNUMBER(SEARCH("Não cumpre",H5))</formula>
    </cfRule>
    <cfRule type="expression" dxfId="7" priority="2">
      <formula>ISNUMBER(SEARCH("Cumpre",H5))</formula>
    </cfRule>
  </conditionalFormatting>
  <conditionalFormatting sqref="I5:I18">
    <cfRule type="expression" dxfId="6" priority="3">
      <formula>ISNUMBER(SEARCH("A piorar",I5))</formula>
    </cfRule>
    <cfRule type="expression" dxfId="5" priority="4">
      <formula>ISNUMBER(SEARCH("A melhorar",I5))</formula>
    </cfRule>
  </conditionalFormatting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0" customWidth="1"/>
    <col min="3" max="3" width="42" customWidth="1"/>
    <col min="4" max="4" width="9" customWidth="1"/>
    <col min="5" max="5" width="26" customWidth="1"/>
    <col min="6" max="7" width="9" customWidth="1"/>
    <col min="8" max="8" width="11" customWidth="1"/>
    <col min="9" max="9" width="44" customWidth="1"/>
    <col min="10" max="10" width="30" customWidth="1"/>
    <col min="11" max="11" width="24" customWidth="1"/>
    <col min="12" max="12" width="12" customWidth="1"/>
    <col min="13" max="13" width="10" customWidth="1"/>
    <col min="14" max="15" width="9" customWidth="1"/>
    <col min="16" max="20" width="8" customWidth="1"/>
    <col min="21" max="21" width="12" customWidth="1"/>
    <col min="22" max="22" width="16" customWidth="1"/>
    <col min="23" max="23" width="30" customWidth="1"/>
    <col min="24" max="24" width="7" customWidth="1"/>
    <col min="25" max="25" width="22" customWidth="1"/>
    <col min="26" max="26" width="8" customWidth="1"/>
    <col min="27" max="27" width="10" customWidth="1"/>
    <col min="28" max="28" width="11" customWidth="1"/>
  </cols>
  <sheetData>
    <row r="1" spans="1:28" ht="17.399999999999999" x14ac:dyDescent="0.3">
      <c r="A1" s="1" t="s">
        <v>264</v>
      </c>
    </row>
    <row r="2" spans="1:28" x14ac:dyDescent="0.3">
      <c r="A2" s="2" t="s">
        <v>265</v>
      </c>
    </row>
    <row r="4" spans="1:28" ht="26.4" x14ac:dyDescent="0.3">
      <c r="A4" s="8" t="s">
        <v>146</v>
      </c>
      <c r="B4" s="8" t="s">
        <v>266</v>
      </c>
      <c r="C4" s="8" t="s">
        <v>267</v>
      </c>
      <c r="D4" s="8" t="s">
        <v>136</v>
      </c>
      <c r="E4" s="13" t="s">
        <v>268</v>
      </c>
      <c r="F4" s="13" t="s">
        <v>145</v>
      </c>
      <c r="G4" s="8" t="s">
        <v>269</v>
      </c>
      <c r="H4" s="8" t="s">
        <v>270</v>
      </c>
      <c r="I4" s="8" t="s">
        <v>271</v>
      </c>
      <c r="J4" s="8" t="s">
        <v>272</v>
      </c>
      <c r="K4" s="8" t="s">
        <v>143</v>
      </c>
      <c r="L4" s="13" t="s">
        <v>14</v>
      </c>
      <c r="M4" s="13" t="s">
        <v>273</v>
      </c>
      <c r="N4" s="13" t="s">
        <v>274</v>
      </c>
      <c r="O4" s="13" t="s">
        <v>275</v>
      </c>
      <c r="P4" s="13" t="s">
        <v>276</v>
      </c>
      <c r="Q4" s="13" t="s">
        <v>277</v>
      </c>
      <c r="R4" s="13" t="s">
        <v>278</v>
      </c>
      <c r="S4" s="13" t="s">
        <v>279</v>
      </c>
      <c r="T4" s="13" t="s">
        <v>280</v>
      </c>
      <c r="U4" s="13" t="s">
        <v>281</v>
      </c>
      <c r="V4" s="8" t="s">
        <v>282</v>
      </c>
      <c r="W4" s="8" t="s">
        <v>283</v>
      </c>
      <c r="X4" s="8" t="s">
        <v>148</v>
      </c>
      <c r="Y4" s="8" t="s">
        <v>284</v>
      </c>
      <c r="Z4" s="13" t="s">
        <v>140</v>
      </c>
      <c r="AA4" s="8" t="s">
        <v>285</v>
      </c>
      <c r="AB4" s="8" t="s">
        <v>286</v>
      </c>
    </row>
    <row r="5" spans="1:28" ht="48" customHeight="1" x14ac:dyDescent="0.3">
      <c r="A5" s="9" t="s">
        <v>287</v>
      </c>
      <c r="B5" s="9" t="s">
        <v>288</v>
      </c>
      <c r="C5" s="9" t="s">
        <v>289</v>
      </c>
      <c r="D5" s="9" t="s">
        <v>150</v>
      </c>
      <c r="E5" s="18" t="str">
        <f>IFERROR(INDEX(tbl_kpi[Nome],MATCH(D5,tbl_kpi[ID_KPI],0))&amp;" ("&amp;INDEX(tbl_kpi[Unidade],MATCH(D5,tbl_kpi[ID_KPI],0))&amp;")","")</f>
        <v>Taxa de rejeição interna (%)</v>
      </c>
      <c r="F5" s="16">
        <f>IF(A5="","",IFERROR(INDEX(tbl_kpi[Baseline],MATCH(D5,tbl_kpi[ID_KPI],0)),""))</f>
        <v>2.3883027446425328E-2</v>
      </c>
      <c r="G5" s="11">
        <v>0.02</v>
      </c>
      <c r="H5" s="24">
        <v>46387</v>
      </c>
      <c r="I5" s="9" t="s">
        <v>290</v>
      </c>
      <c r="J5" s="9" t="s">
        <v>291</v>
      </c>
      <c r="K5" s="9" t="s">
        <v>157</v>
      </c>
      <c r="L5" s="18" t="str">
        <f t="shared" ref="L5:L12" si="0">IF(A5="","",IF(ISNUMBER(M5),IF(Z5="Maior",IF(M5&gt;=G5,"Atingido","Em curso"),IF(M5&lt;=G5,"Atingido","Em curso")),"Semestral"))</f>
        <v>Em curso</v>
      </c>
      <c r="M5" s="16">
        <f>IF(A5="","",IFERROR(INDEX(Painel_KPI!$D:$D,MATCH(D5,Painel_KPI!$A:$A,0)),"ver registo"))</f>
        <v>2.2511394769661464E-2</v>
      </c>
      <c r="N5" s="25">
        <f t="shared" ref="N5:N12" si="1">IF(A5="","",IF(OR(NOT(ISNUMBER(M5)),NOT(ISNUMBER(F5)),G5=""),"",IF(G5=F5,"",MAX(-1,MIN(1,(M5-F5)/(G5-F5))))))</f>
        <v>0.3532379556128491</v>
      </c>
      <c r="O5" s="26">
        <f t="shared" ref="O5:O12" si="2">IF(A5="","",H5-DataRef)</f>
        <v>0</v>
      </c>
      <c r="P5" s="18" t="str">
        <f t="shared" ref="P5:P12" si="3">IF(A5="","",IF(AND(LEN(C5)&gt;40,D5&lt;&gt;""),"✔","✘"))</f>
        <v>✔</v>
      </c>
      <c r="Q5" s="18" t="str">
        <f t="shared" ref="Q5:Q12" si="4">IF(A5="","",IF(ISNUMBER(G5),"✔","✘"))</f>
        <v>✔</v>
      </c>
      <c r="R5" s="18" t="str">
        <f t="shared" ref="R5:R12" si="5">IF(A5="","",IF(AND(J5&lt;&gt;"",K5&lt;&gt;"",I5&lt;&gt;""),"✔","✘"))</f>
        <v>✔</v>
      </c>
      <c r="S5" s="18" t="str">
        <f t="shared" ref="S5:S12" si="6">IF(A5="","",IF(AND(B5&lt;&gt;"",X5&lt;&gt;""),"✔","✘"))</f>
        <v>✔</v>
      </c>
      <c r="T5" s="18" t="str">
        <f t="shared" ref="T5:T12" si="7">IF(A5="","",IF(ISNUMBER(H5),"✔","✘"))</f>
        <v>✔</v>
      </c>
      <c r="U5" s="18" t="str">
        <f t="shared" ref="U5:U12" si="8">IF(A5="","",IF((P5="✔")+(Q5="✔")+(R5="✔")+(S5="✔")+(T5="✔")=5,"SMART","Rever"))</f>
        <v>SMART</v>
      </c>
      <c r="V5" s="9" t="s">
        <v>292</v>
      </c>
      <c r="W5" s="9" t="s">
        <v>293</v>
      </c>
      <c r="X5" s="9" t="s">
        <v>158</v>
      </c>
      <c r="Y5" s="9" t="s">
        <v>294</v>
      </c>
      <c r="Z5" s="18" t="str">
        <f>IF(A5="","",IFERROR(INDEX(tbl_kpi[Polaridade],MATCH(D5,tbl_kpi[ID_KPI],0)),""))</f>
        <v>Menor</v>
      </c>
      <c r="AA5" s="9" t="s">
        <v>295</v>
      </c>
      <c r="AB5" s="24">
        <v>46293</v>
      </c>
    </row>
    <row r="6" spans="1:28" ht="48" customHeight="1" x14ac:dyDescent="0.3">
      <c r="A6" s="9" t="s">
        <v>296</v>
      </c>
      <c r="B6" s="9" t="s">
        <v>288</v>
      </c>
      <c r="C6" s="9" t="s">
        <v>297</v>
      </c>
      <c r="D6" s="9" t="s">
        <v>159</v>
      </c>
      <c r="E6" s="18" t="str">
        <f>IFERROR(INDEX(tbl_kpi[Nome],MATCH(D6,tbl_kpi[ID_KPI],0))&amp;" ("&amp;INDEX(tbl_kpi[Unidade],MATCH(D6,tbl_kpi[ID_KPI],0))&amp;")","")</f>
        <v>Lotes aprovados à primeira (FPY de lote) (%)</v>
      </c>
      <c r="F6" s="16">
        <f>IF(A6="","",IFERROR(INDEX(tbl_kpi[Baseline],MATCH(D6,tbl_kpi[ID_KPI],0)),""))</f>
        <v>0.86044919623988736</v>
      </c>
      <c r="G6" s="11">
        <v>0.92</v>
      </c>
      <c r="H6" s="24">
        <v>46387</v>
      </c>
      <c r="I6" s="9" t="s">
        <v>298</v>
      </c>
      <c r="J6" s="9" t="s">
        <v>299</v>
      </c>
      <c r="K6" s="9" t="s">
        <v>11</v>
      </c>
      <c r="L6" s="18" t="str">
        <f t="shared" si="0"/>
        <v>Em curso</v>
      </c>
      <c r="M6" s="16">
        <f>IF(A6="","",IFERROR(INDEX(Painel_KPI!$D:$D,MATCH(D6,Painel_KPI!$A:$A,0)),"ver registo"))</f>
        <v>0.85</v>
      </c>
      <c r="N6" s="25">
        <f t="shared" si="1"/>
        <v>-0.17546692202475841</v>
      </c>
      <c r="O6" s="26">
        <f t="shared" si="2"/>
        <v>0</v>
      </c>
      <c r="P6" s="18" t="str">
        <f t="shared" si="3"/>
        <v>✔</v>
      </c>
      <c r="Q6" s="18" t="str">
        <f t="shared" si="4"/>
        <v>✔</v>
      </c>
      <c r="R6" s="18" t="str">
        <f t="shared" si="5"/>
        <v>✔</v>
      </c>
      <c r="S6" s="18" t="str">
        <f t="shared" si="6"/>
        <v>✔</v>
      </c>
      <c r="T6" s="18" t="str">
        <f t="shared" si="7"/>
        <v>✔</v>
      </c>
      <c r="U6" s="18" t="str">
        <f t="shared" si="8"/>
        <v>SMART</v>
      </c>
      <c r="V6" s="9" t="s">
        <v>155</v>
      </c>
      <c r="W6" s="9" t="s">
        <v>300</v>
      </c>
      <c r="X6" s="9" t="s">
        <v>164</v>
      </c>
      <c r="Y6" s="9" t="s">
        <v>301</v>
      </c>
      <c r="Z6" s="18" t="str">
        <f>IF(A6="","",IFERROR(INDEX(tbl_kpi[Polaridade],MATCH(D6,tbl_kpi[ID_KPI],0)),""))</f>
        <v>Maior</v>
      </c>
      <c r="AA6" s="9" t="s">
        <v>295</v>
      </c>
      <c r="AB6" s="24">
        <v>46293</v>
      </c>
    </row>
    <row r="7" spans="1:28" ht="48" customHeight="1" x14ac:dyDescent="0.3">
      <c r="A7" s="9" t="s">
        <v>302</v>
      </c>
      <c r="B7" s="9" t="s">
        <v>303</v>
      </c>
      <c r="C7" s="9" t="s">
        <v>304</v>
      </c>
      <c r="D7" s="9" t="s">
        <v>172</v>
      </c>
      <c r="E7" s="18" t="str">
        <f>IFERROR(INDEX(tbl_kpi[Nome],MATCH(D7,tbl_kpi[ID_KPI],0))&amp;" ("&amp;INDEX(tbl_kpi[Unidade],MATCH(D7,tbl_kpi[ID_KPI],0))&amp;")","")</f>
        <v>Reclamações por milhão de unidades expedidas (CPMU) (rec./milhão)</v>
      </c>
      <c r="F7" s="16">
        <f>IF(A7="","",IFERROR(INDEX(tbl_kpi[Baseline],MATCH(D7,tbl_kpi[ID_KPI],0)),""))</f>
        <v>4.6664494959884921</v>
      </c>
      <c r="G7" s="11">
        <v>3</v>
      </c>
      <c r="H7" s="24">
        <v>46568</v>
      </c>
      <c r="I7" s="9" t="s">
        <v>305</v>
      </c>
      <c r="J7" s="9" t="s">
        <v>306</v>
      </c>
      <c r="K7" s="9" t="s">
        <v>170</v>
      </c>
      <c r="L7" s="18" t="str">
        <f t="shared" si="0"/>
        <v>Em curso</v>
      </c>
      <c r="M7" s="16">
        <f>IF(A7="","",IFERROR(INDEX(Painel_KPI!$D:$D,MATCH(D7,Painel_KPI!$A:$A,0)),"ver registo"))</f>
        <v>4.2019234304502886</v>
      </c>
      <c r="N7" s="25">
        <f t="shared" si="1"/>
        <v>0.2787519613744186</v>
      </c>
      <c r="O7" s="26">
        <f t="shared" si="2"/>
        <v>181</v>
      </c>
      <c r="P7" s="18" t="str">
        <f t="shared" si="3"/>
        <v>✔</v>
      </c>
      <c r="Q7" s="18" t="str">
        <f t="shared" si="4"/>
        <v>✔</v>
      </c>
      <c r="R7" s="18" t="str">
        <f t="shared" si="5"/>
        <v>✔</v>
      </c>
      <c r="S7" s="18" t="str">
        <f t="shared" si="6"/>
        <v>✔</v>
      </c>
      <c r="T7" s="18" t="str">
        <f t="shared" si="7"/>
        <v>✔</v>
      </c>
      <c r="U7" s="18" t="str">
        <f t="shared" si="8"/>
        <v>SMART</v>
      </c>
      <c r="V7" s="9" t="s">
        <v>155</v>
      </c>
      <c r="W7" s="9" t="s">
        <v>307</v>
      </c>
      <c r="X7" s="9" t="s">
        <v>171</v>
      </c>
      <c r="Y7" s="9" t="s">
        <v>308</v>
      </c>
      <c r="Z7" s="18" t="str">
        <f>IF(A7="","",IFERROR(INDEX(tbl_kpi[Polaridade],MATCH(D7,tbl_kpi[ID_KPI],0)),""))</f>
        <v>Menor</v>
      </c>
      <c r="AA7" s="9" t="s">
        <v>295</v>
      </c>
      <c r="AB7" s="24">
        <v>46293</v>
      </c>
    </row>
    <row r="8" spans="1:28" ht="48" customHeight="1" x14ac:dyDescent="0.3">
      <c r="A8" s="9" t="s">
        <v>309</v>
      </c>
      <c r="B8" s="9" t="s">
        <v>288</v>
      </c>
      <c r="C8" s="9" t="s">
        <v>310</v>
      </c>
      <c r="D8" s="9" t="s">
        <v>216</v>
      </c>
      <c r="E8" s="18" t="str">
        <f>IFERROR(INDEX(tbl_kpi[Nome],MATCH(D8,tbl_kpi[ID_KPI],0))&amp;" ("&amp;INDEX(tbl_kpi[Unidade],MATCH(D8,tbl_kpi[ID_KPI],0))&amp;")","")</f>
        <v>Subgrupos SPC com Cpk ≥ 1,00 (%)</v>
      </c>
      <c r="F8" s="16">
        <f>IF(A8="","",IFERROR(INDEX(tbl_kpi[Baseline],MATCH(D8,tbl_kpi[ID_KPI],0)),""))</f>
        <v>0.46574502710173782</v>
      </c>
      <c r="G8" s="11">
        <v>0.7</v>
      </c>
      <c r="H8" s="24">
        <v>46477</v>
      </c>
      <c r="I8" s="9" t="s">
        <v>311</v>
      </c>
      <c r="J8" s="9" t="s">
        <v>312</v>
      </c>
      <c r="K8" s="9" t="s">
        <v>11</v>
      </c>
      <c r="L8" s="18" t="str">
        <f t="shared" si="0"/>
        <v>Em curso</v>
      </c>
      <c r="M8" s="16">
        <f>IF(A8="","",IFERROR(INDEX(Painel_KPI!$D:$D,MATCH(D8,Painel_KPI!$A:$A,0)),"ver registo"))</f>
        <v>0.44282754073655456</v>
      </c>
      <c r="N8" s="25">
        <f t="shared" si="1"/>
        <v>-9.7831376135337864E-2</v>
      </c>
      <c r="O8" s="26">
        <f t="shared" si="2"/>
        <v>90</v>
      </c>
      <c r="P8" s="18" t="str">
        <f t="shared" si="3"/>
        <v>✔</v>
      </c>
      <c r="Q8" s="18" t="str">
        <f t="shared" si="4"/>
        <v>✔</v>
      </c>
      <c r="R8" s="18" t="str">
        <f t="shared" si="5"/>
        <v>✔</v>
      </c>
      <c r="S8" s="18" t="str">
        <f t="shared" si="6"/>
        <v>✔</v>
      </c>
      <c r="T8" s="18" t="str">
        <f t="shared" si="7"/>
        <v>✔</v>
      </c>
      <c r="U8" s="18" t="str">
        <f t="shared" si="8"/>
        <v>SMART</v>
      </c>
      <c r="V8" s="9" t="s">
        <v>155</v>
      </c>
      <c r="W8" s="9" t="s">
        <v>313</v>
      </c>
      <c r="X8" s="9" t="s">
        <v>164</v>
      </c>
      <c r="Y8" s="9" t="s">
        <v>314</v>
      </c>
      <c r="Z8" s="18" t="str">
        <f>IF(A8="","",IFERROR(INDEX(tbl_kpi[Polaridade],MATCH(D8,tbl_kpi[ID_KPI],0)),""))</f>
        <v>Maior</v>
      </c>
      <c r="AA8" s="9" t="s">
        <v>295</v>
      </c>
      <c r="AB8" s="24">
        <v>46293</v>
      </c>
    </row>
    <row r="9" spans="1:28" ht="48" customHeight="1" x14ac:dyDescent="0.3">
      <c r="A9" s="9" t="s">
        <v>315</v>
      </c>
      <c r="B9" s="9" t="s">
        <v>316</v>
      </c>
      <c r="C9" s="9" t="s">
        <v>317</v>
      </c>
      <c r="D9" s="9" t="s">
        <v>203</v>
      </c>
      <c r="E9" s="18" t="str">
        <f>IFERROR(INDEX(tbl_kpi[Nome],MATCH(D9,tbl_kpi[ID_KPI],0))&amp;" ("&amp;INDEX(tbl_kpi[Unidade],MATCH(D9,tbl_kpi[ID_KPI],0))&amp;")","")</f>
        <v>CAPA fechadas no prazo (%)</v>
      </c>
      <c r="F9" s="16">
        <f>IF(A9="","",IFERROR(INDEX(tbl_kpi[Baseline],MATCH(D9,tbl_kpi[ID_KPI],0)),""))</f>
        <v>0.4824697246397639</v>
      </c>
      <c r="G9" s="11">
        <v>0.85</v>
      </c>
      <c r="H9" s="24">
        <v>46387</v>
      </c>
      <c r="I9" s="9" t="s">
        <v>318</v>
      </c>
      <c r="J9" s="9" t="s">
        <v>319</v>
      </c>
      <c r="K9" s="9" t="s">
        <v>11</v>
      </c>
      <c r="L9" s="18" t="str">
        <f t="shared" si="0"/>
        <v>Em curso</v>
      </c>
      <c r="M9" s="16">
        <f>IF(A9="","",IFERROR(INDEX(Painel_KPI!$D:$D,MATCH(D9,Painel_KPI!$A:$A,0)),"ver registo"))</f>
        <v>0.5357142857142857</v>
      </c>
      <c r="N9" s="25">
        <f t="shared" si="1"/>
        <v>0.14487122461498977</v>
      </c>
      <c r="O9" s="26">
        <f t="shared" si="2"/>
        <v>0</v>
      </c>
      <c r="P9" s="18" t="str">
        <f t="shared" si="3"/>
        <v>✔</v>
      </c>
      <c r="Q9" s="18" t="str">
        <f t="shared" si="4"/>
        <v>✔</v>
      </c>
      <c r="R9" s="18" t="str">
        <f t="shared" si="5"/>
        <v>✔</v>
      </c>
      <c r="S9" s="18" t="str">
        <f t="shared" si="6"/>
        <v>✔</v>
      </c>
      <c r="T9" s="18" t="str">
        <f t="shared" si="7"/>
        <v>✔</v>
      </c>
      <c r="U9" s="18" t="str">
        <f t="shared" si="8"/>
        <v>SMART</v>
      </c>
      <c r="V9" s="9" t="s">
        <v>320</v>
      </c>
      <c r="W9" s="9" t="s">
        <v>321</v>
      </c>
      <c r="X9" s="9" t="s">
        <v>207</v>
      </c>
      <c r="Y9" s="9" t="s">
        <v>322</v>
      </c>
      <c r="Z9" s="18" t="str">
        <f>IF(A9="","",IFERROR(INDEX(tbl_kpi[Polaridade],MATCH(D9,tbl_kpi[ID_KPI],0)),""))</f>
        <v>Maior</v>
      </c>
      <c r="AA9" s="9" t="s">
        <v>295</v>
      </c>
      <c r="AB9" s="24">
        <v>46293</v>
      </c>
    </row>
    <row r="10" spans="1:28" ht="48" customHeight="1" x14ac:dyDescent="0.3">
      <c r="A10" s="9" t="s">
        <v>323</v>
      </c>
      <c r="B10" s="9" t="s">
        <v>303</v>
      </c>
      <c r="C10" s="9" t="s">
        <v>324</v>
      </c>
      <c r="D10" s="9" t="s">
        <v>220</v>
      </c>
      <c r="E10" s="18" t="str">
        <f>IFERROR(INDEX(tbl_kpi[Nome],MATCH(D10,tbl_kpi[ID_KPI],0))&amp;" ("&amp;INDEX(tbl_kpi[Unidade],MATCH(D10,tbl_kpi[ID_KPI],0))&amp;")","")</f>
        <v>Índice de satisfação do cliente (CSI) (%)</v>
      </c>
      <c r="F10" s="16" t="str">
        <f>IF(A10="","",IFERROR(INDEX(tbl_kpi[Baseline],MATCH(D10,tbl_kpi[ID_KPI],0)),""))</f>
        <v/>
      </c>
      <c r="G10" s="11">
        <v>0.8</v>
      </c>
      <c r="H10" s="24">
        <v>46418</v>
      </c>
      <c r="I10" s="9" t="s">
        <v>325</v>
      </c>
      <c r="J10" s="9" t="s">
        <v>326</v>
      </c>
      <c r="K10" s="9" t="s">
        <v>170</v>
      </c>
      <c r="L10" s="18" t="str">
        <f t="shared" si="0"/>
        <v>Semestral</v>
      </c>
      <c r="M10" s="16" t="str">
        <f>IF(A10="","",IFERROR(INDEX(Painel_KPI!$D:$D,MATCH(D10,Painel_KPI!$A:$A,0)),"ver registo"))</f>
        <v>ver registo</v>
      </c>
      <c r="N10" s="25" t="str">
        <f t="shared" si="1"/>
        <v/>
      </c>
      <c r="O10" s="26">
        <f t="shared" si="2"/>
        <v>31</v>
      </c>
      <c r="P10" s="18" t="str">
        <f t="shared" si="3"/>
        <v>✔</v>
      </c>
      <c r="Q10" s="18" t="str">
        <f t="shared" si="4"/>
        <v>✔</v>
      </c>
      <c r="R10" s="18" t="str">
        <f t="shared" si="5"/>
        <v>✔</v>
      </c>
      <c r="S10" s="18" t="str">
        <f t="shared" si="6"/>
        <v>✔</v>
      </c>
      <c r="T10" s="18" t="str">
        <f t="shared" si="7"/>
        <v>✔</v>
      </c>
      <c r="U10" s="18" t="str">
        <f t="shared" si="8"/>
        <v>SMART</v>
      </c>
      <c r="V10" s="9" t="s">
        <v>223</v>
      </c>
      <c r="W10" s="9" t="s">
        <v>327</v>
      </c>
      <c r="X10" s="9" t="s">
        <v>171</v>
      </c>
      <c r="Y10" s="9" t="s">
        <v>328</v>
      </c>
      <c r="Z10" s="18" t="str">
        <f>IF(A10="","",IFERROR(INDEX(tbl_kpi[Polaridade],MATCH(D10,tbl_kpi[ID_KPI],0)),""))</f>
        <v>Maior</v>
      </c>
      <c r="AA10" s="9" t="s">
        <v>295</v>
      </c>
      <c r="AB10" s="24">
        <v>46293</v>
      </c>
    </row>
    <row r="11" spans="1:28" ht="48" customHeight="1" x14ac:dyDescent="0.3">
      <c r="A11" s="9" t="s">
        <v>329</v>
      </c>
      <c r="B11" s="9" t="s">
        <v>330</v>
      </c>
      <c r="C11" s="9" t="s">
        <v>331</v>
      </c>
      <c r="D11" s="9" t="s">
        <v>193</v>
      </c>
      <c r="E11" s="18" t="str">
        <f>IFERROR(INDEX(tbl_kpi[Nome],MATCH(D11,tbl_kpi[ID_KPI],0))&amp;" ("&amp;INDEX(tbl_kpi[Unidade],MATCH(D11,tbl_kpi[ID_KPI],0))&amp;")","")</f>
        <v>Lotes de matéria-prima aceites sem derrogação (%)</v>
      </c>
      <c r="F11" s="16">
        <f>IF(A11="","",IFERROR(INDEX(tbl_kpi[Baseline],MATCH(D11,tbl_kpi[ID_KPI],0)),""))</f>
        <v>0.89544560116109484</v>
      </c>
      <c r="G11" s="11">
        <v>0.95</v>
      </c>
      <c r="H11" s="24">
        <v>46387</v>
      </c>
      <c r="I11" s="9" t="s">
        <v>332</v>
      </c>
      <c r="J11" s="9" t="s">
        <v>333</v>
      </c>
      <c r="K11" s="9" t="s">
        <v>197</v>
      </c>
      <c r="L11" s="18" t="str">
        <f t="shared" si="0"/>
        <v>Em curso</v>
      </c>
      <c r="M11" s="16">
        <f>IF(A11="","",IFERROR(INDEX(Painel_KPI!$D:$D,MATCH(D11,Painel_KPI!$A:$A,0)),"ver registo"))</f>
        <v>0.89320388349514568</v>
      </c>
      <c r="N11" s="25">
        <f t="shared" si="1"/>
        <v>-4.1091419091039361E-2</v>
      </c>
      <c r="O11" s="26">
        <f t="shared" si="2"/>
        <v>0</v>
      </c>
      <c r="P11" s="18" t="str">
        <f t="shared" si="3"/>
        <v>✔</v>
      </c>
      <c r="Q11" s="18" t="str">
        <f t="shared" si="4"/>
        <v>✔</v>
      </c>
      <c r="R11" s="18" t="str">
        <f t="shared" si="5"/>
        <v>✔</v>
      </c>
      <c r="S11" s="18" t="str">
        <f t="shared" si="6"/>
        <v>✔</v>
      </c>
      <c r="T11" s="18" t="str">
        <f t="shared" si="7"/>
        <v>✔</v>
      </c>
      <c r="U11" s="18" t="str">
        <f t="shared" si="8"/>
        <v>SMART</v>
      </c>
      <c r="V11" s="9" t="s">
        <v>155</v>
      </c>
      <c r="W11" s="9" t="s">
        <v>334</v>
      </c>
      <c r="X11" s="9" t="s">
        <v>198</v>
      </c>
      <c r="Y11" s="9" t="s">
        <v>335</v>
      </c>
      <c r="Z11" s="18" t="str">
        <f>IF(A11="","",IFERROR(INDEX(tbl_kpi[Polaridade],MATCH(D11,tbl_kpi[ID_KPI],0)),""))</f>
        <v>Maior</v>
      </c>
      <c r="AA11" s="9" t="s">
        <v>295</v>
      </c>
      <c r="AB11" s="24">
        <v>46293</v>
      </c>
    </row>
    <row r="12" spans="1:28" ht="48" customHeight="1" x14ac:dyDescent="0.3">
      <c r="A12" s="9" t="s">
        <v>336</v>
      </c>
      <c r="B12" s="9" t="s">
        <v>303</v>
      </c>
      <c r="C12" s="9" t="s">
        <v>337</v>
      </c>
      <c r="D12" s="9" t="s">
        <v>252</v>
      </c>
      <c r="E12" s="18" t="str">
        <f>IFERROR(INDEX(tbl_kpi[Nome],MATCH(D12,tbl_kpi[ID_KPI],0))&amp;" ("&amp;INDEX(tbl_kpi[Unidade],MATCH(D12,tbl_kpi[ID_KPI],0))&amp;")","")</f>
        <v>Entregas completas e no prazo (OTIF) (%)</v>
      </c>
      <c r="F12" s="16">
        <f>IF(A12="","",IFERROR(INDEX(tbl_kpi[Baseline],MATCH(D12,tbl_kpi[ID_KPI],0)),""))</f>
        <v>0.96048579601289186</v>
      </c>
      <c r="G12" s="11">
        <v>0.97</v>
      </c>
      <c r="H12" s="24">
        <v>46387</v>
      </c>
      <c r="I12" s="9" t="s">
        <v>338</v>
      </c>
      <c r="J12" s="9" t="s">
        <v>339</v>
      </c>
      <c r="K12" s="9" t="s">
        <v>182</v>
      </c>
      <c r="L12" s="18" t="str">
        <f t="shared" si="0"/>
        <v>Em curso</v>
      </c>
      <c r="M12" s="16">
        <f>IF(A12="","",IFERROR(INDEX(Painel_KPI!$D:$D,MATCH(D12,Painel_KPI!$A:$A,0)),"ver registo"))</f>
        <v>0.96525096525096521</v>
      </c>
      <c r="N12" s="25">
        <f t="shared" si="1"/>
        <v>0.50084791586665844</v>
      </c>
      <c r="O12" s="26">
        <f t="shared" si="2"/>
        <v>0</v>
      </c>
      <c r="P12" s="18" t="str">
        <f t="shared" si="3"/>
        <v>✔</v>
      </c>
      <c r="Q12" s="18" t="str">
        <f t="shared" si="4"/>
        <v>✔</v>
      </c>
      <c r="R12" s="18" t="str">
        <f t="shared" si="5"/>
        <v>✔</v>
      </c>
      <c r="S12" s="18" t="str">
        <f t="shared" si="6"/>
        <v>✔</v>
      </c>
      <c r="T12" s="18" t="str">
        <f t="shared" si="7"/>
        <v>✔</v>
      </c>
      <c r="U12" s="18" t="str">
        <f t="shared" si="8"/>
        <v>SMART</v>
      </c>
      <c r="V12" s="9" t="s">
        <v>155</v>
      </c>
      <c r="W12" s="9" t="s">
        <v>340</v>
      </c>
      <c r="X12" s="9" t="s">
        <v>183</v>
      </c>
      <c r="Y12" s="9" t="s">
        <v>341</v>
      </c>
      <c r="Z12" s="18" t="str">
        <f>IF(A12="","",IFERROR(INDEX(tbl_kpi[Polaridade],MATCH(D12,tbl_kpi[ID_KPI],0)),""))</f>
        <v>Maior</v>
      </c>
      <c r="AA12" s="9" t="s">
        <v>295</v>
      </c>
      <c r="AB12" s="24">
        <v>46293</v>
      </c>
    </row>
  </sheetData>
  <conditionalFormatting sqref="L5:L212">
    <cfRule type="expression" dxfId="4" priority="1">
      <formula>ISNUMBER(SEARCH("Atingido",L5))</formula>
    </cfRule>
    <cfRule type="expression" dxfId="3" priority="2">
      <formula>ISNUMBER(SEARCH("Em curso",L5))</formula>
    </cfRule>
    <cfRule type="expression" dxfId="2" priority="3">
      <formula>ISNUMBER(SEARCH("Semestral",L5))</formula>
    </cfRule>
  </conditionalFormatting>
  <conditionalFormatting sqref="U5:U212">
    <cfRule type="expression" dxfId="1" priority="4">
      <formula>ISNUMBER(SEARCH("SMART",U5))</formula>
    </cfRule>
    <cfRule type="expression" dxfId="0" priority="5">
      <formula>ISNUMBER(SEARCH("Rever",U5))</formula>
    </cfRule>
  </conditionalFormatting>
  <dataValidations count="2">
    <dataValidation type="list" allowBlank="1" showErrorMessage="1" errorTitle="Valor inválido" error="Valor fora da lista controlada (ver folha Listas)." sqref="K5:K212" xr:uid="{00000000-0002-0000-0500-000000000000}">
      <formula1>lst_Funcao</formula1>
    </dataValidation>
    <dataValidation type="list" allowBlank="1" showErrorMessage="1" errorTitle="Valor inválido" error="Valor fora da lista controlada (ver folha Listas)." sqref="X5:X212" xr:uid="{00000000-0002-0000-0500-000001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3" width="40" customWidth="1"/>
    <col min="4" max="4" width="26" customWidth="1"/>
    <col min="5" max="5" width="24" customWidth="1"/>
    <col min="6" max="6" width="9" customWidth="1"/>
    <col min="7" max="7" width="26" customWidth="1"/>
    <col min="8" max="8" width="24" customWidth="1"/>
  </cols>
  <sheetData>
    <row r="1" spans="1:8" ht="17.399999999999999" x14ac:dyDescent="0.3">
      <c r="A1" s="1" t="s">
        <v>342</v>
      </c>
    </row>
    <row r="4" spans="1:8" x14ac:dyDescent="0.3">
      <c r="A4" s="8" t="s">
        <v>147</v>
      </c>
      <c r="B4" s="8" t="s">
        <v>343</v>
      </c>
      <c r="C4" s="8" t="s">
        <v>344</v>
      </c>
      <c r="D4" s="8" t="s">
        <v>345</v>
      </c>
      <c r="E4" s="8" t="s">
        <v>346</v>
      </c>
      <c r="F4" s="8" t="s">
        <v>136</v>
      </c>
      <c r="G4" s="8" t="s">
        <v>347</v>
      </c>
      <c r="H4" s="8" t="s">
        <v>348</v>
      </c>
    </row>
    <row r="5" spans="1:8" ht="31.95" customHeight="1" x14ac:dyDescent="0.3">
      <c r="A5" s="9" t="s">
        <v>349</v>
      </c>
      <c r="B5" s="9" t="s">
        <v>350</v>
      </c>
      <c r="C5" s="9" t="s">
        <v>351</v>
      </c>
      <c r="D5" s="9" t="s">
        <v>352</v>
      </c>
      <c r="E5" s="9" t="s">
        <v>353</v>
      </c>
      <c r="F5" s="9" t="s">
        <v>216</v>
      </c>
      <c r="G5" s="9" t="s">
        <v>354</v>
      </c>
      <c r="H5" s="9" t="s">
        <v>355</v>
      </c>
    </row>
    <row r="6" spans="1:8" ht="31.95" customHeight="1" x14ac:dyDescent="0.3">
      <c r="A6" s="9" t="s">
        <v>356</v>
      </c>
      <c r="B6" s="9" t="s">
        <v>357</v>
      </c>
      <c r="C6" s="9" t="s">
        <v>358</v>
      </c>
      <c r="D6" s="9" t="s">
        <v>359</v>
      </c>
      <c r="E6" s="9" t="s">
        <v>353</v>
      </c>
      <c r="F6" s="9" t="s">
        <v>159</v>
      </c>
      <c r="G6" s="9" t="s">
        <v>360</v>
      </c>
      <c r="H6" s="9" t="s">
        <v>361</v>
      </c>
    </row>
    <row r="7" spans="1:8" ht="31.95" customHeight="1" x14ac:dyDescent="0.3">
      <c r="A7" s="9" t="s">
        <v>362</v>
      </c>
      <c r="B7" s="9" t="s">
        <v>363</v>
      </c>
      <c r="C7" s="9" t="s">
        <v>364</v>
      </c>
      <c r="D7" s="9" t="s">
        <v>365</v>
      </c>
      <c r="E7" s="9" t="s">
        <v>366</v>
      </c>
      <c r="F7" s="9" t="s">
        <v>150</v>
      </c>
      <c r="G7" s="9" t="s">
        <v>367</v>
      </c>
      <c r="H7" s="9" t="s">
        <v>368</v>
      </c>
    </row>
    <row r="8" spans="1:8" ht="31.95" customHeight="1" x14ac:dyDescent="0.3">
      <c r="A8" s="9" t="s">
        <v>369</v>
      </c>
      <c r="B8" s="9" t="s">
        <v>370</v>
      </c>
      <c r="C8" s="9" t="s">
        <v>371</v>
      </c>
      <c r="D8" s="9" t="s">
        <v>372</v>
      </c>
      <c r="E8" s="9" t="s">
        <v>157</v>
      </c>
      <c r="F8" s="9" t="s">
        <v>150</v>
      </c>
      <c r="G8" s="9" t="s">
        <v>373</v>
      </c>
      <c r="H8" s="9" t="s">
        <v>374</v>
      </c>
    </row>
    <row r="9" spans="1:8" ht="31.95" customHeight="1" x14ac:dyDescent="0.3">
      <c r="A9" s="9" t="s">
        <v>375</v>
      </c>
      <c r="B9" s="9" t="s">
        <v>376</v>
      </c>
      <c r="C9" s="9" t="s">
        <v>377</v>
      </c>
      <c r="D9" s="9" t="s">
        <v>365</v>
      </c>
      <c r="E9" s="9" t="s">
        <v>157</v>
      </c>
      <c r="F9" s="9" t="s">
        <v>189</v>
      </c>
      <c r="G9" s="9" t="s">
        <v>378</v>
      </c>
      <c r="H9" s="9" t="s">
        <v>379</v>
      </c>
    </row>
    <row r="10" spans="1:8" ht="31.95" customHeight="1" x14ac:dyDescent="0.3">
      <c r="A10" s="9" t="s">
        <v>380</v>
      </c>
      <c r="B10" s="9" t="s">
        <v>381</v>
      </c>
      <c r="C10" s="9" t="s">
        <v>382</v>
      </c>
      <c r="D10" s="9" t="s">
        <v>383</v>
      </c>
      <c r="E10" s="9" t="s">
        <v>384</v>
      </c>
      <c r="F10" s="9" t="s">
        <v>193</v>
      </c>
      <c r="G10" s="9" t="s">
        <v>385</v>
      </c>
      <c r="H10" s="9" t="s">
        <v>386</v>
      </c>
    </row>
    <row r="11" spans="1:8" ht="31.95" customHeight="1" x14ac:dyDescent="0.3">
      <c r="A11" s="9" t="s">
        <v>387</v>
      </c>
      <c r="B11" s="9" t="s">
        <v>388</v>
      </c>
      <c r="C11" s="9" t="s">
        <v>389</v>
      </c>
      <c r="D11" s="9" t="s">
        <v>390</v>
      </c>
      <c r="E11" s="9" t="s">
        <v>170</v>
      </c>
      <c r="F11" s="9" t="s">
        <v>220</v>
      </c>
      <c r="G11" s="9" t="s">
        <v>391</v>
      </c>
      <c r="H11" s="9" t="s">
        <v>392</v>
      </c>
    </row>
    <row r="12" spans="1:8" ht="31.95" customHeight="1" x14ac:dyDescent="0.3">
      <c r="A12" s="9" t="s">
        <v>393</v>
      </c>
      <c r="B12" s="9" t="s">
        <v>394</v>
      </c>
      <c r="C12" s="9" t="s">
        <v>395</v>
      </c>
      <c r="D12" s="9" t="s">
        <v>396</v>
      </c>
      <c r="E12" s="9" t="s">
        <v>170</v>
      </c>
      <c r="F12" s="9" t="s">
        <v>172</v>
      </c>
      <c r="G12" s="9" t="s">
        <v>397</v>
      </c>
      <c r="H12" s="9" t="s">
        <v>392</v>
      </c>
    </row>
    <row r="13" spans="1:8" ht="31.95" customHeight="1" x14ac:dyDescent="0.3">
      <c r="A13" s="9" t="s">
        <v>398</v>
      </c>
      <c r="B13" s="9" t="s">
        <v>399</v>
      </c>
      <c r="C13" s="9" t="s">
        <v>400</v>
      </c>
      <c r="D13" s="9" t="s">
        <v>155</v>
      </c>
      <c r="E13" s="9" t="s">
        <v>197</v>
      </c>
      <c r="F13" s="9" t="s">
        <v>193</v>
      </c>
      <c r="G13" s="9" t="s">
        <v>401</v>
      </c>
      <c r="H13" s="9" t="s">
        <v>386</v>
      </c>
    </row>
    <row r="14" spans="1:8" ht="31.95" customHeight="1" x14ac:dyDescent="0.3">
      <c r="A14" s="9" t="s">
        <v>402</v>
      </c>
      <c r="B14" s="9" t="s">
        <v>403</v>
      </c>
      <c r="C14" s="9" t="s">
        <v>404</v>
      </c>
      <c r="D14" s="9" t="s">
        <v>405</v>
      </c>
      <c r="E14" s="9" t="s">
        <v>11</v>
      </c>
      <c r="F14" s="9" t="s">
        <v>208</v>
      </c>
      <c r="G14" s="9" t="s">
        <v>155</v>
      </c>
      <c r="H14" s="9" t="s">
        <v>406</v>
      </c>
    </row>
    <row r="15" spans="1:8" ht="31.95" customHeight="1" x14ac:dyDescent="0.3">
      <c r="A15" s="9" t="s">
        <v>407</v>
      </c>
      <c r="B15" s="9" t="s">
        <v>408</v>
      </c>
      <c r="C15" s="9" t="s">
        <v>409</v>
      </c>
      <c r="D15" s="9" t="s">
        <v>410</v>
      </c>
      <c r="E15" s="9" t="s">
        <v>11</v>
      </c>
      <c r="F15" s="9" t="s">
        <v>225</v>
      </c>
      <c r="G15" s="9" t="s">
        <v>411</v>
      </c>
      <c r="H15" s="9" t="s">
        <v>67</v>
      </c>
    </row>
    <row r="16" spans="1:8" ht="31.95" customHeight="1" x14ac:dyDescent="0.3">
      <c r="A16" s="9" t="s">
        <v>412</v>
      </c>
      <c r="B16" s="9" t="s">
        <v>413</v>
      </c>
      <c r="C16" s="9" t="s">
        <v>414</v>
      </c>
      <c r="D16" s="9" t="s">
        <v>415</v>
      </c>
      <c r="E16" s="9" t="s">
        <v>416</v>
      </c>
      <c r="F16" s="9" t="s">
        <v>236</v>
      </c>
      <c r="G16" s="9" t="s">
        <v>155</v>
      </c>
      <c r="H16" s="9" t="s">
        <v>239</v>
      </c>
    </row>
    <row r="17" spans="1:8" ht="31.95" customHeight="1" x14ac:dyDescent="0.3">
      <c r="A17" s="9" t="s">
        <v>417</v>
      </c>
      <c r="B17" s="9" t="s">
        <v>418</v>
      </c>
      <c r="C17" s="9" t="s">
        <v>419</v>
      </c>
      <c r="D17" s="9" t="s">
        <v>155</v>
      </c>
      <c r="E17" s="9" t="s">
        <v>234</v>
      </c>
      <c r="F17" s="9" t="s">
        <v>230</v>
      </c>
      <c r="G17" s="9" t="s">
        <v>244</v>
      </c>
      <c r="H17" s="9" t="s">
        <v>420</v>
      </c>
    </row>
    <row r="18" spans="1:8" ht="31.95" customHeight="1" x14ac:dyDescent="0.3">
      <c r="A18" s="9" t="s">
        <v>421</v>
      </c>
      <c r="B18" s="9" t="s">
        <v>422</v>
      </c>
      <c r="C18" s="9" t="s">
        <v>423</v>
      </c>
      <c r="D18" s="9" t="s">
        <v>424</v>
      </c>
      <c r="E18" s="9" t="s">
        <v>11</v>
      </c>
      <c r="F18" s="9" t="s">
        <v>248</v>
      </c>
      <c r="G18" s="9" t="s">
        <v>425</v>
      </c>
      <c r="H18" s="9" t="s">
        <v>251</v>
      </c>
    </row>
  </sheetData>
  <dataValidations count="1">
    <dataValidation type="list" allowBlank="1" showErrorMessage="1" errorTitle="Valor inválido" error="Valor fora da lista controlada (ver folha Listas)." sqref="E5:E218" xr:uid="{00000000-0002-0000-06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5" customWidth="1"/>
    <col min="4" max="5" width="16" customWidth="1"/>
  </cols>
  <sheetData>
    <row r="1" spans="1:5" x14ac:dyDescent="0.3">
      <c r="A1" s="27" t="s">
        <v>426</v>
      </c>
    </row>
    <row r="2" spans="1:5" x14ac:dyDescent="0.3">
      <c r="A2" s="28" t="s">
        <v>427</v>
      </c>
      <c r="B2" s="28" t="s">
        <v>148</v>
      </c>
      <c r="C2" s="28" t="s">
        <v>428</v>
      </c>
      <c r="D2" s="28" t="s">
        <v>140</v>
      </c>
      <c r="E2" s="28" t="s">
        <v>141</v>
      </c>
    </row>
    <row r="3" spans="1:5" x14ac:dyDescent="0.3">
      <c r="A3" s="29">
        <v>46387</v>
      </c>
      <c r="B3" s="6" t="s">
        <v>235</v>
      </c>
      <c r="C3" s="6" t="s">
        <v>234</v>
      </c>
      <c r="D3" s="6" t="s">
        <v>162</v>
      </c>
      <c r="E3" s="6" t="s">
        <v>155</v>
      </c>
    </row>
    <row r="4" spans="1:5" x14ac:dyDescent="0.3">
      <c r="B4" s="6" t="s">
        <v>207</v>
      </c>
      <c r="C4" s="6" t="s">
        <v>429</v>
      </c>
      <c r="D4" s="6" t="s">
        <v>154</v>
      </c>
      <c r="E4" s="6" t="s">
        <v>244</v>
      </c>
    </row>
    <row r="5" spans="1:5" x14ac:dyDescent="0.3">
      <c r="B5" s="6" t="s">
        <v>171</v>
      </c>
      <c r="C5" s="6" t="s">
        <v>11</v>
      </c>
      <c r="E5" s="6" t="s">
        <v>223</v>
      </c>
    </row>
    <row r="6" spans="1:5" x14ac:dyDescent="0.3">
      <c r="B6" s="6" t="s">
        <v>430</v>
      </c>
      <c r="C6" s="6" t="s">
        <v>157</v>
      </c>
      <c r="E6" s="6" t="s">
        <v>431</v>
      </c>
    </row>
    <row r="7" spans="1:5" x14ac:dyDescent="0.3">
      <c r="B7" s="6" t="s">
        <v>158</v>
      </c>
      <c r="C7" s="6" t="s">
        <v>432</v>
      </c>
    </row>
    <row r="8" spans="1:5" x14ac:dyDescent="0.3">
      <c r="B8" s="6" t="s">
        <v>198</v>
      </c>
      <c r="C8" s="6" t="s">
        <v>170</v>
      </c>
    </row>
    <row r="9" spans="1:5" x14ac:dyDescent="0.3">
      <c r="B9" s="6" t="s">
        <v>433</v>
      </c>
      <c r="C9" s="6" t="s">
        <v>197</v>
      </c>
    </row>
    <row r="10" spans="1:5" x14ac:dyDescent="0.3">
      <c r="B10" s="6" t="s">
        <v>434</v>
      </c>
      <c r="C10" s="6" t="s">
        <v>435</v>
      </c>
    </row>
    <row r="11" spans="1:5" x14ac:dyDescent="0.3">
      <c r="B11" s="6" t="s">
        <v>436</v>
      </c>
      <c r="C11" s="6" t="s">
        <v>182</v>
      </c>
    </row>
    <row r="12" spans="1:5" x14ac:dyDescent="0.3">
      <c r="B12" s="6" t="s">
        <v>437</v>
      </c>
      <c r="C12" s="6" t="s">
        <v>246</v>
      </c>
    </row>
    <row r="13" spans="1:5" x14ac:dyDescent="0.3">
      <c r="B13" s="6" t="s">
        <v>438</v>
      </c>
      <c r="C13" s="6" t="s">
        <v>439</v>
      </c>
    </row>
    <row r="14" spans="1:5" x14ac:dyDescent="0.3">
      <c r="B14" s="6" t="s">
        <v>164</v>
      </c>
      <c r="C14" s="6" t="s">
        <v>353</v>
      </c>
    </row>
    <row r="15" spans="1:5" x14ac:dyDescent="0.3">
      <c r="B15" s="6" t="s">
        <v>183</v>
      </c>
      <c r="C15" s="6" t="s">
        <v>384</v>
      </c>
    </row>
    <row r="16" spans="1:5" x14ac:dyDescent="0.3">
      <c r="B16" s="6" t="s">
        <v>440</v>
      </c>
      <c r="C16" s="6" t="s">
        <v>366</v>
      </c>
    </row>
    <row r="17" spans="2:3" x14ac:dyDescent="0.3">
      <c r="B17" s="6" t="s">
        <v>240</v>
      </c>
      <c r="C17" s="6" t="s">
        <v>441</v>
      </c>
    </row>
    <row r="18" spans="2:3" x14ac:dyDescent="0.3">
      <c r="B18" s="6" t="s">
        <v>247</v>
      </c>
      <c r="C18" s="6" t="s">
        <v>442</v>
      </c>
    </row>
    <row r="19" spans="2:3" x14ac:dyDescent="0.3">
      <c r="B19" s="6" t="s">
        <v>443</v>
      </c>
      <c r="C19" s="6" t="s">
        <v>444</v>
      </c>
    </row>
    <row r="20" spans="2:3" x14ac:dyDescent="0.3">
      <c r="B20" s="6" t="s">
        <v>445</v>
      </c>
      <c r="C20" s="6" t="s">
        <v>446</v>
      </c>
    </row>
    <row r="21" spans="2:3" x14ac:dyDescent="0.3">
      <c r="C21" s="6" t="s">
        <v>447</v>
      </c>
    </row>
    <row r="22" spans="2:3" x14ac:dyDescent="0.3">
      <c r="C22" s="6" t="s">
        <v>448</v>
      </c>
    </row>
    <row r="23" spans="2:3" x14ac:dyDescent="0.3">
      <c r="C23" s="6" t="s">
        <v>416</v>
      </c>
    </row>
    <row r="24" spans="2:3" x14ac:dyDescent="0.3">
      <c r="C24" s="6" t="s">
        <v>449</v>
      </c>
    </row>
    <row r="25" spans="2:3" x14ac:dyDescent="0.3">
      <c r="C25" s="6" t="s">
        <v>450</v>
      </c>
    </row>
    <row r="26" spans="2:3" x14ac:dyDescent="0.3">
      <c r="C26" s="6" t="s">
        <v>451</v>
      </c>
    </row>
    <row r="27" spans="2:3" x14ac:dyDescent="0.3">
      <c r="C27" s="6" t="s">
        <v>452</v>
      </c>
    </row>
    <row r="28" spans="2:3" x14ac:dyDescent="0.3">
      <c r="C28" s="6" t="s">
        <v>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454</v>
      </c>
      <c r="B1" s="8" t="s">
        <v>455</v>
      </c>
      <c r="C1" s="8" t="s">
        <v>456</v>
      </c>
      <c r="D1" s="8" t="s">
        <v>457</v>
      </c>
      <c r="E1" s="8" t="s">
        <v>458</v>
      </c>
      <c r="F1" s="8" t="s">
        <v>459</v>
      </c>
      <c r="G1" s="8" t="s">
        <v>460</v>
      </c>
      <c r="H1" s="8" t="s">
        <v>461</v>
      </c>
      <c r="I1" s="8" t="s">
        <v>462</v>
      </c>
    </row>
    <row r="2" spans="1:9" x14ac:dyDescent="0.3">
      <c r="A2" s="19" t="s">
        <v>35</v>
      </c>
      <c r="B2" s="19" t="s">
        <v>463</v>
      </c>
      <c r="C2" s="19" t="s">
        <v>75</v>
      </c>
      <c r="D2" s="19" t="s">
        <v>464</v>
      </c>
      <c r="E2" s="19" t="s">
        <v>465</v>
      </c>
      <c r="F2" s="19" t="s">
        <v>466</v>
      </c>
      <c r="G2" s="19"/>
      <c r="H2" s="19" t="s">
        <v>467</v>
      </c>
      <c r="I2" s="19" t="s">
        <v>468</v>
      </c>
    </row>
    <row r="3" spans="1:9" x14ac:dyDescent="0.3">
      <c r="A3" s="19" t="s">
        <v>35</v>
      </c>
      <c r="B3" s="19" t="s">
        <v>463</v>
      </c>
      <c r="C3" s="19" t="s">
        <v>76</v>
      </c>
      <c r="D3" s="19" t="s">
        <v>469</v>
      </c>
      <c r="E3" s="19" t="s">
        <v>465</v>
      </c>
      <c r="F3" s="19" t="s">
        <v>470</v>
      </c>
      <c r="G3" s="19"/>
      <c r="H3" s="19" t="s">
        <v>467</v>
      </c>
      <c r="I3" s="19"/>
    </row>
    <row r="4" spans="1:9" x14ac:dyDescent="0.3">
      <c r="A4" s="19" t="s">
        <v>35</v>
      </c>
      <c r="B4" s="19" t="s">
        <v>463</v>
      </c>
      <c r="C4" s="19" t="s">
        <v>77</v>
      </c>
      <c r="D4" s="19" t="s">
        <v>469</v>
      </c>
      <c r="E4" s="19" t="s">
        <v>465</v>
      </c>
      <c r="F4" s="19" t="s">
        <v>471</v>
      </c>
      <c r="G4" s="19"/>
      <c r="H4" s="19" t="s">
        <v>467</v>
      </c>
      <c r="I4" s="19"/>
    </row>
    <row r="5" spans="1:9" x14ac:dyDescent="0.3">
      <c r="A5" s="19" t="s">
        <v>35</v>
      </c>
      <c r="B5" s="19" t="s">
        <v>463</v>
      </c>
      <c r="C5" s="19" t="s">
        <v>78</v>
      </c>
      <c r="D5" s="19" t="s">
        <v>469</v>
      </c>
      <c r="E5" s="19" t="s">
        <v>465</v>
      </c>
      <c r="F5" s="19" t="s">
        <v>472</v>
      </c>
      <c r="G5" s="19"/>
      <c r="H5" s="19" t="s">
        <v>467</v>
      </c>
      <c r="I5" s="19"/>
    </row>
    <row r="6" spans="1:9" x14ac:dyDescent="0.3">
      <c r="A6" s="19" t="s">
        <v>35</v>
      </c>
      <c r="B6" s="19" t="s">
        <v>463</v>
      </c>
      <c r="C6" s="19" t="s">
        <v>79</v>
      </c>
      <c r="D6" s="19" t="s">
        <v>469</v>
      </c>
      <c r="E6" s="19" t="s">
        <v>465</v>
      </c>
      <c r="F6" s="19" t="s">
        <v>473</v>
      </c>
      <c r="G6" s="19"/>
      <c r="H6" s="19" t="s">
        <v>467</v>
      </c>
      <c r="I6" s="19"/>
    </row>
    <row r="7" spans="1:9" x14ac:dyDescent="0.3">
      <c r="A7" s="19" t="s">
        <v>35</v>
      </c>
      <c r="B7" s="19" t="s">
        <v>463</v>
      </c>
      <c r="C7" s="19" t="s">
        <v>80</v>
      </c>
      <c r="D7" s="19" t="s">
        <v>469</v>
      </c>
      <c r="E7" s="19" t="s">
        <v>465</v>
      </c>
      <c r="F7" s="19" t="s">
        <v>474</v>
      </c>
      <c r="G7" s="19"/>
      <c r="H7" s="19" t="s">
        <v>467</v>
      </c>
      <c r="I7" s="19"/>
    </row>
    <row r="8" spans="1:9" x14ac:dyDescent="0.3">
      <c r="A8" s="19" t="s">
        <v>35</v>
      </c>
      <c r="B8" s="19" t="s">
        <v>463</v>
      </c>
      <c r="C8" s="19" t="s">
        <v>81</v>
      </c>
      <c r="D8" s="19" t="s">
        <v>469</v>
      </c>
      <c r="E8" s="19" t="s">
        <v>465</v>
      </c>
      <c r="F8" s="19" t="s">
        <v>475</v>
      </c>
      <c r="G8" s="19"/>
      <c r="H8" s="19" t="s">
        <v>467</v>
      </c>
      <c r="I8" s="19"/>
    </row>
    <row r="9" spans="1:9" x14ac:dyDescent="0.3">
      <c r="A9" s="19" t="s">
        <v>35</v>
      </c>
      <c r="B9" s="19" t="s">
        <v>463</v>
      </c>
      <c r="C9" s="19" t="s">
        <v>82</v>
      </c>
      <c r="D9" s="19" t="s">
        <v>469</v>
      </c>
      <c r="E9" s="19" t="s">
        <v>465</v>
      </c>
      <c r="F9" s="19" t="s">
        <v>476</v>
      </c>
      <c r="G9" s="19"/>
      <c r="H9" s="19" t="s">
        <v>467</v>
      </c>
      <c r="I9" s="19"/>
    </row>
    <row r="10" spans="1:9" x14ac:dyDescent="0.3">
      <c r="A10" s="19" t="s">
        <v>35</v>
      </c>
      <c r="B10" s="19" t="s">
        <v>463</v>
      </c>
      <c r="C10" s="19" t="s">
        <v>83</v>
      </c>
      <c r="D10" s="19" t="s">
        <v>469</v>
      </c>
      <c r="E10" s="19" t="s">
        <v>465</v>
      </c>
      <c r="F10" s="19" t="s">
        <v>477</v>
      </c>
      <c r="G10" s="19"/>
      <c r="H10" s="19" t="s">
        <v>467</v>
      </c>
      <c r="I10" s="19"/>
    </row>
    <row r="11" spans="1:9" x14ac:dyDescent="0.3">
      <c r="A11" s="19" t="s">
        <v>35</v>
      </c>
      <c r="B11" s="19" t="s">
        <v>463</v>
      </c>
      <c r="C11" s="19" t="s">
        <v>84</v>
      </c>
      <c r="D11" s="19" t="s">
        <v>469</v>
      </c>
      <c r="E11" s="19" t="s">
        <v>465</v>
      </c>
      <c r="F11" s="19" t="s">
        <v>478</v>
      </c>
      <c r="G11" s="19"/>
      <c r="H11" s="19" t="s">
        <v>467</v>
      </c>
      <c r="I11" s="19"/>
    </row>
    <row r="12" spans="1:9" x14ac:dyDescent="0.3">
      <c r="A12" s="19" t="s">
        <v>35</v>
      </c>
      <c r="B12" s="19" t="s">
        <v>463</v>
      </c>
      <c r="C12" s="19" t="s">
        <v>85</v>
      </c>
      <c r="D12" s="19" t="s">
        <v>479</v>
      </c>
      <c r="E12" s="19" t="s">
        <v>465</v>
      </c>
      <c r="F12" s="19" t="s">
        <v>480</v>
      </c>
      <c r="G12" s="19"/>
      <c r="H12" s="19" t="s">
        <v>467</v>
      </c>
      <c r="I12" s="19"/>
    </row>
    <row r="13" spans="1:9" x14ac:dyDescent="0.3">
      <c r="A13" s="19" t="s">
        <v>35</v>
      </c>
      <c r="B13" s="19" t="s">
        <v>463</v>
      </c>
      <c r="C13" s="19" t="s">
        <v>86</v>
      </c>
      <c r="D13" s="19" t="s">
        <v>469</v>
      </c>
      <c r="E13" s="19" t="s">
        <v>465</v>
      </c>
      <c r="F13" s="19" t="s">
        <v>481</v>
      </c>
      <c r="G13" s="19"/>
      <c r="H13" s="19" t="s">
        <v>467</v>
      </c>
      <c r="I13" s="19"/>
    </row>
    <row r="14" spans="1:9" x14ac:dyDescent="0.3">
      <c r="A14" s="19" t="s">
        <v>35</v>
      </c>
      <c r="B14" s="19" t="s">
        <v>463</v>
      </c>
      <c r="C14" s="19" t="s">
        <v>87</v>
      </c>
      <c r="D14" s="19" t="s">
        <v>469</v>
      </c>
      <c r="E14" s="19" t="s">
        <v>465</v>
      </c>
      <c r="F14" s="19" t="s">
        <v>482</v>
      </c>
      <c r="G14" s="19"/>
      <c r="H14" s="19" t="s">
        <v>467</v>
      </c>
      <c r="I14" s="19"/>
    </row>
    <row r="15" spans="1:9" x14ac:dyDescent="0.3">
      <c r="A15" s="19" t="s">
        <v>35</v>
      </c>
      <c r="B15" s="19" t="s">
        <v>463</v>
      </c>
      <c r="C15" s="19" t="s">
        <v>88</v>
      </c>
      <c r="D15" s="19" t="s">
        <v>469</v>
      </c>
      <c r="E15" s="19" t="s">
        <v>465</v>
      </c>
      <c r="F15" s="19" t="s">
        <v>483</v>
      </c>
      <c r="G15" s="19"/>
      <c r="H15" s="19" t="s">
        <v>467</v>
      </c>
      <c r="I15" s="19"/>
    </row>
    <row r="16" spans="1:9" x14ac:dyDescent="0.3">
      <c r="A16" s="19" t="s">
        <v>35</v>
      </c>
      <c r="B16" s="19" t="s">
        <v>463</v>
      </c>
      <c r="C16" s="19" t="s">
        <v>89</v>
      </c>
      <c r="D16" s="19" t="s">
        <v>469</v>
      </c>
      <c r="E16" s="19" t="s">
        <v>465</v>
      </c>
      <c r="F16" s="19" t="s">
        <v>484</v>
      </c>
      <c r="G16" s="19"/>
      <c r="H16" s="19" t="s">
        <v>467</v>
      </c>
      <c r="I16" s="19"/>
    </row>
    <row r="17" spans="1:9" x14ac:dyDescent="0.3">
      <c r="A17" s="19" t="s">
        <v>35</v>
      </c>
      <c r="B17" s="19" t="s">
        <v>463</v>
      </c>
      <c r="C17" s="19" t="s">
        <v>90</v>
      </c>
      <c r="D17" s="19" t="s">
        <v>469</v>
      </c>
      <c r="E17" s="19" t="s">
        <v>465</v>
      </c>
      <c r="F17" s="19" t="s">
        <v>485</v>
      </c>
      <c r="G17" s="19"/>
      <c r="H17" s="19" t="s">
        <v>467</v>
      </c>
      <c r="I17" s="19"/>
    </row>
    <row r="18" spans="1:9" x14ac:dyDescent="0.3">
      <c r="A18" s="19" t="s">
        <v>35</v>
      </c>
      <c r="B18" s="19" t="s">
        <v>463</v>
      </c>
      <c r="C18" s="19" t="s">
        <v>91</v>
      </c>
      <c r="D18" s="19" t="s">
        <v>469</v>
      </c>
      <c r="E18" s="19" t="s">
        <v>465</v>
      </c>
      <c r="F18" s="19" t="s">
        <v>486</v>
      </c>
      <c r="G18" s="19"/>
      <c r="H18" s="19" t="s">
        <v>467</v>
      </c>
      <c r="I18" s="19"/>
    </row>
    <row r="19" spans="1:9" x14ac:dyDescent="0.3">
      <c r="A19" s="19" t="s">
        <v>35</v>
      </c>
      <c r="B19" s="19" t="s">
        <v>463</v>
      </c>
      <c r="C19" s="19" t="s">
        <v>92</v>
      </c>
      <c r="D19" s="19" t="s">
        <v>469</v>
      </c>
      <c r="E19" s="19" t="s">
        <v>465</v>
      </c>
      <c r="F19" s="19" t="s">
        <v>487</v>
      </c>
      <c r="G19" s="19"/>
      <c r="H19" s="19" t="s">
        <v>467</v>
      </c>
      <c r="I19" s="19"/>
    </row>
    <row r="20" spans="1:9" x14ac:dyDescent="0.3">
      <c r="A20" s="19" t="s">
        <v>35</v>
      </c>
      <c r="B20" s="19" t="s">
        <v>463</v>
      </c>
      <c r="C20" s="19" t="s">
        <v>93</v>
      </c>
      <c r="D20" s="19" t="s">
        <v>469</v>
      </c>
      <c r="E20" s="19" t="s">
        <v>465</v>
      </c>
      <c r="F20" s="19" t="s">
        <v>488</v>
      </c>
      <c r="G20" s="19"/>
      <c r="H20" s="19" t="s">
        <v>467</v>
      </c>
      <c r="I20" s="19"/>
    </row>
    <row r="21" spans="1:9" x14ac:dyDescent="0.3">
      <c r="A21" s="19" t="s">
        <v>35</v>
      </c>
      <c r="B21" s="19" t="s">
        <v>463</v>
      </c>
      <c r="C21" s="19" t="s">
        <v>94</v>
      </c>
      <c r="D21" s="19" t="s">
        <v>469</v>
      </c>
      <c r="E21" s="19" t="s">
        <v>465</v>
      </c>
      <c r="F21" s="19" t="s">
        <v>489</v>
      </c>
      <c r="G21" s="19"/>
      <c r="H21" s="19" t="s">
        <v>467</v>
      </c>
      <c r="I21" s="19"/>
    </row>
    <row r="22" spans="1:9" x14ac:dyDescent="0.3">
      <c r="A22" s="19" t="s">
        <v>35</v>
      </c>
      <c r="B22" s="19" t="s">
        <v>463</v>
      </c>
      <c r="C22" s="19" t="s">
        <v>95</v>
      </c>
      <c r="D22" s="19" t="s">
        <v>469</v>
      </c>
      <c r="E22" s="19" t="s">
        <v>465</v>
      </c>
      <c r="F22" s="19" t="s">
        <v>490</v>
      </c>
      <c r="G22" s="19"/>
      <c r="H22" s="19" t="s">
        <v>467</v>
      </c>
      <c r="I22" s="19"/>
    </row>
    <row r="23" spans="1:9" x14ac:dyDescent="0.3">
      <c r="A23" s="19" t="s">
        <v>35</v>
      </c>
      <c r="B23" s="19" t="s">
        <v>463</v>
      </c>
      <c r="C23" s="19" t="s">
        <v>96</v>
      </c>
      <c r="D23" s="19" t="s">
        <v>469</v>
      </c>
      <c r="E23" s="19" t="s">
        <v>465</v>
      </c>
      <c r="F23" s="19" t="s">
        <v>491</v>
      </c>
      <c r="G23" s="19"/>
      <c r="H23" s="19" t="s">
        <v>467</v>
      </c>
      <c r="I23" s="19"/>
    </row>
    <row r="24" spans="1:9" x14ac:dyDescent="0.3">
      <c r="A24" s="19" t="s">
        <v>35</v>
      </c>
      <c r="B24" s="19" t="s">
        <v>463</v>
      </c>
      <c r="C24" s="19" t="s">
        <v>97</v>
      </c>
      <c r="D24" s="19" t="s">
        <v>469</v>
      </c>
      <c r="E24" s="19" t="s">
        <v>465</v>
      </c>
      <c r="F24" s="19" t="s">
        <v>492</v>
      </c>
      <c r="G24" s="19"/>
      <c r="H24" s="19" t="s">
        <v>467</v>
      </c>
      <c r="I24" s="19"/>
    </row>
    <row r="25" spans="1:9" x14ac:dyDescent="0.3">
      <c r="A25" s="19" t="s">
        <v>35</v>
      </c>
      <c r="B25" s="19" t="s">
        <v>463</v>
      </c>
      <c r="C25" s="19" t="s">
        <v>98</v>
      </c>
      <c r="D25" s="19" t="s">
        <v>469</v>
      </c>
      <c r="E25" s="19" t="s">
        <v>465</v>
      </c>
      <c r="F25" s="19" t="s">
        <v>493</v>
      </c>
      <c r="G25" s="19"/>
      <c r="H25" s="19" t="s">
        <v>467</v>
      </c>
      <c r="I25" s="19"/>
    </row>
    <row r="26" spans="1:9" x14ac:dyDescent="0.3">
      <c r="A26" s="19" t="s">
        <v>35</v>
      </c>
      <c r="B26" s="19" t="s">
        <v>463</v>
      </c>
      <c r="C26" s="19" t="s">
        <v>99</v>
      </c>
      <c r="D26" s="19" t="s">
        <v>469</v>
      </c>
      <c r="E26" s="19" t="s">
        <v>465</v>
      </c>
      <c r="F26" s="19" t="s">
        <v>494</v>
      </c>
      <c r="G26" s="19"/>
      <c r="H26" s="19" t="s">
        <v>467</v>
      </c>
      <c r="I26" s="19"/>
    </row>
    <row r="27" spans="1:9" x14ac:dyDescent="0.3">
      <c r="A27" s="19" t="s">
        <v>35</v>
      </c>
      <c r="B27" s="19" t="s">
        <v>463</v>
      </c>
      <c r="C27" s="19" t="s">
        <v>100</v>
      </c>
      <c r="D27" s="19" t="s">
        <v>469</v>
      </c>
      <c r="E27" s="19" t="s">
        <v>465</v>
      </c>
      <c r="F27" s="19" t="s">
        <v>495</v>
      </c>
      <c r="G27" s="19"/>
      <c r="H27" s="19" t="s">
        <v>467</v>
      </c>
      <c r="I27" s="19"/>
    </row>
    <row r="28" spans="1:9" x14ac:dyDescent="0.3">
      <c r="A28" s="19" t="s">
        <v>35</v>
      </c>
      <c r="B28" s="19" t="s">
        <v>463</v>
      </c>
      <c r="C28" s="19" t="s">
        <v>101</v>
      </c>
      <c r="D28" s="19" t="s">
        <v>469</v>
      </c>
      <c r="E28" s="19" t="s">
        <v>465</v>
      </c>
      <c r="F28" s="19" t="s">
        <v>496</v>
      </c>
      <c r="G28" s="19"/>
      <c r="H28" s="19" t="s">
        <v>467</v>
      </c>
      <c r="I28" s="19"/>
    </row>
    <row r="29" spans="1:9" x14ac:dyDescent="0.3">
      <c r="A29" s="19" t="s">
        <v>35</v>
      </c>
      <c r="B29" s="19" t="s">
        <v>463</v>
      </c>
      <c r="C29" s="19" t="s">
        <v>102</v>
      </c>
      <c r="D29" s="19" t="s">
        <v>469</v>
      </c>
      <c r="E29" s="19" t="s">
        <v>465</v>
      </c>
      <c r="F29" s="19" t="s">
        <v>497</v>
      </c>
      <c r="G29" s="19"/>
      <c r="H29" s="19" t="s">
        <v>467</v>
      </c>
      <c r="I29" s="19"/>
    </row>
    <row r="30" spans="1:9" x14ac:dyDescent="0.3">
      <c r="A30" s="19" t="s">
        <v>35</v>
      </c>
      <c r="B30" s="19" t="s">
        <v>463</v>
      </c>
      <c r="C30" s="19" t="s">
        <v>103</v>
      </c>
      <c r="D30" s="19" t="s">
        <v>469</v>
      </c>
      <c r="E30" s="19" t="s">
        <v>465</v>
      </c>
      <c r="F30" s="19" t="s">
        <v>498</v>
      </c>
      <c r="G30" s="19"/>
      <c r="H30" s="19" t="s">
        <v>467</v>
      </c>
      <c r="I30" s="19"/>
    </row>
    <row r="31" spans="1:9" ht="39.6" x14ac:dyDescent="0.3">
      <c r="A31" s="19" t="s">
        <v>37</v>
      </c>
      <c r="B31" s="19" t="s">
        <v>499</v>
      </c>
      <c r="C31" s="19" t="s">
        <v>75</v>
      </c>
      <c r="D31" s="19" t="s">
        <v>464</v>
      </c>
      <c r="E31" s="19" t="s">
        <v>465</v>
      </c>
      <c r="F31" s="19" t="s">
        <v>500</v>
      </c>
      <c r="G31" s="19"/>
      <c r="H31" s="19" t="s">
        <v>467</v>
      </c>
      <c r="I31" s="19" t="s">
        <v>501</v>
      </c>
    </row>
    <row r="32" spans="1:9" ht="26.4" x14ac:dyDescent="0.3">
      <c r="A32" s="19" t="s">
        <v>37</v>
      </c>
      <c r="B32" s="19" t="s">
        <v>499</v>
      </c>
      <c r="C32" s="19" t="s">
        <v>124</v>
      </c>
      <c r="D32" s="19" t="s">
        <v>502</v>
      </c>
      <c r="E32" s="19" t="s">
        <v>503</v>
      </c>
      <c r="F32" s="19" t="s">
        <v>504</v>
      </c>
      <c r="G32" s="19"/>
      <c r="H32" s="19" t="s">
        <v>467</v>
      </c>
      <c r="I32" s="19"/>
    </row>
    <row r="33" spans="1:9" ht="26.4" x14ac:dyDescent="0.3">
      <c r="A33" s="19" t="s">
        <v>37</v>
      </c>
      <c r="B33" s="19" t="s">
        <v>499</v>
      </c>
      <c r="C33" s="19" t="s">
        <v>125</v>
      </c>
      <c r="D33" s="19" t="s">
        <v>502</v>
      </c>
      <c r="E33" s="19" t="s">
        <v>503</v>
      </c>
      <c r="F33" s="19" t="s">
        <v>505</v>
      </c>
      <c r="G33" s="19"/>
      <c r="H33" s="19" t="s">
        <v>467</v>
      </c>
      <c r="I33" s="19"/>
    </row>
    <row r="34" spans="1:9" x14ac:dyDescent="0.3">
      <c r="A34" s="19" t="s">
        <v>37</v>
      </c>
      <c r="B34" s="19" t="s">
        <v>499</v>
      </c>
      <c r="C34" s="19" t="s">
        <v>126</v>
      </c>
      <c r="D34" s="19" t="s">
        <v>469</v>
      </c>
      <c r="E34" s="19" t="s">
        <v>503</v>
      </c>
      <c r="F34" s="19" t="s">
        <v>506</v>
      </c>
      <c r="G34" s="19"/>
      <c r="H34" s="19" t="s">
        <v>467</v>
      </c>
      <c r="I34" s="19"/>
    </row>
    <row r="35" spans="1:9" x14ac:dyDescent="0.3">
      <c r="A35" s="19" t="s">
        <v>37</v>
      </c>
      <c r="B35" s="19" t="s">
        <v>499</v>
      </c>
      <c r="C35" s="19" t="s">
        <v>127</v>
      </c>
      <c r="D35" s="19" t="s">
        <v>469</v>
      </c>
      <c r="E35" s="19" t="s">
        <v>503</v>
      </c>
      <c r="F35" s="19" t="s">
        <v>507</v>
      </c>
      <c r="G35" s="19"/>
      <c r="H35" s="19" t="s">
        <v>467</v>
      </c>
      <c r="I35" s="19"/>
    </row>
    <row r="36" spans="1:9" x14ac:dyDescent="0.3">
      <c r="A36" s="19" t="s">
        <v>37</v>
      </c>
      <c r="B36" s="19" t="s">
        <v>499</v>
      </c>
      <c r="C36" s="19" t="s">
        <v>88</v>
      </c>
      <c r="D36" s="19" t="s">
        <v>469</v>
      </c>
      <c r="E36" s="19" t="s">
        <v>503</v>
      </c>
      <c r="F36" s="19" t="s">
        <v>508</v>
      </c>
      <c r="G36" s="19"/>
      <c r="H36" s="19" t="s">
        <v>467</v>
      </c>
      <c r="I36" s="19"/>
    </row>
    <row r="37" spans="1:9" x14ac:dyDescent="0.3">
      <c r="A37" s="19" t="s">
        <v>37</v>
      </c>
      <c r="B37" s="19" t="s">
        <v>499</v>
      </c>
      <c r="C37" s="19" t="s">
        <v>128</v>
      </c>
      <c r="D37" s="19" t="s">
        <v>469</v>
      </c>
      <c r="E37" s="19" t="s">
        <v>503</v>
      </c>
      <c r="F37" s="19" t="s">
        <v>509</v>
      </c>
      <c r="G37" s="19"/>
      <c r="H37" s="19" t="s">
        <v>467</v>
      </c>
      <c r="I37" s="19"/>
    </row>
    <row r="38" spans="1:9" ht="26.4" x14ac:dyDescent="0.3">
      <c r="A38" s="19" t="s">
        <v>37</v>
      </c>
      <c r="B38" s="19" t="s">
        <v>499</v>
      </c>
      <c r="C38" s="19" t="s">
        <v>129</v>
      </c>
      <c r="D38" s="19" t="s">
        <v>502</v>
      </c>
      <c r="E38" s="19" t="s">
        <v>503</v>
      </c>
      <c r="F38" s="19" t="s">
        <v>510</v>
      </c>
      <c r="G38" s="19"/>
      <c r="H38" s="19" t="s">
        <v>467</v>
      </c>
      <c r="I38" s="19"/>
    </row>
    <row r="39" spans="1:9" ht="26.4" x14ac:dyDescent="0.3">
      <c r="A39" s="19" t="s">
        <v>37</v>
      </c>
      <c r="B39" s="19" t="s">
        <v>499</v>
      </c>
      <c r="C39" s="19" t="s">
        <v>94</v>
      </c>
      <c r="D39" s="19" t="s">
        <v>502</v>
      </c>
      <c r="E39" s="19" t="s">
        <v>503</v>
      </c>
      <c r="F39" s="19" t="s">
        <v>511</v>
      </c>
      <c r="G39" s="19"/>
      <c r="H39" s="19" t="s">
        <v>467</v>
      </c>
      <c r="I39" s="19"/>
    </row>
    <row r="40" spans="1:9" x14ac:dyDescent="0.3">
      <c r="A40" s="19" t="s">
        <v>37</v>
      </c>
      <c r="B40" s="19" t="s">
        <v>499</v>
      </c>
      <c r="C40" s="19" t="s">
        <v>130</v>
      </c>
      <c r="D40" s="19" t="s">
        <v>469</v>
      </c>
      <c r="E40" s="19" t="s">
        <v>503</v>
      </c>
      <c r="F40" s="19" t="s">
        <v>512</v>
      </c>
      <c r="G40" s="19"/>
      <c r="H40" s="19" t="s">
        <v>467</v>
      </c>
      <c r="I40" s="19"/>
    </row>
    <row r="41" spans="1:9" ht="26.4" x14ac:dyDescent="0.3">
      <c r="A41" s="19" t="s">
        <v>37</v>
      </c>
      <c r="B41" s="19" t="s">
        <v>499</v>
      </c>
      <c r="C41" s="19" t="s">
        <v>131</v>
      </c>
      <c r="D41" s="19" t="s">
        <v>502</v>
      </c>
      <c r="E41" s="19" t="s">
        <v>503</v>
      </c>
      <c r="F41" s="19" t="s">
        <v>513</v>
      </c>
      <c r="G41" s="19"/>
      <c r="H41" s="19" t="s">
        <v>467</v>
      </c>
      <c r="I41" s="19"/>
    </row>
    <row r="42" spans="1:9" ht="26.4" x14ac:dyDescent="0.3">
      <c r="A42" s="19" t="s">
        <v>37</v>
      </c>
      <c r="B42" s="19" t="s">
        <v>499</v>
      </c>
      <c r="C42" s="19" t="s">
        <v>132</v>
      </c>
      <c r="D42" s="19" t="s">
        <v>502</v>
      </c>
      <c r="E42" s="19" t="s">
        <v>503</v>
      </c>
      <c r="F42" s="19" t="s">
        <v>514</v>
      </c>
      <c r="G42" s="19"/>
      <c r="H42" s="19" t="s">
        <v>467</v>
      </c>
      <c r="I42" s="19"/>
    </row>
    <row r="43" spans="1:9" ht="26.4" x14ac:dyDescent="0.3">
      <c r="A43" s="19" t="s">
        <v>37</v>
      </c>
      <c r="B43" s="19" t="s">
        <v>499</v>
      </c>
      <c r="C43" s="19" t="s">
        <v>133</v>
      </c>
      <c r="D43" s="19" t="s">
        <v>502</v>
      </c>
      <c r="E43" s="19" t="s">
        <v>503</v>
      </c>
      <c r="F43" s="19" t="s">
        <v>515</v>
      </c>
      <c r="G43" s="19"/>
      <c r="H43" s="19" t="s">
        <v>467</v>
      </c>
      <c r="I43" s="19"/>
    </row>
    <row r="44" spans="1:9" ht="26.4" x14ac:dyDescent="0.3">
      <c r="A44" s="19" t="s">
        <v>37</v>
      </c>
      <c r="B44" s="19" t="s">
        <v>499</v>
      </c>
      <c r="C44" s="19" t="s">
        <v>134</v>
      </c>
      <c r="D44" s="19" t="s">
        <v>502</v>
      </c>
      <c r="E44" s="19" t="s">
        <v>503</v>
      </c>
      <c r="F44" s="19" t="s">
        <v>516</v>
      </c>
      <c r="G44" s="19"/>
      <c r="H44" s="19" t="s">
        <v>467</v>
      </c>
      <c r="I44" s="19"/>
    </row>
    <row r="45" spans="1:9" ht="26.4" x14ac:dyDescent="0.3">
      <c r="A45" s="19" t="s">
        <v>37</v>
      </c>
      <c r="B45" s="19" t="s">
        <v>499</v>
      </c>
      <c r="C45" s="19" t="s">
        <v>135</v>
      </c>
      <c r="D45" s="19" t="s">
        <v>502</v>
      </c>
      <c r="E45" s="19" t="s">
        <v>503</v>
      </c>
      <c r="F45" s="19" t="s">
        <v>517</v>
      </c>
      <c r="G45" s="19"/>
      <c r="H45" s="19" t="s">
        <v>467</v>
      </c>
      <c r="I45" s="19"/>
    </row>
    <row r="46" spans="1:9" x14ac:dyDescent="0.3">
      <c r="A46" s="19" t="s">
        <v>39</v>
      </c>
      <c r="B46" s="19" t="s">
        <v>518</v>
      </c>
      <c r="C46" s="19" t="s">
        <v>136</v>
      </c>
      <c r="D46" s="19" t="s">
        <v>464</v>
      </c>
      <c r="E46" s="19" t="s">
        <v>465</v>
      </c>
      <c r="F46" s="19" t="s">
        <v>519</v>
      </c>
      <c r="G46" s="19"/>
      <c r="H46" s="19" t="s">
        <v>467</v>
      </c>
      <c r="I46" s="19" t="s">
        <v>468</v>
      </c>
    </row>
    <row r="47" spans="1:9" x14ac:dyDescent="0.3">
      <c r="A47" s="19" t="s">
        <v>39</v>
      </c>
      <c r="B47" s="19" t="s">
        <v>518</v>
      </c>
      <c r="C47" s="19" t="s">
        <v>137</v>
      </c>
      <c r="D47" s="19" t="s">
        <v>464</v>
      </c>
      <c r="E47" s="19" t="s">
        <v>465</v>
      </c>
      <c r="F47" s="19" t="s">
        <v>520</v>
      </c>
      <c r="G47" s="19"/>
      <c r="H47" s="19" t="s">
        <v>467</v>
      </c>
      <c r="I47" s="19"/>
    </row>
    <row r="48" spans="1:9" x14ac:dyDescent="0.3">
      <c r="A48" s="19" t="s">
        <v>39</v>
      </c>
      <c r="B48" s="19" t="s">
        <v>518</v>
      </c>
      <c r="C48" s="19" t="s">
        <v>138</v>
      </c>
      <c r="D48" s="19" t="s">
        <v>464</v>
      </c>
      <c r="E48" s="19" t="s">
        <v>465</v>
      </c>
      <c r="F48" s="19" t="s">
        <v>521</v>
      </c>
      <c r="G48" s="19"/>
      <c r="H48" s="19" t="s">
        <v>467</v>
      </c>
      <c r="I48" s="19"/>
    </row>
    <row r="49" spans="1:9" x14ac:dyDescent="0.3">
      <c r="A49" s="19" t="s">
        <v>39</v>
      </c>
      <c r="B49" s="19" t="s">
        <v>518</v>
      </c>
      <c r="C49" s="19" t="s">
        <v>139</v>
      </c>
      <c r="D49" s="19" t="s">
        <v>464</v>
      </c>
      <c r="E49" s="19" t="s">
        <v>465</v>
      </c>
      <c r="F49" s="19" t="s">
        <v>522</v>
      </c>
      <c r="G49" s="19"/>
      <c r="H49" s="19" t="s">
        <v>467</v>
      </c>
      <c r="I49" s="19"/>
    </row>
    <row r="50" spans="1:9" x14ac:dyDescent="0.3">
      <c r="A50" s="19" t="s">
        <v>39</v>
      </c>
      <c r="B50" s="19" t="s">
        <v>518</v>
      </c>
      <c r="C50" s="19" t="s">
        <v>140</v>
      </c>
      <c r="D50" s="19" t="s">
        <v>464</v>
      </c>
      <c r="E50" s="19" t="s">
        <v>465</v>
      </c>
      <c r="F50" s="19" t="s">
        <v>523</v>
      </c>
      <c r="G50" s="19" t="s">
        <v>524</v>
      </c>
      <c r="H50" s="19" t="s">
        <v>467</v>
      </c>
      <c r="I50" s="19"/>
    </row>
    <row r="51" spans="1:9" x14ac:dyDescent="0.3">
      <c r="A51" s="19" t="s">
        <v>39</v>
      </c>
      <c r="B51" s="19" t="s">
        <v>518</v>
      </c>
      <c r="C51" s="19" t="s">
        <v>141</v>
      </c>
      <c r="D51" s="19" t="s">
        <v>464</v>
      </c>
      <c r="E51" s="19" t="s">
        <v>465</v>
      </c>
      <c r="F51" s="19" t="s">
        <v>525</v>
      </c>
      <c r="G51" s="19" t="s">
        <v>526</v>
      </c>
      <c r="H51" s="19" t="s">
        <v>467</v>
      </c>
      <c r="I51" s="19"/>
    </row>
    <row r="52" spans="1:9" x14ac:dyDescent="0.3">
      <c r="A52" s="19" t="s">
        <v>39</v>
      </c>
      <c r="B52" s="19" t="s">
        <v>518</v>
      </c>
      <c r="C52" s="19" t="s">
        <v>142</v>
      </c>
      <c r="D52" s="19" t="s">
        <v>464</v>
      </c>
      <c r="E52" s="19" t="s">
        <v>465</v>
      </c>
      <c r="F52" s="19" t="s">
        <v>527</v>
      </c>
      <c r="G52" s="19"/>
      <c r="H52" s="19" t="s">
        <v>467</v>
      </c>
      <c r="I52" s="19"/>
    </row>
    <row r="53" spans="1:9" x14ac:dyDescent="0.3">
      <c r="A53" s="19" t="s">
        <v>39</v>
      </c>
      <c r="B53" s="19" t="s">
        <v>518</v>
      </c>
      <c r="C53" s="19" t="s">
        <v>143</v>
      </c>
      <c r="D53" s="19" t="s">
        <v>464</v>
      </c>
      <c r="E53" s="19" t="s">
        <v>465</v>
      </c>
      <c r="F53" s="19" t="s">
        <v>528</v>
      </c>
      <c r="G53" s="19" t="s">
        <v>529</v>
      </c>
      <c r="H53" s="19" t="s">
        <v>467</v>
      </c>
      <c r="I53" s="19"/>
    </row>
    <row r="54" spans="1:9" x14ac:dyDescent="0.3">
      <c r="A54" s="19" t="s">
        <v>39</v>
      </c>
      <c r="B54" s="19" t="s">
        <v>518</v>
      </c>
      <c r="C54" s="19" t="s">
        <v>144</v>
      </c>
      <c r="D54" s="19" t="s">
        <v>469</v>
      </c>
      <c r="E54" s="19" t="s">
        <v>465</v>
      </c>
      <c r="F54" s="19" t="s">
        <v>530</v>
      </c>
      <c r="G54" s="19"/>
      <c r="H54" s="19" t="s">
        <v>467</v>
      </c>
      <c r="I54" s="19"/>
    </row>
    <row r="55" spans="1:9" ht="26.4" x14ac:dyDescent="0.3">
      <c r="A55" s="19" t="s">
        <v>39</v>
      </c>
      <c r="B55" s="19" t="s">
        <v>518</v>
      </c>
      <c r="C55" s="19" t="s">
        <v>145</v>
      </c>
      <c r="D55" s="19" t="s">
        <v>469</v>
      </c>
      <c r="E55" s="19" t="s">
        <v>503</v>
      </c>
      <c r="F55" s="19" t="s">
        <v>531</v>
      </c>
      <c r="G55" s="19"/>
      <c r="H55" s="19" t="s">
        <v>467</v>
      </c>
      <c r="I55" s="19"/>
    </row>
    <row r="56" spans="1:9" ht="26.4" x14ac:dyDescent="0.3">
      <c r="A56" s="19" t="s">
        <v>39</v>
      </c>
      <c r="B56" s="19" t="s">
        <v>518</v>
      </c>
      <c r="C56" s="19" t="s">
        <v>146</v>
      </c>
      <c r="D56" s="19" t="s">
        <v>464</v>
      </c>
      <c r="E56" s="19" t="s">
        <v>503</v>
      </c>
      <c r="F56" s="19" t="s">
        <v>532</v>
      </c>
      <c r="G56" s="19"/>
      <c r="H56" s="19" t="s">
        <v>467</v>
      </c>
      <c r="I56" s="19" t="s">
        <v>533</v>
      </c>
    </row>
    <row r="57" spans="1:9" ht="39.6" x14ac:dyDescent="0.3">
      <c r="A57" s="19" t="s">
        <v>39</v>
      </c>
      <c r="B57" s="19" t="s">
        <v>518</v>
      </c>
      <c r="C57" s="19" t="s">
        <v>147</v>
      </c>
      <c r="D57" s="19" t="s">
        <v>464</v>
      </c>
      <c r="E57" s="19" t="s">
        <v>503</v>
      </c>
      <c r="F57" s="19" t="s">
        <v>534</v>
      </c>
      <c r="G57" s="19"/>
      <c r="H57" s="19" t="s">
        <v>467</v>
      </c>
      <c r="I57" s="19" t="s">
        <v>535</v>
      </c>
    </row>
    <row r="58" spans="1:9" x14ac:dyDescent="0.3">
      <c r="A58" s="19" t="s">
        <v>39</v>
      </c>
      <c r="B58" s="19" t="s">
        <v>518</v>
      </c>
      <c r="C58" s="19" t="s">
        <v>148</v>
      </c>
      <c r="D58" s="19" t="s">
        <v>464</v>
      </c>
      <c r="E58" s="19" t="s">
        <v>465</v>
      </c>
      <c r="F58" s="19" t="s">
        <v>536</v>
      </c>
      <c r="G58" s="19" t="s">
        <v>537</v>
      </c>
      <c r="H58" s="19" t="s">
        <v>467</v>
      </c>
      <c r="I58" s="19"/>
    </row>
    <row r="59" spans="1:9" x14ac:dyDescent="0.3">
      <c r="A59" s="19" t="s">
        <v>39</v>
      </c>
      <c r="B59" s="19" t="s">
        <v>518</v>
      </c>
      <c r="C59" s="19" t="s">
        <v>149</v>
      </c>
      <c r="D59" s="19" t="s">
        <v>464</v>
      </c>
      <c r="E59" s="19" t="s">
        <v>465</v>
      </c>
      <c r="F59" s="19" t="s">
        <v>538</v>
      </c>
      <c r="G59" s="19"/>
      <c r="H59" s="19" t="s">
        <v>467</v>
      </c>
      <c r="I59" s="19"/>
    </row>
    <row r="60" spans="1:9" x14ac:dyDescent="0.3">
      <c r="A60" s="19" t="s">
        <v>43</v>
      </c>
      <c r="B60" s="19" t="s">
        <v>539</v>
      </c>
      <c r="C60" s="19" t="s">
        <v>146</v>
      </c>
      <c r="D60" s="19" t="s">
        <v>464</v>
      </c>
      <c r="E60" s="19" t="s">
        <v>465</v>
      </c>
      <c r="F60" s="19" t="s">
        <v>540</v>
      </c>
      <c r="G60" s="19"/>
      <c r="H60" s="19" t="s">
        <v>467</v>
      </c>
      <c r="I60" s="19" t="s">
        <v>468</v>
      </c>
    </row>
    <row r="61" spans="1:9" x14ac:dyDescent="0.3">
      <c r="A61" s="19" t="s">
        <v>43</v>
      </c>
      <c r="B61" s="19" t="s">
        <v>539</v>
      </c>
      <c r="C61" s="19" t="s">
        <v>266</v>
      </c>
      <c r="D61" s="19" t="s">
        <v>464</v>
      </c>
      <c r="E61" s="19" t="s">
        <v>465</v>
      </c>
      <c r="F61" s="19" t="s">
        <v>541</v>
      </c>
      <c r="G61" s="19"/>
      <c r="H61" s="19" t="s">
        <v>467</v>
      </c>
      <c r="I61" s="19"/>
    </row>
    <row r="62" spans="1:9" x14ac:dyDescent="0.3">
      <c r="A62" s="19" t="s">
        <v>43</v>
      </c>
      <c r="B62" s="19" t="s">
        <v>539</v>
      </c>
      <c r="C62" s="19" t="s">
        <v>267</v>
      </c>
      <c r="D62" s="19" t="s">
        <v>464</v>
      </c>
      <c r="E62" s="19" t="s">
        <v>465</v>
      </c>
      <c r="F62" s="19" t="s">
        <v>542</v>
      </c>
      <c r="G62" s="19"/>
      <c r="H62" s="19" t="s">
        <v>467</v>
      </c>
      <c r="I62" s="19"/>
    </row>
    <row r="63" spans="1:9" x14ac:dyDescent="0.3">
      <c r="A63" s="19" t="s">
        <v>43</v>
      </c>
      <c r="B63" s="19" t="s">
        <v>539</v>
      </c>
      <c r="C63" s="19" t="s">
        <v>136</v>
      </c>
      <c r="D63" s="19" t="s">
        <v>464</v>
      </c>
      <c r="E63" s="19" t="s">
        <v>465</v>
      </c>
      <c r="F63" s="19" t="s">
        <v>543</v>
      </c>
      <c r="G63" s="19"/>
      <c r="H63" s="19" t="s">
        <v>467</v>
      </c>
      <c r="I63" s="19" t="s">
        <v>544</v>
      </c>
    </row>
    <row r="64" spans="1:9" x14ac:dyDescent="0.3">
      <c r="A64" s="19" t="s">
        <v>43</v>
      </c>
      <c r="B64" s="19" t="s">
        <v>539</v>
      </c>
      <c r="C64" s="19" t="s">
        <v>268</v>
      </c>
      <c r="D64" s="19" t="s">
        <v>464</v>
      </c>
      <c r="E64" s="19" t="s">
        <v>503</v>
      </c>
      <c r="F64" s="19" t="s">
        <v>545</v>
      </c>
      <c r="G64" s="19"/>
      <c r="H64" s="19" t="s">
        <v>467</v>
      </c>
      <c r="I64" s="19"/>
    </row>
    <row r="65" spans="1:9" x14ac:dyDescent="0.3">
      <c r="A65" s="19" t="s">
        <v>43</v>
      </c>
      <c r="B65" s="19" t="s">
        <v>539</v>
      </c>
      <c r="C65" s="19" t="s">
        <v>145</v>
      </c>
      <c r="D65" s="19" t="s">
        <v>469</v>
      </c>
      <c r="E65" s="19" t="s">
        <v>503</v>
      </c>
      <c r="F65" s="19" t="s">
        <v>546</v>
      </c>
      <c r="G65" s="19"/>
      <c r="H65" s="19" t="s">
        <v>467</v>
      </c>
      <c r="I65" s="19"/>
    </row>
    <row r="66" spans="1:9" x14ac:dyDescent="0.3">
      <c r="A66" s="19" t="s">
        <v>43</v>
      </c>
      <c r="B66" s="19" t="s">
        <v>539</v>
      </c>
      <c r="C66" s="19" t="s">
        <v>269</v>
      </c>
      <c r="D66" s="19" t="s">
        <v>469</v>
      </c>
      <c r="E66" s="19" t="s">
        <v>465</v>
      </c>
      <c r="F66" s="19" t="s">
        <v>547</v>
      </c>
      <c r="G66" s="19"/>
      <c r="H66" s="19" t="s">
        <v>467</v>
      </c>
      <c r="I66" s="19"/>
    </row>
    <row r="67" spans="1:9" ht="26.4" x14ac:dyDescent="0.3">
      <c r="A67" s="19" t="s">
        <v>43</v>
      </c>
      <c r="B67" s="19" t="s">
        <v>539</v>
      </c>
      <c r="C67" s="19" t="s">
        <v>270</v>
      </c>
      <c r="D67" s="19" t="s">
        <v>548</v>
      </c>
      <c r="E67" s="19" t="s">
        <v>465</v>
      </c>
      <c r="F67" s="19" t="s">
        <v>549</v>
      </c>
      <c r="G67" s="19"/>
      <c r="H67" s="19" t="s">
        <v>467</v>
      </c>
      <c r="I67" s="19"/>
    </row>
    <row r="68" spans="1:9" x14ac:dyDescent="0.3">
      <c r="A68" s="19" t="s">
        <v>43</v>
      </c>
      <c r="B68" s="19" t="s">
        <v>539</v>
      </c>
      <c r="C68" s="19" t="s">
        <v>271</v>
      </c>
      <c r="D68" s="19" t="s">
        <v>464</v>
      </c>
      <c r="E68" s="19" t="s">
        <v>465</v>
      </c>
      <c r="F68" s="19" t="s">
        <v>550</v>
      </c>
      <c r="G68" s="19"/>
      <c r="H68" s="19" t="s">
        <v>467</v>
      </c>
      <c r="I68" s="19"/>
    </row>
    <row r="69" spans="1:9" x14ac:dyDescent="0.3">
      <c r="A69" s="19" t="s">
        <v>43</v>
      </c>
      <c r="B69" s="19" t="s">
        <v>539</v>
      </c>
      <c r="C69" s="19" t="s">
        <v>272</v>
      </c>
      <c r="D69" s="19" t="s">
        <v>464</v>
      </c>
      <c r="E69" s="19" t="s">
        <v>465</v>
      </c>
      <c r="F69" s="19" t="s">
        <v>551</v>
      </c>
      <c r="G69" s="19"/>
      <c r="H69" s="19" t="s">
        <v>467</v>
      </c>
      <c r="I69" s="19"/>
    </row>
    <row r="70" spans="1:9" x14ac:dyDescent="0.3">
      <c r="A70" s="19" t="s">
        <v>43</v>
      </c>
      <c r="B70" s="19" t="s">
        <v>539</v>
      </c>
      <c r="C70" s="19" t="s">
        <v>143</v>
      </c>
      <c r="D70" s="19" t="s">
        <v>464</v>
      </c>
      <c r="E70" s="19" t="s">
        <v>465</v>
      </c>
      <c r="F70" s="19" t="s">
        <v>552</v>
      </c>
      <c r="G70" s="19" t="s">
        <v>529</v>
      </c>
      <c r="H70" s="19" t="s">
        <v>467</v>
      </c>
      <c r="I70" s="19"/>
    </row>
    <row r="71" spans="1:9" x14ac:dyDescent="0.3">
      <c r="A71" s="19" t="s">
        <v>43</v>
      </c>
      <c r="B71" s="19" t="s">
        <v>539</v>
      </c>
      <c r="C71" s="19" t="s">
        <v>14</v>
      </c>
      <c r="D71" s="19" t="s">
        <v>464</v>
      </c>
      <c r="E71" s="19" t="s">
        <v>503</v>
      </c>
      <c r="F71" s="19" t="s">
        <v>553</v>
      </c>
      <c r="G71" s="19"/>
      <c r="H71" s="19" t="s">
        <v>467</v>
      </c>
      <c r="I71" s="19"/>
    </row>
    <row r="72" spans="1:9" x14ac:dyDescent="0.3">
      <c r="A72" s="19" t="s">
        <v>43</v>
      </c>
      <c r="B72" s="19" t="s">
        <v>539</v>
      </c>
      <c r="C72" s="19" t="s">
        <v>273</v>
      </c>
      <c r="D72" s="19" t="s">
        <v>469</v>
      </c>
      <c r="E72" s="19" t="s">
        <v>503</v>
      </c>
      <c r="F72" s="19" t="s">
        <v>554</v>
      </c>
      <c r="G72" s="19"/>
      <c r="H72" s="19" t="s">
        <v>467</v>
      </c>
      <c r="I72" s="19"/>
    </row>
    <row r="73" spans="1:9" ht="26.4" x14ac:dyDescent="0.3">
      <c r="A73" s="19" t="s">
        <v>43</v>
      </c>
      <c r="B73" s="19" t="s">
        <v>539</v>
      </c>
      <c r="C73" s="19" t="s">
        <v>274</v>
      </c>
      <c r="D73" s="19" t="s">
        <v>502</v>
      </c>
      <c r="E73" s="19" t="s">
        <v>503</v>
      </c>
      <c r="F73" s="19" t="s">
        <v>555</v>
      </c>
      <c r="G73" s="19"/>
      <c r="H73" s="19" t="s">
        <v>467</v>
      </c>
      <c r="I73" s="19"/>
    </row>
    <row r="74" spans="1:9" x14ac:dyDescent="0.3">
      <c r="A74" s="19" t="s">
        <v>43</v>
      </c>
      <c r="B74" s="19" t="s">
        <v>539</v>
      </c>
      <c r="C74" s="19" t="s">
        <v>275</v>
      </c>
      <c r="D74" s="19" t="s">
        <v>556</v>
      </c>
      <c r="E74" s="19" t="s">
        <v>503</v>
      </c>
      <c r="F74" s="19" t="s">
        <v>557</v>
      </c>
      <c r="G74" s="19"/>
      <c r="H74" s="19" t="s">
        <v>467</v>
      </c>
      <c r="I74" s="19"/>
    </row>
    <row r="75" spans="1:9" x14ac:dyDescent="0.3">
      <c r="A75" s="19" t="s">
        <v>43</v>
      </c>
      <c r="B75" s="19" t="s">
        <v>539</v>
      </c>
      <c r="C75" s="19" t="s">
        <v>276</v>
      </c>
      <c r="D75" s="19" t="s">
        <v>464</v>
      </c>
      <c r="E75" s="19" t="s">
        <v>503</v>
      </c>
      <c r="F75" s="19" t="s">
        <v>558</v>
      </c>
      <c r="G75" s="19"/>
      <c r="H75" s="19" t="s">
        <v>467</v>
      </c>
      <c r="I75" s="19"/>
    </row>
    <row r="76" spans="1:9" x14ac:dyDescent="0.3">
      <c r="A76" s="19" t="s">
        <v>43</v>
      </c>
      <c r="B76" s="19" t="s">
        <v>539</v>
      </c>
      <c r="C76" s="19" t="s">
        <v>277</v>
      </c>
      <c r="D76" s="19" t="s">
        <v>464</v>
      </c>
      <c r="E76" s="19" t="s">
        <v>503</v>
      </c>
      <c r="F76" s="19" t="s">
        <v>559</v>
      </c>
      <c r="G76" s="19"/>
      <c r="H76" s="19" t="s">
        <v>467</v>
      </c>
      <c r="I76" s="19"/>
    </row>
    <row r="77" spans="1:9" x14ac:dyDescent="0.3">
      <c r="A77" s="19" t="s">
        <v>43</v>
      </c>
      <c r="B77" s="19" t="s">
        <v>539</v>
      </c>
      <c r="C77" s="19" t="s">
        <v>278</v>
      </c>
      <c r="D77" s="19" t="s">
        <v>464</v>
      </c>
      <c r="E77" s="19" t="s">
        <v>503</v>
      </c>
      <c r="F77" s="19" t="s">
        <v>560</v>
      </c>
      <c r="G77" s="19"/>
      <c r="H77" s="19" t="s">
        <v>467</v>
      </c>
      <c r="I77" s="19"/>
    </row>
    <row r="78" spans="1:9" x14ac:dyDescent="0.3">
      <c r="A78" s="19" t="s">
        <v>43</v>
      </c>
      <c r="B78" s="19" t="s">
        <v>539</v>
      </c>
      <c r="C78" s="19" t="s">
        <v>279</v>
      </c>
      <c r="D78" s="19" t="s">
        <v>464</v>
      </c>
      <c r="E78" s="19" t="s">
        <v>503</v>
      </c>
      <c r="F78" s="19" t="s">
        <v>561</v>
      </c>
      <c r="G78" s="19"/>
      <c r="H78" s="19" t="s">
        <v>467</v>
      </c>
      <c r="I78" s="19"/>
    </row>
    <row r="79" spans="1:9" x14ac:dyDescent="0.3">
      <c r="A79" s="19" t="s">
        <v>43</v>
      </c>
      <c r="B79" s="19" t="s">
        <v>539</v>
      </c>
      <c r="C79" s="19" t="s">
        <v>280</v>
      </c>
      <c r="D79" s="19" t="s">
        <v>464</v>
      </c>
      <c r="E79" s="19" t="s">
        <v>503</v>
      </c>
      <c r="F79" s="19" t="s">
        <v>562</v>
      </c>
      <c r="G79" s="19"/>
      <c r="H79" s="19" t="s">
        <v>467</v>
      </c>
      <c r="I79" s="19"/>
    </row>
    <row r="80" spans="1:9" x14ac:dyDescent="0.3">
      <c r="A80" s="19" t="s">
        <v>43</v>
      </c>
      <c r="B80" s="19" t="s">
        <v>539</v>
      </c>
      <c r="C80" s="19" t="s">
        <v>281</v>
      </c>
      <c r="D80" s="19" t="s">
        <v>464</v>
      </c>
      <c r="E80" s="19" t="s">
        <v>503</v>
      </c>
      <c r="F80" s="19" t="s">
        <v>563</v>
      </c>
      <c r="G80" s="19"/>
      <c r="H80" s="19" t="s">
        <v>467</v>
      </c>
      <c r="I80" s="19"/>
    </row>
    <row r="81" spans="1:9" x14ac:dyDescent="0.3">
      <c r="A81" s="19" t="s">
        <v>43</v>
      </c>
      <c r="B81" s="19" t="s">
        <v>539</v>
      </c>
      <c r="C81" s="19" t="s">
        <v>282</v>
      </c>
      <c r="D81" s="19" t="s">
        <v>464</v>
      </c>
      <c r="E81" s="19" t="s">
        <v>465</v>
      </c>
      <c r="F81" s="19" t="s">
        <v>564</v>
      </c>
      <c r="G81" s="19"/>
      <c r="H81" s="19" t="s">
        <v>467</v>
      </c>
      <c r="I81" s="19"/>
    </row>
    <row r="82" spans="1:9" x14ac:dyDescent="0.3">
      <c r="A82" s="19" t="s">
        <v>43</v>
      </c>
      <c r="B82" s="19" t="s">
        <v>539</v>
      </c>
      <c r="C82" s="19" t="s">
        <v>283</v>
      </c>
      <c r="D82" s="19" t="s">
        <v>464</v>
      </c>
      <c r="E82" s="19" t="s">
        <v>465</v>
      </c>
      <c r="F82" s="19" t="s">
        <v>565</v>
      </c>
      <c r="G82" s="19"/>
      <c r="H82" s="19" t="s">
        <v>467</v>
      </c>
      <c r="I82" s="19"/>
    </row>
    <row r="83" spans="1:9" x14ac:dyDescent="0.3">
      <c r="A83" s="19" t="s">
        <v>43</v>
      </c>
      <c r="B83" s="19" t="s">
        <v>539</v>
      </c>
      <c r="C83" s="19" t="s">
        <v>148</v>
      </c>
      <c r="D83" s="19" t="s">
        <v>464</v>
      </c>
      <c r="E83" s="19" t="s">
        <v>465</v>
      </c>
      <c r="F83" s="19" t="s">
        <v>536</v>
      </c>
      <c r="G83" s="19" t="s">
        <v>537</v>
      </c>
      <c r="H83" s="19" t="s">
        <v>467</v>
      </c>
      <c r="I83" s="19"/>
    </row>
    <row r="84" spans="1:9" x14ac:dyDescent="0.3">
      <c r="A84" s="19" t="s">
        <v>43</v>
      </c>
      <c r="B84" s="19" t="s">
        <v>539</v>
      </c>
      <c r="C84" s="19" t="s">
        <v>284</v>
      </c>
      <c r="D84" s="19" t="s">
        <v>464</v>
      </c>
      <c r="E84" s="19" t="s">
        <v>465</v>
      </c>
      <c r="F84" s="19" t="s">
        <v>566</v>
      </c>
      <c r="G84" s="19"/>
      <c r="H84" s="19" t="s">
        <v>467</v>
      </c>
      <c r="I84" s="19"/>
    </row>
    <row r="85" spans="1:9" x14ac:dyDescent="0.3">
      <c r="A85" s="19" t="s">
        <v>43</v>
      </c>
      <c r="B85" s="19" t="s">
        <v>539</v>
      </c>
      <c r="C85" s="19" t="s">
        <v>140</v>
      </c>
      <c r="D85" s="19" t="s">
        <v>464</v>
      </c>
      <c r="E85" s="19" t="s">
        <v>503</v>
      </c>
      <c r="F85" s="19" t="s">
        <v>567</v>
      </c>
      <c r="G85" s="19"/>
      <c r="H85" s="19" t="s">
        <v>467</v>
      </c>
      <c r="I85" s="19"/>
    </row>
    <row r="86" spans="1:9" x14ac:dyDescent="0.3">
      <c r="A86" s="19" t="s">
        <v>43</v>
      </c>
      <c r="B86" s="19" t="s">
        <v>539</v>
      </c>
      <c r="C86" s="19" t="s">
        <v>285</v>
      </c>
      <c r="D86" s="19" t="s">
        <v>464</v>
      </c>
      <c r="E86" s="19" t="s">
        <v>465</v>
      </c>
      <c r="F86" s="19" t="s">
        <v>568</v>
      </c>
      <c r="G86" s="19"/>
      <c r="H86" s="19" t="s">
        <v>467</v>
      </c>
      <c r="I86" s="19"/>
    </row>
    <row r="87" spans="1:9" ht="26.4" x14ac:dyDescent="0.3">
      <c r="A87" s="19" t="s">
        <v>43</v>
      </c>
      <c r="B87" s="19" t="s">
        <v>539</v>
      </c>
      <c r="C87" s="19" t="s">
        <v>286</v>
      </c>
      <c r="D87" s="19" t="s">
        <v>548</v>
      </c>
      <c r="E87" s="19" t="s">
        <v>465</v>
      </c>
      <c r="F87" s="19" t="s">
        <v>569</v>
      </c>
      <c r="G87" s="19"/>
      <c r="H87" s="19" t="s">
        <v>467</v>
      </c>
      <c r="I87" s="19"/>
    </row>
    <row r="88" spans="1:9" x14ac:dyDescent="0.3">
      <c r="A88" s="19" t="s">
        <v>45</v>
      </c>
      <c r="B88" s="19" t="s">
        <v>570</v>
      </c>
      <c r="C88" s="19" t="s">
        <v>147</v>
      </c>
      <c r="D88" s="19" t="s">
        <v>464</v>
      </c>
      <c r="E88" s="19" t="s">
        <v>465</v>
      </c>
      <c r="F88" s="19" t="s">
        <v>571</v>
      </c>
      <c r="G88" s="19"/>
      <c r="H88" s="19" t="s">
        <v>467</v>
      </c>
      <c r="I88" s="19" t="s">
        <v>468</v>
      </c>
    </row>
    <row r="89" spans="1:9" x14ac:dyDescent="0.3">
      <c r="A89" s="19" t="s">
        <v>45</v>
      </c>
      <c r="B89" s="19" t="s">
        <v>570</v>
      </c>
      <c r="C89" s="19" t="s">
        <v>343</v>
      </c>
      <c r="D89" s="19" t="s">
        <v>464</v>
      </c>
      <c r="E89" s="19" t="s">
        <v>465</v>
      </c>
      <c r="F89" s="19" t="s">
        <v>572</v>
      </c>
      <c r="G89" s="19"/>
      <c r="H89" s="19" t="s">
        <v>467</v>
      </c>
      <c r="I89" s="19"/>
    </row>
    <row r="90" spans="1:9" x14ac:dyDescent="0.3">
      <c r="A90" s="19" t="s">
        <v>45</v>
      </c>
      <c r="B90" s="19" t="s">
        <v>570</v>
      </c>
      <c r="C90" s="19" t="s">
        <v>344</v>
      </c>
      <c r="D90" s="19" t="s">
        <v>464</v>
      </c>
      <c r="E90" s="19" t="s">
        <v>465</v>
      </c>
      <c r="F90" s="19" t="s">
        <v>573</v>
      </c>
      <c r="G90" s="19"/>
      <c r="H90" s="19" t="s">
        <v>467</v>
      </c>
      <c r="I90" s="19"/>
    </row>
    <row r="91" spans="1:9" x14ac:dyDescent="0.3">
      <c r="A91" s="19" t="s">
        <v>45</v>
      </c>
      <c r="B91" s="19" t="s">
        <v>570</v>
      </c>
      <c r="C91" s="19" t="s">
        <v>345</v>
      </c>
      <c r="D91" s="19" t="s">
        <v>464</v>
      </c>
      <c r="E91" s="19" t="s">
        <v>465</v>
      </c>
      <c r="F91" s="19" t="s">
        <v>574</v>
      </c>
      <c r="G91" s="19"/>
      <c r="H91" s="19" t="s">
        <v>467</v>
      </c>
      <c r="I91" s="19"/>
    </row>
    <row r="92" spans="1:9" x14ac:dyDescent="0.3">
      <c r="A92" s="19" t="s">
        <v>45</v>
      </c>
      <c r="B92" s="19" t="s">
        <v>570</v>
      </c>
      <c r="C92" s="19" t="s">
        <v>346</v>
      </c>
      <c r="D92" s="19" t="s">
        <v>464</v>
      </c>
      <c r="E92" s="19" t="s">
        <v>465</v>
      </c>
      <c r="F92" s="19" t="s">
        <v>575</v>
      </c>
      <c r="G92" s="19" t="s">
        <v>529</v>
      </c>
      <c r="H92" s="19" t="s">
        <v>467</v>
      </c>
      <c r="I92" s="19"/>
    </row>
    <row r="93" spans="1:9" x14ac:dyDescent="0.3">
      <c r="A93" s="19" t="s">
        <v>45</v>
      </c>
      <c r="B93" s="19" t="s">
        <v>570</v>
      </c>
      <c r="C93" s="19" t="s">
        <v>136</v>
      </c>
      <c r="D93" s="19" t="s">
        <v>464</v>
      </c>
      <c r="E93" s="19" t="s">
        <v>465</v>
      </c>
      <c r="F93" s="19" t="s">
        <v>576</v>
      </c>
      <c r="G93" s="19"/>
      <c r="H93" s="19" t="s">
        <v>577</v>
      </c>
      <c r="I93" s="19" t="s">
        <v>544</v>
      </c>
    </row>
    <row r="94" spans="1:9" x14ac:dyDescent="0.3">
      <c r="A94" s="19" t="s">
        <v>45</v>
      </c>
      <c r="B94" s="19" t="s">
        <v>570</v>
      </c>
      <c r="C94" s="19" t="s">
        <v>347</v>
      </c>
      <c r="D94" s="19" t="s">
        <v>464</v>
      </c>
      <c r="E94" s="19" t="s">
        <v>465</v>
      </c>
      <c r="F94" s="19" t="s">
        <v>578</v>
      </c>
      <c r="G94" s="19"/>
      <c r="H94" s="19" t="s">
        <v>467</v>
      </c>
      <c r="I94" s="19"/>
    </row>
    <row r="95" spans="1:9" x14ac:dyDescent="0.3">
      <c r="A95" s="19" t="s">
        <v>45</v>
      </c>
      <c r="B95" s="19" t="s">
        <v>570</v>
      </c>
      <c r="C95" s="19" t="s">
        <v>348</v>
      </c>
      <c r="D95" s="19" t="s">
        <v>464</v>
      </c>
      <c r="E95" s="19" t="s">
        <v>465</v>
      </c>
      <c r="F95" s="19" t="s">
        <v>579</v>
      </c>
      <c r="G95" s="19"/>
      <c r="H95" s="19" t="s">
        <v>467</v>
      </c>
      <c r="I95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11</vt:i4>
      </vt:variant>
    </vt:vector>
  </HeadingPairs>
  <TitlesOfParts>
    <vt:vector size="20" baseType="lpstr">
      <vt:lpstr>00_LEIA-ME</vt:lpstr>
      <vt:lpstr>Base_Mensal</vt:lpstr>
      <vt:lpstr>KPI_Mensal</vt:lpstr>
      <vt:lpstr>Catalogo_KPI</vt:lpstr>
      <vt:lpstr>Painel_KPI</vt:lpstr>
      <vt:lpstr>Objetivos_Qualidade</vt:lpstr>
      <vt:lpstr>Plano_Monitorizacao</vt:lpstr>
      <vt:lpstr>Listas</vt:lpstr>
      <vt:lpstr>Dicionario_Dados</vt:lpstr>
      <vt:lpstr>DataRef</vt:lpstr>
      <vt:lpstr>lst_DataReferencia</vt:lpstr>
      <vt:lpstr>lst_Frequencia</vt:lpstr>
      <vt:lpstr>lst_Funcao</vt:lpstr>
      <vt:lpstr>lst_Polaridade</vt:lpstr>
      <vt:lpstr>lst_Processo</vt:lpstr>
      <vt:lpstr>Base_Mensal!Títulos_de_Impressão</vt:lpstr>
      <vt:lpstr>Catalogo_KPI!Títulos_de_Impressão</vt:lpstr>
      <vt:lpstr>KPI_Mensal!Títulos_de_Impressão</vt:lpstr>
      <vt:lpstr>Objetivos_Qualidade!Títulos_de_Impressão</vt:lpstr>
      <vt:lpstr>Plano_Monitorizacao!Títulos_de_Impressão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RG-SGQ-05 Objetivos da Qualidade, KPI e Plano de Monitorização e Medição</dc:title>
  <dc:subject>SGQ NP EN ISO 9001:2026 — Plasticom</dc:subject>
  <dc:creator>Gerente da Qualidade</dc:creator>
  <cp:lastModifiedBy>Aline Meireles</cp:lastModifiedBy>
  <dcterms:created xsi:type="dcterms:W3CDTF">2026-09-30T16:46:44Z</dcterms:created>
  <dcterms:modified xsi:type="dcterms:W3CDTF">2026-09-30T16:47:12Z</dcterms:modified>
</cp:coreProperties>
</file>