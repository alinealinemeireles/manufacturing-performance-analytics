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Project Portfolios\manufacturing-performance-analytics\SGI_Sistema-de-gestao-integrado\SGI_Sistema-de-gestao-da-qualidade\Registos_SGQ_Plasticom\"/>
    </mc:Choice>
  </mc:AlternateContent>
  <xr:revisionPtr revIDLastSave="0" documentId="13_ncr:1_{A04D3170-4C8C-4DB7-9E9E-E9422D1E80FC}" xr6:coauthVersionLast="47" xr6:coauthVersionMax="47" xr10:uidLastSave="{00000000-0000-0000-0000-000000000000}"/>
  <bookViews>
    <workbookView xWindow="1920" yWindow="1920" windowWidth="17280" windowHeight="8880" xr2:uid="{00000000-000D-0000-FFFF-FFFF00000000}"/>
  </bookViews>
  <sheets>
    <sheet name="00_LEIA-ME" sheetId="1" r:id="rId1"/>
    <sheet name="Registo_Alteracoes" sheetId="2" r:id="rId2"/>
    <sheet name="Checklist_Alteracoes" sheetId="3" r:id="rId3"/>
    <sheet name="Resumo_Alteracoes" sheetId="4" r:id="rId4"/>
    <sheet name="Listas" sheetId="5" r:id="rId5"/>
    <sheet name="Dicionario_Dados" sheetId="6" r:id="rId6"/>
  </sheets>
  <definedNames>
    <definedName name="DataRef">Listas!$A$3</definedName>
    <definedName name="lst_DataReferencia">Listas!$A$3:$A$3</definedName>
    <definedName name="lst_EstadoAlt">Listas!$F$3:$F$8</definedName>
    <definedName name="lst_Funcao">Listas!$H$3:$H$28</definedName>
    <definedName name="lst_Natureza">Listas!$C$3:$C$4</definedName>
    <definedName name="lst_Resultado">Listas!$G$3:$G$6</definedName>
    <definedName name="lst_SimNao">Listas!$D$3:$D$4</definedName>
    <definedName name="lst_SimNaoNA">Listas!$E$3:$E$5</definedName>
    <definedName name="lst_TipoAlt">Listas!$B$3:$B$11</definedName>
    <definedName name="_xlnm.Print_Titles" localSheetId="2">Checklist_Alteracoes!$1:$1</definedName>
    <definedName name="_xlnm.Print_Titles" localSheetId="1">Registo_Alteracoes!$4:$4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4" l="1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E14" i="4" s="1"/>
  <c r="D5" i="4"/>
  <c r="D14" i="4" s="1"/>
  <c r="C5" i="4"/>
  <c r="B5" i="4"/>
  <c r="B14" i="4" s="1"/>
  <c r="C222" i="3"/>
  <c r="C221" i="3"/>
  <c r="C220" i="3"/>
  <c r="C219" i="3"/>
  <c r="C218" i="3"/>
  <c r="C217" i="3"/>
  <c r="C216" i="3"/>
  <c r="C215" i="3"/>
  <c r="C214" i="3"/>
  <c r="C213" i="3"/>
  <c r="C212" i="3"/>
  <c r="C211" i="3"/>
  <c r="C210" i="3"/>
  <c r="C209" i="3"/>
  <c r="C208" i="3"/>
  <c r="C207" i="3"/>
  <c r="C206" i="3"/>
  <c r="C205" i="3"/>
  <c r="C204" i="3"/>
  <c r="C203" i="3"/>
  <c r="C202" i="3"/>
  <c r="C201" i="3"/>
  <c r="C200" i="3"/>
  <c r="C199" i="3"/>
  <c r="C198" i="3"/>
  <c r="C197" i="3"/>
  <c r="C196" i="3"/>
  <c r="C195" i="3"/>
  <c r="C194" i="3"/>
  <c r="C193" i="3"/>
  <c r="C192" i="3"/>
  <c r="C191" i="3"/>
  <c r="C190" i="3"/>
  <c r="C189" i="3"/>
  <c r="C188" i="3"/>
  <c r="C187" i="3"/>
  <c r="C186" i="3"/>
  <c r="C185" i="3"/>
  <c r="C184" i="3"/>
  <c r="C183" i="3"/>
  <c r="C182" i="3"/>
  <c r="C181" i="3"/>
  <c r="C180" i="3"/>
  <c r="C179" i="3"/>
  <c r="C178" i="3"/>
  <c r="C177" i="3"/>
  <c r="C176" i="3"/>
  <c r="C175" i="3"/>
  <c r="C174" i="3"/>
  <c r="C173" i="3"/>
  <c r="C172" i="3"/>
  <c r="C171" i="3"/>
  <c r="C170" i="3"/>
  <c r="C169" i="3"/>
  <c r="C168" i="3"/>
  <c r="C167" i="3"/>
  <c r="C166" i="3"/>
  <c r="C165" i="3"/>
  <c r="C164" i="3"/>
  <c r="C163" i="3"/>
  <c r="C162" i="3"/>
  <c r="C161" i="3"/>
  <c r="C160" i="3"/>
  <c r="C159" i="3"/>
  <c r="C158" i="3"/>
  <c r="C157" i="3"/>
  <c r="C156" i="3"/>
  <c r="C155" i="3"/>
  <c r="C154" i="3"/>
  <c r="C153" i="3"/>
  <c r="C152" i="3"/>
  <c r="C151" i="3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C137" i="3"/>
  <c r="C136" i="3"/>
  <c r="C135" i="3"/>
  <c r="C134" i="3"/>
  <c r="C133" i="3"/>
  <c r="C132" i="3"/>
  <c r="C131" i="3"/>
  <c r="C130" i="3"/>
  <c r="C129" i="3"/>
  <c r="C128" i="3"/>
  <c r="C127" i="3"/>
  <c r="C126" i="3"/>
  <c r="C125" i="3"/>
  <c r="C124" i="3"/>
  <c r="C123" i="3"/>
  <c r="C122" i="3"/>
  <c r="C121" i="3"/>
  <c r="C120" i="3"/>
  <c r="C119" i="3"/>
  <c r="C118" i="3"/>
  <c r="C117" i="3"/>
  <c r="C116" i="3"/>
  <c r="C115" i="3"/>
  <c r="C114" i="3"/>
  <c r="C113" i="3"/>
  <c r="C112" i="3"/>
  <c r="C111" i="3"/>
  <c r="C110" i="3"/>
  <c r="C109" i="3"/>
  <c r="C108" i="3"/>
  <c r="C107" i="3"/>
  <c r="C106" i="3"/>
  <c r="C105" i="3"/>
  <c r="C104" i="3"/>
  <c r="C103" i="3"/>
  <c r="C102" i="3"/>
  <c r="C101" i="3"/>
  <c r="C100" i="3"/>
  <c r="C99" i="3"/>
  <c r="C98" i="3"/>
  <c r="C97" i="3"/>
  <c r="C96" i="3"/>
  <c r="C95" i="3"/>
  <c r="C94" i="3"/>
  <c r="C93" i="3"/>
  <c r="C92" i="3"/>
  <c r="C91" i="3"/>
  <c r="C90" i="3"/>
  <c r="C89" i="3"/>
  <c r="C88" i="3"/>
  <c r="C87" i="3"/>
  <c r="C86" i="3"/>
  <c r="C85" i="3"/>
  <c r="C84" i="3"/>
  <c r="C83" i="3"/>
  <c r="C82" i="3"/>
  <c r="C81" i="3"/>
  <c r="C80" i="3"/>
  <c r="C79" i="3"/>
  <c r="C78" i="3"/>
  <c r="C77" i="3"/>
  <c r="C76" i="3"/>
  <c r="C75" i="3"/>
  <c r="C74" i="3"/>
  <c r="C73" i="3"/>
  <c r="C72" i="3"/>
  <c r="C71" i="3"/>
  <c r="C70" i="3"/>
  <c r="C69" i="3"/>
  <c r="C68" i="3"/>
  <c r="C67" i="3"/>
  <c r="C66" i="3"/>
  <c r="C65" i="3"/>
  <c r="C64" i="3"/>
  <c r="C63" i="3"/>
  <c r="C62" i="3"/>
  <c r="C61" i="3"/>
  <c r="C60" i="3"/>
  <c r="C59" i="3"/>
  <c r="C58" i="3"/>
  <c r="C57" i="3"/>
  <c r="C56" i="3"/>
  <c r="C55" i="3"/>
  <c r="C54" i="3"/>
  <c r="C53" i="3"/>
  <c r="C52" i="3"/>
  <c r="C51" i="3"/>
  <c r="C50" i="3"/>
  <c r="C49" i="3"/>
  <c r="C48" i="3"/>
  <c r="C47" i="3"/>
  <c r="C46" i="3"/>
  <c r="C45" i="3"/>
  <c r="C44" i="3"/>
  <c r="C43" i="3"/>
  <c r="C42" i="3"/>
  <c r="C41" i="3"/>
  <c r="C40" i="3"/>
  <c r="C39" i="3"/>
  <c r="C38" i="3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AB26" i="2"/>
  <c r="AA26" i="2"/>
  <c r="N26" i="2"/>
  <c r="C26" i="2"/>
  <c r="AB25" i="2"/>
  <c r="AA25" i="2"/>
  <c r="N25" i="2"/>
  <c r="C25" i="2"/>
  <c r="AB24" i="2"/>
  <c r="AA24" i="2"/>
  <c r="N24" i="2"/>
  <c r="C24" i="2"/>
  <c r="AB23" i="2"/>
  <c r="AA23" i="2"/>
  <c r="N23" i="2"/>
  <c r="C23" i="2"/>
  <c r="AB22" i="2"/>
  <c r="AA22" i="2"/>
  <c r="N22" i="2"/>
  <c r="C22" i="2"/>
  <c r="AB21" i="2"/>
  <c r="AA21" i="2"/>
  <c r="N21" i="2"/>
  <c r="C21" i="2"/>
  <c r="AB20" i="2"/>
  <c r="AA20" i="2"/>
  <c r="N20" i="2"/>
  <c r="C20" i="2"/>
  <c r="AB19" i="2"/>
  <c r="F11" i="4" s="1"/>
  <c r="AA19" i="2"/>
  <c r="N19" i="2"/>
  <c r="C19" i="2"/>
  <c r="AB18" i="2"/>
  <c r="F12" i="4" s="1"/>
  <c r="AA18" i="2"/>
  <c r="N18" i="2"/>
  <c r="C18" i="2"/>
  <c r="AB17" i="2"/>
  <c r="AA17" i="2"/>
  <c r="N17" i="2"/>
  <c r="C17" i="2"/>
  <c r="AB16" i="2"/>
  <c r="AA16" i="2"/>
  <c r="N16" i="2"/>
  <c r="C16" i="2"/>
  <c r="AB15" i="2"/>
  <c r="AA15" i="2"/>
  <c r="N15" i="2"/>
  <c r="C15" i="2"/>
  <c r="AB14" i="2"/>
  <c r="AA14" i="2"/>
  <c r="N14" i="2"/>
  <c r="C14" i="2"/>
  <c r="AB13" i="2"/>
  <c r="F13" i="4" s="1"/>
  <c r="AA13" i="2"/>
  <c r="N13" i="2"/>
  <c r="C13" i="2"/>
  <c r="AB12" i="2"/>
  <c r="AA12" i="2"/>
  <c r="N12" i="2"/>
  <c r="C12" i="2"/>
  <c r="AB11" i="2"/>
  <c r="F9" i="4" s="1"/>
  <c r="AA11" i="2"/>
  <c r="N11" i="2"/>
  <c r="C11" i="2"/>
  <c r="AB10" i="2"/>
  <c r="F10" i="4" s="1"/>
  <c r="AA10" i="2"/>
  <c r="N10" i="2"/>
  <c r="C10" i="2"/>
  <c r="AB9" i="2"/>
  <c r="F6" i="4" s="1"/>
  <c r="AA9" i="2"/>
  <c r="N9" i="2"/>
  <c r="C9" i="2"/>
  <c r="AB8" i="2"/>
  <c r="F7" i="4" s="1"/>
  <c r="AA8" i="2"/>
  <c r="N8" i="2"/>
  <c r="C8" i="2"/>
  <c r="AB7" i="2"/>
  <c r="AA7" i="2"/>
  <c r="N7" i="2"/>
  <c r="C7" i="2"/>
  <c r="AB6" i="2"/>
  <c r="F8" i="4" s="1"/>
  <c r="AA6" i="2"/>
  <c r="N6" i="2"/>
  <c r="C6" i="2"/>
  <c r="AB5" i="2"/>
  <c r="F5" i="4" s="1"/>
  <c r="AA5" i="2"/>
  <c r="N5" i="2"/>
  <c r="C5" i="2"/>
  <c r="C14" i="4" l="1"/>
  <c r="F1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4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Pedido de alteração.</t>
        </r>
      </text>
    </comment>
    <comment ref="B4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Data do pedido.</t>
        </r>
      </text>
    </comment>
    <comment ref="C4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Interna ou externa (calculada pelo tipo; mesmo domínio do RG-SGA-18).
[calculado]</t>
        </r>
      </text>
    </comment>
    <comment ref="D4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Tipo de alteração.</t>
        </r>
      </text>
    </comment>
    <comment ref="E4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Descrição da alteração.</t>
        </r>
      </text>
    </comment>
    <comment ref="F4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[Só SGQ] Planeada ou não prevista (8.1: rever consequências das não previstas).</t>
        </r>
      </text>
    </comment>
    <comment ref="G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6.3 a).</t>
        </r>
      </text>
    </comment>
    <comment ref="H4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6.3 b).</t>
        </r>
      </text>
    </comment>
    <comment ref="I4" authorId="0" shapeId="0" xr:uid="{00000000-0006-0000-0100-000009000000}">
      <text>
        <r>
          <rPr>
            <sz val="11"/>
            <color theme="1"/>
            <rFont val="Calibri"/>
            <family val="2"/>
            <scheme val="minor"/>
          </rPr>
          <t>6.3 c).</t>
        </r>
      </text>
    </comment>
    <comment ref="J4" authorId="0" shapeId="0" xr:uid="{00000000-0006-0000-0100-00000A000000}">
      <text>
        <r>
          <rPr>
            <sz val="11"/>
            <color theme="1"/>
            <rFont val="Calibri"/>
            <family val="2"/>
            <scheme val="minor"/>
          </rPr>
          <t>6.3 d).</t>
        </r>
      </text>
    </comment>
    <comment ref="K4" authorId="0" shapeId="0" xr:uid="{00000000-0006-0000-0100-00000B000000}">
      <text>
        <r>
          <rPr>
            <sz val="11"/>
            <color theme="1"/>
            <rFont val="Calibri"/>
            <family val="2"/>
            <scheme val="minor"/>
          </rPr>
          <t>6.3 e).</t>
        </r>
      </text>
    </comment>
    <comment ref="L4" authorId="0" shapeId="0" xr:uid="{00000000-0006-0000-0100-00000C000000}">
      <text>
        <r>
          <rPr>
            <sz val="11"/>
            <color theme="1"/>
            <rFont val="Calibri"/>
            <family val="2"/>
            <scheme val="minor"/>
          </rPr>
          <t>6.3 f) — como se monitoriza e avalia a eficácia (novo 2026).</t>
        </r>
      </text>
    </comment>
    <comment ref="M4" authorId="0" shapeId="0" xr:uid="{00000000-0006-0000-0100-00000D000000}">
      <text>
        <r>
          <rPr>
            <sz val="11"/>
            <color theme="1"/>
            <rFont val="Calibri"/>
            <family val="2"/>
            <scheme val="minor"/>
          </rPr>
          <t>6.3 g) — como se reveem os resultados (novo 2026).</t>
        </r>
      </text>
    </comment>
    <comment ref="N4" authorId="0" shapeId="0" xr:uid="{00000000-0006-0000-0100-00000E000000}">
      <text>
        <r>
          <rPr>
            <sz val="11"/>
            <color theme="1"/>
            <rFont val="Calibri"/>
            <family val="2"/>
            <scheme val="minor"/>
          </rPr>
          <t>% de itens aplicáveis da checklist respondidos 'Sim'.
[calculado]</t>
        </r>
      </text>
    </comment>
    <comment ref="O4" authorId="0" shapeId="0" xr:uid="{00000000-0006-0000-0100-00000F000000}">
      <text>
        <r>
          <rPr>
            <sz val="11"/>
            <color theme="1"/>
            <rFont val="Calibri"/>
            <family val="2"/>
            <scheme val="minor"/>
          </rPr>
          <t>Cláusulas ISO 9001:2026 envolvidas.</t>
        </r>
      </text>
    </comment>
    <comment ref="P4" authorId="0" shapeId="0" xr:uid="{00000000-0006-0000-0100-000010000000}">
      <text>
        <r>
          <rPr>
            <sz val="11"/>
            <color theme="1"/>
            <rFont val="Calibri"/>
            <family val="2"/>
            <scheme val="minor"/>
          </rPr>
          <t>Acordo de qualidade exige aprovação prévia do cliente?</t>
        </r>
      </text>
    </comment>
    <comment ref="Q4" authorId="0" shapeId="0" xr:uid="{00000000-0006-0000-0100-000011000000}">
      <text>
        <r>
          <rPr>
            <sz val="11"/>
            <color theme="1"/>
            <rFont val="Calibri"/>
            <family val="2"/>
            <scheme val="minor"/>
          </rPr>
          <t>Data da aprovação escrita do cliente.</t>
        </r>
      </text>
    </comment>
    <comment ref="R4" authorId="0" shapeId="0" xr:uid="{00000000-0006-0000-0100-000012000000}">
      <text>
        <r>
          <rPr>
            <sz val="11"/>
            <color theme="1"/>
            <rFont val="Calibri"/>
            <family val="2"/>
            <scheme val="minor"/>
          </rPr>
          <t>IQ/OQ/PQ, primeira peça, MSA, safe launch...</t>
        </r>
      </text>
    </comment>
    <comment ref="S4" authorId="0" shapeId="0" xr:uid="{00000000-0006-0000-0100-000013000000}">
      <text>
        <r>
          <rPr>
            <sz val="11"/>
            <color theme="1"/>
            <rFont val="Calibri"/>
            <family val="2"/>
            <scheme val="minor"/>
          </rPr>
          <t>Riscos/oportunidades (RG-SGA-02 R-nn / O-nn).</t>
        </r>
      </text>
    </comment>
    <comment ref="T4" authorId="0" shapeId="0" xr:uid="{00000000-0006-0000-0100-000014000000}">
      <text>
        <r>
          <rPr>
            <sz val="11"/>
            <color theme="1"/>
            <rFont val="Calibri"/>
            <family val="2"/>
            <scheme val="minor"/>
          </rPr>
          <t>Configuração afetada (ISO 10007).</t>
        </r>
      </text>
    </comment>
    <comment ref="U4" authorId="0" shapeId="0" xr:uid="{00000000-0006-0000-0100-000015000000}">
      <text>
        <r>
          <rPr>
            <sz val="11"/>
            <color theme="1"/>
            <rFont val="Calibri"/>
            <family val="2"/>
            <scheme val="minor"/>
          </rPr>
          <t>Quem autorizou (8.5.6).</t>
        </r>
      </text>
    </comment>
    <comment ref="V4" authorId="0" shapeId="0" xr:uid="{00000000-0006-0000-0100-000016000000}">
      <text>
        <r>
          <rPr>
            <sz val="11"/>
            <color theme="1"/>
            <rFont val="Calibri"/>
            <family val="2"/>
            <scheme val="minor"/>
          </rPr>
          <t>Data da autorização.</t>
        </r>
      </text>
    </comment>
    <comment ref="W4" authorId="0" shapeId="0" xr:uid="{00000000-0006-0000-0100-000017000000}">
      <text>
        <r>
          <rPr>
            <sz val="11"/>
            <color theme="1"/>
            <rFont val="Calibri"/>
            <family val="2"/>
            <scheme val="minor"/>
          </rPr>
          <t>Data de implementação.</t>
        </r>
      </text>
    </comment>
    <comment ref="X4" authorId="0" shapeId="0" xr:uid="{00000000-0006-0000-0100-000018000000}">
      <text>
        <r>
          <rPr>
            <sz val="11"/>
            <color theme="1"/>
            <rFont val="Calibri"/>
            <family val="2"/>
            <scheme val="minor"/>
          </rPr>
          <t>Resultado da revisão da eficácia (6.3 f–g).</t>
        </r>
      </text>
    </comment>
    <comment ref="Y4" authorId="0" shapeId="0" xr:uid="{00000000-0006-0000-0100-000019000000}">
      <text>
        <r>
          <rPr>
            <sz val="11"/>
            <color theme="1"/>
            <rFont val="Calibri"/>
            <family val="2"/>
            <scheme val="minor"/>
          </rPr>
          <t>Quando se revê a eficácia.</t>
        </r>
      </text>
    </comment>
    <comment ref="Z4" authorId="0" shapeId="0" xr:uid="{00000000-0006-0000-0100-00001A000000}">
      <text>
        <r>
          <rPr>
            <sz val="11"/>
            <color theme="1"/>
            <rFont val="Calibri"/>
            <family val="2"/>
            <scheme val="minor"/>
          </rPr>
          <t>Estado.</t>
        </r>
      </text>
    </comment>
    <comment ref="AA4" authorId="0" shapeId="0" xr:uid="{00000000-0006-0000-0100-00001B000000}">
      <text>
        <r>
          <rPr>
            <sz val="11"/>
            <color theme="1"/>
            <rFont val="Calibri"/>
            <family val="2"/>
            <scheme val="minor"/>
          </rPr>
          <t>Tempo de decisão (dias).
[calculado]</t>
        </r>
      </text>
    </comment>
    <comment ref="AB4" authorId="0" shapeId="0" xr:uid="{00000000-0006-0000-0100-00001C000000}">
      <text>
        <r>
          <rPr>
            <sz val="11"/>
            <color theme="1"/>
            <rFont val="Calibri"/>
            <family val="2"/>
            <scheme val="minor"/>
          </rPr>
          <t>Regras: autorização antes da implementação, aprovação do cliente e revisão dos resultados.
[calculado]</t>
        </r>
      </text>
    </comment>
    <comment ref="AC4" authorId="0" shapeId="0" xr:uid="{00000000-0006-0000-0100-00001D000000}">
      <text>
        <r>
          <rPr>
            <sz val="11"/>
            <color theme="1"/>
            <rFont val="Calibri"/>
            <family val="2"/>
            <scheme val="minor"/>
          </rPr>
          <t>[Só SGQ] Registo equivalente no SGA (SGI).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SGQ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Pedido de alteração.</t>
        </r>
      </text>
    </comment>
    <comment ref="B1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Item da checklist.</t>
        </r>
      </text>
    </comment>
    <comment ref="C1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Chave técnica.
[calculado]</t>
        </r>
      </text>
    </comment>
    <comment ref="D1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Pergunta da checklist.</t>
        </r>
      </text>
    </comment>
    <comment ref="E1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Sim / Não / N.A.</t>
        </r>
      </text>
    </comment>
    <comment ref="F1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Evidência (opcional).</t>
        </r>
      </text>
    </comment>
  </commentList>
</comments>
</file>

<file path=xl/sharedStrings.xml><?xml version="1.0" encoding="utf-8"?>
<sst xmlns="http://schemas.openxmlformats.org/spreadsheetml/2006/main" count="1660" uniqueCount="455">
  <si>
    <t>RG-SGQ-06 — Planeamento e Controlo de Alterações (Gestão de Mudanças)</t>
  </si>
  <si>
    <t>Sistema de Gestão da Qualidade NP EN ISO 9001:2026 · Plasticom — Unidade 1 (Marinha Grande, Portugal) · Registo do SGQ (fábrica simulada)</t>
  </si>
  <si>
    <t>CONTROLO DO DOCUMENTO (7.5 — informação documentada)</t>
  </si>
  <si>
    <t>Código do registo</t>
  </si>
  <si>
    <t>RG-SGQ-06</t>
  </si>
  <si>
    <t>Título</t>
  </si>
  <si>
    <t>Planeamento e Controlo de Alterações (Gestão de Mudanças)</t>
  </si>
  <si>
    <t>Versão / Revisão</t>
  </si>
  <si>
    <t>01</t>
  </si>
  <si>
    <t>Data de emissão</t>
  </si>
  <si>
    <t>Elaborado por</t>
  </si>
  <si>
    <t>Gerente da Qualidade</t>
  </si>
  <si>
    <t>Aprovado por</t>
  </si>
  <si>
    <t>Diretor Geral</t>
  </si>
  <si>
    <t>Estado</t>
  </si>
  <si>
    <t>Em vigor</t>
  </si>
  <si>
    <t>Retenção</t>
  </si>
  <si>
    <t>5 anos após substituição</t>
  </si>
  <si>
    <t>Localização</t>
  </si>
  <si>
    <t>Repositório controlado do SGQ &gt; Registos_SGQ_Plasticom (a versão eletrónica é a controlada; cópias impressas são não controladas). Proteção contra alterações não intencionais (7.5.3.2): edição só pelo dono do registo; histórico de versões no repositório.</t>
  </si>
  <si>
    <t>FINALIDADE E ÂMBITO</t>
  </si>
  <si>
    <t>Finalidade</t>
  </si>
  <si>
    <t>Registo único dos pedidos de alteração (MOC) da Plasticom com a análise 6.3 a)–g), a autorização (8.5.6), a aprovação do cliente quando exigida, a validação e a revisão da eficácia; inclui a checklist de avaliação por alteração e o controlo de qualidade do registo.</t>
  </si>
  <si>
    <t>Utilização / atividades</t>
  </si>
  <si>
    <t>Planear, autorizar, implementar e rever as alterações ao SGQ, aos processos, produtos, equipamentos, fornecedores e requisitos do cliente.</t>
  </si>
  <si>
    <t>Requisitos ISO 9001:2026</t>
  </si>
  <si>
    <t>6.3 a)–g) Planeamento de alterações (2026: f) monitorizar e avaliar a eficácia; g) rever os resultados); 5.3 f); 8.1 (alterações planeadas e não previstas); 8.2.4; 8.3.6; 8.5.6 (evidência: resultados da revisão, quem autorizou, ações)</t>
  </si>
  <si>
    <t>REFERÊNCIAS DE BOAS PRÁTICAS APLICADAS (orientação — não são requisitos auditáveis da ISO 9001)</t>
  </si>
  <si>
    <t>ISO 10007:2017 — Gestão da configuração</t>
  </si>
  <si>
    <t>Identificação da configuração (documentos afetados), controlo de alterações (pedido → avaliação → autorização → implementação → verificação), registo do estado e auditoria da configuração (MOC-Q-26-08/09).</t>
  </si>
  <si>
    <t>ISO/TC 176 APG — Changes (planning of changes)</t>
  </si>
  <si>
    <t>O auditor procura alterações recentes (máquinas novas, produtos novos, fornecedores) e verifica se foram planeadas; o caso MOC-Q-26-11 mostra uma alteração não controlada.</t>
  </si>
  <si>
    <t>Nota sobre a ISO 10012</t>
  </si>
  <si>
    <t>A ISO 10012:2026 trata de sistemas de gestão da medição (aplicada no RG-SGQ-09), não de gestão de mudanças.</t>
  </si>
  <si>
    <t>ESTRUTURA DO FICHEIRO</t>
  </si>
  <si>
    <t>Registo_Alteracoes</t>
  </si>
  <si>
    <t>Pedidos de alteração (MOC) com a análise 6.3 a)–g), autorização e revisão da eficácia.</t>
  </si>
  <si>
    <t>Checklist_Alteracoes</t>
  </si>
  <si>
    <t>Checklist de avaliação de cada alteração (formato longo: uma linha por item).</t>
  </si>
  <si>
    <t>Resumo_Alteracoes</t>
  </si>
  <si>
    <t>Resumo calculado por tipo e estado; alterações não previstas e controlos em falta.</t>
  </si>
  <si>
    <t>Listas</t>
  </si>
  <si>
    <t>Domínios (listas de valores) usados na validação de dados das tabelas.</t>
  </si>
  <si>
    <t>Dicionario_Dados</t>
  </si>
  <si>
    <t>Descrição de cada coluna de cada tabela: tipo, origem (entrada/calculado), domínio, obrigatoriedade e chaves.</t>
  </si>
  <si>
    <t>CONVENÇÕES (prontas para análise de dados e machine learning)</t>
  </si>
  <si>
    <t>Tabelas</t>
  </si>
  <si>
    <t>Cada registo é uma Tabela Excel com nome próprio (tbl_*): uma linha = um registo, cabeçalho único, sem células mescladas. Ler com pandas (pd.read_excel(ficheiro, sheet_name=folha, header=&lt;linha do cabeçalho - 1&gt;)) ou Power BI (Obter Dados &gt; Tabela).</t>
  </si>
  <si>
    <t>Cabeçalho cinzento</t>
  </si>
  <si>
    <t>Coluna CALCULADA por fórmula — não escrever por cima. As restantes colunas são de entrada.</t>
  </si>
  <si>
    <t>Validação</t>
  </si>
  <si>
    <t>Colunas com lista controlada só aceitam valores da folha Listas (evita categorias duplicadas por grafia diferente).</t>
  </si>
  <si>
    <t>Chaves</t>
  </si>
  <si>
    <t>IDs estáveis e únicos (PK) e referências a IDs de outros registos (FK) permitem juntar tabelas entre ficheiros do SGQ e do SGA — ver SGQ-00_Indice_Modelo_Dados.xlsx.</t>
  </si>
  <si>
    <t>Datas e unidades</t>
  </si>
  <si>
    <t>Datas em formato data (aaaa-mm-dd); números como números; a unidade está no nome da coluna ou no dicionário. Data de referência do SGQ: 2026-12-31.</t>
  </si>
  <si>
    <t>Dados</t>
  </si>
  <si>
    <t>Fábrica simulada Plasticom. Dados operacionais e de qualidade extraídos do dataset do projeto (datasets/silver e datasets/dim, período 2025-07-01 a 2026-12-31); os campos de gestão que o dataset não tem (datas de resposta, avaliações, decisões) são simulação didática coerente com esses dados.</t>
  </si>
  <si>
    <t>LIGAÇÕES A OUTROS REGISTOS</t>
  </si>
  <si>
    <t>RG-SGA-18 Planeamento de alterações (SGA)</t>
  </si>
  <si>
    <t>Ligacao_SGA: a mesma alteração é avaliada nos aspetos ambientais (SGI).</t>
  </si>
  <si>
    <t>RG-SGA-02 / RG-SGQ-04</t>
  </si>
  <si>
    <t>Riscos afetados pela alteração.</t>
  </si>
  <si>
    <t>RG-SGQ-11</t>
  </si>
  <si>
    <t>Alterações de design (8.3.6) dos projetos DD-26-nn.</t>
  </si>
  <si>
    <t>REGISTO DE ALTERAÇÕES DO SGQ E DA OPERAÇÃO (6.3 · 8.5.6)</t>
  </si>
  <si>
    <t>Uma linha por pedido de alteração · Checklist e controlo calculados · ISO 10007: identificar → avaliar → autorizar → implementar → verificar a configuração</t>
  </si>
  <si>
    <t>ID_Alteracao</t>
  </si>
  <si>
    <t>Data_Pedido</t>
  </si>
  <si>
    <t>Origem</t>
  </si>
  <si>
    <t>Tipo</t>
  </si>
  <si>
    <t>Descricao</t>
  </si>
  <si>
    <t>Natureza</t>
  </si>
  <si>
    <t>a_Proposito_Consequencias</t>
  </si>
  <si>
    <t>b_Integridade_SGQ</t>
  </si>
  <si>
    <t>c_Recursos_Informacao</t>
  </si>
  <si>
    <t>d_Responsabilidades</t>
  </si>
  <si>
    <t>e_Comunicacao</t>
  </si>
  <si>
    <t>f_Monitorizacao_Eficacia</t>
  </si>
  <si>
    <t>g_Revisao_Resultados</t>
  </si>
  <si>
    <t>Completude_Checklist</t>
  </si>
  <si>
    <t>Clausulas</t>
  </si>
  <si>
    <t>Requer_Aprovacao_Cliente</t>
  </si>
  <si>
    <t>Data_Aprovacao_Cliente</t>
  </si>
  <si>
    <t>Validacao_Requerida</t>
  </si>
  <si>
    <t>IDs_Risco_SGI</t>
  </si>
  <si>
    <t>Documentos_Afetados</t>
  </si>
  <si>
    <t>Aprovador</t>
  </si>
  <si>
    <t>Data_Aprovacao</t>
  </si>
  <si>
    <t>Data_Implementacao</t>
  </si>
  <si>
    <t>Verificacao_Pos_Implementacao</t>
  </si>
  <si>
    <t>Data_Verificacao</t>
  </si>
  <si>
    <t>Dias_Pedido_Aprovacao</t>
  </si>
  <si>
    <t>Alerta</t>
  </si>
  <si>
    <t>Ligacao_SGA</t>
  </si>
  <si>
    <t>MOC-Q-26-01</t>
  </si>
  <si>
    <t>SGQ</t>
  </si>
  <si>
    <t>Transição do SGQ da ISO 9001:2015 para a ISO 9001:2026</t>
  </si>
  <si>
    <t>Planeada</t>
  </si>
  <si>
    <t>Manter a certificação; incorporar cultura da qualidade, 6.1.2/6.1.3, 6.3 f–g e alterações climáticas. Consequência se falhar: perda do certificado após o fim da transição.</t>
  </si>
  <si>
    <t>Afeta todos os processos: registos RG-SGQ-01 a 19 reestruturados; política e objetivos revistos</t>
  </si>
  <si>
    <t>Norma adquirida; 120 h do Gerente da Qualidade; formação de auditores ISO 19011:2026</t>
  </si>
  <si>
    <t>Gerente da Qualidade (projeto); donos de processo (implementação)</t>
  </si>
  <si>
    <t>Reunião de direção 15/09; sessão a todos os turnos CON-26-03</t>
  </si>
  <si>
    <t>Índice de prontidão da matriz ISO 9001:2026 (RG-SGQ-00) ≥ 90%</t>
  </si>
  <si>
    <t>Revisão pela gestão de mar/2027 e auditoria de transição</t>
  </si>
  <si>
    <t>4 a 10</t>
  </si>
  <si>
    <t>Não</t>
  </si>
  <si>
    <t>Nenhuma</t>
  </si>
  <si>
    <t>R20</t>
  </si>
  <si>
    <t>Todos os PR-SGQ; POL-SGQ-01</t>
  </si>
  <si>
    <t>Diretor Geral (Gestão de Topo)</t>
  </si>
  <si>
    <t>Por avaliar</t>
  </si>
  <si>
    <t>Em implementação</t>
  </si>
  <si>
    <t>RG-SGA-18 ALT-SGA-01</t>
  </si>
  <si>
    <t>MOC-Q-26-02</t>
  </si>
  <si>
    <t>Equipamento</t>
  </si>
  <si>
    <t>Instalação das sopradoras ISBM-009 e ISBM-010 (linhas alimentar e farmacêutica)</t>
  </si>
  <si>
    <t>Capacidade para os SKU FA/FP; consequência: novo equipamento sem capacidade demonstrada pode gerar lotes NC</t>
  </si>
  <si>
    <t>Novos planos de controlo e instruções; máquinas no âmbito da metrologia e da manutenção</t>
  </si>
  <si>
    <t>Investimento € 1,9 M; técnico do fabricante 3 semanas</t>
  </si>
  <si>
    <t>Diretor Industrial; Engenheiro(a) de Processo (qualificação)</t>
  </si>
  <si>
    <t>Plano de arranque divulgado a produção, qualidade e manutenção</t>
  </si>
  <si>
    <t>OEE ≥ 70% e FPY ≥ 90% após 8 semanas</t>
  </si>
  <si>
    <t>Revisão aos 90 dias de produção</t>
  </si>
  <si>
    <t>7.1.3; 8.5.1 f); 8.5.6</t>
  </si>
  <si>
    <t>Sim</t>
  </si>
  <si>
    <t>IQ/OQ/PQ</t>
  </si>
  <si>
    <t>R12</t>
  </si>
  <si>
    <t>PC-SOP-01 rev. 04; IT-SOP-03</t>
  </si>
  <si>
    <t>Diretor Industrial</t>
  </si>
  <si>
    <t>Parcial</t>
  </si>
  <si>
    <t>Implementada</t>
  </si>
  <si>
    <t>RG-SGA-18</t>
  </si>
  <si>
    <t>MOC-Q-26-03</t>
  </si>
  <si>
    <t>Instalação das injetoras IM-007 e IM-008 (potes PT e tampas TE/TP/TA)</t>
  </si>
  <si>
    <t>Capacidade para potes e tampas farma/alimentar; risco de defeitos no arranque</t>
  </si>
  <si>
    <t>Novos moldes M-INJ-010 a 014 na metrologia e manutenção</t>
  </si>
  <si>
    <t>Investimento € 1,1 M</t>
  </si>
  <si>
    <t>Diretor Industrial; Engenheiro(a) de Processo</t>
  </si>
  <si>
    <t>Plano de arranque</t>
  </si>
  <si>
    <t>FPY ≥ 90% após 8 semanas; anel de inviolabilidade ≤ 1 000 ppm</t>
  </si>
  <si>
    <t>Revisão aos 90 dias</t>
  </si>
  <si>
    <t>PC-INJ-01 rev. 05; IT-INJ-04</t>
  </si>
  <si>
    <t>Não eficaz</t>
  </si>
  <si>
    <t>MOC-Q-26-04</t>
  </si>
  <si>
    <t>Produto</t>
  </si>
  <si>
    <t>Lançamento de 17 SKU (FA-030/031, FP-032/033, PT-010/011, TE-012, TP-013, TA-014)</t>
  </si>
  <si>
    <t>Entrada nos mercados alimentar e farmacêutico; consequência: requisitos legais novos (migração, inviolabilidade)</t>
  </si>
  <si>
    <t>Novos requisitos legais na matriz; planos de controlo com ensaio de migração e anel</t>
  </si>
  <si>
    <t>Projetos DD-26-01 a DD-26-06 (RG-SGQ-11)</t>
  </si>
  <si>
    <t>Responsável de R&amp;D</t>
  </si>
  <si>
    <t>Kick-off com clientes CUST-015 a CUST-018</t>
  </si>
  <si>
    <t>FPY dos SKU novos ≥ 90% à 6.ª semana (safe launch)</t>
  </si>
  <si>
    <t>Revisão de fim de lançamento (set/2026)</t>
  </si>
  <si>
    <t>8.3; 8.5.6</t>
  </si>
  <si>
    <t>Validação de design + safe launch</t>
  </si>
  <si>
    <t>R12; R33</t>
  </si>
  <si>
    <t>Especificações ESP-FA/FP/PT/TE/TP/TA</t>
  </si>
  <si>
    <t>RG-SGA-20</t>
  </si>
  <si>
    <t>MOC-Q-26-05</t>
  </si>
  <si>
    <t>Processo</t>
  </si>
  <si>
    <t>Nova janela de parâmetros da IM-002 validada por DOE 2³ (temperatura do cilindro × velocidade de injeção)</t>
  </si>
  <si>
    <t>Reduzir short shot/peso (1,35% → 0,38%); consequência: janela nova pode afetar outras características</t>
  </si>
  <si>
    <t>PFMEA e plano de controlo da injeção revistos</t>
  </si>
  <si>
    <t>DOE de 27 corridas; MSA %GRR 3,5%</t>
  </si>
  <si>
    <t>Engenheiro(a) de Processo</t>
  </si>
  <si>
    <t>Formação dos operadores da IM-002 (FOR-Q-07)</t>
  </si>
  <si>
    <t>Taxa de defeito IM-002 ≤ 0,38% durante 3 meses</t>
  </si>
  <si>
    <t>Revisão mensal no DMAIC; fecho do projeto PRJ-Q-01</t>
  </si>
  <si>
    <t>8.5.6; 8.5.1</t>
  </si>
  <si>
    <t>Corrida de validação 3 lotes</t>
  </si>
  <si>
    <t>R4; O1</t>
  </si>
  <si>
    <t>IT-INJ-02 rev. 03; PC-INJ-01</t>
  </si>
  <si>
    <t>Eficaz</t>
  </si>
  <si>
    <t>Fechada</t>
  </si>
  <si>
    <t>MOC-Q-26-06</t>
  </si>
  <si>
    <t>Fornecedor</t>
  </si>
  <si>
    <t>Aprovação dos fornecedores SUP-009 (FarmaResin, PP-PG/PET-PG) e SUP-010 (NutriPolímeros, HDPE-FG/PP-FG)</t>
  </si>
  <si>
    <t>Resinas de grau farmacêutico e alimentar; consequência: fornecedores sem histórico</t>
  </si>
  <si>
    <t>Novos materiais no plano de controlo de receção</t>
  </si>
  <si>
    <t>Auditoria de qualificação; ensaios de 3 lotes</t>
  </si>
  <si>
    <t>Responsável de Compras; Gerente da Qualidade</t>
  </si>
  <si>
    <t>Informação aos fornecedores (8.4.3)</t>
  </si>
  <si>
    <t>Lotes aceites ≥ 95% nos primeiros 6 meses</t>
  </si>
  <si>
    <t>Reavaliação semestral (RG-SGQ-12)</t>
  </si>
  <si>
    <t>8.4</t>
  </si>
  <si>
    <t>Qualificação de 3 lotes</t>
  </si>
  <si>
    <t>R13; R36</t>
  </si>
  <si>
    <t>PC-MP-01 rev. 06</t>
  </si>
  <si>
    <t>Responsável de Compras</t>
  </si>
  <si>
    <t>RG-SGA-11</t>
  </si>
  <si>
    <t>MOC-Q-26-07</t>
  </si>
  <si>
    <t>Ferramenta / molde</t>
  </si>
  <si>
    <t>Reforma do molde M-SOP-007 (ISBM-001) — desgaste com flash e fuga</t>
  </si>
  <si>
    <t>Eliminar a fonte de flash/fuga (PFMEA RPN 280 → 120)</t>
  </si>
  <si>
    <t>Molde fora de serviço 10 dias; produção transferida para M-SOP-008</t>
  </si>
  <si>
    <t>Fornecedor de moldes externo (8.4)</t>
  </si>
  <si>
    <t>Gerente de Manutenção</t>
  </si>
  <si>
    <t>Aviso ao planeamento e aos clientes com encomendas</t>
  </si>
  <si>
    <t>Leakage M-SOP-007 &lt; 300 ppm em 3 meses</t>
  </si>
  <si>
    <t>8.5.6; 8.4</t>
  </si>
  <si>
    <t>FAI (primeira peça) + capacidade</t>
  </si>
  <si>
    <t>R2; O2</t>
  </si>
  <si>
    <t>Ficha do molde M-SOP-007</t>
  </si>
  <si>
    <t>MOC-Q-26-08</t>
  </si>
  <si>
    <t>TP-013 (tampa de pote de encaixe): característica 'binário' substituída por 'força de remoção'</t>
  </si>
  <si>
    <t>Não prevista</t>
  </si>
  <si>
    <t>Erro de especificação herdado (tampa sem rosca com ensaio de binário); consequência: decisões de conformidade inválidas</t>
  </si>
  <si>
    <t>Plano de controlo, especificação e ensaio de laboratório alterados</t>
  </si>
  <si>
    <t>Torquímetro com adaptador de força; método de ensaio novo</t>
  </si>
  <si>
    <t>Responsável de R&amp;D; Gerente da Qualidade</t>
  </si>
  <si>
    <t>Informação ao cliente dos potes (CUST-015)</t>
  </si>
  <si>
    <t>Zero decisões de lote com característica inaplicável</t>
  </si>
  <si>
    <t>Auditoria da configuração (ISO 10007) aos 17 SKU novos</t>
  </si>
  <si>
    <t>8.3.6; 8.2.4; 8.5.6</t>
  </si>
  <si>
    <t>Reensaio de 5 lotes</t>
  </si>
  <si>
    <t>ESP-TP-013 rev. 01; PC-INJ-01 rev. 06</t>
  </si>
  <si>
    <t>MOC-Q-26-09</t>
  </si>
  <si>
    <t>Documentação</t>
  </si>
  <si>
    <t>Especificação única por SKU nos 17 produtos novos (medições herdadas de lotes doadores com nominais diferentes)</t>
  </si>
  <si>
    <t>Um produto tem uma só ficha técnica; consequência: Cpk e decisões calculados contra nominais errados</t>
  </si>
  <si>
    <t>Dados de inspeção reexpressos contra a especificação correta (z-score preservado)</t>
  </si>
  <si>
    <t>Script de correção validado; comparação linha a linha dos dados antigos</t>
  </si>
  <si>
    <t>Gerente de Dados / TI; Gerente da Qualidade</t>
  </si>
  <si>
    <t>Nota interna à qualidade e à produção</t>
  </si>
  <si>
    <t>Zero SKU com mais de um nominal por característica</t>
  </si>
  <si>
    <t>Verificação na auditoria de dados</t>
  </si>
  <si>
    <t>7.5.3; 8.3.5; 8.5.2</t>
  </si>
  <si>
    <t>Verificação de dados</t>
  </si>
  <si>
    <t>R26</t>
  </si>
  <si>
    <t>ESP dos 17 SKU</t>
  </si>
  <si>
    <t>MOC-Q-26-10</t>
  </si>
  <si>
    <t>Leitura obrigatória de código de barras na carga (expedição) — poka-yoke contra produto trocado</t>
  </si>
  <si>
    <t>Eliminar reclamações de 'produto errado expedido' (29 no período)</t>
  </si>
  <si>
    <t>Instrução de expedição e ERP alterados</t>
  </si>
  <si>
    <t>Leitores (€ 6 000); integração ERP</t>
  </si>
  <si>
    <t>Responsável de Armazém e Logística</t>
  </si>
  <si>
    <t>Formação dos operadores de armazém</t>
  </si>
  <si>
    <t>Zero reclamações de produto trocado em 3 meses</t>
  </si>
  <si>
    <t>8.5.1 g); 8.5.6</t>
  </si>
  <si>
    <t>Teste de 2 semanas</t>
  </si>
  <si>
    <t>R21</t>
  </si>
  <si>
    <t>IT-EXP-02 rev. 02</t>
  </si>
  <si>
    <t>MOC-Q-26-11</t>
  </si>
  <si>
    <t>Substituição dos compressores de ar (feita sem pedido de alteração — regularização retroativa)</t>
  </si>
  <si>
    <t>Continuidade do ar comprimido; consequência não avaliada: ruído (SGA) e qualidade do ar de sopro (humidade/óleo)</t>
  </si>
  <si>
    <t>Falha do processo de mudanças detetada nas auditorias SGA e SGQ</t>
  </si>
  <si>
    <t>Análise do ar de sopro (classe ISO 8573-1)</t>
  </si>
  <si>
    <t>—</t>
  </si>
  <si>
    <t>Análise do ar de sopro conforme classe 1.4.1</t>
  </si>
  <si>
    <t>Revisão na auditoria de seguimento</t>
  </si>
  <si>
    <t>6.3; 8.1; 8.5.6</t>
  </si>
  <si>
    <t>Análise do ar comprimido</t>
  </si>
  <si>
    <t>R22; R39</t>
  </si>
  <si>
    <t>PR-SGQ-03 (novo campo: alterações de utilidades)</t>
  </si>
  <si>
    <t>RG-SGA-07 NC-SGA-26-06</t>
  </si>
  <si>
    <t>MOC-Q-26-12</t>
  </si>
  <si>
    <t>Visão artificial na HF-001 (decoração) — inspeção a 100%</t>
  </si>
  <si>
    <t>Reduzir escapes de defeitos de decoração (O13)</t>
  </si>
  <si>
    <t>Novo critério de libertação na decoração</t>
  </si>
  <si>
    <t>€ 85 000 aprovados (RPG-2026-01 D05)</t>
  </si>
  <si>
    <t>Apresentação à equipa da decoração</t>
  </si>
  <si>
    <t>Reclamações de decoração −50%</t>
  </si>
  <si>
    <t>Revisão aos 6 meses</t>
  </si>
  <si>
    <t>8.5.1; 7.1.5</t>
  </si>
  <si>
    <t>Validação do sistema de visão (MSA por atributos)</t>
  </si>
  <si>
    <t>O13</t>
  </si>
  <si>
    <t>PC-DEC-01</t>
  </si>
  <si>
    <t>Aprovada</t>
  </si>
  <si>
    <t>MOC-Q-26-13</t>
  </si>
  <si>
    <t>Qualificação de 2.º fornecedor de HDPE-PCR (redução da dependência do SUP-004)</t>
  </si>
  <si>
    <t>Reduzir a variação de qualidade do PCR (R14)</t>
  </si>
  <si>
    <t>Novo material no plano de receção</t>
  </si>
  <si>
    <t>Ensaios de 3 lotes; auditoria</t>
  </si>
  <si>
    <t>Informação ao fornecedor atual</t>
  </si>
  <si>
    <t>Lotes aceites ≥ 95%</t>
  </si>
  <si>
    <t>Reavaliação semestral</t>
  </si>
  <si>
    <t>R14</t>
  </si>
  <si>
    <t>PC-MP-01</t>
  </si>
  <si>
    <t>MOC-Q-26-14</t>
  </si>
  <si>
    <t>Organizacional</t>
  </si>
  <si>
    <t>Reforço de um inspetor no turno 2 em jul–nov (pico sazonal)</t>
  </si>
  <si>
    <t>Reduzir a fila de lotes e a pressão para libertar sem ensaio</t>
  </si>
  <si>
    <t>Nova escala de inspeção</t>
  </si>
  <si>
    <t>1 inspetor temporário qualificado</t>
  </si>
  <si>
    <t>Responsável de Recursos Humanos; Gerente da Qualidade</t>
  </si>
  <si>
    <t>Escala divulgada</t>
  </si>
  <si>
    <t>Tempo médio entre produção e decisão de lote ≤ 24 h</t>
  </si>
  <si>
    <t>Revisão em dez/2026</t>
  </si>
  <si>
    <t>7.1.2; 5.3</t>
  </si>
  <si>
    <t>Qualificação do inspetor (RG-SGQ-07)</t>
  </si>
  <si>
    <t>R9; R16</t>
  </si>
  <si>
    <t>Escala de inspeção</t>
  </si>
  <si>
    <t>MOC-Q-26-15</t>
  </si>
  <si>
    <t>Requisito do cliente</t>
  </si>
  <si>
    <t>CUST-017 (farma) passa a exigir o resultado do ensaio do anel de inviolabilidade no certificado de cada lote</t>
  </si>
  <si>
    <t>Cumprir o acordo de qualidade farmacêutico</t>
  </si>
  <si>
    <t>Certificado de lote e ERP alterados</t>
  </si>
  <si>
    <t>Campo novo no certificado</t>
  </si>
  <si>
    <t>Confirmação ao cliente (8.2.4)</t>
  </si>
  <si>
    <t>100% dos certificados CUST-017 com o resultado</t>
  </si>
  <si>
    <t>Revisão trimestral com o cliente</t>
  </si>
  <si>
    <t>8.2.4; 8.6</t>
  </si>
  <si>
    <t>R16</t>
  </si>
  <si>
    <t>Modelo de certificado CQ-02 rev. 03</t>
  </si>
  <si>
    <t>MOC-Q-26-16</t>
  </si>
  <si>
    <t>Registo obrigatório no MES de todos os ajustes de parâmetros das ISBM-009/010 (GW-26-11, CON-Q-26-18)</t>
  </si>
  <si>
    <t>Estabilizar o peso (Cpk ≥ 1,33) e rastrear ajustes</t>
  </si>
  <si>
    <t>Campo novo no MES; ficha de parâmetros rev. 02</t>
  </si>
  <si>
    <t>Configuração do MES (TI)</t>
  </si>
  <si>
    <t>Engenheiro de Processo</t>
  </si>
  <si>
    <t>Formação FOR-Q-15</t>
  </si>
  <si>
    <t>Cpk do peso por turno ≥ 1,33</t>
  </si>
  <si>
    <t>Revisão mensal do SPC</t>
  </si>
  <si>
    <t>8.5.1; 8.5.6</t>
  </si>
  <si>
    <t>R3</t>
  </si>
  <si>
    <t>Ficha de parâmetros ISBM-009/010 rev. 02</t>
  </si>
  <si>
    <t>Gerente de Produção</t>
  </si>
  <si>
    <t>RG-SGA-18 ALT-2026-10</t>
  </si>
  <si>
    <t>MOC-Q-26-17</t>
  </si>
  <si>
    <t>Transição do certificado para a ISO 9001:2026: revisão do manual e de 6 procedimentos</t>
  </si>
  <si>
    <t>Preparar a auditoria de transição (AUD-Q-27-01, mar/2027)</t>
  </si>
  <si>
    <t>Manual e PR-SGQ revistos</t>
  </si>
  <si>
    <t>8 h de formação (FOR-Q-16)</t>
  </si>
  <si>
    <t>Divulgação na intranet</t>
  </si>
  <si>
    <t>0 NC maiores na auditoria de transição</t>
  </si>
  <si>
    <t>Revisão pela gestão 2027</t>
  </si>
  <si>
    <t>4.4; 7.5</t>
  </si>
  <si>
    <t>R1</t>
  </si>
  <si>
    <t>MAN-SGQ-01; PR-SGQ-01..06</t>
  </si>
  <si>
    <t>Item</t>
  </si>
  <si>
    <t>Chave</t>
  </si>
  <si>
    <t>Pergunta</t>
  </si>
  <si>
    <t>Resposta</t>
  </si>
  <si>
    <t>Evidencia</t>
  </si>
  <si>
    <t>a</t>
  </si>
  <si>
    <t>Propósito e consequências potenciais avaliados (6.3 a)</t>
  </si>
  <si>
    <t>b</t>
  </si>
  <si>
    <t>Impacto na integridade do SGQ avaliado (6.3 b; 5.3 f)</t>
  </si>
  <si>
    <t>c</t>
  </si>
  <si>
    <t>Recursos e informação disponíveis (6.3 c)</t>
  </si>
  <si>
    <t>d</t>
  </si>
  <si>
    <t>Responsabilidades e autoridades atribuídas (6.3 d)</t>
  </si>
  <si>
    <t>e</t>
  </si>
  <si>
    <t>Comunicação planeada (6.3 e)</t>
  </si>
  <si>
    <t>f</t>
  </si>
  <si>
    <t>Monitorização e avaliação da eficácia definidas (6.3 f — novo 2026)</t>
  </si>
  <si>
    <t>g</t>
  </si>
  <si>
    <t>Forma de rever os resultados definida (6.3 g — novo 2026)</t>
  </si>
  <si>
    <t>h</t>
  </si>
  <si>
    <t>PFMEA e plano de controlo revistos</t>
  </si>
  <si>
    <t>N.A.</t>
  </si>
  <si>
    <t>i</t>
  </si>
  <si>
    <t>Formação das pessoas afetadas</t>
  </si>
  <si>
    <t>j</t>
  </si>
  <si>
    <t>Validação / primeira peça / MSA quando aplicável</t>
  </si>
  <si>
    <t>k</t>
  </si>
  <si>
    <t>Stock e produto em curso com a configuração antiga tratados</t>
  </si>
  <si>
    <t>l</t>
  </si>
  <si>
    <t>Aspetos ambientais e requisitos legais avaliados pelo SGA (SGI)</t>
  </si>
  <si>
    <t>m</t>
  </si>
  <si>
    <t>Aprovação do cliente quando exigida (8.5.6 / acordo de qualidade)</t>
  </si>
  <si>
    <t>RESUMO DAS ALTERAÇÕES — calculado</t>
  </si>
  <si>
    <t>Entrada para a revisão pela gestão (9.3.3: necessidades de alteração do SGQ)</t>
  </si>
  <si>
    <t>Total</t>
  </si>
  <si>
    <t>Não previstas</t>
  </si>
  <si>
    <t>Em curso</t>
  </si>
  <si>
    <t>Implementadas/fechadas</t>
  </si>
  <si>
    <t>Com falhas de controlo</t>
  </si>
  <si>
    <t>LISTAS CONTROLADAS (domínios de validação de dados) — editar aqui para alterar opções</t>
  </si>
  <si>
    <t>DataReferencia</t>
  </si>
  <si>
    <t>TipoAlt</t>
  </si>
  <si>
    <t>SimNao</t>
  </si>
  <si>
    <t>SimNaoNA</t>
  </si>
  <si>
    <t>EstadoAlt</t>
  </si>
  <si>
    <t>Resultado</t>
  </si>
  <si>
    <t>Funcao</t>
  </si>
  <si>
    <t>Em análise</t>
  </si>
  <si>
    <t>Rejeitada</t>
  </si>
  <si>
    <t>Diretor Comercial</t>
  </si>
  <si>
    <t>Responsável de Recursos Humanos</t>
  </si>
  <si>
    <t>Gerente de Dados / TI</t>
  </si>
  <si>
    <t>Técnico(a) da Qualidade / Inspetor(a)</t>
  </si>
  <si>
    <t>Técnico(a) de Laboratório</t>
  </si>
  <si>
    <t>Chefe de Turno</t>
  </si>
  <si>
    <t>Operador(a) de Injeção</t>
  </si>
  <si>
    <t>Operador(a) de Sopro (ISBM)</t>
  </si>
  <si>
    <t>Operador(a) de Serigrafia</t>
  </si>
  <si>
    <t>Operador(a) de Hot Foil</t>
  </si>
  <si>
    <t>Técnico(a) de Manutenção</t>
  </si>
  <si>
    <t>Técnico(a) de Metrologia</t>
  </si>
  <si>
    <t>Auditor(a) Interno(a) do SGQ</t>
  </si>
  <si>
    <t>Gestor(a) de Cliente (Key Account)</t>
  </si>
  <si>
    <t>Planeador(a) de Produção</t>
  </si>
  <si>
    <t>Operador(a) de Armazém / Empilhador</t>
  </si>
  <si>
    <t>Gestor do SGA / EHS (Responsável Ambiental)</t>
  </si>
  <si>
    <t>Folha</t>
  </si>
  <si>
    <t>Tabela</t>
  </si>
  <si>
    <t>Coluna</t>
  </si>
  <si>
    <t>Dominio_Unidade</t>
  </si>
  <si>
    <t>Obrigatorio</t>
  </si>
  <si>
    <t>tbl_alteracoes</t>
  </si>
  <si>
    <t>Texto</t>
  </si>
  <si>
    <t>Entrada</t>
  </si>
  <si>
    <t>Pedido de alteração.</t>
  </si>
  <si>
    <t>MOC-Q-AA-nn</t>
  </si>
  <si>
    <t>PK</t>
  </si>
  <si>
    <t>Data (aaaa-mm-dd)</t>
  </si>
  <si>
    <t>Data do pedido.</t>
  </si>
  <si>
    <t>Calculado (fórmula)</t>
  </si>
  <si>
    <t>Interna ou externa (calculada pelo tipo; mesmo domínio do RG-SGA-18).</t>
  </si>
  <si>
    <t>Tipo de alteração.</t>
  </si>
  <si>
    <t>Lista lst_TipoAlt</t>
  </si>
  <si>
    <t>Descrição da alteração.</t>
  </si>
  <si>
    <t>[Só SGQ] Planeada ou não prevista (8.1: rever consequências das não previstas).</t>
  </si>
  <si>
    <t>Lista lst_Natureza</t>
  </si>
  <si>
    <t>6.3 a).</t>
  </si>
  <si>
    <t>6.3 b).</t>
  </si>
  <si>
    <t>6.3 c).</t>
  </si>
  <si>
    <t>6.3 d).</t>
  </si>
  <si>
    <t>6.3 e).</t>
  </si>
  <si>
    <t>6.3 f) — como se monitoriza e avalia a eficácia (novo 2026).</t>
  </si>
  <si>
    <t>6.3 g) — como se reveem os resultados (novo 2026).</t>
  </si>
  <si>
    <t>Percentagem (fração 0-1)</t>
  </si>
  <si>
    <t>% de itens aplicáveis da checklist respondidos 'Sim'.</t>
  </si>
  <si>
    <t>Cláusulas ISO 9001:2026 envolvidas.</t>
  </si>
  <si>
    <t>Acordo de qualidade exige aprovação prévia do cliente?</t>
  </si>
  <si>
    <t>Lista lst_SimNao</t>
  </si>
  <si>
    <t>Data da aprovação escrita do cliente.</t>
  </si>
  <si>
    <t>IQ/OQ/PQ, primeira peça, MSA, safe launch...</t>
  </si>
  <si>
    <t>Riscos/oportunidades (RG-SGA-02 R-nn / O-nn).</t>
  </si>
  <si>
    <t>FK → RG-SGA-02</t>
  </si>
  <si>
    <t>Configuração afetada (ISO 10007).</t>
  </si>
  <si>
    <t>Quem autorizou (8.5.6).</t>
  </si>
  <si>
    <t>Lista lst_Funcao</t>
  </si>
  <si>
    <t>Data da autorização.</t>
  </si>
  <si>
    <t>Data de implementação.</t>
  </si>
  <si>
    <t>Resultado da revisão da eficácia (6.3 f–g).</t>
  </si>
  <si>
    <t>Lista lst_Resultado</t>
  </si>
  <si>
    <t>Quando se revê a eficácia.</t>
  </si>
  <si>
    <t>Estado.</t>
  </si>
  <si>
    <t>Lista lst_EstadoAlt</t>
  </si>
  <si>
    <t>Inteiro</t>
  </si>
  <si>
    <t>Tempo de decisão (dias).</t>
  </si>
  <si>
    <t>Regras: autorização antes da implementação, aprovação do cliente e revisão dos resultados.</t>
  </si>
  <si>
    <t>[Só SGQ] Registo equivalente no SGA (SGI).</t>
  </si>
  <si>
    <t>tbl_checklist_alt</t>
  </si>
  <si>
    <t>FK → tbl_alteracoes</t>
  </si>
  <si>
    <t>Item da checklist.</t>
  </si>
  <si>
    <t>Chave técnica.</t>
  </si>
  <si>
    <t>Pergunta da checklist.</t>
  </si>
  <si>
    <t>Sim / Não / N.A.</t>
  </si>
  <si>
    <t>Lista lst_SimNaoNA</t>
  </si>
  <si>
    <t>Evidência (opcional).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</si>
</sst>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F2F3A"/>
      <name val="Arial"/>
    </font>
    <font>
      <i/>
      <sz val="10"/>
      <color rgb="FF4A5A60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4F6F7A"/>
      </patternFill>
    </fill>
    <fill>
      <patternFill patternType="solid">
        <fgColor rgb="FFEDEDED"/>
      </patternFill>
    </fill>
    <fill>
      <patternFill patternType="solid">
        <fgColor rgb="FFDCEBEF"/>
      </patternFill>
    </fill>
  </fills>
  <borders count="2">
    <border>
      <left/>
      <right/>
      <top/>
      <bottom/>
      <diagonal/>
    </border>
    <border>
      <left style="thin">
        <color rgb="FFB7C4C9"/>
      </left>
      <right style="thin">
        <color rgb="FFB7C4C9"/>
      </right>
      <top style="thin">
        <color rgb="FFB7C4C9"/>
      </top>
      <bottom style="thin">
        <color rgb="FFB7C4C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5" fillId="5" borderId="0" xfId="0" applyFont="1" applyFill="1"/>
    <xf numFmtId="0" fontId="0" fillId="5" borderId="0" xfId="0" applyFill="1"/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164" fontId="4" fillId="0" borderId="0" xfId="0" applyNumberFormat="1" applyFont="1" applyAlignment="1">
      <alignment horizontal="left" vertical="top"/>
    </xf>
    <xf numFmtId="0" fontId="3" fillId="2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49" fontId="4" fillId="0" borderId="1" xfId="0" applyNumberFormat="1" applyFont="1" applyBorder="1" applyAlignment="1">
      <alignment vertical="top" wrapText="1"/>
    </xf>
    <xf numFmtId="164" fontId="4" fillId="0" borderId="1" xfId="0" applyNumberFormat="1" applyFont="1" applyBorder="1" applyAlignment="1">
      <alignment vertical="top" wrapText="1"/>
    </xf>
    <xf numFmtId="49" fontId="4" fillId="4" borderId="1" xfId="0" applyNumberFormat="1" applyFont="1" applyFill="1" applyBorder="1" applyAlignment="1">
      <alignment vertical="top" wrapText="1"/>
    </xf>
    <xf numFmtId="9" fontId="4" fillId="4" borderId="1" xfId="0" applyNumberFormat="1" applyFont="1" applyFill="1" applyBorder="1" applyAlignment="1">
      <alignment vertical="top" wrapText="1"/>
    </xf>
    <xf numFmtId="1" fontId="4" fillId="4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1" fontId="4" fillId="0" borderId="1" xfId="0" applyNumberFormat="1" applyFont="1" applyBorder="1" applyAlignment="1">
      <alignment vertical="top" wrapText="1"/>
    </xf>
    <xf numFmtId="0" fontId="5" fillId="0" borderId="1" xfId="0" applyFont="1" applyBorder="1" applyAlignment="1">
      <alignment vertical="top" wrapText="1"/>
    </xf>
    <xf numFmtId="1" fontId="5" fillId="0" borderId="1" xfId="0" applyNumberFormat="1" applyFont="1" applyBorder="1" applyAlignment="1">
      <alignment vertical="top" wrapText="1"/>
    </xf>
    <xf numFmtId="0" fontId="5" fillId="0" borderId="0" xfId="0" applyFont="1"/>
    <xf numFmtId="0" fontId="3" fillId="2" borderId="0" xfId="0" applyFont="1" applyFill="1" applyAlignment="1">
      <alignment horizontal="center" vertical="top" wrapText="1"/>
    </xf>
    <xf numFmtId="164" fontId="4" fillId="0" borderId="0" xfId="0" applyNumberFormat="1" applyFont="1" applyAlignment="1">
      <alignment vertical="top" wrapText="1"/>
    </xf>
  </cellXfs>
  <cellStyles count="1">
    <cellStyle name="Normal" xfId="0" builtinId="0"/>
  </cellStyles>
  <dxfs count="15"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0B3A66"/>
        <name val="Arial"/>
      </font>
      <fill>
        <patternFill patternType="solid">
          <fgColor rgb="FFCFE2F3"/>
        </patternFill>
      </fill>
    </dxf>
    <dxf>
      <font>
        <b/>
        <color rgb="FF404040"/>
        <name val="Arial"/>
      </font>
      <fill>
        <patternFill patternType="solid">
          <fgColor rgb="FFE7E7E7"/>
        </patternFill>
      </fill>
    </dxf>
    <dxf>
      <font>
        <b/>
        <color rgb="FF14532D"/>
        <name val="Arial"/>
      </font>
      <fill>
        <patternFill patternType="solid">
          <fgColor rgb="FFCDEBD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  <dxf>
      <font>
        <b/>
        <color rgb="FF7F1D1D"/>
        <name val="Arial"/>
      </font>
      <fill>
        <patternFill patternType="solid">
          <fgColor rgb="FFF4C7C3"/>
        </patternFill>
      </fill>
    </dxf>
    <dxf>
      <font>
        <b/>
        <color rgb="FF5C4B00"/>
        <name val="Arial"/>
      </font>
      <fill>
        <patternFill patternType="solid">
          <fgColor rgb="FFFFF2B3"/>
        </patternFill>
      </fill>
    </dxf>
    <dxf>
      <font>
        <b/>
        <color rgb="FF7C3E00"/>
        <name val="Arial"/>
      </font>
      <fill>
        <patternFill patternType="solid">
          <fgColor rgb="FFFCE4C4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_alteracoes" displayName="tbl_alteracoes" ref="A4:AC26">
  <autoFilter ref="A4:AC26" xr:uid="{00000000-0009-0000-0100-000001000000}"/>
  <tableColumns count="29">
    <tableColumn id="1" xr3:uid="{00000000-0010-0000-0000-000001000000}" name="ID_Alteracao"/>
    <tableColumn id="2" xr3:uid="{00000000-0010-0000-0000-000002000000}" name="Data_Pedido"/>
    <tableColumn id="3" xr3:uid="{00000000-0010-0000-0000-000003000000}" name="Origem"/>
    <tableColumn id="4" xr3:uid="{00000000-0010-0000-0000-000004000000}" name="Tipo"/>
    <tableColumn id="5" xr3:uid="{00000000-0010-0000-0000-000005000000}" name="Descricao"/>
    <tableColumn id="6" xr3:uid="{00000000-0010-0000-0000-000006000000}" name="Natureza"/>
    <tableColumn id="7" xr3:uid="{00000000-0010-0000-0000-000007000000}" name="a_Proposito_Consequencias"/>
    <tableColumn id="8" xr3:uid="{00000000-0010-0000-0000-000008000000}" name="b_Integridade_SGQ"/>
    <tableColumn id="9" xr3:uid="{00000000-0010-0000-0000-000009000000}" name="c_Recursos_Informacao"/>
    <tableColumn id="10" xr3:uid="{00000000-0010-0000-0000-00000A000000}" name="d_Responsabilidades"/>
    <tableColumn id="11" xr3:uid="{00000000-0010-0000-0000-00000B000000}" name="e_Comunicacao"/>
    <tableColumn id="12" xr3:uid="{00000000-0010-0000-0000-00000C000000}" name="f_Monitorizacao_Eficacia"/>
    <tableColumn id="13" xr3:uid="{00000000-0010-0000-0000-00000D000000}" name="g_Revisao_Resultados"/>
    <tableColumn id="14" xr3:uid="{00000000-0010-0000-0000-00000E000000}" name="Completude_Checklist"/>
    <tableColumn id="15" xr3:uid="{00000000-0010-0000-0000-00000F000000}" name="Clausulas"/>
    <tableColumn id="16" xr3:uid="{00000000-0010-0000-0000-000010000000}" name="Requer_Aprovacao_Cliente"/>
    <tableColumn id="17" xr3:uid="{00000000-0010-0000-0000-000011000000}" name="Data_Aprovacao_Cliente"/>
    <tableColumn id="18" xr3:uid="{00000000-0010-0000-0000-000012000000}" name="Validacao_Requerida"/>
    <tableColumn id="19" xr3:uid="{00000000-0010-0000-0000-000013000000}" name="IDs_Risco_SGI"/>
    <tableColumn id="20" xr3:uid="{00000000-0010-0000-0000-000014000000}" name="Documentos_Afetados"/>
    <tableColumn id="21" xr3:uid="{00000000-0010-0000-0000-000015000000}" name="Aprovador"/>
    <tableColumn id="22" xr3:uid="{00000000-0010-0000-0000-000016000000}" name="Data_Aprovacao"/>
    <tableColumn id="23" xr3:uid="{00000000-0010-0000-0000-000017000000}" name="Data_Implementacao"/>
    <tableColumn id="24" xr3:uid="{00000000-0010-0000-0000-000018000000}" name="Verificacao_Pos_Implementacao"/>
    <tableColumn id="25" xr3:uid="{00000000-0010-0000-0000-000019000000}" name="Data_Verificacao"/>
    <tableColumn id="26" xr3:uid="{00000000-0010-0000-0000-00001A000000}" name="Estado"/>
    <tableColumn id="27" xr3:uid="{00000000-0010-0000-0000-00001B000000}" name="Dias_Pedido_Aprovacao"/>
    <tableColumn id="28" xr3:uid="{00000000-0010-0000-0000-00001C000000}" name="Alerta"/>
    <tableColumn id="29" xr3:uid="{00000000-0010-0000-0000-00001D000000}" name="Ligacao_SGA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_checklist_alt" displayName="tbl_checklist_alt" ref="A1:F222">
  <autoFilter ref="A1:F222" xr:uid="{00000000-0009-0000-0100-000002000000}"/>
  <tableColumns count="6">
    <tableColumn id="1" xr3:uid="{00000000-0010-0000-0100-000001000000}" name="ID_Alteracao"/>
    <tableColumn id="2" xr3:uid="{00000000-0010-0000-0100-000002000000}" name="Item"/>
    <tableColumn id="3" xr3:uid="{00000000-0010-0000-0100-000003000000}" name="Chave"/>
    <tableColumn id="4" xr3:uid="{00000000-0010-0000-0100-000004000000}" name="Pergunta"/>
    <tableColumn id="5" xr3:uid="{00000000-0010-0000-0100-000005000000}" name="Resposta"/>
    <tableColumn id="6" xr3:uid="{00000000-0010-0000-0100-000006000000}" name="Evidencia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_dicionario" displayName="tbl_dicionario" ref="A1:I36">
  <autoFilter ref="A1:I36" xr:uid="{00000000-0009-0000-0100-000003000000}"/>
  <tableColumns count="9">
    <tableColumn id="1" xr3:uid="{00000000-0010-0000-0200-000001000000}" name="Folha"/>
    <tableColumn id="2" xr3:uid="{00000000-0010-0000-0200-000002000000}" name="Tabela"/>
    <tableColumn id="3" xr3:uid="{00000000-0010-0000-0200-000003000000}" name="Coluna"/>
    <tableColumn id="4" xr3:uid="{00000000-0010-0000-0200-000004000000}" name="Tipo"/>
    <tableColumn id="5" xr3:uid="{00000000-0010-0000-0200-000005000000}" name="Origem"/>
    <tableColumn id="6" xr3:uid="{00000000-0010-0000-0200-000006000000}" name="Descricao"/>
    <tableColumn id="7" xr3:uid="{00000000-0010-0000-0200-000007000000}" name="Dominio_Unidade"/>
    <tableColumn id="8" xr3:uid="{00000000-0010-0000-0200-000008000000}" name="Obrigatorio"/>
    <tableColumn id="9" xr3:uid="{00000000-0010-0000-0200-000009000000}" name="Chav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5F"/>
  </sheetPr>
  <dimension ref="A1:B43"/>
  <sheetViews>
    <sheetView showGridLines="0" tabSelected="1" workbookViewId="0"/>
  </sheetViews>
  <sheetFormatPr defaultRowHeight="14.4" x14ac:dyDescent="0.3"/>
  <cols>
    <col min="1" max="1" width="30" customWidth="1"/>
    <col min="2" max="2" width="110" customWidth="1"/>
  </cols>
  <sheetData>
    <row r="1" spans="1:2" ht="17.399999999999999" x14ac:dyDescent="0.3">
      <c r="A1" s="1" t="s">
        <v>0</v>
      </c>
    </row>
    <row r="2" spans="1:2" x14ac:dyDescent="0.3">
      <c r="A2" s="2" t="s">
        <v>1</v>
      </c>
    </row>
    <row r="4" spans="1:2" x14ac:dyDescent="0.3">
      <c r="A4" s="3" t="s">
        <v>2</v>
      </c>
      <c r="B4" s="4"/>
    </row>
    <row r="5" spans="1:2" x14ac:dyDescent="0.3">
      <c r="A5" s="5" t="s">
        <v>3</v>
      </c>
      <c r="B5" s="6" t="s">
        <v>4</v>
      </c>
    </row>
    <row r="6" spans="1:2" x14ac:dyDescent="0.3">
      <c r="A6" s="5" t="s">
        <v>5</v>
      </c>
      <c r="B6" s="6" t="s">
        <v>6</v>
      </c>
    </row>
    <row r="7" spans="1:2" x14ac:dyDescent="0.3">
      <c r="A7" s="5" t="s">
        <v>7</v>
      </c>
      <c r="B7" s="6" t="s">
        <v>8</v>
      </c>
    </row>
    <row r="8" spans="1:2" x14ac:dyDescent="0.3">
      <c r="A8" s="5" t="s">
        <v>9</v>
      </c>
      <c r="B8" s="7">
        <v>46387</v>
      </c>
    </row>
    <row r="9" spans="1:2" x14ac:dyDescent="0.3">
      <c r="A9" s="5" t="s">
        <v>10</v>
      </c>
      <c r="B9" s="6" t="s">
        <v>11</v>
      </c>
    </row>
    <row r="10" spans="1:2" x14ac:dyDescent="0.3">
      <c r="A10" s="5" t="s">
        <v>12</v>
      </c>
      <c r="B10" s="6" t="s">
        <v>13</v>
      </c>
    </row>
    <row r="11" spans="1:2" x14ac:dyDescent="0.3">
      <c r="A11" s="5" t="s">
        <v>14</v>
      </c>
      <c r="B11" s="6" t="s">
        <v>15</v>
      </c>
    </row>
    <row r="12" spans="1:2" x14ac:dyDescent="0.3">
      <c r="A12" s="5" t="s">
        <v>16</v>
      </c>
      <c r="B12" s="6" t="s">
        <v>17</v>
      </c>
    </row>
    <row r="13" spans="1:2" ht="39.6" x14ac:dyDescent="0.3">
      <c r="A13" s="5" t="s">
        <v>18</v>
      </c>
      <c r="B13" s="6" t="s">
        <v>19</v>
      </c>
    </row>
    <row r="15" spans="1:2" x14ac:dyDescent="0.3">
      <c r="A15" s="3" t="s">
        <v>20</v>
      </c>
      <c r="B15" s="4"/>
    </row>
    <row r="16" spans="1:2" ht="39.6" x14ac:dyDescent="0.3">
      <c r="A16" s="5" t="s">
        <v>21</v>
      </c>
      <c r="B16" s="6" t="s">
        <v>22</v>
      </c>
    </row>
    <row r="17" spans="1:2" ht="26.4" x14ac:dyDescent="0.3">
      <c r="A17" s="5" t="s">
        <v>23</v>
      </c>
      <c r="B17" s="6" t="s">
        <v>24</v>
      </c>
    </row>
    <row r="18" spans="1:2" ht="26.4" x14ac:dyDescent="0.3">
      <c r="A18" s="5" t="s">
        <v>25</v>
      </c>
      <c r="B18" s="6" t="s">
        <v>26</v>
      </c>
    </row>
    <row r="20" spans="1:2" x14ac:dyDescent="0.3">
      <c r="A20" s="3" t="s">
        <v>27</v>
      </c>
      <c r="B20" s="4"/>
    </row>
    <row r="21" spans="1:2" ht="26.4" x14ac:dyDescent="0.3">
      <c r="A21" s="5" t="s">
        <v>28</v>
      </c>
      <c r="B21" s="6" t="s">
        <v>29</v>
      </c>
    </row>
    <row r="22" spans="1:2" ht="26.4" x14ac:dyDescent="0.3">
      <c r="A22" s="5" t="s">
        <v>30</v>
      </c>
      <c r="B22" s="6" t="s">
        <v>31</v>
      </c>
    </row>
    <row r="23" spans="1:2" x14ac:dyDescent="0.3">
      <c r="A23" s="5" t="s">
        <v>32</v>
      </c>
      <c r="B23" s="6" t="s">
        <v>33</v>
      </c>
    </row>
    <row r="25" spans="1:2" x14ac:dyDescent="0.3">
      <c r="A25" s="3" t="s">
        <v>34</v>
      </c>
      <c r="B25" s="4"/>
    </row>
    <row r="26" spans="1:2" x14ac:dyDescent="0.3">
      <c r="A26" s="5" t="s">
        <v>35</v>
      </c>
      <c r="B26" s="6" t="s">
        <v>36</v>
      </c>
    </row>
    <row r="27" spans="1:2" x14ac:dyDescent="0.3">
      <c r="A27" s="5" t="s">
        <v>37</v>
      </c>
      <c r="B27" s="6" t="s">
        <v>38</v>
      </c>
    </row>
    <row r="28" spans="1:2" x14ac:dyDescent="0.3">
      <c r="A28" s="5" t="s">
        <v>39</v>
      </c>
      <c r="B28" s="6" t="s">
        <v>40</v>
      </c>
    </row>
    <row r="29" spans="1:2" x14ac:dyDescent="0.3">
      <c r="A29" s="5" t="s">
        <v>41</v>
      </c>
      <c r="B29" s="6" t="s">
        <v>42</v>
      </c>
    </row>
    <row r="30" spans="1:2" x14ac:dyDescent="0.3">
      <c r="A30" s="5" t="s">
        <v>43</v>
      </c>
      <c r="B30" s="6" t="s">
        <v>44</v>
      </c>
    </row>
    <row r="32" spans="1:2" x14ac:dyDescent="0.3">
      <c r="A32" s="3" t="s">
        <v>45</v>
      </c>
      <c r="B32" s="4"/>
    </row>
    <row r="33" spans="1:2" ht="26.4" x14ac:dyDescent="0.3">
      <c r="A33" s="5" t="s">
        <v>46</v>
      </c>
      <c r="B33" s="6" t="s">
        <v>47</v>
      </c>
    </row>
    <row r="34" spans="1:2" x14ac:dyDescent="0.3">
      <c r="A34" s="5" t="s">
        <v>48</v>
      </c>
      <c r="B34" s="6" t="s">
        <v>49</v>
      </c>
    </row>
    <row r="35" spans="1:2" x14ac:dyDescent="0.3">
      <c r="A35" s="5" t="s">
        <v>50</v>
      </c>
      <c r="B35" s="6" t="s">
        <v>51</v>
      </c>
    </row>
    <row r="36" spans="1:2" ht="26.4" x14ac:dyDescent="0.3">
      <c r="A36" s="5" t="s">
        <v>52</v>
      </c>
      <c r="B36" s="6" t="s">
        <v>53</v>
      </c>
    </row>
    <row r="37" spans="1:2" ht="26.4" x14ac:dyDescent="0.3">
      <c r="A37" s="5" t="s">
        <v>54</v>
      </c>
      <c r="B37" s="6" t="s">
        <v>55</v>
      </c>
    </row>
    <row r="38" spans="1:2" ht="39.6" x14ac:dyDescent="0.3">
      <c r="A38" s="5" t="s">
        <v>56</v>
      </c>
      <c r="B38" s="6" t="s">
        <v>57</v>
      </c>
    </row>
    <row r="40" spans="1:2" x14ac:dyDescent="0.3">
      <c r="A40" s="3" t="s">
        <v>58</v>
      </c>
      <c r="B40" s="4"/>
    </row>
    <row r="41" spans="1:2" ht="26.4" x14ac:dyDescent="0.3">
      <c r="A41" s="5" t="s">
        <v>59</v>
      </c>
      <c r="B41" s="6" t="s">
        <v>60</v>
      </c>
    </row>
    <row r="42" spans="1:2" x14ac:dyDescent="0.3">
      <c r="A42" s="5" t="s">
        <v>61</v>
      </c>
      <c r="B42" s="6" t="s">
        <v>62</v>
      </c>
    </row>
    <row r="43" spans="1:2" x14ac:dyDescent="0.3">
      <c r="A43" s="5" t="s">
        <v>63</v>
      </c>
      <c r="B43" s="6" t="s">
        <v>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C26"/>
  <sheetViews>
    <sheetView zoomScale="9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2" width="11" customWidth="1"/>
    <col min="3" max="3" width="9" customWidth="1"/>
    <col min="4" max="4" width="13" customWidth="1"/>
    <col min="5" max="5" width="42" customWidth="1"/>
    <col min="6" max="6" width="10" customWidth="1"/>
    <col min="7" max="7" width="40" customWidth="1"/>
    <col min="8" max="8" width="32" customWidth="1"/>
    <col min="9" max="9" width="26" customWidth="1"/>
    <col min="10" max="11" width="24" customWidth="1"/>
    <col min="12" max="12" width="28" customWidth="1"/>
    <col min="13" max="13" width="22" customWidth="1"/>
    <col min="14" max="14" width="9" customWidth="1"/>
    <col min="15" max="15" width="13" customWidth="1"/>
    <col min="16" max="16" width="10" customWidth="1"/>
    <col min="17" max="17" width="11" customWidth="1"/>
    <col min="18" max="18" width="18" customWidth="1"/>
    <col min="19" max="19" width="10" customWidth="1"/>
    <col min="20" max="20" width="24" customWidth="1"/>
    <col min="21" max="21" width="22" customWidth="1"/>
    <col min="22" max="23" width="11" customWidth="1"/>
    <col min="24" max="24" width="12" customWidth="1"/>
    <col min="25" max="25" width="11" customWidth="1"/>
    <col min="26" max="26" width="13" customWidth="1"/>
    <col min="27" max="27" width="8" customWidth="1"/>
    <col min="28" max="28" width="24" customWidth="1"/>
    <col min="29" max="29" width="18" customWidth="1"/>
  </cols>
  <sheetData>
    <row r="1" spans="1:29" ht="17.399999999999999" x14ac:dyDescent="0.3">
      <c r="A1" s="1" t="s">
        <v>65</v>
      </c>
    </row>
    <row r="2" spans="1:29" x14ac:dyDescent="0.3">
      <c r="A2" s="2" t="s">
        <v>66</v>
      </c>
    </row>
    <row r="4" spans="1:29" ht="52.8" x14ac:dyDescent="0.3">
      <c r="A4" s="8" t="s">
        <v>67</v>
      </c>
      <c r="B4" s="8" t="s">
        <v>68</v>
      </c>
      <c r="C4" s="9" t="s">
        <v>69</v>
      </c>
      <c r="D4" s="8" t="s">
        <v>70</v>
      </c>
      <c r="E4" s="8" t="s">
        <v>71</v>
      </c>
      <c r="F4" s="8" t="s">
        <v>72</v>
      </c>
      <c r="G4" s="8" t="s">
        <v>73</v>
      </c>
      <c r="H4" s="8" t="s">
        <v>74</v>
      </c>
      <c r="I4" s="8" t="s">
        <v>75</v>
      </c>
      <c r="J4" s="8" t="s">
        <v>76</v>
      </c>
      <c r="K4" s="8" t="s">
        <v>77</v>
      </c>
      <c r="L4" s="8" t="s">
        <v>78</v>
      </c>
      <c r="M4" s="8" t="s">
        <v>79</v>
      </c>
      <c r="N4" s="9" t="s">
        <v>80</v>
      </c>
      <c r="O4" s="8" t="s">
        <v>81</v>
      </c>
      <c r="P4" s="8" t="s">
        <v>82</v>
      </c>
      <c r="Q4" s="8" t="s">
        <v>83</v>
      </c>
      <c r="R4" s="8" t="s">
        <v>84</v>
      </c>
      <c r="S4" s="8" t="s">
        <v>85</v>
      </c>
      <c r="T4" s="8" t="s">
        <v>86</v>
      </c>
      <c r="U4" s="8" t="s">
        <v>87</v>
      </c>
      <c r="V4" s="8" t="s">
        <v>88</v>
      </c>
      <c r="W4" s="8" t="s">
        <v>89</v>
      </c>
      <c r="X4" s="8" t="s">
        <v>90</v>
      </c>
      <c r="Y4" s="8" t="s">
        <v>91</v>
      </c>
      <c r="Z4" s="8" t="s">
        <v>14</v>
      </c>
      <c r="AA4" s="9" t="s">
        <v>92</v>
      </c>
      <c r="AB4" s="9" t="s">
        <v>93</v>
      </c>
      <c r="AC4" s="8" t="s">
        <v>94</v>
      </c>
    </row>
    <row r="5" spans="1:29" ht="75" customHeight="1" x14ac:dyDescent="0.3">
      <c r="A5" s="10" t="s">
        <v>95</v>
      </c>
      <c r="B5" s="11">
        <v>46280</v>
      </c>
      <c r="C5" s="12" t="str">
        <f t="shared" ref="C5:C26" si="0">IF(A5="","",IF(OR(D5="Requisito do cliente",D5="Fornecedor"),"Externa","Interna"))</f>
        <v>Interna</v>
      </c>
      <c r="D5" s="10" t="s">
        <v>96</v>
      </c>
      <c r="E5" s="10" t="s">
        <v>97</v>
      </c>
      <c r="F5" s="10" t="s">
        <v>98</v>
      </c>
      <c r="G5" s="10" t="s">
        <v>99</v>
      </c>
      <c r="H5" s="10" t="s">
        <v>100</v>
      </c>
      <c r="I5" s="10" t="s">
        <v>101</v>
      </c>
      <c r="J5" s="10" t="s">
        <v>102</v>
      </c>
      <c r="K5" s="10" t="s">
        <v>103</v>
      </c>
      <c r="L5" s="10" t="s">
        <v>104</v>
      </c>
      <c r="M5" s="10" t="s">
        <v>105</v>
      </c>
      <c r="N5" s="13">
        <f>IF(A5="","",IFERROR(COUNTIFS(tbl_checklist_alt[ID_Alteracao],A5,tbl_checklist_alt[Resposta],"Sim")/COUNTIFS(tbl_checklist_alt[ID_Alteracao],A5,tbl_checklist_alt[Resposta],"&lt;&gt;N.A."),""))</f>
        <v>1</v>
      </c>
      <c r="O5" s="10" t="s">
        <v>106</v>
      </c>
      <c r="P5" s="10" t="s">
        <v>107</v>
      </c>
      <c r="Q5" s="11"/>
      <c r="R5" s="10" t="s">
        <v>108</v>
      </c>
      <c r="S5" s="10" t="s">
        <v>109</v>
      </c>
      <c r="T5" s="10" t="s">
        <v>110</v>
      </c>
      <c r="U5" s="10" t="s">
        <v>111</v>
      </c>
      <c r="V5" s="11">
        <v>46280</v>
      </c>
      <c r="W5" s="11"/>
      <c r="X5" s="10" t="s">
        <v>112</v>
      </c>
      <c r="Y5" s="11">
        <v>46477</v>
      </c>
      <c r="Z5" s="10" t="s">
        <v>113</v>
      </c>
      <c r="AA5" s="14">
        <f t="shared" ref="AA5:AA26" si="1">IF(OR(V5="",B5=""),"",V5-B5)</f>
        <v>0</v>
      </c>
      <c r="AB5" s="12" t="str">
        <f t="shared" ref="AB5:AB26" si="2">IF(A5="","",IF(AND(OR(Z5="Implementada",Z5="Fechada"),U5=""),"FALTA autorização (8.5.6)",IF(AND(P5="Sim",Q5="",Z5&lt;&gt;"Em análise"),"FALTA aprovação do cliente",IF(AND(V5&lt;&gt;"",W5&lt;&gt;"",W5&lt;V5),"Implementada ANTES de autorizada",IF(AND(Y5&lt;&gt;"",Y5&lt;DataRef,X5="Por avaliar"),"FALTA rever resultados (6.3 g)","OK")))))</f>
        <v>OK</v>
      </c>
      <c r="AC5" s="10" t="s">
        <v>114</v>
      </c>
    </row>
    <row r="6" spans="1:29" ht="75" customHeight="1" x14ac:dyDescent="0.3">
      <c r="A6" s="10" t="s">
        <v>115</v>
      </c>
      <c r="B6" s="11">
        <v>46034</v>
      </c>
      <c r="C6" s="12" t="str">
        <f t="shared" si="0"/>
        <v>Interna</v>
      </c>
      <c r="D6" s="10" t="s">
        <v>116</v>
      </c>
      <c r="E6" s="10" t="s">
        <v>117</v>
      </c>
      <c r="F6" s="10" t="s">
        <v>98</v>
      </c>
      <c r="G6" s="10" t="s">
        <v>118</v>
      </c>
      <c r="H6" s="10" t="s">
        <v>119</v>
      </c>
      <c r="I6" s="10" t="s">
        <v>120</v>
      </c>
      <c r="J6" s="10" t="s">
        <v>121</v>
      </c>
      <c r="K6" s="10" t="s">
        <v>122</v>
      </c>
      <c r="L6" s="10" t="s">
        <v>123</v>
      </c>
      <c r="M6" s="10" t="s">
        <v>124</v>
      </c>
      <c r="N6" s="13">
        <f>IF(A6="","",IFERROR(COUNTIFS(tbl_checklist_alt[ID_Alteracao],A6,tbl_checklist_alt[Resposta],"Sim")/COUNTIFS(tbl_checklist_alt[ID_Alteracao],A6,tbl_checklist_alt[Resposta],"&lt;&gt;N.A."),""))</f>
        <v>1</v>
      </c>
      <c r="O6" s="10" t="s">
        <v>125</v>
      </c>
      <c r="P6" s="10" t="s">
        <v>126</v>
      </c>
      <c r="Q6" s="11">
        <v>46193</v>
      </c>
      <c r="R6" s="10" t="s">
        <v>127</v>
      </c>
      <c r="S6" s="10" t="s">
        <v>128</v>
      </c>
      <c r="T6" s="10" t="s">
        <v>129</v>
      </c>
      <c r="U6" s="10" t="s">
        <v>130</v>
      </c>
      <c r="V6" s="11">
        <v>46055</v>
      </c>
      <c r="W6" s="11">
        <v>46202</v>
      </c>
      <c r="X6" s="10" t="s">
        <v>131</v>
      </c>
      <c r="Y6" s="11">
        <v>46295</v>
      </c>
      <c r="Z6" s="10" t="s">
        <v>132</v>
      </c>
      <c r="AA6" s="14">
        <f t="shared" si="1"/>
        <v>21</v>
      </c>
      <c r="AB6" s="12" t="str">
        <f t="shared" si="2"/>
        <v>OK</v>
      </c>
      <c r="AC6" s="10" t="s">
        <v>133</v>
      </c>
    </row>
    <row r="7" spans="1:29" ht="75" customHeight="1" x14ac:dyDescent="0.3">
      <c r="A7" s="10" t="s">
        <v>134</v>
      </c>
      <c r="B7" s="11">
        <v>46034</v>
      </c>
      <c r="C7" s="12" t="str">
        <f t="shared" si="0"/>
        <v>Interna</v>
      </c>
      <c r="D7" s="10" t="s">
        <v>116</v>
      </c>
      <c r="E7" s="10" t="s">
        <v>135</v>
      </c>
      <c r="F7" s="10" t="s">
        <v>98</v>
      </c>
      <c r="G7" s="10" t="s">
        <v>136</v>
      </c>
      <c r="H7" s="10" t="s">
        <v>137</v>
      </c>
      <c r="I7" s="10" t="s">
        <v>138</v>
      </c>
      <c r="J7" s="10" t="s">
        <v>139</v>
      </c>
      <c r="K7" s="10" t="s">
        <v>140</v>
      </c>
      <c r="L7" s="10" t="s">
        <v>141</v>
      </c>
      <c r="M7" s="10" t="s">
        <v>142</v>
      </c>
      <c r="N7" s="13">
        <f>IF(A7="","",IFERROR(COUNTIFS(tbl_checklist_alt[ID_Alteracao],A7,tbl_checklist_alt[Resposta],"Sim")/COUNTIFS(tbl_checklist_alt[ID_Alteracao],A7,tbl_checklist_alt[Resposta],"&lt;&gt;N.A."),""))</f>
        <v>1</v>
      </c>
      <c r="O7" s="10" t="s">
        <v>125</v>
      </c>
      <c r="P7" s="10" t="s">
        <v>126</v>
      </c>
      <c r="Q7" s="11">
        <v>46193</v>
      </c>
      <c r="R7" s="10" t="s">
        <v>127</v>
      </c>
      <c r="S7" s="10" t="s">
        <v>128</v>
      </c>
      <c r="T7" s="10" t="s">
        <v>143</v>
      </c>
      <c r="U7" s="10" t="s">
        <v>130</v>
      </c>
      <c r="V7" s="11">
        <v>46055</v>
      </c>
      <c r="W7" s="11">
        <v>46202</v>
      </c>
      <c r="X7" s="10" t="s">
        <v>144</v>
      </c>
      <c r="Y7" s="11">
        <v>46295</v>
      </c>
      <c r="Z7" s="10" t="s">
        <v>132</v>
      </c>
      <c r="AA7" s="14">
        <f t="shared" si="1"/>
        <v>21</v>
      </c>
      <c r="AB7" s="12" t="str">
        <f t="shared" si="2"/>
        <v>OK</v>
      </c>
      <c r="AC7" s="10"/>
    </row>
    <row r="8" spans="1:29" ht="75" customHeight="1" x14ac:dyDescent="0.3">
      <c r="A8" s="10" t="s">
        <v>145</v>
      </c>
      <c r="B8" s="11">
        <v>46083</v>
      </c>
      <c r="C8" s="12" t="str">
        <f t="shared" si="0"/>
        <v>Interna</v>
      </c>
      <c r="D8" s="10" t="s">
        <v>146</v>
      </c>
      <c r="E8" s="10" t="s">
        <v>147</v>
      </c>
      <c r="F8" s="10" t="s">
        <v>98</v>
      </c>
      <c r="G8" s="10" t="s">
        <v>148</v>
      </c>
      <c r="H8" s="10" t="s">
        <v>149</v>
      </c>
      <c r="I8" s="10" t="s">
        <v>150</v>
      </c>
      <c r="J8" s="10" t="s">
        <v>151</v>
      </c>
      <c r="K8" s="10" t="s">
        <v>152</v>
      </c>
      <c r="L8" s="10" t="s">
        <v>153</v>
      </c>
      <c r="M8" s="10" t="s">
        <v>154</v>
      </c>
      <c r="N8" s="13">
        <f>IF(A8="","",IFERROR(COUNTIFS(tbl_checklist_alt[ID_Alteracao],A8,tbl_checklist_alt[Resposta],"Sim")/COUNTIFS(tbl_checklist_alt[ID_Alteracao],A8,tbl_checklist_alt[Resposta],"&lt;&gt;N.A."),""))</f>
        <v>1</v>
      </c>
      <c r="O8" s="10" t="s">
        <v>155</v>
      </c>
      <c r="P8" s="10" t="s">
        <v>126</v>
      </c>
      <c r="Q8" s="11">
        <v>46198</v>
      </c>
      <c r="R8" s="10" t="s">
        <v>156</v>
      </c>
      <c r="S8" s="10" t="s">
        <v>157</v>
      </c>
      <c r="T8" s="10" t="s">
        <v>158</v>
      </c>
      <c r="U8" s="10" t="s">
        <v>111</v>
      </c>
      <c r="V8" s="11">
        <v>46097</v>
      </c>
      <c r="W8" s="11">
        <v>46209</v>
      </c>
      <c r="X8" s="10" t="s">
        <v>131</v>
      </c>
      <c r="Y8" s="11">
        <v>46290</v>
      </c>
      <c r="Z8" s="10" t="s">
        <v>132</v>
      </c>
      <c r="AA8" s="14">
        <f t="shared" si="1"/>
        <v>14</v>
      </c>
      <c r="AB8" s="12" t="str">
        <f t="shared" si="2"/>
        <v>OK</v>
      </c>
      <c r="AC8" s="10" t="s">
        <v>159</v>
      </c>
    </row>
    <row r="9" spans="1:29" ht="75" customHeight="1" x14ac:dyDescent="0.3">
      <c r="A9" s="10" t="s">
        <v>160</v>
      </c>
      <c r="B9" s="11">
        <v>46001</v>
      </c>
      <c r="C9" s="12" t="str">
        <f t="shared" si="0"/>
        <v>Interna</v>
      </c>
      <c r="D9" s="10" t="s">
        <v>161</v>
      </c>
      <c r="E9" s="10" t="s">
        <v>162</v>
      </c>
      <c r="F9" s="10" t="s">
        <v>98</v>
      </c>
      <c r="G9" s="10" t="s">
        <v>163</v>
      </c>
      <c r="H9" s="10" t="s">
        <v>164</v>
      </c>
      <c r="I9" s="10" t="s">
        <v>165</v>
      </c>
      <c r="J9" s="10" t="s">
        <v>166</v>
      </c>
      <c r="K9" s="10" t="s">
        <v>167</v>
      </c>
      <c r="L9" s="10" t="s">
        <v>168</v>
      </c>
      <c r="M9" s="10" t="s">
        <v>169</v>
      </c>
      <c r="N9" s="13">
        <f>IF(A9="","",IFERROR(COUNTIFS(tbl_checklist_alt[ID_Alteracao],A9,tbl_checklist_alt[Resposta],"Sim")/COUNTIFS(tbl_checklist_alt[ID_Alteracao],A9,tbl_checklist_alt[Resposta],"&lt;&gt;N.A."),""))</f>
        <v>1</v>
      </c>
      <c r="O9" s="10" t="s">
        <v>170</v>
      </c>
      <c r="P9" s="10" t="s">
        <v>107</v>
      </c>
      <c r="Q9" s="11"/>
      <c r="R9" s="10" t="s">
        <v>171</v>
      </c>
      <c r="S9" s="10" t="s">
        <v>172</v>
      </c>
      <c r="T9" s="10" t="s">
        <v>173</v>
      </c>
      <c r="U9" s="10" t="s">
        <v>130</v>
      </c>
      <c r="V9" s="11">
        <v>46030</v>
      </c>
      <c r="W9" s="11">
        <v>46037</v>
      </c>
      <c r="X9" s="10" t="s">
        <v>174</v>
      </c>
      <c r="Y9" s="11">
        <v>46157</v>
      </c>
      <c r="Z9" s="10" t="s">
        <v>175</v>
      </c>
      <c r="AA9" s="14">
        <f t="shared" si="1"/>
        <v>29</v>
      </c>
      <c r="AB9" s="12" t="str">
        <f t="shared" si="2"/>
        <v>OK</v>
      </c>
      <c r="AC9" s="10"/>
    </row>
    <row r="10" spans="1:29" ht="75" customHeight="1" x14ac:dyDescent="0.3">
      <c r="A10" s="10" t="s">
        <v>176</v>
      </c>
      <c r="B10" s="11">
        <v>46069</v>
      </c>
      <c r="C10" s="12" t="str">
        <f t="shared" si="0"/>
        <v>Externa</v>
      </c>
      <c r="D10" s="10" t="s">
        <v>177</v>
      </c>
      <c r="E10" s="10" t="s">
        <v>178</v>
      </c>
      <c r="F10" s="10" t="s">
        <v>98</v>
      </c>
      <c r="G10" s="10" t="s">
        <v>179</v>
      </c>
      <c r="H10" s="10" t="s">
        <v>180</v>
      </c>
      <c r="I10" s="10" t="s">
        <v>181</v>
      </c>
      <c r="J10" s="10" t="s">
        <v>182</v>
      </c>
      <c r="K10" s="10" t="s">
        <v>183</v>
      </c>
      <c r="L10" s="10" t="s">
        <v>184</v>
      </c>
      <c r="M10" s="10" t="s">
        <v>185</v>
      </c>
      <c r="N10" s="13">
        <f>IF(A10="","",IFERROR(COUNTIFS(tbl_checklist_alt[ID_Alteracao],A10,tbl_checklist_alt[Resposta],"Sim")/COUNTIFS(tbl_checklist_alt[ID_Alteracao],A10,tbl_checklist_alt[Resposta],"&lt;&gt;N.A."),""))</f>
        <v>1</v>
      </c>
      <c r="O10" s="10" t="s">
        <v>186</v>
      </c>
      <c r="P10" s="10" t="s">
        <v>126</v>
      </c>
      <c r="Q10" s="11">
        <v>46122</v>
      </c>
      <c r="R10" s="10" t="s">
        <v>187</v>
      </c>
      <c r="S10" s="10" t="s">
        <v>188</v>
      </c>
      <c r="T10" s="10" t="s">
        <v>189</v>
      </c>
      <c r="U10" s="10" t="s">
        <v>190</v>
      </c>
      <c r="V10" s="11">
        <v>46127</v>
      </c>
      <c r="W10" s="11">
        <v>46144</v>
      </c>
      <c r="X10" s="10" t="s">
        <v>174</v>
      </c>
      <c r="Y10" s="11">
        <v>46356</v>
      </c>
      <c r="Z10" s="10" t="s">
        <v>132</v>
      </c>
      <c r="AA10" s="14">
        <f t="shared" si="1"/>
        <v>58</v>
      </c>
      <c r="AB10" s="12" t="str">
        <f t="shared" si="2"/>
        <v>OK</v>
      </c>
      <c r="AC10" s="10" t="s">
        <v>191</v>
      </c>
    </row>
    <row r="11" spans="1:29" ht="75" customHeight="1" x14ac:dyDescent="0.3">
      <c r="A11" s="10" t="s">
        <v>192</v>
      </c>
      <c r="B11" s="11">
        <v>46055</v>
      </c>
      <c r="C11" s="12" t="str">
        <f t="shared" si="0"/>
        <v>Interna</v>
      </c>
      <c r="D11" s="10" t="s">
        <v>193</v>
      </c>
      <c r="E11" s="10" t="s">
        <v>194</v>
      </c>
      <c r="F11" s="10" t="s">
        <v>98</v>
      </c>
      <c r="G11" s="10" t="s">
        <v>195</v>
      </c>
      <c r="H11" s="10" t="s">
        <v>196</v>
      </c>
      <c r="I11" s="10" t="s">
        <v>197</v>
      </c>
      <c r="J11" s="10" t="s">
        <v>198</v>
      </c>
      <c r="K11" s="10" t="s">
        <v>199</v>
      </c>
      <c r="L11" s="10" t="s">
        <v>200</v>
      </c>
      <c r="M11" s="10" t="s">
        <v>142</v>
      </c>
      <c r="N11" s="13">
        <f>IF(A11="","",IFERROR(COUNTIFS(tbl_checklist_alt[ID_Alteracao],A11,tbl_checklist_alt[Resposta],"Sim")/COUNTIFS(tbl_checklist_alt[ID_Alteracao],A11,tbl_checklist_alt[Resposta],"&lt;&gt;N.A."),""))</f>
        <v>1</v>
      </c>
      <c r="O11" s="10" t="s">
        <v>201</v>
      </c>
      <c r="P11" s="10" t="s">
        <v>107</v>
      </c>
      <c r="Q11" s="11"/>
      <c r="R11" s="10" t="s">
        <v>202</v>
      </c>
      <c r="S11" s="10" t="s">
        <v>203</v>
      </c>
      <c r="T11" s="10" t="s">
        <v>204</v>
      </c>
      <c r="U11" s="10" t="s">
        <v>198</v>
      </c>
      <c r="V11" s="11">
        <v>46058</v>
      </c>
      <c r="W11" s="11">
        <v>46083</v>
      </c>
      <c r="X11" s="10" t="s">
        <v>174</v>
      </c>
      <c r="Y11" s="11">
        <v>46178</v>
      </c>
      <c r="Z11" s="10" t="s">
        <v>175</v>
      </c>
      <c r="AA11" s="14">
        <f t="shared" si="1"/>
        <v>3</v>
      </c>
      <c r="AB11" s="12" t="str">
        <f t="shared" si="2"/>
        <v>OK</v>
      </c>
      <c r="AC11" s="10"/>
    </row>
    <row r="12" spans="1:29" ht="75" customHeight="1" x14ac:dyDescent="0.3">
      <c r="A12" s="10" t="s">
        <v>205</v>
      </c>
      <c r="B12" s="11">
        <v>46283</v>
      </c>
      <c r="C12" s="12" t="str">
        <f t="shared" si="0"/>
        <v>Interna</v>
      </c>
      <c r="D12" s="10" t="s">
        <v>146</v>
      </c>
      <c r="E12" s="10" t="s">
        <v>206</v>
      </c>
      <c r="F12" s="10" t="s">
        <v>207</v>
      </c>
      <c r="G12" s="10" t="s">
        <v>208</v>
      </c>
      <c r="H12" s="10" t="s">
        <v>209</v>
      </c>
      <c r="I12" s="10" t="s">
        <v>210</v>
      </c>
      <c r="J12" s="10" t="s">
        <v>211</v>
      </c>
      <c r="K12" s="10" t="s">
        <v>212</v>
      </c>
      <c r="L12" s="10" t="s">
        <v>213</v>
      </c>
      <c r="M12" s="10" t="s">
        <v>214</v>
      </c>
      <c r="N12" s="13">
        <f>IF(A12="","",IFERROR(COUNTIFS(tbl_checklist_alt[ID_Alteracao],A12,tbl_checklist_alt[Resposta],"Sim")/COUNTIFS(tbl_checklist_alt[ID_Alteracao],A12,tbl_checklist_alt[Resposta],"&lt;&gt;N.A."),""))</f>
        <v>1</v>
      </c>
      <c r="O12" s="10" t="s">
        <v>215</v>
      </c>
      <c r="P12" s="10" t="s">
        <v>126</v>
      </c>
      <c r="Q12" s="11">
        <v>46287</v>
      </c>
      <c r="R12" s="10" t="s">
        <v>216</v>
      </c>
      <c r="S12" s="10" t="s">
        <v>128</v>
      </c>
      <c r="T12" s="10" t="s">
        <v>217</v>
      </c>
      <c r="U12" s="10" t="s">
        <v>11</v>
      </c>
      <c r="V12" s="11">
        <v>46287</v>
      </c>
      <c r="W12" s="11">
        <v>46288</v>
      </c>
      <c r="X12" s="10" t="s">
        <v>174</v>
      </c>
      <c r="Y12" s="11">
        <v>46371</v>
      </c>
      <c r="Z12" s="10" t="s">
        <v>132</v>
      </c>
      <c r="AA12" s="14">
        <f t="shared" si="1"/>
        <v>4</v>
      </c>
      <c r="AB12" s="12" t="str">
        <f t="shared" si="2"/>
        <v>OK</v>
      </c>
      <c r="AC12" s="10"/>
    </row>
    <row r="13" spans="1:29" ht="75" customHeight="1" x14ac:dyDescent="0.3">
      <c r="A13" s="10" t="s">
        <v>218</v>
      </c>
      <c r="B13" s="11">
        <v>46283</v>
      </c>
      <c r="C13" s="12" t="str">
        <f t="shared" si="0"/>
        <v>Interna</v>
      </c>
      <c r="D13" s="10" t="s">
        <v>219</v>
      </c>
      <c r="E13" s="10" t="s">
        <v>220</v>
      </c>
      <c r="F13" s="10" t="s">
        <v>207</v>
      </c>
      <c r="G13" s="10" t="s">
        <v>221</v>
      </c>
      <c r="H13" s="10" t="s">
        <v>222</v>
      </c>
      <c r="I13" s="10" t="s">
        <v>223</v>
      </c>
      <c r="J13" s="10" t="s">
        <v>224</v>
      </c>
      <c r="K13" s="10" t="s">
        <v>225</v>
      </c>
      <c r="L13" s="10" t="s">
        <v>226</v>
      </c>
      <c r="M13" s="10" t="s">
        <v>227</v>
      </c>
      <c r="N13" s="13">
        <f>IF(A13="","",IFERROR(COUNTIFS(tbl_checklist_alt[ID_Alteracao],A13,tbl_checklist_alt[Resposta],"Sim")/COUNTIFS(tbl_checklist_alt[ID_Alteracao],A13,tbl_checklist_alt[Resposta],"&lt;&gt;N.A."),""))</f>
        <v>1</v>
      </c>
      <c r="O13" s="10" t="s">
        <v>228</v>
      </c>
      <c r="P13" s="10" t="s">
        <v>107</v>
      </c>
      <c r="Q13" s="11"/>
      <c r="R13" s="10" t="s">
        <v>229</v>
      </c>
      <c r="S13" s="10" t="s">
        <v>230</v>
      </c>
      <c r="T13" s="10" t="s">
        <v>231</v>
      </c>
      <c r="U13" s="10" t="s">
        <v>11</v>
      </c>
      <c r="V13" s="11">
        <v>46288</v>
      </c>
      <c r="W13" s="11">
        <v>46288</v>
      </c>
      <c r="X13" s="10" t="s">
        <v>174</v>
      </c>
      <c r="Y13" s="11">
        <v>46293</v>
      </c>
      <c r="Z13" s="10" t="s">
        <v>175</v>
      </c>
      <c r="AA13" s="14">
        <f t="shared" si="1"/>
        <v>5</v>
      </c>
      <c r="AB13" s="12" t="str">
        <f t="shared" si="2"/>
        <v>OK</v>
      </c>
      <c r="AC13" s="10"/>
    </row>
    <row r="14" spans="1:29" ht="75" customHeight="1" x14ac:dyDescent="0.3">
      <c r="A14" s="10" t="s">
        <v>232</v>
      </c>
      <c r="B14" s="11">
        <v>46223</v>
      </c>
      <c r="C14" s="12" t="str">
        <f t="shared" si="0"/>
        <v>Interna</v>
      </c>
      <c r="D14" s="10" t="s">
        <v>161</v>
      </c>
      <c r="E14" s="10" t="s">
        <v>233</v>
      </c>
      <c r="F14" s="10" t="s">
        <v>98</v>
      </c>
      <c r="G14" s="10" t="s">
        <v>234</v>
      </c>
      <c r="H14" s="10" t="s">
        <v>235</v>
      </c>
      <c r="I14" s="10" t="s">
        <v>236</v>
      </c>
      <c r="J14" s="10" t="s">
        <v>237</v>
      </c>
      <c r="K14" s="10" t="s">
        <v>238</v>
      </c>
      <c r="L14" s="10" t="s">
        <v>239</v>
      </c>
      <c r="M14" s="10" t="s">
        <v>142</v>
      </c>
      <c r="N14" s="13">
        <f>IF(A14="","",IFERROR(COUNTIFS(tbl_checklist_alt[ID_Alteracao],A14,tbl_checklist_alt[Resposta],"Sim")/COUNTIFS(tbl_checklist_alt[ID_Alteracao],A14,tbl_checklist_alt[Resposta],"&lt;&gt;N.A."),""))</f>
        <v>0.9</v>
      </c>
      <c r="O14" s="10" t="s">
        <v>240</v>
      </c>
      <c r="P14" s="10" t="s">
        <v>107</v>
      </c>
      <c r="Q14" s="11"/>
      <c r="R14" s="10" t="s">
        <v>241</v>
      </c>
      <c r="S14" s="10" t="s">
        <v>242</v>
      </c>
      <c r="T14" s="10" t="s">
        <v>243</v>
      </c>
      <c r="U14" s="10" t="s">
        <v>130</v>
      </c>
      <c r="V14" s="11">
        <v>46237</v>
      </c>
      <c r="W14" s="11">
        <v>46366</v>
      </c>
      <c r="X14" s="10" t="s">
        <v>112</v>
      </c>
      <c r="Y14" s="11">
        <v>46387</v>
      </c>
      <c r="Z14" s="10" t="s">
        <v>132</v>
      </c>
      <c r="AA14" s="14">
        <f t="shared" si="1"/>
        <v>14</v>
      </c>
      <c r="AB14" s="12" t="str">
        <f t="shared" si="2"/>
        <v>OK</v>
      </c>
      <c r="AC14" s="10"/>
    </row>
    <row r="15" spans="1:29" ht="75" customHeight="1" x14ac:dyDescent="0.3">
      <c r="A15" s="10" t="s">
        <v>244</v>
      </c>
      <c r="B15" s="11">
        <v>46062</v>
      </c>
      <c r="C15" s="12" t="str">
        <f t="shared" si="0"/>
        <v>Interna</v>
      </c>
      <c r="D15" s="10" t="s">
        <v>116</v>
      </c>
      <c r="E15" s="10" t="s">
        <v>245</v>
      </c>
      <c r="F15" s="10" t="s">
        <v>207</v>
      </c>
      <c r="G15" s="10" t="s">
        <v>246</v>
      </c>
      <c r="H15" s="10" t="s">
        <v>247</v>
      </c>
      <c r="I15" s="10" t="s">
        <v>248</v>
      </c>
      <c r="J15" s="10" t="s">
        <v>198</v>
      </c>
      <c r="K15" s="10" t="s">
        <v>249</v>
      </c>
      <c r="L15" s="10" t="s">
        <v>250</v>
      </c>
      <c r="M15" s="10" t="s">
        <v>251</v>
      </c>
      <c r="N15" s="13">
        <f>IF(A15="","",IFERROR(COUNTIFS(tbl_checklist_alt[ID_Alteracao],A15,tbl_checklist_alt[Resposta],"Sim")/COUNTIFS(tbl_checklist_alt[ID_Alteracao],A15,tbl_checklist_alt[Resposta],"&lt;&gt;N.A."),""))</f>
        <v>0.72727272727272729</v>
      </c>
      <c r="O15" s="10" t="s">
        <v>252</v>
      </c>
      <c r="P15" s="10" t="s">
        <v>107</v>
      </c>
      <c r="Q15" s="11"/>
      <c r="R15" s="10" t="s">
        <v>253</v>
      </c>
      <c r="S15" s="10" t="s">
        <v>254</v>
      </c>
      <c r="T15" s="10" t="s">
        <v>255</v>
      </c>
      <c r="U15" s="10" t="s">
        <v>130</v>
      </c>
      <c r="V15" s="11">
        <v>46282</v>
      </c>
      <c r="W15" s="11">
        <v>46073</v>
      </c>
      <c r="X15" s="10" t="s">
        <v>174</v>
      </c>
      <c r="Y15" s="11">
        <v>46326</v>
      </c>
      <c r="Z15" s="10" t="s">
        <v>132</v>
      </c>
      <c r="AA15" s="14">
        <f t="shared" si="1"/>
        <v>220</v>
      </c>
      <c r="AB15" s="12" t="str">
        <f t="shared" si="2"/>
        <v>Implementada ANTES de autorizada</v>
      </c>
      <c r="AC15" s="10" t="s">
        <v>256</v>
      </c>
    </row>
    <row r="16" spans="1:29" ht="75" customHeight="1" x14ac:dyDescent="0.3">
      <c r="A16" s="10" t="s">
        <v>257</v>
      </c>
      <c r="B16" s="11">
        <v>46266</v>
      </c>
      <c r="C16" s="12" t="str">
        <f t="shared" si="0"/>
        <v>Interna</v>
      </c>
      <c r="D16" s="10" t="s">
        <v>116</v>
      </c>
      <c r="E16" s="10" t="s">
        <v>258</v>
      </c>
      <c r="F16" s="10" t="s">
        <v>98</v>
      </c>
      <c r="G16" s="10" t="s">
        <v>259</v>
      </c>
      <c r="H16" s="10" t="s">
        <v>260</v>
      </c>
      <c r="I16" s="10" t="s">
        <v>261</v>
      </c>
      <c r="J16" s="10" t="s">
        <v>224</v>
      </c>
      <c r="K16" s="10" t="s">
        <v>262</v>
      </c>
      <c r="L16" s="10" t="s">
        <v>263</v>
      </c>
      <c r="M16" s="10" t="s">
        <v>264</v>
      </c>
      <c r="N16" s="13">
        <f>IF(A16="","",IFERROR(COUNTIFS(tbl_checklist_alt[ID_Alteracao],A16,tbl_checklist_alt[Resposta],"Sim")/COUNTIFS(tbl_checklist_alt[ID_Alteracao],A16,tbl_checklist_alt[Resposta],"&lt;&gt;N.A."),""))</f>
        <v>0.77777777777777779</v>
      </c>
      <c r="O16" s="10" t="s">
        <v>265</v>
      </c>
      <c r="P16" s="10" t="s">
        <v>107</v>
      </c>
      <c r="Q16" s="11"/>
      <c r="R16" s="10" t="s">
        <v>266</v>
      </c>
      <c r="S16" s="10" t="s">
        <v>267</v>
      </c>
      <c r="T16" s="10" t="s">
        <v>268</v>
      </c>
      <c r="U16" s="10" t="s">
        <v>111</v>
      </c>
      <c r="V16" s="11">
        <v>46290</v>
      </c>
      <c r="W16" s="11"/>
      <c r="X16" s="10" t="s">
        <v>112</v>
      </c>
      <c r="Y16" s="11">
        <v>46568</v>
      </c>
      <c r="Z16" s="10" t="s">
        <v>269</v>
      </c>
      <c r="AA16" s="14">
        <f t="shared" si="1"/>
        <v>24</v>
      </c>
      <c r="AB16" s="12" t="str">
        <f t="shared" si="2"/>
        <v>OK</v>
      </c>
      <c r="AC16" s="10"/>
    </row>
    <row r="17" spans="1:29" ht="75" customHeight="1" x14ac:dyDescent="0.3">
      <c r="A17" s="10" t="s">
        <v>270</v>
      </c>
      <c r="B17" s="11">
        <v>46258</v>
      </c>
      <c r="C17" s="12" t="str">
        <f t="shared" si="0"/>
        <v>Externa</v>
      </c>
      <c r="D17" s="10" t="s">
        <v>177</v>
      </c>
      <c r="E17" s="10" t="s">
        <v>271</v>
      </c>
      <c r="F17" s="10" t="s">
        <v>98</v>
      </c>
      <c r="G17" s="10" t="s">
        <v>272</v>
      </c>
      <c r="H17" s="10" t="s">
        <v>273</v>
      </c>
      <c r="I17" s="10" t="s">
        <v>274</v>
      </c>
      <c r="J17" s="10" t="s">
        <v>190</v>
      </c>
      <c r="K17" s="10" t="s">
        <v>275</v>
      </c>
      <c r="L17" s="10" t="s">
        <v>276</v>
      </c>
      <c r="M17" s="10" t="s">
        <v>277</v>
      </c>
      <c r="N17" s="13">
        <f>IF(A17="","",IFERROR(COUNTIFS(tbl_checklist_alt[ID_Alteracao],A17,tbl_checklist_alt[Resposta],"Sim")/COUNTIFS(tbl_checklist_alt[ID_Alteracao],A17,tbl_checklist_alt[Resposta],"&lt;&gt;N.A."),""))</f>
        <v>0.36363636363636365</v>
      </c>
      <c r="O17" s="10" t="s">
        <v>186</v>
      </c>
      <c r="P17" s="10" t="s">
        <v>126</v>
      </c>
      <c r="Q17" s="11">
        <v>46304</v>
      </c>
      <c r="R17" s="10" t="s">
        <v>187</v>
      </c>
      <c r="S17" s="10" t="s">
        <v>278</v>
      </c>
      <c r="T17" s="10" t="s">
        <v>279</v>
      </c>
      <c r="U17" s="10" t="s">
        <v>190</v>
      </c>
      <c r="V17" s="11">
        <v>46307</v>
      </c>
      <c r="W17" s="11"/>
      <c r="X17" s="10" t="s">
        <v>112</v>
      </c>
      <c r="Y17" s="11">
        <v>46477</v>
      </c>
      <c r="Z17" s="10" t="s">
        <v>113</v>
      </c>
      <c r="AA17" s="14">
        <f t="shared" si="1"/>
        <v>49</v>
      </c>
      <c r="AB17" s="12" t="str">
        <f t="shared" si="2"/>
        <v>OK</v>
      </c>
      <c r="AC17" s="10" t="s">
        <v>191</v>
      </c>
    </row>
    <row r="18" spans="1:29" ht="75" customHeight="1" x14ac:dyDescent="0.3">
      <c r="A18" s="10" t="s">
        <v>280</v>
      </c>
      <c r="B18" s="11">
        <v>46195</v>
      </c>
      <c r="C18" s="12" t="str">
        <f t="shared" si="0"/>
        <v>Interna</v>
      </c>
      <c r="D18" s="10" t="s">
        <v>281</v>
      </c>
      <c r="E18" s="10" t="s">
        <v>282</v>
      </c>
      <c r="F18" s="10" t="s">
        <v>98</v>
      </c>
      <c r="G18" s="10" t="s">
        <v>283</v>
      </c>
      <c r="H18" s="10" t="s">
        <v>284</v>
      </c>
      <c r="I18" s="10" t="s">
        <v>285</v>
      </c>
      <c r="J18" s="10" t="s">
        <v>286</v>
      </c>
      <c r="K18" s="10" t="s">
        <v>287</v>
      </c>
      <c r="L18" s="10" t="s">
        <v>288</v>
      </c>
      <c r="M18" s="10" t="s">
        <v>289</v>
      </c>
      <c r="N18" s="13">
        <f>IF(A18="","",IFERROR(COUNTIFS(tbl_checklist_alt[ID_Alteracao],A18,tbl_checklist_alt[Resposta],"Sim")/COUNTIFS(tbl_checklist_alt[ID_Alteracao],A18,tbl_checklist_alt[Resposta],"&lt;&gt;N.A."),""))</f>
        <v>1</v>
      </c>
      <c r="O18" s="10" t="s">
        <v>290</v>
      </c>
      <c r="P18" s="10" t="s">
        <v>107</v>
      </c>
      <c r="Q18" s="11"/>
      <c r="R18" s="10" t="s">
        <v>291</v>
      </c>
      <c r="S18" s="10" t="s">
        <v>292</v>
      </c>
      <c r="T18" s="10" t="s">
        <v>293</v>
      </c>
      <c r="U18" s="10" t="s">
        <v>11</v>
      </c>
      <c r="V18" s="11">
        <v>46199</v>
      </c>
      <c r="W18" s="11">
        <v>46204</v>
      </c>
      <c r="X18" s="10" t="s">
        <v>174</v>
      </c>
      <c r="Y18" s="11">
        <v>46371</v>
      </c>
      <c r="Z18" s="10" t="s">
        <v>132</v>
      </c>
      <c r="AA18" s="14">
        <f t="shared" si="1"/>
        <v>4</v>
      </c>
      <c r="AB18" s="12" t="str">
        <f t="shared" si="2"/>
        <v>OK</v>
      </c>
      <c r="AC18" s="10"/>
    </row>
    <row r="19" spans="1:29" ht="75" customHeight="1" x14ac:dyDescent="0.3">
      <c r="A19" s="10" t="s">
        <v>294</v>
      </c>
      <c r="B19" s="11">
        <v>46275</v>
      </c>
      <c r="C19" s="12" t="str">
        <f t="shared" si="0"/>
        <v>Externa</v>
      </c>
      <c r="D19" s="10" t="s">
        <v>295</v>
      </c>
      <c r="E19" s="10" t="s">
        <v>296</v>
      </c>
      <c r="F19" s="10" t="s">
        <v>207</v>
      </c>
      <c r="G19" s="10" t="s">
        <v>297</v>
      </c>
      <c r="H19" s="10" t="s">
        <v>298</v>
      </c>
      <c r="I19" s="10" t="s">
        <v>299</v>
      </c>
      <c r="J19" s="10" t="s">
        <v>11</v>
      </c>
      <c r="K19" s="10" t="s">
        <v>300</v>
      </c>
      <c r="L19" s="10" t="s">
        <v>301</v>
      </c>
      <c r="M19" s="10" t="s">
        <v>302</v>
      </c>
      <c r="N19" s="13">
        <f>IF(A19="","",IFERROR(COUNTIFS(tbl_checklist_alt[ID_Alteracao],A19,tbl_checklist_alt[Resposta],"Sim")/COUNTIFS(tbl_checklist_alt[ID_Alteracao],A19,tbl_checklist_alt[Resposta],"&lt;&gt;N.A."),""))</f>
        <v>1</v>
      </c>
      <c r="O19" s="10" t="s">
        <v>303</v>
      </c>
      <c r="P19" s="10" t="s">
        <v>126</v>
      </c>
      <c r="Q19" s="11">
        <v>46277</v>
      </c>
      <c r="R19" s="10" t="s">
        <v>108</v>
      </c>
      <c r="S19" s="10" t="s">
        <v>304</v>
      </c>
      <c r="T19" s="10" t="s">
        <v>305</v>
      </c>
      <c r="U19" s="10" t="s">
        <v>11</v>
      </c>
      <c r="V19" s="11">
        <v>46277</v>
      </c>
      <c r="W19" s="11">
        <v>46279</v>
      </c>
      <c r="X19" s="10" t="s">
        <v>174</v>
      </c>
      <c r="Y19" s="11">
        <v>46370</v>
      </c>
      <c r="Z19" s="10" t="s">
        <v>132</v>
      </c>
      <c r="AA19" s="14">
        <f t="shared" si="1"/>
        <v>2</v>
      </c>
      <c r="AB19" s="12" t="str">
        <f t="shared" si="2"/>
        <v>OK</v>
      </c>
      <c r="AC19" s="10"/>
    </row>
    <row r="20" spans="1:29" ht="75" customHeight="1" x14ac:dyDescent="0.3">
      <c r="A20" s="10" t="s">
        <v>306</v>
      </c>
      <c r="B20" s="11">
        <v>46317</v>
      </c>
      <c r="C20" s="12" t="str">
        <f t="shared" si="0"/>
        <v>Interna</v>
      </c>
      <c r="D20" s="10" t="s">
        <v>161</v>
      </c>
      <c r="E20" s="10" t="s">
        <v>307</v>
      </c>
      <c r="F20" s="10" t="s">
        <v>207</v>
      </c>
      <c r="G20" s="10" t="s">
        <v>308</v>
      </c>
      <c r="H20" s="10" t="s">
        <v>309</v>
      </c>
      <c r="I20" s="10" t="s">
        <v>310</v>
      </c>
      <c r="J20" s="10" t="s">
        <v>311</v>
      </c>
      <c r="K20" s="10" t="s">
        <v>312</v>
      </c>
      <c r="L20" s="10" t="s">
        <v>313</v>
      </c>
      <c r="M20" s="10" t="s">
        <v>314</v>
      </c>
      <c r="N20" s="13">
        <f>IF(A20="","",IFERROR(COUNTIFS(tbl_checklist_alt[ID_Alteracao],A20,tbl_checklist_alt[Resposta],"Sim")/COUNTIFS(tbl_checklist_alt[ID_Alteracao],A20,tbl_checklist_alt[Resposta],"&lt;&gt;N.A."),""))</f>
        <v>1</v>
      </c>
      <c r="O20" s="10" t="s">
        <v>315</v>
      </c>
      <c r="P20" s="10" t="s">
        <v>107</v>
      </c>
      <c r="Q20" s="11"/>
      <c r="R20" s="10" t="s">
        <v>108</v>
      </c>
      <c r="S20" s="10" t="s">
        <v>316</v>
      </c>
      <c r="T20" s="10" t="s">
        <v>317</v>
      </c>
      <c r="U20" s="10" t="s">
        <v>318</v>
      </c>
      <c r="V20" s="11">
        <v>46322</v>
      </c>
      <c r="W20" s="11">
        <v>46335</v>
      </c>
      <c r="X20" s="10" t="s">
        <v>112</v>
      </c>
      <c r="Y20" s="11">
        <v>46446</v>
      </c>
      <c r="Z20" s="10" t="s">
        <v>132</v>
      </c>
      <c r="AA20" s="14">
        <f t="shared" si="1"/>
        <v>5</v>
      </c>
      <c r="AB20" s="12" t="str">
        <f t="shared" si="2"/>
        <v>OK</v>
      </c>
      <c r="AC20" s="10" t="s">
        <v>319</v>
      </c>
    </row>
    <row r="21" spans="1:29" ht="75" customHeight="1" x14ac:dyDescent="0.3">
      <c r="A21" s="10" t="s">
        <v>320</v>
      </c>
      <c r="B21" s="11">
        <v>46352</v>
      </c>
      <c r="C21" s="12" t="str">
        <f t="shared" si="0"/>
        <v>Interna</v>
      </c>
      <c r="D21" s="10" t="s">
        <v>219</v>
      </c>
      <c r="E21" s="10" t="s">
        <v>321</v>
      </c>
      <c r="F21" s="10" t="s">
        <v>98</v>
      </c>
      <c r="G21" s="10" t="s">
        <v>322</v>
      </c>
      <c r="H21" s="10" t="s">
        <v>323</v>
      </c>
      <c r="I21" s="10" t="s">
        <v>324</v>
      </c>
      <c r="J21" s="10" t="s">
        <v>11</v>
      </c>
      <c r="K21" s="10" t="s">
        <v>325</v>
      </c>
      <c r="L21" s="10" t="s">
        <v>326</v>
      </c>
      <c r="M21" s="10" t="s">
        <v>327</v>
      </c>
      <c r="N21" s="13">
        <f>IF(A21="","",IFERROR(COUNTIFS(tbl_checklist_alt[ID_Alteracao],A21,tbl_checklist_alt[Resposta],"Sim")/COUNTIFS(tbl_checklist_alt[ID_Alteracao],A21,tbl_checklist_alt[Resposta],"&lt;&gt;N.A."),""))</f>
        <v>0.875</v>
      </c>
      <c r="O21" s="10" t="s">
        <v>328</v>
      </c>
      <c r="P21" s="10" t="s">
        <v>107</v>
      </c>
      <c r="Q21" s="11"/>
      <c r="R21" s="10" t="s">
        <v>108</v>
      </c>
      <c r="S21" s="10" t="s">
        <v>329</v>
      </c>
      <c r="T21" s="10" t="s">
        <v>330</v>
      </c>
      <c r="U21" s="10" t="s">
        <v>11</v>
      </c>
      <c r="V21" s="11">
        <v>46358</v>
      </c>
      <c r="W21" s="11"/>
      <c r="X21" s="10" t="s">
        <v>112</v>
      </c>
      <c r="Y21" s="11">
        <v>46477</v>
      </c>
      <c r="Z21" s="10" t="s">
        <v>269</v>
      </c>
      <c r="AA21" s="14">
        <f t="shared" si="1"/>
        <v>6</v>
      </c>
      <c r="AB21" s="12" t="str">
        <f t="shared" si="2"/>
        <v>OK</v>
      </c>
      <c r="AC21" s="10"/>
    </row>
    <row r="22" spans="1:29" ht="75" customHeight="1" x14ac:dyDescent="0.3">
      <c r="A22" s="10"/>
      <c r="B22" s="11"/>
      <c r="C22" s="12" t="str">
        <f t="shared" si="0"/>
        <v/>
      </c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3" t="str">
        <f>IF(A22="","",IFERROR(COUNTIFS(tbl_checklist_alt[ID_Alteracao],A22,tbl_checklist_alt[Resposta],"Sim")/COUNTIFS(tbl_checklist_alt[ID_Alteracao],A22,tbl_checklist_alt[Resposta],"&lt;&gt;N.A."),""))</f>
        <v/>
      </c>
      <c r="O22" s="10"/>
      <c r="P22" s="10"/>
      <c r="Q22" s="11"/>
      <c r="R22" s="10"/>
      <c r="S22" s="10"/>
      <c r="T22" s="10"/>
      <c r="U22" s="10"/>
      <c r="V22" s="11"/>
      <c r="W22" s="11"/>
      <c r="X22" s="10"/>
      <c r="Y22" s="11"/>
      <c r="Z22" s="10"/>
      <c r="AA22" s="14" t="str">
        <f t="shared" si="1"/>
        <v/>
      </c>
      <c r="AB22" s="12" t="str">
        <f t="shared" si="2"/>
        <v/>
      </c>
      <c r="AC22" s="10"/>
    </row>
    <row r="23" spans="1:29" ht="75" customHeight="1" x14ac:dyDescent="0.3">
      <c r="A23" s="10"/>
      <c r="B23" s="11"/>
      <c r="C23" s="12" t="str">
        <f t="shared" si="0"/>
        <v/>
      </c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3" t="str">
        <f>IF(A23="","",IFERROR(COUNTIFS(tbl_checklist_alt[ID_Alteracao],A23,tbl_checklist_alt[Resposta],"Sim")/COUNTIFS(tbl_checklist_alt[ID_Alteracao],A23,tbl_checklist_alt[Resposta],"&lt;&gt;N.A."),""))</f>
        <v/>
      </c>
      <c r="O23" s="10"/>
      <c r="P23" s="10"/>
      <c r="Q23" s="11"/>
      <c r="R23" s="10"/>
      <c r="S23" s="10"/>
      <c r="T23" s="10"/>
      <c r="U23" s="10"/>
      <c r="V23" s="11"/>
      <c r="W23" s="11"/>
      <c r="X23" s="10"/>
      <c r="Y23" s="11"/>
      <c r="Z23" s="10"/>
      <c r="AA23" s="14" t="str">
        <f t="shared" si="1"/>
        <v/>
      </c>
      <c r="AB23" s="12" t="str">
        <f t="shared" si="2"/>
        <v/>
      </c>
      <c r="AC23" s="10"/>
    </row>
    <row r="24" spans="1:29" ht="75" customHeight="1" x14ac:dyDescent="0.3">
      <c r="A24" s="10"/>
      <c r="B24" s="11"/>
      <c r="C24" s="12" t="str">
        <f t="shared" si="0"/>
        <v/>
      </c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3" t="str">
        <f>IF(A24="","",IFERROR(COUNTIFS(tbl_checklist_alt[ID_Alteracao],A24,tbl_checklist_alt[Resposta],"Sim")/COUNTIFS(tbl_checklist_alt[ID_Alteracao],A24,tbl_checklist_alt[Resposta],"&lt;&gt;N.A."),""))</f>
        <v/>
      </c>
      <c r="O24" s="10"/>
      <c r="P24" s="10"/>
      <c r="Q24" s="11"/>
      <c r="R24" s="10"/>
      <c r="S24" s="10"/>
      <c r="T24" s="10"/>
      <c r="U24" s="10"/>
      <c r="V24" s="11"/>
      <c r="W24" s="11"/>
      <c r="X24" s="10"/>
      <c r="Y24" s="11"/>
      <c r="Z24" s="10"/>
      <c r="AA24" s="14" t="str">
        <f t="shared" si="1"/>
        <v/>
      </c>
      <c r="AB24" s="12" t="str">
        <f t="shared" si="2"/>
        <v/>
      </c>
      <c r="AC24" s="10"/>
    </row>
    <row r="25" spans="1:29" ht="75" customHeight="1" x14ac:dyDescent="0.3">
      <c r="A25" s="10"/>
      <c r="B25" s="11"/>
      <c r="C25" s="12" t="str">
        <f t="shared" si="0"/>
        <v/>
      </c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3" t="str">
        <f>IF(A25="","",IFERROR(COUNTIFS(tbl_checklist_alt[ID_Alteracao],A25,tbl_checklist_alt[Resposta],"Sim")/COUNTIFS(tbl_checklist_alt[ID_Alteracao],A25,tbl_checklist_alt[Resposta],"&lt;&gt;N.A."),""))</f>
        <v/>
      </c>
      <c r="O25" s="10"/>
      <c r="P25" s="10"/>
      <c r="Q25" s="11"/>
      <c r="R25" s="10"/>
      <c r="S25" s="10"/>
      <c r="T25" s="10"/>
      <c r="U25" s="10"/>
      <c r="V25" s="11"/>
      <c r="W25" s="11"/>
      <c r="X25" s="10"/>
      <c r="Y25" s="11"/>
      <c r="Z25" s="10"/>
      <c r="AA25" s="14" t="str">
        <f t="shared" si="1"/>
        <v/>
      </c>
      <c r="AB25" s="12" t="str">
        <f t="shared" si="2"/>
        <v/>
      </c>
      <c r="AC25" s="10"/>
    </row>
    <row r="26" spans="1:29" ht="75" customHeight="1" x14ac:dyDescent="0.3">
      <c r="A26" s="10"/>
      <c r="B26" s="11"/>
      <c r="C26" s="12" t="str">
        <f t="shared" si="0"/>
        <v/>
      </c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3" t="str">
        <f>IF(A26="","",IFERROR(COUNTIFS(tbl_checklist_alt[ID_Alteracao],A26,tbl_checklist_alt[Resposta],"Sim")/COUNTIFS(tbl_checklist_alt[ID_Alteracao],A26,tbl_checklist_alt[Resposta],"&lt;&gt;N.A."),""))</f>
        <v/>
      </c>
      <c r="O26" s="10"/>
      <c r="P26" s="10"/>
      <c r="Q26" s="11"/>
      <c r="R26" s="10"/>
      <c r="S26" s="10"/>
      <c r="T26" s="10"/>
      <c r="U26" s="10"/>
      <c r="V26" s="11"/>
      <c r="W26" s="11"/>
      <c r="X26" s="10"/>
      <c r="Y26" s="11"/>
      <c r="Z26" s="10"/>
      <c r="AA26" s="14" t="str">
        <f t="shared" si="1"/>
        <v/>
      </c>
      <c r="AB26" s="12" t="str">
        <f t="shared" si="2"/>
        <v/>
      </c>
      <c r="AC26" s="10"/>
    </row>
  </sheetData>
  <conditionalFormatting sqref="F5:F226">
    <cfRule type="expression" dxfId="14" priority="9">
      <formula>ISNUMBER(SEARCH("Não prevista",F5))</formula>
    </cfRule>
  </conditionalFormatting>
  <conditionalFormatting sqref="N5:N226">
    <cfRule type="expression" dxfId="13" priority="13">
      <formula>AND(N5&lt;&gt;"",N5&lt;1)</formula>
    </cfRule>
  </conditionalFormatting>
  <conditionalFormatting sqref="X5:X226">
    <cfRule type="expression" dxfId="12" priority="6">
      <formula>ISNUMBER(SEARCH("Não eficaz",X5))</formula>
    </cfRule>
    <cfRule type="expression" dxfId="11" priority="7">
      <formula>ISNUMBER(SEARCH("Parcial",X5))</formula>
    </cfRule>
    <cfRule type="expression" dxfId="10" priority="8">
      <formula>ISNUMBER(SEARCH("Eficaz",X5))</formula>
    </cfRule>
  </conditionalFormatting>
  <conditionalFormatting sqref="Z5:Z226">
    <cfRule type="expression" dxfId="9" priority="1">
      <formula>ISNUMBER(SEARCH("Em análise",Z5))</formula>
    </cfRule>
    <cfRule type="expression" dxfId="8" priority="2">
      <formula>ISNUMBER(SEARCH("Aprovada",Z5))</formula>
    </cfRule>
    <cfRule type="expression" dxfId="7" priority="3">
      <formula>ISNUMBER(SEARCH("Em implementação",Z5))</formula>
    </cfRule>
    <cfRule type="expression" dxfId="6" priority="4">
      <formula>ISNUMBER(SEARCH("Implementada",Z5))</formula>
    </cfRule>
    <cfRule type="expression" dxfId="5" priority="5">
      <formula>ISNUMBER(SEARCH("Fechada",Z5))</formula>
    </cfRule>
  </conditionalFormatting>
  <conditionalFormatting sqref="AB5:AB226">
    <cfRule type="expression" dxfId="4" priority="10">
      <formula>ISNUMBER(SEARCH("FALTA",AB5))</formula>
    </cfRule>
    <cfRule type="expression" dxfId="3" priority="11">
      <formula>ISNUMBER(SEARCH("ANTES",AB5))</formula>
    </cfRule>
    <cfRule type="expression" dxfId="2" priority="12">
      <formula>ISNUMBER(SEARCH("OK",AB5))</formula>
    </cfRule>
  </conditionalFormatting>
  <dataValidations count="6">
    <dataValidation type="list" allowBlank="1" showErrorMessage="1" errorTitle="Valor inválido" error="Valor fora da lista controlada (ver folha Listas)." sqref="D5:D226" xr:uid="{00000000-0002-0000-0100-000000000000}">
      <formula1>lst_TipoAlt</formula1>
    </dataValidation>
    <dataValidation type="list" allowBlank="1" showErrorMessage="1" errorTitle="Valor inválido" error="Valor fora da lista controlada (ver folha Listas)." sqref="F5:F226" xr:uid="{00000000-0002-0000-0100-000001000000}">
      <formula1>lst_Natureza</formula1>
    </dataValidation>
    <dataValidation type="list" allowBlank="1" showErrorMessage="1" errorTitle="Valor inválido" error="Valor fora da lista controlada (ver folha Listas)." sqref="P5:P226" xr:uid="{00000000-0002-0000-0100-000002000000}">
      <formula1>lst_SimNao</formula1>
    </dataValidation>
    <dataValidation type="list" allowBlank="1" showErrorMessage="1" errorTitle="Valor inválido" error="Valor fora da lista controlada (ver folha Listas)." sqref="U5:U226" xr:uid="{00000000-0002-0000-0100-000003000000}">
      <formula1>lst_Funcao</formula1>
    </dataValidation>
    <dataValidation type="list" allowBlank="1" showErrorMessage="1" errorTitle="Valor inválido" error="Valor fora da lista controlada (ver folha Listas)." sqref="X5:X226" xr:uid="{00000000-0002-0000-0100-000004000000}">
      <formula1>lst_Resultado</formula1>
    </dataValidation>
    <dataValidation type="list" allowBlank="1" showErrorMessage="1" errorTitle="Valor inválido" error="Valor fora da lista controlada (ver folha Listas)." sqref="Z5:Z226" xr:uid="{00000000-0002-0000-0100-000005000000}">
      <formula1>lst_EstadoAlt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2"/>
  <sheetViews>
    <sheetView zoomScale="9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11" customWidth="1"/>
    <col min="2" max="2" width="5" customWidth="1"/>
    <col min="3" max="3" width="14" customWidth="1"/>
    <col min="4" max="4" width="60" customWidth="1"/>
    <col min="5" max="5" width="8" customWidth="1"/>
    <col min="6" max="6" width="30" customWidth="1"/>
  </cols>
  <sheetData>
    <row r="1" spans="1:6" ht="26.4" x14ac:dyDescent="0.3">
      <c r="A1" s="8" t="s">
        <v>67</v>
      </c>
      <c r="B1" s="8" t="s">
        <v>331</v>
      </c>
      <c r="C1" s="9" t="s">
        <v>332</v>
      </c>
      <c r="D1" s="8" t="s">
        <v>333</v>
      </c>
      <c r="E1" s="8" t="s">
        <v>334</v>
      </c>
      <c r="F1" s="8" t="s">
        <v>335</v>
      </c>
    </row>
    <row r="2" spans="1:6" ht="16.05" customHeight="1" x14ac:dyDescent="0.3">
      <c r="A2" s="10" t="s">
        <v>95</v>
      </c>
      <c r="B2" s="10" t="s">
        <v>336</v>
      </c>
      <c r="C2" s="12" t="str">
        <f t="shared" ref="C2:C65" si="0">A2&amp;"|"&amp;B2</f>
        <v>MOC-Q-26-01|a</v>
      </c>
      <c r="D2" s="10" t="s">
        <v>337</v>
      </c>
      <c r="E2" s="10" t="s">
        <v>126</v>
      </c>
      <c r="F2" s="10"/>
    </row>
    <row r="3" spans="1:6" ht="16.05" customHeight="1" x14ac:dyDescent="0.3">
      <c r="A3" s="10" t="s">
        <v>95</v>
      </c>
      <c r="B3" s="10" t="s">
        <v>338</v>
      </c>
      <c r="C3" s="12" t="str">
        <f t="shared" si="0"/>
        <v>MOC-Q-26-01|b</v>
      </c>
      <c r="D3" s="10" t="s">
        <v>339</v>
      </c>
      <c r="E3" s="10" t="s">
        <v>126</v>
      </c>
      <c r="F3" s="10"/>
    </row>
    <row r="4" spans="1:6" ht="16.05" customHeight="1" x14ac:dyDescent="0.3">
      <c r="A4" s="10" t="s">
        <v>95</v>
      </c>
      <c r="B4" s="10" t="s">
        <v>340</v>
      </c>
      <c r="C4" s="12" t="str">
        <f t="shared" si="0"/>
        <v>MOC-Q-26-01|c</v>
      </c>
      <c r="D4" s="10" t="s">
        <v>341</v>
      </c>
      <c r="E4" s="10" t="s">
        <v>126</v>
      </c>
      <c r="F4" s="10"/>
    </row>
    <row r="5" spans="1:6" ht="16.05" customHeight="1" x14ac:dyDescent="0.3">
      <c r="A5" s="10" t="s">
        <v>95</v>
      </c>
      <c r="B5" s="10" t="s">
        <v>342</v>
      </c>
      <c r="C5" s="12" t="str">
        <f t="shared" si="0"/>
        <v>MOC-Q-26-01|d</v>
      </c>
      <c r="D5" s="10" t="s">
        <v>343</v>
      </c>
      <c r="E5" s="10" t="s">
        <v>126</v>
      </c>
      <c r="F5" s="10"/>
    </row>
    <row r="6" spans="1:6" ht="16.05" customHeight="1" x14ac:dyDescent="0.3">
      <c r="A6" s="10" t="s">
        <v>95</v>
      </c>
      <c r="B6" s="10" t="s">
        <v>344</v>
      </c>
      <c r="C6" s="12" t="str">
        <f t="shared" si="0"/>
        <v>MOC-Q-26-01|e</v>
      </c>
      <c r="D6" s="10" t="s">
        <v>345</v>
      </c>
      <c r="E6" s="10" t="s">
        <v>126</v>
      </c>
      <c r="F6" s="10"/>
    </row>
    <row r="7" spans="1:6" ht="16.05" customHeight="1" x14ac:dyDescent="0.3">
      <c r="A7" s="10" t="s">
        <v>95</v>
      </c>
      <c r="B7" s="10" t="s">
        <v>346</v>
      </c>
      <c r="C7" s="12" t="str">
        <f t="shared" si="0"/>
        <v>MOC-Q-26-01|f</v>
      </c>
      <c r="D7" s="10" t="s">
        <v>347</v>
      </c>
      <c r="E7" s="10" t="s">
        <v>126</v>
      </c>
      <c r="F7" s="10"/>
    </row>
    <row r="8" spans="1:6" ht="16.05" customHeight="1" x14ac:dyDescent="0.3">
      <c r="A8" s="10" t="s">
        <v>95</v>
      </c>
      <c r="B8" s="10" t="s">
        <v>348</v>
      </c>
      <c r="C8" s="12" t="str">
        <f t="shared" si="0"/>
        <v>MOC-Q-26-01|g</v>
      </c>
      <c r="D8" s="10" t="s">
        <v>349</v>
      </c>
      <c r="E8" s="10" t="s">
        <v>126</v>
      </c>
      <c r="F8" s="10"/>
    </row>
    <row r="9" spans="1:6" ht="16.05" customHeight="1" x14ac:dyDescent="0.3">
      <c r="A9" s="10" t="s">
        <v>95</v>
      </c>
      <c r="B9" s="10" t="s">
        <v>350</v>
      </c>
      <c r="C9" s="12" t="str">
        <f t="shared" si="0"/>
        <v>MOC-Q-26-01|h</v>
      </c>
      <c r="D9" s="10" t="s">
        <v>351</v>
      </c>
      <c r="E9" s="10" t="s">
        <v>352</v>
      </c>
      <c r="F9" s="10"/>
    </row>
    <row r="10" spans="1:6" ht="16.05" customHeight="1" x14ac:dyDescent="0.3">
      <c r="A10" s="10" t="s">
        <v>95</v>
      </c>
      <c r="B10" s="10" t="s">
        <v>353</v>
      </c>
      <c r="C10" s="12" t="str">
        <f t="shared" si="0"/>
        <v>MOC-Q-26-01|i</v>
      </c>
      <c r="D10" s="10" t="s">
        <v>354</v>
      </c>
      <c r="E10" s="10" t="s">
        <v>126</v>
      </c>
      <c r="F10" s="10"/>
    </row>
    <row r="11" spans="1:6" ht="16.05" customHeight="1" x14ac:dyDescent="0.3">
      <c r="A11" s="10" t="s">
        <v>95</v>
      </c>
      <c r="B11" s="10" t="s">
        <v>355</v>
      </c>
      <c r="C11" s="12" t="str">
        <f t="shared" si="0"/>
        <v>MOC-Q-26-01|j</v>
      </c>
      <c r="D11" s="10" t="s">
        <v>356</v>
      </c>
      <c r="E11" s="10" t="s">
        <v>352</v>
      </c>
      <c r="F11" s="10"/>
    </row>
    <row r="12" spans="1:6" ht="16.05" customHeight="1" x14ac:dyDescent="0.3">
      <c r="A12" s="10" t="s">
        <v>95</v>
      </c>
      <c r="B12" s="10" t="s">
        <v>357</v>
      </c>
      <c r="C12" s="12" t="str">
        <f t="shared" si="0"/>
        <v>MOC-Q-26-01|k</v>
      </c>
      <c r="D12" s="10" t="s">
        <v>358</v>
      </c>
      <c r="E12" s="10" t="s">
        <v>352</v>
      </c>
      <c r="F12" s="10"/>
    </row>
    <row r="13" spans="1:6" ht="16.05" customHeight="1" x14ac:dyDescent="0.3">
      <c r="A13" s="10" t="s">
        <v>95</v>
      </c>
      <c r="B13" s="10" t="s">
        <v>359</v>
      </c>
      <c r="C13" s="12" t="str">
        <f t="shared" si="0"/>
        <v>MOC-Q-26-01|l</v>
      </c>
      <c r="D13" s="10" t="s">
        <v>360</v>
      </c>
      <c r="E13" s="10" t="s">
        <v>126</v>
      </c>
      <c r="F13" s="10"/>
    </row>
    <row r="14" spans="1:6" ht="16.05" customHeight="1" x14ac:dyDescent="0.3">
      <c r="A14" s="10" t="s">
        <v>95</v>
      </c>
      <c r="B14" s="10" t="s">
        <v>361</v>
      </c>
      <c r="C14" s="12" t="str">
        <f t="shared" si="0"/>
        <v>MOC-Q-26-01|m</v>
      </c>
      <c r="D14" s="10" t="s">
        <v>362</v>
      </c>
      <c r="E14" s="10" t="s">
        <v>352</v>
      </c>
      <c r="F14" s="10"/>
    </row>
    <row r="15" spans="1:6" ht="16.05" customHeight="1" x14ac:dyDescent="0.3">
      <c r="A15" s="10" t="s">
        <v>115</v>
      </c>
      <c r="B15" s="10" t="s">
        <v>336</v>
      </c>
      <c r="C15" s="12" t="str">
        <f t="shared" si="0"/>
        <v>MOC-Q-26-02|a</v>
      </c>
      <c r="D15" s="10" t="s">
        <v>337</v>
      </c>
      <c r="E15" s="10" t="s">
        <v>126</v>
      </c>
      <c r="F15" s="10"/>
    </row>
    <row r="16" spans="1:6" ht="16.05" customHeight="1" x14ac:dyDescent="0.3">
      <c r="A16" s="10" t="s">
        <v>115</v>
      </c>
      <c r="B16" s="10" t="s">
        <v>338</v>
      </c>
      <c r="C16" s="12" t="str">
        <f t="shared" si="0"/>
        <v>MOC-Q-26-02|b</v>
      </c>
      <c r="D16" s="10" t="s">
        <v>339</v>
      </c>
      <c r="E16" s="10" t="s">
        <v>126</v>
      </c>
      <c r="F16" s="10"/>
    </row>
    <row r="17" spans="1:6" ht="16.05" customHeight="1" x14ac:dyDescent="0.3">
      <c r="A17" s="10" t="s">
        <v>115</v>
      </c>
      <c r="B17" s="10" t="s">
        <v>340</v>
      </c>
      <c r="C17" s="12" t="str">
        <f t="shared" si="0"/>
        <v>MOC-Q-26-02|c</v>
      </c>
      <c r="D17" s="10" t="s">
        <v>341</v>
      </c>
      <c r="E17" s="10" t="s">
        <v>126</v>
      </c>
      <c r="F17" s="10"/>
    </row>
    <row r="18" spans="1:6" ht="16.05" customHeight="1" x14ac:dyDescent="0.3">
      <c r="A18" s="10" t="s">
        <v>115</v>
      </c>
      <c r="B18" s="10" t="s">
        <v>342</v>
      </c>
      <c r="C18" s="12" t="str">
        <f t="shared" si="0"/>
        <v>MOC-Q-26-02|d</v>
      </c>
      <c r="D18" s="10" t="s">
        <v>343</v>
      </c>
      <c r="E18" s="10" t="s">
        <v>126</v>
      </c>
      <c r="F18" s="10"/>
    </row>
    <row r="19" spans="1:6" ht="16.05" customHeight="1" x14ac:dyDescent="0.3">
      <c r="A19" s="10" t="s">
        <v>115</v>
      </c>
      <c r="B19" s="10" t="s">
        <v>344</v>
      </c>
      <c r="C19" s="12" t="str">
        <f t="shared" si="0"/>
        <v>MOC-Q-26-02|e</v>
      </c>
      <c r="D19" s="10" t="s">
        <v>345</v>
      </c>
      <c r="E19" s="10" t="s">
        <v>126</v>
      </c>
      <c r="F19" s="10"/>
    </row>
    <row r="20" spans="1:6" ht="16.05" customHeight="1" x14ac:dyDescent="0.3">
      <c r="A20" s="10" t="s">
        <v>115</v>
      </c>
      <c r="B20" s="10" t="s">
        <v>346</v>
      </c>
      <c r="C20" s="12" t="str">
        <f t="shared" si="0"/>
        <v>MOC-Q-26-02|f</v>
      </c>
      <c r="D20" s="10" t="s">
        <v>347</v>
      </c>
      <c r="E20" s="10" t="s">
        <v>126</v>
      </c>
      <c r="F20" s="10"/>
    </row>
    <row r="21" spans="1:6" ht="16.05" customHeight="1" x14ac:dyDescent="0.3">
      <c r="A21" s="10" t="s">
        <v>115</v>
      </c>
      <c r="B21" s="10" t="s">
        <v>348</v>
      </c>
      <c r="C21" s="12" t="str">
        <f t="shared" si="0"/>
        <v>MOC-Q-26-02|g</v>
      </c>
      <c r="D21" s="10" t="s">
        <v>349</v>
      </c>
      <c r="E21" s="10" t="s">
        <v>126</v>
      </c>
      <c r="F21" s="10"/>
    </row>
    <row r="22" spans="1:6" ht="16.05" customHeight="1" x14ac:dyDescent="0.3">
      <c r="A22" s="10" t="s">
        <v>115</v>
      </c>
      <c r="B22" s="10" t="s">
        <v>350</v>
      </c>
      <c r="C22" s="12" t="str">
        <f t="shared" si="0"/>
        <v>MOC-Q-26-02|h</v>
      </c>
      <c r="D22" s="10" t="s">
        <v>351</v>
      </c>
      <c r="E22" s="10" t="s">
        <v>126</v>
      </c>
      <c r="F22" s="10"/>
    </row>
    <row r="23" spans="1:6" ht="16.05" customHeight="1" x14ac:dyDescent="0.3">
      <c r="A23" s="10" t="s">
        <v>115</v>
      </c>
      <c r="B23" s="10" t="s">
        <v>353</v>
      </c>
      <c r="C23" s="12" t="str">
        <f t="shared" si="0"/>
        <v>MOC-Q-26-02|i</v>
      </c>
      <c r="D23" s="10" t="s">
        <v>354</v>
      </c>
      <c r="E23" s="10" t="s">
        <v>126</v>
      </c>
      <c r="F23" s="10"/>
    </row>
    <row r="24" spans="1:6" ht="16.05" customHeight="1" x14ac:dyDescent="0.3">
      <c r="A24" s="10" t="s">
        <v>115</v>
      </c>
      <c r="B24" s="10" t="s">
        <v>355</v>
      </c>
      <c r="C24" s="12" t="str">
        <f t="shared" si="0"/>
        <v>MOC-Q-26-02|j</v>
      </c>
      <c r="D24" s="10" t="s">
        <v>356</v>
      </c>
      <c r="E24" s="10" t="s">
        <v>126</v>
      </c>
      <c r="F24" s="10"/>
    </row>
    <row r="25" spans="1:6" ht="16.05" customHeight="1" x14ac:dyDescent="0.3">
      <c r="A25" s="10" t="s">
        <v>115</v>
      </c>
      <c r="B25" s="10" t="s">
        <v>357</v>
      </c>
      <c r="C25" s="12" t="str">
        <f t="shared" si="0"/>
        <v>MOC-Q-26-02|k</v>
      </c>
      <c r="D25" s="10" t="s">
        <v>358</v>
      </c>
      <c r="E25" s="10" t="s">
        <v>352</v>
      </c>
      <c r="F25" s="10"/>
    </row>
    <row r="26" spans="1:6" ht="16.05" customHeight="1" x14ac:dyDescent="0.3">
      <c r="A26" s="10" t="s">
        <v>115</v>
      </c>
      <c r="B26" s="10" t="s">
        <v>359</v>
      </c>
      <c r="C26" s="12" t="str">
        <f t="shared" si="0"/>
        <v>MOC-Q-26-02|l</v>
      </c>
      <c r="D26" s="10" t="s">
        <v>360</v>
      </c>
      <c r="E26" s="10" t="s">
        <v>126</v>
      </c>
      <c r="F26" s="10"/>
    </row>
    <row r="27" spans="1:6" ht="16.05" customHeight="1" x14ac:dyDescent="0.3">
      <c r="A27" s="10" t="s">
        <v>115</v>
      </c>
      <c r="B27" s="10" t="s">
        <v>361</v>
      </c>
      <c r="C27" s="12" t="str">
        <f t="shared" si="0"/>
        <v>MOC-Q-26-02|m</v>
      </c>
      <c r="D27" s="10" t="s">
        <v>362</v>
      </c>
      <c r="E27" s="10" t="s">
        <v>126</v>
      </c>
      <c r="F27" s="10"/>
    </row>
    <row r="28" spans="1:6" ht="16.05" customHeight="1" x14ac:dyDescent="0.3">
      <c r="A28" s="10" t="s">
        <v>134</v>
      </c>
      <c r="B28" s="10" t="s">
        <v>336</v>
      </c>
      <c r="C28" s="12" t="str">
        <f t="shared" si="0"/>
        <v>MOC-Q-26-03|a</v>
      </c>
      <c r="D28" s="10" t="s">
        <v>337</v>
      </c>
      <c r="E28" s="10" t="s">
        <v>126</v>
      </c>
      <c r="F28" s="10"/>
    </row>
    <row r="29" spans="1:6" ht="16.05" customHeight="1" x14ac:dyDescent="0.3">
      <c r="A29" s="10" t="s">
        <v>134</v>
      </c>
      <c r="B29" s="10" t="s">
        <v>338</v>
      </c>
      <c r="C29" s="12" t="str">
        <f t="shared" si="0"/>
        <v>MOC-Q-26-03|b</v>
      </c>
      <c r="D29" s="10" t="s">
        <v>339</v>
      </c>
      <c r="E29" s="10" t="s">
        <v>126</v>
      </c>
      <c r="F29" s="10"/>
    </row>
    <row r="30" spans="1:6" ht="16.05" customHeight="1" x14ac:dyDescent="0.3">
      <c r="A30" s="10" t="s">
        <v>134</v>
      </c>
      <c r="B30" s="10" t="s">
        <v>340</v>
      </c>
      <c r="C30" s="12" t="str">
        <f t="shared" si="0"/>
        <v>MOC-Q-26-03|c</v>
      </c>
      <c r="D30" s="10" t="s">
        <v>341</v>
      </c>
      <c r="E30" s="10" t="s">
        <v>126</v>
      </c>
      <c r="F30" s="10"/>
    </row>
    <row r="31" spans="1:6" ht="16.05" customHeight="1" x14ac:dyDescent="0.3">
      <c r="A31" s="10" t="s">
        <v>134</v>
      </c>
      <c r="B31" s="10" t="s">
        <v>342</v>
      </c>
      <c r="C31" s="12" t="str">
        <f t="shared" si="0"/>
        <v>MOC-Q-26-03|d</v>
      </c>
      <c r="D31" s="10" t="s">
        <v>343</v>
      </c>
      <c r="E31" s="10" t="s">
        <v>126</v>
      </c>
      <c r="F31" s="10"/>
    </row>
    <row r="32" spans="1:6" ht="16.05" customHeight="1" x14ac:dyDescent="0.3">
      <c r="A32" s="10" t="s">
        <v>134</v>
      </c>
      <c r="B32" s="10" t="s">
        <v>344</v>
      </c>
      <c r="C32" s="12" t="str">
        <f t="shared" si="0"/>
        <v>MOC-Q-26-03|e</v>
      </c>
      <c r="D32" s="10" t="s">
        <v>345</v>
      </c>
      <c r="E32" s="10" t="s">
        <v>126</v>
      </c>
      <c r="F32" s="10"/>
    </row>
    <row r="33" spans="1:6" ht="16.05" customHeight="1" x14ac:dyDescent="0.3">
      <c r="A33" s="10" t="s">
        <v>134</v>
      </c>
      <c r="B33" s="10" t="s">
        <v>346</v>
      </c>
      <c r="C33" s="12" t="str">
        <f t="shared" si="0"/>
        <v>MOC-Q-26-03|f</v>
      </c>
      <c r="D33" s="10" t="s">
        <v>347</v>
      </c>
      <c r="E33" s="10" t="s">
        <v>126</v>
      </c>
      <c r="F33" s="10"/>
    </row>
    <row r="34" spans="1:6" ht="16.05" customHeight="1" x14ac:dyDescent="0.3">
      <c r="A34" s="10" t="s">
        <v>134</v>
      </c>
      <c r="B34" s="10" t="s">
        <v>348</v>
      </c>
      <c r="C34" s="12" t="str">
        <f t="shared" si="0"/>
        <v>MOC-Q-26-03|g</v>
      </c>
      <c r="D34" s="10" t="s">
        <v>349</v>
      </c>
      <c r="E34" s="10" t="s">
        <v>126</v>
      </c>
      <c r="F34" s="10"/>
    </row>
    <row r="35" spans="1:6" ht="16.05" customHeight="1" x14ac:dyDescent="0.3">
      <c r="A35" s="10" t="s">
        <v>134</v>
      </c>
      <c r="B35" s="10" t="s">
        <v>350</v>
      </c>
      <c r="C35" s="12" t="str">
        <f t="shared" si="0"/>
        <v>MOC-Q-26-03|h</v>
      </c>
      <c r="D35" s="10" t="s">
        <v>351</v>
      </c>
      <c r="E35" s="10" t="s">
        <v>126</v>
      </c>
      <c r="F35" s="10"/>
    </row>
    <row r="36" spans="1:6" ht="16.05" customHeight="1" x14ac:dyDescent="0.3">
      <c r="A36" s="10" t="s">
        <v>134</v>
      </c>
      <c r="B36" s="10" t="s">
        <v>353</v>
      </c>
      <c r="C36" s="12" t="str">
        <f t="shared" si="0"/>
        <v>MOC-Q-26-03|i</v>
      </c>
      <c r="D36" s="10" t="s">
        <v>354</v>
      </c>
      <c r="E36" s="10" t="s">
        <v>126</v>
      </c>
      <c r="F36" s="10"/>
    </row>
    <row r="37" spans="1:6" ht="16.05" customHeight="1" x14ac:dyDescent="0.3">
      <c r="A37" s="10" t="s">
        <v>134</v>
      </c>
      <c r="B37" s="10" t="s">
        <v>355</v>
      </c>
      <c r="C37" s="12" t="str">
        <f t="shared" si="0"/>
        <v>MOC-Q-26-03|j</v>
      </c>
      <c r="D37" s="10" t="s">
        <v>356</v>
      </c>
      <c r="E37" s="10" t="s">
        <v>126</v>
      </c>
      <c r="F37" s="10"/>
    </row>
    <row r="38" spans="1:6" ht="16.05" customHeight="1" x14ac:dyDescent="0.3">
      <c r="A38" s="10" t="s">
        <v>134</v>
      </c>
      <c r="B38" s="10" t="s">
        <v>357</v>
      </c>
      <c r="C38" s="12" t="str">
        <f t="shared" si="0"/>
        <v>MOC-Q-26-03|k</v>
      </c>
      <c r="D38" s="10" t="s">
        <v>358</v>
      </c>
      <c r="E38" s="10" t="s">
        <v>352</v>
      </c>
      <c r="F38" s="10"/>
    </row>
    <row r="39" spans="1:6" ht="16.05" customHeight="1" x14ac:dyDescent="0.3">
      <c r="A39" s="10" t="s">
        <v>134</v>
      </c>
      <c r="B39" s="10" t="s">
        <v>359</v>
      </c>
      <c r="C39" s="12" t="str">
        <f t="shared" si="0"/>
        <v>MOC-Q-26-03|l</v>
      </c>
      <c r="D39" s="10" t="s">
        <v>360</v>
      </c>
      <c r="E39" s="10" t="s">
        <v>352</v>
      </c>
      <c r="F39" s="10"/>
    </row>
    <row r="40" spans="1:6" ht="16.05" customHeight="1" x14ac:dyDescent="0.3">
      <c r="A40" s="10" t="s">
        <v>134</v>
      </c>
      <c r="B40" s="10" t="s">
        <v>361</v>
      </c>
      <c r="C40" s="12" t="str">
        <f t="shared" si="0"/>
        <v>MOC-Q-26-03|m</v>
      </c>
      <c r="D40" s="10" t="s">
        <v>362</v>
      </c>
      <c r="E40" s="10" t="s">
        <v>126</v>
      </c>
      <c r="F40" s="10"/>
    </row>
    <row r="41" spans="1:6" ht="16.05" customHeight="1" x14ac:dyDescent="0.3">
      <c r="A41" s="10" t="s">
        <v>145</v>
      </c>
      <c r="B41" s="10" t="s">
        <v>336</v>
      </c>
      <c r="C41" s="12" t="str">
        <f t="shared" si="0"/>
        <v>MOC-Q-26-04|a</v>
      </c>
      <c r="D41" s="10" t="s">
        <v>337</v>
      </c>
      <c r="E41" s="10" t="s">
        <v>126</v>
      </c>
      <c r="F41" s="10"/>
    </row>
    <row r="42" spans="1:6" ht="16.05" customHeight="1" x14ac:dyDescent="0.3">
      <c r="A42" s="10" t="s">
        <v>145</v>
      </c>
      <c r="B42" s="10" t="s">
        <v>338</v>
      </c>
      <c r="C42" s="12" t="str">
        <f t="shared" si="0"/>
        <v>MOC-Q-26-04|b</v>
      </c>
      <c r="D42" s="10" t="s">
        <v>339</v>
      </c>
      <c r="E42" s="10" t="s">
        <v>126</v>
      </c>
      <c r="F42" s="10"/>
    </row>
    <row r="43" spans="1:6" ht="16.05" customHeight="1" x14ac:dyDescent="0.3">
      <c r="A43" s="10" t="s">
        <v>145</v>
      </c>
      <c r="B43" s="10" t="s">
        <v>340</v>
      </c>
      <c r="C43" s="12" t="str">
        <f t="shared" si="0"/>
        <v>MOC-Q-26-04|c</v>
      </c>
      <c r="D43" s="10" t="s">
        <v>341</v>
      </c>
      <c r="E43" s="10" t="s">
        <v>126</v>
      </c>
      <c r="F43" s="10"/>
    </row>
    <row r="44" spans="1:6" ht="16.05" customHeight="1" x14ac:dyDescent="0.3">
      <c r="A44" s="10" t="s">
        <v>145</v>
      </c>
      <c r="B44" s="10" t="s">
        <v>342</v>
      </c>
      <c r="C44" s="12" t="str">
        <f t="shared" si="0"/>
        <v>MOC-Q-26-04|d</v>
      </c>
      <c r="D44" s="10" t="s">
        <v>343</v>
      </c>
      <c r="E44" s="10" t="s">
        <v>126</v>
      </c>
      <c r="F44" s="10"/>
    </row>
    <row r="45" spans="1:6" ht="16.05" customHeight="1" x14ac:dyDescent="0.3">
      <c r="A45" s="10" t="s">
        <v>145</v>
      </c>
      <c r="B45" s="10" t="s">
        <v>344</v>
      </c>
      <c r="C45" s="12" t="str">
        <f t="shared" si="0"/>
        <v>MOC-Q-26-04|e</v>
      </c>
      <c r="D45" s="10" t="s">
        <v>345</v>
      </c>
      <c r="E45" s="10" t="s">
        <v>126</v>
      </c>
      <c r="F45" s="10"/>
    </row>
    <row r="46" spans="1:6" ht="16.05" customHeight="1" x14ac:dyDescent="0.3">
      <c r="A46" s="10" t="s">
        <v>145</v>
      </c>
      <c r="B46" s="10" t="s">
        <v>346</v>
      </c>
      <c r="C46" s="12" t="str">
        <f t="shared" si="0"/>
        <v>MOC-Q-26-04|f</v>
      </c>
      <c r="D46" s="10" t="s">
        <v>347</v>
      </c>
      <c r="E46" s="10" t="s">
        <v>126</v>
      </c>
      <c r="F46" s="10"/>
    </row>
    <row r="47" spans="1:6" ht="16.05" customHeight="1" x14ac:dyDescent="0.3">
      <c r="A47" s="10" t="s">
        <v>145</v>
      </c>
      <c r="B47" s="10" t="s">
        <v>348</v>
      </c>
      <c r="C47" s="12" t="str">
        <f t="shared" si="0"/>
        <v>MOC-Q-26-04|g</v>
      </c>
      <c r="D47" s="10" t="s">
        <v>349</v>
      </c>
      <c r="E47" s="10" t="s">
        <v>126</v>
      </c>
      <c r="F47" s="10"/>
    </row>
    <row r="48" spans="1:6" ht="16.05" customHeight="1" x14ac:dyDescent="0.3">
      <c r="A48" s="10" t="s">
        <v>145</v>
      </c>
      <c r="B48" s="10" t="s">
        <v>350</v>
      </c>
      <c r="C48" s="12" t="str">
        <f t="shared" si="0"/>
        <v>MOC-Q-26-04|h</v>
      </c>
      <c r="D48" s="10" t="s">
        <v>351</v>
      </c>
      <c r="E48" s="10" t="s">
        <v>126</v>
      </c>
      <c r="F48" s="10"/>
    </row>
    <row r="49" spans="1:6" ht="16.05" customHeight="1" x14ac:dyDescent="0.3">
      <c r="A49" s="10" t="s">
        <v>145</v>
      </c>
      <c r="B49" s="10" t="s">
        <v>353</v>
      </c>
      <c r="C49" s="12" t="str">
        <f t="shared" si="0"/>
        <v>MOC-Q-26-04|i</v>
      </c>
      <c r="D49" s="10" t="s">
        <v>354</v>
      </c>
      <c r="E49" s="10" t="s">
        <v>126</v>
      </c>
      <c r="F49" s="10"/>
    </row>
    <row r="50" spans="1:6" ht="16.05" customHeight="1" x14ac:dyDescent="0.3">
      <c r="A50" s="10" t="s">
        <v>145</v>
      </c>
      <c r="B50" s="10" t="s">
        <v>355</v>
      </c>
      <c r="C50" s="12" t="str">
        <f t="shared" si="0"/>
        <v>MOC-Q-26-04|j</v>
      </c>
      <c r="D50" s="10" t="s">
        <v>356</v>
      </c>
      <c r="E50" s="10" t="s">
        <v>126</v>
      </c>
      <c r="F50" s="10"/>
    </row>
    <row r="51" spans="1:6" ht="16.05" customHeight="1" x14ac:dyDescent="0.3">
      <c r="A51" s="10" t="s">
        <v>145</v>
      </c>
      <c r="B51" s="10" t="s">
        <v>357</v>
      </c>
      <c r="C51" s="12" t="str">
        <f t="shared" si="0"/>
        <v>MOC-Q-26-04|k</v>
      </c>
      <c r="D51" s="10" t="s">
        <v>358</v>
      </c>
      <c r="E51" s="10" t="s">
        <v>126</v>
      </c>
      <c r="F51" s="10"/>
    </row>
    <row r="52" spans="1:6" ht="16.05" customHeight="1" x14ac:dyDescent="0.3">
      <c r="A52" s="10" t="s">
        <v>145</v>
      </c>
      <c r="B52" s="10" t="s">
        <v>359</v>
      </c>
      <c r="C52" s="12" t="str">
        <f t="shared" si="0"/>
        <v>MOC-Q-26-04|l</v>
      </c>
      <c r="D52" s="10" t="s">
        <v>360</v>
      </c>
      <c r="E52" s="10" t="s">
        <v>126</v>
      </c>
      <c r="F52" s="10"/>
    </row>
    <row r="53" spans="1:6" ht="16.05" customHeight="1" x14ac:dyDescent="0.3">
      <c r="A53" s="10" t="s">
        <v>145</v>
      </c>
      <c r="B53" s="10" t="s">
        <v>361</v>
      </c>
      <c r="C53" s="12" t="str">
        <f t="shared" si="0"/>
        <v>MOC-Q-26-04|m</v>
      </c>
      <c r="D53" s="10" t="s">
        <v>362</v>
      </c>
      <c r="E53" s="10" t="s">
        <v>126</v>
      </c>
      <c r="F53" s="10"/>
    </row>
    <row r="54" spans="1:6" ht="16.05" customHeight="1" x14ac:dyDescent="0.3">
      <c r="A54" s="10" t="s">
        <v>160</v>
      </c>
      <c r="B54" s="10" t="s">
        <v>336</v>
      </c>
      <c r="C54" s="12" t="str">
        <f t="shared" si="0"/>
        <v>MOC-Q-26-05|a</v>
      </c>
      <c r="D54" s="10" t="s">
        <v>337</v>
      </c>
      <c r="E54" s="10" t="s">
        <v>126</v>
      </c>
      <c r="F54" s="10"/>
    </row>
    <row r="55" spans="1:6" ht="16.05" customHeight="1" x14ac:dyDescent="0.3">
      <c r="A55" s="10" t="s">
        <v>160</v>
      </c>
      <c r="B55" s="10" t="s">
        <v>338</v>
      </c>
      <c r="C55" s="12" t="str">
        <f t="shared" si="0"/>
        <v>MOC-Q-26-05|b</v>
      </c>
      <c r="D55" s="10" t="s">
        <v>339</v>
      </c>
      <c r="E55" s="10" t="s">
        <v>126</v>
      </c>
      <c r="F55" s="10"/>
    </row>
    <row r="56" spans="1:6" ht="16.05" customHeight="1" x14ac:dyDescent="0.3">
      <c r="A56" s="10" t="s">
        <v>160</v>
      </c>
      <c r="B56" s="10" t="s">
        <v>340</v>
      </c>
      <c r="C56" s="12" t="str">
        <f t="shared" si="0"/>
        <v>MOC-Q-26-05|c</v>
      </c>
      <c r="D56" s="10" t="s">
        <v>341</v>
      </c>
      <c r="E56" s="10" t="s">
        <v>126</v>
      </c>
      <c r="F56" s="10"/>
    </row>
    <row r="57" spans="1:6" ht="16.05" customHeight="1" x14ac:dyDescent="0.3">
      <c r="A57" s="10" t="s">
        <v>160</v>
      </c>
      <c r="B57" s="10" t="s">
        <v>342</v>
      </c>
      <c r="C57" s="12" t="str">
        <f t="shared" si="0"/>
        <v>MOC-Q-26-05|d</v>
      </c>
      <c r="D57" s="10" t="s">
        <v>343</v>
      </c>
      <c r="E57" s="10" t="s">
        <v>126</v>
      </c>
      <c r="F57" s="10"/>
    </row>
    <row r="58" spans="1:6" ht="16.05" customHeight="1" x14ac:dyDescent="0.3">
      <c r="A58" s="10" t="s">
        <v>160</v>
      </c>
      <c r="B58" s="10" t="s">
        <v>344</v>
      </c>
      <c r="C58" s="12" t="str">
        <f t="shared" si="0"/>
        <v>MOC-Q-26-05|e</v>
      </c>
      <c r="D58" s="10" t="s">
        <v>345</v>
      </c>
      <c r="E58" s="10" t="s">
        <v>126</v>
      </c>
      <c r="F58" s="10"/>
    </row>
    <row r="59" spans="1:6" ht="16.05" customHeight="1" x14ac:dyDescent="0.3">
      <c r="A59" s="10" t="s">
        <v>160</v>
      </c>
      <c r="B59" s="10" t="s">
        <v>346</v>
      </c>
      <c r="C59" s="12" t="str">
        <f t="shared" si="0"/>
        <v>MOC-Q-26-05|f</v>
      </c>
      <c r="D59" s="10" t="s">
        <v>347</v>
      </c>
      <c r="E59" s="10" t="s">
        <v>126</v>
      </c>
      <c r="F59" s="10"/>
    </row>
    <row r="60" spans="1:6" ht="16.05" customHeight="1" x14ac:dyDescent="0.3">
      <c r="A60" s="10" t="s">
        <v>160</v>
      </c>
      <c r="B60" s="10" t="s">
        <v>348</v>
      </c>
      <c r="C60" s="12" t="str">
        <f t="shared" si="0"/>
        <v>MOC-Q-26-05|g</v>
      </c>
      <c r="D60" s="10" t="s">
        <v>349</v>
      </c>
      <c r="E60" s="10" t="s">
        <v>126</v>
      </c>
      <c r="F60" s="10"/>
    </row>
    <row r="61" spans="1:6" ht="16.05" customHeight="1" x14ac:dyDescent="0.3">
      <c r="A61" s="10" t="s">
        <v>160</v>
      </c>
      <c r="B61" s="10" t="s">
        <v>350</v>
      </c>
      <c r="C61" s="12" t="str">
        <f t="shared" si="0"/>
        <v>MOC-Q-26-05|h</v>
      </c>
      <c r="D61" s="10" t="s">
        <v>351</v>
      </c>
      <c r="E61" s="10" t="s">
        <v>126</v>
      </c>
      <c r="F61" s="10"/>
    </row>
    <row r="62" spans="1:6" ht="16.05" customHeight="1" x14ac:dyDescent="0.3">
      <c r="A62" s="10" t="s">
        <v>160</v>
      </c>
      <c r="B62" s="10" t="s">
        <v>353</v>
      </c>
      <c r="C62" s="12" t="str">
        <f t="shared" si="0"/>
        <v>MOC-Q-26-05|i</v>
      </c>
      <c r="D62" s="10" t="s">
        <v>354</v>
      </c>
      <c r="E62" s="10" t="s">
        <v>126</v>
      </c>
      <c r="F62" s="10"/>
    </row>
    <row r="63" spans="1:6" ht="16.05" customHeight="1" x14ac:dyDescent="0.3">
      <c r="A63" s="10" t="s">
        <v>160</v>
      </c>
      <c r="B63" s="10" t="s">
        <v>355</v>
      </c>
      <c r="C63" s="12" t="str">
        <f t="shared" si="0"/>
        <v>MOC-Q-26-05|j</v>
      </c>
      <c r="D63" s="10" t="s">
        <v>356</v>
      </c>
      <c r="E63" s="10" t="s">
        <v>126</v>
      </c>
      <c r="F63" s="10"/>
    </row>
    <row r="64" spans="1:6" ht="16.05" customHeight="1" x14ac:dyDescent="0.3">
      <c r="A64" s="10" t="s">
        <v>160</v>
      </c>
      <c r="B64" s="10" t="s">
        <v>357</v>
      </c>
      <c r="C64" s="12" t="str">
        <f t="shared" si="0"/>
        <v>MOC-Q-26-05|k</v>
      </c>
      <c r="D64" s="10" t="s">
        <v>358</v>
      </c>
      <c r="E64" s="10" t="s">
        <v>126</v>
      </c>
      <c r="F64" s="10"/>
    </row>
    <row r="65" spans="1:6" ht="16.05" customHeight="1" x14ac:dyDescent="0.3">
      <c r="A65" s="10" t="s">
        <v>160</v>
      </c>
      <c r="B65" s="10" t="s">
        <v>359</v>
      </c>
      <c r="C65" s="12" t="str">
        <f t="shared" si="0"/>
        <v>MOC-Q-26-05|l</v>
      </c>
      <c r="D65" s="10" t="s">
        <v>360</v>
      </c>
      <c r="E65" s="10" t="s">
        <v>352</v>
      </c>
      <c r="F65" s="10"/>
    </row>
    <row r="66" spans="1:6" ht="16.05" customHeight="1" x14ac:dyDescent="0.3">
      <c r="A66" s="10" t="s">
        <v>160</v>
      </c>
      <c r="B66" s="10" t="s">
        <v>361</v>
      </c>
      <c r="C66" s="12" t="str">
        <f t="shared" ref="C66:C129" si="1">A66&amp;"|"&amp;B66</f>
        <v>MOC-Q-26-05|m</v>
      </c>
      <c r="D66" s="10" t="s">
        <v>362</v>
      </c>
      <c r="E66" s="10" t="s">
        <v>352</v>
      </c>
      <c r="F66" s="10"/>
    </row>
    <row r="67" spans="1:6" ht="16.05" customHeight="1" x14ac:dyDescent="0.3">
      <c r="A67" s="10" t="s">
        <v>176</v>
      </c>
      <c r="B67" s="10" t="s">
        <v>336</v>
      </c>
      <c r="C67" s="12" t="str">
        <f t="shared" si="1"/>
        <v>MOC-Q-26-06|a</v>
      </c>
      <c r="D67" s="10" t="s">
        <v>337</v>
      </c>
      <c r="E67" s="10" t="s">
        <v>126</v>
      </c>
      <c r="F67" s="10"/>
    </row>
    <row r="68" spans="1:6" ht="16.05" customHeight="1" x14ac:dyDescent="0.3">
      <c r="A68" s="10" t="s">
        <v>176</v>
      </c>
      <c r="B68" s="10" t="s">
        <v>338</v>
      </c>
      <c r="C68" s="12" t="str">
        <f t="shared" si="1"/>
        <v>MOC-Q-26-06|b</v>
      </c>
      <c r="D68" s="10" t="s">
        <v>339</v>
      </c>
      <c r="E68" s="10" t="s">
        <v>126</v>
      </c>
      <c r="F68" s="10"/>
    </row>
    <row r="69" spans="1:6" ht="16.05" customHeight="1" x14ac:dyDescent="0.3">
      <c r="A69" s="10" t="s">
        <v>176</v>
      </c>
      <c r="B69" s="10" t="s">
        <v>340</v>
      </c>
      <c r="C69" s="12" t="str">
        <f t="shared" si="1"/>
        <v>MOC-Q-26-06|c</v>
      </c>
      <c r="D69" s="10" t="s">
        <v>341</v>
      </c>
      <c r="E69" s="10" t="s">
        <v>126</v>
      </c>
      <c r="F69" s="10"/>
    </row>
    <row r="70" spans="1:6" ht="16.05" customHeight="1" x14ac:dyDescent="0.3">
      <c r="A70" s="10" t="s">
        <v>176</v>
      </c>
      <c r="B70" s="10" t="s">
        <v>342</v>
      </c>
      <c r="C70" s="12" t="str">
        <f t="shared" si="1"/>
        <v>MOC-Q-26-06|d</v>
      </c>
      <c r="D70" s="10" t="s">
        <v>343</v>
      </c>
      <c r="E70" s="10" t="s">
        <v>126</v>
      </c>
      <c r="F70" s="10"/>
    </row>
    <row r="71" spans="1:6" ht="16.05" customHeight="1" x14ac:dyDescent="0.3">
      <c r="A71" s="10" t="s">
        <v>176</v>
      </c>
      <c r="B71" s="10" t="s">
        <v>344</v>
      </c>
      <c r="C71" s="12" t="str">
        <f t="shared" si="1"/>
        <v>MOC-Q-26-06|e</v>
      </c>
      <c r="D71" s="10" t="s">
        <v>345</v>
      </c>
      <c r="E71" s="10" t="s">
        <v>126</v>
      </c>
      <c r="F71" s="10"/>
    </row>
    <row r="72" spans="1:6" ht="16.05" customHeight="1" x14ac:dyDescent="0.3">
      <c r="A72" s="10" t="s">
        <v>176</v>
      </c>
      <c r="B72" s="10" t="s">
        <v>346</v>
      </c>
      <c r="C72" s="12" t="str">
        <f t="shared" si="1"/>
        <v>MOC-Q-26-06|f</v>
      </c>
      <c r="D72" s="10" t="s">
        <v>347</v>
      </c>
      <c r="E72" s="10" t="s">
        <v>126</v>
      </c>
      <c r="F72" s="10"/>
    </row>
    <row r="73" spans="1:6" ht="16.05" customHeight="1" x14ac:dyDescent="0.3">
      <c r="A73" s="10" t="s">
        <v>176</v>
      </c>
      <c r="B73" s="10" t="s">
        <v>348</v>
      </c>
      <c r="C73" s="12" t="str">
        <f t="shared" si="1"/>
        <v>MOC-Q-26-06|g</v>
      </c>
      <c r="D73" s="10" t="s">
        <v>349</v>
      </c>
      <c r="E73" s="10" t="s">
        <v>126</v>
      </c>
      <c r="F73" s="10"/>
    </row>
    <row r="74" spans="1:6" ht="16.05" customHeight="1" x14ac:dyDescent="0.3">
      <c r="A74" s="10" t="s">
        <v>176</v>
      </c>
      <c r="B74" s="10" t="s">
        <v>350</v>
      </c>
      <c r="C74" s="12" t="str">
        <f t="shared" si="1"/>
        <v>MOC-Q-26-06|h</v>
      </c>
      <c r="D74" s="10" t="s">
        <v>351</v>
      </c>
      <c r="E74" s="10" t="s">
        <v>352</v>
      </c>
      <c r="F74" s="10"/>
    </row>
    <row r="75" spans="1:6" ht="16.05" customHeight="1" x14ac:dyDescent="0.3">
      <c r="A75" s="10" t="s">
        <v>176</v>
      </c>
      <c r="B75" s="10" t="s">
        <v>353</v>
      </c>
      <c r="C75" s="12" t="str">
        <f t="shared" si="1"/>
        <v>MOC-Q-26-06|i</v>
      </c>
      <c r="D75" s="10" t="s">
        <v>354</v>
      </c>
      <c r="E75" s="10" t="s">
        <v>126</v>
      </c>
      <c r="F75" s="10"/>
    </row>
    <row r="76" spans="1:6" ht="16.05" customHeight="1" x14ac:dyDescent="0.3">
      <c r="A76" s="10" t="s">
        <v>176</v>
      </c>
      <c r="B76" s="10" t="s">
        <v>355</v>
      </c>
      <c r="C76" s="12" t="str">
        <f t="shared" si="1"/>
        <v>MOC-Q-26-06|j</v>
      </c>
      <c r="D76" s="10" t="s">
        <v>356</v>
      </c>
      <c r="E76" s="10" t="s">
        <v>126</v>
      </c>
      <c r="F76" s="10"/>
    </row>
    <row r="77" spans="1:6" ht="16.05" customHeight="1" x14ac:dyDescent="0.3">
      <c r="A77" s="10" t="s">
        <v>176</v>
      </c>
      <c r="B77" s="10" t="s">
        <v>357</v>
      </c>
      <c r="C77" s="12" t="str">
        <f t="shared" si="1"/>
        <v>MOC-Q-26-06|k</v>
      </c>
      <c r="D77" s="10" t="s">
        <v>358</v>
      </c>
      <c r="E77" s="10" t="s">
        <v>126</v>
      </c>
      <c r="F77" s="10"/>
    </row>
    <row r="78" spans="1:6" ht="16.05" customHeight="1" x14ac:dyDescent="0.3">
      <c r="A78" s="10" t="s">
        <v>176</v>
      </c>
      <c r="B78" s="10" t="s">
        <v>359</v>
      </c>
      <c r="C78" s="12" t="str">
        <f t="shared" si="1"/>
        <v>MOC-Q-26-06|l</v>
      </c>
      <c r="D78" s="10" t="s">
        <v>360</v>
      </c>
      <c r="E78" s="10" t="s">
        <v>126</v>
      </c>
      <c r="F78" s="10"/>
    </row>
    <row r="79" spans="1:6" ht="16.05" customHeight="1" x14ac:dyDescent="0.3">
      <c r="A79" s="10" t="s">
        <v>176</v>
      </c>
      <c r="B79" s="10" t="s">
        <v>361</v>
      </c>
      <c r="C79" s="12" t="str">
        <f t="shared" si="1"/>
        <v>MOC-Q-26-06|m</v>
      </c>
      <c r="D79" s="10" t="s">
        <v>362</v>
      </c>
      <c r="E79" s="10" t="s">
        <v>126</v>
      </c>
      <c r="F79" s="10"/>
    </row>
    <row r="80" spans="1:6" ht="16.05" customHeight="1" x14ac:dyDescent="0.3">
      <c r="A80" s="10" t="s">
        <v>192</v>
      </c>
      <c r="B80" s="10" t="s">
        <v>336</v>
      </c>
      <c r="C80" s="12" t="str">
        <f t="shared" si="1"/>
        <v>MOC-Q-26-07|a</v>
      </c>
      <c r="D80" s="10" t="s">
        <v>337</v>
      </c>
      <c r="E80" s="10" t="s">
        <v>126</v>
      </c>
      <c r="F80" s="10"/>
    </row>
    <row r="81" spans="1:6" ht="16.05" customHeight="1" x14ac:dyDescent="0.3">
      <c r="A81" s="10" t="s">
        <v>192</v>
      </c>
      <c r="B81" s="10" t="s">
        <v>338</v>
      </c>
      <c r="C81" s="12" t="str">
        <f t="shared" si="1"/>
        <v>MOC-Q-26-07|b</v>
      </c>
      <c r="D81" s="10" t="s">
        <v>339</v>
      </c>
      <c r="E81" s="10" t="s">
        <v>126</v>
      </c>
      <c r="F81" s="10"/>
    </row>
    <row r="82" spans="1:6" ht="16.05" customHeight="1" x14ac:dyDescent="0.3">
      <c r="A82" s="10" t="s">
        <v>192</v>
      </c>
      <c r="B82" s="10" t="s">
        <v>340</v>
      </c>
      <c r="C82" s="12" t="str">
        <f t="shared" si="1"/>
        <v>MOC-Q-26-07|c</v>
      </c>
      <c r="D82" s="10" t="s">
        <v>341</v>
      </c>
      <c r="E82" s="10" t="s">
        <v>126</v>
      </c>
      <c r="F82" s="10"/>
    </row>
    <row r="83" spans="1:6" ht="16.05" customHeight="1" x14ac:dyDescent="0.3">
      <c r="A83" s="10" t="s">
        <v>192</v>
      </c>
      <c r="B83" s="10" t="s">
        <v>342</v>
      </c>
      <c r="C83" s="12" t="str">
        <f t="shared" si="1"/>
        <v>MOC-Q-26-07|d</v>
      </c>
      <c r="D83" s="10" t="s">
        <v>343</v>
      </c>
      <c r="E83" s="10" t="s">
        <v>126</v>
      </c>
      <c r="F83" s="10"/>
    </row>
    <row r="84" spans="1:6" ht="16.05" customHeight="1" x14ac:dyDescent="0.3">
      <c r="A84" s="10" t="s">
        <v>192</v>
      </c>
      <c r="B84" s="10" t="s">
        <v>344</v>
      </c>
      <c r="C84" s="12" t="str">
        <f t="shared" si="1"/>
        <v>MOC-Q-26-07|e</v>
      </c>
      <c r="D84" s="10" t="s">
        <v>345</v>
      </c>
      <c r="E84" s="10" t="s">
        <v>126</v>
      </c>
      <c r="F84" s="10"/>
    </row>
    <row r="85" spans="1:6" ht="16.05" customHeight="1" x14ac:dyDescent="0.3">
      <c r="A85" s="10" t="s">
        <v>192</v>
      </c>
      <c r="B85" s="10" t="s">
        <v>346</v>
      </c>
      <c r="C85" s="12" t="str">
        <f t="shared" si="1"/>
        <v>MOC-Q-26-07|f</v>
      </c>
      <c r="D85" s="10" t="s">
        <v>347</v>
      </c>
      <c r="E85" s="10" t="s">
        <v>126</v>
      </c>
      <c r="F85" s="10"/>
    </row>
    <row r="86" spans="1:6" ht="16.05" customHeight="1" x14ac:dyDescent="0.3">
      <c r="A86" s="10" t="s">
        <v>192</v>
      </c>
      <c r="B86" s="10" t="s">
        <v>348</v>
      </c>
      <c r="C86" s="12" t="str">
        <f t="shared" si="1"/>
        <v>MOC-Q-26-07|g</v>
      </c>
      <c r="D86" s="10" t="s">
        <v>349</v>
      </c>
      <c r="E86" s="10" t="s">
        <v>126</v>
      </c>
      <c r="F86" s="10"/>
    </row>
    <row r="87" spans="1:6" ht="16.05" customHeight="1" x14ac:dyDescent="0.3">
      <c r="A87" s="10" t="s">
        <v>192</v>
      </c>
      <c r="B87" s="10" t="s">
        <v>350</v>
      </c>
      <c r="C87" s="12" t="str">
        <f t="shared" si="1"/>
        <v>MOC-Q-26-07|h</v>
      </c>
      <c r="D87" s="10" t="s">
        <v>351</v>
      </c>
      <c r="E87" s="10" t="s">
        <v>126</v>
      </c>
      <c r="F87" s="10"/>
    </row>
    <row r="88" spans="1:6" ht="16.05" customHeight="1" x14ac:dyDescent="0.3">
      <c r="A88" s="10" t="s">
        <v>192</v>
      </c>
      <c r="B88" s="10" t="s">
        <v>353</v>
      </c>
      <c r="C88" s="12" t="str">
        <f t="shared" si="1"/>
        <v>MOC-Q-26-07|i</v>
      </c>
      <c r="D88" s="10" t="s">
        <v>354</v>
      </c>
      <c r="E88" s="10" t="s">
        <v>126</v>
      </c>
      <c r="F88" s="10"/>
    </row>
    <row r="89" spans="1:6" ht="16.05" customHeight="1" x14ac:dyDescent="0.3">
      <c r="A89" s="10" t="s">
        <v>192</v>
      </c>
      <c r="B89" s="10" t="s">
        <v>355</v>
      </c>
      <c r="C89" s="12" t="str">
        <f t="shared" si="1"/>
        <v>MOC-Q-26-07|j</v>
      </c>
      <c r="D89" s="10" t="s">
        <v>356</v>
      </c>
      <c r="E89" s="10" t="s">
        <v>126</v>
      </c>
      <c r="F89" s="10"/>
    </row>
    <row r="90" spans="1:6" ht="16.05" customHeight="1" x14ac:dyDescent="0.3">
      <c r="A90" s="10" t="s">
        <v>192</v>
      </c>
      <c r="B90" s="10" t="s">
        <v>357</v>
      </c>
      <c r="C90" s="12" t="str">
        <f t="shared" si="1"/>
        <v>MOC-Q-26-07|k</v>
      </c>
      <c r="D90" s="10" t="s">
        <v>358</v>
      </c>
      <c r="E90" s="10" t="s">
        <v>352</v>
      </c>
      <c r="F90" s="10"/>
    </row>
    <row r="91" spans="1:6" ht="16.05" customHeight="1" x14ac:dyDescent="0.3">
      <c r="A91" s="10" t="s">
        <v>192</v>
      </c>
      <c r="B91" s="10" t="s">
        <v>359</v>
      </c>
      <c r="C91" s="12" t="str">
        <f t="shared" si="1"/>
        <v>MOC-Q-26-07|l</v>
      </c>
      <c r="D91" s="10" t="s">
        <v>360</v>
      </c>
      <c r="E91" s="10" t="s">
        <v>352</v>
      </c>
      <c r="F91" s="10"/>
    </row>
    <row r="92" spans="1:6" ht="16.05" customHeight="1" x14ac:dyDescent="0.3">
      <c r="A92" s="10" t="s">
        <v>192</v>
      </c>
      <c r="B92" s="10" t="s">
        <v>361</v>
      </c>
      <c r="C92" s="12" t="str">
        <f t="shared" si="1"/>
        <v>MOC-Q-26-07|m</v>
      </c>
      <c r="D92" s="10" t="s">
        <v>362</v>
      </c>
      <c r="E92" s="10" t="s">
        <v>352</v>
      </c>
      <c r="F92" s="10"/>
    </row>
    <row r="93" spans="1:6" ht="16.05" customHeight="1" x14ac:dyDescent="0.3">
      <c r="A93" s="10" t="s">
        <v>205</v>
      </c>
      <c r="B93" s="10" t="s">
        <v>336</v>
      </c>
      <c r="C93" s="12" t="str">
        <f t="shared" si="1"/>
        <v>MOC-Q-26-08|a</v>
      </c>
      <c r="D93" s="10" t="s">
        <v>337</v>
      </c>
      <c r="E93" s="10" t="s">
        <v>126</v>
      </c>
      <c r="F93" s="10"/>
    </row>
    <row r="94" spans="1:6" ht="16.05" customHeight="1" x14ac:dyDescent="0.3">
      <c r="A94" s="10" t="s">
        <v>205</v>
      </c>
      <c r="B94" s="10" t="s">
        <v>338</v>
      </c>
      <c r="C94" s="12" t="str">
        <f t="shared" si="1"/>
        <v>MOC-Q-26-08|b</v>
      </c>
      <c r="D94" s="10" t="s">
        <v>339</v>
      </c>
      <c r="E94" s="10" t="s">
        <v>126</v>
      </c>
      <c r="F94" s="10"/>
    </row>
    <row r="95" spans="1:6" ht="16.05" customHeight="1" x14ac:dyDescent="0.3">
      <c r="A95" s="10" t="s">
        <v>205</v>
      </c>
      <c r="B95" s="10" t="s">
        <v>340</v>
      </c>
      <c r="C95" s="12" t="str">
        <f t="shared" si="1"/>
        <v>MOC-Q-26-08|c</v>
      </c>
      <c r="D95" s="10" t="s">
        <v>341</v>
      </c>
      <c r="E95" s="10" t="s">
        <v>126</v>
      </c>
      <c r="F95" s="10"/>
    </row>
    <row r="96" spans="1:6" ht="16.05" customHeight="1" x14ac:dyDescent="0.3">
      <c r="A96" s="10" t="s">
        <v>205</v>
      </c>
      <c r="B96" s="10" t="s">
        <v>342</v>
      </c>
      <c r="C96" s="12" t="str">
        <f t="shared" si="1"/>
        <v>MOC-Q-26-08|d</v>
      </c>
      <c r="D96" s="10" t="s">
        <v>343</v>
      </c>
      <c r="E96" s="10" t="s">
        <v>126</v>
      </c>
      <c r="F96" s="10"/>
    </row>
    <row r="97" spans="1:6" ht="16.05" customHeight="1" x14ac:dyDescent="0.3">
      <c r="A97" s="10" t="s">
        <v>205</v>
      </c>
      <c r="B97" s="10" t="s">
        <v>344</v>
      </c>
      <c r="C97" s="12" t="str">
        <f t="shared" si="1"/>
        <v>MOC-Q-26-08|e</v>
      </c>
      <c r="D97" s="10" t="s">
        <v>345</v>
      </c>
      <c r="E97" s="10" t="s">
        <v>126</v>
      </c>
      <c r="F97" s="10"/>
    </row>
    <row r="98" spans="1:6" ht="16.05" customHeight="1" x14ac:dyDescent="0.3">
      <c r="A98" s="10" t="s">
        <v>205</v>
      </c>
      <c r="B98" s="10" t="s">
        <v>346</v>
      </c>
      <c r="C98" s="12" t="str">
        <f t="shared" si="1"/>
        <v>MOC-Q-26-08|f</v>
      </c>
      <c r="D98" s="10" t="s">
        <v>347</v>
      </c>
      <c r="E98" s="10" t="s">
        <v>126</v>
      </c>
      <c r="F98" s="10"/>
    </row>
    <row r="99" spans="1:6" ht="16.05" customHeight="1" x14ac:dyDescent="0.3">
      <c r="A99" s="10" t="s">
        <v>205</v>
      </c>
      <c r="B99" s="10" t="s">
        <v>348</v>
      </c>
      <c r="C99" s="12" t="str">
        <f t="shared" si="1"/>
        <v>MOC-Q-26-08|g</v>
      </c>
      <c r="D99" s="10" t="s">
        <v>349</v>
      </c>
      <c r="E99" s="10" t="s">
        <v>126</v>
      </c>
      <c r="F99" s="10"/>
    </row>
    <row r="100" spans="1:6" ht="16.05" customHeight="1" x14ac:dyDescent="0.3">
      <c r="A100" s="10" t="s">
        <v>205</v>
      </c>
      <c r="B100" s="10" t="s">
        <v>350</v>
      </c>
      <c r="C100" s="12" t="str">
        <f t="shared" si="1"/>
        <v>MOC-Q-26-08|h</v>
      </c>
      <c r="D100" s="10" t="s">
        <v>351</v>
      </c>
      <c r="E100" s="10" t="s">
        <v>126</v>
      </c>
      <c r="F100" s="10"/>
    </row>
    <row r="101" spans="1:6" ht="16.05" customHeight="1" x14ac:dyDescent="0.3">
      <c r="A101" s="10" t="s">
        <v>205</v>
      </c>
      <c r="B101" s="10" t="s">
        <v>353</v>
      </c>
      <c r="C101" s="12" t="str">
        <f t="shared" si="1"/>
        <v>MOC-Q-26-08|i</v>
      </c>
      <c r="D101" s="10" t="s">
        <v>354</v>
      </c>
      <c r="E101" s="10" t="s">
        <v>126</v>
      </c>
      <c r="F101" s="10"/>
    </row>
    <row r="102" spans="1:6" ht="16.05" customHeight="1" x14ac:dyDescent="0.3">
      <c r="A102" s="10" t="s">
        <v>205</v>
      </c>
      <c r="B102" s="10" t="s">
        <v>355</v>
      </c>
      <c r="C102" s="12" t="str">
        <f t="shared" si="1"/>
        <v>MOC-Q-26-08|j</v>
      </c>
      <c r="D102" s="10" t="s">
        <v>356</v>
      </c>
      <c r="E102" s="10" t="s">
        <v>126</v>
      </c>
      <c r="F102" s="10"/>
    </row>
    <row r="103" spans="1:6" ht="16.05" customHeight="1" x14ac:dyDescent="0.3">
      <c r="A103" s="10" t="s">
        <v>205</v>
      </c>
      <c r="B103" s="10" t="s">
        <v>357</v>
      </c>
      <c r="C103" s="12" t="str">
        <f t="shared" si="1"/>
        <v>MOC-Q-26-08|k</v>
      </c>
      <c r="D103" s="10" t="s">
        <v>358</v>
      </c>
      <c r="E103" s="10" t="s">
        <v>126</v>
      </c>
      <c r="F103" s="10"/>
    </row>
    <row r="104" spans="1:6" ht="16.05" customHeight="1" x14ac:dyDescent="0.3">
      <c r="A104" s="10" t="s">
        <v>205</v>
      </c>
      <c r="B104" s="10" t="s">
        <v>359</v>
      </c>
      <c r="C104" s="12" t="str">
        <f t="shared" si="1"/>
        <v>MOC-Q-26-08|l</v>
      </c>
      <c r="D104" s="10" t="s">
        <v>360</v>
      </c>
      <c r="E104" s="10" t="s">
        <v>352</v>
      </c>
      <c r="F104" s="10"/>
    </row>
    <row r="105" spans="1:6" ht="16.05" customHeight="1" x14ac:dyDescent="0.3">
      <c r="A105" s="10" t="s">
        <v>205</v>
      </c>
      <c r="B105" s="10" t="s">
        <v>361</v>
      </c>
      <c r="C105" s="12" t="str">
        <f t="shared" si="1"/>
        <v>MOC-Q-26-08|m</v>
      </c>
      <c r="D105" s="10" t="s">
        <v>362</v>
      </c>
      <c r="E105" s="10" t="s">
        <v>126</v>
      </c>
      <c r="F105" s="10"/>
    </row>
    <row r="106" spans="1:6" ht="16.05" customHeight="1" x14ac:dyDescent="0.3">
      <c r="A106" s="10" t="s">
        <v>218</v>
      </c>
      <c r="B106" s="10" t="s">
        <v>336</v>
      </c>
      <c r="C106" s="12" t="str">
        <f t="shared" si="1"/>
        <v>MOC-Q-26-09|a</v>
      </c>
      <c r="D106" s="10" t="s">
        <v>337</v>
      </c>
      <c r="E106" s="10" t="s">
        <v>126</v>
      </c>
      <c r="F106" s="10"/>
    </row>
    <row r="107" spans="1:6" ht="16.05" customHeight="1" x14ac:dyDescent="0.3">
      <c r="A107" s="10" t="s">
        <v>218</v>
      </c>
      <c r="B107" s="10" t="s">
        <v>338</v>
      </c>
      <c r="C107" s="12" t="str">
        <f t="shared" si="1"/>
        <v>MOC-Q-26-09|b</v>
      </c>
      <c r="D107" s="10" t="s">
        <v>339</v>
      </c>
      <c r="E107" s="10" t="s">
        <v>126</v>
      </c>
      <c r="F107" s="10"/>
    </row>
    <row r="108" spans="1:6" ht="16.05" customHeight="1" x14ac:dyDescent="0.3">
      <c r="A108" s="10" t="s">
        <v>218</v>
      </c>
      <c r="B108" s="10" t="s">
        <v>340</v>
      </c>
      <c r="C108" s="12" t="str">
        <f t="shared" si="1"/>
        <v>MOC-Q-26-09|c</v>
      </c>
      <c r="D108" s="10" t="s">
        <v>341</v>
      </c>
      <c r="E108" s="10" t="s">
        <v>126</v>
      </c>
      <c r="F108" s="10"/>
    </row>
    <row r="109" spans="1:6" ht="16.05" customHeight="1" x14ac:dyDescent="0.3">
      <c r="A109" s="10" t="s">
        <v>218</v>
      </c>
      <c r="B109" s="10" t="s">
        <v>342</v>
      </c>
      <c r="C109" s="12" t="str">
        <f t="shared" si="1"/>
        <v>MOC-Q-26-09|d</v>
      </c>
      <c r="D109" s="10" t="s">
        <v>343</v>
      </c>
      <c r="E109" s="10" t="s">
        <v>126</v>
      </c>
      <c r="F109" s="10"/>
    </row>
    <row r="110" spans="1:6" ht="16.05" customHeight="1" x14ac:dyDescent="0.3">
      <c r="A110" s="10" t="s">
        <v>218</v>
      </c>
      <c r="B110" s="10" t="s">
        <v>344</v>
      </c>
      <c r="C110" s="12" t="str">
        <f t="shared" si="1"/>
        <v>MOC-Q-26-09|e</v>
      </c>
      <c r="D110" s="10" t="s">
        <v>345</v>
      </c>
      <c r="E110" s="10" t="s">
        <v>126</v>
      </c>
      <c r="F110" s="10"/>
    </row>
    <row r="111" spans="1:6" ht="16.05" customHeight="1" x14ac:dyDescent="0.3">
      <c r="A111" s="10" t="s">
        <v>218</v>
      </c>
      <c r="B111" s="10" t="s">
        <v>346</v>
      </c>
      <c r="C111" s="12" t="str">
        <f t="shared" si="1"/>
        <v>MOC-Q-26-09|f</v>
      </c>
      <c r="D111" s="10" t="s">
        <v>347</v>
      </c>
      <c r="E111" s="10" t="s">
        <v>126</v>
      </c>
      <c r="F111" s="10"/>
    </row>
    <row r="112" spans="1:6" ht="16.05" customHeight="1" x14ac:dyDescent="0.3">
      <c r="A112" s="10" t="s">
        <v>218</v>
      </c>
      <c r="B112" s="10" t="s">
        <v>348</v>
      </c>
      <c r="C112" s="12" t="str">
        <f t="shared" si="1"/>
        <v>MOC-Q-26-09|g</v>
      </c>
      <c r="D112" s="10" t="s">
        <v>349</v>
      </c>
      <c r="E112" s="10" t="s">
        <v>126</v>
      </c>
      <c r="F112" s="10"/>
    </row>
    <row r="113" spans="1:6" ht="16.05" customHeight="1" x14ac:dyDescent="0.3">
      <c r="A113" s="10" t="s">
        <v>218</v>
      </c>
      <c r="B113" s="10" t="s">
        <v>350</v>
      </c>
      <c r="C113" s="12" t="str">
        <f t="shared" si="1"/>
        <v>MOC-Q-26-09|h</v>
      </c>
      <c r="D113" s="10" t="s">
        <v>351</v>
      </c>
      <c r="E113" s="10" t="s">
        <v>352</v>
      </c>
      <c r="F113" s="10"/>
    </row>
    <row r="114" spans="1:6" ht="16.05" customHeight="1" x14ac:dyDescent="0.3">
      <c r="A114" s="10" t="s">
        <v>218</v>
      </c>
      <c r="B114" s="10" t="s">
        <v>353</v>
      </c>
      <c r="C114" s="12" t="str">
        <f t="shared" si="1"/>
        <v>MOC-Q-26-09|i</v>
      </c>
      <c r="D114" s="10" t="s">
        <v>354</v>
      </c>
      <c r="E114" s="10" t="s">
        <v>126</v>
      </c>
      <c r="F114" s="10"/>
    </row>
    <row r="115" spans="1:6" ht="16.05" customHeight="1" x14ac:dyDescent="0.3">
      <c r="A115" s="10" t="s">
        <v>218</v>
      </c>
      <c r="B115" s="10" t="s">
        <v>355</v>
      </c>
      <c r="C115" s="12" t="str">
        <f t="shared" si="1"/>
        <v>MOC-Q-26-09|j</v>
      </c>
      <c r="D115" s="10" t="s">
        <v>356</v>
      </c>
      <c r="E115" s="10" t="s">
        <v>126</v>
      </c>
      <c r="F115" s="10"/>
    </row>
    <row r="116" spans="1:6" ht="16.05" customHeight="1" x14ac:dyDescent="0.3">
      <c r="A116" s="10" t="s">
        <v>218</v>
      </c>
      <c r="B116" s="10" t="s">
        <v>357</v>
      </c>
      <c r="C116" s="12" t="str">
        <f t="shared" si="1"/>
        <v>MOC-Q-26-09|k</v>
      </c>
      <c r="D116" s="10" t="s">
        <v>358</v>
      </c>
      <c r="E116" s="10" t="s">
        <v>352</v>
      </c>
      <c r="F116" s="10"/>
    </row>
    <row r="117" spans="1:6" ht="16.05" customHeight="1" x14ac:dyDescent="0.3">
      <c r="A117" s="10" t="s">
        <v>218</v>
      </c>
      <c r="B117" s="10" t="s">
        <v>359</v>
      </c>
      <c r="C117" s="12" t="str">
        <f t="shared" si="1"/>
        <v>MOC-Q-26-09|l</v>
      </c>
      <c r="D117" s="10" t="s">
        <v>360</v>
      </c>
      <c r="E117" s="10" t="s">
        <v>352</v>
      </c>
      <c r="F117" s="10"/>
    </row>
    <row r="118" spans="1:6" ht="16.05" customHeight="1" x14ac:dyDescent="0.3">
      <c r="A118" s="10" t="s">
        <v>218</v>
      </c>
      <c r="B118" s="10" t="s">
        <v>361</v>
      </c>
      <c r="C118" s="12" t="str">
        <f t="shared" si="1"/>
        <v>MOC-Q-26-09|m</v>
      </c>
      <c r="D118" s="10" t="s">
        <v>362</v>
      </c>
      <c r="E118" s="10" t="s">
        <v>352</v>
      </c>
      <c r="F118" s="10"/>
    </row>
    <row r="119" spans="1:6" ht="16.05" customHeight="1" x14ac:dyDescent="0.3">
      <c r="A119" s="10" t="s">
        <v>232</v>
      </c>
      <c r="B119" s="10" t="s">
        <v>336</v>
      </c>
      <c r="C119" s="12" t="str">
        <f t="shared" si="1"/>
        <v>MOC-Q-26-10|a</v>
      </c>
      <c r="D119" s="10" t="s">
        <v>337</v>
      </c>
      <c r="E119" s="10" t="s">
        <v>126</v>
      </c>
      <c r="F119" s="10"/>
    </row>
    <row r="120" spans="1:6" ht="16.05" customHeight="1" x14ac:dyDescent="0.3">
      <c r="A120" s="10" t="s">
        <v>232</v>
      </c>
      <c r="B120" s="10" t="s">
        <v>338</v>
      </c>
      <c r="C120" s="12" t="str">
        <f t="shared" si="1"/>
        <v>MOC-Q-26-10|b</v>
      </c>
      <c r="D120" s="10" t="s">
        <v>339</v>
      </c>
      <c r="E120" s="10" t="s">
        <v>126</v>
      </c>
      <c r="F120" s="10"/>
    </row>
    <row r="121" spans="1:6" ht="16.05" customHeight="1" x14ac:dyDescent="0.3">
      <c r="A121" s="10" t="s">
        <v>232</v>
      </c>
      <c r="B121" s="10" t="s">
        <v>340</v>
      </c>
      <c r="C121" s="12" t="str">
        <f t="shared" si="1"/>
        <v>MOC-Q-26-10|c</v>
      </c>
      <c r="D121" s="10" t="s">
        <v>341</v>
      </c>
      <c r="E121" s="10" t="s">
        <v>126</v>
      </c>
      <c r="F121" s="10"/>
    </row>
    <row r="122" spans="1:6" ht="16.05" customHeight="1" x14ac:dyDescent="0.3">
      <c r="A122" s="10" t="s">
        <v>232</v>
      </c>
      <c r="B122" s="10" t="s">
        <v>342</v>
      </c>
      <c r="C122" s="12" t="str">
        <f t="shared" si="1"/>
        <v>MOC-Q-26-10|d</v>
      </c>
      <c r="D122" s="10" t="s">
        <v>343</v>
      </c>
      <c r="E122" s="10" t="s">
        <v>126</v>
      </c>
      <c r="F122" s="10"/>
    </row>
    <row r="123" spans="1:6" ht="16.05" customHeight="1" x14ac:dyDescent="0.3">
      <c r="A123" s="10" t="s">
        <v>232</v>
      </c>
      <c r="B123" s="10" t="s">
        <v>344</v>
      </c>
      <c r="C123" s="12" t="str">
        <f t="shared" si="1"/>
        <v>MOC-Q-26-10|e</v>
      </c>
      <c r="D123" s="10" t="s">
        <v>345</v>
      </c>
      <c r="E123" s="10" t="s">
        <v>126</v>
      </c>
      <c r="F123" s="10"/>
    </row>
    <row r="124" spans="1:6" ht="16.05" customHeight="1" x14ac:dyDescent="0.3">
      <c r="A124" s="10" t="s">
        <v>232</v>
      </c>
      <c r="B124" s="10" t="s">
        <v>346</v>
      </c>
      <c r="C124" s="12" t="str">
        <f t="shared" si="1"/>
        <v>MOC-Q-26-10|f</v>
      </c>
      <c r="D124" s="10" t="s">
        <v>347</v>
      </c>
      <c r="E124" s="10" t="s">
        <v>126</v>
      </c>
      <c r="F124" s="10"/>
    </row>
    <row r="125" spans="1:6" ht="16.05" customHeight="1" x14ac:dyDescent="0.3">
      <c r="A125" s="10" t="s">
        <v>232</v>
      </c>
      <c r="B125" s="10" t="s">
        <v>348</v>
      </c>
      <c r="C125" s="12" t="str">
        <f t="shared" si="1"/>
        <v>MOC-Q-26-10|g</v>
      </c>
      <c r="D125" s="10" t="s">
        <v>349</v>
      </c>
      <c r="E125" s="10" t="s">
        <v>126</v>
      </c>
      <c r="F125" s="10"/>
    </row>
    <row r="126" spans="1:6" ht="16.05" customHeight="1" x14ac:dyDescent="0.3">
      <c r="A126" s="10" t="s">
        <v>232</v>
      </c>
      <c r="B126" s="10" t="s">
        <v>350</v>
      </c>
      <c r="C126" s="12" t="str">
        <f t="shared" si="1"/>
        <v>MOC-Q-26-10|h</v>
      </c>
      <c r="D126" s="10" t="s">
        <v>351</v>
      </c>
      <c r="E126" s="10" t="s">
        <v>126</v>
      </c>
      <c r="F126" s="10"/>
    </row>
    <row r="127" spans="1:6" ht="16.05" customHeight="1" x14ac:dyDescent="0.3">
      <c r="A127" s="10" t="s">
        <v>232</v>
      </c>
      <c r="B127" s="10" t="s">
        <v>353</v>
      </c>
      <c r="C127" s="12" t="str">
        <f t="shared" si="1"/>
        <v>MOC-Q-26-10|i</v>
      </c>
      <c r="D127" s="10" t="s">
        <v>354</v>
      </c>
      <c r="E127" s="10" t="s">
        <v>126</v>
      </c>
      <c r="F127" s="10"/>
    </row>
    <row r="128" spans="1:6" ht="16.05" customHeight="1" x14ac:dyDescent="0.3">
      <c r="A128" s="10" t="s">
        <v>232</v>
      </c>
      <c r="B128" s="10" t="s">
        <v>355</v>
      </c>
      <c r="C128" s="12" t="str">
        <f t="shared" si="1"/>
        <v>MOC-Q-26-10|j</v>
      </c>
      <c r="D128" s="10" t="s">
        <v>356</v>
      </c>
      <c r="E128" s="10" t="s">
        <v>107</v>
      </c>
      <c r="F128" s="10"/>
    </row>
    <row r="129" spans="1:6" ht="16.05" customHeight="1" x14ac:dyDescent="0.3">
      <c r="A129" s="10" t="s">
        <v>232</v>
      </c>
      <c r="B129" s="10" t="s">
        <v>357</v>
      </c>
      <c r="C129" s="12" t="str">
        <f t="shared" si="1"/>
        <v>MOC-Q-26-10|k</v>
      </c>
      <c r="D129" s="10" t="s">
        <v>358</v>
      </c>
      <c r="E129" s="10" t="s">
        <v>352</v>
      </c>
      <c r="F129" s="10"/>
    </row>
    <row r="130" spans="1:6" ht="16.05" customHeight="1" x14ac:dyDescent="0.3">
      <c r="A130" s="10" t="s">
        <v>232</v>
      </c>
      <c r="B130" s="10" t="s">
        <v>359</v>
      </c>
      <c r="C130" s="12" t="str">
        <f t="shared" ref="C130:C193" si="2">A130&amp;"|"&amp;B130</f>
        <v>MOC-Q-26-10|l</v>
      </c>
      <c r="D130" s="10" t="s">
        <v>360</v>
      </c>
      <c r="E130" s="10" t="s">
        <v>352</v>
      </c>
      <c r="F130" s="10"/>
    </row>
    <row r="131" spans="1:6" ht="16.05" customHeight="1" x14ac:dyDescent="0.3">
      <c r="A131" s="10" t="s">
        <v>232</v>
      </c>
      <c r="B131" s="10" t="s">
        <v>361</v>
      </c>
      <c r="C131" s="12" t="str">
        <f t="shared" si="2"/>
        <v>MOC-Q-26-10|m</v>
      </c>
      <c r="D131" s="10" t="s">
        <v>362</v>
      </c>
      <c r="E131" s="10" t="s">
        <v>352</v>
      </c>
      <c r="F131" s="10"/>
    </row>
    <row r="132" spans="1:6" ht="16.05" customHeight="1" x14ac:dyDescent="0.3">
      <c r="A132" s="10" t="s">
        <v>244</v>
      </c>
      <c r="B132" s="10" t="s">
        <v>336</v>
      </c>
      <c r="C132" s="12" t="str">
        <f t="shared" si="2"/>
        <v>MOC-Q-26-11|a</v>
      </c>
      <c r="D132" s="10" t="s">
        <v>337</v>
      </c>
      <c r="E132" s="10" t="s">
        <v>107</v>
      </c>
      <c r="F132" s="10"/>
    </row>
    <row r="133" spans="1:6" ht="16.05" customHeight="1" x14ac:dyDescent="0.3">
      <c r="A133" s="10" t="s">
        <v>244</v>
      </c>
      <c r="B133" s="10" t="s">
        <v>338</v>
      </c>
      <c r="C133" s="12" t="str">
        <f t="shared" si="2"/>
        <v>MOC-Q-26-11|b</v>
      </c>
      <c r="D133" s="10" t="s">
        <v>339</v>
      </c>
      <c r="E133" s="10" t="s">
        <v>107</v>
      </c>
      <c r="F133" s="10"/>
    </row>
    <row r="134" spans="1:6" ht="16.05" customHeight="1" x14ac:dyDescent="0.3">
      <c r="A134" s="10" t="s">
        <v>244</v>
      </c>
      <c r="B134" s="10" t="s">
        <v>340</v>
      </c>
      <c r="C134" s="12" t="str">
        <f t="shared" si="2"/>
        <v>MOC-Q-26-11|c</v>
      </c>
      <c r="D134" s="10" t="s">
        <v>341</v>
      </c>
      <c r="E134" s="10" t="s">
        <v>126</v>
      </c>
      <c r="F134" s="10"/>
    </row>
    <row r="135" spans="1:6" ht="16.05" customHeight="1" x14ac:dyDescent="0.3">
      <c r="A135" s="10" t="s">
        <v>244</v>
      </c>
      <c r="B135" s="10" t="s">
        <v>342</v>
      </c>
      <c r="C135" s="12" t="str">
        <f t="shared" si="2"/>
        <v>MOC-Q-26-11|d</v>
      </c>
      <c r="D135" s="10" t="s">
        <v>343</v>
      </c>
      <c r="E135" s="10" t="s">
        <v>126</v>
      </c>
      <c r="F135" s="10"/>
    </row>
    <row r="136" spans="1:6" ht="16.05" customHeight="1" x14ac:dyDescent="0.3">
      <c r="A136" s="10" t="s">
        <v>244</v>
      </c>
      <c r="B136" s="10" t="s">
        <v>344</v>
      </c>
      <c r="C136" s="12" t="str">
        <f t="shared" si="2"/>
        <v>MOC-Q-26-11|e</v>
      </c>
      <c r="D136" s="10" t="s">
        <v>345</v>
      </c>
      <c r="E136" s="10" t="s">
        <v>107</v>
      </c>
      <c r="F136" s="10"/>
    </row>
    <row r="137" spans="1:6" ht="16.05" customHeight="1" x14ac:dyDescent="0.3">
      <c r="A137" s="10" t="s">
        <v>244</v>
      </c>
      <c r="B137" s="10" t="s">
        <v>346</v>
      </c>
      <c r="C137" s="12" t="str">
        <f t="shared" si="2"/>
        <v>MOC-Q-26-11|f</v>
      </c>
      <c r="D137" s="10" t="s">
        <v>347</v>
      </c>
      <c r="E137" s="10" t="s">
        <v>126</v>
      </c>
      <c r="F137" s="10"/>
    </row>
    <row r="138" spans="1:6" ht="16.05" customHeight="1" x14ac:dyDescent="0.3">
      <c r="A138" s="10" t="s">
        <v>244</v>
      </c>
      <c r="B138" s="10" t="s">
        <v>348</v>
      </c>
      <c r="C138" s="12" t="str">
        <f t="shared" si="2"/>
        <v>MOC-Q-26-11|g</v>
      </c>
      <c r="D138" s="10" t="s">
        <v>349</v>
      </c>
      <c r="E138" s="10" t="s">
        <v>126</v>
      </c>
      <c r="F138" s="10"/>
    </row>
    <row r="139" spans="1:6" ht="16.05" customHeight="1" x14ac:dyDescent="0.3">
      <c r="A139" s="10" t="s">
        <v>244</v>
      </c>
      <c r="B139" s="10" t="s">
        <v>350</v>
      </c>
      <c r="C139" s="12" t="str">
        <f t="shared" si="2"/>
        <v>MOC-Q-26-11|h</v>
      </c>
      <c r="D139" s="10" t="s">
        <v>351</v>
      </c>
      <c r="E139" s="10" t="s">
        <v>126</v>
      </c>
      <c r="F139" s="10"/>
    </row>
    <row r="140" spans="1:6" ht="16.05" customHeight="1" x14ac:dyDescent="0.3">
      <c r="A140" s="10" t="s">
        <v>244</v>
      </c>
      <c r="B140" s="10" t="s">
        <v>353</v>
      </c>
      <c r="C140" s="12" t="str">
        <f t="shared" si="2"/>
        <v>MOC-Q-26-11|i</v>
      </c>
      <c r="D140" s="10" t="s">
        <v>354</v>
      </c>
      <c r="E140" s="10" t="s">
        <v>126</v>
      </c>
      <c r="F140" s="10"/>
    </row>
    <row r="141" spans="1:6" ht="16.05" customHeight="1" x14ac:dyDescent="0.3">
      <c r="A141" s="10" t="s">
        <v>244</v>
      </c>
      <c r="B141" s="10" t="s">
        <v>355</v>
      </c>
      <c r="C141" s="12" t="str">
        <f t="shared" si="2"/>
        <v>MOC-Q-26-11|j</v>
      </c>
      <c r="D141" s="10" t="s">
        <v>356</v>
      </c>
      <c r="E141" s="10" t="s">
        <v>126</v>
      </c>
      <c r="F141" s="10"/>
    </row>
    <row r="142" spans="1:6" ht="16.05" customHeight="1" x14ac:dyDescent="0.3">
      <c r="A142" s="10" t="s">
        <v>244</v>
      </c>
      <c r="B142" s="10" t="s">
        <v>357</v>
      </c>
      <c r="C142" s="12" t="str">
        <f t="shared" si="2"/>
        <v>MOC-Q-26-11|k</v>
      </c>
      <c r="D142" s="10" t="s">
        <v>358</v>
      </c>
      <c r="E142" s="10" t="s">
        <v>352</v>
      </c>
      <c r="F142" s="10"/>
    </row>
    <row r="143" spans="1:6" ht="16.05" customHeight="1" x14ac:dyDescent="0.3">
      <c r="A143" s="10" t="s">
        <v>244</v>
      </c>
      <c r="B143" s="10" t="s">
        <v>359</v>
      </c>
      <c r="C143" s="12" t="str">
        <f t="shared" si="2"/>
        <v>MOC-Q-26-11|l</v>
      </c>
      <c r="D143" s="10" t="s">
        <v>360</v>
      </c>
      <c r="E143" s="10" t="s">
        <v>126</v>
      </c>
      <c r="F143" s="10"/>
    </row>
    <row r="144" spans="1:6" ht="16.05" customHeight="1" x14ac:dyDescent="0.3">
      <c r="A144" s="10" t="s">
        <v>244</v>
      </c>
      <c r="B144" s="10" t="s">
        <v>361</v>
      </c>
      <c r="C144" s="12" t="str">
        <f t="shared" si="2"/>
        <v>MOC-Q-26-11|m</v>
      </c>
      <c r="D144" s="10" t="s">
        <v>362</v>
      </c>
      <c r="E144" s="10" t="s">
        <v>352</v>
      </c>
      <c r="F144" s="10"/>
    </row>
    <row r="145" spans="1:6" ht="16.05" customHeight="1" x14ac:dyDescent="0.3">
      <c r="A145" s="10" t="s">
        <v>257</v>
      </c>
      <c r="B145" s="10" t="s">
        <v>336</v>
      </c>
      <c r="C145" s="12" t="str">
        <f t="shared" si="2"/>
        <v>MOC-Q-26-12|a</v>
      </c>
      <c r="D145" s="10" t="s">
        <v>337</v>
      </c>
      <c r="E145" s="10" t="s">
        <v>126</v>
      </c>
      <c r="F145" s="10"/>
    </row>
    <row r="146" spans="1:6" ht="16.05" customHeight="1" x14ac:dyDescent="0.3">
      <c r="A146" s="10" t="s">
        <v>257</v>
      </c>
      <c r="B146" s="10" t="s">
        <v>338</v>
      </c>
      <c r="C146" s="12" t="str">
        <f t="shared" si="2"/>
        <v>MOC-Q-26-12|b</v>
      </c>
      <c r="D146" s="10" t="s">
        <v>339</v>
      </c>
      <c r="E146" s="10" t="s">
        <v>126</v>
      </c>
      <c r="F146" s="10"/>
    </row>
    <row r="147" spans="1:6" ht="16.05" customHeight="1" x14ac:dyDescent="0.3">
      <c r="A147" s="10" t="s">
        <v>257</v>
      </c>
      <c r="B147" s="10" t="s">
        <v>340</v>
      </c>
      <c r="C147" s="12" t="str">
        <f t="shared" si="2"/>
        <v>MOC-Q-26-12|c</v>
      </c>
      <c r="D147" s="10" t="s">
        <v>341</v>
      </c>
      <c r="E147" s="10" t="s">
        <v>126</v>
      </c>
      <c r="F147" s="10"/>
    </row>
    <row r="148" spans="1:6" ht="16.05" customHeight="1" x14ac:dyDescent="0.3">
      <c r="A148" s="10" t="s">
        <v>257</v>
      </c>
      <c r="B148" s="10" t="s">
        <v>342</v>
      </c>
      <c r="C148" s="12" t="str">
        <f t="shared" si="2"/>
        <v>MOC-Q-26-12|d</v>
      </c>
      <c r="D148" s="10" t="s">
        <v>343</v>
      </c>
      <c r="E148" s="10" t="s">
        <v>126</v>
      </c>
      <c r="F148" s="10"/>
    </row>
    <row r="149" spans="1:6" ht="16.05" customHeight="1" x14ac:dyDescent="0.3">
      <c r="A149" s="10" t="s">
        <v>257</v>
      </c>
      <c r="B149" s="10" t="s">
        <v>344</v>
      </c>
      <c r="C149" s="12" t="str">
        <f t="shared" si="2"/>
        <v>MOC-Q-26-12|e</v>
      </c>
      <c r="D149" s="10" t="s">
        <v>345</v>
      </c>
      <c r="E149" s="10" t="s">
        <v>126</v>
      </c>
      <c r="F149" s="10"/>
    </row>
    <row r="150" spans="1:6" ht="16.05" customHeight="1" x14ac:dyDescent="0.3">
      <c r="A150" s="10" t="s">
        <v>257</v>
      </c>
      <c r="B150" s="10" t="s">
        <v>346</v>
      </c>
      <c r="C150" s="12" t="str">
        <f t="shared" si="2"/>
        <v>MOC-Q-26-12|f</v>
      </c>
      <c r="D150" s="10" t="s">
        <v>347</v>
      </c>
      <c r="E150" s="10" t="s">
        <v>126</v>
      </c>
      <c r="F150" s="10"/>
    </row>
    <row r="151" spans="1:6" ht="16.05" customHeight="1" x14ac:dyDescent="0.3">
      <c r="A151" s="10" t="s">
        <v>257</v>
      </c>
      <c r="B151" s="10" t="s">
        <v>348</v>
      </c>
      <c r="C151" s="12" t="str">
        <f t="shared" si="2"/>
        <v>MOC-Q-26-12|g</v>
      </c>
      <c r="D151" s="10" t="s">
        <v>349</v>
      </c>
      <c r="E151" s="10" t="s">
        <v>126</v>
      </c>
      <c r="F151" s="10"/>
    </row>
    <row r="152" spans="1:6" ht="16.05" customHeight="1" x14ac:dyDescent="0.3">
      <c r="A152" s="10" t="s">
        <v>257</v>
      </c>
      <c r="B152" s="10" t="s">
        <v>350</v>
      </c>
      <c r="C152" s="12" t="str">
        <f t="shared" si="2"/>
        <v>MOC-Q-26-12|h</v>
      </c>
      <c r="D152" s="10" t="s">
        <v>351</v>
      </c>
      <c r="E152" s="10" t="s">
        <v>352</v>
      </c>
      <c r="F152" s="10"/>
    </row>
    <row r="153" spans="1:6" ht="16.05" customHeight="1" x14ac:dyDescent="0.3">
      <c r="A153" s="10" t="s">
        <v>257</v>
      </c>
      <c r="B153" s="10" t="s">
        <v>353</v>
      </c>
      <c r="C153" s="12" t="str">
        <f t="shared" si="2"/>
        <v>MOC-Q-26-12|i</v>
      </c>
      <c r="D153" s="10" t="s">
        <v>354</v>
      </c>
      <c r="E153" s="10" t="s">
        <v>107</v>
      </c>
      <c r="F153" s="10"/>
    </row>
    <row r="154" spans="1:6" ht="16.05" customHeight="1" x14ac:dyDescent="0.3">
      <c r="A154" s="10" t="s">
        <v>257</v>
      </c>
      <c r="B154" s="10" t="s">
        <v>355</v>
      </c>
      <c r="C154" s="12" t="str">
        <f t="shared" si="2"/>
        <v>MOC-Q-26-12|j</v>
      </c>
      <c r="D154" s="10" t="s">
        <v>356</v>
      </c>
      <c r="E154" s="10" t="s">
        <v>107</v>
      </c>
      <c r="F154" s="10"/>
    </row>
    <row r="155" spans="1:6" ht="16.05" customHeight="1" x14ac:dyDescent="0.3">
      <c r="A155" s="10" t="s">
        <v>257</v>
      </c>
      <c r="B155" s="10" t="s">
        <v>357</v>
      </c>
      <c r="C155" s="12" t="str">
        <f t="shared" si="2"/>
        <v>MOC-Q-26-12|k</v>
      </c>
      <c r="D155" s="10" t="s">
        <v>358</v>
      </c>
      <c r="E155" s="10" t="s">
        <v>352</v>
      </c>
      <c r="F155" s="10"/>
    </row>
    <row r="156" spans="1:6" ht="16.05" customHeight="1" x14ac:dyDescent="0.3">
      <c r="A156" s="10" t="s">
        <v>257</v>
      </c>
      <c r="B156" s="10" t="s">
        <v>359</v>
      </c>
      <c r="C156" s="12" t="str">
        <f t="shared" si="2"/>
        <v>MOC-Q-26-12|l</v>
      </c>
      <c r="D156" s="10" t="s">
        <v>360</v>
      </c>
      <c r="E156" s="10" t="s">
        <v>352</v>
      </c>
      <c r="F156" s="10"/>
    </row>
    <row r="157" spans="1:6" ht="16.05" customHeight="1" x14ac:dyDescent="0.3">
      <c r="A157" s="10" t="s">
        <v>257</v>
      </c>
      <c r="B157" s="10" t="s">
        <v>361</v>
      </c>
      <c r="C157" s="12" t="str">
        <f t="shared" si="2"/>
        <v>MOC-Q-26-12|m</v>
      </c>
      <c r="D157" s="10" t="s">
        <v>362</v>
      </c>
      <c r="E157" s="10" t="s">
        <v>352</v>
      </c>
      <c r="F157" s="10"/>
    </row>
    <row r="158" spans="1:6" ht="16.05" customHeight="1" x14ac:dyDescent="0.3">
      <c r="A158" s="10" t="s">
        <v>270</v>
      </c>
      <c r="B158" s="10" t="s">
        <v>336</v>
      </c>
      <c r="C158" s="12" t="str">
        <f t="shared" si="2"/>
        <v>MOC-Q-26-13|a</v>
      </c>
      <c r="D158" s="10" t="s">
        <v>337</v>
      </c>
      <c r="E158" s="10" t="s">
        <v>126</v>
      </c>
      <c r="F158" s="10"/>
    </row>
    <row r="159" spans="1:6" ht="16.05" customHeight="1" x14ac:dyDescent="0.3">
      <c r="A159" s="10" t="s">
        <v>270</v>
      </c>
      <c r="B159" s="10" t="s">
        <v>338</v>
      </c>
      <c r="C159" s="12" t="str">
        <f t="shared" si="2"/>
        <v>MOC-Q-26-13|b</v>
      </c>
      <c r="D159" s="10" t="s">
        <v>339</v>
      </c>
      <c r="E159" s="10" t="s">
        <v>126</v>
      </c>
      <c r="F159" s="10"/>
    </row>
    <row r="160" spans="1:6" ht="16.05" customHeight="1" x14ac:dyDescent="0.3">
      <c r="A160" s="10" t="s">
        <v>270</v>
      </c>
      <c r="B160" s="10" t="s">
        <v>340</v>
      </c>
      <c r="C160" s="12" t="str">
        <f t="shared" si="2"/>
        <v>MOC-Q-26-13|c</v>
      </c>
      <c r="D160" s="10" t="s">
        <v>341</v>
      </c>
      <c r="E160" s="10" t="s">
        <v>126</v>
      </c>
      <c r="F160" s="10"/>
    </row>
    <row r="161" spans="1:6" ht="16.05" customHeight="1" x14ac:dyDescent="0.3">
      <c r="A161" s="10" t="s">
        <v>270</v>
      </c>
      <c r="B161" s="10" t="s">
        <v>342</v>
      </c>
      <c r="C161" s="12" t="str">
        <f t="shared" si="2"/>
        <v>MOC-Q-26-13|d</v>
      </c>
      <c r="D161" s="10" t="s">
        <v>343</v>
      </c>
      <c r="E161" s="10" t="s">
        <v>107</v>
      </c>
      <c r="F161" s="10"/>
    </row>
    <row r="162" spans="1:6" ht="16.05" customHeight="1" x14ac:dyDescent="0.3">
      <c r="A162" s="10" t="s">
        <v>270</v>
      </c>
      <c r="B162" s="10" t="s">
        <v>344</v>
      </c>
      <c r="C162" s="12" t="str">
        <f t="shared" si="2"/>
        <v>MOC-Q-26-13|e</v>
      </c>
      <c r="D162" s="10" t="s">
        <v>345</v>
      </c>
      <c r="E162" s="10" t="s">
        <v>107</v>
      </c>
      <c r="F162" s="10"/>
    </row>
    <row r="163" spans="1:6" ht="16.05" customHeight="1" x14ac:dyDescent="0.3">
      <c r="A163" s="10" t="s">
        <v>270</v>
      </c>
      <c r="B163" s="10" t="s">
        <v>346</v>
      </c>
      <c r="C163" s="12" t="str">
        <f t="shared" si="2"/>
        <v>MOC-Q-26-13|f</v>
      </c>
      <c r="D163" s="10" t="s">
        <v>347</v>
      </c>
      <c r="E163" s="10" t="s">
        <v>107</v>
      </c>
      <c r="F163" s="10"/>
    </row>
    <row r="164" spans="1:6" ht="16.05" customHeight="1" x14ac:dyDescent="0.3">
      <c r="A164" s="10" t="s">
        <v>270</v>
      </c>
      <c r="B164" s="10" t="s">
        <v>348</v>
      </c>
      <c r="C164" s="12" t="str">
        <f t="shared" si="2"/>
        <v>MOC-Q-26-13|g</v>
      </c>
      <c r="D164" s="10" t="s">
        <v>349</v>
      </c>
      <c r="E164" s="10" t="s">
        <v>107</v>
      </c>
      <c r="F164" s="10"/>
    </row>
    <row r="165" spans="1:6" ht="16.05" customHeight="1" x14ac:dyDescent="0.3">
      <c r="A165" s="10" t="s">
        <v>270</v>
      </c>
      <c r="B165" s="10" t="s">
        <v>350</v>
      </c>
      <c r="C165" s="12" t="str">
        <f t="shared" si="2"/>
        <v>MOC-Q-26-13|h</v>
      </c>
      <c r="D165" s="10" t="s">
        <v>351</v>
      </c>
      <c r="E165" s="10" t="s">
        <v>352</v>
      </c>
      <c r="F165" s="10"/>
    </row>
    <row r="166" spans="1:6" ht="16.05" customHeight="1" x14ac:dyDescent="0.3">
      <c r="A166" s="10" t="s">
        <v>270</v>
      </c>
      <c r="B166" s="10" t="s">
        <v>353</v>
      </c>
      <c r="C166" s="12" t="str">
        <f t="shared" si="2"/>
        <v>MOC-Q-26-13|i</v>
      </c>
      <c r="D166" s="10" t="s">
        <v>354</v>
      </c>
      <c r="E166" s="10" t="s">
        <v>107</v>
      </c>
      <c r="F166" s="10"/>
    </row>
    <row r="167" spans="1:6" ht="16.05" customHeight="1" x14ac:dyDescent="0.3">
      <c r="A167" s="10" t="s">
        <v>270</v>
      </c>
      <c r="B167" s="10" t="s">
        <v>355</v>
      </c>
      <c r="C167" s="12" t="str">
        <f t="shared" si="2"/>
        <v>MOC-Q-26-13|j</v>
      </c>
      <c r="D167" s="10" t="s">
        <v>356</v>
      </c>
      <c r="E167" s="10" t="s">
        <v>107</v>
      </c>
      <c r="F167" s="10"/>
    </row>
    <row r="168" spans="1:6" ht="16.05" customHeight="1" x14ac:dyDescent="0.3">
      <c r="A168" s="10" t="s">
        <v>270</v>
      </c>
      <c r="B168" s="10" t="s">
        <v>357</v>
      </c>
      <c r="C168" s="12" t="str">
        <f t="shared" si="2"/>
        <v>MOC-Q-26-13|k</v>
      </c>
      <c r="D168" s="10" t="s">
        <v>358</v>
      </c>
      <c r="E168" s="10" t="s">
        <v>352</v>
      </c>
      <c r="F168" s="10"/>
    </row>
    <row r="169" spans="1:6" ht="16.05" customHeight="1" x14ac:dyDescent="0.3">
      <c r="A169" s="10" t="s">
        <v>270</v>
      </c>
      <c r="B169" s="10" t="s">
        <v>359</v>
      </c>
      <c r="C169" s="12" t="str">
        <f t="shared" si="2"/>
        <v>MOC-Q-26-13|l</v>
      </c>
      <c r="D169" s="10" t="s">
        <v>360</v>
      </c>
      <c r="E169" s="10" t="s">
        <v>126</v>
      </c>
      <c r="F169" s="10"/>
    </row>
    <row r="170" spans="1:6" ht="16.05" customHeight="1" x14ac:dyDescent="0.3">
      <c r="A170" s="10" t="s">
        <v>270</v>
      </c>
      <c r="B170" s="10" t="s">
        <v>361</v>
      </c>
      <c r="C170" s="12" t="str">
        <f t="shared" si="2"/>
        <v>MOC-Q-26-13|m</v>
      </c>
      <c r="D170" s="10" t="s">
        <v>362</v>
      </c>
      <c r="E170" s="10" t="s">
        <v>107</v>
      </c>
      <c r="F170" s="10"/>
    </row>
    <row r="171" spans="1:6" ht="16.05" customHeight="1" x14ac:dyDescent="0.3">
      <c r="A171" s="10" t="s">
        <v>280</v>
      </c>
      <c r="B171" s="10" t="s">
        <v>336</v>
      </c>
      <c r="C171" s="12" t="str">
        <f t="shared" si="2"/>
        <v>MOC-Q-26-14|a</v>
      </c>
      <c r="D171" s="10" t="s">
        <v>337</v>
      </c>
      <c r="E171" s="10" t="s">
        <v>126</v>
      </c>
      <c r="F171" s="10"/>
    </row>
    <row r="172" spans="1:6" ht="16.05" customHeight="1" x14ac:dyDescent="0.3">
      <c r="A172" s="10" t="s">
        <v>280</v>
      </c>
      <c r="B172" s="10" t="s">
        <v>338</v>
      </c>
      <c r="C172" s="12" t="str">
        <f t="shared" si="2"/>
        <v>MOC-Q-26-14|b</v>
      </c>
      <c r="D172" s="10" t="s">
        <v>339</v>
      </c>
      <c r="E172" s="10" t="s">
        <v>126</v>
      </c>
      <c r="F172" s="10"/>
    </row>
    <row r="173" spans="1:6" ht="16.05" customHeight="1" x14ac:dyDescent="0.3">
      <c r="A173" s="10" t="s">
        <v>280</v>
      </c>
      <c r="B173" s="10" t="s">
        <v>340</v>
      </c>
      <c r="C173" s="12" t="str">
        <f t="shared" si="2"/>
        <v>MOC-Q-26-14|c</v>
      </c>
      <c r="D173" s="10" t="s">
        <v>341</v>
      </c>
      <c r="E173" s="10" t="s">
        <v>126</v>
      </c>
      <c r="F173" s="10"/>
    </row>
    <row r="174" spans="1:6" ht="16.05" customHeight="1" x14ac:dyDescent="0.3">
      <c r="A174" s="10" t="s">
        <v>280</v>
      </c>
      <c r="B174" s="10" t="s">
        <v>342</v>
      </c>
      <c r="C174" s="12" t="str">
        <f t="shared" si="2"/>
        <v>MOC-Q-26-14|d</v>
      </c>
      <c r="D174" s="10" t="s">
        <v>343</v>
      </c>
      <c r="E174" s="10" t="s">
        <v>126</v>
      </c>
      <c r="F174" s="10"/>
    </row>
    <row r="175" spans="1:6" ht="16.05" customHeight="1" x14ac:dyDescent="0.3">
      <c r="A175" s="10" t="s">
        <v>280</v>
      </c>
      <c r="B175" s="10" t="s">
        <v>344</v>
      </c>
      <c r="C175" s="12" t="str">
        <f t="shared" si="2"/>
        <v>MOC-Q-26-14|e</v>
      </c>
      <c r="D175" s="10" t="s">
        <v>345</v>
      </c>
      <c r="E175" s="10" t="s">
        <v>126</v>
      </c>
      <c r="F175" s="10"/>
    </row>
    <row r="176" spans="1:6" ht="16.05" customHeight="1" x14ac:dyDescent="0.3">
      <c r="A176" s="10" t="s">
        <v>280</v>
      </c>
      <c r="B176" s="10" t="s">
        <v>346</v>
      </c>
      <c r="C176" s="12" t="str">
        <f t="shared" si="2"/>
        <v>MOC-Q-26-14|f</v>
      </c>
      <c r="D176" s="10" t="s">
        <v>347</v>
      </c>
      <c r="E176" s="10" t="s">
        <v>126</v>
      </c>
      <c r="F176" s="10"/>
    </row>
    <row r="177" spans="1:6" ht="16.05" customHeight="1" x14ac:dyDescent="0.3">
      <c r="A177" s="10" t="s">
        <v>280</v>
      </c>
      <c r="B177" s="10" t="s">
        <v>348</v>
      </c>
      <c r="C177" s="12" t="str">
        <f t="shared" si="2"/>
        <v>MOC-Q-26-14|g</v>
      </c>
      <c r="D177" s="10" t="s">
        <v>349</v>
      </c>
      <c r="E177" s="10" t="s">
        <v>126</v>
      </c>
      <c r="F177" s="10"/>
    </row>
    <row r="178" spans="1:6" ht="16.05" customHeight="1" x14ac:dyDescent="0.3">
      <c r="A178" s="10" t="s">
        <v>280</v>
      </c>
      <c r="B178" s="10" t="s">
        <v>350</v>
      </c>
      <c r="C178" s="12" t="str">
        <f t="shared" si="2"/>
        <v>MOC-Q-26-14|h</v>
      </c>
      <c r="D178" s="10" t="s">
        <v>351</v>
      </c>
      <c r="E178" s="10" t="s">
        <v>352</v>
      </c>
      <c r="F178" s="10"/>
    </row>
    <row r="179" spans="1:6" ht="16.05" customHeight="1" x14ac:dyDescent="0.3">
      <c r="A179" s="10" t="s">
        <v>280</v>
      </c>
      <c r="B179" s="10" t="s">
        <v>353</v>
      </c>
      <c r="C179" s="12" t="str">
        <f t="shared" si="2"/>
        <v>MOC-Q-26-14|i</v>
      </c>
      <c r="D179" s="10" t="s">
        <v>354</v>
      </c>
      <c r="E179" s="10" t="s">
        <v>126</v>
      </c>
      <c r="F179" s="10"/>
    </row>
    <row r="180" spans="1:6" ht="16.05" customHeight="1" x14ac:dyDescent="0.3">
      <c r="A180" s="10" t="s">
        <v>280</v>
      </c>
      <c r="B180" s="10" t="s">
        <v>355</v>
      </c>
      <c r="C180" s="12" t="str">
        <f t="shared" si="2"/>
        <v>MOC-Q-26-14|j</v>
      </c>
      <c r="D180" s="10" t="s">
        <v>356</v>
      </c>
      <c r="E180" s="10" t="s">
        <v>126</v>
      </c>
      <c r="F180" s="10"/>
    </row>
    <row r="181" spans="1:6" ht="16.05" customHeight="1" x14ac:dyDescent="0.3">
      <c r="A181" s="10" t="s">
        <v>280</v>
      </c>
      <c r="B181" s="10" t="s">
        <v>357</v>
      </c>
      <c r="C181" s="12" t="str">
        <f t="shared" si="2"/>
        <v>MOC-Q-26-14|k</v>
      </c>
      <c r="D181" s="10" t="s">
        <v>358</v>
      </c>
      <c r="E181" s="10" t="s">
        <v>352</v>
      </c>
      <c r="F181" s="10"/>
    </row>
    <row r="182" spans="1:6" ht="16.05" customHeight="1" x14ac:dyDescent="0.3">
      <c r="A182" s="10" t="s">
        <v>280</v>
      </c>
      <c r="B182" s="10" t="s">
        <v>359</v>
      </c>
      <c r="C182" s="12" t="str">
        <f t="shared" si="2"/>
        <v>MOC-Q-26-14|l</v>
      </c>
      <c r="D182" s="10" t="s">
        <v>360</v>
      </c>
      <c r="E182" s="10" t="s">
        <v>352</v>
      </c>
      <c r="F182" s="10"/>
    </row>
    <row r="183" spans="1:6" ht="16.05" customHeight="1" x14ac:dyDescent="0.3">
      <c r="A183" s="10" t="s">
        <v>280</v>
      </c>
      <c r="B183" s="10" t="s">
        <v>361</v>
      </c>
      <c r="C183" s="12" t="str">
        <f t="shared" si="2"/>
        <v>MOC-Q-26-14|m</v>
      </c>
      <c r="D183" s="10" t="s">
        <v>362</v>
      </c>
      <c r="E183" s="10" t="s">
        <v>352</v>
      </c>
      <c r="F183" s="10"/>
    </row>
    <row r="184" spans="1:6" ht="16.05" customHeight="1" x14ac:dyDescent="0.3">
      <c r="A184" s="10" t="s">
        <v>294</v>
      </c>
      <c r="B184" s="10" t="s">
        <v>336</v>
      </c>
      <c r="C184" s="12" t="str">
        <f t="shared" si="2"/>
        <v>MOC-Q-26-15|a</v>
      </c>
      <c r="D184" s="10" t="s">
        <v>337</v>
      </c>
      <c r="E184" s="10" t="s">
        <v>126</v>
      </c>
      <c r="F184" s="10"/>
    </row>
    <row r="185" spans="1:6" ht="16.05" customHeight="1" x14ac:dyDescent="0.3">
      <c r="A185" s="10" t="s">
        <v>294</v>
      </c>
      <c r="B185" s="10" t="s">
        <v>338</v>
      </c>
      <c r="C185" s="12" t="str">
        <f t="shared" si="2"/>
        <v>MOC-Q-26-15|b</v>
      </c>
      <c r="D185" s="10" t="s">
        <v>339</v>
      </c>
      <c r="E185" s="10" t="s">
        <v>126</v>
      </c>
      <c r="F185" s="10"/>
    </row>
    <row r="186" spans="1:6" ht="16.05" customHeight="1" x14ac:dyDescent="0.3">
      <c r="A186" s="10" t="s">
        <v>294</v>
      </c>
      <c r="B186" s="10" t="s">
        <v>340</v>
      </c>
      <c r="C186" s="12" t="str">
        <f t="shared" si="2"/>
        <v>MOC-Q-26-15|c</v>
      </c>
      <c r="D186" s="10" t="s">
        <v>341</v>
      </c>
      <c r="E186" s="10" t="s">
        <v>126</v>
      </c>
      <c r="F186" s="10"/>
    </row>
    <row r="187" spans="1:6" ht="16.05" customHeight="1" x14ac:dyDescent="0.3">
      <c r="A187" s="10" t="s">
        <v>294</v>
      </c>
      <c r="B187" s="10" t="s">
        <v>342</v>
      </c>
      <c r="C187" s="12" t="str">
        <f t="shared" si="2"/>
        <v>MOC-Q-26-15|d</v>
      </c>
      <c r="D187" s="10" t="s">
        <v>343</v>
      </c>
      <c r="E187" s="10" t="s">
        <v>126</v>
      </c>
      <c r="F187" s="10"/>
    </row>
    <row r="188" spans="1:6" ht="16.05" customHeight="1" x14ac:dyDescent="0.3">
      <c r="A188" s="10" t="s">
        <v>294</v>
      </c>
      <c r="B188" s="10" t="s">
        <v>344</v>
      </c>
      <c r="C188" s="12" t="str">
        <f t="shared" si="2"/>
        <v>MOC-Q-26-15|e</v>
      </c>
      <c r="D188" s="10" t="s">
        <v>345</v>
      </c>
      <c r="E188" s="10" t="s">
        <v>126</v>
      </c>
      <c r="F188" s="10"/>
    </row>
    <row r="189" spans="1:6" ht="16.05" customHeight="1" x14ac:dyDescent="0.3">
      <c r="A189" s="10" t="s">
        <v>294</v>
      </c>
      <c r="B189" s="10" t="s">
        <v>346</v>
      </c>
      <c r="C189" s="12" t="str">
        <f t="shared" si="2"/>
        <v>MOC-Q-26-15|f</v>
      </c>
      <c r="D189" s="10" t="s">
        <v>347</v>
      </c>
      <c r="E189" s="10" t="s">
        <v>126</v>
      </c>
      <c r="F189" s="10"/>
    </row>
    <row r="190" spans="1:6" ht="16.05" customHeight="1" x14ac:dyDescent="0.3">
      <c r="A190" s="10" t="s">
        <v>294</v>
      </c>
      <c r="B190" s="10" t="s">
        <v>348</v>
      </c>
      <c r="C190" s="12" t="str">
        <f t="shared" si="2"/>
        <v>MOC-Q-26-15|g</v>
      </c>
      <c r="D190" s="10" t="s">
        <v>349</v>
      </c>
      <c r="E190" s="10" t="s">
        <v>126</v>
      </c>
      <c r="F190" s="10"/>
    </row>
    <row r="191" spans="1:6" ht="16.05" customHeight="1" x14ac:dyDescent="0.3">
      <c r="A191" s="10" t="s">
        <v>294</v>
      </c>
      <c r="B191" s="10" t="s">
        <v>350</v>
      </c>
      <c r="C191" s="12" t="str">
        <f t="shared" si="2"/>
        <v>MOC-Q-26-15|h</v>
      </c>
      <c r="D191" s="10" t="s">
        <v>351</v>
      </c>
      <c r="E191" s="10" t="s">
        <v>352</v>
      </c>
      <c r="F191" s="10"/>
    </row>
    <row r="192" spans="1:6" ht="16.05" customHeight="1" x14ac:dyDescent="0.3">
      <c r="A192" s="10" t="s">
        <v>294</v>
      </c>
      <c r="B192" s="10" t="s">
        <v>353</v>
      </c>
      <c r="C192" s="12" t="str">
        <f t="shared" si="2"/>
        <v>MOC-Q-26-15|i</v>
      </c>
      <c r="D192" s="10" t="s">
        <v>354</v>
      </c>
      <c r="E192" s="10" t="s">
        <v>126</v>
      </c>
      <c r="F192" s="10"/>
    </row>
    <row r="193" spans="1:6" ht="16.05" customHeight="1" x14ac:dyDescent="0.3">
      <c r="A193" s="10" t="s">
        <v>294</v>
      </c>
      <c r="B193" s="10" t="s">
        <v>355</v>
      </c>
      <c r="C193" s="12" t="str">
        <f t="shared" si="2"/>
        <v>MOC-Q-26-15|j</v>
      </c>
      <c r="D193" s="10" t="s">
        <v>356</v>
      </c>
      <c r="E193" s="10" t="s">
        <v>352</v>
      </c>
      <c r="F193" s="10"/>
    </row>
    <row r="194" spans="1:6" ht="16.05" customHeight="1" x14ac:dyDescent="0.3">
      <c r="A194" s="10" t="s">
        <v>294</v>
      </c>
      <c r="B194" s="10" t="s">
        <v>357</v>
      </c>
      <c r="C194" s="12" t="str">
        <f t="shared" ref="C194:C257" si="3">A194&amp;"|"&amp;B194</f>
        <v>MOC-Q-26-15|k</v>
      </c>
      <c r="D194" s="10" t="s">
        <v>358</v>
      </c>
      <c r="E194" s="10" t="s">
        <v>352</v>
      </c>
      <c r="F194" s="10"/>
    </row>
    <row r="195" spans="1:6" ht="16.05" customHeight="1" x14ac:dyDescent="0.3">
      <c r="A195" s="10" t="s">
        <v>294</v>
      </c>
      <c r="B195" s="10" t="s">
        <v>359</v>
      </c>
      <c r="C195" s="12" t="str">
        <f t="shared" si="3"/>
        <v>MOC-Q-26-15|l</v>
      </c>
      <c r="D195" s="10" t="s">
        <v>360</v>
      </c>
      <c r="E195" s="10" t="s">
        <v>352</v>
      </c>
      <c r="F195" s="10"/>
    </row>
    <row r="196" spans="1:6" ht="16.05" customHeight="1" x14ac:dyDescent="0.3">
      <c r="A196" s="10" t="s">
        <v>294</v>
      </c>
      <c r="B196" s="10" t="s">
        <v>361</v>
      </c>
      <c r="C196" s="12" t="str">
        <f t="shared" si="3"/>
        <v>MOC-Q-26-15|m</v>
      </c>
      <c r="D196" s="10" t="s">
        <v>362</v>
      </c>
      <c r="E196" s="10" t="s">
        <v>126</v>
      </c>
      <c r="F196" s="10"/>
    </row>
    <row r="197" spans="1:6" ht="16.05" customHeight="1" x14ac:dyDescent="0.3">
      <c r="A197" s="10" t="s">
        <v>306</v>
      </c>
      <c r="B197" s="10" t="s">
        <v>336</v>
      </c>
      <c r="C197" s="12" t="str">
        <f t="shared" si="3"/>
        <v>MOC-Q-26-16|a</v>
      </c>
      <c r="D197" s="10" t="s">
        <v>337</v>
      </c>
      <c r="E197" s="10" t="s">
        <v>126</v>
      </c>
      <c r="F197" s="10"/>
    </row>
    <row r="198" spans="1:6" ht="16.05" customHeight="1" x14ac:dyDescent="0.3">
      <c r="A198" s="10" t="s">
        <v>306</v>
      </c>
      <c r="B198" s="10" t="s">
        <v>338</v>
      </c>
      <c r="C198" s="12" t="str">
        <f t="shared" si="3"/>
        <v>MOC-Q-26-16|b</v>
      </c>
      <c r="D198" s="10" t="s">
        <v>339</v>
      </c>
      <c r="E198" s="10" t="s">
        <v>126</v>
      </c>
      <c r="F198" s="10"/>
    </row>
    <row r="199" spans="1:6" ht="16.05" customHeight="1" x14ac:dyDescent="0.3">
      <c r="A199" s="10" t="s">
        <v>306</v>
      </c>
      <c r="B199" s="10" t="s">
        <v>340</v>
      </c>
      <c r="C199" s="12" t="str">
        <f t="shared" si="3"/>
        <v>MOC-Q-26-16|c</v>
      </c>
      <c r="D199" s="10" t="s">
        <v>341</v>
      </c>
      <c r="E199" s="10" t="s">
        <v>126</v>
      </c>
      <c r="F199" s="10"/>
    </row>
    <row r="200" spans="1:6" ht="16.05" customHeight="1" x14ac:dyDescent="0.3">
      <c r="A200" s="10" t="s">
        <v>306</v>
      </c>
      <c r="B200" s="10" t="s">
        <v>342</v>
      </c>
      <c r="C200" s="12" t="str">
        <f t="shared" si="3"/>
        <v>MOC-Q-26-16|d</v>
      </c>
      <c r="D200" s="10" t="s">
        <v>343</v>
      </c>
      <c r="E200" s="10" t="s">
        <v>126</v>
      </c>
      <c r="F200" s="10"/>
    </row>
    <row r="201" spans="1:6" ht="16.05" customHeight="1" x14ac:dyDescent="0.3">
      <c r="A201" s="10" t="s">
        <v>306</v>
      </c>
      <c r="B201" s="10" t="s">
        <v>344</v>
      </c>
      <c r="C201" s="12" t="str">
        <f t="shared" si="3"/>
        <v>MOC-Q-26-16|e</v>
      </c>
      <c r="D201" s="10" t="s">
        <v>345</v>
      </c>
      <c r="E201" s="10" t="s">
        <v>126</v>
      </c>
      <c r="F201" s="10"/>
    </row>
    <row r="202" spans="1:6" ht="16.05" customHeight="1" x14ac:dyDescent="0.3">
      <c r="A202" s="10" t="s">
        <v>306</v>
      </c>
      <c r="B202" s="10" t="s">
        <v>346</v>
      </c>
      <c r="C202" s="12" t="str">
        <f t="shared" si="3"/>
        <v>MOC-Q-26-16|f</v>
      </c>
      <c r="D202" s="10" t="s">
        <v>347</v>
      </c>
      <c r="E202" s="10" t="s">
        <v>126</v>
      </c>
      <c r="F202" s="10"/>
    </row>
    <row r="203" spans="1:6" ht="16.05" customHeight="1" x14ac:dyDescent="0.3">
      <c r="A203" s="10" t="s">
        <v>306</v>
      </c>
      <c r="B203" s="10" t="s">
        <v>348</v>
      </c>
      <c r="C203" s="12" t="str">
        <f t="shared" si="3"/>
        <v>MOC-Q-26-16|g</v>
      </c>
      <c r="D203" s="10" t="s">
        <v>349</v>
      </c>
      <c r="E203" s="10" t="s">
        <v>126</v>
      </c>
      <c r="F203" s="10"/>
    </row>
    <row r="204" spans="1:6" ht="16.05" customHeight="1" x14ac:dyDescent="0.3">
      <c r="A204" s="10" t="s">
        <v>306</v>
      </c>
      <c r="B204" s="10" t="s">
        <v>350</v>
      </c>
      <c r="C204" s="12" t="str">
        <f t="shared" si="3"/>
        <v>MOC-Q-26-16|h</v>
      </c>
      <c r="D204" s="10" t="s">
        <v>351</v>
      </c>
      <c r="E204" s="10" t="s">
        <v>126</v>
      </c>
      <c r="F204" s="10"/>
    </row>
    <row r="205" spans="1:6" ht="16.05" customHeight="1" x14ac:dyDescent="0.3">
      <c r="A205" s="10" t="s">
        <v>306</v>
      </c>
      <c r="B205" s="10" t="s">
        <v>353</v>
      </c>
      <c r="C205" s="12" t="str">
        <f t="shared" si="3"/>
        <v>MOC-Q-26-16|i</v>
      </c>
      <c r="D205" s="10" t="s">
        <v>354</v>
      </c>
      <c r="E205" s="10" t="s">
        <v>126</v>
      </c>
      <c r="F205" s="10"/>
    </row>
    <row r="206" spans="1:6" ht="16.05" customHeight="1" x14ac:dyDescent="0.3">
      <c r="A206" s="10" t="s">
        <v>306</v>
      </c>
      <c r="B206" s="10" t="s">
        <v>355</v>
      </c>
      <c r="C206" s="12" t="str">
        <f t="shared" si="3"/>
        <v>MOC-Q-26-16|j</v>
      </c>
      <c r="D206" s="10" t="s">
        <v>356</v>
      </c>
      <c r="E206" s="10" t="s">
        <v>352</v>
      </c>
      <c r="F206" s="10"/>
    </row>
    <row r="207" spans="1:6" ht="16.05" customHeight="1" x14ac:dyDescent="0.3">
      <c r="A207" s="10" t="s">
        <v>306</v>
      </c>
      <c r="B207" s="10" t="s">
        <v>357</v>
      </c>
      <c r="C207" s="12" t="str">
        <f t="shared" si="3"/>
        <v>MOC-Q-26-16|k</v>
      </c>
      <c r="D207" s="10" t="s">
        <v>358</v>
      </c>
      <c r="E207" s="10" t="s">
        <v>126</v>
      </c>
      <c r="F207" s="10"/>
    </row>
    <row r="208" spans="1:6" ht="16.05" customHeight="1" x14ac:dyDescent="0.3">
      <c r="A208" s="10" t="s">
        <v>306</v>
      </c>
      <c r="B208" s="10" t="s">
        <v>359</v>
      </c>
      <c r="C208" s="12" t="str">
        <f t="shared" si="3"/>
        <v>MOC-Q-26-16|l</v>
      </c>
      <c r="D208" s="10" t="s">
        <v>360</v>
      </c>
      <c r="E208" s="10" t="s">
        <v>126</v>
      </c>
      <c r="F208" s="10"/>
    </row>
    <row r="209" spans="1:6" ht="16.05" customHeight="1" x14ac:dyDescent="0.3">
      <c r="A209" s="10" t="s">
        <v>306</v>
      </c>
      <c r="B209" s="10" t="s">
        <v>361</v>
      </c>
      <c r="C209" s="12" t="str">
        <f t="shared" si="3"/>
        <v>MOC-Q-26-16|m</v>
      </c>
      <c r="D209" s="10" t="s">
        <v>362</v>
      </c>
      <c r="E209" s="10" t="s">
        <v>352</v>
      </c>
      <c r="F209" s="10"/>
    </row>
    <row r="210" spans="1:6" ht="16.05" customHeight="1" x14ac:dyDescent="0.3">
      <c r="A210" s="10" t="s">
        <v>320</v>
      </c>
      <c r="B210" s="10" t="s">
        <v>336</v>
      </c>
      <c r="C210" s="12" t="str">
        <f t="shared" si="3"/>
        <v>MOC-Q-26-17|a</v>
      </c>
      <c r="D210" s="10" t="s">
        <v>337</v>
      </c>
      <c r="E210" s="10" t="s">
        <v>126</v>
      </c>
      <c r="F210" s="10"/>
    </row>
    <row r="211" spans="1:6" ht="16.05" customHeight="1" x14ac:dyDescent="0.3">
      <c r="A211" s="10" t="s">
        <v>320</v>
      </c>
      <c r="B211" s="10" t="s">
        <v>338</v>
      </c>
      <c r="C211" s="12" t="str">
        <f t="shared" si="3"/>
        <v>MOC-Q-26-17|b</v>
      </c>
      <c r="D211" s="10" t="s">
        <v>339</v>
      </c>
      <c r="E211" s="10" t="s">
        <v>126</v>
      </c>
      <c r="F211" s="10"/>
    </row>
    <row r="212" spans="1:6" ht="16.05" customHeight="1" x14ac:dyDescent="0.3">
      <c r="A212" s="10" t="s">
        <v>320</v>
      </c>
      <c r="B212" s="10" t="s">
        <v>340</v>
      </c>
      <c r="C212" s="12" t="str">
        <f t="shared" si="3"/>
        <v>MOC-Q-26-17|c</v>
      </c>
      <c r="D212" s="10" t="s">
        <v>341</v>
      </c>
      <c r="E212" s="10" t="s">
        <v>126</v>
      </c>
      <c r="F212" s="10"/>
    </row>
    <row r="213" spans="1:6" ht="16.05" customHeight="1" x14ac:dyDescent="0.3">
      <c r="A213" s="10" t="s">
        <v>320</v>
      </c>
      <c r="B213" s="10" t="s">
        <v>342</v>
      </c>
      <c r="C213" s="12" t="str">
        <f t="shared" si="3"/>
        <v>MOC-Q-26-17|d</v>
      </c>
      <c r="D213" s="10" t="s">
        <v>343</v>
      </c>
      <c r="E213" s="10" t="s">
        <v>126</v>
      </c>
      <c r="F213" s="10"/>
    </row>
    <row r="214" spans="1:6" ht="16.05" customHeight="1" x14ac:dyDescent="0.3">
      <c r="A214" s="10" t="s">
        <v>320</v>
      </c>
      <c r="B214" s="10" t="s">
        <v>344</v>
      </c>
      <c r="C214" s="12" t="str">
        <f t="shared" si="3"/>
        <v>MOC-Q-26-17|e</v>
      </c>
      <c r="D214" s="10" t="s">
        <v>345</v>
      </c>
      <c r="E214" s="10" t="s">
        <v>126</v>
      </c>
      <c r="F214" s="10"/>
    </row>
    <row r="215" spans="1:6" ht="16.05" customHeight="1" x14ac:dyDescent="0.3">
      <c r="A215" s="10" t="s">
        <v>320</v>
      </c>
      <c r="B215" s="10" t="s">
        <v>346</v>
      </c>
      <c r="C215" s="12" t="str">
        <f t="shared" si="3"/>
        <v>MOC-Q-26-17|f</v>
      </c>
      <c r="D215" s="10" t="s">
        <v>347</v>
      </c>
      <c r="E215" s="10" t="s">
        <v>126</v>
      </c>
      <c r="F215" s="10"/>
    </row>
    <row r="216" spans="1:6" ht="16.05" customHeight="1" x14ac:dyDescent="0.3">
      <c r="A216" s="10" t="s">
        <v>320</v>
      </c>
      <c r="B216" s="10" t="s">
        <v>348</v>
      </c>
      <c r="C216" s="12" t="str">
        <f t="shared" si="3"/>
        <v>MOC-Q-26-17|g</v>
      </c>
      <c r="D216" s="10" t="s">
        <v>349</v>
      </c>
      <c r="E216" s="10" t="s">
        <v>126</v>
      </c>
      <c r="F216" s="10"/>
    </row>
    <row r="217" spans="1:6" ht="16.05" customHeight="1" x14ac:dyDescent="0.3">
      <c r="A217" s="10" t="s">
        <v>320</v>
      </c>
      <c r="B217" s="10" t="s">
        <v>350</v>
      </c>
      <c r="C217" s="12" t="str">
        <f t="shared" si="3"/>
        <v>MOC-Q-26-17|h</v>
      </c>
      <c r="D217" s="10" t="s">
        <v>351</v>
      </c>
      <c r="E217" s="10" t="s">
        <v>352</v>
      </c>
      <c r="F217" s="10"/>
    </row>
    <row r="218" spans="1:6" ht="16.05" customHeight="1" x14ac:dyDescent="0.3">
      <c r="A218" s="10" t="s">
        <v>320</v>
      </c>
      <c r="B218" s="10" t="s">
        <v>353</v>
      </c>
      <c r="C218" s="12" t="str">
        <f t="shared" si="3"/>
        <v>MOC-Q-26-17|i</v>
      </c>
      <c r="D218" s="10" t="s">
        <v>354</v>
      </c>
      <c r="E218" s="10" t="s">
        <v>107</v>
      </c>
      <c r="F218" s="10"/>
    </row>
    <row r="219" spans="1:6" ht="16.05" customHeight="1" x14ac:dyDescent="0.3">
      <c r="A219" s="10" t="s">
        <v>320</v>
      </c>
      <c r="B219" s="10" t="s">
        <v>355</v>
      </c>
      <c r="C219" s="12" t="str">
        <f t="shared" si="3"/>
        <v>MOC-Q-26-17|j</v>
      </c>
      <c r="D219" s="10" t="s">
        <v>356</v>
      </c>
      <c r="E219" s="10" t="s">
        <v>352</v>
      </c>
      <c r="F219" s="10"/>
    </row>
    <row r="220" spans="1:6" ht="16.05" customHeight="1" x14ac:dyDescent="0.3">
      <c r="A220" s="10" t="s">
        <v>320</v>
      </c>
      <c r="B220" s="10" t="s">
        <v>357</v>
      </c>
      <c r="C220" s="12" t="str">
        <f t="shared" si="3"/>
        <v>MOC-Q-26-17|k</v>
      </c>
      <c r="D220" s="10" t="s">
        <v>358</v>
      </c>
      <c r="E220" s="10" t="s">
        <v>352</v>
      </c>
      <c r="F220" s="10"/>
    </row>
    <row r="221" spans="1:6" ht="16.05" customHeight="1" x14ac:dyDescent="0.3">
      <c r="A221" s="10" t="s">
        <v>320</v>
      </c>
      <c r="B221" s="10" t="s">
        <v>359</v>
      </c>
      <c r="C221" s="12" t="str">
        <f t="shared" si="3"/>
        <v>MOC-Q-26-17|l</v>
      </c>
      <c r="D221" s="10" t="s">
        <v>360</v>
      </c>
      <c r="E221" s="10" t="s">
        <v>352</v>
      </c>
      <c r="F221" s="10"/>
    </row>
    <row r="222" spans="1:6" ht="16.05" customHeight="1" x14ac:dyDescent="0.3">
      <c r="A222" s="10" t="s">
        <v>320</v>
      </c>
      <c r="B222" s="10" t="s">
        <v>361</v>
      </c>
      <c r="C222" s="12" t="str">
        <f t="shared" si="3"/>
        <v>MOC-Q-26-17|m</v>
      </c>
      <c r="D222" s="10" t="s">
        <v>362</v>
      </c>
      <c r="E222" s="10" t="s">
        <v>352</v>
      </c>
      <c r="F222" s="10"/>
    </row>
  </sheetData>
  <conditionalFormatting sqref="E2:E422">
    <cfRule type="expression" dxfId="1" priority="1">
      <formula>ISNUMBER(SEARCH("Não",E2))</formula>
    </cfRule>
    <cfRule type="expression" dxfId="0" priority="2">
      <formula>ISNUMBER(SEARCH("Sim",E2))</formula>
    </cfRule>
  </conditionalFormatting>
  <dataValidations count="1">
    <dataValidation type="list" allowBlank="1" showErrorMessage="1" errorTitle="Valor inválido" error="Valor fora da lista controlada (ver folha Listas)." sqref="E2:E422" xr:uid="{00000000-0002-0000-0200-000000000000}">
      <formula1>lst_SimNaoNA</formula1>
    </dataValidation>
  </dataValidations>
  <pageMargins left="0.75" right="0.75" top="1" bottom="1" header="0.5" footer="0.5"/>
  <pageSetup fitToHeight="0" orientation="landscape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14"/>
  <sheetViews>
    <sheetView showGridLines="0" workbookViewId="0"/>
  </sheetViews>
  <sheetFormatPr defaultRowHeight="14.4" x14ac:dyDescent="0.3"/>
  <cols>
    <col min="1" max="1" width="24" customWidth="1"/>
    <col min="2" max="2" width="8" customWidth="1"/>
    <col min="3" max="3" width="12" customWidth="1"/>
    <col min="4" max="4" width="10" customWidth="1"/>
    <col min="5" max="6" width="20" customWidth="1"/>
  </cols>
  <sheetData>
    <row r="1" spans="1:6" ht="17.399999999999999" x14ac:dyDescent="0.3">
      <c r="A1" s="1" t="s">
        <v>363</v>
      </c>
    </row>
    <row r="2" spans="1:6" x14ac:dyDescent="0.3">
      <c r="A2" s="2" t="s">
        <v>364</v>
      </c>
    </row>
    <row r="4" spans="1:6" ht="26.4" x14ac:dyDescent="0.3">
      <c r="A4" s="8" t="s">
        <v>70</v>
      </c>
      <c r="B4" s="8" t="s">
        <v>365</v>
      </c>
      <c r="C4" s="8" t="s">
        <v>366</v>
      </c>
      <c r="D4" s="8" t="s">
        <v>367</v>
      </c>
      <c r="E4" s="8" t="s">
        <v>368</v>
      </c>
      <c r="F4" s="8" t="s">
        <v>369</v>
      </c>
    </row>
    <row r="5" spans="1:6" x14ac:dyDescent="0.3">
      <c r="A5" s="15" t="s">
        <v>96</v>
      </c>
      <c r="B5" s="16">
        <f>COUNTIF(tbl_alteracoes[Tipo],A5)</f>
        <v>1</v>
      </c>
      <c r="C5" s="16">
        <f>COUNTIFS(tbl_alteracoes[Tipo],A5,tbl_alteracoes[Natureza],"Não prevista")</f>
        <v>0</v>
      </c>
      <c r="D5" s="16">
        <f>COUNTIFS(tbl_alteracoes[Tipo],A5,tbl_alteracoes[Estado],"Em implementação")+COUNTIFS(tbl_alteracoes[Tipo],A5,tbl_alteracoes[Estado],"Aprovada")+COUNTIFS(tbl_alteracoes[Tipo],A5,tbl_alteracoes[Estado],"Em análise")</f>
        <v>1</v>
      </c>
      <c r="E5" s="16">
        <f>COUNTIFS(tbl_alteracoes[Tipo],A5,tbl_alteracoes[Estado],"Implementada")+COUNTIFS(tbl_alteracoes[Tipo],A5,tbl_alteracoes[Estado],"Fechada")</f>
        <v>0</v>
      </c>
      <c r="F5" s="16">
        <f>COUNTIFS(tbl_alteracoes[Tipo],A5,tbl_alteracoes[Alerta],"&lt;&gt;OK",tbl_alteracoes[ID_Alteracao],"&lt;&gt;")</f>
        <v>0</v>
      </c>
    </row>
    <row r="6" spans="1:6" x14ac:dyDescent="0.3">
      <c r="A6" s="15" t="s">
        <v>161</v>
      </c>
      <c r="B6" s="16">
        <f>COUNTIF(tbl_alteracoes[Tipo],A6)</f>
        <v>3</v>
      </c>
      <c r="C6" s="16">
        <f>COUNTIFS(tbl_alteracoes[Tipo],A6,tbl_alteracoes[Natureza],"Não prevista")</f>
        <v>1</v>
      </c>
      <c r="D6" s="16">
        <f>COUNTIFS(tbl_alteracoes[Tipo],A6,tbl_alteracoes[Estado],"Em implementação")+COUNTIFS(tbl_alteracoes[Tipo],A6,tbl_alteracoes[Estado],"Aprovada")+COUNTIFS(tbl_alteracoes[Tipo],A6,tbl_alteracoes[Estado],"Em análise")</f>
        <v>0</v>
      </c>
      <c r="E6" s="16">
        <f>COUNTIFS(tbl_alteracoes[Tipo],A6,tbl_alteracoes[Estado],"Implementada")+COUNTIFS(tbl_alteracoes[Tipo],A6,tbl_alteracoes[Estado],"Fechada")</f>
        <v>3</v>
      </c>
      <c r="F6" s="16">
        <f>COUNTIFS(tbl_alteracoes[Tipo],A6,tbl_alteracoes[Alerta],"&lt;&gt;OK",tbl_alteracoes[ID_Alteracao],"&lt;&gt;")</f>
        <v>0</v>
      </c>
    </row>
    <row r="7" spans="1:6" x14ac:dyDescent="0.3">
      <c r="A7" s="15" t="s">
        <v>146</v>
      </c>
      <c r="B7" s="16">
        <f>COUNTIF(tbl_alteracoes[Tipo],A7)</f>
        <v>2</v>
      </c>
      <c r="C7" s="16">
        <f>COUNTIFS(tbl_alteracoes[Tipo],A7,tbl_alteracoes[Natureza],"Não prevista")</f>
        <v>1</v>
      </c>
      <c r="D7" s="16">
        <f>COUNTIFS(tbl_alteracoes[Tipo],A7,tbl_alteracoes[Estado],"Em implementação")+COUNTIFS(tbl_alteracoes[Tipo],A7,tbl_alteracoes[Estado],"Aprovada")+COUNTIFS(tbl_alteracoes[Tipo],A7,tbl_alteracoes[Estado],"Em análise")</f>
        <v>0</v>
      </c>
      <c r="E7" s="16">
        <f>COUNTIFS(tbl_alteracoes[Tipo],A7,tbl_alteracoes[Estado],"Implementada")+COUNTIFS(tbl_alteracoes[Tipo],A7,tbl_alteracoes[Estado],"Fechada")</f>
        <v>2</v>
      </c>
      <c r="F7" s="16">
        <f>COUNTIFS(tbl_alteracoes[Tipo],A7,tbl_alteracoes[Alerta],"&lt;&gt;OK",tbl_alteracoes[ID_Alteracao],"&lt;&gt;")</f>
        <v>0</v>
      </c>
    </row>
    <row r="8" spans="1:6" x14ac:dyDescent="0.3">
      <c r="A8" s="15" t="s">
        <v>116</v>
      </c>
      <c r="B8" s="16">
        <f>COUNTIF(tbl_alteracoes[Tipo],A8)</f>
        <v>4</v>
      </c>
      <c r="C8" s="16">
        <f>COUNTIFS(tbl_alteracoes[Tipo],A8,tbl_alteracoes[Natureza],"Não prevista")</f>
        <v>1</v>
      </c>
      <c r="D8" s="16">
        <f>COUNTIFS(tbl_alteracoes[Tipo],A8,tbl_alteracoes[Estado],"Em implementação")+COUNTIFS(tbl_alteracoes[Tipo],A8,tbl_alteracoes[Estado],"Aprovada")+COUNTIFS(tbl_alteracoes[Tipo],A8,tbl_alteracoes[Estado],"Em análise")</f>
        <v>1</v>
      </c>
      <c r="E8" s="16">
        <f>COUNTIFS(tbl_alteracoes[Tipo],A8,tbl_alteracoes[Estado],"Implementada")+COUNTIFS(tbl_alteracoes[Tipo],A8,tbl_alteracoes[Estado],"Fechada")</f>
        <v>3</v>
      </c>
      <c r="F8" s="16">
        <f>COUNTIFS(tbl_alteracoes[Tipo],A8,tbl_alteracoes[Alerta],"&lt;&gt;OK",tbl_alteracoes[ID_Alteracao],"&lt;&gt;")</f>
        <v>1</v>
      </c>
    </row>
    <row r="9" spans="1:6" x14ac:dyDescent="0.3">
      <c r="A9" s="15" t="s">
        <v>193</v>
      </c>
      <c r="B9" s="16">
        <f>COUNTIF(tbl_alteracoes[Tipo],A9)</f>
        <v>1</v>
      </c>
      <c r="C9" s="16">
        <f>COUNTIFS(tbl_alteracoes[Tipo],A9,tbl_alteracoes[Natureza],"Não prevista")</f>
        <v>0</v>
      </c>
      <c r="D9" s="16">
        <f>COUNTIFS(tbl_alteracoes[Tipo],A9,tbl_alteracoes[Estado],"Em implementação")+COUNTIFS(tbl_alteracoes[Tipo],A9,tbl_alteracoes[Estado],"Aprovada")+COUNTIFS(tbl_alteracoes[Tipo],A9,tbl_alteracoes[Estado],"Em análise")</f>
        <v>0</v>
      </c>
      <c r="E9" s="16">
        <f>COUNTIFS(tbl_alteracoes[Tipo],A9,tbl_alteracoes[Estado],"Implementada")+COUNTIFS(tbl_alteracoes[Tipo],A9,tbl_alteracoes[Estado],"Fechada")</f>
        <v>1</v>
      </c>
      <c r="F9" s="16">
        <f>COUNTIFS(tbl_alteracoes[Tipo],A9,tbl_alteracoes[Alerta],"&lt;&gt;OK",tbl_alteracoes[ID_Alteracao],"&lt;&gt;")</f>
        <v>0</v>
      </c>
    </row>
    <row r="10" spans="1:6" x14ac:dyDescent="0.3">
      <c r="A10" s="15" t="s">
        <v>177</v>
      </c>
      <c r="B10" s="16">
        <f>COUNTIF(tbl_alteracoes[Tipo],A10)</f>
        <v>2</v>
      </c>
      <c r="C10" s="16">
        <f>COUNTIFS(tbl_alteracoes[Tipo],A10,tbl_alteracoes[Natureza],"Não prevista")</f>
        <v>0</v>
      </c>
      <c r="D10" s="16">
        <f>COUNTIFS(tbl_alteracoes[Tipo],A10,tbl_alteracoes[Estado],"Em implementação")+COUNTIFS(tbl_alteracoes[Tipo],A10,tbl_alteracoes[Estado],"Aprovada")+COUNTIFS(tbl_alteracoes[Tipo],A10,tbl_alteracoes[Estado],"Em análise")</f>
        <v>1</v>
      </c>
      <c r="E10" s="16">
        <f>COUNTIFS(tbl_alteracoes[Tipo],A10,tbl_alteracoes[Estado],"Implementada")+COUNTIFS(tbl_alteracoes[Tipo],A10,tbl_alteracoes[Estado],"Fechada")</f>
        <v>1</v>
      </c>
      <c r="F10" s="16">
        <f>COUNTIFS(tbl_alteracoes[Tipo],A10,tbl_alteracoes[Alerta],"&lt;&gt;OK",tbl_alteracoes[ID_Alteracao],"&lt;&gt;")</f>
        <v>0</v>
      </c>
    </row>
    <row r="11" spans="1:6" x14ac:dyDescent="0.3">
      <c r="A11" s="15" t="s">
        <v>295</v>
      </c>
      <c r="B11" s="16">
        <f>COUNTIF(tbl_alteracoes[Tipo],A11)</f>
        <v>1</v>
      </c>
      <c r="C11" s="16">
        <f>COUNTIFS(tbl_alteracoes[Tipo],A11,tbl_alteracoes[Natureza],"Não prevista")</f>
        <v>1</v>
      </c>
      <c r="D11" s="16">
        <f>COUNTIFS(tbl_alteracoes[Tipo],A11,tbl_alteracoes[Estado],"Em implementação")+COUNTIFS(tbl_alteracoes[Tipo],A11,tbl_alteracoes[Estado],"Aprovada")+COUNTIFS(tbl_alteracoes[Tipo],A11,tbl_alteracoes[Estado],"Em análise")</f>
        <v>0</v>
      </c>
      <c r="E11" s="16">
        <f>COUNTIFS(tbl_alteracoes[Tipo],A11,tbl_alteracoes[Estado],"Implementada")+COUNTIFS(tbl_alteracoes[Tipo],A11,tbl_alteracoes[Estado],"Fechada")</f>
        <v>1</v>
      </c>
      <c r="F11" s="16">
        <f>COUNTIFS(tbl_alteracoes[Tipo],A11,tbl_alteracoes[Alerta],"&lt;&gt;OK",tbl_alteracoes[ID_Alteracao],"&lt;&gt;")</f>
        <v>0</v>
      </c>
    </row>
    <row r="12" spans="1:6" x14ac:dyDescent="0.3">
      <c r="A12" s="15" t="s">
        <v>281</v>
      </c>
      <c r="B12" s="16">
        <f>COUNTIF(tbl_alteracoes[Tipo],A12)</f>
        <v>1</v>
      </c>
      <c r="C12" s="16">
        <f>COUNTIFS(tbl_alteracoes[Tipo],A12,tbl_alteracoes[Natureza],"Não prevista")</f>
        <v>0</v>
      </c>
      <c r="D12" s="16">
        <f>COUNTIFS(tbl_alteracoes[Tipo],A12,tbl_alteracoes[Estado],"Em implementação")+COUNTIFS(tbl_alteracoes[Tipo],A12,tbl_alteracoes[Estado],"Aprovada")+COUNTIFS(tbl_alteracoes[Tipo],A12,tbl_alteracoes[Estado],"Em análise")</f>
        <v>0</v>
      </c>
      <c r="E12" s="16">
        <f>COUNTIFS(tbl_alteracoes[Tipo],A12,tbl_alteracoes[Estado],"Implementada")+COUNTIFS(tbl_alteracoes[Tipo],A12,tbl_alteracoes[Estado],"Fechada")</f>
        <v>1</v>
      </c>
      <c r="F12" s="16">
        <f>COUNTIFS(tbl_alteracoes[Tipo],A12,tbl_alteracoes[Alerta],"&lt;&gt;OK",tbl_alteracoes[ID_Alteracao],"&lt;&gt;")</f>
        <v>0</v>
      </c>
    </row>
    <row r="13" spans="1:6" x14ac:dyDescent="0.3">
      <c r="A13" s="15" t="s">
        <v>219</v>
      </c>
      <c r="B13" s="16">
        <f>COUNTIF(tbl_alteracoes[Tipo],A13)</f>
        <v>2</v>
      </c>
      <c r="C13" s="16">
        <f>COUNTIFS(tbl_alteracoes[Tipo],A13,tbl_alteracoes[Natureza],"Não prevista")</f>
        <v>1</v>
      </c>
      <c r="D13" s="16">
        <f>COUNTIFS(tbl_alteracoes[Tipo],A13,tbl_alteracoes[Estado],"Em implementação")+COUNTIFS(tbl_alteracoes[Tipo],A13,tbl_alteracoes[Estado],"Aprovada")+COUNTIFS(tbl_alteracoes[Tipo],A13,tbl_alteracoes[Estado],"Em análise")</f>
        <v>1</v>
      </c>
      <c r="E13" s="16">
        <f>COUNTIFS(tbl_alteracoes[Tipo],A13,tbl_alteracoes[Estado],"Implementada")+COUNTIFS(tbl_alteracoes[Tipo],A13,tbl_alteracoes[Estado],"Fechada")</f>
        <v>1</v>
      </c>
      <c r="F13" s="16">
        <f>COUNTIFS(tbl_alteracoes[Tipo],A13,tbl_alteracoes[Alerta],"&lt;&gt;OK",tbl_alteracoes[ID_Alteracao],"&lt;&gt;")</f>
        <v>0</v>
      </c>
    </row>
    <row r="14" spans="1:6" x14ac:dyDescent="0.3">
      <c r="A14" s="17" t="s">
        <v>365</v>
      </c>
      <c r="B14" s="18">
        <f>SUM(B5:B13)</f>
        <v>17</v>
      </c>
      <c r="C14" s="18">
        <f>SUM(C5:C13)</f>
        <v>5</v>
      </c>
      <c r="D14" s="18">
        <f>SUM(D5:D13)</f>
        <v>4</v>
      </c>
      <c r="E14" s="18">
        <f>SUM(E5:E13)</f>
        <v>13</v>
      </c>
      <c r="F14" s="18">
        <f>SUM(F5:F13)</f>
        <v>1</v>
      </c>
    </row>
  </sheetData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"/>
  <sheetViews>
    <sheetView workbookViewId="0">
      <pane ySplit="2" topLeftCell="A3" activePane="bottomLeft" state="frozen"/>
      <selection pane="bottomLeft"/>
    </sheetView>
  </sheetViews>
  <sheetFormatPr defaultRowHeight="14.4" x14ac:dyDescent="0.3"/>
  <cols>
    <col min="1" max="1" width="16" customWidth="1"/>
    <col min="2" max="2" width="22" customWidth="1"/>
    <col min="3" max="5" width="16" customWidth="1"/>
    <col min="6" max="6" width="18" customWidth="1"/>
    <col min="7" max="7" width="16" customWidth="1"/>
    <col min="8" max="8" width="45" customWidth="1"/>
  </cols>
  <sheetData>
    <row r="1" spans="1:8" x14ac:dyDescent="0.3">
      <c r="A1" s="19" t="s">
        <v>370</v>
      </c>
    </row>
    <row r="2" spans="1:8" x14ac:dyDescent="0.3">
      <c r="A2" s="20" t="s">
        <v>371</v>
      </c>
      <c r="B2" s="20" t="s">
        <v>372</v>
      </c>
      <c r="C2" s="20" t="s">
        <v>72</v>
      </c>
      <c r="D2" s="20" t="s">
        <v>373</v>
      </c>
      <c r="E2" s="20" t="s">
        <v>374</v>
      </c>
      <c r="F2" s="20" t="s">
        <v>375</v>
      </c>
      <c r="G2" s="20" t="s">
        <v>376</v>
      </c>
      <c r="H2" s="20" t="s">
        <v>377</v>
      </c>
    </row>
    <row r="3" spans="1:8" x14ac:dyDescent="0.3">
      <c r="A3" s="21">
        <v>46387</v>
      </c>
      <c r="B3" s="6" t="s">
        <v>96</v>
      </c>
      <c r="C3" s="6" t="s">
        <v>98</v>
      </c>
      <c r="D3" s="6" t="s">
        <v>126</v>
      </c>
      <c r="E3" s="6" t="s">
        <v>126</v>
      </c>
      <c r="F3" s="6" t="s">
        <v>378</v>
      </c>
      <c r="G3" s="6" t="s">
        <v>174</v>
      </c>
      <c r="H3" s="6" t="s">
        <v>111</v>
      </c>
    </row>
    <row r="4" spans="1:8" x14ac:dyDescent="0.3">
      <c r="B4" s="6" t="s">
        <v>161</v>
      </c>
      <c r="C4" s="6" t="s">
        <v>207</v>
      </c>
      <c r="D4" s="6" t="s">
        <v>107</v>
      </c>
      <c r="E4" s="6" t="s">
        <v>107</v>
      </c>
      <c r="F4" s="6" t="s">
        <v>269</v>
      </c>
      <c r="G4" s="6" t="s">
        <v>131</v>
      </c>
      <c r="H4" s="6" t="s">
        <v>130</v>
      </c>
    </row>
    <row r="5" spans="1:8" x14ac:dyDescent="0.3">
      <c r="B5" s="6" t="s">
        <v>146</v>
      </c>
      <c r="E5" s="6" t="s">
        <v>352</v>
      </c>
      <c r="F5" s="6" t="s">
        <v>113</v>
      </c>
      <c r="G5" s="6" t="s">
        <v>144</v>
      </c>
      <c r="H5" s="6" t="s">
        <v>11</v>
      </c>
    </row>
    <row r="6" spans="1:8" x14ac:dyDescent="0.3">
      <c r="B6" s="6" t="s">
        <v>116</v>
      </c>
      <c r="F6" s="6" t="s">
        <v>132</v>
      </c>
      <c r="G6" s="6" t="s">
        <v>112</v>
      </c>
      <c r="H6" s="6" t="s">
        <v>318</v>
      </c>
    </row>
    <row r="7" spans="1:8" x14ac:dyDescent="0.3">
      <c r="B7" s="6" t="s">
        <v>193</v>
      </c>
      <c r="F7" s="6" t="s">
        <v>175</v>
      </c>
      <c r="H7" s="6" t="s">
        <v>198</v>
      </c>
    </row>
    <row r="8" spans="1:8" x14ac:dyDescent="0.3">
      <c r="B8" s="6" t="s">
        <v>177</v>
      </c>
      <c r="F8" s="6" t="s">
        <v>379</v>
      </c>
      <c r="H8" s="6" t="s">
        <v>380</v>
      </c>
    </row>
    <row r="9" spans="1:8" x14ac:dyDescent="0.3">
      <c r="B9" s="6" t="s">
        <v>295</v>
      </c>
      <c r="H9" s="6" t="s">
        <v>190</v>
      </c>
    </row>
    <row r="10" spans="1:8" x14ac:dyDescent="0.3">
      <c r="B10" s="6" t="s">
        <v>281</v>
      </c>
      <c r="H10" s="6" t="s">
        <v>151</v>
      </c>
    </row>
    <row r="11" spans="1:8" x14ac:dyDescent="0.3">
      <c r="B11" s="6" t="s">
        <v>219</v>
      </c>
      <c r="H11" s="6" t="s">
        <v>237</v>
      </c>
    </row>
    <row r="12" spans="1:8" x14ac:dyDescent="0.3">
      <c r="H12" s="6" t="s">
        <v>381</v>
      </c>
    </row>
    <row r="13" spans="1:8" x14ac:dyDescent="0.3">
      <c r="H13" s="6" t="s">
        <v>382</v>
      </c>
    </row>
    <row r="14" spans="1:8" x14ac:dyDescent="0.3">
      <c r="H14" s="6" t="s">
        <v>383</v>
      </c>
    </row>
    <row r="15" spans="1:8" x14ac:dyDescent="0.3">
      <c r="H15" s="6" t="s">
        <v>384</v>
      </c>
    </row>
    <row r="16" spans="1:8" x14ac:dyDescent="0.3">
      <c r="H16" s="6" t="s">
        <v>166</v>
      </c>
    </row>
    <row r="17" spans="8:8" x14ac:dyDescent="0.3">
      <c r="H17" s="6" t="s">
        <v>385</v>
      </c>
    </row>
    <row r="18" spans="8:8" x14ac:dyDescent="0.3">
      <c r="H18" s="6" t="s">
        <v>386</v>
      </c>
    </row>
    <row r="19" spans="8:8" x14ac:dyDescent="0.3">
      <c r="H19" s="6" t="s">
        <v>387</v>
      </c>
    </row>
    <row r="20" spans="8:8" x14ac:dyDescent="0.3">
      <c r="H20" s="6" t="s">
        <v>388</v>
      </c>
    </row>
    <row r="21" spans="8:8" x14ac:dyDescent="0.3">
      <c r="H21" s="6" t="s">
        <v>389</v>
      </c>
    </row>
    <row r="22" spans="8:8" x14ac:dyDescent="0.3">
      <c r="H22" s="6" t="s">
        <v>390</v>
      </c>
    </row>
    <row r="23" spans="8:8" x14ac:dyDescent="0.3">
      <c r="H23" s="6" t="s">
        <v>391</v>
      </c>
    </row>
    <row r="24" spans="8:8" x14ac:dyDescent="0.3">
      <c r="H24" s="6" t="s">
        <v>392</v>
      </c>
    </row>
    <row r="25" spans="8:8" x14ac:dyDescent="0.3">
      <c r="H25" s="6" t="s">
        <v>393</v>
      </c>
    </row>
    <row r="26" spans="8:8" x14ac:dyDescent="0.3">
      <c r="H26" s="6" t="s">
        <v>394</v>
      </c>
    </row>
    <row r="27" spans="8:8" x14ac:dyDescent="0.3">
      <c r="H27" s="6" t="s">
        <v>395</v>
      </c>
    </row>
    <row r="28" spans="8:8" x14ac:dyDescent="0.3">
      <c r="H28" s="6" t="s">
        <v>396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22" customWidth="1"/>
    <col min="2" max="2" width="24" customWidth="1"/>
    <col min="3" max="3" width="30" customWidth="1"/>
    <col min="4" max="4" width="16" customWidth="1"/>
    <col min="5" max="5" width="18" customWidth="1"/>
    <col min="6" max="6" width="70" customWidth="1"/>
    <col min="7" max="7" width="36" customWidth="1"/>
    <col min="8" max="8" width="11" customWidth="1"/>
    <col min="9" max="9" width="12" customWidth="1"/>
  </cols>
  <sheetData>
    <row r="1" spans="1:9" x14ac:dyDescent="0.3">
      <c r="A1" s="8" t="s">
        <v>397</v>
      </c>
      <c r="B1" s="8" t="s">
        <v>398</v>
      </c>
      <c r="C1" s="8" t="s">
        <v>399</v>
      </c>
      <c r="D1" s="8" t="s">
        <v>70</v>
      </c>
      <c r="E1" s="8" t="s">
        <v>69</v>
      </c>
      <c r="F1" s="8" t="s">
        <v>71</v>
      </c>
      <c r="G1" s="8" t="s">
        <v>400</v>
      </c>
      <c r="H1" s="8" t="s">
        <v>401</v>
      </c>
      <c r="I1" s="8" t="s">
        <v>332</v>
      </c>
    </row>
    <row r="2" spans="1:9" x14ac:dyDescent="0.3">
      <c r="A2" s="15" t="s">
        <v>35</v>
      </c>
      <c r="B2" s="15" t="s">
        <v>402</v>
      </c>
      <c r="C2" s="15" t="s">
        <v>67</v>
      </c>
      <c r="D2" s="15" t="s">
        <v>403</v>
      </c>
      <c r="E2" s="15" t="s">
        <v>404</v>
      </c>
      <c r="F2" s="15" t="s">
        <v>405</v>
      </c>
      <c r="G2" s="15" t="s">
        <v>406</v>
      </c>
      <c r="H2" s="15" t="s">
        <v>126</v>
      </c>
      <c r="I2" s="15" t="s">
        <v>407</v>
      </c>
    </row>
    <row r="3" spans="1:9" ht="26.4" x14ac:dyDescent="0.3">
      <c r="A3" s="15" t="s">
        <v>35</v>
      </c>
      <c r="B3" s="15" t="s">
        <v>402</v>
      </c>
      <c r="C3" s="15" t="s">
        <v>68</v>
      </c>
      <c r="D3" s="15" t="s">
        <v>408</v>
      </c>
      <c r="E3" s="15" t="s">
        <v>404</v>
      </c>
      <c r="F3" s="15" t="s">
        <v>409</v>
      </c>
      <c r="G3" s="15"/>
      <c r="H3" s="15" t="s">
        <v>126</v>
      </c>
      <c r="I3" s="15"/>
    </row>
    <row r="4" spans="1:9" x14ac:dyDescent="0.3">
      <c r="A4" s="15" t="s">
        <v>35</v>
      </c>
      <c r="B4" s="15" t="s">
        <v>402</v>
      </c>
      <c r="C4" s="15" t="s">
        <v>69</v>
      </c>
      <c r="D4" s="15" t="s">
        <v>403</v>
      </c>
      <c r="E4" s="15" t="s">
        <v>410</v>
      </c>
      <c r="F4" s="15" t="s">
        <v>411</v>
      </c>
      <c r="G4" s="15"/>
      <c r="H4" s="15" t="s">
        <v>126</v>
      </c>
      <c r="I4" s="15"/>
    </row>
    <row r="5" spans="1:9" x14ac:dyDescent="0.3">
      <c r="A5" s="15" t="s">
        <v>35</v>
      </c>
      <c r="B5" s="15" t="s">
        <v>402</v>
      </c>
      <c r="C5" s="15" t="s">
        <v>70</v>
      </c>
      <c r="D5" s="15" t="s">
        <v>403</v>
      </c>
      <c r="E5" s="15" t="s">
        <v>404</v>
      </c>
      <c r="F5" s="15" t="s">
        <v>412</v>
      </c>
      <c r="G5" s="15" t="s">
        <v>413</v>
      </c>
      <c r="H5" s="15" t="s">
        <v>126</v>
      </c>
      <c r="I5" s="15"/>
    </row>
    <row r="6" spans="1:9" x14ac:dyDescent="0.3">
      <c r="A6" s="15" t="s">
        <v>35</v>
      </c>
      <c r="B6" s="15" t="s">
        <v>402</v>
      </c>
      <c r="C6" s="15" t="s">
        <v>71</v>
      </c>
      <c r="D6" s="15" t="s">
        <v>403</v>
      </c>
      <c r="E6" s="15" t="s">
        <v>404</v>
      </c>
      <c r="F6" s="15" t="s">
        <v>414</v>
      </c>
      <c r="G6" s="15"/>
      <c r="H6" s="15" t="s">
        <v>126</v>
      </c>
      <c r="I6" s="15"/>
    </row>
    <row r="7" spans="1:9" x14ac:dyDescent="0.3">
      <c r="A7" s="15" t="s">
        <v>35</v>
      </c>
      <c r="B7" s="15" t="s">
        <v>402</v>
      </c>
      <c r="C7" s="15" t="s">
        <v>72</v>
      </c>
      <c r="D7" s="15" t="s">
        <v>403</v>
      </c>
      <c r="E7" s="15" t="s">
        <v>404</v>
      </c>
      <c r="F7" s="15" t="s">
        <v>415</v>
      </c>
      <c r="G7" s="15" t="s">
        <v>416</v>
      </c>
      <c r="H7" s="15" t="s">
        <v>126</v>
      </c>
      <c r="I7" s="15"/>
    </row>
    <row r="8" spans="1:9" x14ac:dyDescent="0.3">
      <c r="A8" s="15" t="s">
        <v>35</v>
      </c>
      <c r="B8" s="15" t="s">
        <v>402</v>
      </c>
      <c r="C8" s="15" t="s">
        <v>73</v>
      </c>
      <c r="D8" s="15" t="s">
        <v>403</v>
      </c>
      <c r="E8" s="15" t="s">
        <v>404</v>
      </c>
      <c r="F8" s="15" t="s">
        <v>417</v>
      </c>
      <c r="G8" s="15"/>
      <c r="H8" s="15" t="s">
        <v>126</v>
      </c>
      <c r="I8" s="15"/>
    </row>
    <row r="9" spans="1:9" x14ac:dyDescent="0.3">
      <c r="A9" s="15" t="s">
        <v>35</v>
      </c>
      <c r="B9" s="15" t="s">
        <v>402</v>
      </c>
      <c r="C9" s="15" t="s">
        <v>74</v>
      </c>
      <c r="D9" s="15" t="s">
        <v>403</v>
      </c>
      <c r="E9" s="15" t="s">
        <v>404</v>
      </c>
      <c r="F9" s="15" t="s">
        <v>418</v>
      </c>
      <c r="G9" s="15"/>
      <c r="H9" s="15" t="s">
        <v>126</v>
      </c>
      <c r="I9" s="15"/>
    </row>
    <row r="10" spans="1:9" x14ac:dyDescent="0.3">
      <c r="A10" s="15" t="s">
        <v>35</v>
      </c>
      <c r="B10" s="15" t="s">
        <v>402</v>
      </c>
      <c r="C10" s="15" t="s">
        <v>75</v>
      </c>
      <c r="D10" s="15" t="s">
        <v>403</v>
      </c>
      <c r="E10" s="15" t="s">
        <v>404</v>
      </c>
      <c r="F10" s="15" t="s">
        <v>419</v>
      </c>
      <c r="G10" s="15"/>
      <c r="H10" s="15" t="s">
        <v>126</v>
      </c>
      <c r="I10" s="15"/>
    </row>
    <row r="11" spans="1:9" x14ac:dyDescent="0.3">
      <c r="A11" s="15" t="s">
        <v>35</v>
      </c>
      <c r="B11" s="15" t="s">
        <v>402</v>
      </c>
      <c r="C11" s="15" t="s">
        <v>76</v>
      </c>
      <c r="D11" s="15" t="s">
        <v>403</v>
      </c>
      <c r="E11" s="15" t="s">
        <v>404</v>
      </c>
      <c r="F11" s="15" t="s">
        <v>420</v>
      </c>
      <c r="G11" s="15"/>
      <c r="H11" s="15" t="s">
        <v>126</v>
      </c>
      <c r="I11" s="15"/>
    </row>
    <row r="12" spans="1:9" x14ac:dyDescent="0.3">
      <c r="A12" s="15" t="s">
        <v>35</v>
      </c>
      <c r="B12" s="15" t="s">
        <v>402</v>
      </c>
      <c r="C12" s="15" t="s">
        <v>77</v>
      </c>
      <c r="D12" s="15" t="s">
        <v>403</v>
      </c>
      <c r="E12" s="15" t="s">
        <v>404</v>
      </c>
      <c r="F12" s="15" t="s">
        <v>421</v>
      </c>
      <c r="G12" s="15"/>
      <c r="H12" s="15" t="s">
        <v>126</v>
      </c>
      <c r="I12" s="15"/>
    </row>
    <row r="13" spans="1:9" x14ac:dyDescent="0.3">
      <c r="A13" s="15" t="s">
        <v>35</v>
      </c>
      <c r="B13" s="15" t="s">
        <v>402</v>
      </c>
      <c r="C13" s="15" t="s">
        <v>78</v>
      </c>
      <c r="D13" s="15" t="s">
        <v>403</v>
      </c>
      <c r="E13" s="15" t="s">
        <v>404</v>
      </c>
      <c r="F13" s="15" t="s">
        <v>422</v>
      </c>
      <c r="G13" s="15"/>
      <c r="H13" s="15" t="s">
        <v>126</v>
      </c>
      <c r="I13" s="15"/>
    </row>
    <row r="14" spans="1:9" x14ac:dyDescent="0.3">
      <c r="A14" s="15" t="s">
        <v>35</v>
      </c>
      <c r="B14" s="15" t="s">
        <v>402</v>
      </c>
      <c r="C14" s="15" t="s">
        <v>79</v>
      </c>
      <c r="D14" s="15" t="s">
        <v>403</v>
      </c>
      <c r="E14" s="15" t="s">
        <v>404</v>
      </c>
      <c r="F14" s="15" t="s">
        <v>423</v>
      </c>
      <c r="G14" s="15"/>
      <c r="H14" s="15" t="s">
        <v>126</v>
      </c>
      <c r="I14" s="15"/>
    </row>
    <row r="15" spans="1:9" ht="26.4" x14ac:dyDescent="0.3">
      <c r="A15" s="15" t="s">
        <v>35</v>
      </c>
      <c r="B15" s="15" t="s">
        <v>402</v>
      </c>
      <c r="C15" s="15" t="s">
        <v>80</v>
      </c>
      <c r="D15" s="15" t="s">
        <v>424</v>
      </c>
      <c r="E15" s="15" t="s">
        <v>410</v>
      </c>
      <c r="F15" s="15" t="s">
        <v>425</v>
      </c>
      <c r="G15" s="15"/>
      <c r="H15" s="15" t="s">
        <v>126</v>
      </c>
      <c r="I15" s="15"/>
    </row>
    <row r="16" spans="1:9" x14ac:dyDescent="0.3">
      <c r="A16" s="15" t="s">
        <v>35</v>
      </c>
      <c r="B16" s="15" t="s">
        <v>402</v>
      </c>
      <c r="C16" s="15" t="s">
        <v>81</v>
      </c>
      <c r="D16" s="15" t="s">
        <v>403</v>
      </c>
      <c r="E16" s="15" t="s">
        <v>404</v>
      </c>
      <c r="F16" s="15" t="s">
        <v>426</v>
      </c>
      <c r="G16" s="15"/>
      <c r="H16" s="15" t="s">
        <v>126</v>
      </c>
      <c r="I16" s="15"/>
    </row>
    <row r="17" spans="1:9" x14ac:dyDescent="0.3">
      <c r="A17" s="15" t="s">
        <v>35</v>
      </c>
      <c r="B17" s="15" t="s">
        <v>402</v>
      </c>
      <c r="C17" s="15" t="s">
        <v>82</v>
      </c>
      <c r="D17" s="15" t="s">
        <v>403</v>
      </c>
      <c r="E17" s="15" t="s">
        <v>404</v>
      </c>
      <c r="F17" s="15" t="s">
        <v>427</v>
      </c>
      <c r="G17" s="15" t="s">
        <v>428</v>
      </c>
      <c r="H17" s="15" t="s">
        <v>126</v>
      </c>
      <c r="I17" s="15"/>
    </row>
    <row r="18" spans="1:9" ht="26.4" x14ac:dyDescent="0.3">
      <c r="A18" s="15" t="s">
        <v>35</v>
      </c>
      <c r="B18" s="15" t="s">
        <v>402</v>
      </c>
      <c r="C18" s="15" t="s">
        <v>83</v>
      </c>
      <c r="D18" s="15" t="s">
        <v>408</v>
      </c>
      <c r="E18" s="15" t="s">
        <v>404</v>
      </c>
      <c r="F18" s="15" t="s">
        <v>429</v>
      </c>
      <c r="G18" s="15"/>
      <c r="H18" s="15" t="s">
        <v>107</v>
      </c>
      <c r="I18" s="15"/>
    </row>
    <row r="19" spans="1:9" x14ac:dyDescent="0.3">
      <c r="A19" s="15" t="s">
        <v>35</v>
      </c>
      <c r="B19" s="15" t="s">
        <v>402</v>
      </c>
      <c r="C19" s="15" t="s">
        <v>84</v>
      </c>
      <c r="D19" s="15" t="s">
        <v>403</v>
      </c>
      <c r="E19" s="15" t="s">
        <v>404</v>
      </c>
      <c r="F19" s="15" t="s">
        <v>430</v>
      </c>
      <c r="G19" s="15"/>
      <c r="H19" s="15" t="s">
        <v>126</v>
      </c>
      <c r="I19" s="15"/>
    </row>
    <row r="20" spans="1:9" ht="26.4" x14ac:dyDescent="0.3">
      <c r="A20" s="15" t="s">
        <v>35</v>
      </c>
      <c r="B20" s="15" t="s">
        <v>402</v>
      </c>
      <c r="C20" s="15" t="s">
        <v>85</v>
      </c>
      <c r="D20" s="15" t="s">
        <v>403</v>
      </c>
      <c r="E20" s="15" t="s">
        <v>404</v>
      </c>
      <c r="F20" s="15" t="s">
        <v>431</v>
      </c>
      <c r="G20" s="15"/>
      <c r="H20" s="15" t="s">
        <v>107</v>
      </c>
      <c r="I20" s="15" t="s">
        <v>432</v>
      </c>
    </row>
    <row r="21" spans="1:9" x14ac:dyDescent="0.3">
      <c r="A21" s="15" t="s">
        <v>35</v>
      </c>
      <c r="B21" s="15" t="s">
        <v>402</v>
      </c>
      <c r="C21" s="15" t="s">
        <v>86</v>
      </c>
      <c r="D21" s="15" t="s">
        <v>403</v>
      </c>
      <c r="E21" s="15" t="s">
        <v>404</v>
      </c>
      <c r="F21" s="15" t="s">
        <v>433</v>
      </c>
      <c r="G21" s="15"/>
      <c r="H21" s="15" t="s">
        <v>126</v>
      </c>
      <c r="I21" s="15"/>
    </row>
    <row r="22" spans="1:9" x14ac:dyDescent="0.3">
      <c r="A22" s="15" t="s">
        <v>35</v>
      </c>
      <c r="B22" s="15" t="s">
        <v>402</v>
      </c>
      <c r="C22" s="15" t="s">
        <v>87</v>
      </c>
      <c r="D22" s="15" t="s">
        <v>403</v>
      </c>
      <c r="E22" s="15" t="s">
        <v>404</v>
      </c>
      <c r="F22" s="15" t="s">
        <v>434</v>
      </c>
      <c r="G22" s="15" t="s">
        <v>435</v>
      </c>
      <c r="H22" s="15" t="s">
        <v>107</v>
      </c>
      <c r="I22" s="15"/>
    </row>
    <row r="23" spans="1:9" ht="26.4" x14ac:dyDescent="0.3">
      <c r="A23" s="15" t="s">
        <v>35</v>
      </c>
      <c r="B23" s="15" t="s">
        <v>402</v>
      </c>
      <c r="C23" s="15" t="s">
        <v>88</v>
      </c>
      <c r="D23" s="15" t="s">
        <v>408</v>
      </c>
      <c r="E23" s="15" t="s">
        <v>404</v>
      </c>
      <c r="F23" s="15" t="s">
        <v>436</v>
      </c>
      <c r="G23" s="15"/>
      <c r="H23" s="15" t="s">
        <v>107</v>
      </c>
      <c r="I23" s="15"/>
    </row>
    <row r="24" spans="1:9" ht="26.4" x14ac:dyDescent="0.3">
      <c r="A24" s="15" t="s">
        <v>35</v>
      </c>
      <c r="B24" s="15" t="s">
        <v>402</v>
      </c>
      <c r="C24" s="15" t="s">
        <v>89</v>
      </c>
      <c r="D24" s="15" t="s">
        <v>408</v>
      </c>
      <c r="E24" s="15" t="s">
        <v>404</v>
      </c>
      <c r="F24" s="15" t="s">
        <v>437</v>
      </c>
      <c r="G24" s="15"/>
      <c r="H24" s="15" t="s">
        <v>107</v>
      </c>
      <c r="I24" s="15"/>
    </row>
    <row r="25" spans="1:9" x14ac:dyDescent="0.3">
      <c r="A25" s="15" t="s">
        <v>35</v>
      </c>
      <c r="B25" s="15" t="s">
        <v>402</v>
      </c>
      <c r="C25" s="15" t="s">
        <v>90</v>
      </c>
      <c r="D25" s="15" t="s">
        <v>403</v>
      </c>
      <c r="E25" s="15" t="s">
        <v>404</v>
      </c>
      <c r="F25" s="15" t="s">
        <v>438</v>
      </c>
      <c r="G25" s="15" t="s">
        <v>439</v>
      </c>
      <c r="H25" s="15" t="s">
        <v>126</v>
      </c>
      <c r="I25" s="15"/>
    </row>
    <row r="26" spans="1:9" ht="26.4" x14ac:dyDescent="0.3">
      <c r="A26" s="15" t="s">
        <v>35</v>
      </c>
      <c r="B26" s="15" t="s">
        <v>402</v>
      </c>
      <c r="C26" s="15" t="s">
        <v>91</v>
      </c>
      <c r="D26" s="15" t="s">
        <v>408</v>
      </c>
      <c r="E26" s="15" t="s">
        <v>404</v>
      </c>
      <c r="F26" s="15" t="s">
        <v>440</v>
      </c>
      <c r="G26" s="15"/>
      <c r="H26" s="15" t="s">
        <v>107</v>
      </c>
      <c r="I26" s="15"/>
    </row>
    <row r="27" spans="1:9" x14ac:dyDescent="0.3">
      <c r="A27" s="15" t="s">
        <v>35</v>
      </c>
      <c r="B27" s="15" t="s">
        <v>402</v>
      </c>
      <c r="C27" s="15" t="s">
        <v>14</v>
      </c>
      <c r="D27" s="15" t="s">
        <v>403</v>
      </c>
      <c r="E27" s="15" t="s">
        <v>404</v>
      </c>
      <c r="F27" s="15" t="s">
        <v>441</v>
      </c>
      <c r="G27" s="15" t="s">
        <v>442</v>
      </c>
      <c r="H27" s="15" t="s">
        <v>126</v>
      </c>
      <c r="I27" s="15"/>
    </row>
    <row r="28" spans="1:9" x14ac:dyDescent="0.3">
      <c r="A28" s="15" t="s">
        <v>35</v>
      </c>
      <c r="B28" s="15" t="s">
        <v>402</v>
      </c>
      <c r="C28" s="15" t="s">
        <v>92</v>
      </c>
      <c r="D28" s="15" t="s">
        <v>443</v>
      </c>
      <c r="E28" s="15" t="s">
        <v>410</v>
      </c>
      <c r="F28" s="15" t="s">
        <v>444</v>
      </c>
      <c r="G28" s="15"/>
      <c r="H28" s="15" t="s">
        <v>126</v>
      </c>
      <c r="I28" s="15"/>
    </row>
    <row r="29" spans="1:9" ht="26.4" x14ac:dyDescent="0.3">
      <c r="A29" s="15" t="s">
        <v>35</v>
      </c>
      <c r="B29" s="15" t="s">
        <v>402</v>
      </c>
      <c r="C29" s="15" t="s">
        <v>93</v>
      </c>
      <c r="D29" s="15" t="s">
        <v>403</v>
      </c>
      <c r="E29" s="15" t="s">
        <v>410</v>
      </c>
      <c r="F29" s="15" t="s">
        <v>445</v>
      </c>
      <c r="G29" s="15"/>
      <c r="H29" s="15" t="s">
        <v>126</v>
      </c>
      <c r="I29" s="15"/>
    </row>
    <row r="30" spans="1:9" x14ac:dyDescent="0.3">
      <c r="A30" s="15" t="s">
        <v>35</v>
      </c>
      <c r="B30" s="15" t="s">
        <v>402</v>
      </c>
      <c r="C30" s="15" t="s">
        <v>94</v>
      </c>
      <c r="D30" s="15" t="s">
        <v>403</v>
      </c>
      <c r="E30" s="15" t="s">
        <v>404</v>
      </c>
      <c r="F30" s="15" t="s">
        <v>446</v>
      </c>
      <c r="G30" s="15"/>
      <c r="H30" s="15" t="s">
        <v>107</v>
      </c>
      <c r="I30" s="15"/>
    </row>
    <row r="31" spans="1:9" ht="39.6" x14ac:dyDescent="0.3">
      <c r="A31" s="15" t="s">
        <v>37</v>
      </c>
      <c r="B31" s="15" t="s">
        <v>447</v>
      </c>
      <c r="C31" s="15" t="s">
        <v>67</v>
      </c>
      <c r="D31" s="15" t="s">
        <v>403</v>
      </c>
      <c r="E31" s="15" t="s">
        <v>404</v>
      </c>
      <c r="F31" s="15" t="s">
        <v>405</v>
      </c>
      <c r="G31" s="15"/>
      <c r="H31" s="15" t="s">
        <v>126</v>
      </c>
      <c r="I31" s="15" t="s">
        <v>448</v>
      </c>
    </row>
    <row r="32" spans="1:9" x14ac:dyDescent="0.3">
      <c r="A32" s="15" t="s">
        <v>37</v>
      </c>
      <c r="B32" s="15" t="s">
        <v>447</v>
      </c>
      <c r="C32" s="15" t="s">
        <v>331</v>
      </c>
      <c r="D32" s="15" t="s">
        <v>403</v>
      </c>
      <c r="E32" s="15" t="s">
        <v>404</v>
      </c>
      <c r="F32" s="15" t="s">
        <v>449</v>
      </c>
      <c r="G32" s="15"/>
      <c r="H32" s="15" t="s">
        <v>126</v>
      </c>
      <c r="I32" s="15"/>
    </row>
    <row r="33" spans="1:9" x14ac:dyDescent="0.3">
      <c r="A33" s="15" t="s">
        <v>37</v>
      </c>
      <c r="B33" s="15" t="s">
        <v>447</v>
      </c>
      <c r="C33" s="15" t="s">
        <v>332</v>
      </c>
      <c r="D33" s="15" t="s">
        <v>403</v>
      </c>
      <c r="E33" s="15" t="s">
        <v>410</v>
      </c>
      <c r="F33" s="15" t="s">
        <v>450</v>
      </c>
      <c r="G33" s="15"/>
      <c r="H33" s="15" t="s">
        <v>126</v>
      </c>
      <c r="I33" s="15"/>
    </row>
    <row r="34" spans="1:9" x14ac:dyDescent="0.3">
      <c r="A34" s="15" t="s">
        <v>37</v>
      </c>
      <c r="B34" s="15" t="s">
        <v>447</v>
      </c>
      <c r="C34" s="15" t="s">
        <v>333</v>
      </c>
      <c r="D34" s="15" t="s">
        <v>403</v>
      </c>
      <c r="E34" s="15" t="s">
        <v>404</v>
      </c>
      <c r="F34" s="15" t="s">
        <v>451</v>
      </c>
      <c r="G34" s="15"/>
      <c r="H34" s="15" t="s">
        <v>126</v>
      </c>
      <c r="I34" s="15"/>
    </row>
    <row r="35" spans="1:9" x14ac:dyDescent="0.3">
      <c r="A35" s="15" t="s">
        <v>37</v>
      </c>
      <c r="B35" s="15" t="s">
        <v>447</v>
      </c>
      <c r="C35" s="15" t="s">
        <v>334</v>
      </c>
      <c r="D35" s="15" t="s">
        <v>403</v>
      </c>
      <c r="E35" s="15" t="s">
        <v>404</v>
      </c>
      <c r="F35" s="15" t="s">
        <v>452</v>
      </c>
      <c r="G35" s="15" t="s">
        <v>453</v>
      </c>
      <c r="H35" s="15" t="s">
        <v>126</v>
      </c>
      <c r="I35" s="15"/>
    </row>
    <row r="36" spans="1:9" x14ac:dyDescent="0.3">
      <c r="A36" s="15" t="s">
        <v>37</v>
      </c>
      <c r="B36" s="15" t="s">
        <v>447</v>
      </c>
      <c r="C36" s="15" t="s">
        <v>335</v>
      </c>
      <c r="D36" s="15" t="s">
        <v>403</v>
      </c>
      <c r="E36" s="15" t="s">
        <v>404</v>
      </c>
      <c r="F36" s="15" t="s">
        <v>454</v>
      </c>
      <c r="G36" s="15"/>
      <c r="H36" s="15" t="s">
        <v>107</v>
      </c>
      <c r="I36" s="15"/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6</vt:i4>
      </vt:variant>
      <vt:variant>
        <vt:lpstr>Intervalos com Nome</vt:lpstr>
      </vt:variant>
      <vt:variant>
        <vt:i4>11</vt:i4>
      </vt:variant>
    </vt:vector>
  </HeadingPairs>
  <TitlesOfParts>
    <vt:vector size="17" baseType="lpstr">
      <vt:lpstr>00_LEIA-ME</vt:lpstr>
      <vt:lpstr>Registo_Alteracoes</vt:lpstr>
      <vt:lpstr>Checklist_Alteracoes</vt:lpstr>
      <vt:lpstr>Resumo_Alteracoes</vt:lpstr>
      <vt:lpstr>Listas</vt:lpstr>
      <vt:lpstr>Dicionario_Dados</vt:lpstr>
      <vt:lpstr>DataRef</vt:lpstr>
      <vt:lpstr>lst_DataReferencia</vt:lpstr>
      <vt:lpstr>lst_EstadoAlt</vt:lpstr>
      <vt:lpstr>lst_Funcao</vt:lpstr>
      <vt:lpstr>lst_Natureza</vt:lpstr>
      <vt:lpstr>lst_Resultado</vt:lpstr>
      <vt:lpstr>lst_SimNao</vt:lpstr>
      <vt:lpstr>lst_SimNaoNA</vt:lpstr>
      <vt:lpstr>lst_TipoAlt</vt:lpstr>
      <vt:lpstr>Checklist_Alteracoes!Títulos_de_Impressão</vt:lpstr>
      <vt:lpstr>Registo_Alteracoes!Títulos_de_Impressão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RG-SGQ-06 Planeamento e Controlo de Alterações (Gestão de Mudanças)</dc:title>
  <dc:subject>SGQ NP EN ISO 9001:2026 — Plasticom</dc:subject>
  <dc:creator>Gerente da Qualidade</dc:creator>
  <cp:lastModifiedBy>Aline Meireles</cp:lastModifiedBy>
  <dcterms:created xsi:type="dcterms:W3CDTF">2026-09-30T13:07:14Z</dcterms:created>
  <dcterms:modified xsi:type="dcterms:W3CDTF">2026-09-30T13:07:37Z</dcterms:modified>
</cp:coreProperties>
</file>