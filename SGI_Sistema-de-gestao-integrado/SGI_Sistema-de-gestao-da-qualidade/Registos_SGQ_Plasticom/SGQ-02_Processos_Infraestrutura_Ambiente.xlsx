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2DC38862-E261-44D4-BBA2-D2A66C8CB3BA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Mapa_Processos" sheetId="2" r:id="rId2"/>
    <sheet name="Interacoes" sheetId="3" r:id="rId3"/>
    <sheet name="Matriz_Interacao" sheetId="4" r:id="rId4"/>
    <sheet name="Infraestrutura_Maquinas" sheetId="5" r:id="rId5"/>
    <sheet name="Ambiente_Operacao" sheetId="6" r:id="rId6"/>
    <sheet name="Listas" sheetId="7" r:id="rId7"/>
    <sheet name="Dicionario_Dados" sheetId="8" r:id="rId8"/>
  </sheets>
  <definedNames>
    <definedName name="DataRef">Listas!$A$3</definedName>
    <definedName name="lst_DataReferencia">Listas!$A$3:$A$3</definedName>
    <definedName name="lst_FatorAmb">Listas!$E$3:$E$5</definedName>
    <definedName name="lst_Funcao">Listas!$D$3:$D$29</definedName>
    <definedName name="lst_Processo">Listas!$B$3:$B$20</definedName>
    <definedName name="lst_SimNao">Listas!$F$3:$F$4</definedName>
    <definedName name="lst_TipoProc">Listas!$C$3:$C$5</definedName>
    <definedName name="_xlnm.Print_Titles" localSheetId="5">Ambiente_Operacao!$4:$4</definedName>
    <definedName name="_xlnm.Print_Titles" localSheetId="4">Infraestrutura_Maquinas!$4:$4</definedName>
    <definedName name="_xlnm.Print_Titles" localSheetId="2">Interacoes!$1:$1</definedName>
    <definedName name="_xlnm.Print_Titles" localSheetId="1">Mapa_Processos!$4:$4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5" l="1"/>
  <c r="L26" i="5"/>
  <c r="K26" i="5"/>
  <c r="R26" i="5" s="1"/>
  <c r="D26" i="5"/>
  <c r="P25" i="5"/>
  <c r="L25" i="5"/>
  <c r="K25" i="5"/>
  <c r="R25" i="5" s="1"/>
  <c r="D25" i="5"/>
  <c r="P24" i="5"/>
  <c r="L24" i="5"/>
  <c r="K24" i="5"/>
  <c r="D24" i="5"/>
  <c r="P23" i="5"/>
  <c r="L23" i="5"/>
  <c r="K23" i="5"/>
  <c r="R23" i="5" s="1"/>
  <c r="D23" i="5"/>
  <c r="P22" i="5"/>
  <c r="L22" i="5"/>
  <c r="K22" i="5"/>
  <c r="R22" i="5" s="1"/>
  <c r="D22" i="5"/>
  <c r="P21" i="5"/>
  <c r="L21" i="5"/>
  <c r="K21" i="5"/>
  <c r="R21" i="5" s="1"/>
  <c r="D21" i="5"/>
  <c r="P20" i="5"/>
  <c r="L20" i="5"/>
  <c r="K20" i="5"/>
  <c r="D20" i="5"/>
  <c r="P19" i="5"/>
  <c r="L19" i="5"/>
  <c r="K19" i="5"/>
  <c r="R19" i="5" s="1"/>
  <c r="D19" i="5"/>
  <c r="P18" i="5"/>
  <c r="L18" i="5"/>
  <c r="K18" i="5"/>
  <c r="D18" i="5"/>
  <c r="P17" i="5"/>
  <c r="L17" i="5"/>
  <c r="K17" i="5"/>
  <c r="R17" i="5" s="1"/>
  <c r="D17" i="5"/>
  <c r="P16" i="5"/>
  <c r="L16" i="5"/>
  <c r="K16" i="5"/>
  <c r="D16" i="5"/>
  <c r="P15" i="5"/>
  <c r="L15" i="5"/>
  <c r="K15" i="5"/>
  <c r="R15" i="5" s="1"/>
  <c r="D15" i="5"/>
  <c r="P14" i="5"/>
  <c r="L14" i="5"/>
  <c r="K14" i="5"/>
  <c r="D14" i="5"/>
  <c r="P13" i="5"/>
  <c r="L13" i="5"/>
  <c r="K13" i="5"/>
  <c r="R13" i="5" s="1"/>
  <c r="D13" i="5"/>
  <c r="P12" i="5"/>
  <c r="L12" i="5"/>
  <c r="K12" i="5"/>
  <c r="D12" i="5"/>
  <c r="P11" i="5"/>
  <c r="L11" i="5"/>
  <c r="K11" i="5"/>
  <c r="R11" i="5" s="1"/>
  <c r="D11" i="5"/>
  <c r="P10" i="5"/>
  <c r="L10" i="5"/>
  <c r="K10" i="5"/>
  <c r="R10" i="5" s="1"/>
  <c r="D10" i="5"/>
  <c r="P9" i="5"/>
  <c r="L9" i="5"/>
  <c r="K9" i="5"/>
  <c r="R9" i="5" s="1"/>
  <c r="D9" i="5"/>
  <c r="P8" i="5"/>
  <c r="L8" i="5"/>
  <c r="K8" i="5"/>
  <c r="R8" i="5" s="1"/>
  <c r="D8" i="5"/>
  <c r="P7" i="5"/>
  <c r="L7" i="5"/>
  <c r="K7" i="5"/>
  <c r="D7" i="5"/>
  <c r="P6" i="5"/>
  <c r="L6" i="5"/>
  <c r="K6" i="5"/>
  <c r="D6" i="5"/>
  <c r="P5" i="5"/>
  <c r="L5" i="5"/>
  <c r="K5" i="5"/>
  <c r="D5" i="5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R22" i="2"/>
  <c r="Q22" i="2"/>
  <c r="S22" i="2" s="1"/>
  <c r="R21" i="2"/>
  <c r="Q21" i="2"/>
  <c r="S21" i="2" s="1"/>
  <c r="R20" i="2"/>
  <c r="S20" i="2" s="1"/>
  <c r="Q20" i="2"/>
  <c r="R19" i="2"/>
  <c r="Q19" i="2"/>
  <c r="R18" i="2"/>
  <c r="Q18" i="2"/>
  <c r="S17" i="2"/>
  <c r="R17" i="2"/>
  <c r="Q17" i="2"/>
  <c r="R16" i="2"/>
  <c r="Q16" i="2"/>
  <c r="R15" i="2"/>
  <c r="Q15" i="2"/>
  <c r="S15" i="2" s="1"/>
  <c r="R14" i="2"/>
  <c r="Q14" i="2"/>
  <c r="S14" i="2" s="1"/>
  <c r="R13" i="2"/>
  <c r="Q13" i="2"/>
  <c r="S13" i="2" s="1"/>
  <c r="R12" i="2"/>
  <c r="S12" i="2" s="1"/>
  <c r="Q12" i="2"/>
  <c r="R11" i="2"/>
  <c r="Q11" i="2"/>
  <c r="R10" i="2"/>
  <c r="Q10" i="2"/>
  <c r="R9" i="2"/>
  <c r="Q9" i="2"/>
  <c r="S9" i="2" s="1"/>
  <c r="R8" i="2"/>
  <c r="Q8" i="2"/>
  <c r="R7" i="2"/>
  <c r="Q7" i="2"/>
  <c r="S7" i="2" s="1"/>
  <c r="R6" i="2"/>
  <c r="Q6" i="2"/>
  <c r="S6" i="2" s="1"/>
  <c r="R5" i="2"/>
  <c r="Q5" i="2"/>
  <c r="S5" i="2" s="1"/>
  <c r="R12" i="5" l="1"/>
  <c r="R14" i="5"/>
  <c r="R16" i="5"/>
  <c r="R18" i="5"/>
  <c r="R20" i="5"/>
  <c r="R24" i="5"/>
  <c r="S11" i="2"/>
  <c r="S16" i="2"/>
  <c r="S18" i="2"/>
  <c r="R6" i="5"/>
  <c r="S8" i="2"/>
  <c r="S10" i="2"/>
  <c r="S19" i="2"/>
  <c r="R5" i="5"/>
  <c r="R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Código do processo.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Nome do processo.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Gestão / realização / suporte.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Dono do processo (4.4.1 f).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Finalidade / resultado pretendido.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Entradas requeridas (4.4.1 b).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De onde vêm as entradas (processos ou partes externas).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Saídas esperadas (4.4.1 b).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Quem recebe as saídas.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Atividades principais (sequência).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Com quê (4.4.1 e).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Com quem (7.2).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Como: documentos (4.4.2).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Quanto: indicadores (4.4.1 d).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4.4.1 g).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Cláusulas ISO 9001:2026.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N.º de interações recebidas (matriz).
[calculado]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N.º de interações enviadas (matriz).
[calculado]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Controlo: dono, KPI e documento definidos e processo ligado à matriz.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ID sequencial.
[calculado]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Processo de origem.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Processo de destino.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Informação ou material que passa (sequência e interação 4.4.1 c).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Máquina (ID do dataset).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Ano de instalação.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Idade à data de referência.
[calculado]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Tem deteção automática de defeitos (visão/sensores)?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Moldes/ferramentas associados.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Horas de marcha no período (dataset).</t>
        </r>
      </text>
    </comment>
    <comment ref="H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Paragens não planeadas (avarias) no período.</t>
        </r>
      </text>
    </comment>
    <comment ref="I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Horas de paragem não planeada.</t>
        </r>
      </text>
    </comment>
    <comment ref="J4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Intervenções preventivas registadas.</t>
        </r>
      </text>
    </comment>
    <comment ref="K4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Tempo médio entre avarias (h).
[calculado]</t>
        </r>
      </text>
    </comment>
    <comment ref="L4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Tempo médio de reparação (h).
[calculado]</t>
        </r>
      </text>
    </comment>
    <comment ref="M4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OEE médio das ordens (dataset).</t>
        </r>
      </text>
    </comment>
    <comment ref="N4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Unidades produzidas.</t>
        </r>
      </text>
    </comment>
    <comment ref="O4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Unidades rejeitadas.</t>
        </r>
      </text>
    </comment>
    <comment ref="P4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Rejeitado ÷ produzido.
[calculado]</t>
        </r>
      </text>
    </comment>
    <comment ref="Q4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Estado de qualificação do equipamento.</t>
        </r>
      </text>
    </comment>
    <comment ref="R4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Alta: MTBF &lt; 12 h ou rejeição &gt; 3%; Média: ≥ 12 anos ou sem deteção automática.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Fator do ambiente.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Social, psicológico ou físico (7.1.4 Nota).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Fator.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Processo afetado.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Condição requerida.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Como é verificado.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Frequência.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Efeito na conformidade se falhar.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Fator de contexto (RG-SGQ-01 tbl_pestel / tbl_swot).</t>
        </r>
      </text>
    </comment>
    <comment ref="J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</commentList>
</comments>
</file>

<file path=xl/sharedStrings.xml><?xml version="1.0" encoding="utf-8"?>
<sst xmlns="http://schemas.openxmlformats.org/spreadsheetml/2006/main" count="1179" uniqueCount="588">
  <si>
    <t>RG-SGQ-02 — Mapa de Processos, Interações, Infraestrutura e Ambiente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</si>
  <si>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</si>
  <si>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</si>
  <si>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</si>
  <si>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RG-SGQ-02</t>
  </si>
  <si>
    <t>Título</t>
  </si>
  <si>
    <t>Mapa de Processos, Interações, Infraestrutura e Ambiente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</si>
  <si>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</si>
  <si>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</si>
  <si>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</si>
  <si>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</si>
  <si>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</si>
  <si>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</si>
  <si>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</si>
  <si>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</si>
  <si>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</si>
  <si>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</si>
  <si>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</si>
  <si>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</si>
  <si>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</si>
  <si>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</si>
  <si>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</si>
  <si>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Mostrar a abordagem por processos da Plasticom: 18 processos com dono, KPI e riscos, a matriz de interações e o estado da infraestrutura produtiva (22 máquinas do dataset com horas de marcha, avarias e OEE) e das condições ambientais que afetam a conformidade do produto.</t>
  </si>
  <si>
    <t>Utilização / atividades</t>
  </si>
  <si>
    <t>Caracterizar cada processo do SGQ (entradas, saídas, sequência, interação, critérios, KPI, recursos, responsáveis, riscos) e a infraestrutura e o ambiente de que dependem.</t>
  </si>
  <si>
    <t>Requisitos ISO 9001:2026</t>
  </si>
  <si>
    <t>4.4.1 a)–i) processos do SGQ; 4.4.2 informação documentada disponível; 7.1.3 Infraestrutura; 7.1.4 Ambiente para a operação dos processos (fatores sociais, psicológicos, físicos)</t>
  </si>
  <si>
    <t>REFERÊNCIAS DE BOAS PRÁTICAS APLICADAS (orientação — não são requisitos auditáveis da ISO 9001)</t>
  </si>
  <si>
    <t>ISO/TC 176 APG — Processes / process approach</t>
  </si>
  <si>
    <t>Cada processo tem dono, critérios e KPI e é auditado pela sequência entrada → atividade → saída → cliente (diagrama de tartaruga).</t>
  </si>
  <si>
    <t>Academy — cap. 40/155 (Tartaruga, SIPOC)</t>
  </si>
  <si>
    <t>Colunas da tartaruga: com quê (recursos), com quem (competência), como (métodos), quanto (KPI), entradas e saídas.</t>
  </si>
  <si>
    <t>iso9001help.co.uk — Process definition</t>
  </si>
  <si>
    <t>Descrição de processo com objetivo, sequência e medidas de desempenho ligadas aos objetivos.</t>
  </si>
  <si>
    <t>ESTRUTURA DO FICHEIRO</t>
  </si>
  <si>
    <t>Mapa_Processos</t>
  </si>
  <si>
    <t>Caracterização dos processos do SGQ (diagrama de tartaruga), 4.4.1.</t>
  </si>
  <si>
    <t>Interacoes</t>
  </si>
  <si>
    <t>Interações entre processos (uma linha por fluxo).</t>
  </si>
  <si>
    <t>Matriz_Interacao</t>
  </si>
  <si>
    <t>Matriz de-para calculada a partir de tbl_interacoes (n.º de fluxos entre processos).</t>
  </si>
  <si>
    <t>Infraestrutura_Maquinas</t>
  </si>
  <si>
    <t>Infraestrutura produtiva (7.1.3): 22 máquinas com desempenho de manutenção e qualidade calculado a partir do dataset.</t>
  </si>
  <si>
    <t>Ambiente_Operacao</t>
  </si>
  <si>
    <t>Ambiente necessário para a operação dos processos (7.1.4): fatores físicos, psicológicos e sociais.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</si>
  <si>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</si>
  <si>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</si>
  <si>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</si>
  <si>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</si>
  <si>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</si>
  <si>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</si>
  <si>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</si>
  <si>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</si>
  <si>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</si>
  <si>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</si>
  <si>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</si>
  <si>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</si>
  <si>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</si>
  <si>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</si>
  <si>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</si>
  <si>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</si>
  <si>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</si>
  <si>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</si>
  <si>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RG-SGQ-05 KPI</t>
  </si>
  <si>
    <t>KPIs de cada processo (KPI-Q-nn).</t>
  </si>
  <si>
    <t>RG-SGA-02</t>
  </si>
  <si>
    <t>Riscos e oportunidades (R-nn / O-nn).</t>
  </si>
  <si>
    <t>RG-SGQ-08 Lista mestra</t>
  </si>
  <si>
    <t>Documentos citados em Metodos_Documentos (PR-SGQ-nn, PC-*, IT-*).</t>
  </si>
  <si>
    <t>MAPA DE PROCESSOS DO SGQ — TARTARUGA (4.4.1)</t>
  </si>
  <si>
    <t>18 processos (3 gestão, 10 realização, 5 suporte) · Colunas cinzentas calculadas a partir da matriz de interações</t>
  </si>
  <si>
    <t>Codigo</t>
  </si>
  <si>
    <t>Processo</t>
  </si>
  <si>
    <t>Tipo</t>
  </si>
  <si>
    <t>Dono</t>
  </si>
  <si>
    <t>Objetivo</t>
  </si>
  <si>
    <t>Entradas</t>
  </si>
  <si>
    <t>Fornecedores_Processo</t>
  </si>
  <si>
    <t>Saidas</t>
  </si>
  <si>
    <t>Clientes_Processo</t>
  </si>
  <si>
    <t>Atividades</t>
  </si>
  <si>
    <t>Recursos</t>
  </si>
  <si>
    <t>Competencias</t>
  </si>
  <si>
    <t>Metodos_Documentos</t>
  </si>
  <si>
    <t>KPIs</t>
  </si>
  <si>
    <t>Riscos_Oportunidades</t>
  </si>
  <si>
    <t>Clausulas</t>
  </si>
  <si>
    <t>N_Entradas_Matriz</t>
  </si>
  <si>
    <t>N_Saidas_Matriz</t>
  </si>
  <si>
    <t>Completo</t>
  </si>
  <si>
    <t>GES</t>
  </si>
  <si>
    <t>Gestão estratégica e revisão pela gestão</t>
  </si>
  <si>
    <t>Gestão</t>
  </si>
  <si>
    <t>Diretor Geral (Gestão de Topo)</t>
  </si>
  <si>
    <t>Definir a orientação estratégica, a política e os objetivos e rever o SGQ</t>
  </si>
  <si>
    <t>Contexto, partes interessadas, desempenho do SGQ, resultados de auditorias</t>
  </si>
  <si>
    <t>QUA; COM; todos</t>
  </si>
  <si>
    <t>Política, objetivos, decisões e recursos</t>
  </si>
  <si>
    <t>Todos os processos</t>
  </si>
  <si>
    <t>Planeamento estratégico; revisão pela gestão; afetação de recursos</t>
  </si>
  <si>
    <t>Sala de reuniões; painel Power BI</t>
  </si>
  <si>
    <t>Liderança; pensamento baseado em risco</t>
  </si>
  <si>
    <t>POL-SGQ-01; PR-SGQ-01</t>
  </si>
  <si>
    <t>KPI-Q-16; KPI-Q-14</t>
  </si>
  <si>
    <t>R24; R25; O3</t>
  </si>
  <si>
    <t>4; 5; 6.2; 9.3</t>
  </si>
  <si>
    <t>QUA</t>
  </si>
  <si>
    <t>Gestão da qualidade (SGQ, auditorias, melhoria, CAPA)</t>
  </si>
  <si>
    <t>Manter e melhorar o SGQ e a sua eficácia</t>
  </si>
  <si>
    <t>Requisitos ISO 9001:2026, NC, reclamações, KPI</t>
  </si>
  <si>
    <t>Todos</t>
  </si>
  <si>
    <t>Programa de auditoria, CAPA, relatórios de desempenho</t>
  </si>
  <si>
    <t>GES; todos</t>
  </si>
  <si>
    <t>Auditorias; gestão de NC e CAPA; análise de dados; melhoria</t>
  </si>
  <si>
    <t>Software de CAPA; data warehouse</t>
  </si>
  <si>
    <t>ISO 19011:2026; 8D; estatística</t>
  </si>
  <si>
    <t>PR-SGQ-05; PR-SGQ-06; PR-SGQ-07</t>
  </si>
  <si>
    <t>KPI-Q-10; KPI-Q-11; KPI-Q-19</t>
  </si>
  <si>
    <t>R20; O11</t>
  </si>
  <si>
    <t>6.1; 9.1.3; 9.2; 10</t>
  </si>
  <si>
    <t>COM</t>
  </si>
  <si>
    <t>Comercial: requisitos do cliente, propostas, encomendas e satisfação</t>
  </si>
  <si>
    <t>Realização</t>
  </si>
  <si>
    <t>Diretor Comercial</t>
  </si>
  <si>
    <t>Converter necessidades do cliente em encomendas exequíveis e manter a satisfação</t>
  </si>
  <si>
    <t>Pedidos de cotação, encomendas, reclamações, feedback</t>
  </si>
  <si>
    <t>Clientes; RD; PCP</t>
  </si>
  <si>
    <t>Propostas, encomendas revistas, acordos de qualidade, respostas a reclamações</t>
  </si>
  <si>
    <t>Clientes; PCP; RD</t>
  </si>
  <si>
    <t>Revisão de requisitos; gestão de encomendas; inquérito de satisfação; tratamento de reclamações</t>
  </si>
  <si>
    <t>ERP; CRM</t>
  </si>
  <si>
    <t>Conhecimento técnico de embalagem; negociação</t>
  </si>
  <si>
    <t>PR-SGQ-08; PR-SGQ-09</t>
  </si>
  <si>
    <t>KPI-Q-04; KPI-Q-06; KPI-Q-14; KPI-Q-15; KPI-Q-20</t>
  </si>
  <si>
    <t>R21; O5</t>
  </si>
  <si>
    <t>5.1.2; 8.2; 8.5.3; 8.5.5; 9.1.2</t>
  </si>
  <si>
    <t>RD</t>
  </si>
  <si>
    <t>Design e desenvolvimento de produto (R&amp;D)</t>
  </si>
  <si>
    <t>Responsável de R&amp;D</t>
  </si>
  <si>
    <t>Projetar produtos e moldes que cumpram requisitos funcionais, legais e de fabrico</t>
  </si>
  <si>
    <t>Briefing do cliente, requisitos legais, lições de projetos anteriores</t>
  </si>
  <si>
    <t>COM; clientes; fornecedores de moldes</t>
  </si>
  <si>
    <t>Desenhos, especificações, planos de controlo iniciais, dossiers de conformidade</t>
  </si>
  <si>
    <t>PCP; LAB; CMP; clientes</t>
  </si>
  <si>
    <t>Planeamento; revisões; verificação; validação; controlo de alterações de design</t>
  </si>
  <si>
    <t>CAD/CAE; protótipos; laboratório</t>
  </si>
  <si>
    <t>Engenharia de embalagem; DFMEA</t>
  </si>
  <si>
    <t>PR-SGQ-10</t>
  </si>
  <si>
    <t>KPI-Q-02</t>
  </si>
  <si>
    <t>R12; R33; O5</t>
  </si>
  <si>
    <t>8.3</t>
  </si>
  <si>
    <t>PCP</t>
  </si>
  <si>
    <t>Planeamento e controlo da produção</t>
  </si>
  <si>
    <t>Gerente de Produção</t>
  </si>
  <si>
    <t>Planear e sequenciar a produção para cumprir prazos com qualidade</t>
  </si>
  <si>
    <t>Encomendas, capacidade, stock de MP</t>
  </si>
  <si>
    <t>COM; CMP; MAN</t>
  </si>
  <si>
    <t>Plano de produção, ordens de fabrico</t>
  </si>
  <si>
    <t>INJ; SOP; SER; HFS; EXP</t>
  </si>
  <si>
    <t>Planeamento de capacidade; sequenciamento; gestão de trocas de molde</t>
  </si>
  <si>
    <t>ERP; MES</t>
  </si>
  <si>
    <t>Planeamento; TOC</t>
  </si>
  <si>
    <t>PR-SGQ-11</t>
  </si>
  <si>
    <t>KPI-Q-07; KPI-Q-20</t>
  </si>
  <si>
    <t>R15; O9; O14</t>
  </si>
  <si>
    <t>8.1; 8.5.1</t>
  </si>
  <si>
    <t>CMP</t>
  </si>
  <si>
    <t>Compras e gestão de fornecedores</t>
  </si>
  <si>
    <t>Responsável de Compras</t>
  </si>
  <si>
    <t>Adquirir materiais e serviços conformes a fornecedores avaliados</t>
  </si>
  <si>
    <t>Necessidades de MP, especificações</t>
  </si>
  <si>
    <t>PCP; RD; LAB</t>
  </si>
  <si>
    <t>Encomendas a fornecedores, avaliações, SCAR</t>
  </si>
  <si>
    <t>REC; fornecedores</t>
  </si>
  <si>
    <t>Seleção; avaliação; reavaliação; comunicação de requisitos</t>
  </si>
  <si>
    <t>ERP</t>
  </si>
  <si>
    <t>Gestão de fornecedores</t>
  </si>
  <si>
    <t>PR-SGQ-12</t>
  </si>
  <si>
    <t>KPI-Q-08; KPI-Q-09</t>
  </si>
  <si>
    <t>R13; R14; R36; O8</t>
  </si>
  <si>
    <t>8.4</t>
  </si>
  <si>
    <t>REC</t>
  </si>
  <si>
    <t>Receção, inspeção de receção e armazenagem de matérias-primas</t>
  </si>
  <si>
    <t>Responsável de Armazém e Logística</t>
  </si>
  <si>
    <t>Receber, inspecionar e armazenar MP preservando a conformidade</t>
  </si>
  <si>
    <t>Lotes de MP, certificados de análise</t>
  </si>
  <si>
    <t>Fornecedores; CMP</t>
  </si>
  <si>
    <t>Lotes aceites/rejeitados, MP identificada</t>
  </si>
  <si>
    <t>INJ; SOP; SER; HFS</t>
  </si>
  <si>
    <t>Inspeção de receção; quarentena; armazenagem FIFO</t>
  </si>
  <si>
    <t>Laboratório de receção; armazém</t>
  </si>
  <si>
    <t>Amostragem; ensaios de MP</t>
  </si>
  <si>
    <t>PC-MP-01; IT-REC-01</t>
  </si>
  <si>
    <t>KPI-Q-08</t>
  </si>
  <si>
    <t>R13; R15</t>
  </si>
  <si>
    <t>8.4.2; 8.5.2; 8.5.4</t>
  </si>
  <si>
    <t>INJ</t>
  </si>
  <si>
    <t>Injeção de tampas e potes</t>
  </si>
  <si>
    <t>Injetar tampas e potes conformes</t>
  </si>
  <si>
    <t>MP, molde, ordem de fabrico, parâmetros validados</t>
  </si>
  <si>
    <t>REC; PCP; MAN</t>
  </si>
  <si>
    <t>Tampas/potes e registos de controlo</t>
  </si>
  <si>
    <t>SER; HFS; EXP; LAB</t>
  </si>
  <si>
    <t>Setup; arranque; controlo em processo; autocontrolo</t>
  </si>
  <si>
    <t>IM-001 a IM-009; 16 moldes</t>
  </si>
  <si>
    <t>Operação de injeção; autocontrolo</t>
  </si>
  <si>
    <t>PC-INJ-01; IT-INJ-01..04</t>
  </si>
  <si>
    <t>KPI-Q-01; KPI-Q-07</t>
  </si>
  <si>
    <t>R4; R5; R10; O1</t>
  </si>
  <si>
    <t>8.5.1; 8.5.2</t>
  </si>
  <si>
    <t>SOP</t>
  </si>
  <si>
    <t>Sopro de frascos (ISBM)</t>
  </si>
  <si>
    <t>Soprar frascos conformes</t>
  </si>
  <si>
    <t>Preformas/MP, molde, parâmetros</t>
  </si>
  <si>
    <t>Frascos e registos de controlo</t>
  </si>
  <si>
    <t>Setup; condicionamento de preformas; controlo em processo</t>
  </si>
  <si>
    <t>ISBM-001 a ISBM-010; 34 moldes</t>
  </si>
  <si>
    <t>Operação ISBM; autocontrolo</t>
  </si>
  <si>
    <t>PC-SOP-01; IT-SOP-01..03</t>
  </si>
  <si>
    <t>R1; R2; R3; R11</t>
  </si>
  <si>
    <t>SER</t>
  </si>
  <si>
    <t>Serigrafia (decoração)</t>
  </si>
  <si>
    <t>Decorar por serigrafia com registo, cor e aderência conformes</t>
  </si>
  <si>
    <t>Frascos, artwork aprovado, tintas</t>
  </si>
  <si>
    <t>SOP; COM; CMP</t>
  </si>
  <si>
    <t>Frascos decorados e registos</t>
  </si>
  <si>
    <t>EXP; LAB</t>
  </si>
  <si>
    <t>Preparação de ecrãs; impressão; cura; controlo de aderência</t>
  </si>
  <si>
    <t>SS-001, SS-002; 48 ferramentas</t>
  </si>
  <si>
    <t>Serigrafia; colorimetria</t>
  </si>
  <si>
    <t>PC-DEC-01; IT-SER-01..03</t>
  </si>
  <si>
    <t>KPI-Q-01</t>
  </si>
  <si>
    <t>R6; R7</t>
  </si>
  <si>
    <t>8.5.1; 8.5.3</t>
  </si>
  <si>
    <t>HFS</t>
  </si>
  <si>
    <t>Hot foil stamping (decoração)</t>
  </si>
  <si>
    <t>Decorar por hot foil com transferência e aderência conformes</t>
  </si>
  <si>
    <t>Frascos, foil, artwork</t>
  </si>
  <si>
    <t>SOP; CMP</t>
  </si>
  <si>
    <t>Frascos decorados</t>
  </si>
  <si>
    <t>Setup; estampagem; controlo visual</t>
  </si>
  <si>
    <t>HF-001, HF-002</t>
  </si>
  <si>
    <t>Hot foil</t>
  </si>
  <si>
    <t>PC-DEC-01; IT-HFS-01</t>
  </si>
  <si>
    <t>R8</t>
  </si>
  <si>
    <t>8.5.1</t>
  </si>
  <si>
    <t>LAB</t>
  </si>
  <si>
    <t>Controlo da qualidade e laboratório (inspeção, ensaios, libertação)</t>
  </si>
  <si>
    <t>Verificar e libertar produto conforme; controlar saídas não conformes</t>
  </si>
  <si>
    <t>Amostras, planos de controlo, especificações</t>
  </si>
  <si>
    <t>INJ; SOP; SER; HFS; REC</t>
  </si>
  <si>
    <t>Decisões de lote, certificados, RNC</t>
  </si>
  <si>
    <t>EXP; clientes; QUA</t>
  </si>
  <si>
    <t>Inspeção por atributos (ISO 2859-1) e variáveis (ISO 3951); ensaios; libertação; segregação</t>
  </si>
  <si>
    <t>Laboratório; 60 equipamentos de medição</t>
  </si>
  <si>
    <t>Inspeção; estatística; metrologia</t>
  </si>
  <si>
    <t>PR-SGQ-13; PR-SGQ-14; PC-*</t>
  </si>
  <si>
    <t>KPI-Q-02; KPI-Q-12; KPI-Q-13</t>
  </si>
  <si>
    <t>R16; R17; R18</t>
  </si>
  <si>
    <t>8.6; 8.7; 9.1.1</t>
  </si>
  <si>
    <t>EXP</t>
  </si>
  <si>
    <t>Embalagem, armazém de produto acabado e expedição</t>
  </si>
  <si>
    <t>Embalar, armazenar e expedir preservando o produto e sem trocas</t>
  </si>
  <si>
    <t>Produto libertado, ordens de expedição</t>
  </si>
  <si>
    <t>LAB; PCP</t>
  </si>
  <si>
    <t>Paletes etiquetadas e guias</t>
  </si>
  <si>
    <t>Clientes; transportadores</t>
  </si>
  <si>
    <t>Paletização; etiquetagem; verificação de carga; expedição</t>
  </si>
  <si>
    <t>Armazém; leitores de código de barras</t>
  </si>
  <si>
    <t>Logística; rastreabilidade</t>
  </si>
  <si>
    <t>IT-EXP-01..02</t>
  </si>
  <si>
    <t>KPI-Q-05; KPI-Q-20</t>
  </si>
  <si>
    <t>R21</t>
  </si>
  <si>
    <t>8.5.2; 8.5.4; 8.5.5</t>
  </si>
  <si>
    <t>MAN</t>
  </si>
  <si>
    <t>Manutenção de máquinas e moldes</t>
  </si>
  <si>
    <t>Suporte</t>
  </si>
  <si>
    <t>Gerente de Manutenção</t>
  </si>
  <si>
    <t>Manter máquinas e moldes disponíveis e capazes</t>
  </si>
  <si>
    <t>Planos de manutenção, avarias, contadores de ciclos</t>
  </si>
  <si>
    <t>Produção; fornecedores de peças</t>
  </si>
  <si>
    <t>Equipamento disponível, ordens de trabalho</t>
  </si>
  <si>
    <t>Manutenção preventiva, corretiva e de moldes</t>
  </si>
  <si>
    <t>Oficina; ferramentaria; CMMS</t>
  </si>
  <si>
    <t>Mecânica; eletricidade; hidráulica</t>
  </si>
  <si>
    <t>PR-SGQ-15</t>
  </si>
  <si>
    <t>KPI-Q-07</t>
  </si>
  <si>
    <t>R2; R3; R7; O2</t>
  </si>
  <si>
    <t>7.1.3</t>
  </si>
  <si>
    <t>MET</t>
  </si>
  <si>
    <t>Metrologia (calibração, verificação e MSA)</t>
  </si>
  <si>
    <t>Assegurar resultados de medição válidos e fiáveis</t>
  </si>
  <si>
    <t>Inventário de equipamentos, requisitos de medição</t>
  </si>
  <si>
    <t>LAB; laboratórios externos</t>
  </si>
  <si>
    <t>Equipamento confirmado, certificados, estudos MSA</t>
  </si>
  <si>
    <t>LAB; produção</t>
  </si>
  <si>
    <t>Calibração; verificação; MSA; avaliação de fora de tolerância</t>
  </si>
  <si>
    <t>Padrões de referência</t>
  </si>
  <si>
    <t>Metrologia; ISO 10012:2026</t>
  </si>
  <si>
    <t>PR-SGQ-16</t>
  </si>
  <si>
    <t>KPI-Q-17</t>
  </si>
  <si>
    <t>R17</t>
  </si>
  <si>
    <t>7.1.5</t>
  </si>
  <si>
    <t>RH</t>
  </si>
  <si>
    <t>Recursos humanos, competência e formação</t>
  </si>
  <si>
    <t>Responsável de Recursos Humanos</t>
  </si>
  <si>
    <t>Assegurar pessoas competentes e conscientes</t>
  </si>
  <si>
    <t>Necessidades de competência, admissões</t>
  </si>
  <si>
    <t>Pessoas qualificadas, registos de formação</t>
  </si>
  <si>
    <t>Recrutamento; integração; formação; avaliação da eficácia</t>
  </si>
  <si>
    <t>Plataforma de formação</t>
  </si>
  <si>
    <t>Gestão de competências (ISO 10015)</t>
  </si>
  <si>
    <t>PR-SGQ-17</t>
  </si>
  <si>
    <t>KPI-Q-18</t>
  </si>
  <si>
    <t>R23; R9</t>
  </si>
  <si>
    <t>7.1.2; 7.2; 7.3</t>
  </si>
  <si>
    <t>TI</t>
  </si>
  <si>
    <t>Sistemas de informação e dados (ERP, MES, data warehouse)</t>
  </si>
  <si>
    <t>Gerente de Dados / TI</t>
  </si>
  <si>
    <t>Disponibilizar sistemas e dados íntegros</t>
  </si>
  <si>
    <t>Necessidades de informação</t>
  </si>
  <si>
    <t>ERP, MES, data warehouse, cópias de segurança</t>
  </si>
  <si>
    <t>Gestão de sistemas; cópias de segurança; controlo de acessos; validação de software e folhas de cálculo</t>
  </si>
  <si>
    <t>Servidores; cloud</t>
  </si>
  <si>
    <t>TI; engenharia de dados</t>
  </si>
  <si>
    <t>PR-SGQ-18</t>
  </si>
  <si>
    <t>—</t>
  </si>
  <si>
    <t>R19; R26; R27; O3</t>
  </si>
  <si>
    <t>7.1.3; 7.1.6; 7.5.3</t>
  </si>
  <si>
    <t>DOC</t>
  </si>
  <si>
    <t>Controlo da informação documentada</t>
  </si>
  <si>
    <t>Controlar a informação documentada do SGQ</t>
  </si>
  <si>
    <t>Documentos novos e alterados, documentos externos</t>
  </si>
  <si>
    <t>Documentos aprovados e distribuídos, registos protegidos</t>
  </si>
  <si>
    <t>Elaboração; aprovação; distribuição; arquivo; eliminação</t>
  </si>
  <si>
    <t>Repositório controlado</t>
  </si>
  <si>
    <t>Controlo documental</t>
  </si>
  <si>
    <t>PR-SGQ-02</t>
  </si>
  <si>
    <t>7.5</t>
  </si>
  <si>
    <t>ID_Interacao</t>
  </si>
  <si>
    <t>De</t>
  </si>
  <si>
    <t>Para</t>
  </si>
  <si>
    <t>O_que_Flui</t>
  </si>
  <si>
    <t>Política, objetivos, recursos</t>
  </si>
  <si>
    <t>Desempenho do SGQ, auditorias, CAPA</t>
  </si>
  <si>
    <t>Briefing e requisitos do cliente</t>
  </si>
  <si>
    <t>Encomendas revistas</t>
  </si>
  <si>
    <t>Especificações e plano de controlo inicial</t>
  </si>
  <si>
    <t>Especificação de MP e moldes</t>
  </si>
  <si>
    <t>Necessidades de MP</t>
  </si>
  <si>
    <t>Encomendas a fornecedores</t>
  </si>
  <si>
    <t>MP aceite</t>
  </si>
  <si>
    <t>Ordens de fabrico</t>
  </si>
  <si>
    <t>Frascos para decorar</t>
  </si>
  <si>
    <t>Amostras e registos</t>
  </si>
  <si>
    <t>Amostras</t>
  </si>
  <si>
    <t>Lotes libertados</t>
  </si>
  <si>
    <t>Entregas / guias</t>
  </si>
  <si>
    <t>Reclamações</t>
  </si>
  <si>
    <t>RNC e dados de inspeção</t>
  </si>
  <si>
    <t>Resultados de receção / SCAR</t>
  </si>
  <si>
    <t>Equipamento disponível</t>
  </si>
  <si>
    <t>Equipamento calibrado e MSA</t>
  </si>
  <si>
    <t>Operadores qualificados</t>
  </si>
  <si>
    <t>Inspetores qualificados</t>
  </si>
  <si>
    <t>Dados e painéis</t>
  </si>
  <si>
    <t>Instruções e planos de controlo</t>
  </si>
  <si>
    <t>Planos de controlo e normas</t>
  </si>
  <si>
    <t>Respostas 8D ao cliente</t>
  </si>
  <si>
    <t>Desempenho de fornecedores</t>
  </si>
  <si>
    <t>MATRIZ DE INTERAÇÃO ENTRE PROCESSOS (4.4.1 c) — calculada</t>
  </si>
  <si>
    <t>Linha = processo que envia; coluna = processo que recebe; valor = n.º de fluxos em tbl_interacoes</t>
  </si>
  <si>
    <t>De \ Para</t>
  </si>
  <si>
    <t>INFRAESTRUTURA — MÁQUINAS DE PRODUÇÃO (7.1.3)</t>
  </si>
  <si>
    <t>Dados do dataset 2025-07-01 a 2026-12-31 · MTBF, MTTR, taxa de rejeição e criticidade calculados · Máquinas de 2026 em arranque</t>
  </si>
  <si>
    <t>ID_Maquina</t>
  </si>
  <si>
    <t>Ano_Instalacao</t>
  </si>
  <si>
    <t>Idade_Anos</t>
  </si>
  <si>
    <t>Detecao_Automatica</t>
  </si>
  <si>
    <t>N_Moldes</t>
  </si>
  <si>
    <t>Horas_Marcha</t>
  </si>
  <si>
    <t>N_Avarias</t>
  </si>
  <si>
    <t>Horas_Paragem_Nao_Planeada</t>
  </si>
  <si>
    <t>N_Preventivas</t>
  </si>
  <si>
    <t>MTBF_h</t>
  </si>
  <si>
    <t>MTTR_h</t>
  </si>
  <si>
    <t>OEE_Medio</t>
  </si>
  <si>
    <t>Produzido</t>
  </si>
  <si>
    <t>Rejeitado</t>
  </si>
  <si>
    <t>Taxa_Rejeicao</t>
  </si>
  <si>
    <t>Qualificacao</t>
  </si>
  <si>
    <t>Criticidade</t>
  </si>
  <si>
    <t>HF-001</t>
  </si>
  <si>
    <t>Sim</t>
  </si>
  <si>
    <t>Histórica (antes do SGQ 2026)</t>
  </si>
  <si>
    <t>HF-002</t>
  </si>
  <si>
    <t>IM-001</t>
  </si>
  <si>
    <t>IM-002</t>
  </si>
  <si>
    <t>Não</t>
  </si>
  <si>
    <t>IM-003</t>
  </si>
  <si>
    <t>IM-004</t>
  </si>
  <si>
    <t>IM-005</t>
  </si>
  <si>
    <t>IM-006</t>
  </si>
  <si>
    <t>IM-007</t>
  </si>
  <si>
    <t>IQ/OQ/PQ concluída (2026)</t>
  </si>
  <si>
    <t>IM-008</t>
  </si>
  <si>
    <t>ISBM-001</t>
  </si>
  <si>
    <t>ISBM-002</t>
  </si>
  <si>
    <t>ISBM-003</t>
  </si>
  <si>
    <t>ISBM-004</t>
  </si>
  <si>
    <t>ISBM-005</t>
  </si>
  <si>
    <t>ISBM-006</t>
  </si>
  <si>
    <t>ISBM-007</t>
  </si>
  <si>
    <t>ISBM-008</t>
  </si>
  <si>
    <t>ISBM-009</t>
  </si>
  <si>
    <t>ISBM-010</t>
  </si>
  <si>
    <t>SS-001</t>
  </si>
  <si>
    <t>SS-002</t>
  </si>
  <si>
    <t>AMBIENTE PARA A OPERAÇÃO DOS PROCESSOS (7.1.4)</t>
  </si>
  <si>
    <t>ISO 9001:2026: fatores sociais, psicológicos e físicos — alguns influenciados pela cultura da qualidade e pelo comportamento ético</t>
  </si>
  <si>
    <t>ID_Fator</t>
  </si>
  <si>
    <t>Tipo_Fator</t>
  </si>
  <si>
    <t>Fator</t>
  </si>
  <si>
    <t>Criterio</t>
  </si>
  <si>
    <t>Monitorizacao</t>
  </si>
  <si>
    <t>Frequencia</t>
  </si>
  <si>
    <t>Efeito_Produto</t>
  </si>
  <si>
    <t>ID_Contexto</t>
  </si>
  <si>
    <t>Responsavel</t>
  </si>
  <si>
    <t>AMB-01</t>
  </si>
  <si>
    <t>Físico</t>
  </si>
  <si>
    <t>Temperatura da nave de sopro</t>
  </si>
  <si>
    <t>18–28 °C (preformas PET: condicionamento a 20 ± 3 °C)</t>
  </si>
  <si>
    <t>Termo-higrómetro TH-01, registo contínuo</t>
  </si>
  <si>
    <t>Diária (verão: por turno)</t>
  </si>
  <si>
    <t>Acima de 30 °C a variação de espessura aumenta; atuar no chiller e ajustar perfil de aquecimento</t>
  </si>
  <si>
    <t>PESQ-06</t>
  </si>
  <si>
    <t>AMB-02</t>
  </si>
  <si>
    <t>Humidade relativa no armazém de resinas higroscópicas (PET, PETG)</t>
  </si>
  <si>
    <t>HR ≤ 60%; secagem antes do uso (humidade ≤ 50 ppm no PET)</t>
  </si>
  <si>
    <t>Termo-higrómetro TH-02; Karl Fischer por lote</t>
  </si>
  <si>
    <t>Por lote</t>
  </si>
  <si>
    <t>Resina húmida causa bolhas e perda de transparência; secar e reensaiar</t>
  </si>
  <si>
    <t>PESQ-05</t>
  </si>
  <si>
    <t>AMB-03</t>
  </si>
  <si>
    <t>Iluminação nos postos de inspeção visual</t>
  </si>
  <si>
    <t>Cabine D65; ≥ 1.000 lux no posto de inspeção</t>
  </si>
  <si>
    <t>Luxímetro; verificação da cabine D65</t>
  </si>
  <si>
    <t>Semestral</t>
  </si>
  <si>
    <t>Iluminação insuficiente reduz a deteção de pontos negros e manchas</t>
  </si>
  <si>
    <t>SWTQ-F02</t>
  </si>
  <si>
    <t>AMB-04</t>
  </si>
  <si>
    <t>Higiene da zona de embalagem das linhas alimentar e farmacêutica</t>
  </si>
  <si>
    <t>Zona segregada, sacos fechados, sem madeira nem vidro; limpeza diária registada</t>
  </si>
  <si>
    <t>Checklist de higiene HIG-01</t>
  </si>
  <si>
    <t>Diária</t>
  </si>
  <si>
    <t>Contaminação por material estranho (reclamação crítica)</t>
  </si>
  <si>
    <t>PESQ-02</t>
  </si>
  <si>
    <t>AMB-05</t>
  </si>
  <si>
    <t>Ruído e circulação de ar na serigrafia (solventes)</t>
  </si>
  <si>
    <t>Exaustão ligada; VLE de exposição cumprido (RG-SGA-21)</t>
  </si>
  <si>
    <t>Medição de exposição (SGA)</t>
  </si>
  <si>
    <t>Anual</t>
  </si>
  <si>
    <t>Desconforto e erro humano; articulação com o SGA/SST</t>
  </si>
  <si>
    <t>Gestor do SGA / EHS (Responsável Ambiental)</t>
  </si>
  <si>
    <t>AMB-06</t>
  </si>
  <si>
    <t>Psicológico</t>
  </si>
  <si>
    <t>Fadiga e pressão por meta no turno 2 (passagem de turno)</t>
  </si>
  <si>
    <t>Pausas cumpridas; passagem de turno estruturada (checklist)</t>
  </si>
  <si>
    <t>Taxa de rejeição por turno; inquérito de clima</t>
  </si>
  <si>
    <t>Mensal</t>
  </si>
  <si>
    <t>Prémio de defeito no turno 2 (R9)</t>
  </si>
  <si>
    <t>SWTQ-W02</t>
  </si>
  <si>
    <t>AMB-07</t>
  </si>
  <si>
    <t>Social</t>
  </si>
  <si>
    <t>Não culpabilização no relato de defeitos e quase-falhas</t>
  </si>
  <si>
    <t>Relato livre; NC tratadas como falha do sistema (cultura justa)</t>
  </si>
  <si>
    <t>Inquérito de cultura da qualidade (RG-SGQ-03)</t>
  </si>
  <si>
    <t>Sem relato não há contenção precoce</t>
  </si>
  <si>
    <t>AMB-08</t>
  </si>
  <si>
    <t>Integração de operadores temporários no pico</t>
  </si>
  <si>
    <t>Acolhimento, tutor designado e validação no posto antes de trabalhar sozinho</t>
  </si>
  <si>
    <t>Matriz de competências (RG-SGQ-07)</t>
  </si>
  <si>
    <t>Por admissão</t>
  </si>
  <si>
    <t>Operadores sem validação nas características críticas</t>
  </si>
  <si>
    <t>SWTQ-W05</t>
  </si>
  <si>
    <t>LISTAS CONTROLADAS (domínios de validação de dados) — editar aqui para alterar opções</t>
  </si>
  <si>
    <t>DataReferencia</t>
  </si>
  <si>
    <t>TipoProc</t>
  </si>
  <si>
    <t>Funcao</t>
  </si>
  <si>
    <t>FatorAmb</t>
  </si>
  <si>
    <t>SimNao</t>
  </si>
  <si>
    <t>Diretor Industrial</t>
  </si>
  <si>
    <t>Técnico(a) da Qualidade / Inspetor(a)</t>
  </si>
  <si>
    <t>Técnico(a) de Laboratório</t>
  </si>
  <si>
    <t>Engenheiro(a) de Processo</t>
  </si>
  <si>
    <t>Chefe de Turno</t>
  </si>
  <si>
    <t>Operador(a) de Injeção</t>
  </si>
  <si>
    <t>Operador(a) de Sopro (ISBM)</t>
  </si>
  <si>
    <t>Operador(a) de Serigrafia</t>
  </si>
  <si>
    <t>Operador(a) de Hot Foil</t>
  </si>
  <si>
    <t>Técnico(a) de Manutenção</t>
  </si>
  <si>
    <t>Técnico(a) de Metrologia</t>
  </si>
  <si>
    <t>Auditor(a) Interno(a) do SGQ</t>
  </si>
  <si>
    <t>Gestor(a) de Cliente (Key Account)</t>
  </si>
  <si>
    <t>Planeador(a) de Produção</t>
  </si>
  <si>
    <t>Operador(a) de Armazém / Empilhador</t>
  </si>
  <si>
    <t>Folha</t>
  </si>
  <si>
    <t>Tabela</t>
  </si>
  <si>
    <t>Coluna</t>
  </si>
  <si>
    <t>Origem</t>
  </si>
  <si>
    <t>Descricao</t>
  </si>
  <si>
    <t>Dominio_Unidade</t>
  </si>
  <si>
    <t>Obrigatorio</t>
  </si>
  <si>
    <t>Chave</t>
  </si>
  <si>
    <t>tbl_processos</t>
  </si>
  <si>
    <t>Texto</t>
  </si>
  <si>
    <t>Entrada</t>
  </si>
  <si>
    <t>Código do processo.</t>
  </si>
  <si>
    <t>Lista lst_Processo</t>
  </si>
  <si>
    <t>PK</t>
  </si>
  <si>
    <t>Nome do processo.</t>
  </si>
  <si>
    <t>Gestão / realização / suporte.</t>
  </si>
  <si>
    <t>Lista lst_TipoProc</t>
  </si>
  <si>
    <t>Dono do processo (4.4.1 f).</t>
  </si>
  <si>
    <t>Lista lst_Funcao</t>
  </si>
  <si>
    <t>Finalidade / resultado pretendido.</t>
  </si>
  <si>
    <t>Entradas requeridas (4.4.1 b).</t>
  </si>
  <si>
    <t>De onde vêm as entradas (processos ou partes externas).</t>
  </si>
  <si>
    <t>Saídas esperadas (4.4.1 b).</t>
  </si>
  <si>
    <t>Quem recebe as saídas.</t>
  </si>
  <si>
    <t>Atividades principais (sequência).</t>
  </si>
  <si>
    <t>Com quê (4.4.1 e).</t>
  </si>
  <si>
    <t>Com quem (7.2).</t>
  </si>
  <si>
    <t>Como: documentos (4.4.2).</t>
  </si>
  <si>
    <t>FK → RG-SGQ-08</t>
  </si>
  <si>
    <t>Quanto: indicadores (4.4.1 d).</t>
  </si>
  <si>
    <t>FK → RG-SGQ-05</t>
  </si>
  <si>
    <t>4.4.1 g).</t>
  </si>
  <si>
    <t>FK → RG-SGA-02</t>
  </si>
  <si>
    <t>Cláusulas ISO 9001:2026.</t>
  </si>
  <si>
    <t>Inteiro</t>
  </si>
  <si>
    <t>Calculado (fórmula)</t>
  </si>
  <si>
    <t>N.º de interações recebidas (matriz).</t>
  </si>
  <si>
    <t>N.º de interações enviadas (matriz).</t>
  </si>
  <si>
    <t>Controlo: dono, KPI e documento definidos e processo ligado à matriz.</t>
  </si>
  <si>
    <t>tbl_interacoes</t>
  </si>
  <si>
    <t>ID sequencial.</t>
  </si>
  <si>
    <t>Processo de origem.</t>
  </si>
  <si>
    <t>FK → tbl_processos</t>
  </si>
  <si>
    <t>Processo de destino.</t>
  </si>
  <si>
    <t>Informação ou material que passa (sequência e interação 4.4.1 c).</t>
  </si>
  <si>
    <t>tbl_maquinas</t>
  </si>
  <si>
    <t>Máquina (ID do dataset).</t>
  </si>
  <si>
    <t>Processo.</t>
  </si>
  <si>
    <t>FK → dim processo</t>
  </si>
  <si>
    <t>Ano de instalação.</t>
  </si>
  <si>
    <t>Idade à data de referência.</t>
  </si>
  <si>
    <t>Tem deteção automática de defeitos (visão/sensores)?</t>
  </si>
  <si>
    <t>Lista lst_SimNao</t>
  </si>
  <si>
    <t>Moldes/ferramentas associados.</t>
  </si>
  <si>
    <t>Decimal</t>
  </si>
  <si>
    <t>Horas de marcha no período (dataset).</t>
  </si>
  <si>
    <t>Paragens não planeadas (avarias) no período.</t>
  </si>
  <si>
    <t>Horas de paragem não planeada.</t>
  </si>
  <si>
    <t>Intervenções preventivas registadas.</t>
  </si>
  <si>
    <t>Tempo médio entre avarias (h).</t>
  </si>
  <si>
    <t>Tempo médio de reparação (h).</t>
  </si>
  <si>
    <t>Percentagem (fração 0-1)</t>
  </si>
  <si>
    <t>OEE médio das ordens (dataset).</t>
  </si>
  <si>
    <t>Unidades produzidas.</t>
  </si>
  <si>
    <t>Unidades rejeitadas.</t>
  </si>
  <si>
    <t>Rejeitado ÷ produzido.</t>
  </si>
  <si>
    <t>Estado de qualificação do equipamento.</t>
  </si>
  <si>
    <t>Alta: MTBF &lt; 12 h ou rejeição &gt; 3%; Média: ≥ 12 anos ou sem deteção automática.</t>
  </si>
  <si>
    <t>tbl_ambiente</t>
  </si>
  <si>
    <t>Fator do ambiente.</t>
  </si>
  <si>
    <t>Social, psicológico ou físico (7.1.4 Nota).</t>
  </si>
  <si>
    <t>Lista lst_FatorAmb</t>
  </si>
  <si>
    <t>Fator.</t>
  </si>
  <si>
    <t>Processo afetado.</t>
  </si>
  <si>
    <t>Condição requerida.</t>
  </si>
  <si>
    <t>Como é verificado.</t>
  </si>
  <si>
    <t>Frequência.</t>
  </si>
  <si>
    <t>Efeito na conformidade se falhar.</t>
  </si>
  <si>
    <t>Fator de contexto (RG-SGQ-01 tbl_pestel / tbl_swot).</t>
  </si>
  <si>
    <t>FK → RG-SGQ-01</t>
  </si>
  <si>
    <t>Responsável.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</si>
</sst>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6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4" fontId="4" fillId="4" borderId="1" xfId="0" applyNumberFormat="1" applyFont="1" applyFill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6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14"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ocessos" displayName="tbl_processos" ref="A4:S22">
  <autoFilter ref="A4:S22" xr:uid="{00000000-0009-0000-0100-000001000000}"/>
  <tableColumns count="19">
    <tableColumn id="1" xr3:uid="{00000000-0010-0000-0000-000001000000}" name="Codigo"/>
    <tableColumn id="2" xr3:uid="{00000000-0010-0000-0000-000002000000}" name="Processo"/>
    <tableColumn id="3" xr3:uid="{00000000-0010-0000-0000-000003000000}" name="Tipo"/>
    <tableColumn id="4" xr3:uid="{00000000-0010-0000-0000-000004000000}" name="Dono"/>
    <tableColumn id="5" xr3:uid="{00000000-0010-0000-0000-000005000000}" name="Objetivo"/>
    <tableColumn id="6" xr3:uid="{00000000-0010-0000-0000-000006000000}" name="Entradas"/>
    <tableColumn id="7" xr3:uid="{00000000-0010-0000-0000-000007000000}" name="Fornecedores_Processo"/>
    <tableColumn id="8" xr3:uid="{00000000-0010-0000-0000-000008000000}" name="Saidas"/>
    <tableColumn id="9" xr3:uid="{00000000-0010-0000-0000-000009000000}" name="Clientes_Processo"/>
    <tableColumn id="10" xr3:uid="{00000000-0010-0000-0000-00000A000000}" name="Atividades"/>
    <tableColumn id="11" xr3:uid="{00000000-0010-0000-0000-00000B000000}" name="Recursos"/>
    <tableColumn id="12" xr3:uid="{00000000-0010-0000-0000-00000C000000}" name="Competencias"/>
    <tableColumn id="13" xr3:uid="{00000000-0010-0000-0000-00000D000000}" name="Metodos_Documentos"/>
    <tableColumn id="14" xr3:uid="{00000000-0010-0000-0000-00000E000000}" name="KPIs"/>
    <tableColumn id="15" xr3:uid="{00000000-0010-0000-0000-00000F000000}" name="Riscos_Oportunidades"/>
    <tableColumn id="16" xr3:uid="{00000000-0010-0000-0000-000010000000}" name="Clausulas"/>
    <tableColumn id="17" xr3:uid="{00000000-0010-0000-0000-000011000000}" name="N_Entradas_Matriz"/>
    <tableColumn id="18" xr3:uid="{00000000-0010-0000-0000-000012000000}" name="N_Saidas_Matriz"/>
    <tableColumn id="19" xr3:uid="{00000000-0010-0000-0000-000013000000}" name="Complet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interacoes" displayName="tbl_interacoes" ref="A1:D39">
  <autoFilter ref="A1:D39" xr:uid="{00000000-0009-0000-0100-000002000000}"/>
  <tableColumns count="4">
    <tableColumn id="1" xr3:uid="{00000000-0010-0000-0100-000001000000}" name="ID_Interacao"/>
    <tableColumn id="2" xr3:uid="{00000000-0010-0000-0100-000002000000}" name="De"/>
    <tableColumn id="3" xr3:uid="{00000000-0010-0000-0100-000003000000}" name="Para"/>
    <tableColumn id="4" xr3:uid="{00000000-0010-0000-0100-000004000000}" name="O_que_Flui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aquinas" displayName="tbl_maquinas" ref="A4:R26">
  <autoFilter ref="A4:R26" xr:uid="{00000000-0009-0000-0100-000003000000}"/>
  <tableColumns count="18">
    <tableColumn id="1" xr3:uid="{00000000-0010-0000-0200-000001000000}" name="ID_Maquina"/>
    <tableColumn id="2" xr3:uid="{00000000-0010-0000-0200-000002000000}" name="Processo"/>
    <tableColumn id="3" xr3:uid="{00000000-0010-0000-0200-000003000000}" name="Ano_Instalacao"/>
    <tableColumn id="4" xr3:uid="{00000000-0010-0000-0200-000004000000}" name="Idade_Anos"/>
    <tableColumn id="5" xr3:uid="{00000000-0010-0000-0200-000005000000}" name="Detecao_Automatica"/>
    <tableColumn id="6" xr3:uid="{00000000-0010-0000-0200-000006000000}" name="N_Moldes"/>
    <tableColumn id="7" xr3:uid="{00000000-0010-0000-0200-000007000000}" name="Horas_Marcha"/>
    <tableColumn id="8" xr3:uid="{00000000-0010-0000-0200-000008000000}" name="N_Avarias"/>
    <tableColumn id="9" xr3:uid="{00000000-0010-0000-0200-000009000000}" name="Horas_Paragem_Nao_Planeada"/>
    <tableColumn id="10" xr3:uid="{00000000-0010-0000-0200-00000A000000}" name="N_Preventivas"/>
    <tableColumn id="11" xr3:uid="{00000000-0010-0000-0200-00000B000000}" name="MTBF_h"/>
    <tableColumn id="12" xr3:uid="{00000000-0010-0000-0200-00000C000000}" name="MTTR_h"/>
    <tableColumn id="13" xr3:uid="{00000000-0010-0000-0200-00000D000000}" name="OEE_Medio"/>
    <tableColumn id="14" xr3:uid="{00000000-0010-0000-0200-00000E000000}" name="Produzido"/>
    <tableColumn id="15" xr3:uid="{00000000-0010-0000-0200-00000F000000}" name="Rejeitado"/>
    <tableColumn id="16" xr3:uid="{00000000-0010-0000-0200-000010000000}" name="Taxa_Rejeicao"/>
    <tableColumn id="17" xr3:uid="{00000000-0010-0000-0200-000011000000}" name="Qualificacao"/>
    <tableColumn id="18" xr3:uid="{00000000-0010-0000-0200-000012000000}" name="Criticidad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ambiente" displayName="tbl_ambiente" ref="A4:J12">
  <autoFilter ref="A4:J12" xr:uid="{00000000-0009-0000-0100-000004000000}"/>
  <tableColumns count="10">
    <tableColumn id="1" xr3:uid="{00000000-0010-0000-0300-000001000000}" name="ID_Fator"/>
    <tableColumn id="2" xr3:uid="{00000000-0010-0000-0300-000002000000}" name="Tipo_Fator"/>
    <tableColumn id="3" xr3:uid="{00000000-0010-0000-0300-000003000000}" name="Fator"/>
    <tableColumn id="4" xr3:uid="{00000000-0010-0000-0300-000004000000}" name="Processo"/>
    <tableColumn id="5" xr3:uid="{00000000-0010-0000-0300-000005000000}" name="Criterio"/>
    <tableColumn id="6" xr3:uid="{00000000-0010-0000-0300-000006000000}" name="Monitorizacao"/>
    <tableColumn id="7" xr3:uid="{00000000-0010-0000-0300-000007000000}" name="Frequencia"/>
    <tableColumn id="8" xr3:uid="{00000000-0010-0000-0300-000008000000}" name="Efeito_Produto"/>
    <tableColumn id="9" xr3:uid="{00000000-0010-0000-0300-000009000000}" name="ID_Contexto"/>
    <tableColumn id="10" xr3:uid="{00000000-0010-0000-0300-00000A000000}" name="Responsavel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cionario" displayName="tbl_dicionario" ref="A1:I52">
  <autoFilter ref="A1:I52" xr:uid="{00000000-0009-0000-0100-000005000000}"/>
  <tableColumns count="9">
    <tableColumn id="1" xr3:uid="{00000000-0010-0000-0400-000001000000}" name="Folha"/>
    <tableColumn id="2" xr3:uid="{00000000-0010-0000-0400-000002000000}" name="Tabela"/>
    <tableColumn id="3" xr3:uid="{00000000-0010-0000-0400-000003000000}" name="Coluna"/>
    <tableColumn id="4" xr3:uid="{00000000-0010-0000-0400-000004000000}" name="Tipo"/>
    <tableColumn id="5" xr3:uid="{00000000-0010-0000-0400-000005000000}" name="Origem"/>
    <tableColumn id="6" xr3:uid="{00000000-0010-0000-0400-000006000000}" name="Descricao"/>
    <tableColumn id="7" xr3:uid="{00000000-0010-0000-0400-000007000000}" name="Dominio_Unidade"/>
    <tableColumn id="8" xr3:uid="{00000000-0010-0000-0400-000008000000}" name="Obrigatorio"/>
    <tableColumn id="9" xr3:uid="{00000000-0010-0000-04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5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x14ac:dyDescent="0.3">
      <c r="A26" s="5" t="s">
        <v>35</v>
      </c>
      <c r="B26" s="6" t="s">
        <v>36</v>
      </c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4" spans="1:2" x14ac:dyDescent="0.3">
      <c r="A34" s="3" t="s">
        <v>49</v>
      </c>
      <c r="B34" s="4"/>
    </row>
    <row r="35" spans="1:2" ht="26.4" x14ac:dyDescent="0.3">
      <c r="A35" s="5" t="s">
        <v>50</v>
      </c>
      <c r="B35" s="6" t="s">
        <v>51</v>
      </c>
    </row>
    <row r="36" spans="1:2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8" spans="1:2" ht="26.4" x14ac:dyDescent="0.3">
      <c r="A38" s="5" t="s">
        <v>56</v>
      </c>
      <c r="B38" s="6" t="s">
        <v>57</v>
      </c>
    </row>
    <row r="39" spans="1:2" ht="26.4" x14ac:dyDescent="0.3">
      <c r="A39" s="5" t="s">
        <v>58</v>
      </c>
      <c r="B39" s="6" t="s">
        <v>59</v>
      </c>
    </row>
    <row r="40" spans="1:2" ht="39.6" x14ac:dyDescent="0.3">
      <c r="A40" s="5" t="s">
        <v>60</v>
      </c>
      <c r="B40" s="6" t="s">
        <v>61</v>
      </c>
    </row>
    <row r="42" spans="1:2" x14ac:dyDescent="0.3">
      <c r="A42" s="3" t="s">
        <v>62</v>
      </c>
      <c r="B42" s="4"/>
    </row>
    <row r="43" spans="1:2" x14ac:dyDescent="0.3">
      <c r="A43" s="5" t="s">
        <v>63</v>
      </c>
      <c r="B43" s="6" t="s">
        <v>64</v>
      </c>
    </row>
    <row r="44" spans="1:2" x14ac:dyDescent="0.3">
      <c r="A44" s="5" t="s">
        <v>65</v>
      </c>
      <c r="B44" s="6" t="s">
        <v>66</v>
      </c>
    </row>
    <row r="45" spans="1:2" x14ac:dyDescent="0.3">
      <c r="A45" s="5" t="s">
        <v>67</v>
      </c>
      <c r="B45" s="6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5F"/>
    <pageSetUpPr fitToPage="1"/>
  </sheetPr>
  <dimension ref="A1:S22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4" customWidth="1"/>
    <col min="3" max="3" width="10" customWidth="1"/>
    <col min="4" max="4" width="24" customWidth="1"/>
    <col min="5" max="5" width="36" customWidth="1"/>
    <col min="6" max="6" width="34" customWidth="1"/>
    <col min="7" max="7" width="16" customWidth="1"/>
    <col min="8" max="8" width="34" customWidth="1"/>
    <col min="9" max="9" width="16" customWidth="1"/>
    <col min="10" max="10" width="40" customWidth="1"/>
    <col min="11" max="11" width="26" customWidth="1"/>
    <col min="12" max="13" width="24" customWidth="1"/>
    <col min="14" max="14" width="22" customWidth="1"/>
    <col min="15" max="16" width="16" customWidth="1"/>
    <col min="17" max="18" width="9" customWidth="1"/>
    <col min="19" max="19" width="10" customWidth="1"/>
  </cols>
  <sheetData>
    <row r="1" spans="1:19" ht="17.399999999999999" x14ac:dyDescent="0.3">
      <c r="A1" s="1" t="s">
        <v>69</v>
      </c>
    </row>
    <row r="2" spans="1:19" x14ac:dyDescent="0.3">
      <c r="A2" s="2" t="s">
        <v>70</v>
      </c>
    </row>
    <row r="4" spans="1:19" ht="39.6" x14ac:dyDescent="0.3">
      <c r="A4" s="8" t="s">
        <v>71</v>
      </c>
      <c r="B4" s="8" t="s">
        <v>72</v>
      </c>
      <c r="C4" s="8" t="s">
        <v>73</v>
      </c>
      <c r="D4" s="8" t="s">
        <v>74</v>
      </c>
      <c r="E4" s="8" t="s">
        <v>75</v>
      </c>
      <c r="F4" s="8" t="s">
        <v>76</v>
      </c>
      <c r="G4" s="8" t="s">
        <v>77</v>
      </c>
      <c r="H4" s="8" t="s">
        <v>78</v>
      </c>
      <c r="I4" s="8" t="s">
        <v>79</v>
      </c>
      <c r="J4" s="8" t="s">
        <v>80</v>
      </c>
      <c r="K4" s="8" t="s">
        <v>81</v>
      </c>
      <c r="L4" s="8" t="s">
        <v>82</v>
      </c>
      <c r="M4" s="8" t="s">
        <v>83</v>
      </c>
      <c r="N4" s="8" t="s">
        <v>84</v>
      </c>
      <c r="O4" s="8" t="s">
        <v>85</v>
      </c>
      <c r="P4" s="8" t="s">
        <v>86</v>
      </c>
      <c r="Q4" s="9" t="s">
        <v>87</v>
      </c>
      <c r="R4" s="9" t="s">
        <v>88</v>
      </c>
      <c r="S4" s="9" t="s">
        <v>89</v>
      </c>
    </row>
    <row r="5" spans="1:19" ht="72" customHeight="1" x14ac:dyDescent="0.3">
      <c r="A5" s="10" t="s">
        <v>90</v>
      </c>
      <c r="B5" s="10" t="s">
        <v>91</v>
      </c>
      <c r="C5" s="10" t="s">
        <v>92</v>
      </c>
      <c r="D5" s="10" t="s">
        <v>93</v>
      </c>
      <c r="E5" s="10" t="s">
        <v>94</v>
      </c>
      <c r="F5" s="10" t="s">
        <v>95</v>
      </c>
      <c r="G5" s="10" t="s">
        <v>96</v>
      </c>
      <c r="H5" s="10" t="s">
        <v>97</v>
      </c>
      <c r="I5" s="10" t="s">
        <v>98</v>
      </c>
      <c r="J5" s="10" t="s">
        <v>99</v>
      </c>
      <c r="K5" s="10" t="s">
        <v>100</v>
      </c>
      <c r="L5" s="10" t="s">
        <v>101</v>
      </c>
      <c r="M5" s="10" t="s">
        <v>102</v>
      </c>
      <c r="N5" s="10" t="s">
        <v>103</v>
      </c>
      <c r="O5" s="10" t="s">
        <v>104</v>
      </c>
      <c r="P5" s="10" t="s">
        <v>105</v>
      </c>
      <c r="Q5" s="11">
        <f>COUNTIF(tbl_interacoes[Para],A5)</f>
        <v>1</v>
      </c>
      <c r="R5" s="11">
        <f>COUNTIF(tbl_interacoes[De],A5)</f>
        <v>1</v>
      </c>
      <c r="S5" s="12" t="str">
        <f t="shared" ref="S5:S22" si="0">IF(OR(D5="",N5="",M5=""),"FALTA",IF(Q5+R5=0,"Isolado","OK"))</f>
        <v>OK</v>
      </c>
    </row>
    <row r="6" spans="1:19" ht="72" customHeight="1" x14ac:dyDescent="0.3">
      <c r="A6" s="10" t="s">
        <v>106</v>
      </c>
      <c r="B6" s="10" t="s">
        <v>107</v>
      </c>
      <c r="C6" s="10" t="s">
        <v>92</v>
      </c>
      <c r="D6" s="10" t="s">
        <v>11</v>
      </c>
      <c r="E6" s="10" t="s">
        <v>108</v>
      </c>
      <c r="F6" s="10" t="s">
        <v>109</v>
      </c>
      <c r="G6" s="10" t="s">
        <v>110</v>
      </c>
      <c r="H6" s="10" t="s">
        <v>111</v>
      </c>
      <c r="I6" s="10" t="s">
        <v>112</v>
      </c>
      <c r="J6" s="10" t="s">
        <v>113</v>
      </c>
      <c r="K6" s="10" t="s">
        <v>114</v>
      </c>
      <c r="L6" s="10" t="s">
        <v>115</v>
      </c>
      <c r="M6" s="10" t="s">
        <v>116</v>
      </c>
      <c r="N6" s="10" t="s">
        <v>117</v>
      </c>
      <c r="O6" s="10" t="s">
        <v>118</v>
      </c>
      <c r="P6" s="10" t="s">
        <v>119</v>
      </c>
      <c r="Q6" s="11">
        <f>COUNTIF(tbl_interacoes[Para],A6)</f>
        <v>5</v>
      </c>
      <c r="R6" s="11">
        <f>COUNTIF(tbl_interacoes[De],A6)</f>
        <v>2</v>
      </c>
      <c r="S6" s="12" t="str">
        <f t="shared" si="0"/>
        <v>OK</v>
      </c>
    </row>
    <row r="7" spans="1:19" ht="72" customHeight="1" x14ac:dyDescent="0.3">
      <c r="A7" s="10" t="s">
        <v>120</v>
      </c>
      <c r="B7" s="10" t="s">
        <v>121</v>
      </c>
      <c r="C7" s="10" t="s">
        <v>122</v>
      </c>
      <c r="D7" s="10" t="s">
        <v>123</v>
      </c>
      <c r="E7" s="10" t="s">
        <v>124</v>
      </c>
      <c r="F7" s="10" t="s">
        <v>125</v>
      </c>
      <c r="G7" s="10" t="s">
        <v>126</v>
      </c>
      <c r="H7" s="10" t="s">
        <v>127</v>
      </c>
      <c r="I7" s="10" t="s">
        <v>128</v>
      </c>
      <c r="J7" s="10" t="s">
        <v>129</v>
      </c>
      <c r="K7" s="10" t="s">
        <v>130</v>
      </c>
      <c r="L7" s="10" t="s">
        <v>131</v>
      </c>
      <c r="M7" s="10" t="s">
        <v>132</v>
      </c>
      <c r="N7" s="10" t="s">
        <v>133</v>
      </c>
      <c r="O7" s="10" t="s">
        <v>134</v>
      </c>
      <c r="P7" s="10" t="s">
        <v>135</v>
      </c>
      <c r="Q7" s="11">
        <f>COUNTIF(tbl_interacoes[Para],A7)</f>
        <v>2</v>
      </c>
      <c r="R7" s="11">
        <f>COUNTIF(tbl_interacoes[De],A7)</f>
        <v>3</v>
      </c>
      <c r="S7" s="12" t="str">
        <f t="shared" si="0"/>
        <v>OK</v>
      </c>
    </row>
    <row r="8" spans="1:19" ht="72" customHeight="1" x14ac:dyDescent="0.3">
      <c r="A8" s="10" t="s">
        <v>136</v>
      </c>
      <c r="B8" s="10" t="s">
        <v>137</v>
      </c>
      <c r="C8" s="10" t="s">
        <v>122</v>
      </c>
      <c r="D8" s="10" t="s">
        <v>138</v>
      </c>
      <c r="E8" s="10" t="s">
        <v>139</v>
      </c>
      <c r="F8" s="10" t="s">
        <v>140</v>
      </c>
      <c r="G8" s="10" t="s">
        <v>141</v>
      </c>
      <c r="H8" s="10" t="s">
        <v>142</v>
      </c>
      <c r="I8" s="10" t="s">
        <v>143</v>
      </c>
      <c r="J8" s="10" t="s">
        <v>144</v>
      </c>
      <c r="K8" s="10" t="s">
        <v>145</v>
      </c>
      <c r="L8" s="10" t="s">
        <v>146</v>
      </c>
      <c r="M8" s="10" t="s">
        <v>147</v>
      </c>
      <c r="N8" s="10" t="s">
        <v>148</v>
      </c>
      <c r="O8" s="10" t="s">
        <v>149</v>
      </c>
      <c r="P8" s="10" t="s">
        <v>150</v>
      </c>
      <c r="Q8" s="11">
        <f>COUNTIF(tbl_interacoes[Para],A8)</f>
        <v>1</v>
      </c>
      <c r="R8" s="11">
        <f>COUNTIF(tbl_interacoes[De],A8)</f>
        <v>2</v>
      </c>
      <c r="S8" s="12" t="str">
        <f t="shared" si="0"/>
        <v>OK</v>
      </c>
    </row>
    <row r="9" spans="1:19" ht="72" customHeight="1" x14ac:dyDescent="0.3">
      <c r="A9" s="10" t="s">
        <v>151</v>
      </c>
      <c r="B9" s="10" t="s">
        <v>152</v>
      </c>
      <c r="C9" s="10" t="s">
        <v>122</v>
      </c>
      <c r="D9" s="10" t="s">
        <v>153</v>
      </c>
      <c r="E9" s="10" t="s">
        <v>154</v>
      </c>
      <c r="F9" s="10" t="s">
        <v>155</v>
      </c>
      <c r="G9" s="10" t="s">
        <v>156</v>
      </c>
      <c r="H9" s="10" t="s">
        <v>157</v>
      </c>
      <c r="I9" s="10" t="s">
        <v>158</v>
      </c>
      <c r="J9" s="10" t="s">
        <v>159</v>
      </c>
      <c r="K9" s="10" t="s">
        <v>160</v>
      </c>
      <c r="L9" s="10" t="s">
        <v>161</v>
      </c>
      <c r="M9" s="10" t="s">
        <v>162</v>
      </c>
      <c r="N9" s="10" t="s">
        <v>163</v>
      </c>
      <c r="O9" s="10" t="s">
        <v>164</v>
      </c>
      <c r="P9" s="10" t="s">
        <v>165</v>
      </c>
      <c r="Q9" s="11">
        <f>COUNTIF(tbl_interacoes[Para],A9)</f>
        <v>2</v>
      </c>
      <c r="R9" s="11">
        <f>COUNTIF(tbl_interacoes[De],A9)</f>
        <v>5</v>
      </c>
      <c r="S9" s="12" t="str">
        <f t="shared" si="0"/>
        <v>OK</v>
      </c>
    </row>
    <row r="10" spans="1:19" ht="72" customHeight="1" x14ac:dyDescent="0.3">
      <c r="A10" s="10" t="s">
        <v>166</v>
      </c>
      <c r="B10" s="10" t="s">
        <v>167</v>
      </c>
      <c r="C10" s="10" t="s">
        <v>122</v>
      </c>
      <c r="D10" s="10" t="s">
        <v>168</v>
      </c>
      <c r="E10" s="10" t="s">
        <v>169</v>
      </c>
      <c r="F10" s="10" t="s">
        <v>170</v>
      </c>
      <c r="G10" s="10" t="s">
        <v>171</v>
      </c>
      <c r="H10" s="10" t="s">
        <v>172</v>
      </c>
      <c r="I10" s="10" t="s">
        <v>173</v>
      </c>
      <c r="J10" s="10" t="s">
        <v>174</v>
      </c>
      <c r="K10" s="10" t="s">
        <v>175</v>
      </c>
      <c r="L10" s="10" t="s">
        <v>176</v>
      </c>
      <c r="M10" s="10" t="s">
        <v>177</v>
      </c>
      <c r="N10" s="10" t="s">
        <v>178</v>
      </c>
      <c r="O10" s="10" t="s">
        <v>179</v>
      </c>
      <c r="P10" s="10" t="s">
        <v>180</v>
      </c>
      <c r="Q10" s="11">
        <f>COUNTIF(tbl_interacoes[Para],A10)</f>
        <v>3</v>
      </c>
      <c r="R10" s="11">
        <f>COUNTIF(tbl_interacoes[De],A10)</f>
        <v>2</v>
      </c>
      <c r="S10" s="12" t="str">
        <f t="shared" si="0"/>
        <v>OK</v>
      </c>
    </row>
    <row r="11" spans="1:19" ht="72" customHeight="1" x14ac:dyDescent="0.3">
      <c r="A11" s="10" t="s">
        <v>181</v>
      </c>
      <c r="B11" s="10" t="s">
        <v>182</v>
      </c>
      <c r="C11" s="10" t="s">
        <v>122</v>
      </c>
      <c r="D11" s="10" t="s">
        <v>183</v>
      </c>
      <c r="E11" s="10" t="s">
        <v>184</v>
      </c>
      <c r="F11" s="10" t="s">
        <v>185</v>
      </c>
      <c r="G11" s="10" t="s">
        <v>186</v>
      </c>
      <c r="H11" s="10" t="s">
        <v>187</v>
      </c>
      <c r="I11" s="10" t="s">
        <v>188</v>
      </c>
      <c r="J11" s="10" t="s">
        <v>189</v>
      </c>
      <c r="K11" s="10" t="s">
        <v>190</v>
      </c>
      <c r="L11" s="10" t="s">
        <v>191</v>
      </c>
      <c r="M11" s="10" t="s">
        <v>192</v>
      </c>
      <c r="N11" s="10" t="s">
        <v>193</v>
      </c>
      <c r="O11" s="10" t="s">
        <v>194</v>
      </c>
      <c r="P11" s="10" t="s">
        <v>195</v>
      </c>
      <c r="Q11" s="11">
        <f>COUNTIF(tbl_interacoes[Para],A11)</f>
        <v>1</v>
      </c>
      <c r="R11" s="11">
        <f>COUNTIF(tbl_interacoes[De],A11)</f>
        <v>3</v>
      </c>
      <c r="S11" s="12" t="str">
        <f t="shared" si="0"/>
        <v>OK</v>
      </c>
    </row>
    <row r="12" spans="1:19" ht="72" customHeight="1" x14ac:dyDescent="0.3">
      <c r="A12" s="10" t="s">
        <v>196</v>
      </c>
      <c r="B12" s="10" t="s">
        <v>197</v>
      </c>
      <c r="C12" s="10" t="s">
        <v>122</v>
      </c>
      <c r="D12" s="10" t="s">
        <v>153</v>
      </c>
      <c r="E12" s="10" t="s">
        <v>198</v>
      </c>
      <c r="F12" s="10" t="s">
        <v>199</v>
      </c>
      <c r="G12" s="10" t="s">
        <v>200</v>
      </c>
      <c r="H12" s="10" t="s">
        <v>201</v>
      </c>
      <c r="I12" s="10" t="s">
        <v>202</v>
      </c>
      <c r="J12" s="10" t="s">
        <v>203</v>
      </c>
      <c r="K12" s="10" t="s">
        <v>204</v>
      </c>
      <c r="L12" s="10" t="s">
        <v>205</v>
      </c>
      <c r="M12" s="10" t="s">
        <v>206</v>
      </c>
      <c r="N12" s="10" t="s">
        <v>207</v>
      </c>
      <c r="O12" s="10" t="s">
        <v>208</v>
      </c>
      <c r="P12" s="10" t="s">
        <v>209</v>
      </c>
      <c r="Q12" s="11">
        <f>COUNTIF(tbl_interacoes[Para],A12)</f>
        <v>5</v>
      </c>
      <c r="R12" s="11">
        <f>COUNTIF(tbl_interacoes[De],A12)</f>
        <v>1</v>
      </c>
      <c r="S12" s="12" t="str">
        <f t="shared" si="0"/>
        <v>OK</v>
      </c>
    </row>
    <row r="13" spans="1:19" ht="72" customHeight="1" x14ac:dyDescent="0.3">
      <c r="A13" s="10" t="s">
        <v>210</v>
      </c>
      <c r="B13" s="10" t="s">
        <v>211</v>
      </c>
      <c r="C13" s="10" t="s">
        <v>122</v>
      </c>
      <c r="D13" s="10" t="s">
        <v>153</v>
      </c>
      <c r="E13" s="10" t="s">
        <v>212</v>
      </c>
      <c r="F13" s="10" t="s">
        <v>213</v>
      </c>
      <c r="G13" s="10" t="s">
        <v>200</v>
      </c>
      <c r="H13" s="10" t="s">
        <v>214</v>
      </c>
      <c r="I13" s="10" t="s">
        <v>202</v>
      </c>
      <c r="J13" s="10" t="s">
        <v>215</v>
      </c>
      <c r="K13" s="10" t="s">
        <v>216</v>
      </c>
      <c r="L13" s="10" t="s">
        <v>217</v>
      </c>
      <c r="M13" s="10" t="s">
        <v>218</v>
      </c>
      <c r="N13" s="10" t="s">
        <v>207</v>
      </c>
      <c r="O13" s="10" t="s">
        <v>219</v>
      </c>
      <c r="P13" s="10" t="s">
        <v>209</v>
      </c>
      <c r="Q13" s="11">
        <f>COUNTIF(tbl_interacoes[Para],A13)</f>
        <v>4</v>
      </c>
      <c r="R13" s="11">
        <f>COUNTIF(tbl_interacoes[De],A13)</f>
        <v>3</v>
      </c>
      <c r="S13" s="12" t="str">
        <f t="shared" si="0"/>
        <v>OK</v>
      </c>
    </row>
    <row r="14" spans="1:19" ht="72" customHeight="1" x14ac:dyDescent="0.3">
      <c r="A14" s="10" t="s">
        <v>220</v>
      </c>
      <c r="B14" s="10" t="s">
        <v>221</v>
      </c>
      <c r="C14" s="10" t="s">
        <v>122</v>
      </c>
      <c r="D14" s="10" t="s">
        <v>153</v>
      </c>
      <c r="E14" s="10" t="s">
        <v>222</v>
      </c>
      <c r="F14" s="10" t="s">
        <v>223</v>
      </c>
      <c r="G14" s="10" t="s">
        <v>224</v>
      </c>
      <c r="H14" s="10" t="s">
        <v>225</v>
      </c>
      <c r="I14" s="10" t="s">
        <v>226</v>
      </c>
      <c r="J14" s="10" t="s">
        <v>227</v>
      </c>
      <c r="K14" s="10" t="s">
        <v>228</v>
      </c>
      <c r="L14" s="10" t="s">
        <v>229</v>
      </c>
      <c r="M14" s="10" t="s">
        <v>230</v>
      </c>
      <c r="N14" s="10" t="s">
        <v>231</v>
      </c>
      <c r="O14" s="10" t="s">
        <v>232</v>
      </c>
      <c r="P14" s="10" t="s">
        <v>233</v>
      </c>
      <c r="Q14" s="11">
        <f>COUNTIF(tbl_interacoes[Para],A14)</f>
        <v>3</v>
      </c>
      <c r="R14" s="11">
        <f>COUNTIF(tbl_interacoes[De],A14)</f>
        <v>1</v>
      </c>
      <c r="S14" s="12" t="str">
        <f t="shared" si="0"/>
        <v>OK</v>
      </c>
    </row>
    <row r="15" spans="1:19" ht="72" customHeight="1" x14ac:dyDescent="0.3">
      <c r="A15" s="10" t="s">
        <v>234</v>
      </c>
      <c r="B15" s="10" t="s">
        <v>235</v>
      </c>
      <c r="C15" s="10" t="s">
        <v>122</v>
      </c>
      <c r="D15" s="10" t="s">
        <v>153</v>
      </c>
      <c r="E15" s="10" t="s">
        <v>236</v>
      </c>
      <c r="F15" s="10" t="s">
        <v>237</v>
      </c>
      <c r="G15" s="10" t="s">
        <v>238</v>
      </c>
      <c r="H15" s="10" t="s">
        <v>239</v>
      </c>
      <c r="I15" s="10" t="s">
        <v>226</v>
      </c>
      <c r="J15" s="10" t="s">
        <v>240</v>
      </c>
      <c r="K15" s="10" t="s">
        <v>241</v>
      </c>
      <c r="L15" s="10" t="s">
        <v>242</v>
      </c>
      <c r="M15" s="10" t="s">
        <v>243</v>
      </c>
      <c r="N15" s="10" t="s">
        <v>231</v>
      </c>
      <c r="O15" s="10" t="s">
        <v>244</v>
      </c>
      <c r="P15" s="10" t="s">
        <v>245</v>
      </c>
      <c r="Q15" s="11">
        <f>COUNTIF(tbl_interacoes[Para],A15)</f>
        <v>3</v>
      </c>
      <c r="R15" s="11">
        <f>COUNTIF(tbl_interacoes[De],A15)</f>
        <v>1</v>
      </c>
      <c r="S15" s="12" t="str">
        <f t="shared" si="0"/>
        <v>OK</v>
      </c>
    </row>
    <row r="16" spans="1:19" ht="72" customHeight="1" x14ac:dyDescent="0.3">
      <c r="A16" s="10" t="s">
        <v>246</v>
      </c>
      <c r="B16" s="10" t="s">
        <v>247</v>
      </c>
      <c r="C16" s="10" t="s">
        <v>122</v>
      </c>
      <c r="D16" s="10" t="s">
        <v>11</v>
      </c>
      <c r="E16" s="10" t="s">
        <v>248</v>
      </c>
      <c r="F16" s="10" t="s">
        <v>249</v>
      </c>
      <c r="G16" s="10" t="s">
        <v>250</v>
      </c>
      <c r="H16" s="10" t="s">
        <v>251</v>
      </c>
      <c r="I16" s="10" t="s">
        <v>252</v>
      </c>
      <c r="J16" s="10" t="s">
        <v>253</v>
      </c>
      <c r="K16" s="10" t="s">
        <v>254</v>
      </c>
      <c r="L16" s="10" t="s">
        <v>255</v>
      </c>
      <c r="M16" s="10" t="s">
        <v>256</v>
      </c>
      <c r="N16" s="10" t="s">
        <v>257</v>
      </c>
      <c r="O16" s="10" t="s">
        <v>258</v>
      </c>
      <c r="P16" s="10" t="s">
        <v>259</v>
      </c>
      <c r="Q16" s="11">
        <f>COUNTIF(tbl_interacoes[Para],A16)</f>
        <v>7</v>
      </c>
      <c r="R16" s="11">
        <f>COUNTIF(tbl_interacoes[De],A16)</f>
        <v>2</v>
      </c>
      <c r="S16" s="12" t="str">
        <f t="shared" si="0"/>
        <v>OK</v>
      </c>
    </row>
    <row r="17" spans="1:19" ht="72" customHeight="1" x14ac:dyDescent="0.3">
      <c r="A17" s="10" t="s">
        <v>260</v>
      </c>
      <c r="B17" s="10" t="s">
        <v>261</v>
      </c>
      <c r="C17" s="10" t="s">
        <v>122</v>
      </c>
      <c r="D17" s="10" t="s">
        <v>183</v>
      </c>
      <c r="E17" s="10" t="s">
        <v>262</v>
      </c>
      <c r="F17" s="10" t="s">
        <v>263</v>
      </c>
      <c r="G17" s="10" t="s">
        <v>264</v>
      </c>
      <c r="H17" s="10" t="s">
        <v>265</v>
      </c>
      <c r="I17" s="10" t="s">
        <v>266</v>
      </c>
      <c r="J17" s="10" t="s">
        <v>267</v>
      </c>
      <c r="K17" s="10" t="s">
        <v>268</v>
      </c>
      <c r="L17" s="10" t="s">
        <v>269</v>
      </c>
      <c r="M17" s="10" t="s">
        <v>270</v>
      </c>
      <c r="N17" s="10" t="s">
        <v>271</v>
      </c>
      <c r="O17" s="10" t="s">
        <v>272</v>
      </c>
      <c r="P17" s="10" t="s">
        <v>273</v>
      </c>
      <c r="Q17" s="11">
        <f>COUNTIF(tbl_interacoes[Para],A17)</f>
        <v>1</v>
      </c>
      <c r="R17" s="11">
        <f>COUNTIF(tbl_interacoes[De],A17)</f>
        <v>1</v>
      </c>
      <c r="S17" s="12" t="str">
        <f t="shared" si="0"/>
        <v>OK</v>
      </c>
    </row>
    <row r="18" spans="1:19" ht="72" customHeight="1" x14ac:dyDescent="0.3">
      <c r="A18" s="10" t="s">
        <v>274</v>
      </c>
      <c r="B18" s="10" t="s">
        <v>275</v>
      </c>
      <c r="C18" s="10" t="s">
        <v>276</v>
      </c>
      <c r="D18" s="10" t="s">
        <v>277</v>
      </c>
      <c r="E18" s="10" t="s">
        <v>278</v>
      </c>
      <c r="F18" s="10" t="s">
        <v>279</v>
      </c>
      <c r="G18" s="10" t="s">
        <v>280</v>
      </c>
      <c r="H18" s="10" t="s">
        <v>281</v>
      </c>
      <c r="I18" s="10" t="s">
        <v>188</v>
      </c>
      <c r="J18" s="10" t="s">
        <v>282</v>
      </c>
      <c r="K18" s="10" t="s">
        <v>283</v>
      </c>
      <c r="L18" s="10" t="s">
        <v>284</v>
      </c>
      <c r="M18" s="10" t="s">
        <v>285</v>
      </c>
      <c r="N18" s="10" t="s">
        <v>286</v>
      </c>
      <c r="O18" s="10" t="s">
        <v>287</v>
      </c>
      <c r="P18" s="10" t="s">
        <v>288</v>
      </c>
      <c r="Q18" s="11">
        <f>COUNTIF(tbl_interacoes[Para],A18)</f>
        <v>0</v>
      </c>
      <c r="R18" s="11">
        <f>COUNTIF(tbl_interacoes[De],A18)</f>
        <v>4</v>
      </c>
      <c r="S18" s="12" t="str">
        <f t="shared" si="0"/>
        <v>OK</v>
      </c>
    </row>
    <row r="19" spans="1:19" ht="72" customHeight="1" x14ac:dyDescent="0.3">
      <c r="A19" s="10" t="s">
        <v>289</v>
      </c>
      <c r="B19" s="10" t="s">
        <v>290</v>
      </c>
      <c r="C19" s="10" t="s">
        <v>276</v>
      </c>
      <c r="D19" s="10" t="s">
        <v>11</v>
      </c>
      <c r="E19" s="10" t="s">
        <v>291</v>
      </c>
      <c r="F19" s="10" t="s">
        <v>292</v>
      </c>
      <c r="G19" s="10" t="s">
        <v>293</v>
      </c>
      <c r="H19" s="10" t="s">
        <v>294</v>
      </c>
      <c r="I19" s="10" t="s">
        <v>295</v>
      </c>
      <c r="J19" s="10" t="s">
        <v>296</v>
      </c>
      <c r="K19" s="10" t="s">
        <v>297</v>
      </c>
      <c r="L19" s="10" t="s">
        <v>298</v>
      </c>
      <c r="M19" s="10" t="s">
        <v>299</v>
      </c>
      <c r="N19" s="10" t="s">
        <v>300</v>
      </c>
      <c r="O19" s="10" t="s">
        <v>301</v>
      </c>
      <c r="P19" s="10" t="s">
        <v>302</v>
      </c>
      <c r="Q19" s="11">
        <f>COUNTIF(tbl_interacoes[Para],A19)</f>
        <v>0</v>
      </c>
      <c r="R19" s="11">
        <f>COUNTIF(tbl_interacoes[De],A19)</f>
        <v>1</v>
      </c>
      <c r="S19" s="12" t="str">
        <f t="shared" si="0"/>
        <v>OK</v>
      </c>
    </row>
    <row r="20" spans="1:19" ht="72" customHeight="1" x14ac:dyDescent="0.3">
      <c r="A20" s="10" t="s">
        <v>303</v>
      </c>
      <c r="B20" s="10" t="s">
        <v>304</v>
      </c>
      <c r="C20" s="10" t="s">
        <v>276</v>
      </c>
      <c r="D20" s="10" t="s">
        <v>305</v>
      </c>
      <c r="E20" s="10" t="s">
        <v>306</v>
      </c>
      <c r="F20" s="10" t="s">
        <v>307</v>
      </c>
      <c r="G20" s="10" t="s">
        <v>110</v>
      </c>
      <c r="H20" s="10" t="s">
        <v>308</v>
      </c>
      <c r="I20" s="10" t="s">
        <v>110</v>
      </c>
      <c r="J20" s="10" t="s">
        <v>309</v>
      </c>
      <c r="K20" s="10" t="s">
        <v>310</v>
      </c>
      <c r="L20" s="10" t="s">
        <v>311</v>
      </c>
      <c r="M20" s="10" t="s">
        <v>312</v>
      </c>
      <c r="N20" s="10" t="s">
        <v>313</v>
      </c>
      <c r="O20" s="10" t="s">
        <v>314</v>
      </c>
      <c r="P20" s="10" t="s">
        <v>315</v>
      </c>
      <c r="Q20" s="11">
        <f>COUNTIF(tbl_interacoes[Para],A20)</f>
        <v>0</v>
      </c>
      <c r="R20" s="11">
        <f>COUNTIF(tbl_interacoes[De],A20)</f>
        <v>3</v>
      </c>
      <c r="S20" s="12" t="str">
        <f t="shared" si="0"/>
        <v>OK</v>
      </c>
    </row>
    <row r="21" spans="1:19" ht="72" customHeight="1" x14ac:dyDescent="0.3">
      <c r="A21" s="10" t="s">
        <v>316</v>
      </c>
      <c r="B21" s="10" t="s">
        <v>317</v>
      </c>
      <c r="C21" s="10" t="s">
        <v>276</v>
      </c>
      <c r="D21" s="10" t="s">
        <v>318</v>
      </c>
      <c r="E21" s="10" t="s">
        <v>319</v>
      </c>
      <c r="F21" s="10" t="s">
        <v>320</v>
      </c>
      <c r="G21" s="10" t="s">
        <v>110</v>
      </c>
      <c r="H21" s="10" t="s">
        <v>321</v>
      </c>
      <c r="I21" s="10" t="s">
        <v>110</v>
      </c>
      <c r="J21" s="10" t="s">
        <v>322</v>
      </c>
      <c r="K21" s="10" t="s">
        <v>323</v>
      </c>
      <c r="L21" s="10" t="s">
        <v>324</v>
      </c>
      <c r="M21" s="10" t="s">
        <v>325</v>
      </c>
      <c r="N21" s="10" t="s">
        <v>326</v>
      </c>
      <c r="O21" s="10" t="s">
        <v>327</v>
      </c>
      <c r="P21" s="10" t="s">
        <v>328</v>
      </c>
      <c r="Q21" s="11">
        <f>COUNTIF(tbl_interacoes[Para],A21)</f>
        <v>0</v>
      </c>
      <c r="R21" s="11">
        <f>COUNTIF(tbl_interacoes[De],A21)</f>
        <v>1</v>
      </c>
      <c r="S21" s="12" t="str">
        <f t="shared" si="0"/>
        <v>OK</v>
      </c>
    </row>
    <row r="22" spans="1:19" ht="72" customHeight="1" x14ac:dyDescent="0.3">
      <c r="A22" s="10" t="s">
        <v>329</v>
      </c>
      <c r="B22" s="10" t="s">
        <v>330</v>
      </c>
      <c r="C22" s="10" t="s">
        <v>276</v>
      </c>
      <c r="D22" s="10" t="s">
        <v>11</v>
      </c>
      <c r="E22" s="10" t="s">
        <v>331</v>
      </c>
      <c r="F22" s="10" t="s">
        <v>332</v>
      </c>
      <c r="G22" s="10" t="s">
        <v>110</v>
      </c>
      <c r="H22" s="10" t="s">
        <v>333</v>
      </c>
      <c r="I22" s="10" t="s">
        <v>110</v>
      </c>
      <c r="J22" s="10" t="s">
        <v>334</v>
      </c>
      <c r="K22" s="10" t="s">
        <v>335</v>
      </c>
      <c r="L22" s="10" t="s">
        <v>336</v>
      </c>
      <c r="M22" s="10" t="s">
        <v>337</v>
      </c>
      <c r="N22" s="10" t="s">
        <v>326</v>
      </c>
      <c r="O22" s="10"/>
      <c r="P22" s="10" t="s">
        <v>338</v>
      </c>
      <c r="Q22" s="11">
        <f>COUNTIF(tbl_interacoes[Para],A22)</f>
        <v>0</v>
      </c>
      <c r="R22" s="11">
        <f>COUNTIF(tbl_interacoes[De],A22)</f>
        <v>2</v>
      </c>
      <c r="S22" s="12" t="str">
        <f t="shared" si="0"/>
        <v>OK</v>
      </c>
    </row>
  </sheetData>
  <conditionalFormatting sqref="C5:C222">
    <cfRule type="expression" dxfId="13" priority="1">
      <formula>ISNUMBER(SEARCH("Gestão",C5))</formula>
    </cfRule>
    <cfRule type="expression" dxfId="12" priority="2">
      <formula>ISNUMBER(SEARCH("Realização",C5))</formula>
    </cfRule>
    <cfRule type="expression" dxfId="11" priority="3">
      <formula>ISNUMBER(SEARCH("Suporte",C5))</formula>
    </cfRule>
  </conditionalFormatting>
  <conditionalFormatting sqref="S5:S222">
    <cfRule type="expression" dxfId="10" priority="4">
      <formula>ISNUMBER(SEARCH("FALTA",S5))</formula>
    </cfRule>
    <cfRule type="expression" dxfId="9" priority="5">
      <formula>ISNUMBER(SEARCH("Isolado",S5))</formula>
    </cfRule>
    <cfRule type="expression" dxfId="8" priority="6">
      <formula>ISNUMBER(SEARCH("OK",S5))</formula>
    </cfRule>
  </conditionalFormatting>
  <dataValidations count="3">
    <dataValidation type="list" allowBlank="1" showErrorMessage="1" errorTitle="Valor inválido" error="Valor fora da lista controlada (ver folha Listas)." sqref="A5:A222" xr:uid="{00000000-0002-0000-0100-000000000000}">
      <formula1>lst_Processo</formula1>
    </dataValidation>
    <dataValidation type="list" allowBlank="1" showErrorMessage="1" errorTitle="Valor inválido" error="Valor fora da lista controlada (ver folha Listas)." sqref="C5:C222" xr:uid="{00000000-0002-0000-0100-000001000000}">
      <formula1>lst_TipoProc</formula1>
    </dataValidation>
    <dataValidation type="list" allowBlank="1" showErrorMessage="1" errorTitle="Valor inválido" error="Valor fora da lista controlada (ver folha Listas)." sqref="D5:D222" xr:uid="{00000000-0002-0000-0100-000002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39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3" width="7" customWidth="1"/>
    <col min="4" max="4" width="40" customWidth="1"/>
  </cols>
  <sheetData>
    <row r="1" spans="1:4" ht="26.4" x14ac:dyDescent="0.3">
      <c r="A1" s="9" t="s">
        <v>339</v>
      </c>
      <c r="B1" s="8" t="s">
        <v>340</v>
      </c>
      <c r="C1" s="8" t="s">
        <v>341</v>
      </c>
      <c r="D1" s="8" t="s">
        <v>342</v>
      </c>
    </row>
    <row r="2" spans="1:4" ht="18" customHeight="1" x14ac:dyDescent="0.3">
      <c r="A2" s="12" t="str">
        <f t="shared" ref="A2:A39" si="0">"INT-"&amp;TEXT(ROW()-1,"00")</f>
        <v>INT-01</v>
      </c>
      <c r="B2" s="10" t="s">
        <v>90</v>
      </c>
      <c r="C2" s="10" t="s">
        <v>106</v>
      </c>
      <c r="D2" s="10" t="s">
        <v>343</v>
      </c>
    </row>
    <row r="3" spans="1:4" ht="18" customHeight="1" x14ac:dyDescent="0.3">
      <c r="A3" s="12" t="str">
        <f t="shared" si="0"/>
        <v>INT-02</v>
      </c>
      <c r="B3" s="10" t="s">
        <v>106</v>
      </c>
      <c r="C3" s="10" t="s">
        <v>90</v>
      </c>
      <c r="D3" s="10" t="s">
        <v>344</v>
      </c>
    </row>
    <row r="4" spans="1:4" ht="18" customHeight="1" x14ac:dyDescent="0.3">
      <c r="A4" s="12" t="str">
        <f t="shared" si="0"/>
        <v>INT-03</v>
      </c>
      <c r="B4" s="10" t="s">
        <v>120</v>
      </c>
      <c r="C4" s="10" t="s">
        <v>136</v>
      </c>
      <c r="D4" s="10" t="s">
        <v>345</v>
      </c>
    </row>
    <row r="5" spans="1:4" ht="18" customHeight="1" x14ac:dyDescent="0.3">
      <c r="A5" s="12" t="str">
        <f t="shared" si="0"/>
        <v>INT-04</v>
      </c>
      <c r="B5" s="10" t="s">
        <v>120</v>
      </c>
      <c r="C5" s="10" t="s">
        <v>151</v>
      </c>
      <c r="D5" s="10" t="s">
        <v>346</v>
      </c>
    </row>
    <row r="6" spans="1:4" ht="18" customHeight="1" x14ac:dyDescent="0.3">
      <c r="A6" s="12" t="str">
        <f t="shared" si="0"/>
        <v>INT-05</v>
      </c>
      <c r="B6" s="10" t="s">
        <v>136</v>
      </c>
      <c r="C6" s="10" t="s">
        <v>151</v>
      </c>
      <c r="D6" s="10" t="s">
        <v>347</v>
      </c>
    </row>
    <row r="7" spans="1:4" ht="18" customHeight="1" x14ac:dyDescent="0.3">
      <c r="A7" s="12" t="str">
        <f t="shared" si="0"/>
        <v>INT-06</v>
      </c>
      <c r="B7" s="10" t="s">
        <v>136</v>
      </c>
      <c r="C7" s="10" t="s">
        <v>166</v>
      </c>
      <c r="D7" s="10" t="s">
        <v>348</v>
      </c>
    </row>
    <row r="8" spans="1:4" ht="18" customHeight="1" x14ac:dyDescent="0.3">
      <c r="A8" s="12" t="str">
        <f t="shared" si="0"/>
        <v>INT-07</v>
      </c>
      <c r="B8" s="10" t="s">
        <v>151</v>
      </c>
      <c r="C8" s="10" t="s">
        <v>166</v>
      </c>
      <c r="D8" s="10" t="s">
        <v>349</v>
      </c>
    </row>
    <row r="9" spans="1:4" ht="18" customHeight="1" x14ac:dyDescent="0.3">
      <c r="A9" s="12" t="str">
        <f t="shared" si="0"/>
        <v>INT-08</v>
      </c>
      <c r="B9" s="10" t="s">
        <v>166</v>
      </c>
      <c r="C9" s="10" t="s">
        <v>181</v>
      </c>
      <c r="D9" s="10" t="s">
        <v>350</v>
      </c>
    </row>
    <row r="10" spans="1:4" ht="18" customHeight="1" x14ac:dyDescent="0.3">
      <c r="A10" s="12" t="str">
        <f t="shared" si="0"/>
        <v>INT-09</v>
      </c>
      <c r="B10" s="10" t="s">
        <v>181</v>
      </c>
      <c r="C10" s="10" t="s">
        <v>196</v>
      </c>
      <c r="D10" s="10" t="s">
        <v>351</v>
      </c>
    </row>
    <row r="11" spans="1:4" ht="18" customHeight="1" x14ac:dyDescent="0.3">
      <c r="A11" s="12" t="str">
        <f t="shared" si="0"/>
        <v>INT-10</v>
      </c>
      <c r="B11" s="10" t="s">
        <v>181</v>
      </c>
      <c r="C11" s="10" t="s">
        <v>210</v>
      </c>
      <c r="D11" s="10" t="s">
        <v>351</v>
      </c>
    </row>
    <row r="12" spans="1:4" ht="18" customHeight="1" x14ac:dyDescent="0.3">
      <c r="A12" s="12" t="str">
        <f t="shared" si="0"/>
        <v>INT-11</v>
      </c>
      <c r="B12" s="10" t="s">
        <v>151</v>
      </c>
      <c r="C12" s="10" t="s">
        <v>196</v>
      </c>
      <c r="D12" s="10" t="s">
        <v>352</v>
      </c>
    </row>
    <row r="13" spans="1:4" ht="18" customHeight="1" x14ac:dyDescent="0.3">
      <c r="A13" s="12" t="str">
        <f t="shared" si="0"/>
        <v>INT-12</v>
      </c>
      <c r="B13" s="10" t="s">
        <v>151</v>
      </c>
      <c r="C13" s="10" t="s">
        <v>210</v>
      </c>
      <c r="D13" s="10" t="s">
        <v>352</v>
      </c>
    </row>
    <row r="14" spans="1:4" ht="18" customHeight="1" x14ac:dyDescent="0.3">
      <c r="A14" s="12" t="str">
        <f t="shared" si="0"/>
        <v>INT-13</v>
      </c>
      <c r="B14" s="10" t="s">
        <v>151</v>
      </c>
      <c r="C14" s="10" t="s">
        <v>220</v>
      </c>
      <c r="D14" s="10" t="s">
        <v>352</v>
      </c>
    </row>
    <row r="15" spans="1:4" ht="18" customHeight="1" x14ac:dyDescent="0.3">
      <c r="A15" s="12" t="str">
        <f t="shared" si="0"/>
        <v>INT-14</v>
      </c>
      <c r="B15" s="10" t="s">
        <v>151</v>
      </c>
      <c r="C15" s="10" t="s">
        <v>234</v>
      </c>
      <c r="D15" s="10" t="s">
        <v>352</v>
      </c>
    </row>
    <row r="16" spans="1:4" ht="18" customHeight="1" x14ac:dyDescent="0.3">
      <c r="A16" s="12" t="str">
        <f t="shared" si="0"/>
        <v>INT-15</v>
      </c>
      <c r="B16" s="10" t="s">
        <v>210</v>
      </c>
      <c r="C16" s="10" t="s">
        <v>220</v>
      </c>
      <c r="D16" s="10" t="s">
        <v>353</v>
      </c>
    </row>
    <row r="17" spans="1:4" ht="18" customHeight="1" x14ac:dyDescent="0.3">
      <c r="A17" s="12" t="str">
        <f t="shared" si="0"/>
        <v>INT-16</v>
      </c>
      <c r="B17" s="10" t="s">
        <v>210</v>
      </c>
      <c r="C17" s="10" t="s">
        <v>234</v>
      </c>
      <c r="D17" s="10" t="s">
        <v>353</v>
      </c>
    </row>
    <row r="18" spans="1:4" ht="18" customHeight="1" x14ac:dyDescent="0.3">
      <c r="A18" s="12" t="str">
        <f t="shared" si="0"/>
        <v>INT-17</v>
      </c>
      <c r="B18" s="10" t="s">
        <v>196</v>
      </c>
      <c r="C18" s="10" t="s">
        <v>246</v>
      </c>
      <c r="D18" s="10" t="s">
        <v>354</v>
      </c>
    </row>
    <row r="19" spans="1:4" ht="18" customHeight="1" x14ac:dyDescent="0.3">
      <c r="A19" s="12" t="str">
        <f t="shared" si="0"/>
        <v>INT-18</v>
      </c>
      <c r="B19" s="10" t="s">
        <v>210</v>
      </c>
      <c r="C19" s="10" t="s">
        <v>246</v>
      </c>
      <c r="D19" s="10" t="s">
        <v>354</v>
      </c>
    </row>
    <row r="20" spans="1:4" ht="18" customHeight="1" x14ac:dyDescent="0.3">
      <c r="A20" s="12" t="str">
        <f t="shared" si="0"/>
        <v>INT-19</v>
      </c>
      <c r="B20" s="10" t="s">
        <v>220</v>
      </c>
      <c r="C20" s="10" t="s">
        <v>246</v>
      </c>
      <c r="D20" s="10" t="s">
        <v>355</v>
      </c>
    </row>
    <row r="21" spans="1:4" ht="18" customHeight="1" x14ac:dyDescent="0.3">
      <c r="A21" s="12" t="str">
        <f t="shared" si="0"/>
        <v>INT-20</v>
      </c>
      <c r="B21" s="10" t="s">
        <v>234</v>
      </c>
      <c r="C21" s="10" t="s">
        <v>246</v>
      </c>
      <c r="D21" s="10" t="s">
        <v>355</v>
      </c>
    </row>
    <row r="22" spans="1:4" ht="18" customHeight="1" x14ac:dyDescent="0.3">
      <c r="A22" s="12" t="str">
        <f t="shared" si="0"/>
        <v>INT-21</v>
      </c>
      <c r="B22" s="10" t="s">
        <v>246</v>
      </c>
      <c r="C22" s="10" t="s">
        <v>260</v>
      </c>
      <c r="D22" s="10" t="s">
        <v>356</v>
      </c>
    </row>
    <row r="23" spans="1:4" ht="18" customHeight="1" x14ac:dyDescent="0.3">
      <c r="A23" s="12" t="str">
        <f t="shared" si="0"/>
        <v>INT-22</v>
      </c>
      <c r="B23" s="10" t="s">
        <v>260</v>
      </c>
      <c r="C23" s="10" t="s">
        <v>120</v>
      </c>
      <c r="D23" s="10" t="s">
        <v>357</v>
      </c>
    </row>
    <row r="24" spans="1:4" ht="18" customHeight="1" x14ac:dyDescent="0.3">
      <c r="A24" s="12" t="str">
        <f t="shared" si="0"/>
        <v>INT-23</v>
      </c>
      <c r="B24" s="10" t="s">
        <v>120</v>
      </c>
      <c r="C24" s="10" t="s">
        <v>106</v>
      </c>
      <c r="D24" s="10" t="s">
        <v>358</v>
      </c>
    </row>
    <row r="25" spans="1:4" ht="18" customHeight="1" x14ac:dyDescent="0.3">
      <c r="A25" s="12" t="str">
        <f t="shared" si="0"/>
        <v>INT-24</v>
      </c>
      <c r="B25" s="10" t="s">
        <v>246</v>
      </c>
      <c r="C25" s="10" t="s">
        <v>106</v>
      </c>
      <c r="D25" s="10" t="s">
        <v>359</v>
      </c>
    </row>
    <row r="26" spans="1:4" ht="18" customHeight="1" x14ac:dyDescent="0.3">
      <c r="A26" s="12" t="str">
        <f t="shared" si="0"/>
        <v>INT-25</v>
      </c>
      <c r="B26" s="10" t="s">
        <v>181</v>
      </c>
      <c r="C26" s="10" t="s">
        <v>166</v>
      </c>
      <c r="D26" s="10" t="s">
        <v>360</v>
      </c>
    </row>
    <row r="27" spans="1:4" ht="18" customHeight="1" x14ac:dyDescent="0.3">
      <c r="A27" s="12" t="str">
        <f t="shared" si="0"/>
        <v>INT-26</v>
      </c>
      <c r="B27" s="10" t="s">
        <v>274</v>
      </c>
      <c r="C27" s="10" t="s">
        <v>196</v>
      </c>
      <c r="D27" s="10" t="s">
        <v>361</v>
      </c>
    </row>
    <row r="28" spans="1:4" ht="18" customHeight="1" x14ac:dyDescent="0.3">
      <c r="A28" s="12" t="str">
        <f t="shared" si="0"/>
        <v>INT-27</v>
      </c>
      <c r="B28" s="10" t="s">
        <v>274</v>
      </c>
      <c r="C28" s="10" t="s">
        <v>210</v>
      </c>
      <c r="D28" s="10" t="s">
        <v>361</v>
      </c>
    </row>
    <row r="29" spans="1:4" ht="18" customHeight="1" x14ac:dyDescent="0.3">
      <c r="A29" s="12" t="str">
        <f t="shared" si="0"/>
        <v>INT-28</v>
      </c>
      <c r="B29" s="10" t="s">
        <v>274</v>
      </c>
      <c r="C29" s="10" t="s">
        <v>220</v>
      </c>
      <c r="D29" s="10" t="s">
        <v>361</v>
      </c>
    </row>
    <row r="30" spans="1:4" ht="18" customHeight="1" x14ac:dyDescent="0.3">
      <c r="A30" s="12" t="str">
        <f t="shared" si="0"/>
        <v>INT-29</v>
      </c>
      <c r="B30" s="10" t="s">
        <v>274</v>
      </c>
      <c r="C30" s="10" t="s">
        <v>234</v>
      </c>
      <c r="D30" s="10" t="s">
        <v>361</v>
      </c>
    </row>
    <row r="31" spans="1:4" ht="18" customHeight="1" x14ac:dyDescent="0.3">
      <c r="A31" s="12" t="str">
        <f t="shared" si="0"/>
        <v>INT-30</v>
      </c>
      <c r="B31" s="10" t="s">
        <v>289</v>
      </c>
      <c r="C31" s="10" t="s">
        <v>246</v>
      </c>
      <c r="D31" s="10" t="s">
        <v>362</v>
      </c>
    </row>
    <row r="32" spans="1:4" ht="18" customHeight="1" x14ac:dyDescent="0.3">
      <c r="A32" s="12" t="str">
        <f t="shared" si="0"/>
        <v>INT-31</v>
      </c>
      <c r="B32" s="10" t="s">
        <v>303</v>
      </c>
      <c r="C32" s="10" t="s">
        <v>196</v>
      </c>
      <c r="D32" s="10" t="s">
        <v>363</v>
      </c>
    </row>
    <row r="33" spans="1:4" ht="18" customHeight="1" x14ac:dyDescent="0.3">
      <c r="A33" s="12" t="str">
        <f t="shared" si="0"/>
        <v>INT-32</v>
      </c>
      <c r="B33" s="10" t="s">
        <v>303</v>
      </c>
      <c r="C33" s="10" t="s">
        <v>210</v>
      </c>
      <c r="D33" s="10" t="s">
        <v>363</v>
      </c>
    </row>
    <row r="34" spans="1:4" ht="18" customHeight="1" x14ac:dyDescent="0.3">
      <c r="A34" s="12" t="str">
        <f t="shared" si="0"/>
        <v>INT-33</v>
      </c>
      <c r="B34" s="10" t="s">
        <v>303</v>
      </c>
      <c r="C34" s="10" t="s">
        <v>246</v>
      </c>
      <c r="D34" s="10" t="s">
        <v>364</v>
      </c>
    </row>
    <row r="35" spans="1:4" ht="18" customHeight="1" x14ac:dyDescent="0.3">
      <c r="A35" s="12" t="str">
        <f t="shared" si="0"/>
        <v>INT-34</v>
      </c>
      <c r="B35" s="10" t="s">
        <v>316</v>
      </c>
      <c r="C35" s="10" t="s">
        <v>106</v>
      </c>
      <c r="D35" s="10" t="s">
        <v>365</v>
      </c>
    </row>
    <row r="36" spans="1:4" ht="18" customHeight="1" x14ac:dyDescent="0.3">
      <c r="A36" s="12" t="str">
        <f t="shared" si="0"/>
        <v>INT-35</v>
      </c>
      <c r="B36" s="10" t="s">
        <v>329</v>
      </c>
      <c r="C36" s="10" t="s">
        <v>196</v>
      </c>
      <c r="D36" s="10" t="s">
        <v>366</v>
      </c>
    </row>
    <row r="37" spans="1:4" ht="18" customHeight="1" x14ac:dyDescent="0.3">
      <c r="A37" s="12" t="str">
        <f t="shared" si="0"/>
        <v>INT-36</v>
      </c>
      <c r="B37" s="10" t="s">
        <v>329</v>
      </c>
      <c r="C37" s="10" t="s">
        <v>246</v>
      </c>
      <c r="D37" s="10" t="s">
        <v>367</v>
      </c>
    </row>
    <row r="38" spans="1:4" ht="18" customHeight="1" x14ac:dyDescent="0.3">
      <c r="A38" s="12" t="str">
        <f t="shared" si="0"/>
        <v>INT-37</v>
      </c>
      <c r="B38" s="10" t="s">
        <v>106</v>
      </c>
      <c r="C38" s="10" t="s">
        <v>120</v>
      </c>
      <c r="D38" s="10" t="s">
        <v>368</v>
      </c>
    </row>
    <row r="39" spans="1:4" ht="18" customHeight="1" x14ac:dyDescent="0.3">
      <c r="A39" s="12" t="str">
        <f t="shared" si="0"/>
        <v>INT-38</v>
      </c>
      <c r="B39" s="10" t="s">
        <v>166</v>
      </c>
      <c r="C39" s="10" t="s">
        <v>106</v>
      </c>
      <c r="D39" s="10" t="s">
        <v>369</v>
      </c>
    </row>
  </sheetData>
  <dataValidations count="1">
    <dataValidation type="list" allowBlank="1" showErrorMessage="1" errorTitle="Valor inválido" error="Valor fora da lista controlada (ver folha Listas)." sqref="B2:C239" xr:uid="{00000000-0002-0000-0200-000000000000}">
      <formula1>lst_Processo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22"/>
  <sheetViews>
    <sheetView showGridLines="0" workbookViewId="0"/>
  </sheetViews>
  <sheetFormatPr defaultRowHeight="14.4" x14ac:dyDescent="0.3"/>
  <cols>
    <col min="1" max="1" width="8" customWidth="1"/>
    <col min="2" max="19" width="5.44140625" customWidth="1"/>
  </cols>
  <sheetData>
    <row r="1" spans="1:19" ht="17.399999999999999" x14ac:dyDescent="0.3">
      <c r="A1" s="1" t="s">
        <v>370</v>
      </c>
    </row>
    <row r="2" spans="1:19" x14ac:dyDescent="0.3">
      <c r="A2" s="2" t="s">
        <v>371</v>
      </c>
    </row>
    <row r="4" spans="1:19" ht="26.4" x14ac:dyDescent="0.3">
      <c r="A4" s="13" t="s">
        <v>372</v>
      </c>
      <c r="B4" s="14" t="s">
        <v>90</v>
      </c>
      <c r="C4" s="14" t="s">
        <v>106</v>
      </c>
      <c r="D4" s="14" t="s">
        <v>120</v>
      </c>
      <c r="E4" s="14" t="s">
        <v>136</v>
      </c>
      <c r="F4" s="14" t="s">
        <v>151</v>
      </c>
      <c r="G4" s="14" t="s">
        <v>166</v>
      </c>
      <c r="H4" s="14" t="s">
        <v>181</v>
      </c>
      <c r="I4" s="14" t="s">
        <v>196</v>
      </c>
      <c r="J4" s="14" t="s">
        <v>210</v>
      </c>
      <c r="K4" s="14" t="s">
        <v>220</v>
      </c>
      <c r="L4" s="14" t="s">
        <v>234</v>
      </c>
      <c r="M4" s="14" t="s">
        <v>246</v>
      </c>
      <c r="N4" s="14" t="s">
        <v>260</v>
      </c>
      <c r="O4" s="14" t="s">
        <v>274</v>
      </c>
      <c r="P4" s="14" t="s">
        <v>289</v>
      </c>
      <c r="Q4" s="14" t="s">
        <v>303</v>
      </c>
      <c r="R4" s="14" t="s">
        <v>316</v>
      </c>
      <c r="S4" s="14" t="s">
        <v>329</v>
      </c>
    </row>
    <row r="5" spans="1:19" x14ac:dyDescent="0.3">
      <c r="A5" s="13" t="s">
        <v>90</v>
      </c>
      <c r="B5" s="15" t="str">
        <f>IF(COUNTIFS(tbl_interacoes[De],$A5,tbl_interacoes[Para],B$4)=0,"",COUNTIFS(tbl_interacoes[De],$A5,tbl_interacoes[Para],B$4))</f>
        <v/>
      </c>
      <c r="C5" s="15">
        <f>IF(COUNTIFS(tbl_interacoes[De],$A5,tbl_interacoes[Para],C$4)=0,"",COUNTIFS(tbl_interacoes[De],$A5,tbl_interacoes[Para],C$4))</f>
        <v>1</v>
      </c>
      <c r="D5" s="15" t="str">
        <f>IF(COUNTIFS(tbl_interacoes[De],$A5,tbl_interacoes[Para],D$4)=0,"",COUNTIFS(tbl_interacoes[De],$A5,tbl_interacoes[Para],D$4))</f>
        <v/>
      </c>
      <c r="E5" s="15" t="str">
        <f>IF(COUNTIFS(tbl_interacoes[De],$A5,tbl_interacoes[Para],E$4)=0,"",COUNTIFS(tbl_interacoes[De],$A5,tbl_interacoes[Para],E$4))</f>
        <v/>
      </c>
      <c r="F5" s="15" t="str">
        <f>IF(COUNTIFS(tbl_interacoes[De],$A5,tbl_interacoes[Para],F$4)=0,"",COUNTIFS(tbl_interacoes[De],$A5,tbl_interacoes[Para],F$4))</f>
        <v/>
      </c>
      <c r="G5" s="15" t="str">
        <f>IF(COUNTIFS(tbl_interacoes[De],$A5,tbl_interacoes[Para],G$4)=0,"",COUNTIFS(tbl_interacoes[De],$A5,tbl_interacoes[Para],G$4))</f>
        <v/>
      </c>
      <c r="H5" s="15" t="str">
        <f>IF(COUNTIFS(tbl_interacoes[De],$A5,tbl_interacoes[Para],H$4)=0,"",COUNTIFS(tbl_interacoes[De],$A5,tbl_interacoes[Para],H$4))</f>
        <v/>
      </c>
      <c r="I5" s="15" t="str">
        <f>IF(COUNTIFS(tbl_interacoes[De],$A5,tbl_interacoes[Para],I$4)=0,"",COUNTIFS(tbl_interacoes[De],$A5,tbl_interacoes[Para],I$4))</f>
        <v/>
      </c>
      <c r="J5" s="15" t="str">
        <f>IF(COUNTIFS(tbl_interacoes[De],$A5,tbl_interacoes[Para],J$4)=0,"",COUNTIFS(tbl_interacoes[De],$A5,tbl_interacoes[Para],J$4))</f>
        <v/>
      </c>
      <c r="K5" s="15" t="str">
        <f>IF(COUNTIFS(tbl_interacoes[De],$A5,tbl_interacoes[Para],K$4)=0,"",COUNTIFS(tbl_interacoes[De],$A5,tbl_interacoes[Para],K$4))</f>
        <v/>
      </c>
      <c r="L5" s="15" t="str">
        <f>IF(COUNTIFS(tbl_interacoes[De],$A5,tbl_interacoes[Para],L$4)=0,"",COUNTIFS(tbl_interacoes[De],$A5,tbl_interacoes[Para],L$4))</f>
        <v/>
      </c>
      <c r="M5" s="15" t="str">
        <f>IF(COUNTIFS(tbl_interacoes[De],$A5,tbl_interacoes[Para],M$4)=0,"",COUNTIFS(tbl_interacoes[De],$A5,tbl_interacoes[Para],M$4))</f>
        <v/>
      </c>
      <c r="N5" s="15" t="str">
        <f>IF(COUNTIFS(tbl_interacoes[De],$A5,tbl_interacoes[Para],N$4)=0,"",COUNTIFS(tbl_interacoes[De],$A5,tbl_interacoes[Para],N$4))</f>
        <v/>
      </c>
      <c r="O5" s="15" t="str">
        <f>IF(COUNTIFS(tbl_interacoes[De],$A5,tbl_interacoes[Para],O$4)=0,"",COUNTIFS(tbl_interacoes[De],$A5,tbl_interacoes[Para],O$4))</f>
        <v/>
      </c>
      <c r="P5" s="15" t="str">
        <f>IF(COUNTIFS(tbl_interacoes[De],$A5,tbl_interacoes[Para],P$4)=0,"",COUNTIFS(tbl_interacoes[De],$A5,tbl_interacoes[Para],P$4))</f>
        <v/>
      </c>
      <c r="Q5" s="15" t="str">
        <f>IF(COUNTIFS(tbl_interacoes[De],$A5,tbl_interacoes[Para],Q$4)=0,"",COUNTIFS(tbl_interacoes[De],$A5,tbl_interacoes[Para],Q$4))</f>
        <v/>
      </c>
      <c r="R5" s="15" t="str">
        <f>IF(COUNTIFS(tbl_interacoes[De],$A5,tbl_interacoes[Para],R$4)=0,"",COUNTIFS(tbl_interacoes[De],$A5,tbl_interacoes[Para],R$4))</f>
        <v/>
      </c>
      <c r="S5" s="15" t="str">
        <f>IF(COUNTIFS(tbl_interacoes[De],$A5,tbl_interacoes[Para],S$4)=0,"",COUNTIFS(tbl_interacoes[De],$A5,tbl_interacoes[Para],S$4))</f>
        <v/>
      </c>
    </row>
    <row r="6" spans="1:19" x14ac:dyDescent="0.3">
      <c r="A6" s="13" t="s">
        <v>106</v>
      </c>
      <c r="B6" s="15">
        <f>IF(COUNTIFS(tbl_interacoes[De],$A6,tbl_interacoes[Para],B$4)=0,"",COUNTIFS(tbl_interacoes[De],$A6,tbl_interacoes[Para],B$4))</f>
        <v>1</v>
      </c>
      <c r="C6" s="15" t="str">
        <f>IF(COUNTIFS(tbl_interacoes[De],$A6,tbl_interacoes[Para],C$4)=0,"",COUNTIFS(tbl_interacoes[De],$A6,tbl_interacoes[Para],C$4))</f>
        <v/>
      </c>
      <c r="D6" s="15">
        <f>IF(COUNTIFS(tbl_interacoes[De],$A6,tbl_interacoes[Para],D$4)=0,"",COUNTIFS(tbl_interacoes[De],$A6,tbl_interacoes[Para],D$4))</f>
        <v>1</v>
      </c>
      <c r="E6" s="15" t="str">
        <f>IF(COUNTIFS(tbl_interacoes[De],$A6,tbl_interacoes[Para],E$4)=0,"",COUNTIFS(tbl_interacoes[De],$A6,tbl_interacoes[Para],E$4))</f>
        <v/>
      </c>
      <c r="F6" s="15" t="str">
        <f>IF(COUNTIFS(tbl_interacoes[De],$A6,tbl_interacoes[Para],F$4)=0,"",COUNTIFS(tbl_interacoes[De],$A6,tbl_interacoes[Para],F$4))</f>
        <v/>
      </c>
      <c r="G6" s="15" t="str">
        <f>IF(COUNTIFS(tbl_interacoes[De],$A6,tbl_interacoes[Para],G$4)=0,"",COUNTIFS(tbl_interacoes[De],$A6,tbl_interacoes[Para],G$4))</f>
        <v/>
      </c>
      <c r="H6" s="15" t="str">
        <f>IF(COUNTIFS(tbl_interacoes[De],$A6,tbl_interacoes[Para],H$4)=0,"",COUNTIFS(tbl_interacoes[De],$A6,tbl_interacoes[Para],H$4))</f>
        <v/>
      </c>
      <c r="I6" s="15" t="str">
        <f>IF(COUNTIFS(tbl_interacoes[De],$A6,tbl_interacoes[Para],I$4)=0,"",COUNTIFS(tbl_interacoes[De],$A6,tbl_interacoes[Para],I$4))</f>
        <v/>
      </c>
      <c r="J6" s="15" t="str">
        <f>IF(COUNTIFS(tbl_interacoes[De],$A6,tbl_interacoes[Para],J$4)=0,"",COUNTIFS(tbl_interacoes[De],$A6,tbl_interacoes[Para],J$4))</f>
        <v/>
      </c>
      <c r="K6" s="15" t="str">
        <f>IF(COUNTIFS(tbl_interacoes[De],$A6,tbl_interacoes[Para],K$4)=0,"",COUNTIFS(tbl_interacoes[De],$A6,tbl_interacoes[Para],K$4))</f>
        <v/>
      </c>
      <c r="L6" s="15" t="str">
        <f>IF(COUNTIFS(tbl_interacoes[De],$A6,tbl_interacoes[Para],L$4)=0,"",COUNTIFS(tbl_interacoes[De],$A6,tbl_interacoes[Para],L$4))</f>
        <v/>
      </c>
      <c r="M6" s="15" t="str">
        <f>IF(COUNTIFS(tbl_interacoes[De],$A6,tbl_interacoes[Para],M$4)=0,"",COUNTIFS(tbl_interacoes[De],$A6,tbl_interacoes[Para],M$4))</f>
        <v/>
      </c>
      <c r="N6" s="15" t="str">
        <f>IF(COUNTIFS(tbl_interacoes[De],$A6,tbl_interacoes[Para],N$4)=0,"",COUNTIFS(tbl_interacoes[De],$A6,tbl_interacoes[Para],N$4))</f>
        <v/>
      </c>
      <c r="O6" s="15" t="str">
        <f>IF(COUNTIFS(tbl_interacoes[De],$A6,tbl_interacoes[Para],O$4)=0,"",COUNTIFS(tbl_interacoes[De],$A6,tbl_interacoes[Para],O$4))</f>
        <v/>
      </c>
      <c r="P6" s="15" t="str">
        <f>IF(COUNTIFS(tbl_interacoes[De],$A6,tbl_interacoes[Para],P$4)=0,"",COUNTIFS(tbl_interacoes[De],$A6,tbl_interacoes[Para],P$4))</f>
        <v/>
      </c>
      <c r="Q6" s="15" t="str">
        <f>IF(COUNTIFS(tbl_interacoes[De],$A6,tbl_interacoes[Para],Q$4)=0,"",COUNTIFS(tbl_interacoes[De],$A6,tbl_interacoes[Para],Q$4))</f>
        <v/>
      </c>
      <c r="R6" s="15" t="str">
        <f>IF(COUNTIFS(tbl_interacoes[De],$A6,tbl_interacoes[Para],R$4)=0,"",COUNTIFS(tbl_interacoes[De],$A6,tbl_interacoes[Para],R$4))</f>
        <v/>
      </c>
      <c r="S6" s="15" t="str">
        <f>IF(COUNTIFS(tbl_interacoes[De],$A6,tbl_interacoes[Para],S$4)=0,"",COUNTIFS(tbl_interacoes[De],$A6,tbl_interacoes[Para],S$4))</f>
        <v/>
      </c>
    </row>
    <row r="7" spans="1:19" x14ac:dyDescent="0.3">
      <c r="A7" s="13" t="s">
        <v>120</v>
      </c>
      <c r="B7" s="15" t="str">
        <f>IF(COUNTIFS(tbl_interacoes[De],$A7,tbl_interacoes[Para],B$4)=0,"",COUNTIFS(tbl_interacoes[De],$A7,tbl_interacoes[Para],B$4))</f>
        <v/>
      </c>
      <c r="C7" s="15">
        <f>IF(COUNTIFS(tbl_interacoes[De],$A7,tbl_interacoes[Para],C$4)=0,"",COUNTIFS(tbl_interacoes[De],$A7,tbl_interacoes[Para],C$4))</f>
        <v>1</v>
      </c>
      <c r="D7" s="15" t="str">
        <f>IF(COUNTIFS(tbl_interacoes[De],$A7,tbl_interacoes[Para],D$4)=0,"",COUNTIFS(tbl_interacoes[De],$A7,tbl_interacoes[Para],D$4))</f>
        <v/>
      </c>
      <c r="E7" s="15">
        <f>IF(COUNTIFS(tbl_interacoes[De],$A7,tbl_interacoes[Para],E$4)=0,"",COUNTIFS(tbl_interacoes[De],$A7,tbl_interacoes[Para],E$4))</f>
        <v>1</v>
      </c>
      <c r="F7" s="15">
        <f>IF(COUNTIFS(tbl_interacoes[De],$A7,tbl_interacoes[Para],F$4)=0,"",COUNTIFS(tbl_interacoes[De],$A7,tbl_interacoes[Para],F$4))</f>
        <v>1</v>
      </c>
      <c r="G7" s="15" t="str">
        <f>IF(COUNTIFS(tbl_interacoes[De],$A7,tbl_interacoes[Para],G$4)=0,"",COUNTIFS(tbl_interacoes[De],$A7,tbl_interacoes[Para],G$4))</f>
        <v/>
      </c>
      <c r="H7" s="15" t="str">
        <f>IF(COUNTIFS(tbl_interacoes[De],$A7,tbl_interacoes[Para],H$4)=0,"",COUNTIFS(tbl_interacoes[De],$A7,tbl_interacoes[Para],H$4))</f>
        <v/>
      </c>
      <c r="I7" s="15" t="str">
        <f>IF(COUNTIFS(tbl_interacoes[De],$A7,tbl_interacoes[Para],I$4)=0,"",COUNTIFS(tbl_interacoes[De],$A7,tbl_interacoes[Para],I$4))</f>
        <v/>
      </c>
      <c r="J7" s="15" t="str">
        <f>IF(COUNTIFS(tbl_interacoes[De],$A7,tbl_interacoes[Para],J$4)=0,"",COUNTIFS(tbl_interacoes[De],$A7,tbl_interacoes[Para],J$4))</f>
        <v/>
      </c>
      <c r="K7" s="15" t="str">
        <f>IF(COUNTIFS(tbl_interacoes[De],$A7,tbl_interacoes[Para],K$4)=0,"",COUNTIFS(tbl_interacoes[De],$A7,tbl_interacoes[Para],K$4))</f>
        <v/>
      </c>
      <c r="L7" s="15" t="str">
        <f>IF(COUNTIFS(tbl_interacoes[De],$A7,tbl_interacoes[Para],L$4)=0,"",COUNTIFS(tbl_interacoes[De],$A7,tbl_interacoes[Para],L$4))</f>
        <v/>
      </c>
      <c r="M7" s="15" t="str">
        <f>IF(COUNTIFS(tbl_interacoes[De],$A7,tbl_interacoes[Para],M$4)=0,"",COUNTIFS(tbl_interacoes[De],$A7,tbl_interacoes[Para],M$4))</f>
        <v/>
      </c>
      <c r="N7" s="15" t="str">
        <f>IF(COUNTIFS(tbl_interacoes[De],$A7,tbl_interacoes[Para],N$4)=0,"",COUNTIFS(tbl_interacoes[De],$A7,tbl_interacoes[Para],N$4))</f>
        <v/>
      </c>
      <c r="O7" s="15" t="str">
        <f>IF(COUNTIFS(tbl_interacoes[De],$A7,tbl_interacoes[Para],O$4)=0,"",COUNTIFS(tbl_interacoes[De],$A7,tbl_interacoes[Para],O$4))</f>
        <v/>
      </c>
      <c r="P7" s="15" t="str">
        <f>IF(COUNTIFS(tbl_interacoes[De],$A7,tbl_interacoes[Para],P$4)=0,"",COUNTIFS(tbl_interacoes[De],$A7,tbl_interacoes[Para],P$4))</f>
        <v/>
      </c>
      <c r="Q7" s="15" t="str">
        <f>IF(COUNTIFS(tbl_interacoes[De],$A7,tbl_interacoes[Para],Q$4)=0,"",COUNTIFS(tbl_interacoes[De],$A7,tbl_interacoes[Para],Q$4))</f>
        <v/>
      </c>
      <c r="R7" s="15" t="str">
        <f>IF(COUNTIFS(tbl_interacoes[De],$A7,tbl_interacoes[Para],R$4)=0,"",COUNTIFS(tbl_interacoes[De],$A7,tbl_interacoes[Para],R$4))</f>
        <v/>
      </c>
      <c r="S7" s="15" t="str">
        <f>IF(COUNTIFS(tbl_interacoes[De],$A7,tbl_interacoes[Para],S$4)=0,"",COUNTIFS(tbl_interacoes[De],$A7,tbl_interacoes[Para],S$4))</f>
        <v/>
      </c>
    </row>
    <row r="8" spans="1:19" x14ac:dyDescent="0.3">
      <c r="A8" s="13" t="s">
        <v>136</v>
      </c>
      <c r="B8" s="15" t="str">
        <f>IF(COUNTIFS(tbl_interacoes[De],$A8,tbl_interacoes[Para],B$4)=0,"",COUNTIFS(tbl_interacoes[De],$A8,tbl_interacoes[Para],B$4))</f>
        <v/>
      </c>
      <c r="C8" s="15" t="str">
        <f>IF(COUNTIFS(tbl_interacoes[De],$A8,tbl_interacoes[Para],C$4)=0,"",COUNTIFS(tbl_interacoes[De],$A8,tbl_interacoes[Para],C$4))</f>
        <v/>
      </c>
      <c r="D8" s="15" t="str">
        <f>IF(COUNTIFS(tbl_interacoes[De],$A8,tbl_interacoes[Para],D$4)=0,"",COUNTIFS(tbl_interacoes[De],$A8,tbl_interacoes[Para],D$4))</f>
        <v/>
      </c>
      <c r="E8" s="15" t="str">
        <f>IF(COUNTIFS(tbl_interacoes[De],$A8,tbl_interacoes[Para],E$4)=0,"",COUNTIFS(tbl_interacoes[De],$A8,tbl_interacoes[Para],E$4))</f>
        <v/>
      </c>
      <c r="F8" s="15">
        <f>IF(COUNTIFS(tbl_interacoes[De],$A8,tbl_interacoes[Para],F$4)=0,"",COUNTIFS(tbl_interacoes[De],$A8,tbl_interacoes[Para],F$4))</f>
        <v>1</v>
      </c>
      <c r="G8" s="15">
        <f>IF(COUNTIFS(tbl_interacoes[De],$A8,tbl_interacoes[Para],G$4)=0,"",COUNTIFS(tbl_interacoes[De],$A8,tbl_interacoes[Para],G$4))</f>
        <v>1</v>
      </c>
      <c r="H8" s="15" t="str">
        <f>IF(COUNTIFS(tbl_interacoes[De],$A8,tbl_interacoes[Para],H$4)=0,"",COUNTIFS(tbl_interacoes[De],$A8,tbl_interacoes[Para],H$4))</f>
        <v/>
      </c>
      <c r="I8" s="15" t="str">
        <f>IF(COUNTIFS(tbl_interacoes[De],$A8,tbl_interacoes[Para],I$4)=0,"",COUNTIFS(tbl_interacoes[De],$A8,tbl_interacoes[Para],I$4))</f>
        <v/>
      </c>
      <c r="J8" s="15" t="str">
        <f>IF(COUNTIFS(tbl_interacoes[De],$A8,tbl_interacoes[Para],J$4)=0,"",COUNTIFS(tbl_interacoes[De],$A8,tbl_interacoes[Para],J$4))</f>
        <v/>
      </c>
      <c r="K8" s="15" t="str">
        <f>IF(COUNTIFS(tbl_interacoes[De],$A8,tbl_interacoes[Para],K$4)=0,"",COUNTIFS(tbl_interacoes[De],$A8,tbl_interacoes[Para],K$4))</f>
        <v/>
      </c>
      <c r="L8" s="15" t="str">
        <f>IF(COUNTIFS(tbl_interacoes[De],$A8,tbl_interacoes[Para],L$4)=0,"",COUNTIFS(tbl_interacoes[De],$A8,tbl_interacoes[Para],L$4))</f>
        <v/>
      </c>
      <c r="M8" s="15" t="str">
        <f>IF(COUNTIFS(tbl_interacoes[De],$A8,tbl_interacoes[Para],M$4)=0,"",COUNTIFS(tbl_interacoes[De],$A8,tbl_interacoes[Para],M$4))</f>
        <v/>
      </c>
      <c r="N8" s="15" t="str">
        <f>IF(COUNTIFS(tbl_interacoes[De],$A8,tbl_interacoes[Para],N$4)=0,"",COUNTIFS(tbl_interacoes[De],$A8,tbl_interacoes[Para],N$4))</f>
        <v/>
      </c>
      <c r="O8" s="15" t="str">
        <f>IF(COUNTIFS(tbl_interacoes[De],$A8,tbl_interacoes[Para],O$4)=0,"",COUNTIFS(tbl_interacoes[De],$A8,tbl_interacoes[Para],O$4))</f>
        <v/>
      </c>
      <c r="P8" s="15" t="str">
        <f>IF(COUNTIFS(tbl_interacoes[De],$A8,tbl_interacoes[Para],P$4)=0,"",COUNTIFS(tbl_interacoes[De],$A8,tbl_interacoes[Para],P$4))</f>
        <v/>
      </c>
      <c r="Q8" s="15" t="str">
        <f>IF(COUNTIFS(tbl_interacoes[De],$A8,tbl_interacoes[Para],Q$4)=0,"",COUNTIFS(tbl_interacoes[De],$A8,tbl_interacoes[Para],Q$4))</f>
        <v/>
      </c>
      <c r="R8" s="15" t="str">
        <f>IF(COUNTIFS(tbl_interacoes[De],$A8,tbl_interacoes[Para],R$4)=0,"",COUNTIFS(tbl_interacoes[De],$A8,tbl_interacoes[Para],R$4))</f>
        <v/>
      </c>
      <c r="S8" s="15" t="str">
        <f>IF(COUNTIFS(tbl_interacoes[De],$A8,tbl_interacoes[Para],S$4)=0,"",COUNTIFS(tbl_interacoes[De],$A8,tbl_interacoes[Para],S$4))</f>
        <v/>
      </c>
    </row>
    <row r="9" spans="1:19" x14ac:dyDescent="0.3">
      <c r="A9" s="13" t="s">
        <v>151</v>
      </c>
      <c r="B9" s="15" t="str">
        <f>IF(COUNTIFS(tbl_interacoes[De],$A9,tbl_interacoes[Para],B$4)=0,"",COUNTIFS(tbl_interacoes[De],$A9,tbl_interacoes[Para],B$4))</f>
        <v/>
      </c>
      <c r="C9" s="15" t="str">
        <f>IF(COUNTIFS(tbl_interacoes[De],$A9,tbl_interacoes[Para],C$4)=0,"",COUNTIFS(tbl_interacoes[De],$A9,tbl_interacoes[Para],C$4))</f>
        <v/>
      </c>
      <c r="D9" s="15" t="str">
        <f>IF(COUNTIFS(tbl_interacoes[De],$A9,tbl_interacoes[Para],D$4)=0,"",COUNTIFS(tbl_interacoes[De],$A9,tbl_interacoes[Para],D$4))</f>
        <v/>
      </c>
      <c r="E9" s="15" t="str">
        <f>IF(COUNTIFS(tbl_interacoes[De],$A9,tbl_interacoes[Para],E$4)=0,"",COUNTIFS(tbl_interacoes[De],$A9,tbl_interacoes[Para],E$4))</f>
        <v/>
      </c>
      <c r="F9" s="15" t="str">
        <f>IF(COUNTIFS(tbl_interacoes[De],$A9,tbl_interacoes[Para],F$4)=0,"",COUNTIFS(tbl_interacoes[De],$A9,tbl_interacoes[Para],F$4))</f>
        <v/>
      </c>
      <c r="G9" s="15">
        <f>IF(COUNTIFS(tbl_interacoes[De],$A9,tbl_interacoes[Para],G$4)=0,"",COUNTIFS(tbl_interacoes[De],$A9,tbl_interacoes[Para],G$4))</f>
        <v>1</v>
      </c>
      <c r="H9" s="15" t="str">
        <f>IF(COUNTIFS(tbl_interacoes[De],$A9,tbl_interacoes[Para],H$4)=0,"",COUNTIFS(tbl_interacoes[De],$A9,tbl_interacoes[Para],H$4))</f>
        <v/>
      </c>
      <c r="I9" s="15">
        <f>IF(COUNTIFS(tbl_interacoes[De],$A9,tbl_interacoes[Para],I$4)=0,"",COUNTIFS(tbl_interacoes[De],$A9,tbl_interacoes[Para],I$4))</f>
        <v>1</v>
      </c>
      <c r="J9" s="15">
        <f>IF(COUNTIFS(tbl_interacoes[De],$A9,tbl_interacoes[Para],J$4)=0,"",COUNTIFS(tbl_interacoes[De],$A9,tbl_interacoes[Para],J$4))</f>
        <v>1</v>
      </c>
      <c r="K9" s="15">
        <f>IF(COUNTIFS(tbl_interacoes[De],$A9,tbl_interacoes[Para],K$4)=0,"",COUNTIFS(tbl_interacoes[De],$A9,tbl_interacoes[Para],K$4))</f>
        <v>1</v>
      </c>
      <c r="L9" s="15">
        <f>IF(COUNTIFS(tbl_interacoes[De],$A9,tbl_interacoes[Para],L$4)=0,"",COUNTIFS(tbl_interacoes[De],$A9,tbl_interacoes[Para],L$4))</f>
        <v>1</v>
      </c>
      <c r="M9" s="15" t="str">
        <f>IF(COUNTIFS(tbl_interacoes[De],$A9,tbl_interacoes[Para],M$4)=0,"",COUNTIFS(tbl_interacoes[De],$A9,tbl_interacoes[Para],M$4))</f>
        <v/>
      </c>
      <c r="N9" s="15" t="str">
        <f>IF(COUNTIFS(tbl_interacoes[De],$A9,tbl_interacoes[Para],N$4)=0,"",COUNTIFS(tbl_interacoes[De],$A9,tbl_interacoes[Para],N$4))</f>
        <v/>
      </c>
      <c r="O9" s="15" t="str">
        <f>IF(COUNTIFS(tbl_interacoes[De],$A9,tbl_interacoes[Para],O$4)=0,"",COUNTIFS(tbl_interacoes[De],$A9,tbl_interacoes[Para],O$4))</f>
        <v/>
      </c>
      <c r="P9" s="15" t="str">
        <f>IF(COUNTIFS(tbl_interacoes[De],$A9,tbl_interacoes[Para],P$4)=0,"",COUNTIFS(tbl_interacoes[De],$A9,tbl_interacoes[Para],P$4))</f>
        <v/>
      </c>
      <c r="Q9" s="15" t="str">
        <f>IF(COUNTIFS(tbl_interacoes[De],$A9,tbl_interacoes[Para],Q$4)=0,"",COUNTIFS(tbl_interacoes[De],$A9,tbl_interacoes[Para],Q$4))</f>
        <v/>
      </c>
      <c r="R9" s="15" t="str">
        <f>IF(COUNTIFS(tbl_interacoes[De],$A9,tbl_interacoes[Para],R$4)=0,"",COUNTIFS(tbl_interacoes[De],$A9,tbl_interacoes[Para],R$4))</f>
        <v/>
      </c>
      <c r="S9" s="15" t="str">
        <f>IF(COUNTIFS(tbl_interacoes[De],$A9,tbl_interacoes[Para],S$4)=0,"",COUNTIFS(tbl_interacoes[De],$A9,tbl_interacoes[Para],S$4))</f>
        <v/>
      </c>
    </row>
    <row r="10" spans="1:19" x14ac:dyDescent="0.3">
      <c r="A10" s="13" t="s">
        <v>166</v>
      </c>
      <c r="B10" s="15" t="str">
        <f>IF(COUNTIFS(tbl_interacoes[De],$A10,tbl_interacoes[Para],B$4)=0,"",COUNTIFS(tbl_interacoes[De],$A10,tbl_interacoes[Para],B$4))</f>
        <v/>
      </c>
      <c r="C10" s="15">
        <f>IF(COUNTIFS(tbl_interacoes[De],$A10,tbl_interacoes[Para],C$4)=0,"",COUNTIFS(tbl_interacoes[De],$A10,tbl_interacoes[Para],C$4))</f>
        <v>1</v>
      </c>
      <c r="D10" s="15" t="str">
        <f>IF(COUNTIFS(tbl_interacoes[De],$A10,tbl_interacoes[Para],D$4)=0,"",COUNTIFS(tbl_interacoes[De],$A10,tbl_interacoes[Para],D$4))</f>
        <v/>
      </c>
      <c r="E10" s="15" t="str">
        <f>IF(COUNTIFS(tbl_interacoes[De],$A10,tbl_interacoes[Para],E$4)=0,"",COUNTIFS(tbl_interacoes[De],$A10,tbl_interacoes[Para],E$4))</f>
        <v/>
      </c>
      <c r="F10" s="15" t="str">
        <f>IF(COUNTIFS(tbl_interacoes[De],$A10,tbl_interacoes[Para],F$4)=0,"",COUNTIFS(tbl_interacoes[De],$A10,tbl_interacoes[Para],F$4))</f>
        <v/>
      </c>
      <c r="G10" s="15" t="str">
        <f>IF(COUNTIFS(tbl_interacoes[De],$A10,tbl_interacoes[Para],G$4)=0,"",COUNTIFS(tbl_interacoes[De],$A10,tbl_interacoes[Para],G$4))</f>
        <v/>
      </c>
      <c r="H10" s="15">
        <f>IF(COUNTIFS(tbl_interacoes[De],$A10,tbl_interacoes[Para],H$4)=0,"",COUNTIFS(tbl_interacoes[De],$A10,tbl_interacoes[Para],H$4))</f>
        <v>1</v>
      </c>
      <c r="I10" s="15" t="str">
        <f>IF(COUNTIFS(tbl_interacoes[De],$A10,tbl_interacoes[Para],I$4)=0,"",COUNTIFS(tbl_interacoes[De],$A10,tbl_interacoes[Para],I$4))</f>
        <v/>
      </c>
      <c r="J10" s="15" t="str">
        <f>IF(COUNTIFS(tbl_interacoes[De],$A10,tbl_interacoes[Para],J$4)=0,"",COUNTIFS(tbl_interacoes[De],$A10,tbl_interacoes[Para],J$4))</f>
        <v/>
      </c>
      <c r="K10" s="15" t="str">
        <f>IF(COUNTIFS(tbl_interacoes[De],$A10,tbl_interacoes[Para],K$4)=0,"",COUNTIFS(tbl_interacoes[De],$A10,tbl_interacoes[Para],K$4))</f>
        <v/>
      </c>
      <c r="L10" s="15" t="str">
        <f>IF(COUNTIFS(tbl_interacoes[De],$A10,tbl_interacoes[Para],L$4)=0,"",COUNTIFS(tbl_interacoes[De],$A10,tbl_interacoes[Para],L$4))</f>
        <v/>
      </c>
      <c r="M10" s="15" t="str">
        <f>IF(COUNTIFS(tbl_interacoes[De],$A10,tbl_interacoes[Para],M$4)=0,"",COUNTIFS(tbl_interacoes[De],$A10,tbl_interacoes[Para],M$4))</f>
        <v/>
      </c>
      <c r="N10" s="15" t="str">
        <f>IF(COUNTIFS(tbl_interacoes[De],$A10,tbl_interacoes[Para],N$4)=0,"",COUNTIFS(tbl_interacoes[De],$A10,tbl_interacoes[Para],N$4))</f>
        <v/>
      </c>
      <c r="O10" s="15" t="str">
        <f>IF(COUNTIFS(tbl_interacoes[De],$A10,tbl_interacoes[Para],O$4)=0,"",COUNTIFS(tbl_interacoes[De],$A10,tbl_interacoes[Para],O$4))</f>
        <v/>
      </c>
      <c r="P10" s="15" t="str">
        <f>IF(COUNTIFS(tbl_interacoes[De],$A10,tbl_interacoes[Para],P$4)=0,"",COUNTIFS(tbl_interacoes[De],$A10,tbl_interacoes[Para],P$4))</f>
        <v/>
      </c>
      <c r="Q10" s="15" t="str">
        <f>IF(COUNTIFS(tbl_interacoes[De],$A10,tbl_interacoes[Para],Q$4)=0,"",COUNTIFS(tbl_interacoes[De],$A10,tbl_interacoes[Para],Q$4))</f>
        <v/>
      </c>
      <c r="R10" s="15" t="str">
        <f>IF(COUNTIFS(tbl_interacoes[De],$A10,tbl_interacoes[Para],R$4)=0,"",COUNTIFS(tbl_interacoes[De],$A10,tbl_interacoes[Para],R$4))</f>
        <v/>
      </c>
      <c r="S10" s="15" t="str">
        <f>IF(COUNTIFS(tbl_interacoes[De],$A10,tbl_interacoes[Para],S$4)=0,"",COUNTIFS(tbl_interacoes[De],$A10,tbl_interacoes[Para],S$4))</f>
        <v/>
      </c>
    </row>
    <row r="11" spans="1:19" x14ac:dyDescent="0.3">
      <c r="A11" s="13" t="s">
        <v>181</v>
      </c>
      <c r="B11" s="15" t="str">
        <f>IF(COUNTIFS(tbl_interacoes[De],$A11,tbl_interacoes[Para],B$4)=0,"",COUNTIFS(tbl_interacoes[De],$A11,tbl_interacoes[Para],B$4))</f>
        <v/>
      </c>
      <c r="C11" s="15" t="str">
        <f>IF(COUNTIFS(tbl_interacoes[De],$A11,tbl_interacoes[Para],C$4)=0,"",COUNTIFS(tbl_interacoes[De],$A11,tbl_interacoes[Para],C$4))</f>
        <v/>
      </c>
      <c r="D11" s="15" t="str">
        <f>IF(COUNTIFS(tbl_interacoes[De],$A11,tbl_interacoes[Para],D$4)=0,"",COUNTIFS(tbl_interacoes[De],$A11,tbl_interacoes[Para],D$4))</f>
        <v/>
      </c>
      <c r="E11" s="15" t="str">
        <f>IF(COUNTIFS(tbl_interacoes[De],$A11,tbl_interacoes[Para],E$4)=0,"",COUNTIFS(tbl_interacoes[De],$A11,tbl_interacoes[Para],E$4))</f>
        <v/>
      </c>
      <c r="F11" s="15" t="str">
        <f>IF(COUNTIFS(tbl_interacoes[De],$A11,tbl_interacoes[Para],F$4)=0,"",COUNTIFS(tbl_interacoes[De],$A11,tbl_interacoes[Para],F$4))</f>
        <v/>
      </c>
      <c r="G11" s="15">
        <f>IF(COUNTIFS(tbl_interacoes[De],$A11,tbl_interacoes[Para],G$4)=0,"",COUNTIFS(tbl_interacoes[De],$A11,tbl_interacoes[Para],G$4))</f>
        <v>1</v>
      </c>
      <c r="H11" s="15" t="str">
        <f>IF(COUNTIFS(tbl_interacoes[De],$A11,tbl_interacoes[Para],H$4)=0,"",COUNTIFS(tbl_interacoes[De],$A11,tbl_interacoes[Para],H$4))</f>
        <v/>
      </c>
      <c r="I11" s="15">
        <f>IF(COUNTIFS(tbl_interacoes[De],$A11,tbl_interacoes[Para],I$4)=0,"",COUNTIFS(tbl_interacoes[De],$A11,tbl_interacoes[Para],I$4))</f>
        <v>1</v>
      </c>
      <c r="J11" s="15">
        <f>IF(COUNTIFS(tbl_interacoes[De],$A11,tbl_interacoes[Para],J$4)=0,"",COUNTIFS(tbl_interacoes[De],$A11,tbl_interacoes[Para],J$4))</f>
        <v>1</v>
      </c>
      <c r="K11" s="15" t="str">
        <f>IF(COUNTIFS(tbl_interacoes[De],$A11,tbl_interacoes[Para],K$4)=0,"",COUNTIFS(tbl_interacoes[De],$A11,tbl_interacoes[Para],K$4))</f>
        <v/>
      </c>
      <c r="L11" s="15" t="str">
        <f>IF(COUNTIFS(tbl_interacoes[De],$A11,tbl_interacoes[Para],L$4)=0,"",COUNTIFS(tbl_interacoes[De],$A11,tbl_interacoes[Para],L$4))</f>
        <v/>
      </c>
      <c r="M11" s="15" t="str">
        <f>IF(COUNTIFS(tbl_interacoes[De],$A11,tbl_interacoes[Para],M$4)=0,"",COUNTIFS(tbl_interacoes[De],$A11,tbl_interacoes[Para],M$4))</f>
        <v/>
      </c>
      <c r="N11" s="15" t="str">
        <f>IF(COUNTIFS(tbl_interacoes[De],$A11,tbl_interacoes[Para],N$4)=0,"",COUNTIFS(tbl_interacoes[De],$A11,tbl_interacoes[Para],N$4))</f>
        <v/>
      </c>
      <c r="O11" s="15" t="str">
        <f>IF(COUNTIFS(tbl_interacoes[De],$A11,tbl_interacoes[Para],O$4)=0,"",COUNTIFS(tbl_interacoes[De],$A11,tbl_interacoes[Para],O$4))</f>
        <v/>
      </c>
      <c r="P11" s="15" t="str">
        <f>IF(COUNTIFS(tbl_interacoes[De],$A11,tbl_interacoes[Para],P$4)=0,"",COUNTIFS(tbl_interacoes[De],$A11,tbl_interacoes[Para],P$4))</f>
        <v/>
      </c>
      <c r="Q11" s="15" t="str">
        <f>IF(COUNTIFS(tbl_interacoes[De],$A11,tbl_interacoes[Para],Q$4)=0,"",COUNTIFS(tbl_interacoes[De],$A11,tbl_interacoes[Para],Q$4))</f>
        <v/>
      </c>
      <c r="R11" s="15" t="str">
        <f>IF(COUNTIFS(tbl_interacoes[De],$A11,tbl_interacoes[Para],R$4)=0,"",COUNTIFS(tbl_interacoes[De],$A11,tbl_interacoes[Para],R$4))</f>
        <v/>
      </c>
      <c r="S11" s="15" t="str">
        <f>IF(COUNTIFS(tbl_interacoes[De],$A11,tbl_interacoes[Para],S$4)=0,"",COUNTIFS(tbl_interacoes[De],$A11,tbl_interacoes[Para],S$4))</f>
        <v/>
      </c>
    </row>
    <row r="12" spans="1:19" x14ac:dyDescent="0.3">
      <c r="A12" s="13" t="s">
        <v>196</v>
      </c>
      <c r="B12" s="15" t="str">
        <f>IF(COUNTIFS(tbl_interacoes[De],$A12,tbl_interacoes[Para],B$4)=0,"",COUNTIFS(tbl_interacoes[De],$A12,tbl_interacoes[Para],B$4))</f>
        <v/>
      </c>
      <c r="C12" s="15" t="str">
        <f>IF(COUNTIFS(tbl_interacoes[De],$A12,tbl_interacoes[Para],C$4)=0,"",COUNTIFS(tbl_interacoes[De],$A12,tbl_interacoes[Para],C$4))</f>
        <v/>
      </c>
      <c r="D12" s="15" t="str">
        <f>IF(COUNTIFS(tbl_interacoes[De],$A12,tbl_interacoes[Para],D$4)=0,"",COUNTIFS(tbl_interacoes[De],$A12,tbl_interacoes[Para],D$4))</f>
        <v/>
      </c>
      <c r="E12" s="15" t="str">
        <f>IF(COUNTIFS(tbl_interacoes[De],$A12,tbl_interacoes[Para],E$4)=0,"",COUNTIFS(tbl_interacoes[De],$A12,tbl_interacoes[Para],E$4))</f>
        <v/>
      </c>
      <c r="F12" s="15" t="str">
        <f>IF(COUNTIFS(tbl_interacoes[De],$A12,tbl_interacoes[Para],F$4)=0,"",COUNTIFS(tbl_interacoes[De],$A12,tbl_interacoes[Para],F$4))</f>
        <v/>
      </c>
      <c r="G12" s="15" t="str">
        <f>IF(COUNTIFS(tbl_interacoes[De],$A12,tbl_interacoes[Para],G$4)=0,"",COUNTIFS(tbl_interacoes[De],$A12,tbl_interacoes[Para],G$4))</f>
        <v/>
      </c>
      <c r="H12" s="15" t="str">
        <f>IF(COUNTIFS(tbl_interacoes[De],$A12,tbl_interacoes[Para],H$4)=0,"",COUNTIFS(tbl_interacoes[De],$A12,tbl_interacoes[Para],H$4))</f>
        <v/>
      </c>
      <c r="I12" s="15" t="str">
        <f>IF(COUNTIFS(tbl_interacoes[De],$A12,tbl_interacoes[Para],I$4)=0,"",COUNTIFS(tbl_interacoes[De],$A12,tbl_interacoes[Para],I$4))</f>
        <v/>
      </c>
      <c r="J12" s="15" t="str">
        <f>IF(COUNTIFS(tbl_interacoes[De],$A12,tbl_interacoes[Para],J$4)=0,"",COUNTIFS(tbl_interacoes[De],$A12,tbl_interacoes[Para],J$4))</f>
        <v/>
      </c>
      <c r="K12" s="15" t="str">
        <f>IF(COUNTIFS(tbl_interacoes[De],$A12,tbl_interacoes[Para],K$4)=0,"",COUNTIFS(tbl_interacoes[De],$A12,tbl_interacoes[Para],K$4))</f>
        <v/>
      </c>
      <c r="L12" s="15" t="str">
        <f>IF(COUNTIFS(tbl_interacoes[De],$A12,tbl_interacoes[Para],L$4)=0,"",COUNTIFS(tbl_interacoes[De],$A12,tbl_interacoes[Para],L$4))</f>
        <v/>
      </c>
      <c r="M12" s="15">
        <f>IF(COUNTIFS(tbl_interacoes[De],$A12,tbl_interacoes[Para],M$4)=0,"",COUNTIFS(tbl_interacoes[De],$A12,tbl_interacoes[Para],M$4))</f>
        <v>1</v>
      </c>
      <c r="N12" s="15" t="str">
        <f>IF(COUNTIFS(tbl_interacoes[De],$A12,tbl_interacoes[Para],N$4)=0,"",COUNTIFS(tbl_interacoes[De],$A12,tbl_interacoes[Para],N$4))</f>
        <v/>
      </c>
      <c r="O12" s="15" t="str">
        <f>IF(COUNTIFS(tbl_interacoes[De],$A12,tbl_interacoes[Para],O$4)=0,"",COUNTIFS(tbl_interacoes[De],$A12,tbl_interacoes[Para],O$4))</f>
        <v/>
      </c>
      <c r="P12" s="15" t="str">
        <f>IF(COUNTIFS(tbl_interacoes[De],$A12,tbl_interacoes[Para],P$4)=0,"",COUNTIFS(tbl_interacoes[De],$A12,tbl_interacoes[Para],P$4))</f>
        <v/>
      </c>
      <c r="Q12" s="15" t="str">
        <f>IF(COUNTIFS(tbl_interacoes[De],$A12,tbl_interacoes[Para],Q$4)=0,"",COUNTIFS(tbl_interacoes[De],$A12,tbl_interacoes[Para],Q$4))</f>
        <v/>
      </c>
      <c r="R12" s="15" t="str">
        <f>IF(COUNTIFS(tbl_interacoes[De],$A12,tbl_interacoes[Para],R$4)=0,"",COUNTIFS(tbl_interacoes[De],$A12,tbl_interacoes[Para],R$4))</f>
        <v/>
      </c>
      <c r="S12" s="15" t="str">
        <f>IF(COUNTIFS(tbl_interacoes[De],$A12,tbl_interacoes[Para],S$4)=0,"",COUNTIFS(tbl_interacoes[De],$A12,tbl_interacoes[Para],S$4))</f>
        <v/>
      </c>
    </row>
    <row r="13" spans="1:19" x14ac:dyDescent="0.3">
      <c r="A13" s="13" t="s">
        <v>210</v>
      </c>
      <c r="B13" s="15" t="str">
        <f>IF(COUNTIFS(tbl_interacoes[De],$A13,tbl_interacoes[Para],B$4)=0,"",COUNTIFS(tbl_interacoes[De],$A13,tbl_interacoes[Para],B$4))</f>
        <v/>
      </c>
      <c r="C13" s="15" t="str">
        <f>IF(COUNTIFS(tbl_interacoes[De],$A13,tbl_interacoes[Para],C$4)=0,"",COUNTIFS(tbl_interacoes[De],$A13,tbl_interacoes[Para],C$4))</f>
        <v/>
      </c>
      <c r="D13" s="15" t="str">
        <f>IF(COUNTIFS(tbl_interacoes[De],$A13,tbl_interacoes[Para],D$4)=0,"",COUNTIFS(tbl_interacoes[De],$A13,tbl_interacoes[Para],D$4))</f>
        <v/>
      </c>
      <c r="E13" s="15" t="str">
        <f>IF(COUNTIFS(tbl_interacoes[De],$A13,tbl_interacoes[Para],E$4)=0,"",COUNTIFS(tbl_interacoes[De],$A13,tbl_interacoes[Para],E$4))</f>
        <v/>
      </c>
      <c r="F13" s="15" t="str">
        <f>IF(COUNTIFS(tbl_interacoes[De],$A13,tbl_interacoes[Para],F$4)=0,"",COUNTIFS(tbl_interacoes[De],$A13,tbl_interacoes[Para],F$4))</f>
        <v/>
      </c>
      <c r="G13" s="15" t="str">
        <f>IF(COUNTIFS(tbl_interacoes[De],$A13,tbl_interacoes[Para],G$4)=0,"",COUNTIFS(tbl_interacoes[De],$A13,tbl_interacoes[Para],G$4))</f>
        <v/>
      </c>
      <c r="H13" s="15" t="str">
        <f>IF(COUNTIFS(tbl_interacoes[De],$A13,tbl_interacoes[Para],H$4)=0,"",COUNTIFS(tbl_interacoes[De],$A13,tbl_interacoes[Para],H$4))</f>
        <v/>
      </c>
      <c r="I13" s="15" t="str">
        <f>IF(COUNTIFS(tbl_interacoes[De],$A13,tbl_interacoes[Para],I$4)=0,"",COUNTIFS(tbl_interacoes[De],$A13,tbl_interacoes[Para],I$4))</f>
        <v/>
      </c>
      <c r="J13" s="15" t="str">
        <f>IF(COUNTIFS(tbl_interacoes[De],$A13,tbl_interacoes[Para],J$4)=0,"",COUNTIFS(tbl_interacoes[De],$A13,tbl_interacoes[Para],J$4))</f>
        <v/>
      </c>
      <c r="K13" s="15">
        <f>IF(COUNTIFS(tbl_interacoes[De],$A13,tbl_interacoes[Para],K$4)=0,"",COUNTIFS(tbl_interacoes[De],$A13,tbl_interacoes[Para],K$4))</f>
        <v>1</v>
      </c>
      <c r="L13" s="15">
        <f>IF(COUNTIFS(tbl_interacoes[De],$A13,tbl_interacoes[Para],L$4)=0,"",COUNTIFS(tbl_interacoes[De],$A13,tbl_interacoes[Para],L$4))</f>
        <v>1</v>
      </c>
      <c r="M13" s="15">
        <f>IF(COUNTIFS(tbl_interacoes[De],$A13,tbl_interacoes[Para],M$4)=0,"",COUNTIFS(tbl_interacoes[De],$A13,tbl_interacoes[Para],M$4))</f>
        <v>1</v>
      </c>
      <c r="N13" s="15" t="str">
        <f>IF(COUNTIFS(tbl_interacoes[De],$A13,tbl_interacoes[Para],N$4)=0,"",COUNTIFS(tbl_interacoes[De],$A13,tbl_interacoes[Para],N$4))</f>
        <v/>
      </c>
      <c r="O13" s="15" t="str">
        <f>IF(COUNTIFS(tbl_interacoes[De],$A13,tbl_interacoes[Para],O$4)=0,"",COUNTIFS(tbl_interacoes[De],$A13,tbl_interacoes[Para],O$4))</f>
        <v/>
      </c>
      <c r="P13" s="15" t="str">
        <f>IF(COUNTIFS(tbl_interacoes[De],$A13,tbl_interacoes[Para],P$4)=0,"",COUNTIFS(tbl_interacoes[De],$A13,tbl_interacoes[Para],P$4))</f>
        <v/>
      </c>
      <c r="Q13" s="15" t="str">
        <f>IF(COUNTIFS(tbl_interacoes[De],$A13,tbl_interacoes[Para],Q$4)=0,"",COUNTIFS(tbl_interacoes[De],$A13,tbl_interacoes[Para],Q$4))</f>
        <v/>
      </c>
      <c r="R13" s="15" t="str">
        <f>IF(COUNTIFS(tbl_interacoes[De],$A13,tbl_interacoes[Para],R$4)=0,"",COUNTIFS(tbl_interacoes[De],$A13,tbl_interacoes[Para],R$4))</f>
        <v/>
      </c>
      <c r="S13" s="15" t="str">
        <f>IF(COUNTIFS(tbl_interacoes[De],$A13,tbl_interacoes[Para],S$4)=0,"",COUNTIFS(tbl_interacoes[De],$A13,tbl_interacoes[Para],S$4))</f>
        <v/>
      </c>
    </row>
    <row r="14" spans="1:19" x14ac:dyDescent="0.3">
      <c r="A14" s="13" t="s">
        <v>220</v>
      </c>
      <c r="B14" s="15" t="str">
        <f>IF(COUNTIFS(tbl_interacoes[De],$A14,tbl_interacoes[Para],B$4)=0,"",COUNTIFS(tbl_interacoes[De],$A14,tbl_interacoes[Para],B$4))</f>
        <v/>
      </c>
      <c r="C14" s="15" t="str">
        <f>IF(COUNTIFS(tbl_interacoes[De],$A14,tbl_interacoes[Para],C$4)=0,"",COUNTIFS(tbl_interacoes[De],$A14,tbl_interacoes[Para],C$4))</f>
        <v/>
      </c>
      <c r="D14" s="15" t="str">
        <f>IF(COUNTIFS(tbl_interacoes[De],$A14,tbl_interacoes[Para],D$4)=0,"",COUNTIFS(tbl_interacoes[De],$A14,tbl_interacoes[Para],D$4))</f>
        <v/>
      </c>
      <c r="E14" s="15" t="str">
        <f>IF(COUNTIFS(tbl_interacoes[De],$A14,tbl_interacoes[Para],E$4)=0,"",COUNTIFS(tbl_interacoes[De],$A14,tbl_interacoes[Para],E$4))</f>
        <v/>
      </c>
      <c r="F14" s="15" t="str">
        <f>IF(COUNTIFS(tbl_interacoes[De],$A14,tbl_interacoes[Para],F$4)=0,"",COUNTIFS(tbl_interacoes[De],$A14,tbl_interacoes[Para],F$4))</f>
        <v/>
      </c>
      <c r="G14" s="15" t="str">
        <f>IF(COUNTIFS(tbl_interacoes[De],$A14,tbl_interacoes[Para],G$4)=0,"",COUNTIFS(tbl_interacoes[De],$A14,tbl_interacoes[Para],G$4))</f>
        <v/>
      </c>
      <c r="H14" s="15" t="str">
        <f>IF(COUNTIFS(tbl_interacoes[De],$A14,tbl_interacoes[Para],H$4)=0,"",COUNTIFS(tbl_interacoes[De],$A14,tbl_interacoes[Para],H$4))</f>
        <v/>
      </c>
      <c r="I14" s="15" t="str">
        <f>IF(COUNTIFS(tbl_interacoes[De],$A14,tbl_interacoes[Para],I$4)=0,"",COUNTIFS(tbl_interacoes[De],$A14,tbl_interacoes[Para],I$4))</f>
        <v/>
      </c>
      <c r="J14" s="15" t="str">
        <f>IF(COUNTIFS(tbl_interacoes[De],$A14,tbl_interacoes[Para],J$4)=0,"",COUNTIFS(tbl_interacoes[De],$A14,tbl_interacoes[Para],J$4))</f>
        <v/>
      </c>
      <c r="K14" s="15" t="str">
        <f>IF(COUNTIFS(tbl_interacoes[De],$A14,tbl_interacoes[Para],K$4)=0,"",COUNTIFS(tbl_interacoes[De],$A14,tbl_interacoes[Para],K$4))</f>
        <v/>
      </c>
      <c r="L14" s="15" t="str">
        <f>IF(COUNTIFS(tbl_interacoes[De],$A14,tbl_interacoes[Para],L$4)=0,"",COUNTIFS(tbl_interacoes[De],$A14,tbl_interacoes[Para],L$4))</f>
        <v/>
      </c>
      <c r="M14" s="15">
        <f>IF(COUNTIFS(tbl_interacoes[De],$A14,tbl_interacoes[Para],M$4)=0,"",COUNTIFS(tbl_interacoes[De],$A14,tbl_interacoes[Para],M$4))</f>
        <v>1</v>
      </c>
      <c r="N14" s="15" t="str">
        <f>IF(COUNTIFS(tbl_interacoes[De],$A14,tbl_interacoes[Para],N$4)=0,"",COUNTIFS(tbl_interacoes[De],$A14,tbl_interacoes[Para],N$4))</f>
        <v/>
      </c>
      <c r="O14" s="15" t="str">
        <f>IF(COUNTIFS(tbl_interacoes[De],$A14,tbl_interacoes[Para],O$4)=0,"",COUNTIFS(tbl_interacoes[De],$A14,tbl_interacoes[Para],O$4))</f>
        <v/>
      </c>
      <c r="P14" s="15" t="str">
        <f>IF(COUNTIFS(tbl_interacoes[De],$A14,tbl_interacoes[Para],P$4)=0,"",COUNTIFS(tbl_interacoes[De],$A14,tbl_interacoes[Para],P$4))</f>
        <v/>
      </c>
      <c r="Q14" s="15" t="str">
        <f>IF(COUNTIFS(tbl_interacoes[De],$A14,tbl_interacoes[Para],Q$4)=0,"",COUNTIFS(tbl_interacoes[De],$A14,tbl_interacoes[Para],Q$4))</f>
        <v/>
      </c>
      <c r="R14" s="15" t="str">
        <f>IF(COUNTIFS(tbl_interacoes[De],$A14,tbl_interacoes[Para],R$4)=0,"",COUNTIFS(tbl_interacoes[De],$A14,tbl_interacoes[Para],R$4))</f>
        <v/>
      </c>
      <c r="S14" s="15" t="str">
        <f>IF(COUNTIFS(tbl_interacoes[De],$A14,tbl_interacoes[Para],S$4)=0,"",COUNTIFS(tbl_interacoes[De],$A14,tbl_interacoes[Para],S$4))</f>
        <v/>
      </c>
    </row>
    <row r="15" spans="1:19" x14ac:dyDescent="0.3">
      <c r="A15" s="13" t="s">
        <v>234</v>
      </c>
      <c r="B15" s="15" t="str">
        <f>IF(COUNTIFS(tbl_interacoes[De],$A15,tbl_interacoes[Para],B$4)=0,"",COUNTIFS(tbl_interacoes[De],$A15,tbl_interacoes[Para],B$4))</f>
        <v/>
      </c>
      <c r="C15" s="15" t="str">
        <f>IF(COUNTIFS(tbl_interacoes[De],$A15,tbl_interacoes[Para],C$4)=0,"",COUNTIFS(tbl_interacoes[De],$A15,tbl_interacoes[Para],C$4))</f>
        <v/>
      </c>
      <c r="D15" s="15" t="str">
        <f>IF(COUNTIFS(tbl_interacoes[De],$A15,tbl_interacoes[Para],D$4)=0,"",COUNTIFS(tbl_interacoes[De],$A15,tbl_interacoes[Para],D$4))</f>
        <v/>
      </c>
      <c r="E15" s="15" t="str">
        <f>IF(COUNTIFS(tbl_interacoes[De],$A15,tbl_interacoes[Para],E$4)=0,"",COUNTIFS(tbl_interacoes[De],$A15,tbl_interacoes[Para],E$4))</f>
        <v/>
      </c>
      <c r="F15" s="15" t="str">
        <f>IF(COUNTIFS(tbl_interacoes[De],$A15,tbl_interacoes[Para],F$4)=0,"",COUNTIFS(tbl_interacoes[De],$A15,tbl_interacoes[Para],F$4))</f>
        <v/>
      </c>
      <c r="G15" s="15" t="str">
        <f>IF(COUNTIFS(tbl_interacoes[De],$A15,tbl_interacoes[Para],G$4)=0,"",COUNTIFS(tbl_interacoes[De],$A15,tbl_interacoes[Para],G$4))</f>
        <v/>
      </c>
      <c r="H15" s="15" t="str">
        <f>IF(COUNTIFS(tbl_interacoes[De],$A15,tbl_interacoes[Para],H$4)=0,"",COUNTIFS(tbl_interacoes[De],$A15,tbl_interacoes[Para],H$4))</f>
        <v/>
      </c>
      <c r="I15" s="15" t="str">
        <f>IF(COUNTIFS(tbl_interacoes[De],$A15,tbl_interacoes[Para],I$4)=0,"",COUNTIFS(tbl_interacoes[De],$A15,tbl_interacoes[Para],I$4))</f>
        <v/>
      </c>
      <c r="J15" s="15" t="str">
        <f>IF(COUNTIFS(tbl_interacoes[De],$A15,tbl_interacoes[Para],J$4)=0,"",COUNTIFS(tbl_interacoes[De],$A15,tbl_interacoes[Para],J$4))</f>
        <v/>
      </c>
      <c r="K15" s="15" t="str">
        <f>IF(COUNTIFS(tbl_interacoes[De],$A15,tbl_interacoes[Para],K$4)=0,"",COUNTIFS(tbl_interacoes[De],$A15,tbl_interacoes[Para],K$4))</f>
        <v/>
      </c>
      <c r="L15" s="15" t="str">
        <f>IF(COUNTIFS(tbl_interacoes[De],$A15,tbl_interacoes[Para],L$4)=0,"",COUNTIFS(tbl_interacoes[De],$A15,tbl_interacoes[Para],L$4))</f>
        <v/>
      </c>
      <c r="M15" s="15">
        <f>IF(COUNTIFS(tbl_interacoes[De],$A15,tbl_interacoes[Para],M$4)=0,"",COUNTIFS(tbl_interacoes[De],$A15,tbl_interacoes[Para],M$4))</f>
        <v>1</v>
      </c>
      <c r="N15" s="15" t="str">
        <f>IF(COUNTIFS(tbl_interacoes[De],$A15,tbl_interacoes[Para],N$4)=0,"",COUNTIFS(tbl_interacoes[De],$A15,tbl_interacoes[Para],N$4))</f>
        <v/>
      </c>
      <c r="O15" s="15" t="str">
        <f>IF(COUNTIFS(tbl_interacoes[De],$A15,tbl_interacoes[Para],O$4)=0,"",COUNTIFS(tbl_interacoes[De],$A15,tbl_interacoes[Para],O$4))</f>
        <v/>
      </c>
      <c r="P15" s="15" t="str">
        <f>IF(COUNTIFS(tbl_interacoes[De],$A15,tbl_interacoes[Para],P$4)=0,"",COUNTIFS(tbl_interacoes[De],$A15,tbl_interacoes[Para],P$4))</f>
        <v/>
      </c>
      <c r="Q15" s="15" t="str">
        <f>IF(COUNTIFS(tbl_interacoes[De],$A15,tbl_interacoes[Para],Q$4)=0,"",COUNTIFS(tbl_interacoes[De],$A15,tbl_interacoes[Para],Q$4))</f>
        <v/>
      </c>
      <c r="R15" s="15" t="str">
        <f>IF(COUNTIFS(tbl_interacoes[De],$A15,tbl_interacoes[Para],R$4)=0,"",COUNTIFS(tbl_interacoes[De],$A15,tbl_interacoes[Para],R$4))</f>
        <v/>
      </c>
      <c r="S15" s="15" t="str">
        <f>IF(COUNTIFS(tbl_interacoes[De],$A15,tbl_interacoes[Para],S$4)=0,"",COUNTIFS(tbl_interacoes[De],$A15,tbl_interacoes[Para],S$4))</f>
        <v/>
      </c>
    </row>
    <row r="16" spans="1:19" x14ac:dyDescent="0.3">
      <c r="A16" s="13" t="s">
        <v>246</v>
      </c>
      <c r="B16" s="15" t="str">
        <f>IF(COUNTIFS(tbl_interacoes[De],$A16,tbl_interacoes[Para],B$4)=0,"",COUNTIFS(tbl_interacoes[De],$A16,tbl_interacoes[Para],B$4))</f>
        <v/>
      </c>
      <c r="C16" s="15">
        <f>IF(COUNTIFS(tbl_interacoes[De],$A16,tbl_interacoes[Para],C$4)=0,"",COUNTIFS(tbl_interacoes[De],$A16,tbl_interacoes[Para],C$4))</f>
        <v>1</v>
      </c>
      <c r="D16" s="15" t="str">
        <f>IF(COUNTIFS(tbl_interacoes[De],$A16,tbl_interacoes[Para],D$4)=0,"",COUNTIFS(tbl_interacoes[De],$A16,tbl_interacoes[Para],D$4))</f>
        <v/>
      </c>
      <c r="E16" s="15" t="str">
        <f>IF(COUNTIFS(tbl_interacoes[De],$A16,tbl_interacoes[Para],E$4)=0,"",COUNTIFS(tbl_interacoes[De],$A16,tbl_interacoes[Para],E$4))</f>
        <v/>
      </c>
      <c r="F16" s="15" t="str">
        <f>IF(COUNTIFS(tbl_interacoes[De],$A16,tbl_interacoes[Para],F$4)=0,"",COUNTIFS(tbl_interacoes[De],$A16,tbl_interacoes[Para],F$4))</f>
        <v/>
      </c>
      <c r="G16" s="15" t="str">
        <f>IF(COUNTIFS(tbl_interacoes[De],$A16,tbl_interacoes[Para],G$4)=0,"",COUNTIFS(tbl_interacoes[De],$A16,tbl_interacoes[Para],G$4))</f>
        <v/>
      </c>
      <c r="H16" s="15" t="str">
        <f>IF(COUNTIFS(tbl_interacoes[De],$A16,tbl_interacoes[Para],H$4)=0,"",COUNTIFS(tbl_interacoes[De],$A16,tbl_interacoes[Para],H$4))</f>
        <v/>
      </c>
      <c r="I16" s="15" t="str">
        <f>IF(COUNTIFS(tbl_interacoes[De],$A16,tbl_interacoes[Para],I$4)=0,"",COUNTIFS(tbl_interacoes[De],$A16,tbl_interacoes[Para],I$4))</f>
        <v/>
      </c>
      <c r="J16" s="15" t="str">
        <f>IF(COUNTIFS(tbl_interacoes[De],$A16,tbl_interacoes[Para],J$4)=0,"",COUNTIFS(tbl_interacoes[De],$A16,tbl_interacoes[Para],J$4))</f>
        <v/>
      </c>
      <c r="K16" s="15" t="str">
        <f>IF(COUNTIFS(tbl_interacoes[De],$A16,tbl_interacoes[Para],K$4)=0,"",COUNTIFS(tbl_interacoes[De],$A16,tbl_interacoes[Para],K$4))</f>
        <v/>
      </c>
      <c r="L16" s="15" t="str">
        <f>IF(COUNTIFS(tbl_interacoes[De],$A16,tbl_interacoes[Para],L$4)=0,"",COUNTIFS(tbl_interacoes[De],$A16,tbl_interacoes[Para],L$4))</f>
        <v/>
      </c>
      <c r="M16" s="15" t="str">
        <f>IF(COUNTIFS(tbl_interacoes[De],$A16,tbl_interacoes[Para],M$4)=0,"",COUNTIFS(tbl_interacoes[De],$A16,tbl_interacoes[Para],M$4))</f>
        <v/>
      </c>
      <c r="N16" s="15">
        <f>IF(COUNTIFS(tbl_interacoes[De],$A16,tbl_interacoes[Para],N$4)=0,"",COUNTIFS(tbl_interacoes[De],$A16,tbl_interacoes[Para],N$4))</f>
        <v>1</v>
      </c>
      <c r="O16" s="15" t="str">
        <f>IF(COUNTIFS(tbl_interacoes[De],$A16,tbl_interacoes[Para],O$4)=0,"",COUNTIFS(tbl_interacoes[De],$A16,tbl_interacoes[Para],O$4))</f>
        <v/>
      </c>
      <c r="P16" s="15" t="str">
        <f>IF(COUNTIFS(tbl_interacoes[De],$A16,tbl_interacoes[Para],P$4)=0,"",COUNTIFS(tbl_interacoes[De],$A16,tbl_interacoes[Para],P$4))</f>
        <v/>
      </c>
      <c r="Q16" s="15" t="str">
        <f>IF(COUNTIFS(tbl_interacoes[De],$A16,tbl_interacoes[Para],Q$4)=0,"",COUNTIFS(tbl_interacoes[De],$A16,tbl_interacoes[Para],Q$4))</f>
        <v/>
      </c>
      <c r="R16" s="15" t="str">
        <f>IF(COUNTIFS(tbl_interacoes[De],$A16,tbl_interacoes[Para],R$4)=0,"",COUNTIFS(tbl_interacoes[De],$A16,tbl_interacoes[Para],R$4))</f>
        <v/>
      </c>
      <c r="S16" s="15" t="str">
        <f>IF(COUNTIFS(tbl_interacoes[De],$A16,tbl_interacoes[Para],S$4)=0,"",COUNTIFS(tbl_interacoes[De],$A16,tbl_interacoes[Para],S$4))</f>
        <v/>
      </c>
    </row>
    <row r="17" spans="1:19" x14ac:dyDescent="0.3">
      <c r="A17" s="13" t="s">
        <v>260</v>
      </c>
      <c r="B17" s="15" t="str">
        <f>IF(COUNTIFS(tbl_interacoes[De],$A17,tbl_interacoes[Para],B$4)=0,"",COUNTIFS(tbl_interacoes[De],$A17,tbl_interacoes[Para],B$4))</f>
        <v/>
      </c>
      <c r="C17" s="15" t="str">
        <f>IF(COUNTIFS(tbl_interacoes[De],$A17,tbl_interacoes[Para],C$4)=0,"",COUNTIFS(tbl_interacoes[De],$A17,tbl_interacoes[Para],C$4))</f>
        <v/>
      </c>
      <c r="D17" s="15">
        <f>IF(COUNTIFS(tbl_interacoes[De],$A17,tbl_interacoes[Para],D$4)=0,"",COUNTIFS(tbl_interacoes[De],$A17,tbl_interacoes[Para],D$4))</f>
        <v>1</v>
      </c>
      <c r="E17" s="15" t="str">
        <f>IF(COUNTIFS(tbl_interacoes[De],$A17,tbl_interacoes[Para],E$4)=0,"",COUNTIFS(tbl_interacoes[De],$A17,tbl_interacoes[Para],E$4))</f>
        <v/>
      </c>
      <c r="F17" s="15" t="str">
        <f>IF(COUNTIFS(tbl_interacoes[De],$A17,tbl_interacoes[Para],F$4)=0,"",COUNTIFS(tbl_interacoes[De],$A17,tbl_interacoes[Para],F$4))</f>
        <v/>
      </c>
      <c r="G17" s="15" t="str">
        <f>IF(COUNTIFS(tbl_interacoes[De],$A17,tbl_interacoes[Para],G$4)=0,"",COUNTIFS(tbl_interacoes[De],$A17,tbl_interacoes[Para],G$4))</f>
        <v/>
      </c>
      <c r="H17" s="15" t="str">
        <f>IF(COUNTIFS(tbl_interacoes[De],$A17,tbl_interacoes[Para],H$4)=0,"",COUNTIFS(tbl_interacoes[De],$A17,tbl_interacoes[Para],H$4))</f>
        <v/>
      </c>
      <c r="I17" s="15" t="str">
        <f>IF(COUNTIFS(tbl_interacoes[De],$A17,tbl_interacoes[Para],I$4)=0,"",COUNTIFS(tbl_interacoes[De],$A17,tbl_interacoes[Para],I$4))</f>
        <v/>
      </c>
      <c r="J17" s="15" t="str">
        <f>IF(COUNTIFS(tbl_interacoes[De],$A17,tbl_interacoes[Para],J$4)=0,"",COUNTIFS(tbl_interacoes[De],$A17,tbl_interacoes[Para],J$4))</f>
        <v/>
      </c>
      <c r="K17" s="15" t="str">
        <f>IF(COUNTIFS(tbl_interacoes[De],$A17,tbl_interacoes[Para],K$4)=0,"",COUNTIFS(tbl_interacoes[De],$A17,tbl_interacoes[Para],K$4))</f>
        <v/>
      </c>
      <c r="L17" s="15" t="str">
        <f>IF(COUNTIFS(tbl_interacoes[De],$A17,tbl_interacoes[Para],L$4)=0,"",COUNTIFS(tbl_interacoes[De],$A17,tbl_interacoes[Para],L$4))</f>
        <v/>
      </c>
      <c r="M17" s="15" t="str">
        <f>IF(COUNTIFS(tbl_interacoes[De],$A17,tbl_interacoes[Para],M$4)=0,"",COUNTIFS(tbl_interacoes[De],$A17,tbl_interacoes[Para],M$4))</f>
        <v/>
      </c>
      <c r="N17" s="15" t="str">
        <f>IF(COUNTIFS(tbl_interacoes[De],$A17,tbl_interacoes[Para],N$4)=0,"",COUNTIFS(tbl_interacoes[De],$A17,tbl_interacoes[Para],N$4))</f>
        <v/>
      </c>
      <c r="O17" s="15" t="str">
        <f>IF(COUNTIFS(tbl_interacoes[De],$A17,tbl_interacoes[Para],O$4)=0,"",COUNTIFS(tbl_interacoes[De],$A17,tbl_interacoes[Para],O$4))</f>
        <v/>
      </c>
      <c r="P17" s="15" t="str">
        <f>IF(COUNTIFS(tbl_interacoes[De],$A17,tbl_interacoes[Para],P$4)=0,"",COUNTIFS(tbl_interacoes[De],$A17,tbl_interacoes[Para],P$4))</f>
        <v/>
      </c>
      <c r="Q17" s="15" t="str">
        <f>IF(COUNTIFS(tbl_interacoes[De],$A17,tbl_interacoes[Para],Q$4)=0,"",COUNTIFS(tbl_interacoes[De],$A17,tbl_interacoes[Para],Q$4))</f>
        <v/>
      </c>
      <c r="R17" s="15" t="str">
        <f>IF(COUNTIFS(tbl_interacoes[De],$A17,tbl_interacoes[Para],R$4)=0,"",COUNTIFS(tbl_interacoes[De],$A17,tbl_interacoes[Para],R$4))</f>
        <v/>
      </c>
      <c r="S17" s="15" t="str">
        <f>IF(COUNTIFS(tbl_interacoes[De],$A17,tbl_interacoes[Para],S$4)=0,"",COUNTIFS(tbl_interacoes[De],$A17,tbl_interacoes[Para],S$4))</f>
        <v/>
      </c>
    </row>
    <row r="18" spans="1:19" x14ac:dyDescent="0.3">
      <c r="A18" s="13" t="s">
        <v>274</v>
      </c>
      <c r="B18" s="15" t="str">
        <f>IF(COUNTIFS(tbl_interacoes[De],$A18,tbl_interacoes[Para],B$4)=0,"",COUNTIFS(tbl_interacoes[De],$A18,tbl_interacoes[Para],B$4))</f>
        <v/>
      </c>
      <c r="C18" s="15" t="str">
        <f>IF(COUNTIFS(tbl_interacoes[De],$A18,tbl_interacoes[Para],C$4)=0,"",COUNTIFS(tbl_interacoes[De],$A18,tbl_interacoes[Para],C$4))</f>
        <v/>
      </c>
      <c r="D18" s="15" t="str">
        <f>IF(COUNTIFS(tbl_interacoes[De],$A18,tbl_interacoes[Para],D$4)=0,"",COUNTIFS(tbl_interacoes[De],$A18,tbl_interacoes[Para],D$4))</f>
        <v/>
      </c>
      <c r="E18" s="15" t="str">
        <f>IF(COUNTIFS(tbl_interacoes[De],$A18,tbl_interacoes[Para],E$4)=0,"",COUNTIFS(tbl_interacoes[De],$A18,tbl_interacoes[Para],E$4))</f>
        <v/>
      </c>
      <c r="F18" s="15" t="str">
        <f>IF(COUNTIFS(tbl_interacoes[De],$A18,tbl_interacoes[Para],F$4)=0,"",COUNTIFS(tbl_interacoes[De],$A18,tbl_interacoes[Para],F$4))</f>
        <v/>
      </c>
      <c r="G18" s="15" t="str">
        <f>IF(COUNTIFS(tbl_interacoes[De],$A18,tbl_interacoes[Para],G$4)=0,"",COUNTIFS(tbl_interacoes[De],$A18,tbl_interacoes[Para],G$4))</f>
        <v/>
      </c>
      <c r="H18" s="15" t="str">
        <f>IF(COUNTIFS(tbl_interacoes[De],$A18,tbl_interacoes[Para],H$4)=0,"",COUNTIFS(tbl_interacoes[De],$A18,tbl_interacoes[Para],H$4))</f>
        <v/>
      </c>
      <c r="I18" s="15">
        <f>IF(COUNTIFS(tbl_interacoes[De],$A18,tbl_interacoes[Para],I$4)=0,"",COUNTIFS(tbl_interacoes[De],$A18,tbl_interacoes[Para],I$4))</f>
        <v>1</v>
      </c>
      <c r="J18" s="15">
        <f>IF(COUNTIFS(tbl_interacoes[De],$A18,tbl_interacoes[Para],J$4)=0,"",COUNTIFS(tbl_interacoes[De],$A18,tbl_interacoes[Para],J$4))</f>
        <v>1</v>
      </c>
      <c r="K18" s="15">
        <f>IF(COUNTIFS(tbl_interacoes[De],$A18,tbl_interacoes[Para],K$4)=0,"",COUNTIFS(tbl_interacoes[De],$A18,tbl_interacoes[Para],K$4))</f>
        <v>1</v>
      </c>
      <c r="L18" s="15">
        <f>IF(COUNTIFS(tbl_interacoes[De],$A18,tbl_interacoes[Para],L$4)=0,"",COUNTIFS(tbl_interacoes[De],$A18,tbl_interacoes[Para],L$4))</f>
        <v>1</v>
      </c>
      <c r="M18" s="15" t="str">
        <f>IF(COUNTIFS(tbl_interacoes[De],$A18,tbl_interacoes[Para],M$4)=0,"",COUNTIFS(tbl_interacoes[De],$A18,tbl_interacoes[Para],M$4))</f>
        <v/>
      </c>
      <c r="N18" s="15" t="str">
        <f>IF(COUNTIFS(tbl_interacoes[De],$A18,tbl_interacoes[Para],N$4)=0,"",COUNTIFS(tbl_interacoes[De],$A18,tbl_interacoes[Para],N$4))</f>
        <v/>
      </c>
      <c r="O18" s="15" t="str">
        <f>IF(COUNTIFS(tbl_interacoes[De],$A18,tbl_interacoes[Para],O$4)=0,"",COUNTIFS(tbl_interacoes[De],$A18,tbl_interacoes[Para],O$4))</f>
        <v/>
      </c>
      <c r="P18" s="15" t="str">
        <f>IF(COUNTIFS(tbl_interacoes[De],$A18,tbl_interacoes[Para],P$4)=0,"",COUNTIFS(tbl_interacoes[De],$A18,tbl_interacoes[Para],P$4))</f>
        <v/>
      </c>
      <c r="Q18" s="15" t="str">
        <f>IF(COUNTIFS(tbl_interacoes[De],$A18,tbl_interacoes[Para],Q$4)=0,"",COUNTIFS(tbl_interacoes[De],$A18,tbl_interacoes[Para],Q$4))</f>
        <v/>
      </c>
      <c r="R18" s="15" t="str">
        <f>IF(COUNTIFS(tbl_interacoes[De],$A18,tbl_interacoes[Para],R$4)=0,"",COUNTIFS(tbl_interacoes[De],$A18,tbl_interacoes[Para],R$4))</f>
        <v/>
      </c>
      <c r="S18" s="15" t="str">
        <f>IF(COUNTIFS(tbl_interacoes[De],$A18,tbl_interacoes[Para],S$4)=0,"",COUNTIFS(tbl_interacoes[De],$A18,tbl_interacoes[Para],S$4))</f>
        <v/>
      </c>
    </row>
    <row r="19" spans="1:19" x14ac:dyDescent="0.3">
      <c r="A19" s="13" t="s">
        <v>289</v>
      </c>
      <c r="B19" s="15" t="str">
        <f>IF(COUNTIFS(tbl_interacoes[De],$A19,tbl_interacoes[Para],B$4)=0,"",COUNTIFS(tbl_interacoes[De],$A19,tbl_interacoes[Para],B$4))</f>
        <v/>
      </c>
      <c r="C19" s="15" t="str">
        <f>IF(COUNTIFS(tbl_interacoes[De],$A19,tbl_interacoes[Para],C$4)=0,"",COUNTIFS(tbl_interacoes[De],$A19,tbl_interacoes[Para],C$4))</f>
        <v/>
      </c>
      <c r="D19" s="15" t="str">
        <f>IF(COUNTIFS(tbl_interacoes[De],$A19,tbl_interacoes[Para],D$4)=0,"",COUNTIFS(tbl_interacoes[De],$A19,tbl_interacoes[Para],D$4))</f>
        <v/>
      </c>
      <c r="E19" s="15" t="str">
        <f>IF(COUNTIFS(tbl_interacoes[De],$A19,tbl_interacoes[Para],E$4)=0,"",COUNTIFS(tbl_interacoes[De],$A19,tbl_interacoes[Para],E$4))</f>
        <v/>
      </c>
      <c r="F19" s="15" t="str">
        <f>IF(COUNTIFS(tbl_interacoes[De],$A19,tbl_interacoes[Para],F$4)=0,"",COUNTIFS(tbl_interacoes[De],$A19,tbl_interacoes[Para],F$4))</f>
        <v/>
      </c>
      <c r="G19" s="15" t="str">
        <f>IF(COUNTIFS(tbl_interacoes[De],$A19,tbl_interacoes[Para],G$4)=0,"",COUNTIFS(tbl_interacoes[De],$A19,tbl_interacoes[Para],G$4))</f>
        <v/>
      </c>
      <c r="H19" s="15" t="str">
        <f>IF(COUNTIFS(tbl_interacoes[De],$A19,tbl_interacoes[Para],H$4)=0,"",COUNTIFS(tbl_interacoes[De],$A19,tbl_interacoes[Para],H$4))</f>
        <v/>
      </c>
      <c r="I19" s="15" t="str">
        <f>IF(COUNTIFS(tbl_interacoes[De],$A19,tbl_interacoes[Para],I$4)=0,"",COUNTIFS(tbl_interacoes[De],$A19,tbl_interacoes[Para],I$4))</f>
        <v/>
      </c>
      <c r="J19" s="15" t="str">
        <f>IF(COUNTIFS(tbl_interacoes[De],$A19,tbl_interacoes[Para],J$4)=0,"",COUNTIFS(tbl_interacoes[De],$A19,tbl_interacoes[Para],J$4))</f>
        <v/>
      </c>
      <c r="K19" s="15" t="str">
        <f>IF(COUNTIFS(tbl_interacoes[De],$A19,tbl_interacoes[Para],K$4)=0,"",COUNTIFS(tbl_interacoes[De],$A19,tbl_interacoes[Para],K$4))</f>
        <v/>
      </c>
      <c r="L19" s="15" t="str">
        <f>IF(COUNTIFS(tbl_interacoes[De],$A19,tbl_interacoes[Para],L$4)=0,"",COUNTIFS(tbl_interacoes[De],$A19,tbl_interacoes[Para],L$4))</f>
        <v/>
      </c>
      <c r="M19" s="15">
        <f>IF(COUNTIFS(tbl_interacoes[De],$A19,tbl_interacoes[Para],M$4)=0,"",COUNTIFS(tbl_interacoes[De],$A19,tbl_interacoes[Para],M$4))</f>
        <v>1</v>
      </c>
      <c r="N19" s="15" t="str">
        <f>IF(COUNTIFS(tbl_interacoes[De],$A19,tbl_interacoes[Para],N$4)=0,"",COUNTIFS(tbl_interacoes[De],$A19,tbl_interacoes[Para],N$4))</f>
        <v/>
      </c>
      <c r="O19" s="15" t="str">
        <f>IF(COUNTIFS(tbl_interacoes[De],$A19,tbl_interacoes[Para],O$4)=0,"",COUNTIFS(tbl_interacoes[De],$A19,tbl_interacoes[Para],O$4))</f>
        <v/>
      </c>
      <c r="P19" s="15" t="str">
        <f>IF(COUNTIFS(tbl_interacoes[De],$A19,tbl_interacoes[Para],P$4)=0,"",COUNTIFS(tbl_interacoes[De],$A19,tbl_interacoes[Para],P$4))</f>
        <v/>
      </c>
      <c r="Q19" s="15" t="str">
        <f>IF(COUNTIFS(tbl_interacoes[De],$A19,tbl_interacoes[Para],Q$4)=0,"",COUNTIFS(tbl_interacoes[De],$A19,tbl_interacoes[Para],Q$4))</f>
        <v/>
      </c>
      <c r="R19" s="15" t="str">
        <f>IF(COUNTIFS(tbl_interacoes[De],$A19,tbl_interacoes[Para],R$4)=0,"",COUNTIFS(tbl_interacoes[De],$A19,tbl_interacoes[Para],R$4))</f>
        <v/>
      </c>
      <c r="S19" s="15" t="str">
        <f>IF(COUNTIFS(tbl_interacoes[De],$A19,tbl_interacoes[Para],S$4)=0,"",COUNTIFS(tbl_interacoes[De],$A19,tbl_interacoes[Para],S$4))</f>
        <v/>
      </c>
    </row>
    <row r="20" spans="1:19" x14ac:dyDescent="0.3">
      <c r="A20" s="13" t="s">
        <v>303</v>
      </c>
      <c r="B20" s="15" t="str">
        <f>IF(COUNTIFS(tbl_interacoes[De],$A20,tbl_interacoes[Para],B$4)=0,"",COUNTIFS(tbl_interacoes[De],$A20,tbl_interacoes[Para],B$4))</f>
        <v/>
      </c>
      <c r="C20" s="15" t="str">
        <f>IF(COUNTIFS(tbl_interacoes[De],$A20,tbl_interacoes[Para],C$4)=0,"",COUNTIFS(tbl_interacoes[De],$A20,tbl_interacoes[Para],C$4))</f>
        <v/>
      </c>
      <c r="D20" s="15" t="str">
        <f>IF(COUNTIFS(tbl_interacoes[De],$A20,tbl_interacoes[Para],D$4)=0,"",COUNTIFS(tbl_interacoes[De],$A20,tbl_interacoes[Para],D$4))</f>
        <v/>
      </c>
      <c r="E20" s="15" t="str">
        <f>IF(COUNTIFS(tbl_interacoes[De],$A20,tbl_interacoes[Para],E$4)=0,"",COUNTIFS(tbl_interacoes[De],$A20,tbl_interacoes[Para],E$4))</f>
        <v/>
      </c>
      <c r="F20" s="15" t="str">
        <f>IF(COUNTIFS(tbl_interacoes[De],$A20,tbl_interacoes[Para],F$4)=0,"",COUNTIFS(tbl_interacoes[De],$A20,tbl_interacoes[Para],F$4))</f>
        <v/>
      </c>
      <c r="G20" s="15" t="str">
        <f>IF(COUNTIFS(tbl_interacoes[De],$A20,tbl_interacoes[Para],G$4)=0,"",COUNTIFS(tbl_interacoes[De],$A20,tbl_interacoes[Para],G$4))</f>
        <v/>
      </c>
      <c r="H20" s="15" t="str">
        <f>IF(COUNTIFS(tbl_interacoes[De],$A20,tbl_interacoes[Para],H$4)=0,"",COUNTIFS(tbl_interacoes[De],$A20,tbl_interacoes[Para],H$4))</f>
        <v/>
      </c>
      <c r="I20" s="15">
        <f>IF(COUNTIFS(tbl_interacoes[De],$A20,tbl_interacoes[Para],I$4)=0,"",COUNTIFS(tbl_interacoes[De],$A20,tbl_interacoes[Para],I$4))</f>
        <v>1</v>
      </c>
      <c r="J20" s="15">
        <f>IF(COUNTIFS(tbl_interacoes[De],$A20,tbl_interacoes[Para],J$4)=0,"",COUNTIFS(tbl_interacoes[De],$A20,tbl_interacoes[Para],J$4))</f>
        <v>1</v>
      </c>
      <c r="K20" s="15" t="str">
        <f>IF(COUNTIFS(tbl_interacoes[De],$A20,tbl_interacoes[Para],K$4)=0,"",COUNTIFS(tbl_interacoes[De],$A20,tbl_interacoes[Para],K$4))</f>
        <v/>
      </c>
      <c r="L20" s="15" t="str">
        <f>IF(COUNTIFS(tbl_interacoes[De],$A20,tbl_interacoes[Para],L$4)=0,"",COUNTIFS(tbl_interacoes[De],$A20,tbl_interacoes[Para],L$4))</f>
        <v/>
      </c>
      <c r="M20" s="15">
        <f>IF(COUNTIFS(tbl_interacoes[De],$A20,tbl_interacoes[Para],M$4)=0,"",COUNTIFS(tbl_interacoes[De],$A20,tbl_interacoes[Para],M$4))</f>
        <v>1</v>
      </c>
      <c r="N20" s="15" t="str">
        <f>IF(COUNTIFS(tbl_interacoes[De],$A20,tbl_interacoes[Para],N$4)=0,"",COUNTIFS(tbl_interacoes[De],$A20,tbl_interacoes[Para],N$4))</f>
        <v/>
      </c>
      <c r="O20" s="15" t="str">
        <f>IF(COUNTIFS(tbl_interacoes[De],$A20,tbl_interacoes[Para],O$4)=0,"",COUNTIFS(tbl_interacoes[De],$A20,tbl_interacoes[Para],O$4))</f>
        <v/>
      </c>
      <c r="P20" s="15" t="str">
        <f>IF(COUNTIFS(tbl_interacoes[De],$A20,tbl_interacoes[Para],P$4)=0,"",COUNTIFS(tbl_interacoes[De],$A20,tbl_interacoes[Para],P$4))</f>
        <v/>
      </c>
      <c r="Q20" s="15" t="str">
        <f>IF(COUNTIFS(tbl_interacoes[De],$A20,tbl_interacoes[Para],Q$4)=0,"",COUNTIFS(tbl_interacoes[De],$A20,tbl_interacoes[Para],Q$4))</f>
        <v/>
      </c>
      <c r="R20" s="15" t="str">
        <f>IF(COUNTIFS(tbl_interacoes[De],$A20,tbl_interacoes[Para],R$4)=0,"",COUNTIFS(tbl_interacoes[De],$A20,tbl_interacoes[Para],R$4))</f>
        <v/>
      </c>
      <c r="S20" s="15" t="str">
        <f>IF(COUNTIFS(tbl_interacoes[De],$A20,tbl_interacoes[Para],S$4)=0,"",COUNTIFS(tbl_interacoes[De],$A20,tbl_interacoes[Para],S$4))</f>
        <v/>
      </c>
    </row>
    <row r="21" spans="1:19" x14ac:dyDescent="0.3">
      <c r="A21" s="13" t="s">
        <v>316</v>
      </c>
      <c r="B21" s="15" t="str">
        <f>IF(COUNTIFS(tbl_interacoes[De],$A21,tbl_interacoes[Para],B$4)=0,"",COUNTIFS(tbl_interacoes[De],$A21,tbl_interacoes[Para],B$4))</f>
        <v/>
      </c>
      <c r="C21" s="15">
        <f>IF(COUNTIFS(tbl_interacoes[De],$A21,tbl_interacoes[Para],C$4)=0,"",COUNTIFS(tbl_interacoes[De],$A21,tbl_interacoes[Para],C$4))</f>
        <v>1</v>
      </c>
      <c r="D21" s="15" t="str">
        <f>IF(COUNTIFS(tbl_interacoes[De],$A21,tbl_interacoes[Para],D$4)=0,"",COUNTIFS(tbl_interacoes[De],$A21,tbl_interacoes[Para],D$4))</f>
        <v/>
      </c>
      <c r="E21" s="15" t="str">
        <f>IF(COUNTIFS(tbl_interacoes[De],$A21,tbl_interacoes[Para],E$4)=0,"",COUNTIFS(tbl_interacoes[De],$A21,tbl_interacoes[Para],E$4))</f>
        <v/>
      </c>
      <c r="F21" s="15" t="str">
        <f>IF(COUNTIFS(tbl_interacoes[De],$A21,tbl_interacoes[Para],F$4)=0,"",COUNTIFS(tbl_interacoes[De],$A21,tbl_interacoes[Para],F$4))</f>
        <v/>
      </c>
      <c r="G21" s="15" t="str">
        <f>IF(COUNTIFS(tbl_interacoes[De],$A21,tbl_interacoes[Para],G$4)=0,"",COUNTIFS(tbl_interacoes[De],$A21,tbl_interacoes[Para],G$4))</f>
        <v/>
      </c>
      <c r="H21" s="15" t="str">
        <f>IF(COUNTIFS(tbl_interacoes[De],$A21,tbl_interacoes[Para],H$4)=0,"",COUNTIFS(tbl_interacoes[De],$A21,tbl_interacoes[Para],H$4))</f>
        <v/>
      </c>
      <c r="I21" s="15" t="str">
        <f>IF(COUNTIFS(tbl_interacoes[De],$A21,tbl_interacoes[Para],I$4)=0,"",COUNTIFS(tbl_interacoes[De],$A21,tbl_interacoes[Para],I$4))</f>
        <v/>
      </c>
      <c r="J21" s="15" t="str">
        <f>IF(COUNTIFS(tbl_interacoes[De],$A21,tbl_interacoes[Para],J$4)=0,"",COUNTIFS(tbl_interacoes[De],$A21,tbl_interacoes[Para],J$4))</f>
        <v/>
      </c>
      <c r="K21" s="15" t="str">
        <f>IF(COUNTIFS(tbl_interacoes[De],$A21,tbl_interacoes[Para],K$4)=0,"",COUNTIFS(tbl_interacoes[De],$A21,tbl_interacoes[Para],K$4))</f>
        <v/>
      </c>
      <c r="L21" s="15" t="str">
        <f>IF(COUNTIFS(tbl_interacoes[De],$A21,tbl_interacoes[Para],L$4)=0,"",COUNTIFS(tbl_interacoes[De],$A21,tbl_interacoes[Para],L$4))</f>
        <v/>
      </c>
      <c r="M21" s="15" t="str">
        <f>IF(COUNTIFS(tbl_interacoes[De],$A21,tbl_interacoes[Para],M$4)=0,"",COUNTIFS(tbl_interacoes[De],$A21,tbl_interacoes[Para],M$4))</f>
        <v/>
      </c>
      <c r="N21" s="15" t="str">
        <f>IF(COUNTIFS(tbl_interacoes[De],$A21,tbl_interacoes[Para],N$4)=0,"",COUNTIFS(tbl_interacoes[De],$A21,tbl_interacoes[Para],N$4))</f>
        <v/>
      </c>
      <c r="O21" s="15" t="str">
        <f>IF(COUNTIFS(tbl_interacoes[De],$A21,tbl_interacoes[Para],O$4)=0,"",COUNTIFS(tbl_interacoes[De],$A21,tbl_interacoes[Para],O$4))</f>
        <v/>
      </c>
      <c r="P21" s="15" t="str">
        <f>IF(COUNTIFS(tbl_interacoes[De],$A21,tbl_interacoes[Para],P$4)=0,"",COUNTIFS(tbl_interacoes[De],$A21,tbl_interacoes[Para],P$4))</f>
        <v/>
      </c>
      <c r="Q21" s="15" t="str">
        <f>IF(COUNTIFS(tbl_interacoes[De],$A21,tbl_interacoes[Para],Q$4)=0,"",COUNTIFS(tbl_interacoes[De],$A21,tbl_interacoes[Para],Q$4))</f>
        <v/>
      </c>
      <c r="R21" s="15" t="str">
        <f>IF(COUNTIFS(tbl_interacoes[De],$A21,tbl_interacoes[Para],R$4)=0,"",COUNTIFS(tbl_interacoes[De],$A21,tbl_interacoes[Para],R$4))</f>
        <v/>
      </c>
      <c r="S21" s="15" t="str">
        <f>IF(COUNTIFS(tbl_interacoes[De],$A21,tbl_interacoes[Para],S$4)=0,"",COUNTIFS(tbl_interacoes[De],$A21,tbl_interacoes[Para],S$4))</f>
        <v/>
      </c>
    </row>
    <row r="22" spans="1:19" x14ac:dyDescent="0.3">
      <c r="A22" s="13" t="s">
        <v>329</v>
      </c>
      <c r="B22" s="15" t="str">
        <f>IF(COUNTIFS(tbl_interacoes[De],$A22,tbl_interacoes[Para],B$4)=0,"",COUNTIFS(tbl_interacoes[De],$A22,tbl_interacoes[Para],B$4))</f>
        <v/>
      </c>
      <c r="C22" s="15" t="str">
        <f>IF(COUNTIFS(tbl_interacoes[De],$A22,tbl_interacoes[Para],C$4)=0,"",COUNTIFS(tbl_interacoes[De],$A22,tbl_interacoes[Para],C$4))</f>
        <v/>
      </c>
      <c r="D22" s="15" t="str">
        <f>IF(COUNTIFS(tbl_interacoes[De],$A22,tbl_interacoes[Para],D$4)=0,"",COUNTIFS(tbl_interacoes[De],$A22,tbl_interacoes[Para],D$4))</f>
        <v/>
      </c>
      <c r="E22" s="15" t="str">
        <f>IF(COUNTIFS(tbl_interacoes[De],$A22,tbl_interacoes[Para],E$4)=0,"",COUNTIFS(tbl_interacoes[De],$A22,tbl_interacoes[Para],E$4))</f>
        <v/>
      </c>
      <c r="F22" s="15" t="str">
        <f>IF(COUNTIFS(tbl_interacoes[De],$A22,tbl_interacoes[Para],F$4)=0,"",COUNTIFS(tbl_interacoes[De],$A22,tbl_interacoes[Para],F$4))</f>
        <v/>
      </c>
      <c r="G22" s="15" t="str">
        <f>IF(COUNTIFS(tbl_interacoes[De],$A22,tbl_interacoes[Para],G$4)=0,"",COUNTIFS(tbl_interacoes[De],$A22,tbl_interacoes[Para],G$4))</f>
        <v/>
      </c>
      <c r="H22" s="15" t="str">
        <f>IF(COUNTIFS(tbl_interacoes[De],$A22,tbl_interacoes[Para],H$4)=0,"",COUNTIFS(tbl_interacoes[De],$A22,tbl_interacoes[Para],H$4))</f>
        <v/>
      </c>
      <c r="I22" s="15">
        <f>IF(COUNTIFS(tbl_interacoes[De],$A22,tbl_interacoes[Para],I$4)=0,"",COUNTIFS(tbl_interacoes[De],$A22,tbl_interacoes[Para],I$4))</f>
        <v>1</v>
      </c>
      <c r="J22" s="15" t="str">
        <f>IF(COUNTIFS(tbl_interacoes[De],$A22,tbl_interacoes[Para],J$4)=0,"",COUNTIFS(tbl_interacoes[De],$A22,tbl_interacoes[Para],J$4))</f>
        <v/>
      </c>
      <c r="K22" s="15" t="str">
        <f>IF(COUNTIFS(tbl_interacoes[De],$A22,tbl_interacoes[Para],K$4)=0,"",COUNTIFS(tbl_interacoes[De],$A22,tbl_interacoes[Para],K$4))</f>
        <v/>
      </c>
      <c r="L22" s="15" t="str">
        <f>IF(COUNTIFS(tbl_interacoes[De],$A22,tbl_interacoes[Para],L$4)=0,"",COUNTIFS(tbl_interacoes[De],$A22,tbl_interacoes[Para],L$4))</f>
        <v/>
      </c>
      <c r="M22" s="15">
        <f>IF(COUNTIFS(tbl_interacoes[De],$A22,tbl_interacoes[Para],M$4)=0,"",COUNTIFS(tbl_interacoes[De],$A22,tbl_interacoes[Para],M$4))</f>
        <v>1</v>
      </c>
      <c r="N22" s="15" t="str">
        <f>IF(COUNTIFS(tbl_interacoes[De],$A22,tbl_interacoes[Para],N$4)=0,"",COUNTIFS(tbl_interacoes[De],$A22,tbl_interacoes[Para],N$4))</f>
        <v/>
      </c>
      <c r="O22" s="15" t="str">
        <f>IF(COUNTIFS(tbl_interacoes[De],$A22,tbl_interacoes[Para],O$4)=0,"",COUNTIFS(tbl_interacoes[De],$A22,tbl_interacoes[Para],O$4))</f>
        <v/>
      </c>
      <c r="P22" s="15" t="str">
        <f>IF(COUNTIFS(tbl_interacoes[De],$A22,tbl_interacoes[Para],P$4)=0,"",COUNTIFS(tbl_interacoes[De],$A22,tbl_interacoes[Para],P$4))</f>
        <v/>
      </c>
      <c r="Q22" s="15" t="str">
        <f>IF(COUNTIFS(tbl_interacoes[De],$A22,tbl_interacoes[Para],Q$4)=0,"",COUNTIFS(tbl_interacoes[De],$A22,tbl_interacoes[Para],Q$4))</f>
        <v/>
      </c>
      <c r="R22" s="15" t="str">
        <f>IF(COUNTIFS(tbl_interacoes[De],$A22,tbl_interacoes[Para],R$4)=0,"",COUNTIFS(tbl_interacoes[De],$A22,tbl_interacoes[Para],R$4))</f>
        <v/>
      </c>
      <c r="S22" s="15" t="str">
        <f>IF(COUNTIFS(tbl_interacoes[De],$A22,tbl_interacoes[Para],S$4)=0,"",COUNTIFS(tbl_interacoes[De],$A22,tbl_interacoes[Para],S$4))</f>
        <v/>
      </c>
    </row>
  </sheetData>
  <conditionalFormatting sqref="B5:S22">
    <cfRule type="expression" dxfId="7" priority="1">
      <formula>B5&lt;&gt;""</formula>
    </cfRule>
  </conditionalFormatting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2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7" customWidth="1"/>
    <col min="3" max="3" width="9" customWidth="1"/>
    <col min="4" max="4" width="7" customWidth="1"/>
    <col min="5" max="5" width="10" customWidth="1"/>
    <col min="6" max="6" width="7" customWidth="1"/>
    <col min="7" max="7" width="10" customWidth="1"/>
    <col min="8" max="8" width="8" customWidth="1"/>
    <col min="9" max="9" width="11" customWidth="1"/>
    <col min="10" max="10" width="9" customWidth="1"/>
    <col min="11" max="13" width="8" customWidth="1"/>
    <col min="14" max="14" width="11" customWidth="1"/>
    <col min="15" max="15" width="9" customWidth="1"/>
    <col min="16" max="16" width="8" customWidth="1"/>
    <col min="17" max="17" width="22" customWidth="1"/>
    <col min="18" max="18" width="10" customWidth="1"/>
  </cols>
  <sheetData>
    <row r="1" spans="1:18" ht="17.399999999999999" x14ac:dyDescent="0.3">
      <c r="A1" s="1" t="s">
        <v>373</v>
      </c>
    </row>
    <row r="2" spans="1:18" x14ac:dyDescent="0.3">
      <c r="A2" s="2" t="s">
        <v>374</v>
      </c>
    </row>
    <row r="4" spans="1:18" ht="39.6" x14ac:dyDescent="0.3">
      <c r="A4" s="8" t="s">
        <v>375</v>
      </c>
      <c r="B4" s="8" t="s">
        <v>72</v>
      </c>
      <c r="C4" s="8" t="s">
        <v>376</v>
      </c>
      <c r="D4" s="9" t="s">
        <v>377</v>
      </c>
      <c r="E4" s="8" t="s">
        <v>378</v>
      </c>
      <c r="F4" s="8" t="s">
        <v>379</v>
      </c>
      <c r="G4" s="8" t="s">
        <v>380</v>
      </c>
      <c r="H4" s="8" t="s">
        <v>381</v>
      </c>
      <c r="I4" s="8" t="s">
        <v>382</v>
      </c>
      <c r="J4" s="8" t="s">
        <v>383</v>
      </c>
      <c r="K4" s="9" t="s">
        <v>384</v>
      </c>
      <c r="L4" s="9" t="s">
        <v>385</v>
      </c>
      <c r="M4" s="8" t="s">
        <v>386</v>
      </c>
      <c r="N4" s="8" t="s">
        <v>387</v>
      </c>
      <c r="O4" s="8" t="s">
        <v>388</v>
      </c>
      <c r="P4" s="9" t="s">
        <v>389</v>
      </c>
      <c r="Q4" s="8" t="s">
        <v>390</v>
      </c>
      <c r="R4" s="9" t="s">
        <v>391</v>
      </c>
    </row>
    <row r="5" spans="1:18" ht="18" customHeight="1" x14ac:dyDescent="0.3">
      <c r="A5" s="10" t="s">
        <v>392</v>
      </c>
      <c r="B5" s="10" t="s">
        <v>234</v>
      </c>
      <c r="C5" s="16">
        <v>2023</v>
      </c>
      <c r="D5" s="11">
        <f t="shared" ref="D5:D26" si="0">YEAR(DataRef)-C5</f>
        <v>3</v>
      </c>
      <c r="E5" s="10" t="s">
        <v>393</v>
      </c>
      <c r="F5" s="16">
        <v>1</v>
      </c>
      <c r="G5" s="17">
        <v>10848.1</v>
      </c>
      <c r="H5" s="16">
        <v>332</v>
      </c>
      <c r="I5" s="17">
        <v>453.3</v>
      </c>
      <c r="J5" s="16">
        <v>44</v>
      </c>
      <c r="K5" s="18">
        <f t="shared" ref="K5:K26" si="1">IFERROR(G5/H5,"")</f>
        <v>32.675000000000004</v>
      </c>
      <c r="L5" s="19">
        <f t="shared" ref="L5:L26" si="2">IFERROR(I5/H5,"")</f>
        <v>1.3653614457831325</v>
      </c>
      <c r="M5" s="20">
        <v>0.71120000000000005</v>
      </c>
      <c r="N5" s="21">
        <v>5071647</v>
      </c>
      <c r="O5" s="21">
        <v>184035</v>
      </c>
      <c r="P5" s="22">
        <f t="shared" ref="P5:P26" si="3">IFERROR(O5/N5,"")</f>
        <v>3.62870286516392E-2</v>
      </c>
      <c r="Q5" s="10" t="s">
        <v>394</v>
      </c>
      <c r="R5" s="12" t="str">
        <f t="shared" ref="R5:R26" si="4">IF(A5="","",IF(OR(K5&lt;12,P5&gt;0.03),"Alta",IF(OR(D5&gt;=12,E5="Não"),"Média","Baixa")))</f>
        <v>Alta</v>
      </c>
    </row>
    <row r="6" spans="1:18" ht="18" customHeight="1" x14ac:dyDescent="0.3">
      <c r="A6" s="10" t="s">
        <v>395</v>
      </c>
      <c r="B6" s="10" t="s">
        <v>234</v>
      </c>
      <c r="C6" s="16">
        <v>2021</v>
      </c>
      <c r="D6" s="11">
        <f t="shared" si="0"/>
        <v>5</v>
      </c>
      <c r="E6" s="10" t="s">
        <v>393</v>
      </c>
      <c r="F6" s="16">
        <v>1</v>
      </c>
      <c r="G6" s="17">
        <v>10040.799999999999</v>
      </c>
      <c r="H6" s="16">
        <v>309</v>
      </c>
      <c r="I6" s="17">
        <v>463.3</v>
      </c>
      <c r="J6" s="16">
        <v>45</v>
      </c>
      <c r="K6" s="18">
        <f t="shared" si="1"/>
        <v>32.494498381877023</v>
      </c>
      <c r="L6" s="19">
        <f t="shared" si="2"/>
        <v>1.4993527508090616</v>
      </c>
      <c r="M6" s="20">
        <v>0.72289999999999999</v>
      </c>
      <c r="N6" s="21">
        <v>4722973</v>
      </c>
      <c r="O6" s="21">
        <v>141048</v>
      </c>
      <c r="P6" s="22">
        <f t="shared" si="3"/>
        <v>2.98642401724507E-2</v>
      </c>
      <c r="Q6" s="10" t="s">
        <v>394</v>
      </c>
      <c r="R6" s="12" t="str">
        <f t="shared" si="4"/>
        <v>Baixa</v>
      </c>
    </row>
    <row r="7" spans="1:18" ht="18" customHeight="1" x14ac:dyDescent="0.3">
      <c r="A7" s="10" t="s">
        <v>396</v>
      </c>
      <c r="B7" s="10" t="s">
        <v>196</v>
      </c>
      <c r="C7" s="16">
        <v>2023</v>
      </c>
      <c r="D7" s="11">
        <f t="shared" si="0"/>
        <v>3</v>
      </c>
      <c r="E7" s="10" t="s">
        <v>393</v>
      </c>
      <c r="F7" s="16">
        <v>1</v>
      </c>
      <c r="G7" s="17">
        <v>9964.4</v>
      </c>
      <c r="H7" s="16">
        <v>235</v>
      </c>
      <c r="I7" s="17">
        <v>400.1</v>
      </c>
      <c r="J7" s="16">
        <v>48</v>
      </c>
      <c r="K7" s="18">
        <f t="shared" si="1"/>
        <v>42.401702127659576</v>
      </c>
      <c r="L7" s="19">
        <f t="shared" si="2"/>
        <v>1.7025531914893619</v>
      </c>
      <c r="M7" s="20">
        <v>0.79369999999999996</v>
      </c>
      <c r="N7" s="21">
        <v>11732168</v>
      </c>
      <c r="O7" s="21">
        <v>216087</v>
      </c>
      <c r="P7" s="22">
        <f t="shared" si="3"/>
        <v>1.8418334957358264E-2</v>
      </c>
      <c r="Q7" s="10" t="s">
        <v>394</v>
      </c>
      <c r="R7" s="12" t="str">
        <f t="shared" si="4"/>
        <v>Baixa</v>
      </c>
    </row>
    <row r="8" spans="1:18" ht="18" customHeight="1" x14ac:dyDescent="0.3">
      <c r="A8" s="10" t="s">
        <v>397</v>
      </c>
      <c r="B8" s="10" t="s">
        <v>196</v>
      </c>
      <c r="C8" s="16">
        <v>2011</v>
      </c>
      <c r="D8" s="11">
        <f t="shared" si="0"/>
        <v>15</v>
      </c>
      <c r="E8" s="10" t="s">
        <v>398</v>
      </c>
      <c r="F8" s="16">
        <v>1</v>
      </c>
      <c r="G8" s="17">
        <v>10054.6</v>
      </c>
      <c r="H8" s="16">
        <v>214</v>
      </c>
      <c r="I8" s="17">
        <v>347.9</v>
      </c>
      <c r="J8" s="16">
        <v>45</v>
      </c>
      <c r="K8" s="18">
        <f t="shared" si="1"/>
        <v>46.984112149532713</v>
      </c>
      <c r="L8" s="19">
        <f t="shared" si="2"/>
        <v>1.6257009345794391</v>
      </c>
      <c r="M8" s="20">
        <v>0.78600000000000003</v>
      </c>
      <c r="N8" s="21">
        <v>7886882</v>
      </c>
      <c r="O8" s="21">
        <v>256518</v>
      </c>
      <c r="P8" s="22">
        <f t="shared" si="3"/>
        <v>3.2524640282433542E-2</v>
      </c>
      <c r="Q8" s="10" t="s">
        <v>394</v>
      </c>
      <c r="R8" s="12" t="str">
        <f t="shared" si="4"/>
        <v>Alta</v>
      </c>
    </row>
    <row r="9" spans="1:18" ht="18" customHeight="1" x14ac:dyDescent="0.3">
      <c r="A9" s="10" t="s">
        <v>399</v>
      </c>
      <c r="B9" s="10" t="s">
        <v>196</v>
      </c>
      <c r="C9" s="16">
        <v>2021</v>
      </c>
      <c r="D9" s="11">
        <f t="shared" si="0"/>
        <v>5</v>
      </c>
      <c r="E9" s="10" t="s">
        <v>393</v>
      </c>
      <c r="F9" s="16">
        <v>2</v>
      </c>
      <c r="G9" s="17">
        <v>9861</v>
      </c>
      <c r="H9" s="16">
        <v>218</v>
      </c>
      <c r="I9" s="17">
        <v>352.1</v>
      </c>
      <c r="J9" s="16">
        <v>44</v>
      </c>
      <c r="K9" s="18">
        <f t="shared" si="1"/>
        <v>45.23394495412844</v>
      </c>
      <c r="L9" s="19">
        <f t="shared" si="2"/>
        <v>1.6151376146788992</v>
      </c>
      <c r="M9" s="20">
        <v>0.79930000000000001</v>
      </c>
      <c r="N9" s="21">
        <v>14419738</v>
      </c>
      <c r="O9" s="21">
        <v>258274</v>
      </c>
      <c r="P9" s="22">
        <f t="shared" si="3"/>
        <v>1.7911143739227441E-2</v>
      </c>
      <c r="Q9" s="10" t="s">
        <v>394</v>
      </c>
      <c r="R9" s="12" t="str">
        <f t="shared" si="4"/>
        <v>Baixa</v>
      </c>
    </row>
    <row r="10" spans="1:18" ht="18" customHeight="1" x14ac:dyDescent="0.3">
      <c r="A10" s="10" t="s">
        <v>400</v>
      </c>
      <c r="B10" s="10" t="s">
        <v>196</v>
      </c>
      <c r="C10" s="16">
        <v>2012</v>
      </c>
      <c r="D10" s="11">
        <f t="shared" si="0"/>
        <v>14</v>
      </c>
      <c r="E10" s="10" t="s">
        <v>398</v>
      </c>
      <c r="F10" s="16">
        <v>2</v>
      </c>
      <c r="G10" s="17">
        <v>10061.4</v>
      </c>
      <c r="H10" s="16">
        <v>245</v>
      </c>
      <c r="I10" s="17">
        <v>359.6</v>
      </c>
      <c r="J10" s="16">
        <v>44</v>
      </c>
      <c r="K10" s="18">
        <f t="shared" si="1"/>
        <v>41.066938775510202</v>
      </c>
      <c r="L10" s="19">
        <f t="shared" si="2"/>
        <v>1.4677551020408164</v>
      </c>
      <c r="M10" s="20">
        <v>0.78979999999999995</v>
      </c>
      <c r="N10" s="21">
        <v>8961573</v>
      </c>
      <c r="O10" s="21">
        <v>296225</v>
      </c>
      <c r="P10" s="22">
        <f t="shared" si="3"/>
        <v>3.3055022817980728E-2</v>
      </c>
      <c r="Q10" s="10" t="s">
        <v>394</v>
      </c>
      <c r="R10" s="12" t="str">
        <f t="shared" si="4"/>
        <v>Alta</v>
      </c>
    </row>
    <row r="11" spans="1:18" ht="18" customHeight="1" x14ac:dyDescent="0.3">
      <c r="A11" s="10" t="s">
        <v>401</v>
      </c>
      <c r="B11" s="10" t="s">
        <v>196</v>
      </c>
      <c r="C11" s="16">
        <v>2022</v>
      </c>
      <c r="D11" s="11">
        <f t="shared" si="0"/>
        <v>4</v>
      </c>
      <c r="E11" s="10" t="s">
        <v>393</v>
      </c>
      <c r="F11" s="16">
        <v>2</v>
      </c>
      <c r="G11" s="17">
        <v>9717.7000000000007</v>
      </c>
      <c r="H11" s="16">
        <v>246</v>
      </c>
      <c r="I11" s="17">
        <v>412.9</v>
      </c>
      <c r="J11" s="16">
        <v>47</v>
      </c>
      <c r="K11" s="18">
        <f t="shared" si="1"/>
        <v>39.502845528455289</v>
      </c>
      <c r="L11" s="19">
        <f t="shared" si="2"/>
        <v>1.6784552845528455</v>
      </c>
      <c r="M11" s="20">
        <v>0.79379999999999995</v>
      </c>
      <c r="N11" s="21">
        <v>7662239</v>
      </c>
      <c r="O11" s="21">
        <v>140174</v>
      </c>
      <c r="P11" s="22">
        <f t="shared" si="3"/>
        <v>1.829413047543936E-2</v>
      </c>
      <c r="Q11" s="10" t="s">
        <v>394</v>
      </c>
      <c r="R11" s="12" t="str">
        <f t="shared" si="4"/>
        <v>Baixa</v>
      </c>
    </row>
    <row r="12" spans="1:18" ht="18" customHeight="1" x14ac:dyDescent="0.3">
      <c r="A12" s="10" t="s">
        <v>402</v>
      </c>
      <c r="B12" s="10" t="s">
        <v>196</v>
      </c>
      <c r="C12" s="16">
        <v>2022</v>
      </c>
      <c r="D12" s="11">
        <f t="shared" si="0"/>
        <v>4</v>
      </c>
      <c r="E12" s="10" t="s">
        <v>393</v>
      </c>
      <c r="F12" s="16">
        <v>2</v>
      </c>
      <c r="G12" s="17">
        <v>9864</v>
      </c>
      <c r="H12" s="16">
        <v>194</v>
      </c>
      <c r="I12" s="17">
        <v>329.6</v>
      </c>
      <c r="J12" s="16">
        <v>45</v>
      </c>
      <c r="K12" s="18">
        <f t="shared" si="1"/>
        <v>50.845360824742265</v>
      </c>
      <c r="L12" s="19">
        <f t="shared" si="2"/>
        <v>1.6989690721649486</v>
      </c>
      <c r="M12" s="20">
        <v>0.79900000000000004</v>
      </c>
      <c r="N12" s="21">
        <v>4924318</v>
      </c>
      <c r="O12" s="21">
        <v>90723</v>
      </c>
      <c r="P12" s="22">
        <f t="shared" si="3"/>
        <v>1.8423464934636632E-2</v>
      </c>
      <c r="Q12" s="10" t="s">
        <v>394</v>
      </c>
      <c r="R12" s="12" t="str">
        <f t="shared" si="4"/>
        <v>Baixa</v>
      </c>
    </row>
    <row r="13" spans="1:18" ht="18" customHeight="1" x14ac:dyDescent="0.3">
      <c r="A13" s="10" t="s">
        <v>403</v>
      </c>
      <c r="B13" s="10" t="s">
        <v>196</v>
      </c>
      <c r="C13" s="16">
        <v>2026</v>
      </c>
      <c r="D13" s="11">
        <f t="shared" si="0"/>
        <v>0</v>
      </c>
      <c r="E13" s="10" t="s">
        <v>393</v>
      </c>
      <c r="F13" s="16">
        <v>2</v>
      </c>
      <c r="G13" s="17">
        <v>3110.3</v>
      </c>
      <c r="H13" s="16">
        <v>74</v>
      </c>
      <c r="I13" s="17">
        <v>119.5</v>
      </c>
      <c r="J13" s="16">
        <v>15</v>
      </c>
      <c r="K13" s="18">
        <f t="shared" si="1"/>
        <v>42.031081081081084</v>
      </c>
      <c r="L13" s="19">
        <f t="shared" si="2"/>
        <v>1.6148648648648649</v>
      </c>
      <c r="M13" s="20">
        <v>0.78669999999999995</v>
      </c>
      <c r="N13" s="21">
        <v>2524114</v>
      </c>
      <c r="O13" s="21">
        <v>45202</v>
      </c>
      <c r="P13" s="22">
        <f t="shared" si="3"/>
        <v>1.7908065958986006E-2</v>
      </c>
      <c r="Q13" s="10" t="s">
        <v>404</v>
      </c>
      <c r="R13" s="12" t="str">
        <f t="shared" si="4"/>
        <v>Baixa</v>
      </c>
    </row>
    <row r="14" spans="1:18" ht="18" customHeight="1" x14ac:dyDescent="0.3">
      <c r="A14" s="10" t="s">
        <v>405</v>
      </c>
      <c r="B14" s="10" t="s">
        <v>196</v>
      </c>
      <c r="C14" s="16">
        <v>2026</v>
      </c>
      <c r="D14" s="11">
        <f t="shared" si="0"/>
        <v>0</v>
      </c>
      <c r="E14" s="10" t="s">
        <v>393</v>
      </c>
      <c r="F14" s="16">
        <v>3</v>
      </c>
      <c r="G14" s="17">
        <v>6689.1</v>
      </c>
      <c r="H14" s="16">
        <v>61</v>
      </c>
      <c r="I14" s="17">
        <v>95</v>
      </c>
      <c r="J14" s="16">
        <v>14</v>
      </c>
      <c r="K14" s="18">
        <f t="shared" si="1"/>
        <v>109.65737704918034</v>
      </c>
      <c r="L14" s="19">
        <f t="shared" si="2"/>
        <v>1.5573770491803278</v>
      </c>
      <c r="M14" s="20">
        <v>0.65539999999999998</v>
      </c>
      <c r="N14" s="21">
        <v>6151155</v>
      </c>
      <c r="O14" s="21">
        <v>110759</v>
      </c>
      <c r="P14" s="22">
        <f t="shared" si="3"/>
        <v>1.8006211841515941E-2</v>
      </c>
      <c r="Q14" s="10" t="s">
        <v>404</v>
      </c>
      <c r="R14" s="12" t="str">
        <f t="shared" si="4"/>
        <v>Baixa</v>
      </c>
    </row>
    <row r="15" spans="1:18" ht="18" customHeight="1" x14ac:dyDescent="0.3">
      <c r="A15" s="10" t="s">
        <v>406</v>
      </c>
      <c r="B15" s="10" t="s">
        <v>210</v>
      </c>
      <c r="C15" s="16">
        <v>2023</v>
      </c>
      <c r="D15" s="11">
        <f t="shared" si="0"/>
        <v>3</v>
      </c>
      <c r="E15" s="10" t="s">
        <v>393</v>
      </c>
      <c r="F15" s="16">
        <v>2</v>
      </c>
      <c r="G15" s="17">
        <v>9794.6</v>
      </c>
      <c r="H15" s="16">
        <v>209</v>
      </c>
      <c r="I15" s="17">
        <v>327.60000000000002</v>
      </c>
      <c r="J15" s="16">
        <v>45</v>
      </c>
      <c r="K15" s="18">
        <f t="shared" si="1"/>
        <v>46.86411483253589</v>
      </c>
      <c r="L15" s="19">
        <f t="shared" si="2"/>
        <v>1.5674641148325359</v>
      </c>
      <c r="M15" s="20">
        <v>0.79049999999999998</v>
      </c>
      <c r="N15" s="21">
        <v>5901697</v>
      </c>
      <c r="O15" s="21">
        <v>148618</v>
      </c>
      <c r="P15" s="22">
        <f t="shared" si="3"/>
        <v>2.5182248427867444E-2</v>
      </c>
      <c r="Q15" s="10" t="s">
        <v>394</v>
      </c>
      <c r="R15" s="12" t="str">
        <f t="shared" si="4"/>
        <v>Baixa</v>
      </c>
    </row>
    <row r="16" spans="1:18" ht="18" customHeight="1" x14ac:dyDescent="0.3">
      <c r="A16" s="10" t="s">
        <v>407</v>
      </c>
      <c r="B16" s="10" t="s">
        <v>210</v>
      </c>
      <c r="C16" s="16">
        <v>2014</v>
      </c>
      <c r="D16" s="11">
        <f t="shared" si="0"/>
        <v>12</v>
      </c>
      <c r="E16" s="10" t="s">
        <v>398</v>
      </c>
      <c r="F16" s="16">
        <v>3</v>
      </c>
      <c r="G16" s="17">
        <v>9653.5</v>
      </c>
      <c r="H16" s="16">
        <v>209</v>
      </c>
      <c r="I16" s="17">
        <v>339.1</v>
      </c>
      <c r="J16" s="16">
        <v>46</v>
      </c>
      <c r="K16" s="18">
        <f t="shared" si="1"/>
        <v>46.188995215311003</v>
      </c>
      <c r="L16" s="19">
        <f t="shared" si="2"/>
        <v>1.622488038277512</v>
      </c>
      <c r="M16" s="20">
        <v>0.79120000000000001</v>
      </c>
      <c r="N16" s="21">
        <v>5799395</v>
      </c>
      <c r="O16" s="21">
        <v>121677</v>
      </c>
      <c r="P16" s="22">
        <f t="shared" si="3"/>
        <v>2.098098163687764E-2</v>
      </c>
      <c r="Q16" s="10" t="s">
        <v>394</v>
      </c>
      <c r="R16" s="12" t="str">
        <f t="shared" si="4"/>
        <v>Média</v>
      </c>
    </row>
    <row r="17" spans="1:18" ht="18" customHeight="1" x14ac:dyDescent="0.3">
      <c r="A17" s="10" t="s">
        <v>408</v>
      </c>
      <c r="B17" s="10" t="s">
        <v>210</v>
      </c>
      <c r="C17" s="16">
        <v>2012</v>
      </c>
      <c r="D17" s="11">
        <f t="shared" si="0"/>
        <v>14</v>
      </c>
      <c r="E17" s="10" t="s">
        <v>398</v>
      </c>
      <c r="F17" s="16">
        <v>5</v>
      </c>
      <c r="G17" s="17">
        <v>9712.7999999999993</v>
      </c>
      <c r="H17" s="16">
        <v>213</v>
      </c>
      <c r="I17" s="17">
        <v>355.4</v>
      </c>
      <c r="J17" s="16">
        <v>47</v>
      </c>
      <c r="K17" s="18">
        <f t="shared" si="1"/>
        <v>45.599999999999994</v>
      </c>
      <c r="L17" s="19">
        <f t="shared" si="2"/>
        <v>1.6685446009389671</v>
      </c>
      <c r="M17" s="20">
        <v>0.7802</v>
      </c>
      <c r="N17" s="21">
        <v>3964121</v>
      </c>
      <c r="O17" s="21">
        <v>156268</v>
      </c>
      <c r="P17" s="22">
        <f t="shared" si="3"/>
        <v>3.942059286283138E-2</v>
      </c>
      <c r="Q17" s="10" t="s">
        <v>394</v>
      </c>
      <c r="R17" s="12" t="str">
        <f t="shared" si="4"/>
        <v>Alta</v>
      </c>
    </row>
    <row r="18" spans="1:18" ht="18" customHeight="1" x14ac:dyDescent="0.3">
      <c r="A18" s="10" t="s">
        <v>409</v>
      </c>
      <c r="B18" s="10" t="s">
        <v>210</v>
      </c>
      <c r="C18" s="16">
        <v>2024</v>
      </c>
      <c r="D18" s="11">
        <f t="shared" si="0"/>
        <v>2</v>
      </c>
      <c r="E18" s="10" t="s">
        <v>393</v>
      </c>
      <c r="F18" s="16">
        <v>4</v>
      </c>
      <c r="G18" s="17">
        <v>9722.2000000000007</v>
      </c>
      <c r="H18" s="16">
        <v>243</v>
      </c>
      <c r="I18" s="17">
        <v>377</v>
      </c>
      <c r="J18" s="16">
        <v>46</v>
      </c>
      <c r="K18" s="18">
        <f t="shared" si="1"/>
        <v>40.009053497942389</v>
      </c>
      <c r="L18" s="19">
        <f t="shared" si="2"/>
        <v>1.5514403292181069</v>
      </c>
      <c r="M18" s="20">
        <v>0.79069999999999996</v>
      </c>
      <c r="N18" s="21">
        <v>3762536</v>
      </c>
      <c r="O18" s="21">
        <v>77866</v>
      </c>
      <c r="P18" s="22">
        <f t="shared" si="3"/>
        <v>2.0695084379259095E-2</v>
      </c>
      <c r="Q18" s="10" t="s">
        <v>394</v>
      </c>
      <c r="R18" s="12" t="str">
        <f t="shared" si="4"/>
        <v>Baixa</v>
      </c>
    </row>
    <row r="19" spans="1:18" ht="18" customHeight="1" x14ac:dyDescent="0.3">
      <c r="A19" s="10" t="s">
        <v>410</v>
      </c>
      <c r="B19" s="10" t="s">
        <v>210</v>
      </c>
      <c r="C19" s="16">
        <v>2011</v>
      </c>
      <c r="D19" s="11">
        <f t="shared" si="0"/>
        <v>15</v>
      </c>
      <c r="E19" s="10" t="s">
        <v>398</v>
      </c>
      <c r="F19" s="16">
        <v>4</v>
      </c>
      <c r="G19" s="17">
        <v>8368.2000000000007</v>
      </c>
      <c r="H19" s="16">
        <v>359</v>
      </c>
      <c r="I19" s="17">
        <v>560.1</v>
      </c>
      <c r="J19" s="16">
        <v>47</v>
      </c>
      <c r="K19" s="18">
        <f t="shared" si="1"/>
        <v>23.309749303621171</v>
      </c>
      <c r="L19" s="19">
        <f t="shared" si="2"/>
        <v>1.5601671309192202</v>
      </c>
      <c r="M19" s="20">
        <v>0.72250000000000003</v>
      </c>
      <c r="N19" s="21">
        <v>3298914</v>
      </c>
      <c r="O19" s="21">
        <v>69016</v>
      </c>
      <c r="P19" s="22">
        <f t="shared" si="3"/>
        <v>2.0920824247009775E-2</v>
      </c>
      <c r="Q19" s="10" t="s">
        <v>394</v>
      </c>
      <c r="R19" s="12" t="str">
        <f t="shared" si="4"/>
        <v>Média</v>
      </c>
    </row>
    <row r="20" spans="1:18" ht="18" customHeight="1" x14ac:dyDescent="0.3">
      <c r="A20" s="10" t="s">
        <v>411</v>
      </c>
      <c r="B20" s="10" t="s">
        <v>210</v>
      </c>
      <c r="C20" s="16">
        <v>2015</v>
      </c>
      <c r="D20" s="11">
        <f t="shared" si="0"/>
        <v>11</v>
      </c>
      <c r="E20" s="10" t="s">
        <v>398</v>
      </c>
      <c r="F20" s="16">
        <v>5</v>
      </c>
      <c r="G20" s="17">
        <v>9747.7000000000007</v>
      </c>
      <c r="H20" s="16">
        <v>209</v>
      </c>
      <c r="I20" s="17">
        <v>333.8</v>
      </c>
      <c r="J20" s="16">
        <v>48</v>
      </c>
      <c r="K20" s="18">
        <f t="shared" si="1"/>
        <v>46.639712918660294</v>
      </c>
      <c r="L20" s="19">
        <f t="shared" si="2"/>
        <v>1.597129186602871</v>
      </c>
      <c r="M20" s="20">
        <v>0.7994</v>
      </c>
      <c r="N20" s="21">
        <v>4370122</v>
      </c>
      <c r="O20" s="21">
        <v>93474</v>
      </c>
      <c r="P20" s="22">
        <f t="shared" si="3"/>
        <v>2.138933421080693E-2</v>
      </c>
      <c r="Q20" s="10" t="s">
        <v>394</v>
      </c>
      <c r="R20" s="12" t="str">
        <f t="shared" si="4"/>
        <v>Média</v>
      </c>
    </row>
    <row r="21" spans="1:18" ht="18" customHeight="1" x14ac:dyDescent="0.3">
      <c r="A21" s="10" t="s">
        <v>412</v>
      </c>
      <c r="B21" s="10" t="s">
        <v>210</v>
      </c>
      <c r="C21" s="16">
        <v>2018</v>
      </c>
      <c r="D21" s="11">
        <f t="shared" si="0"/>
        <v>8</v>
      </c>
      <c r="E21" s="10" t="s">
        <v>398</v>
      </c>
      <c r="F21" s="16">
        <v>4</v>
      </c>
      <c r="G21" s="17">
        <v>9793.7000000000007</v>
      </c>
      <c r="H21" s="16">
        <v>225</v>
      </c>
      <c r="I21" s="17">
        <v>272.8</v>
      </c>
      <c r="J21" s="16">
        <v>45</v>
      </c>
      <c r="K21" s="18">
        <f t="shared" si="1"/>
        <v>43.527555555555558</v>
      </c>
      <c r="L21" s="19">
        <f t="shared" si="2"/>
        <v>1.2124444444444444</v>
      </c>
      <c r="M21" s="20">
        <v>0.79610000000000003</v>
      </c>
      <c r="N21" s="21">
        <v>4993194</v>
      </c>
      <c r="O21" s="21">
        <v>105267</v>
      </c>
      <c r="P21" s="22">
        <f t="shared" si="3"/>
        <v>2.1082096950368841E-2</v>
      </c>
      <c r="Q21" s="10" t="s">
        <v>394</v>
      </c>
      <c r="R21" s="12" t="str">
        <f t="shared" si="4"/>
        <v>Média</v>
      </c>
    </row>
    <row r="22" spans="1:18" ht="18" customHeight="1" x14ac:dyDescent="0.3">
      <c r="A22" s="10" t="s">
        <v>413</v>
      </c>
      <c r="B22" s="10" t="s">
        <v>210</v>
      </c>
      <c r="C22" s="16">
        <v>2012</v>
      </c>
      <c r="D22" s="11">
        <f t="shared" si="0"/>
        <v>14</v>
      </c>
      <c r="E22" s="10" t="s">
        <v>398</v>
      </c>
      <c r="F22" s="16">
        <v>3</v>
      </c>
      <c r="G22" s="17">
        <v>9662.4</v>
      </c>
      <c r="H22" s="16">
        <v>262</v>
      </c>
      <c r="I22" s="17">
        <v>395.7</v>
      </c>
      <c r="J22" s="16">
        <v>46</v>
      </c>
      <c r="K22" s="18">
        <f t="shared" si="1"/>
        <v>36.879389312977096</v>
      </c>
      <c r="L22" s="19">
        <f t="shared" si="2"/>
        <v>1.5103053435114504</v>
      </c>
      <c r="M22" s="20">
        <v>0.79349999999999998</v>
      </c>
      <c r="N22" s="21">
        <v>5284474</v>
      </c>
      <c r="O22" s="21">
        <v>111226</v>
      </c>
      <c r="P22" s="22">
        <f t="shared" si="3"/>
        <v>2.1047695570079444E-2</v>
      </c>
      <c r="Q22" s="10" t="s">
        <v>394</v>
      </c>
      <c r="R22" s="12" t="str">
        <f t="shared" si="4"/>
        <v>Média</v>
      </c>
    </row>
    <row r="23" spans="1:18" ht="18" customHeight="1" x14ac:dyDescent="0.3">
      <c r="A23" s="10" t="s">
        <v>414</v>
      </c>
      <c r="B23" s="10" t="s">
        <v>210</v>
      </c>
      <c r="C23" s="16">
        <v>2026</v>
      </c>
      <c r="D23" s="11">
        <f t="shared" si="0"/>
        <v>0</v>
      </c>
      <c r="E23" s="10" t="s">
        <v>393</v>
      </c>
      <c r="F23" s="16">
        <v>2</v>
      </c>
      <c r="G23" s="17">
        <v>3177.2</v>
      </c>
      <c r="H23" s="16">
        <v>56</v>
      </c>
      <c r="I23" s="17">
        <v>86.4</v>
      </c>
      <c r="J23" s="16">
        <v>16</v>
      </c>
      <c r="K23" s="18">
        <f t="shared" si="1"/>
        <v>56.73571428571428</v>
      </c>
      <c r="L23" s="19">
        <f t="shared" si="2"/>
        <v>1.5428571428571429</v>
      </c>
      <c r="M23" s="20">
        <v>0.61499999999999999</v>
      </c>
      <c r="N23" s="21">
        <v>1371597</v>
      </c>
      <c r="O23" s="21">
        <v>30049</v>
      </c>
      <c r="P23" s="22">
        <f t="shared" si="3"/>
        <v>2.1908038585677862E-2</v>
      </c>
      <c r="Q23" s="10" t="s">
        <v>404</v>
      </c>
      <c r="R23" s="12" t="str">
        <f t="shared" si="4"/>
        <v>Baixa</v>
      </c>
    </row>
    <row r="24" spans="1:18" ht="18" customHeight="1" x14ac:dyDescent="0.3">
      <c r="A24" s="10" t="s">
        <v>415</v>
      </c>
      <c r="B24" s="10" t="s">
        <v>210</v>
      </c>
      <c r="C24" s="16">
        <v>2026</v>
      </c>
      <c r="D24" s="11">
        <f t="shared" si="0"/>
        <v>0</v>
      </c>
      <c r="E24" s="10" t="s">
        <v>393</v>
      </c>
      <c r="F24" s="16">
        <v>2</v>
      </c>
      <c r="G24" s="17">
        <v>3128.9</v>
      </c>
      <c r="H24" s="16">
        <v>81</v>
      </c>
      <c r="I24" s="17">
        <v>130.80000000000001</v>
      </c>
      <c r="J24" s="16">
        <v>15</v>
      </c>
      <c r="K24" s="18">
        <f t="shared" si="1"/>
        <v>38.628395061728398</v>
      </c>
      <c r="L24" s="19">
        <f t="shared" si="2"/>
        <v>1.6148148148148149</v>
      </c>
      <c r="M24" s="20">
        <v>0.49490000000000001</v>
      </c>
      <c r="N24" s="21">
        <v>1194772</v>
      </c>
      <c r="O24" s="21">
        <v>24756</v>
      </c>
      <c r="P24" s="22">
        <f t="shared" si="3"/>
        <v>2.0720271315363935E-2</v>
      </c>
      <c r="Q24" s="10" t="s">
        <v>404</v>
      </c>
      <c r="R24" s="12" t="str">
        <f t="shared" si="4"/>
        <v>Baixa</v>
      </c>
    </row>
    <row r="25" spans="1:18" ht="18" customHeight="1" x14ac:dyDescent="0.3">
      <c r="A25" s="10" t="s">
        <v>416</v>
      </c>
      <c r="B25" s="10" t="s">
        <v>220</v>
      </c>
      <c r="C25" s="16">
        <v>2013</v>
      </c>
      <c r="D25" s="11">
        <f t="shared" si="0"/>
        <v>13</v>
      </c>
      <c r="E25" s="10" t="s">
        <v>398</v>
      </c>
      <c r="F25" s="16">
        <v>24</v>
      </c>
      <c r="G25" s="17">
        <v>7016</v>
      </c>
      <c r="H25" s="16">
        <v>110</v>
      </c>
      <c r="I25" s="17">
        <v>171.3</v>
      </c>
      <c r="J25" s="16">
        <v>46</v>
      </c>
      <c r="K25" s="18">
        <f t="shared" si="1"/>
        <v>63.781818181818181</v>
      </c>
      <c r="L25" s="19">
        <f t="shared" si="2"/>
        <v>1.5572727272727274</v>
      </c>
      <c r="M25" s="20">
        <v>0.6623</v>
      </c>
      <c r="N25" s="21">
        <v>3480394</v>
      </c>
      <c r="O25" s="21">
        <v>80211</v>
      </c>
      <c r="P25" s="22">
        <f t="shared" si="3"/>
        <v>2.3046528640148212E-2</v>
      </c>
      <c r="Q25" s="10" t="s">
        <v>394</v>
      </c>
      <c r="R25" s="12" t="str">
        <f t="shared" si="4"/>
        <v>Média</v>
      </c>
    </row>
    <row r="26" spans="1:18" ht="18" customHeight="1" x14ac:dyDescent="0.3">
      <c r="A26" s="10" t="s">
        <v>417</v>
      </c>
      <c r="B26" s="10" t="s">
        <v>220</v>
      </c>
      <c r="C26" s="16">
        <v>2013</v>
      </c>
      <c r="D26" s="11">
        <f t="shared" si="0"/>
        <v>13</v>
      </c>
      <c r="E26" s="10" t="s">
        <v>398</v>
      </c>
      <c r="F26" s="16">
        <v>24</v>
      </c>
      <c r="G26" s="17">
        <v>6525.8</v>
      </c>
      <c r="H26" s="16">
        <v>115</v>
      </c>
      <c r="I26" s="17">
        <v>179.3</v>
      </c>
      <c r="J26" s="16">
        <v>46</v>
      </c>
      <c r="K26" s="18">
        <f t="shared" si="1"/>
        <v>56.746086956521744</v>
      </c>
      <c r="L26" s="19">
        <f t="shared" si="2"/>
        <v>1.5591304347826087</v>
      </c>
      <c r="M26" s="20">
        <v>0.71530000000000005</v>
      </c>
      <c r="N26" s="21">
        <v>3317209</v>
      </c>
      <c r="O26" s="21">
        <v>76185</v>
      </c>
      <c r="P26" s="22">
        <f t="shared" si="3"/>
        <v>2.2966596316361134E-2</v>
      </c>
      <c r="Q26" s="10" t="s">
        <v>394</v>
      </c>
      <c r="R26" s="12" t="str">
        <f t="shared" si="4"/>
        <v>Média</v>
      </c>
    </row>
  </sheetData>
  <conditionalFormatting sqref="E5:E226">
    <cfRule type="expression" dxfId="6" priority="4">
      <formula>ISNUMBER(SEARCH("Não",E5))</formula>
    </cfRule>
  </conditionalFormatting>
  <conditionalFormatting sqref="R5:R226">
    <cfRule type="expression" dxfId="5" priority="1">
      <formula>ISNUMBER(SEARCH("Alta",R5))</formula>
    </cfRule>
    <cfRule type="expression" dxfId="4" priority="2">
      <formula>ISNUMBER(SEARCH("Média",R5))</formula>
    </cfRule>
    <cfRule type="expression" dxfId="3" priority="3">
      <formula>ISNUMBER(SEARCH("Baixa",R5))</formula>
    </cfRule>
  </conditionalFormatting>
  <dataValidations count="2">
    <dataValidation type="list" allowBlank="1" showErrorMessage="1" errorTitle="Valor inválido" error="Valor fora da lista controlada (ver folha Listas)." sqref="B5:B226" xr:uid="{00000000-0002-0000-0400-000000000000}">
      <formula1>lst_Processo</formula1>
    </dataValidation>
    <dataValidation type="list" allowBlank="1" showErrorMessage="1" errorTitle="Valor inválido" error="Valor fora da lista controlada (ver folha Listas)." sqref="E5:E226" xr:uid="{00000000-0002-0000-0400-000001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10" customWidth="1"/>
    <col min="3" max="3" width="34" customWidth="1"/>
    <col min="4" max="4" width="7" customWidth="1"/>
    <col min="5" max="5" width="40" customWidth="1"/>
    <col min="6" max="6" width="30" customWidth="1"/>
    <col min="7" max="7" width="14" customWidth="1"/>
    <col min="8" max="8" width="40" customWidth="1"/>
    <col min="9" max="9" width="10" customWidth="1"/>
    <col min="10" max="10" width="24" customWidth="1"/>
  </cols>
  <sheetData>
    <row r="1" spans="1:10" ht="17.399999999999999" x14ac:dyDescent="0.3">
      <c r="A1" s="1" t="s">
        <v>418</v>
      </c>
    </row>
    <row r="2" spans="1:10" x14ac:dyDescent="0.3">
      <c r="A2" s="2" t="s">
        <v>419</v>
      </c>
    </row>
    <row r="4" spans="1:10" ht="26.4" x14ac:dyDescent="0.3">
      <c r="A4" s="8" t="s">
        <v>420</v>
      </c>
      <c r="B4" s="8" t="s">
        <v>421</v>
      </c>
      <c r="C4" s="8" t="s">
        <v>422</v>
      </c>
      <c r="D4" s="8" t="s">
        <v>72</v>
      </c>
      <c r="E4" s="8" t="s">
        <v>423</v>
      </c>
      <c r="F4" s="8" t="s">
        <v>424</v>
      </c>
      <c r="G4" s="8" t="s">
        <v>425</v>
      </c>
      <c r="H4" s="8" t="s">
        <v>426</v>
      </c>
      <c r="I4" s="8" t="s">
        <v>427</v>
      </c>
      <c r="J4" s="8" t="s">
        <v>428</v>
      </c>
    </row>
    <row r="5" spans="1:10" ht="45" customHeight="1" x14ac:dyDescent="0.3">
      <c r="A5" s="10" t="s">
        <v>429</v>
      </c>
      <c r="B5" s="10" t="s">
        <v>430</v>
      </c>
      <c r="C5" s="10" t="s">
        <v>431</v>
      </c>
      <c r="D5" s="10" t="s">
        <v>210</v>
      </c>
      <c r="E5" s="10" t="s">
        <v>432</v>
      </c>
      <c r="F5" s="10" t="s">
        <v>433</v>
      </c>
      <c r="G5" s="10" t="s">
        <v>434</v>
      </c>
      <c r="H5" s="10" t="s">
        <v>435</v>
      </c>
      <c r="I5" s="10" t="s">
        <v>436</v>
      </c>
      <c r="J5" s="10" t="s">
        <v>277</v>
      </c>
    </row>
    <row r="6" spans="1:10" ht="45" customHeight="1" x14ac:dyDescent="0.3">
      <c r="A6" s="10" t="s">
        <v>437</v>
      </c>
      <c r="B6" s="10" t="s">
        <v>430</v>
      </c>
      <c r="C6" s="10" t="s">
        <v>438</v>
      </c>
      <c r="D6" s="10" t="s">
        <v>181</v>
      </c>
      <c r="E6" s="10" t="s">
        <v>439</v>
      </c>
      <c r="F6" s="10" t="s">
        <v>440</v>
      </c>
      <c r="G6" s="10" t="s">
        <v>441</v>
      </c>
      <c r="H6" s="10" t="s">
        <v>442</v>
      </c>
      <c r="I6" s="10" t="s">
        <v>443</v>
      </c>
      <c r="J6" s="10" t="s">
        <v>183</v>
      </c>
    </row>
    <row r="7" spans="1:10" ht="45" customHeight="1" x14ac:dyDescent="0.3">
      <c r="A7" s="10" t="s">
        <v>444</v>
      </c>
      <c r="B7" s="10" t="s">
        <v>430</v>
      </c>
      <c r="C7" s="10" t="s">
        <v>445</v>
      </c>
      <c r="D7" s="10" t="s">
        <v>246</v>
      </c>
      <c r="E7" s="10" t="s">
        <v>446</v>
      </c>
      <c r="F7" s="10" t="s">
        <v>447</v>
      </c>
      <c r="G7" s="10" t="s">
        <v>448</v>
      </c>
      <c r="H7" s="10" t="s">
        <v>449</v>
      </c>
      <c r="I7" s="10" t="s">
        <v>450</v>
      </c>
      <c r="J7" s="10" t="s">
        <v>11</v>
      </c>
    </row>
    <row r="8" spans="1:10" ht="45" customHeight="1" x14ac:dyDescent="0.3">
      <c r="A8" s="10" t="s">
        <v>451</v>
      </c>
      <c r="B8" s="10" t="s">
        <v>430</v>
      </c>
      <c r="C8" s="10" t="s">
        <v>452</v>
      </c>
      <c r="D8" s="10" t="s">
        <v>260</v>
      </c>
      <c r="E8" s="10" t="s">
        <v>453</v>
      </c>
      <c r="F8" s="10" t="s">
        <v>454</v>
      </c>
      <c r="G8" s="10" t="s">
        <v>455</v>
      </c>
      <c r="H8" s="10" t="s">
        <v>456</v>
      </c>
      <c r="I8" s="10" t="s">
        <v>457</v>
      </c>
      <c r="J8" s="10" t="s">
        <v>153</v>
      </c>
    </row>
    <row r="9" spans="1:10" ht="45" customHeight="1" x14ac:dyDescent="0.3">
      <c r="A9" s="10" t="s">
        <v>458</v>
      </c>
      <c r="B9" s="10" t="s">
        <v>430</v>
      </c>
      <c r="C9" s="10" t="s">
        <v>459</v>
      </c>
      <c r="D9" s="10" t="s">
        <v>220</v>
      </c>
      <c r="E9" s="10" t="s">
        <v>460</v>
      </c>
      <c r="F9" s="10" t="s">
        <v>461</v>
      </c>
      <c r="G9" s="10" t="s">
        <v>462</v>
      </c>
      <c r="H9" s="10" t="s">
        <v>463</v>
      </c>
      <c r="I9" s="10"/>
      <c r="J9" s="10" t="s">
        <v>464</v>
      </c>
    </row>
    <row r="10" spans="1:10" ht="45" customHeight="1" x14ac:dyDescent="0.3">
      <c r="A10" s="10" t="s">
        <v>465</v>
      </c>
      <c r="B10" s="10" t="s">
        <v>466</v>
      </c>
      <c r="C10" s="10" t="s">
        <v>467</v>
      </c>
      <c r="D10" s="10" t="s">
        <v>151</v>
      </c>
      <c r="E10" s="10" t="s">
        <v>468</v>
      </c>
      <c r="F10" s="10" t="s">
        <v>469</v>
      </c>
      <c r="G10" s="10" t="s">
        <v>470</v>
      </c>
      <c r="H10" s="10" t="s">
        <v>471</v>
      </c>
      <c r="I10" s="10" t="s">
        <v>472</v>
      </c>
      <c r="J10" s="10" t="s">
        <v>153</v>
      </c>
    </row>
    <row r="11" spans="1:10" ht="45" customHeight="1" x14ac:dyDescent="0.3">
      <c r="A11" s="10" t="s">
        <v>473</v>
      </c>
      <c r="B11" s="10" t="s">
        <v>474</v>
      </c>
      <c r="C11" s="10" t="s">
        <v>475</v>
      </c>
      <c r="D11" s="10" t="s">
        <v>106</v>
      </c>
      <c r="E11" s="10" t="s">
        <v>476</v>
      </c>
      <c r="F11" s="10" t="s">
        <v>477</v>
      </c>
      <c r="G11" s="10" t="s">
        <v>448</v>
      </c>
      <c r="H11" s="10" t="s">
        <v>478</v>
      </c>
      <c r="I11" s="10" t="s">
        <v>472</v>
      </c>
      <c r="J11" s="10" t="s">
        <v>11</v>
      </c>
    </row>
    <row r="12" spans="1:10" ht="45" customHeight="1" x14ac:dyDescent="0.3">
      <c r="A12" s="10" t="s">
        <v>479</v>
      </c>
      <c r="B12" s="10" t="s">
        <v>474</v>
      </c>
      <c r="C12" s="10" t="s">
        <v>480</v>
      </c>
      <c r="D12" s="10" t="s">
        <v>303</v>
      </c>
      <c r="E12" s="10" t="s">
        <v>481</v>
      </c>
      <c r="F12" s="10" t="s">
        <v>482</v>
      </c>
      <c r="G12" s="10" t="s">
        <v>483</v>
      </c>
      <c r="H12" s="10" t="s">
        <v>484</v>
      </c>
      <c r="I12" s="10" t="s">
        <v>485</v>
      </c>
      <c r="J12" s="10" t="s">
        <v>305</v>
      </c>
    </row>
  </sheetData>
  <conditionalFormatting sqref="B5:B212">
    <cfRule type="expression" dxfId="2" priority="1">
      <formula>ISNUMBER(SEARCH("Físico",B5))</formula>
    </cfRule>
    <cfRule type="expression" dxfId="1" priority="2">
      <formula>ISNUMBER(SEARCH("Psicológico",B5))</formula>
    </cfRule>
    <cfRule type="expression" dxfId="0" priority="3">
      <formula>ISNUMBER(SEARCH("Social",B5))</formula>
    </cfRule>
  </conditionalFormatting>
  <dataValidations count="3">
    <dataValidation type="list" allowBlank="1" showErrorMessage="1" errorTitle="Valor inválido" error="Valor fora da lista controlada (ver folha Listas)." sqref="B5:B212" xr:uid="{00000000-0002-0000-0500-000000000000}">
      <formula1>lst_FatorAmb</formula1>
    </dataValidation>
    <dataValidation type="list" allowBlank="1" showErrorMessage="1" errorTitle="Valor inválido" error="Valor fora da lista controlada (ver folha Listas)." sqref="D5:D212" xr:uid="{00000000-0002-0000-0500-000001000000}">
      <formula1>lst_Processo</formula1>
    </dataValidation>
    <dataValidation type="list" allowBlank="1" showErrorMessage="1" errorTitle="Valor inválido" error="Valor fora da lista controlada (ver folha Listas)." sqref="J5:J212" xr:uid="{00000000-0002-0000-0500-000002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3" width="16" customWidth="1"/>
    <col min="4" max="4" width="45" customWidth="1"/>
    <col min="5" max="6" width="16" customWidth="1"/>
  </cols>
  <sheetData>
    <row r="1" spans="1:6" x14ac:dyDescent="0.3">
      <c r="A1" s="23" t="s">
        <v>486</v>
      </c>
    </row>
    <row r="2" spans="1:6" x14ac:dyDescent="0.3">
      <c r="A2" s="24" t="s">
        <v>487</v>
      </c>
      <c r="B2" s="24" t="s">
        <v>72</v>
      </c>
      <c r="C2" s="24" t="s">
        <v>488</v>
      </c>
      <c r="D2" s="24" t="s">
        <v>489</v>
      </c>
      <c r="E2" s="24" t="s">
        <v>490</v>
      </c>
      <c r="F2" s="24" t="s">
        <v>491</v>
      </c>
    </row>
    <row r="3" spans="1:6" x14ac:dyDescent="0.3">
      <c r="A3" s="25">
        <v>46387</v>
      </c>
      <c r="B3" s="6" t="s">
        <v>90</v>
      </c>
      <c r="C3" s="6" t="s">
        <v>92</v>
      </c>
      <c r="D3" s="6" t="s">
        <v>93</v>
      </c>
      <c r="E3" s="6" t="s">
        <v>430</v>
      </c>
      <c r="F3" s="6" t="s">
        <v>393</v>
      </c>
    </row>
    <row r="4" spans="1:6" x14ac:dyDescent="0.3">
      <c r="B4" s="6" t="s">
        <v>106</v>
      </c>
      <c r="C4" s="6" t="s">
        <v>122</v>
      </c>
      <c r="D4" s="6" t="s">
        <v>492</v>
      </c>
      <c r="E4" s="6" t="s">
        <v>466</v>
      </c>
      <c r="F4" s="6" t="s">
        <v>398</v>
      </c>
    </row>
    <row r="5" spans="1:6" x14ac:dyDescent="0.3">
      <c r="B5" s="6" t="s">
        <v>120</v>
      </c>
      <c r="C5" s="6" t="s">
        <v>276</v>
      </c>
      <c r="D5" s="6" t="s">
        <v>11</v>
      </c>
      <c r="E5" s="6" t="s">
        <v>474</v>
      </c>
    </row>
    <row r="6" spans="1:6" x14ac:dyDescent="0.3">
      <c r="B6" s="6" t="s">
        <v>136</v>
      </c>
      <c r="D6" s="6" t="s">
        <v>153</v>
      </c>
    </row>
    <row r="7" spans="1:6" x14ac:dyDescent="0.3">
      <c r="B7" s="6" t="s">
        <v>151</v>
      </c>
      <c r="D7" s="6" t="s">
        <v>277</v>
      </c>
    </row>
    <row r="8" spans="1:6" x14ac:dyDescent="0.3">
      <c r="B8" s="6" t="s">
        <v>166</v>
      </c>
      <c r="D8" s="6" t="s">
        <v>123</v>
      </c>
    </row>
    <row r="9" spans="1:6" x14ac:dyDescent="0.3">
      <c r="B9" s="6" t="s">
        <v>181</v>
      </c>
      <c r="D9" s="6" t="s">
        <v>168</v>
      </c>
    </row>
    <row r="10" spans="1:6" x14ac:dyDescent="0.3">
      <c r="B10" s="6" t="s">
        <v>196</v>
      </c>
      <c r="D10" s="6" t="s">
        <v>138</v>
      </c>
    </row>
    <row r="11" spans="1:6" x14ac:dyDescent="0.3">
      <c r="B11" s="6" t="s">
        <v>210</v>
      </c>
      <c r="D11" s="6" t="s">
        <v>183</v>
      </c>
    </row>
    <row r="12" spans="1:6" x14ac:dyDescent="0.3">
      <c r="B12" s="6" t="s">
        <v>220</v>
      </c>
      <c r="D12" s="6" t="s">
        <v>305</v>
      </c>
    </row>
    <row r="13" spans="1:6" x14ac:dyDescent="0.3">
      <c r="B13" s="6" t="s">
        <v>234</v>
      </c>
      <c r="D13" s="6" t="s">
        <v>318</v>
      </c>
    </row>
    <row r="14" spans="1:6" x14ac:dyDescent="0.3">
      <c r="B14" s="6" t="s">
        <v>246</v>
      </c>
      <c r="D14" s="6" t="s">
        <v>493</v>
      </c>
    </row>
    <row r="15" spans="1:6" x14ac:dyDescent="0.3">
      <c r="B15" s="6" t="s">
        <v>260</v>
      </c>
      <c r="D15" s="6" t="s">
        <v>494</v>
      </c>
    </row>
    <row r="16" spans="1:6" x14ac:dyDescent="0.3">
      <c r="B16" s="6" t="s">
        <v>274</v>
      </c>
      <c r="D16" s="6" t="s">
        <v>495</v>
      </c>
    </row>
    <row r="17" spans="2:4" x14ac:dyDescent="0.3">
      <c r="B17" s="6" t="s">
        <v>289</v>
      </c>
      <c r="D17" s="6" t="s">
        <v>496</v>
      </c>
    </row>
    <row r="18" spans="2:4" x14ac:dyDescent="0.3">
      <c r="B18" s="6" t="s">
        <v>303</v>
      </c>
      <c r="D18" s="6" t="s">
        <v>497</v>
      </c>
    </row>
    <row r="19" spans="2:4" x14ac:dyDescent="0.3">
      <c r="B19" s="6" t="s">
        <v>316</v>
      </c>
      <c r="D19" s="6" t="s">
        <v>498</v>
      </c>
    </row>
    <row r="20" spans="2:4" x14ac:dyDescent="0.3">
      <c r="B20" s="6" t="s">
        <v>329</v>
      </c>
      <c r="D20" s="6" t="s">
        <v>499</v>
      </c>
    </row>
    <row r="21" spans="2:4" x14ac:dyDescent="0.3">
      <c r="D21" s="6" t="s">
        <v>500</v>
      </c>
    </row>
    <row r="22" spans="2:4" x14ac:dyDescent="0.3">
      <c r="D22" s="6" t="s">
        <v>501</v>
      </c>
    </row>
    <row r="23" spans="2:4" x14ac:dyDescent="0.3">
      <c r="D23" s="6" t="s">
        <v>502</v>
      </c>
    </row>
    <row r="24" spans="2:4" x14ac:dyDescent="0.3">
      <c r="D24" s="6" t="s">
        <v>503</v>
      </c>
    </row>
    <row r="25" spans="2:4" x14ac:dyDescent="0.3">
      <c r="D25" s="6" t="s">
        <v>504</v>
      </c>
    </row>
    <row r="26" spans="2:4" x14ac:dyDescent="0.3">
      <c r="D26" s="6" t="s">
        <v>505</v>
      </c>
    </row>
    <row r="27" spans="2:4" x14ac:dyDescent="0.3">
      <c r="D27" s="6" t="s">
        <v>506</v>
      </c>
    </row>
    <row r="28" spans="2:4" x14ac:dyDescent="0.3">
      <c r="D28" s="6" t="s">
        <v>464</v>
      </c>
    </row>
    <row r="29" spans="2:4" x14ac:dyDescent="0.3">
      <c r="D29" s="6" t="s">
        <v>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507</v>
      </c>
      <c r="B1" s="8" t="s">
        <v>508</v>
      </c>
      <c r="C1" s="8" t="s">
        <v>509</v>
      </c>
      <c r="D1" s="8" t="s">
        <v>73</v>
      </c>
      <c r="E1" s="8" t="s">
        <v>510</v>
      </c>
      <c r="F1" s="8" t="s">
        <v>511</v>
      </c>
      <c r="G1" s="8" t="s">
        <v>512</v>
      </c>
      <c r="H1" s="8" t="s">
        <v>513</v>
      </c>
      <c r="I1" s="8" t="s">
        <v>514</v>
      </c>
    </row>
    <row r="2" spans="1:9" x14ac:dyDescent="0.3">
      <c r="A2" s="26" t="s">
        <v>35</v>
      </c>
      <c r="B2" s="26" t="s">
        <v>515</v>
      </c>
      <c r="C2" s="26" t="s">
        <v>71</v>
      </c>
      <c r="D2" s="26" t="s">
        <v>516</v>
      </c>
      <c r="E2" s="26" t="s">
        <v>517</v>
      </c>
      <c r="F2" s="26" t="s">
        <v>518</v>
      </c>
      <c r="G2" s="26" t="s">
        <v>519</v>
      </c>
      <c r="H2" s="26" t="s">
        <v>393</v>
      </c>
      <c r="I2" s="26" t="s">
        <v>520</v>
      </c>
    </row>
    <row r="3" spans="1:9" x14ac:dyDescent="0.3">
      <c r="A3" s="26" t="s">
        <v>35</v>
      </c>
      <c r="B3" s="26" t="s">
        <v>515</v>
      </c>
      <c r="C3" s="26" t="s">
        <v>72</v>
      </c>
      <c r="D3" s="26" t="s">
        <v>516</v>
      </c>
      <c r="E3" s="26" t="s">
        <v>517</v>
      </c>
      <c r="F3" s="26" t="s">
        <v>521</v>
      </c>
      <c r="G3" s="26"/>
      <c r="H3" s="26" t="s">
        <v>393</v>
      </c>
      <c r="I3" s="26"/>
    </row>
    <row r="4" spans="1:9" x14ac:dyDescent="0.3">
      <c r="A4" s="26" t="s">
        <v>35</v>
      </c>
      <c r="B4" s="26" t="s">
        <v>515</v>
      </c>
      <c r="C4" s="26" t="s">
        <v>73</v>
      </c>
      <c r="D4" s="26" t="s">
        <v>516</v>
      </c>
      <c r="E4" s="26" t="s">
        <v>517</v>
      </c>
      <c r="F4" s="26" t="s">
        <v>522</v>
      </c>
      <c r="G4" s="26" t="s">
        <v>523</v>
      </c>
      <c r="H4" s="26" t="s">
        <v>393</v>
      </c>
      <c r="I4" s="26"/>
    </row>
    <row r="5" spans="1:9" x14ac:dyDescent="0.3">
      <c r="A5" s="26" t="s">
        <v>35</v>
      </c>
      <c r="B5" s="26" t="s">
        <v>515</v>
      </c>
      <c r="C5" s="26" t="s">
        <v>74</v>
      </c>
      <c r="D5" s="26" t="s">
        <v>516</v>
      </c>
      <c r="E5" s="26" t="s">
        <v>517</v>
      </c>
      <c r="F5" s="26" t="s">
        <v>524</v>
      </c>
      <c r="G5" s="26" t="s">
        <v>525</v>
      </c>
      <c r="H5" s="26" t="s">
        <v>393</v>
      </c>
      <c r="I5" s="26"/>
    </row>
    <row r="6" spans="1:9" x14ac:dyDescent="0.3">
      <c r="A6" s="26" t="s">
        <v>35</v>
      </c>
      <c r="B6" s="26" t="s">
        <v>515</v>
      </c>
      <c r="C6" s="26" t="s">
        <v>75</v>
      </c>
      <c r="D6" s="26" t="s">
        <v>516</v>
      </c>
      <c r="E6" s="26" t="s">
        <v>517</v>
      </c>
      <c r="F6" s="26" t="s">
        <v>526</v>
      </c>
      <c r="G6" s="26"/>
      <c r="H6" s="26" t="s">
        <v>393</v>
      </c>
      <c r="I6" s="26"/>
    </row>
    <row r="7" spans="1:9" x14ac:dyDescent="0.3">
      <c r="A7" s="26" t="s">
        <v>35</v>
      </c>
      <c r="B7" s="26" t="s">
        <v>515</v>
      </c>
      <c r="C7" s="26" t="s">
        <v>76</v>
      </c>
      <c r="D7" s="26" t="s">
        <v>516</v>
      </c>
      <c r="E7" s="26" t="s">
        <v>517</v>
      </c>
      <c r="F7" s="26" t="s">
        <v>527</v>
      </c>
      <c r="G7" s="26"/>
      <c r="H7" s="26" t="s">
        <v>393</v>
      </c>
      <c r="I7" s="26"/>
    </row>
    <row r="8" spans="1:9" x14ac:dyDescent="0.3">
      <c r="A8" s="26" t="s">
        <v>35</v>
      </c>
      <c r="B8" s="26" t="s">
        <v>515</v>
      </c>
      <c r="C8" s="26" t="s">
        <v>77</v>
      </c>
      <c r="D8" s="26" t="s">
        <v>516</v>
      </c>
      <c r="E8" s="26" t="s">
        <v>517</v>
      </c>
      <c r="F8" s="26" t="s">
        <v>528</v>
      </c>
      <c r="G8" s="26"/>
      <c r="H8" s="26" t="s">
        <v>393</v>
      </c>
      <c r="I8" s="26"/>
    </row>
    <row r="9" spans="1:9" x14ac:dyDescent="0.3">
      <c r="A9" s="26" t="s">
        <v>35</v>
      </c>
      <c r="B9" s="26" t="s">
        <v>515</v>
      </c>
      <c r="C9" s="26" t="s">
        <v>78</v>
      </c>
      <c r="D9" s="26" t="s">
        <v>516</v>
      </c>
      <c r="E9" s="26" t="s">
        <v>517</v>
      </c>
      <c r="F9" s="26" t="s">
        <v>529</v>
      </c>
      <c r="G9" s="26"/>
      <c r="H9" s="26" t="s">
        <v>393</v>
      </c>
      <c r="I9" s="26"/>
    </row>
    <row r="10" spans="1:9" x14ac:dyDescent="0.3">
      <c r="A10" s="26" t="s">
        <v>35</v>
      </c>
      <c r="B10" s="26" t="s">
        <v>515</v>
      </c>
      <c r="C10" s="26" t="s">
        <v>79</v>
      </c>
      <c r="D10" s="26" t="s">
        <v>516</v>
      </c>
      <c r="E10" s="26" t="s">
        <v>517</v>
      </c>
      <c r="F10" s="26" t="s">
        <v>530</v>
      </c>
      <c r="G10" s="26"/>
      <c r="H10" s="26" t="s">
        <v>393</v>
      </c>
      <c r="I10" s="26"/>
    </row>
    <row r="11" spans="1:9" x14ac:dyDescent="0.3">
      <c r="A11" s="26" t="s">
        <v>35</v>
      </c>
      <c r="B11" s="26" t="s">
        <v>515</v>
      </c>
      <c r="C11" s="26" t="s">
        <v>80</v>
      </c>
      <c r="D11" s="26" t="s">
        <v>516</v>
      </c>
      <c r="E11" s="26" t="s">
        <v>517</v>
      </c>
      <c r="F11" s="26" t="s">
        <v>531</v>
      </c>
      <c r="G11" s="26"/>
      <c r="H11" s="26" t="s">
        <v>393</v>
      </c>
      <c r="I11" s="26"/>
    </row>
    <row r="12" spans="1:9" x14ac:dyDescent="0.3">
      <c r="A12" s="26" t="s">
        <v>35</v>
      </c>
      <c r="B12" s="26" t="s">
        <v>515</v>
      </c>
      <c r="C12" s="26" t="s">
        <v>81</v>
      </c>
      <c r="D12" s="26" t="s">
        <v>516</v>
      </c>
      <c r="E12" s="26" t="s">
        <v>517</v>
      </c>
      <c r="F12" s="26" t="s">
        <v>532</v>
      </c>
      <c r="G12" s="26"/>
      <c r="H12" s="26" t="s">
        <v>393</v>
      </c>
      <c r="I12" s="26"/>
    </row>
    <row r="13" spans="1:9" x14ac:dyDescent="0.3">
      <c r="A13" s="26" t="s">
        <v>35</v>
      </c>
      <c r="B13" s="26" t="s">
        <v>515</v>
      </c>
      <c r="C13" s="26" t="s">
        <v>82</v>
      </c>
      <c r="D13" s="26" t="s">
        <v>516</v>
      </c>
      <c r="E13" s="26" t="s">
        <v>517</v>
      </c>
      <c r="F13" s="26" t="s">
        <v>533</v>
      </c>
      <c r="G13" s="26"/>
      <c r="H13" s="26" t="s">
        <v>393</v>
      </c>
      <c r="I13" s="26"/>
    </row>
    <row r="14" spans="1:9" ht="26.4" x14ac:dyDescent="0.3">
      <c r="A14" s="26" t="s">
        <v>35</v>
      </c>
      <c r="B14" s="26" t="s">
        <v>515</v>
      </c>
      <c r="C14" s="26" t="s">
        <v>83</v>
      </c>
      <c r="D14" s="26" t="s">
        <v>516</v>
      </c>
      <c r="E14" s="26" t="s">
        <v>517</v>
      </c>
      <c r="F14" s="26" t="s">
        <v>534</v>
      </c>
      <c r="G14" s="26"/>
      <c r="H14" s="26" t="s">
        <v>393</v>
      </c>
      <c r="I14" s="26" t="s">
        <v>535</v>
      </c>
    </row>
    <row r="15" spans="1:9" ht="26.4" x14ac:dyDescent="0.3">
      <c r="A15" s="26" t="s">
        <v>35</v>
      </c>
      <c r="B15" s="26" t="s">
        <v>515</v>
      </c>
      <c r="C15" s="26" t="s">
        <v>84</v>
      </c>
      <c r="D15" s="26" t="s">
        <v>516</v>
      </c>
      <c r="E15" s="26" t="s">
        <v>517</v>
      </c>
      <c r="F15" s="26" t="s">
        <v>536</v>
      </c>
      <c r="G15" s="26"/>
      <c r="H15" s="26" t="s">
        <v>393</v>
      </c>
      <c r="I15" s="26" t="s">
        <v>537</v>
      </c>
    </row>
    <row r="16" spans="1:9" ht="26.4" x14ac:dyDescent="0.3">
      <c r="A16" s="26" t="s">
        <v>35</v>
      </c>
      <c r="B16" s="26" t="s">
        <v>515</v>
      </c>
      <c r="C16" s="26" t="s">
        <v>85</v>
      </c>
      <c r="D16" s="26" t="s">
        <v>516</v>
      </c>
      <c r="E16" s="26" t="s">
        <v>517</v>
      </c>
      <c r="F16" s="26" t="s">
        <v>538</v>
      </c>
      <c r="G16" s="26"/>
      <c r="H16" s="26" t="s">
        <v>398</v>
      </c>
      <c r="I16" s="26" t="s">
        <v>539</v>
      </c>
    </row>
    <row r="17" spans="1:9" x14ac:dyDescent="0.3">
      <c r="A17" s="26" t="s">
        <v>35</v>
      </c>
      <c r="B17" s="26" t="s">
        <v>515</v>
      </c>
      <c r="C17" s="26" t="s">
        <v>86</v>
      </c>
      <c r="D17" s="26" t="s">
        <v>516</v>
      </c>
      <c r="E17" s="26" t="s">
        <v>517</v>
      </c>
      <c r="F17" s="26" t="s">
        <v>540</v>
      </c>
      <c r="G17" s="26"/>
      <c r="H17" s="26" t="s">
        <v>393</v>
      </c>
      <c r="I17" s="26"/>
    </row>
    <row r="18" spans="1:9" x14ac:dyDescent="0.3">
      <c r="A18" s="26" t="s">
        <v>35</v>
      </c>
      <c r="B18" s="26" t="s">
        <v>515</v>
      </c>
      <c r="C18" s="26" t="s">
        <v>87</v>
      </c>
      <c r="D18" s="26" t="s">
        <v>541</v>
      </c>
      <c r="E18" s="26" t="s">
        <v>542</v>
      </c>
      <c r="F18" s="26" t="s">
        <v>543</v>
      </c>
      <c r="G18" s="26"/>
      <c r="H18" s="26" t="s">
        <v>393</v>
      </c>
      <c r="I18" s="26"/>
    </row>
    <row r="19" spans="1:9" x14ac:dyDescent="0.3">
      <c r="A19" s="26" t="s">
        <v>35</v>
      </c>
      <c r="B19" s="26" t="s">
        <v>515</v>
      </c>
      <c r="C19" s="26" t="s">
        <v>88</v>
      </c>
      <c r="D19" s="26" t="s">
        <v>541</v>
      </c>
      <c r="E19" s="26" t="s">
        <v>542</v>
      </c>
      <c r="F19" s="26" t="s">
        <v>544</v>
      </c>
      <c r="G19" s="26"/>
      <c r="H19" s="26" t="s">
        <v>393</v>
      </c>
      <c r="I19" s="26"/>
    </row>
    <row r="20" spans="1:9" x14ac:dyDescent="0.3">
      <c r="A20" s="26" t="s">
        <v>35</v>
      </c>
      <c r="B20" s="26" t="s">
        <v>515</v>
      </c>
      <c r="C20" s="26" t="s">
        <v>89</v>
      </c>
      <c r="D20" s="26" t="s">
        <v>516</v>
      </c>
      <c r="E20" s="26" t="s">
        <v>542</v>
      </c>
      <c r="F20" s="26" t="s">
        <v>545</v>
      </c>
      <c r="G20" s="26"/>
      <c r="H20" s="26" t="s">
        <v>393</v>
      </c>
      <c r="I20" s="26"/>
    </row>
    <row r="21" spans="1:9" x14ac:dyDescent="0.3">
      <c r="A21" s="26" t="s">
        <v>37</v>
      </c>
      <c r="B21" s="26" t="s">
        <v>546</v>
      </c>
      <c r="C21" s="26" t="s">
        <v>339</v>
      </c>
      <c r="D21" s="26" t="s">
        <v>516</v>
      </c>
      <c r="E21" s="26" t="s">
        <v>542</v>
      </c>
      <c r="F21" s="26" t="s">
        <v>547</v>
      </c>
      <c r="G21" s="26"/>
      <c r="H21" s="26" t="s">
        <v>393</v>
      </c>
      <c r="I21" s="26"/>
    </row>
    <row r="22" spans="1:9" ht="39.6" x14ac:dyDescent="0.3">
      <c r="A22" s="26" t="s">
        <v>37</v>
      </c>
      <c r="B22" s="26" t="s">
        <v>546</v>
      </c>
      <c r="C22" s="26" t="s">
        <v>340</v>
      </c>
      <c r="D22" s="26" t="s">
        <v>516</v>
      </c>
      <c r="E22" s="26" t="s">
        <v>517</v>
      </c>
      <c r="F22" s="26" t="s">
        <v>548</v>
      </c>
      <c r="G22" s="26" t="s">
        <v>519</v>
      </c>
      <c r="H22" s="26" t="s">
        <v>393</v>
      </c>
      <c r="I22" s="26" t="s">
        <v>549</v>
      </c>
    </row>
    <row r="23" spans="1:9" ht="39.6" x14ac:dyDescent="0.3">
      <c r="A23" s="26" t="s">
        <v>37</v>
      </c>
      <c r="B23" s="26" t="s">
        <v>546</v>
      </c>
      <c r="C23" s="26" t="s">
        <v>341</v>
      </c>
      <c r="D23" s="26" t="s">
        <v>516</v>
      </c>
      <c r="E23" s="26" t="s">
        <v>517</v>
      </c>
      <c r="F23" s="26" t="s">
        <v>550</v>
      </c>
      <c r="G23" s="26" t="s">
        <v>519</v>
      </c>
      <c r="H23" s="26" t="s">
        <v>393</v>
      </c>
      <c r="I23" s="26" t="s">
        <v>549</v>
      </c>
    </row>
    <row r="24" spans="1:9" x14ac:dyDescent="0.3">
      <c r="A24" s="26" t="s">
        <v>37</v>
      </c>
      <c r="B24" s="26" t="s">
        <v>546</v>
      </c>
      <c r="C24" s="26" t="s">
        <v>342</v>
      </c>
      <c r="D24" s="26" t="s">
        <v>516</v>
      </c>
      <c r="E24" s="26" t="s">
        <v>517</v>
      </c>
      <c r="F24" s="26" t="s">
        <v>551</v>
      </c>
      <c r="G24" s="26"/>
      <c r="H24" s="26" t="s">
        <v>393</v>
      </c>
      <c r="I24" s="26"/>
    </row>
    <row r="25" spans="1:9" x14ac:dyDescent="0.3">
      <c r="A25" s="26" t="s">
        <v>41</v>
      </c>
      <c r="B25" s="26" t="s">
        <v>552</v>
      </c>
      <c r="C25" s="26" t="s">
        <v>375</v>
      </c>
      <c r="D25" s="26" t="s">
        <v>516</v>
      </c>
      <c r="E25" s="26" t="s">
        <v>517</v>
      </c>
      <c r="F25" s="26" t="s">
        <v>553</v>
      </c>
      <c r="G25" s="26"/>
      <c r="H25" s="26" t="s">
        <v>393</v>
      </c>
      <c r="I25" s="26" t="s">
        <v>520</v>
      </c>
    </row>
    <row r="26" spans="1:9" ht="26.4" x14ac:dyDescent="0.3">
      <c r="A26" s="26" t="s">
        <v>41</v>
      </c>
      <c r="B26" s="26" t="s">
        <v>552</v>
      </c>
      <c r="C26" s="26" t="s">
        <v>72</v>
      </c>
      <c r="D26" s="26" t="s">
        <v>516</v>
      </c>
      <c r="E26" s="26" t="s">
        <v>517</v>
      </c>
      <c r="F26" s="26" t="s">
        <v>554</v>
      </c>
      <c r="G26" s="26" t="s">
        <v>519</v>
      </c>
      <c r="H26" s="26" t="s">
        <v>393</v>
      </c>
      <c r="I26" s="26" t="s">
        <v>555</v>
      </c>
    </row>
    <row r="27" spans="1:9" x14ac:dyDescent="0.3">
      <c r="A27" s="26" t="s">
        <v>41</v>
      </c>
      <c r="B27" s="26" t="s">
        <v>552</v>
      </c>
      <c r="C27" s="26" t="s">
        <v>376</v>
      </c>
      <c r="D27" s="26" t="s">
        <v>541</v>
      </c>
      <c r="E27" s="26" t="s">
        <v>517</v>
      </c>
      <c r="F27" s="26" t="s">
        <v>556</v>
      </c>
      <c r="G27" s="26"/>
      <c r="H27" s="26" t="s">
        <v>393</v>
      </c>
      <c r="I27" s="26"/>
    </row>
    <row r="28" spans="1:9" x14ac:dyDescent="0.3">
      <c r="A28" s="26" t="s">
        <v>41</v>
      </c>
      <c r="B28" s="26" t="s">
        <v>552</v>
      </c>
      <c r="C28" s="26" t="s">
        <v>377</v>
      </c>
      <c r="D28" s="26" t="s">
        <v>541</v>
      </c>
      <c r="E28" s="26" t="s">
        <v>542</v>
      </c>
      <c r="F28" s="26" t="s">
        <v>557</v>
      </c>
      <c r="G28" s="26"/>
      <c r="H28" s="26" t="s">
        <v>393</v>
      </c>
      <c r="I28" s="26"/>
    </row>
    <row r="29" spans="1:9" x14ac:dyDescent="0.3">
      <c r="A29" s="26" t="s">
        <v>41</v>
      </c>
      <c r="B29" s="26" t="s">
        <v>552</v>
      </c>
      <c r="C29" s="26" t="s">
        <v>378</v>
      </c>
      <c r="D29" s="26" t="s">
        <v>516</v>
      </c>
      <c r="E29" s="26" t="s">
        <v>517</v>
      </c>
      <c r="F29" s="26" t="s">
        <v>558</v>
      </c>
      <c r="G29" s="26" t="s">
        <v>559</v>
      </c>
      <c r="H29" s="26" t="s">
        <v>393</v>
      </c>
      <c r="I29" s="26"/>
    </row>
    <row r="30" spans="1:9" x14ac:dyDescent="0.3">
      <c r="A30" s="26" t="s">
        <v>41</v>
      </c>
      <c r="B30" s="26" t="s">
        <v>552</v>
      </c>
      <c r="C30" s="26" t="s">
        <v>379</v>
      </c>
      <c r="D30" s="26" t="s">
        <v>541</v>
      </c>
      <c r="E30" s="26" t="s">
        <v>517</v>
      </c>
      <c r="F30" s="26" t="s">
        <v>560</v>
      </c>
      <c r="G30" s="26"/>
      <c r="H30" s="26" t="s">
        <v>393</v>
      </c>
      <c r="I30" s="26"/>
    </row>
    <row r="31" spans="1:9" x14ac:dyDescent="0.3">
      <c r="A31" s="26" t="s">
        <v>41</v>
      </c>
      <c r="B31" s="26" t="s">
        <v>552</v>
      </c>
      <c r="C31" s="26" t="s">
        <v>380</v>
      </c>
      <c r="D31" s="26" t="s">
        <v>561</v>
      </c>
      <c r="E31" s="26" t="s">
        <v>517</v>
      </c>
      <c r="F31" s="26" t="s">
        <v>562</v>
      </c>
      <c r="G31" s="26"/>
      <c r="H31" s="26" t="s">
        <v>393</v>
      </c>
      <c r="I31" s="26"/>
    </row>
    <row r="32" spans="1:9" x14ac:dyDescent="0.3">
      <c r="A32" s="26" t="s">
        <v>41</v>
      </c>
      <c r="B32" s="26" t="s">
        <v>552</v>
      </c>
      <c r="C32" s="26" t="s">
        <v>381</v>
      </c>
      <c r="D32" s="26" t="s">
        <v>541</v>
      </c>
      <c r="E32" s="26" t="s">
        <v>517</v>
      </c>
      <c r="F32" s="26" t="s">
        <v>563</v>
      </c>
      <c r="G32" s="26"/>
      <c r="H32" s="26" t="s">
        <v>393</v>
      </c>
      <c r="I32" s="26"/>
    </row>
    <row r="33" spans="1:9" x14ac:dyDescent="0.3">
      <c r="A33" s="26" t="s">
        <v>41</v>
      </c>
      <c r="B33" s="26" t="s">
        <v>552</v>
      </c>
      <c r="C33" s="26" t="s">
        <v>382</v>
      </c>
      <c r="D33" s="26" t="s">
        <v>561</v>
      </c>
      <c r="E33" s="26" t="s">
        <v>517</v>
      </c>
      <c r="F33" s="26" t="s">
        <v>564</v>
      </c>
      <c r="G33" s="26"/>
      <c r="H33" s="26" t="s">
        <v>393</v>
      </c>
      <c r="I33" s="26"/>
    </row>
    <row r="34" spans="1:9" x14ac:dyDescent="0.3">
      <c r="A34" s="26" t="s">
        <v>41</v>
      </c>
      <c r="B34" s="26" t="s">
        <v>552</v>
      </c>
      <c r="C34" s="26" t="s">
        <v>383</v>
      </c>
      <c r="D34" s="26" t="s">
        <v>541</v>
      </c>
      <c r="E34" s="26" t="s">
        <v>517</v>
      </c>
      <c r="F34" s="26" t="s">
        <v>565</v>
      </c>
      <c r="G34" s="26"/>
      <c r="H34" s="26" t="s">
        <v>393</v>
      </c>
      <c r="I34" s="26"/>
    </row>
    <row r="35" spans="1:9" x14ac:dyDescent="0.3">
      <c r="A35" s="26" t="s">
        <v>41</v>
      </c>
      <c r="B35" s="26" t="s">
        <v>552</v>
      </c>
      <c r="C35" s="26" t="s">
        <v>384</v>
      </c>
      <c r="D35" s="26" t="s">
        <v>561</v>
      </c>
      <c r="E35" s="26" t="s">
        <v>542</v>
      </c>
      <c r="F35" s="26" t="s">
        <v>566</v>
      </c>
      <c r="G35" s="26"/>
      <c r="H35" s="26" t="s">
        <v>393</v>
      </c>
      <c r="I35" s="26"/>
    </row>
    <row r="36" spans="1:9" x14ac:dyDescent="0.3">
      <c r="A36" s="26" t="s">
        <v>41</v>
      </c>
      <c r="B36" s="26" t="s">
        <v>552</v>
      </c>
      <c r="C36" s="26" t="s">
        <v>385</v>
      </c>
      <c r="D36" s="26" t="s">
        <v>561</v>
      </c>
      <c r="E36" s="26" t="s">
        <v>542</v>
      </c>
      <c r="F36" s="26" t="s">
        <v>567</v>
      </c>
      <c r="G36" s="26"/>
      <c r="H36" s="26" t="s">
        <v>393</v>
      </c>
      <c r="I36" s="26"/>
    </row>
    <row r="37" spans="1:9" ht="26.4" x14ac:dyDescent="0.3">
      <c r="A37" s="26" t="s">
        <v>41</v>
      </c>
      <c r="B37" s="26" t="s">
        <v>552</v>
      </c>
      <c r="C37" s="26" t="s">
        <v>386</v>
      </c>
      <c r="D37" s="26" t="s">
        <v>568</v>
      </c>
      <c r="E37" s="26" t="s">
        <v>517</v>
      </c>
      <c r="F37" s="26" t="s">
        <v>569</v>
      </c>
      <c r="G37" s="26"/>
      <c r="H37" s="26" t="s">
        <v>393</v>
      </c>
      <c r="I37" s="26"/>
    </row>
    <row r="38" spans="1:9" x14ac:dyDescent="0.3">
      <c r="A38" s="26" t="s">
        <v>41</v>
      </c>
      <c r="B38" s="26" t="s">
        <v>552</v>
      </c>
      <c r="C38" s="26" t="s">
        <v>387</v>
      </c>
      <c r="D38" s="26" t="s">
        <v>561</v>
      </c>
      <c r="E38" s="26" t="s">
        <v>517</v>
      </c>
      <c r="F38" s="26" t="s">
        <v>570</v>
      </c>
      <c r="G38" s="26"/>
      <c r="H38" s="26" t="s">
        <v>393</v>
      </c>
      <c r="I38" s="26"/>
    </row>
    <row r="39" spans="1:9" x14ac:dyDescent="0.3">
      <c r="A39" s="26" t="s">
        <v>41</v>
      </c>
      <c r="B39" s="26" t="s">
        <v>552</v>
      </c>
      <c r="C39" s="26" t="s">
        <v>388</v>
      </c>
      <c r="D39" s="26" t="s">
        <v>561</v>
      </c>
      <c r="E39" s="26" t="s">
        <v>517</v>
      </c>
      <c r="F39" s="26" t="s">
        <v>571</v>
      </c>
      <c r="G39" s="26"/>
      <c r="H39" s="26" t="s">
        <v>393</v>
      </c>
      <c r="I39" s="26"/>
    </row>
    <row r="40" spans="1:9" ht="26.4" x14ac:dyDescent="0.3">
      <c r="A40" s="26" t="s">
        <v>41</v>
      </c>
      <c r="B40" s="26" t="s">
        <v>552</v>
      </c>
      <c r="C40" s="26" t="s">
        <v>389</v>
      </c>
      <c r="D40" s="26" t="s">
        <v>568</v>
      </c>
      <c r="E40" s="26" t="s">
        <v>542</v>
      </c>
      <c r="F40" s="26" t="s">
        <v>572</v>
      </c>
      <c r="G40" s="26"/>
      <c r="H40" s="26" t="s">
        <v>393</v>
      </c>
      <c r="I40" s="26"/>
    </row>
    <row r="41" spans="1:9" x14ac:dyDescent="0.3">
      <c r="A41" s="26" t="s">
        <v>41</v>
      </c>
      <c r="B41" s="26" t="s">
        <v>552</v>
      </c>
      <c r="C41" s="26" t="s">
        <v>390</v>
      </c>
      <c r="D41" s="26" t="s">
        <v>516</v>
      </c>
      <c r="E41" s="26" t="s">
        <v>517</v>
      </c>
      <c r="F41" s="26" t="s">
        <v>573</v>
      </c>
      <c r="G41" s="26"/>
      <c r="H41" s="26" t="s">
        <v>393</v>
      </c>
      <c r="I41" s="26"/>
    </row>
    <row r="42" spans="1:9" ht="26.4" x14ac:dyDescent="0.3">
      <c r="A42" s="26" t="s">
        <v>41</v>
      </c>
      <c r="B42" s="26" t="s">
        <v>552</v>
      </c>
      <c r="C42" s="26" t="s">
        <v>391</v>
      </c>
      <c r="D42" s="26" t="s">
        <v>516</v>
      </c>
      <c r="E42" s="26" t="s">
        <v>542</v>
      </c>
      <c r="F42" s="26" t="s">
        <v>574</v>
      </c>
      <c r="G42" s="26"/>
      <c r="H42" s="26" t="s">
        <v>393</v>
      </c>
      <c r="I42" s="26"/>
    </row>
    <row r="43" spans="1:9" x14ac:dyDescent="0.3">
      <c r="A43" s="26" t="s">
        <v>43</v>
      </c>
      <c r="B43" s="26" t="s">
        <v>575</v>
      </c>
      <c r="C43" s="26" t="s">
        <v>420</v>
      </c>
      <c r="D43" s="26" t="s">
        <v>516</v>
      </c>
      <c r="E43" s="26" t="s">
        <v>517</v>
      </c>
      <c r="F43" s="26" t="s">
        <v>576</v>
      </c>
      <c r="G43" s="26"/>
      <c r="H43" s="26" t="s">
        <v>393</v>
      </c>
      <c r="I43" s="26" t="s">
        <v>520</v>
      </c>
    </row>
    <row r="44" spans="1:9" x14ac:dyDescent="0.3">
      <c r="A44" s="26" t="s">
        <v>43</v>
      </c>
      <c r="B44" s="26" t="s">
        <v>575</v>
      </c>
      <c r="C44" s="26" t="s">
        <v>421</v>
      </c>
      <c r="D44" s="26" t="s">
        <v>516</v>
      </c>
      <c r="E44" s="26" t="s">
        <v>517</v>
      </c>
      <c r="F44" s="26" t="s">
        <v>577</v>
      </c>
      <c r="G44" s="26" t="s">
        <v>578</v>
      </c>
      <c r="H44" s="26" t="s">
        <v>393</v>
      </c>
      <c r="I44" s="26"/>
    </row>
    <row r="45" spans="1:9" x14ac:dyDescent="0.3">
      <c r="A45" s="26" t="s">
        <v>43</v>
      </c>
      <c r="B45" s="26" t="s">
        <v>575</v>
      </c>
      <c r="C45" s="26" t="s">
        <v>422</v>
      </c>
      <c r="D45" s="26" t="s">
        <v>516</v>
      </c>
      <c r="E45" s="26" t="s">
        <v>517</v>
      </c>
      <c r="F45" s="26" t="s">
        <v>579</v>
      </c>
      <c r="G45" s="26"/>
      <c r="H45" s="26" t="s">
        <v>393</v>
      </c>
      <c r="I45" s="26"/>
    </row>
    <row r="46" spans="1:9" x14ac:dyDescent="0.3">
      <c r="A46" s="26" t="s">
        <v>43</v>
      </c>
      <c r="B46" s="26" t="s">
        <v>575</v>
      </c>
      <c r="C46" s="26" t="s">
        <v>72</v>
      </c>
      <c r="D46" s="26" t="s">
        <v>516</v>
      </c>
      <c r="E46" s="26" t="s">
        <v>517</v>
      </c>
      <c r="F46" s="26" t="s">
        <v>580</v>
      </c>
      <c r="G46" s="26" t="s">
        <v>519</v>
      </c>
      <c r="H46" s="26" t="s">
        <v>393</v>
      </c>
      <c r="I46" s="26"/>
    </row>
    <row r="47" spans="1:9" x14ac:dyDescent="0.3">
      <c r="A47" s="26" t="s">
        <v>43</v>
      </c>
      <c r="B47" s="26" t="s">
        <v>575</v>
      </c>
      <c r="C47" s="26" t="s">
        <v>423</v>
      </c>
      <c r="D47" s="26" t="s">
        <v>516</v>
      </c>
      <c r="E47" s="26" t="s">
        <v>517</v>
      </c>
      <c r="F47" s="26" t="s">
        <v>581</v>
      </c>
      <c r="G47" s="26"/>
      <c r="H47" s="26" t="s">
        <v>393</v>
      </c>
      <c r="I47" s="26"/>
    </row>
    <row r="48" spans="1:9" x14ac:dyDescent="0.3">
      <c r="A48" s="26" t="s">
        <v>43</v>
      </c>
      <c r="B48" s="26" t="s">
        <v>575</v>
      </c>
      <c r="C48" s="26" t="s">
        <v>424</v>
      </c>
      <c r="D48" s="26" t="s">
        <v>516</v>
      </c>
      <c r="E48" s="26" t="s">
        <v>517</v>
      </c>
      <c r="F48" s="26" t="s">
        <v>582</v>
      </c>
      <c r="G48" s="26"/>
      <c r="H48" s="26" t="s">
        <v>393</v>
      </c>
      <c r="I48" s="26"/>
    </row>
    <row r="49" spans="1:9" x14ac:dyDescent="0.3">
      <c r="A49" s="26" t="s">
        <v>43</v>
      </c>
      <c r="B49" s="26" t="s">
        <v>575</v>
      </c>
      <c r="C49" s="26" t="s">
        <v>425</v>
      </c>
      <c r="D49" s="26" t="s">
        <v>516</v>
      </c>
      <c r="E49" s="26" t="s">
        <v>517</v>
      </c>
      <c r="F49" s="26" t="s">
        <v>583</v>
      </c>
      <c r="G49" s="26"/>
      <c r="H49" s="26" t="s">
        <v>393</v>
      </c>
      <c r="I49" s="26"/>
    </row>
    <row r="50" spans="1:9" x14ac:dyDescent="0.3">
      <c r="A50" s="26" t="s">
        <v>43</v>
      </c>
      <c r="B50" s="26" t="s">
        <v>575</v>
      </c>
      <c r="C50" s="26" t="s">
        <v>426</v>
      </c>
      <c r="D50" s="26" t="s">
        <v>516</v>
      </c>
      <c r="E50" s="26" t="s">
        <v>517</v>
      </c>
      <c r="F50" s="26" t="s">
        <v>584</v>
      </c>
      <c r="G50" s="26"/>
      <c r="H50" s="26" t="s">
        <v>393</v>
      </c>
      <c r="I50" s="26"/>
    </row>
    <row r="51" spans="1:9" ht="26.4" x14ac:dyDescent="0.3">
      <c r="A51" s="26" t="s">
        <v>43</v>
      </c>
      <c r="B51" s="26" t="s">
        <v>575</v>
      </c>
      <c r="C51" s="26" t="s">
        <v>427</v>
      </c>
      <c r="D51" s="26" t="s">
        <v>516</v>
      </c>
      <c r="E51" s="26" t="s">
        <v>517</v>
      </c>
      <c r="F51" s="26" t="s">
        <v>585</v>
      </c>
      <c r="G51" s="26"/>
      <c r="H51" s="26" t="s">
        <v>398</v>
      </c>
      <c r="I51" s="26" t="s">
        <v>586</v>
      </c>
    </row>
    <row r="52" spans="1:9" x14ac:dyDescent="0.3">
      <c r="A52" s="26" t="s">
        <v>43</v>
      </c>
      <c r="B52" s="26" t="s">
        <v>575</v>
      </c>
      <c r="C52" s="26" t="s">
        <v>428</v>
      </c>
      <c r="D52" s="26" t="s">
        <v>516</v>
      </c>
      <c r="E52" s="26" t="s">
        <v>517</v>
      </c>
      <c r="F52" s="26" t="s">
        <v>587</v>
      </c>
      <c r="G52" s="26" t="s">
        <v>525</v>
      </c>
      <c r="H52" s="26" t="s">
        <v>393</v>
      </c>
      <c r="I52" s="26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11</vt:i4>
      </vt:variant>
    </vt:vector>
  </HeadingPairs>
  <TitlesOfParts>
    <vt:vector size="19" baseType="lpstr">
      <vt:lpstr>00_LEIA-ME</vt:lpstr>
      <vt:lpstr>Mapa_Processos</vt:lpstr>
      <vt:lpstr>Interacoes</vt:lpstr>
      <vt:lpstr>Matriz_Interacao</vt:lpstr>
      <vt:lpstr>Infraestrutura_Maquinas</vt:lpstr>
      <vt:lpstr>Ambiente_Operacao</vt:lpstr>
      <vt:lpstr>Listas</vt:lpstr>
      <vt:lpstr>Dicionario_Dados</vt:lpstr>
      <vt:lpstr>DataRef</vt:lpstr>
      <vt:lpstr>lst_DataReferencia</vt:lpstr>
      <vt:lpstr>lst_FatorAmb</vt:lpstr>
      <vt:lpstr>lst_Funcao</vt:lpstr>
      <vt:lpstr>lst_Processo</vt:lpstr>
      <vt:lpstr>lst_SimNao</vt:lpstr>
      <vt:lpstr>lst_TipoProc</vt:lpstr>
      <vt:lpstr>Ambiente_Operacao!Títulos_de_Impressão</vt:lpstr>
      <vt:lpstr>Infraestrutura_Maquinas!Títulos_de_Impressão</vt:lpstr>
      <vt:lpstr>Interacoes!Títulos_de_Impressão</vt:lpstr>
      <vt:lpstr>Mapa_Processos!Títulos_de_Impressão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RG-SGQ-02 Mapa de Processos, Interações, Infraestrutura e Ambiente</dc:title>
  <dc:subject>SGQ NP EN ISO 9001:2026 — Plasticom</dc:subject>
  <dc:creator>Gerente da Qualidade</dc:creator>
  <cp:lastModifiedBy>Aline Meireles</cp:lastModifiedBy>
  <dcterms:created xsi:type="dcterms:W3CDTF">2026-09-30T16:46:41Z</dcterms:created>
  <dcterms:modified xsi:type="dcterms:W3CDTF">2026-09-30T16:47:11Z</dcterms:modified>
</cp:coreProperties>
</file>