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30A80BE2-E13D-4704-A414-1F8732CACA30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Entradas_9_3_2" sheetId="2" r:id="rId2"/>
    <sheet name="Decisoes_9_3_3" sheetId="3" r:id="rId3"/>
    <sheet name="Acoes_Anteriores" sheetId="4" r:id="rId4"/>
    <sheet name="Ata_RPG_2026_01" sheetId="5" r:id="rId5"/>
    <sheet name="Listas" sheetId="6" r:id="rId6"/>
    <sheet name="Dicionario_Dados" sheetId="7" r:id="rId7"/>
  </sheets>
  <definedNames>
    <definedName name="DataRef">Listas!$A$3</definedName>
    <definedName name="lst_DataReferencia">Listas!$A$3:$A$3</definedName>
    <definedName name="lst_EstadoDec">Listas!$D$3:$D$7</definedName>
    <definedName name="lst_Funcao">Listas!$E$3:$E$28</definedName>
    <definedName name="lst_Tendencia">Listas!$B$3:$B$6</definedName>
    <definedName name="lst_TipoDecisao">Listas!$C$3:$C$5</definedName>
    <definedName name="_xlnm.Print_Titles" localSheetId="3">Acoes_Anteriores!$1:$1</definedName>
    <definedName name="_xlnm.Print_Titles" localSheetId="2">Decisoes_9_3_3!$4:$4</definedName>
    <definedName name="_xlnm.Print_Titles" localSheetId="1">Entradas_9_3_2!$4:$4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B7" i="5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Entrada 9.3.2 (alínea).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Tópico.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Informação apresentada (dados do dataset e dos registos).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Tendência (9.3.2 d: 'incluindo as tendências').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Registo de origem.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Quem apresentou.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Decisão.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9.3.3: melhoria / alterações ao SGQ / recursos.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Decisão.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Recursos aprovados.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Objetivo, MOC, CAPA ou risco.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Alerta de prazo.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Decisão anterior.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Decisão.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Evidência / comentário.</t>
        </r>
      </text>
    </comment>
  </commentList>
</comments>
</file>

<file path=xl/sharedStrings.xml><?xml version="1.0" encoding="utf-8"?>
<sst xmlns="http://schemas.openxmlformats.org/spreadsheetml/2006/main" count="520" uniqueCount="305">
  <si>
    <t>RG-SGQ-17 — Revisão pela Gestão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</si>
  <si>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</si>
  <si>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</si>
  <si>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</si>
  <si>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RG-SGQ-17</t>
  </si>
  <si>
    <t>Título</t>
  </si>
  <si>
    <t>Revisão pela Gestão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</si>
  <si>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</si>
  <si>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</si>
  <si>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</si>
  <si>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</si>
  <si>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</si>
  <si>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</si>
  <si>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</si>
  <si>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</si>
  <si>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</si>
  <si>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</si>
  <si>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</si>
  <si>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</si>
  <si>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</si>
  <si>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</si>
  <si>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</si>
  <si>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Registo da revisão pela gestão RPG-2026-01 (25/09/2026): entradas com dados do dataset e dos registos do SGQ, tendências, decisões com responsável, prazo e recursos, estado das ações anteriores e ata para assinatura, incluindo a conclusão da gestão de topo sobre a eficácia do SGQ.</t>
  </si>
  <si>
    <t>Utilização / atividades</t>
  </si>
  <si>
    <t>Rever o SGQ a intervalos planeados para assegurar a sua adequação, suficiência, eficácia e alinhamento com a orientação estratégica; registar as entradas a)–h) e as decisões.</t>
  </si>
  <si>
    <t>Requisitos ISO 9001:2026</t>
  </si>
  <si>
    <t>9.3.1 (inclui alinhamento com a orientação estratégica); 9.3.2 a)–h) (2026: g) eficácia das ações para riscos e h) para oportunidades, separadas); 9.3.3 decisões sobre melhoria, alterações ao SGQ e recursos (informação documentada como evidência); 5.1.1 l)</t>
  </si>
  <si>
    <t>REFERÊNCIAS DE BOAS PRÁTICAS APLICADAS (orientação — não são requisitos auditáveis da ISO 9001)</t>
  </si>
  <si>
    <t>ISO/TC 176 APG — Management review</t>
  </si>
  <si>
    <t>A revisão tem de ter as entradas exigidas e produzir decisões; o auditor procura evidência de que a gestão de topo participa e decide.</t>
  </si>
  <si>
    <t>Academy — cap. 88 e UC00556 OA 3.6 (Análise de dados e revisão pela gestão)</t>
  </si>
  <si>
    <t>Entradas com tendência e análise, não apenas listas; decisões com recursos.</t>
  </si>
  <si>
    <t>iso9001help.co.uk — Management review</t>
  </si>
  <si>
    <t>Agenda estruturada pelas entradas 9.3.2 e registo das saídas 9.3.3.</t>
  </si>
  <si>
    <t>ESTRUTURA DO FICHEIRO</t>
  </si>
  <si>
    <t>Entradas_9_3_2</t>
  </si>
  <si>
    <t>Entradas da revisão pela gestão RPG-2026-01 (9.3.2 a–h).</t>
  </si>
  <si>
    <t>Decisoes_9_3_3</t>
  </si>
  <si>
    <t>Decisões da revisão pela gestão (9.3.3).</t>
  </si>
  <si>
    <t>Acoes_Anteriores</t>
  </si>
  <si>
    <t>Estado das ações das revisões anteriores (9.3.2 a).</t>
  </si>
  <si>
    <t>Ata_RPG_2026_01</t>
  </si>
  <si>
    <t>Ata da revisão pela gestão em formato de impressão, com conclusão sobre a eficácia do SGQ (9.3.1; 5.1.1 l).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</si>
  <si>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</si>
  <si>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</si>
  <si>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</si>
  <si>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</si>
  <si>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</si>
  <si>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</si>
  <si>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</si>
  <si>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</si>
  <si>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</si>
  <si>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</si>
  <si>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</si>
  <si>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</si>
  <si>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</si>
  <si>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</si>
  <si>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</si>
  <si>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</si>
  <si>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</si>
  <si>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</si>
  <si>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RG-SGQ-01 a 16, 18, 19</t>
  </si>
  <si>
    <t>Fonte de cada entrada (coluna Fonte).</t>
  </si>
  <si>
    <t>RG-SGA-15</t>
  </si>
  <si>
    <t>Revisão pela gestão do SGA — a reunião RPG-2026-01 foi conjunta (SGI) com a do SGA de 23/09/2026.</t>
  </si>
  <si>
    <t>REVISÃO PELA GESTÃO RPG-2026-01 — ENTRADAS (9.3.2)</t>
  </si>
  <si>
    <t>25/09/2026 · Números calculados a partir do dataset (mesma base do RG-SGQ-05)</t>
  </si>
  <si>
    <t>Entrada_9_3_2</t>
  </si>
  <si>
    <t>Topico</t>
  </si>
  <si>
    <t>Resumo_Dados</t>
  </si>
  <si>
    <t>Tendencia</t>
  </si>
  <si>
    <t>Fonte_Dados</t>
  </si>
  <si>
    <t>Apresentador</t>
  </si>
  <si>
    <t>9.3.2 a)</t>
  </si>
  <si>
    <t>Estado das ações de revisões anteriores</t>
  </si>
  <si>
    <t>RPG-2025-02: 8 decisões — 5 concluídas, 2 em curso, 1 atrasada (reforço do laboratório de receção).</t>
  </si>
  <si>
    <t>—</t>
  </si>
  <si>
    <t>RG-SGQ-17 tbl_acoes_anteriores</t>
  </si>
  <si>
    <t>9.3.2 b)</t>
  </si>
  <si>
    <t>Alterações nas questões externas e internas</t>
  </si>
  <si>
    <t>Entrada em alimentar/farma (17 SKU), PPWR aplicável desde 12/08/2026, ondas de calor (jul/2026), ISO 9001:2026 publicada; alterações climáticas determinadas como pertinentes.</t>
  </si>
  <si>
    <t>RG-SGQ-01 tbl_pestel; tbl_swot; tbl_clima</t>
  </si>
  <si>
    <t>9.3.2 c)</t>
  </si>
  <si>
    <t>Alterações nas necessidades das partes interessadas</t>
  </si>
  <si>
    <t>Clientes farma pedem resultado do anel no certificado (MOC-Q-26-15); clientes cosméticos pedem pegada de carbono; organismo de certificação: transição até 2029.</t>
  </si>
  <si>
    <t>RG-SGQ-01 tbl_partes_interessadas</t>
  </si>
  <si>
    <t>Diretor Comercial</t>
  </si>
  <si>
    <t>9.3.2 d1)</t>
  </si>
  <si>
    <t>NC e ações corretivas (tendências)</t>
  </si>
  <si>
    <t>1188 NC em 12 meses; CAPA no prazo 52,0%; eficácia das CAPA 57,5%; 272 NC maiores sem CAPA (CON-Q-26-07).</t>
  </si>
  <si>
    <t>Pior</t>
  </si>
  <si>
    <t>RG-SGQ-14; RG-SGQ-18</t>
  </si>
  <si>
    <t>9.3.2 d2)</t>
  </si>
  <si>
    <t>Resultados de monitorização e medição</t>
  </si>
  <si>
    <t>Rejeição interna: 2,4% → 2,3% (meta 2,0%); FPY de lote 86,0% → 85,6%; OEE 12 m 75,2%; subgrupos com Cpk ≥ 1,00: 44,8%.</t>
  </si>
  <si>
    <t>Melhoria</t>
  </si>
  <si>
    <t>RG-SGQ-05 Painel_KPI</t>
  </si>
  <si>
    <t>Gerente de Produção</t>
  </si>
  <si>
    <t>9.3.2 d3)</t>
  </si>
  <si>
    <t>Resultados das auditorias</t>
  </si>
  <si>
    <t>4 auditorias realizadas (100% do programa até à data); 12 constatações: 2 NC maiores (concessões sem aprovação do cliente; ação corretiva não sistemática), 6 NC menores.</t>
  </si>
  <si>
    <t>RG-SGQ-16</t>
  </si>
  <si>
    <t>9.3.2 d4)</t>
  </si>
  <si>
    <t>Satisfação do cliente e feedback</t>
  </si>
  <si>
    <t>CSI 72,6% → 78,5% (meta 80%); NPS 0 → 38; 139 reclamações em 12 m (68 de serviço/logística, 36 críticas); CPMU 4,6 → 4,2.</t>
  </si>
  <si>
    <t>RG-SGQ-15</t>
  </si>
  <si>
    <t>9.3.2 d5)</t>
  </si>
  <si>
    <t>Grau de cumprimento dos objetivos</t>
  </si>
  <si>
    <t>1 de 8 objetivos atingido (OTIF); 6 em curso; 1 semestral. Rejeição e CPMU a melhorar; FPY, CAPA e Cpk abaixo da meta.</t>
  </si>
  <si>
    <t>Estável</t>
  </si>
  <si>
    <t>RG-SGQ-05 tbl_objetivos</t>
  </si>
  <si>
    <t>9.3.2 d6)</t>
  </si>
  <si>
    <t>Desempenho dos processos e conformidade dos produtos</t>
  </si>
  <si>
    <t>Lotes libertados por concessão 1,2% (meta 1%); lançamento de TE-012 e TA-014 com FPY &lt; 90%; ISBM-005 com MTBF 8,4 h.</t>
  </si>
  <si>
    <t>RG-SGQ-13; RG-SGQ-11; RG-SGQ-02</t>
  </si>
  <si>
    <t>9.3.2 d7)</t>
  </si>
  <si>
    <t>Desempenho dos fornecedores externos</t>
  </si>
  <si>
    <t>Lotes de MP aceites 89,1% → 90,9% (meta 95%); SUP-005 classe D (suspender); SUP-004 e SUP-006 classe C.</t>
  </si>
  <si>
    <t>RG-SGQ-12</t>
  </si>
  <si>
    <t>Responsável de Compras</t>
  </si>
  <si>
    <t>9.3.2 e)</t>
  </si>
  <si>
    <t>Oportunidades de melhoria</t>
  </si>
  <si>
    <t>Visão artificial HF-001 (O13); replicar DOE da IM-002 (O1); SMED (O9); rastreabilidade de resina no MES (O12).</t>
  </si>
  <si>
    <t>RG-SGQ-04 tbl_oport_q; RG-SGQ-19</t>
  </si>
  <si>
    <t>9.3.2 f)</t>
  </si>
  <si>
    <t>Adequação dos recursos</t>
  </si>
  <si>
    <t>Inspetores insuficientes no pico (fila de lotes); 1 só responsável pelo pipeline de dados (R26); leak testers só em 3 postos.</t>
  </si>
  <si>
    <t>RG-SGQ-07; RG-SGQ-09</t>
  </si>
  <si>
    <t>Diretor Industrial</t>
  </si>
  <si>
    <t>9.3.2 g)</t>
  </si>
  <si>
    <t>Eficácia das ações para tratar riscos</t>
  </si>
  <si>
    <t>27 riscos da qualidade: 3 eficazes, 4 parciais, 3 não eficazes (R3, R13, R20), 17 por avaliar.</t>
  </si>
  <si>
    <t>RG-SGQ-04 Resumo_Riscos</t>
  </si>
  <si>
    <t>9.3.2 h)</t>
  </si>
  <si>
    <t>Eficácia das ações para tratar oportunidades</t>
  </si>
  <si>
    <t>11 oportunidades: 1 parcial (O8 scorecard), 10 por avaliar — a maioria iniciada em 2026.</t>
  </si>
  <si>
    <t>RG-SGQ-04 tbl_oport_q</t>
  </si>
  <si>
    <t>5.1.1 i)</t>
  </si>
  <si>
    <t>Cultura da qualidade e comportamento ético (complemento)</t>
  </si>
  <si>
    <t>Maturidade 'Definida' em todas as dimensões ISO 10010; mais fracas: comunicação aberta (2,6) e aprendizagem (2,7); 4 relatos de integridade (3 confirmados).</t>
  </si>
  <si>
    <t>RG-SGQ-03</t>
  </si>
  <si>
    <t>Diretor Geral (Gestão de Topo)</t>
  </si>
  <si>
    <t>DECISÕES DA REVISÃO PELA GESTÃO (9.3.3)</t>
  </si>
  <si>
    <t>ID_Decisao</t>
  </si>
  <si>
    <t>Tipo_Saida_9_3_3</t>
  </si>
  <si>
    <t>Decisao_Tomada</t>
  </si>
  <si>
    <t>Responsavel</t>
  </si>
  <si>
    <t>Prazo</t>
  </si>
  <si>
    <t>Recursos_EUR</t>
  </si>
  <si>
    <t>Ligacao</t>
  </si>
  <si>
    <t>Alerta</t>
  </si>
  <si>
    <t>RPG-2026-01-D01</t>
  </si>
  <si>
    <t>Tornar obrigatória a abertura de CAPA para todas as NC maiores e críticas; comité semanal de CAPA com a Direção Industrial</t>
  </si>
  <si>
    <t>CAPA-Q-26-12</t>
  </si>
  <si>
    <t>Em curso</t>
  </si>
  <si>
    <t>RPG-2026-01-D02</t>
  </si>
  <si>
    <t>Alteração ao SGQ</t>
  </si>
  <si>
    <t>Concessões só com aprovação escrita do cliente registada no ERP antes da expedição (bloqueio)</t>
  </si>
  <si>
    <t>CAPA-Q-26-08</t>
  </si>
  <si>
    <t>Concluída</t>
  </si>
  <si>
    <t>RPG-2026-01-D03</t>
  </si>
  <si>
    <t>Recursos</t>
  </si>
  <si>
    <t>Contratar 1 inspetor efetivo e 1 temporário para o pico set–nov</t>
  </si>
  <si>
    <t>Responsável de Recursos Humanos</t>
  </si>
  <si>
    <t>MOC-Q-26-14</t>
  </si>
  <si>
    <t>RPG-2026-01-D04</t>
  </si>
  <si>
    <t>Leak testers em linha nas ISBM-003 e ISBM-005 (estanquidade 100%)</t>
  </si>
  <si>
    <t>OBJ-Q-02</t>
  </si>
  <si>
    <t>Aprovada</t>
  </si>
  <si>
    <t>RPG-2026-01-D05</t>
  </si>
  <si>
    <t>Visão artificial na HF-001</t>
  </si>
  <si>
    <t>MOC-Q-26-12</t>
  </si>
  <si>
    <t>RPG-2026-01-D06</t>
  </si>
  <si>
    <t>Suspender novas encomendas ao SUP-005 e qualificar alternativa para PP/PVC</t>
  </si>
  <si>
    <t>RPG-2026-01-D07</t>
  </si>
  <si>
    <t>Registar o lote de resina no consumo de material (MES) — rastreabilidade completa</t>
  </si>
  <si>
    <t>Gerente de Dados / TI</t>
  </si>
  <si>
    <t>O12; CON-Q-26-08</t>
  </si>
  <si>
    <t>RPG-2026-01-D08</t>
  </si>
  <si>
    <t>Concluir a transição para a ISO 9001:2026 e auditoria de transição em mar/2027</t>
  </si>
  <si>
    <t>MOC-Q-26-01</t>
  </si>
  <si>
    <t>RPG-2026-01-D09</t>
  </si>
  <si>
    <t>Plano de melhoria dos prazos de entrega (maior lacuna de satisfação): planeamento de capacidade e stock de segurança</t>
  </si>
  <si>
    <t>Responsável de Armazém e Logística</t>
  </si>
  <si>
    <t>OBJ-Q-08</t>
  </si>
  <si>
    <t>RPG-2026-01-D10</t>
  </si>
  <si>
    <t>Programa de cultura da qualidade: formação de chefias (FOR-Q-12) e reconhecimento de relatos</t>
  </si>
  <si>
    <t>RPG-2026-01-D11</t>
  </si>
  <si>
    <t>Formar 2.º responsável pelo pipeline de dados da qualidade</t>
  </si>
  <si>
    <t>KNW-09; R26</t>
  </si>
  <si>
    <t>Decisao</t>
  </si>
  <si>
    <t>Evidencia</t>
  </si>
  <si>
    <t>RPG-2025-02-D01</t>
  </si>
  <si>
    <t>Implementar scorecard de fornecedores</t>
  </si>
  <si>
    <t>RG-SGQ-12 em uso desde mar/2026</t>
  </si>
  <si>
    <t>RPG-2025-02-D02</t>
  </si>
  <si>
    <t>Projeto DMAIC na IM-002</t>
  </si>
  <si>
    <t>Taxa de defeito 1,35% → 0,38% (PRJ-Q-01)</t>
  </si>
  <si>
    <t>RPG-2025-02-D03</t>
  </si>
  <si>
    <t>Reforma do molde M-SOP-007</t>
  </si>
  <si>
    <t>Gerente de Manutenção</t>
  </si>
  <si>
    <t>MOC-Q-26-07 eficaz</t>
  </si>
  <si>
    <t>RPG-2025-02-D04</t>
  </si>
  <si>
    <t>Estudo MSA do peso das tampas</t>
  </si>
  <si>
    <t>GRR 3,5% da TV — aceitável</t>
  </si>
  <si>
    <t>RPG-2025-02-D05</t>
  </si>
  <si>
    <t>Qualificar fornecedores de resina alimentar e farmacêutica</t>
  </si>
  <si>
    <t>SUP-009 (condicional) e SUP-010 aprovados</t>
  </si>
  <si>
    <t>RPG-2025-02-D06</t>
  </si>
  <si>
    <t>Inquérito de satisfação semestral</t>
  </si>
  <si>
    <t>2.ª onda feita; falta plano por atributo</t>
  </si>
  <si>
    <t>RPG-2025-02-D07</t>
  </si>
  <si>
    <t>Checklist de passagem de turno</t>
  </si>
  <si>
    <t>Em implementação digital (EH-09)</t>
  </si>
  <si>
    <t>RPG-2025-02-D08</t>
  </si>
  <si>
    <t>Reforço do laboratório de receção (2.º técnico)</t>
  </si>
  <si>
    <t>Técnico admitido a 16/11/2026 (após reprogramação)</t>
  </si>
  <si>
    <t>PLASTICOM</t>
  </si>
  <si>
    <t>ATA DA REVISÃO PELA GESTÃO</t>
  </si>
  <si>
    <t>RPG-2026-01</t>
  </si>
  <si>
    <t>Plasticom — Unidade 1 (Marinha Grande, Portugal) · NP EN ISO 9001:2026</t>
  </si>
  <si>
    <t>Rev. 01 · 31/12/2026</t>
  </si>
  <si>
    <t>Data / local</t>
  </si>
  <si>
    <t>25/09/2026, 09:30–13:00 — sala de reuniões da Unidade 1 (reunião conjunta SGQ + SGA)</t>
  </si>
  <si>
    <t>Participantes</t>
  </si>
  <si>
    <t>Diretor Geral (preside); Diretor Industrial; Gerente da Qualidade; Gerente de Produção; Gerente de Manutenção; Diretor Comercial; Responsável de Compras; Responsável de R&amp;D; Responsável de RH; Gerente de Dados/TI; Gestor do SGA/EHS</t>
  </si>
  <si>
    <t>Entradas analisadas</t>
  </si>
  <si>
    <t>Decisões tomadas</t>
  </si>
  <si>
    <t>Adequação (suitability)</t>
  </si>
  <si>
    <t>O SGQ é adequado ao propósito e ao novo contexto (alimentar/farma), mas os requisitos de concessão e de ação corretiva precisam de ser reforçados.</t>
  </si>
  <si>
    <t>Suficiência (adequacy)</t>
  </si>
  <si>
    <t>Suficiente em documentação e processos; insuficiente em recursos de inspeção no pico e na rastreabilidade do lote de resina.</t>
  </si>
  <si>
    <t>Eficácia (effectiveness)</t>
  </si>
  <si>
    <t>Parcialmente eficaz: rejeição e reclamações a melhorar; FPY, eficácia das CAPA e capacidade de processo abaixo das metas; 2 NC maiores de auditoria.</t>
  </si>
  <si>
    <t>Alinhamento com a orientação estratégica (novo 2026)</t>
  </si>
  <si>
    <t>Alinhado com a estratégia 2026–2028 (crescimento em alimentar/farma); prioridade à conformidade legal e à prevenção de escapes.</t>
  </si>
  <si>
    <t>Necessidades de alteração do SGQ</t>
  </si>
  <si>
    <t>Transição ISO 9001:2026 (MOC-Q-26-01); regra de concessões; rastreabilidade de resina; abertura obrigatória de CAPA.</t>
  </si>
  <si>
    <t>Conclusão e responsabilização (5.1.1 l)</t>
  </si>
  <si>
    <t>A gestão de topo assume a responsabilidade pela eficácia do SGQ e pela execução das decisões RPG-2026-01-D01 a D11. Próxima revisão: março/2027 (após a auditoria de transição).</t>
  </si>
  <si>
    <t>Assinatura</t>
  </si>
  <si>
    <t>Diretor Geral: ______________________        Gerente da Qualidade: ______________________</t>
  </si>
  <si>
    <t>LISTAS CONTROLADAS (domínios de validação de dados) — editar aqui para alterar opções</t>
  </si>
  <si>
    <t>DataReferencia</t>
  </si>
  <si>
    <t>TipoDecisao</t>
  </si>
  <si>
    <t>EstadoDec</t>
  </si>
  <si>
    <t>Funcao</t>
  </si>
  <si>
    <t>Atrasada</t>
  </si>
  <si>
    <t>Cancelada</t>
  </si>
  <si>
    <t>Responsável de R&amp;D</t>
  </si>
  <si>
    <t>Técnico(a) da Qualidade / Inspetor(a)</t>
  </si>
  <si>
    <t>Técnico(a) de Laboratório</t>
  </si>
  <si>
    <t>Engenheiro(a) de Processo</t>
  </si>
  <si>
    <t>Chefe de Turno</t>
  </si>
  <si>
    <t>Operador(a) de Injeção</t>
  </si>
  <si>
    <t>Operador(a) de Sopro (ISBM)</t>
  </si>
  <si>
    <t>Operador(a) de Serigrafia</t>
  </si>
  <si>
    <t>Operador(a) de Hot Foil</t>
  </si>
  <si>
    <t>Técnico(a) de Manutenção</t>
  </si>
  <si>
    <t>Técnico(a) de Metrologia</t>
  </si>
  <si>
    <t>Auditor(a) Interno(a) do SGQ</t>
  </si>
  <si>
    <t>Gestor(a) de Cliente (Key Account)</t>
  </si>
  <si>
    <t>Planeador(a) de Produção</t>
  </si>
  <si>
    <t>Operador(a) de Armazém / Empilhador</t>
  </si>
  <si>
    <t>Gestor do SGA / EHS (Responsável Ambiental)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</si>
  <si>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</si>
  <si>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</si>
  <si>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</si>
  <si>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</si>
  <si>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</si>
  <si>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</si>
  <si>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</si>
  <si>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</si>
  <si>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</si>
  <si>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tbl_entradas_rpg</t>
  </si>
  <si>
    <t>Texto</t>
  </si>
  <si>
    <t>Entrada</t>
  </si>
  <si>
    <t>Entrada 9.3.2 (alínea).</t>
  </si>
  <si>
    <t>Sim</t>
  </si>
  <si>
    <t>PK</t>
  </si>
  <si>
    <t>Tópico.</t>
  </si>
  <si>
    <t>Informação apresentada (dados do dataset e dos registos).</t>
  </si>
  <si>
    <t>Tendência (9.3.2 d: 'incluindo as tendências').</t>
  </si>
  <si>
    <t>Lista lst_Tendencia</t>
  </si>
  <si>
    <t>Registo de origem.</t>
  </si>
  <si>
    <t>Quem apresentou.</t>
  </si>
  <si>
    <t>Lista lst_Funcao</t>
  </si>
  <si>
    <t>tbl_decisoes</t>
  </si>
  <si>
    <t>Decisão.</t>
  </si>
  <si>
    <t>9.3.3: melhoria / alterações ao SGQ / recursos.</t>
  </si>
  <si>
    <t>Lista lst_TipoDecisao</t>
  </si>
  <si>
    <t>Responsável.</t>
  </si>
  <si>
    <t>Data (aaaa-mm-dd)</t>
  </si>
  <si>
    <t>Prazo.</t>
  </si>
  <si>
    <t>Moeda (EUR)</t>
  </si>
  <si>
    <t>Recursos aprovados.</t>
  </si>
  <si>
    <t>Objetivo, MOC, CAPA ou risco.</t>
  </si>
  <si>
    <t>Não</t>
  </si>
  <si>
    <t>Estado.</t>
  </si>
  <si>
    <t>Lista lst_EstadoDec</t>
  </si>
  <si>
    <t>Calculado (fórmula)</t>
  </si>
  <si>
    <t>Alerta de prazo.</t>
  </si>
  <si>
    <t>tbl_acoes_anteriores</t>
  </si>
  <si>
    <t>Decisão anterior.</t>
  </si>
  <si>
    <t>Evidência / comentário.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</si>
</sst>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\€"/>
  </numFmts>
  <fonts count="8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6"/>
      <color rgb="FF1F4E5F"/>
      <name val="Arial"/>
    </font>
    <font>
      <b/>
      <sz val="13"/>
      <color rgb="FF0F2F3A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3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  <border>
      <left/>
      <right/>
      <top/>
      <bottom style="medium">
        <color rgb="FF1F4E5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7" fillId="5" borderId="0" xfId="0" applyFont="1" applyFill="1"/>
    <xf numFmtId="0" fontId="0" fillId="5" borderId="0" xfId="0" applyFill="1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164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0" fillId="0" borderId="2" xfId="0" applyBorder="1"/>
    <xf numFmtId="0" fontId="7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10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entradas_rpg" displayName="tbl_entradas_rpg" ref="A4:F19">
  <autoFilter ref="A4:F19" xr:uid="{00000000-0009-0000-0100-000001000000}"/>
  <tableColumns count="6">
    <tableColumn id="1" xr3:uid="{00000000-0010-0000-0000-000001000000}" name="Entrada_9_3_2"/>
    <tableColumn id="2" xr3:uid="{00000000-0010-0000-0000-000002000000}" name="Topico"/>
    <tableColumn id="3" xr3:uid="{00000000-0010-0000-0000-000003000000}" name="Resumo_Dados"/>
    <tableColumn id="4" xr3:uid="{00000000-0010-0000-0000-000004000000}" name="Tendencia"/>
    <tableColumn id="5" xr3:uid="{00000000-0010-0000-0000-000005000000}" name="Fonte_Dados"/>
    <tableColumn id="6" xr3:uid="{00000000-0010-0000-0000-000006000000}" name="Apresentado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ecisoes" displayName="tbl_decisoes" ref="A4:I20">
  <autoFilter ref="A4:I20" xr:uid="{00000000-0009-0000-0100-000002000000}"/>
  <tableColumns count="9">
    <tableColumn id="1" xr3:uid="{00000000-0010-0000-0100-000001000000}" name="ID_Decisao"/>
    <tableColumn id="2" xr3:uid="{00000000-0010-0000-0100-000002000000}" name="Tipo_Saida_9_3_3"/>
    <tableColumn id="3" xr3:uid="{00000000-0010-0000-0100-000003000000}" name="Decisao_Tomada"/>
    <tableColumn id="4" xr3:uid="{00000000-0010-0000-0100-000004000000}" name="Responsavel"/>
    <tableColumn id="5" xr3:uid="{00000000-0010-0000-0100-000005000000}" name="Prazo"/>
    <tableColumn id="6" xr3:uid="{00000000-0010-0000-0100-000006000000}" name="Recursos_EUR"/>
    <tableColumn id="7" xr3:uid="{00000000-0010-0000-0100-000007000000}" name="Ligacao"/>
    <tableColumn id="8" xr3:uid="{00000000-0010-0000-0100-000008000000}" name="Estado"/>
    <tableColumn id="9" xr3:uid="{00000000-0010-0000-0100-000009000000}" name="Alert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coes_anteriores" displayName="tbl_acoes_anteriores" ref="A1:F9">
  <autoFilter ref="A1:F9" xr:uid="{00000000-0009-0000-0100-000003000000}"/>
  <tableColumns count="6">
    <tableColumn id="1" xr3:uid="{00000000-0010-0000-0200-000001000000}" name="ID_Decisao"/>
    <tableColumn id="2" xr3:uid="{00000000-0010-0000-0200-000002000000}" name="Decisao"/>
    <tableColumn id="3" xr3:uid="{00000000-0010-0000-0200-000003000000}" name="Responsavel"/>
    <tableColumn id="4" xr3:uid="{00000000-0010-0000-0200-000004000000}" name="Prazo"/>
    <tableColumn id="5" xr3:uid="{00000000-0010-0000-0200-000005000000}" name="Estado"/>
    <tableColumn id="6" xr3:uid="{00000000-0010-0000-0200-000006000000}" name="Evidenci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cionario" displayName="tbl_dicionario" ref="A1:I22">
  <autoFilter ref="A1:I22" xr:uid="{00000000-0009-0000-0100-000004000000}"/>
  <tableColumns count="9">
    <tableColumn id="1" xr3:uid="{00000000-0010-0000-0300-000001000000}" name="Folha"/>
    <tableColumn id="2" xr3:uid="{00000000-0010-0000-0300-000002000000}" name="Tabela"/>
    <tableColumn id="3" xr3:uid="{00000000-0010-0000-0300-000003000000}" name="Coluna"/>
    <tableColumn id="4" xr3:uid="{00000000-0010-0000-0300-000004000000}" name="Tipo"/>
    <tableColumn id="5" xr3:uid="{00000000-0010-0000-0300-000005000000}" name="Origem"/>
    <tableColumn id="6" xr3:uid="{00000000-0010-0000-0300-000006000000}" name="Descricao"/>
    <tableColumn id="7" xr3:uid="{00000000-0010-0000-0300-000007000000}" name="Dominio_Unidade"/>
    <tableColumn id="8" xr3:uid="{00000000-0010-0000-0300-000008000000}" name="Obrigatorio"/>
    <tableColumn id="9" xr3:uid="{00000000-0010-0000-03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3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39.6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3" spans="1:2" x14ac:dyDescent="0.3">
      <c r="A33" s="3" t="s">
        <v>47</v>
      </c>
      <c r="B33" s="4"/>
    </row>
    <row r="34" spans="1:2" ht="26.4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ht="26.4" x14ac:dyDescent="0.3">
      <c r="A37" s="5" t="s">
        <v>54</v>
      </c>
      <c r="B37" s="6" t="s">
        <v>55</v>
      </c>
    </row>
    <row r="38" spans="1:2" ht="26.4" x14ac:dyDescent="0.3">
      <c r="A38" s="5" t="s">
        <v>56</v>
      </c>
      <c r="B38" s="6" t="s">
        <v>57</v>
      </c>
    </row>
    <row r="39" spans="1:2" ht="39.6" x14ac:dyDescent="0.3">
      <c r="A39" s="5" t="s">
        <v>58</v>
      </c>
      <c r="B39" s="6" t="s">
        <v>59</v>
      </c>
    </row>
    <row r="41" spans="1:2" x14ac:dyDescent="0.3">
      <c r="A41" s="3" t="s">
        <v>60</v>
      </c>
      <c r="B41" s="4"/>
    </row>
    <row r="42" spans="1:2" x14ac:dyDescent="0.3">
      <c r="A42" s="5" t="s">
        <v>61</v>
      </c>
      <c r="B42" s="6" t="s">
        <v>62</v>
      </c>
    </row>
    <row r="43" spans="1:2" x14ac:dyDescent="0.3">
      <c r="A43" s="5" t="s">
        <v>63</v>
      </c>
      <c r="B43" s="6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4" customWidth="1"/>
    <col min="3" max="3" width="80" customWidth="1"/>
    <col min="4" max="4" width="9" customWidth="1"/>
    <col min="5" max="5" width="28" customWidth="1"/>
    <col min="6" max="6" width="24" customWidth="1"/>
  </cols>
  <sheetData>
    <row r="1" spans="1:6" ht="17.399999999999999" x14ac:dyDescent="0.3">
      <c r="A1" s="1" t="s">
        <v>65</v>
      </c>
    </row>
    <row r="2" spans="1:6" x14ac:dyDescent="0.3">
      <c r="A2" s="2" t="s">
        <v>66</v>
      </c>
    </row>
    <row r="4" spans="1:6" ht="26.4" x14ac:dyDescent="0.3">
      <c r="A4" s="8" t="s">
        <v>67</v>
      </c>
      <c r="B4" s="8" t="s">
        <v>68</v>
      </c>
      <c r="C4" s="8" t="s">
        <v>69</v>
      </c>
      <c r="D4" s="8" t="s">
        <v>70</v>
      </c>
      <c r="E4" s="8" t="s">
        <v>71</v>
      </c>
      <c r="F4" s="8" t="s">
        <v>72</v>
      </c>
    </row>
    <row r="5" spans="1:6" ht="48" customHeight="1" x14ac:dyDescent="0.3">
      <c r="A5" s="9" t="s">
        <v>73</v>
      </c>
      <c r="B5" s="9" t="s">
        <v>74</v>
      </c>
      <c r="C5" s="9" t="s">
        <v>75</v>
      </c>
      <c r="D5" s="9" t="s">
        <v>76</v>
      </c>
      <c r="E5" s="9" t="s">
        <v>77</v>
      </c>
      <c r="F5" s="9" t="s">
        <v>11</v>
      </c>
    </row>
    <row r="6" spans="1:6" ht="48" customHeight="1" x14ac:dyDescent="0.3">
      <c r="A6" s="9" t="s">
        <v>78</v>
      </c>
      <c r="B6" s="9" t="s">
        <v>79</v>
      </c>
      <c r="C6" s="9" t="s">
        <v>80</v>
      </c>
      <c r="D6" s="9" t="s">
        <v>76</v>
      </c>
      <c r="E6" s="9" t="s">
        <v>81</v>
      </c>
      <c r="F6" s="9" t="s">
        <v>11</v>
      </c>
    </row>
    <row r="7" spans="1:6" ht="48" customHeight="1" x14ac:dyDescent="0.3">
      <c r="A7" s="9" t="s">
        <v>82</v>
      </c>
      <c r="B7" s="9" t="s">
        <v>83</v>
      </c>
      <c r="C7" s="9" t="s">
        <v>84</v>
      </c>
      <c r="D7" s="9" t="s">
        <v>76</v>
      </c>
      <c r="E7" s="9" t="s">
        <v>85</v>
      </c>
      <c r="F7" s="9" t="s">
        <v>86</v>
      </c>
    </row>
    <row r="8" spans="1:6" ht="48" customHeight="1" x14ac:dyDescent="0.3">
      <c r="A8" s="9" t="s">
        <v>87</v>
      </c>
      <c r="B8" s="9" t="s">
        <v>88</v>
      </c>
      <c r="C8" s="9" t="s">
        <v>89</v>
      </c>
      <c r="D8" s="9" t="s">
        <v>90</v>
      </c>
      <c r="E8" s="9" t="s">
        <v>91</v>
      </c>
      <c r="F8" s="9" t="s">
        <v>11</v>
      </c>
    </row>
    <row r="9" spans="1:6" ht="48" customHeight="1" x14ac:dyDescent="0.3">
      <c r="A9" s="9" t="s">
        <v>92</v>
      </c>
      <c r="B9" s="9" t="s">
        <v>93</v>
      </c>
      <c r="C9" s="9" t="s">
        <v>94</v>
      </c>
      <c r="D9" s="9" t="s">
        <v>95</v>
      </c>
      <c r="E9" s="9" t="s">
        <v>96</v>
      </c>
      <c r="F9" s="9" t="s">
        <v>97</v>
      </c>
    </row>
    <row r="10" spans="1:6" ht="48" customHeight="1" x14ac:dyDescent="0.3">
      <c r="A10" s="9" t="s">
        <v>98</v>
      </c>
      <c r="B10" s="9" t="s">
        <v>99</v>
      </c>
      <c r="C10" s="9" t="s">
        <v>100</v>
      </c>
      <c r="D10" s="9" t="s">
        <v>90</v>
      </c>
      <c r="E10" s="9" t="s">
        <v>101</v>
      </c>
      <c r="F10" s="9" t="s">
        <v>11</v>
      </c>
    </row>
    <row r="11" spans="1:6" ht="48" customHeight="1" x14ac:dyDescent="0.3">
      <c r="A11" s="9" t="s">
        <v>102</v>
      </c>
      <c r="B11" s="9" t="s">
        <v>103</v>
      </c>
      <c r="C11" s="9" t="s">
        <v>104</v>
      </c>
      <c r="D11" s="9" t="s">
        <v>95</v>
      </c>
      <c r="E11" s="9" t="s">
        <v>105</v>
      </c>
      <c r="F11" s="9" t="s">
        <v>86</v>
      </c>
    </row>
    <row r="12" spans="1:6" ht="48" customHeight="1" x14ac:dyDescent="0.3">
      <c r="A12" s="9" t="s">
        <v>106</v>
      </c>
      <c r="B12" s="9" t="s">
        <v>107</v>
      </c>
      <c r="C12" s="9" t="s">
        <v>108</v>
      </c>
      <c r="D12" s="9" t="s">
        <v>109</v>
      </c>
      <c r="E12" s="9" t="s">
        <v>110</v>
      </c>
      <c r="F12" s="9" t="s">
        <v>11</v>
      </c>
    </row>
    <row r="13" spans="1:6" ht="48" customHeight="1" x14ac:dyDescent="0.3">
      <c r="A13" s="9" t="s">
        <v>111</v>
      </c>
      <c r="B13" s="9" t="s">
        <v>112</v>
      </c>
      <c r="C13" s="9" t="s">
        <v>113</v>
      </c>
      <c r="D13" s="9" t="s">
        <v>109</v>
      </c>
      <c r="E13" s="9" t="s">
        <v>114</v>
      </c>
      <c r="F13" s="9" t="s">
        <v>97</v>
      </c>
    </row>
    <row r="14" spans="1:6" ht="48" customHeight="1" x14ac:dyDescent="0.3">
      <c r="A14" s="9" t="s">
        <v>115</v>
      </c>
      <c r="B14" s="9" t="s">
        <v>116</v>
      </c>
      <c r="C14" s="9" t="s">
        <v>117</v>
      </c>
      <c r="D14" s="9" t="s">
        <v>109</v>
      </c>
      <c r="E14" s="9" t="s">
        <v>118</v>
      </c>
      <c r="F14" s="9" t="s">
        <v>119</v>
      </c>
    </row>
    <row r="15" spans="1:6" ht="48" customHeight="1" x14ac:dyDescent="0.3">
      <c r="A15" s="9" t="s">
        <v>120</v>
      </c>
      <c r="B15" s="9" t="s">
        <v>121</v>
      </c>
      <c r="C15" s="9" t="s">
        <v>122</v>
      </c>
      <c r="D15" s="9" t="s">
        <v>76</v>
      </c>
      <c r="E15" s="9" t="s">
        <v>123</v>
      </c>
      <c r="F15" s="9" t="s">
        <v>11</v>
      </c>
    </row>
    <row r="16" spans="1:6" ht="48" customHeight="1" x14ac:dyDescent="0.3">
      <c r="A16" s="9" t="s">
        <v>124</v>
      </c>
      <c r="B16" s="9" t="s">
        <v>125</v>
      </c>
      <c r="C16" s="9" t="s">
        <v>126</v>
      </c>
      <c r="D16" s="9" t="s">
        <v>76</v>
      </c>
      <c r="E16" s="9" t="s">
        <v>127</v>
      </c>
      <c r="F16" s="9" t="s">
        <v>128</v>
      </c>
    </row>
    <row r="17" spans="1:6" ht="48" customHeight="1" x14ac:dyDescent="0.3">
      <c r="A17" s="9" t="s">
        <v>129</v>
      </c>
      <c r="B17" s="9" t="s">
        <v>130</v>
      </c>
      <c r="C17" s="9" t="s">
        <v>131</v>
      </c>
      <c r="D17" s="9" t="s">
        <v>76</v>
      </c>
      <c r="E17" s="9" t="s">
        <v>132</v>
      </c>
      <c r="F17" s="9" t="s">
        <v>11</v>
      </c>
    </row>
    <row r="18" spans="1:6" ht="48" customHeight="1" x14ac:dyDescent="0.3">
      <c r="A18" s="9" t="s">
        <v>133</v>
      </c>
      <c r="B18" s="9" t="s">
        <v>134</v>
      </c>
      <c r="C18" s="9" t="s">
        <v>135</v>
      </c>
      <c r="D18" s="9" t="s">
        <v>76</v>
      </c>
      <c r="E18" s="9" t="s">
        <v>136</v>
      </c>
      <c r="F18" s="9" t="s">
        <v>11</v>
      </c>
    </row>
    <row r="19" spans="1:6" ht="48" customHeight="1" x14ac:dyDescent="0.3">
      <c r="A19" s="9" t="s">
        <v>137</v>
      </c>
      <c r="B19" s="9" t="s">
        <v>138</v>
      </c>
      <c r="C19" s="9" t="s">
        <v>139</v>
      </c>
      <c r="D19" s="9" t="s">
        <v>76</v>
      </c>
      <c r="E19" s="9" t="s">
        <v>140</v>
      </c>
      <c r="F19" s="9" t="s">
        <v>141</v>
      </c>
    </row>
  </sheetData>
  <conditionalFormatting sqref="D5:D219">
    <cfRule type="expression" dxfId="9" priority="1">
      <formula>ISNUMBER(SEARCH("Pior",D5))</formula>
    </cfRule>
    <cfRule type="expression" dxfId="8" priority="2">
      <formula>ISNUMBER(SEARCH("Melhoria",D5))</formula>
    </cfRule>
    <cfRule type="expression" dxfId="7" priority="3">
      <formula>ISNUMBER(SEARCH("Estável",D5))</formula>
    </cfRule>
  </conditionalFormatting>
  <dataValidations count="2">
    <dataValidation type="list" allowBlank="1" showErrorMessage="1" errorTitle="Valor inválido" error="Valor fora da lista controlada (ver folha Listas)." sqref="D5:D219" xr:uid="{00000000-0002-0000-0100-000000000000}">
      <formula1>lst_Tendencia</formula1>
    </dataValidation>
    <dataValidation type="list" allowBlank="1" showErrorMessage="1" errorTitle="Valor inválido" error="Valor fora da lista controlada (ver folha Listas)." sqref="F5:F219" xr:uid="{00000000-0002-0000-01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14" customWidth="1"/>
    <col min="3" max="3" width="70" customWidth="1"/>
    <col min="4" max="4" width="24" customWidth="1"/>
    <col min="5" max="5" width="11" customWidth="1"/>
    <col min="6" max="6" width="10" customWidth="1"/>
    <col min="7" max="7" width="18" customWidth="1"/>
    <col min="8" max="9" width="10" customWidth="1"/>
  </cols>
  <sheetData>
    <row r="1" spans="1:9" ht="17.399999999999999" x14ac:dyDescent="0.3">
      <c r="A1" s="1" t="s">
        <v>142</v>
      </c>
    </row>
    <row r="4" spans="1:9" ht="26.4" x14ac:dyDescent="0.3">
      <c r="A4" s="8" t="s">
        <v>143</v>
      </c>
      <c r="B4" s="8" t="s">
        <v>144</v>
      </c>
      <c r="C4" s="8" t="s">
        <v>145</v>
      </c>
      <c r="D4" s="8" t="s">
        <v>146</v>
      </c>
      <c r="E4" s="8" t="s">
        <v>147</v>
      </c>
      <c r="F4" s="8" t="s">
        <v>148</v>
      </c>
      <c r="G4" s="8" t="s">
        <v>149</v>
      </c>
      <c r="H4" s="8" t="s">
        <v>14</v>
      </c>
      <c r="I4" s="10" t="s">
        <v>150</v>
      </c>
    </row>
    <row r="5" spans="1:9" ht="30" customHeight="1" x14ac:dyDescent="0.3">
      <c r="A5" s="9" t="s">
        <v>151</v>
      </c>
      <c r="B5" s="9" t="s">
        <v>95</v>
      </c>
      <c r="C5" s="9" t="s">
        <v>152</v>
      </c>
      <c r="D5" s="9" t="s">
        <v>128</v>
      </c>
      <c r="E5" s="11">
        <v>46326</v>
      </c>
      <c r="F5" s="12">
        <v>0</v>
      </c>
      <c r="G5" s="9" t="s">
        <v>153</v>
      </c>
      <c r="H5" s="9" t="s">
        <v>154</v>
      </c>
      <c r="I5" s="13" t="str">
        <f t="shared" ref="I5:I20" si="0">IF(A5="","",IF(AND(H5&lt;&gt;"Concluída",E5&lt;DataRef),"Atrasada","OK"))</f>
        <v>Atrasada</v>
      </c>
    </row>
    <row r="6" spans="1:9" ht="30" customHeight="1" x14ac:dyDescent="0.3">
      <c r="A6" s="9" t="s">
        <v>155</v>
      </c>
      <c r="B6" s="9" t="s">
        <v>156</v>
      </c>
      <c r="C6" s="9" t="s">
        <v>157</v>
      </c>
      <c r="D6" s="9" t="s">
        <v>11</v>
      </c>
      <c r="E6" s="11">
        <v>46326</v>
      </c>
      <c r="F6" s="12">
        <v>3000</v>
      </c>
      <c r="G6" s="9" t="s">
        <v>158</v>
      </c>
      <c r="H6" s="9" t="s">
        <v>159</v>
      </c>
      <c r="I6" s="13" t="str">
        <f t="shared" si="0"/>
        <v>OK</v>
      </c>
    </row>
    <row r="7" spans="1:9" ht="30" customHeight="1" x14ac:dyDescent="0.3">
      <c r="A7" s="9" t="s">
        <v>160</v>
      </c>
      <c r="B7" s="9" t="s">
        <v>161</v>
      </c>
      <c r="C7" s="9" t="s">
        <v>162</v>
      </c>
      <c r="D7" s="9" t="s">
        <v>163</v>
      </c>
      <c r="E7" s="11">
        <v>46310</v>
      </c>
      <c r="F7" s="12">
        <v>38000</v>
      </c>
      <c r="G7" s="9" t="s">
        <v>164</v>
      </c>
      <c r="H7" s="9" t="s">
        <v>159</v>
      </c>
      <c r="I7" s="13" t="str">
        <f t="shared" si="0"/>
        <v>OK</v>
      </c>
    </row>
    <row r="8" spans="1:9" ht="30" customHeight="1" x14ac:dyDescent="0.3">
      <c r="A8" s="9" t="s">
        <v>165</v>
      </c>
      <c r="B8" s="9" t="s">
        <v>161</v>
      </c>
      <c r="C8" s="9" t="s">
        <v>166</v>
      </c>
      <c r="D8" s="9" t="s">
        <v>128</v>
      </c>
      <c r="E8" s="11">
        <v>46418</v>
      </c>
      <c r="F8" s="12">
        <v>60000</v>
      </c>
      <c r="G8" s="9" t="s">
        <v>167</v>
      </c>
      <c r="H8" s="9" t="s">
        <v>168</v>
      </c>
      <c r="I8" s="13" t="str">
        <f t="shared" si="0"/>
        <v>OK</v>
      </c>
    </row>
    <row r="9" spans="1:9" ht="30" customHeight="1" x14ac:dyDescent="0.3">
      <c r="A9" s="9" t="s">
        <v>169</v>
      </c>
      <c r="B9" s="9" t="s">
        <v>161</v>
      </c>
      <c r="C9" s="9" t="s">
        <v>170</v>
      </c>
      <c r="D9" s="9" t="s">
        <v>141</v>
      </c>
      <c r="E9" s="11">
        <v>46568</v>
      </c>
      <c r="F9" s="12">
        <v>85000</v>
      </c>
      <c r="G9" s="9" t="s">
        <v>171</v>
      </c>
      <c r="H9" s="9" t="s">
        <v>168</v>
      </c>
      <c r="I9" s="13" t="str">
        <f t="shared" si="0"/>
        <v>OK</v>
      </c>
    </row>
    <row r="10" spans="1:9" ht="30" customHeight="1" x14ac:dyDescent="0.3">
      <c r="A10" s="9" t="s">
        <v>172</v>
      </c>
      <c r="B10" s="9" t="s">
        <v>95</v>
      </c>
      <c r="C10" s="9" t="s">
        <v>173</v>
      </c>
      <c r="D10" s="9" t="s">
        <v>119</v>
      </c>
      <c r="E10" s="11">
        <v>46387</v>
      </c>
      <c r="F10" s="12">
        <v>0</v>
      </c>
      <c r="G10" s="9" t="s">
        <v>118</v>
      </c>
      <c r="H10" s="9" t="s">
        <v>159</v>
      </c>
      <c r="I10" s="13" t="str">
        <f t="shared" si="0"/>
        <v>OK</v>
      </c>
    </row>
    <row r="11" spans="1:9" ht="30" customHeight="1" x14ac:dyDescent="0.3">
      <c r="A11" s="9" t="s">
        <v>174</v>
      </c>
      <c r="B11" s="9" t="s">
        <v>156</v>
      </c>
      <c r="C11" s="9" t="s">
        <v>175</v>
      </c>
      <c r="D11" s="9" t="s">
        <v>176</v>
      </c>
      <c r="E11" s="11">
        <v>46477</v>
      </c>
      <c r="F11" s="12">
        <v>15000</v>
      </c>
      <c r="G11" s="9" t="s">
        <v>177</v>
      </c>
      <c r="H11" s="9" t="s">
        <v>168</v>
      </c>
      <c r="I11" s="13" t="str">
        <f t="shared" si="0"/>
        <v>OK</v>
      </c>
    </row>
    <row r="12" spans="1:9" ht="30" customHeight="1" x14ac:dyDescent="0.3">
      <c r="A12" s="9" t="s">
        <v>178</v>
      </c>
      <c r="B12" s="9" t="s">
        <v>156</v>
      </c>
      <c r="C12" s="9" t="s">
        <v>179</v>
      </c>
      <c r="D12" s="9" t="s">
        <v>11</v>
      </c>
      <c r="E12" s="11">
        <v>46477</v>
      </c>
      <c r="F12" s="12">
        <v>9000</v>
      </c>
      <c r="G12" s="9" t="s">
        <v>180</v>
      </c>
      <c r="H12" s="9" t="s">
        <v>154</v>
      </c>
      <c r="I12" s="13" t="str">
        <f t="shared" si="0"/>
        <v>OK</v>
      </c>
    </row>
    <row r="13" spans="1:9" ht="30" customHeight="1" x14ac:dyDescent="0.3">
      <c r="A13" s="9" t="s">
        <v>181</v>
      </c>
      <c r="B13" s="9" t="s">
        <v>95</v>
      </c>
      <c r="C13" s="9" t="s">
        <v>182</v>
      </c>
      <c r="D13" s="9" t="s">
        <v>183</v>
      </c>
      <c r="E13" s="11">
        <v>46387</v>
      </c>
      <c r="F13" s="12">
        <v>5000</v>
      </c>
      <c r="G13" s="9" t="s">
        <v>184</v>
      </c>
      <c r="H13" s="9" t="s">
        <v>159</v>
      </c>
      <c r="I13" s="13" t="str">
        <f t="shared" si="0"/>
        <v>OK</v>
      </c>
    </row>
    <row r="14" spans="1:9" ht="30" customHeight="1" x14ac:dyDescent="0.3">
      <c r="A14" s="9" t="s">
        <v>185</v>
      </c>
      <c r="B14" s="9" t="s">
        <v>95</v>
      </c>
      <c r="C14" s="9" t="s">
        <v>186</v>
      </c>
      <c r="D14" s="9" t="s">
        <v>163</v>
      </c>
      <c r="E14" s="11">
        <v>46477</v>
      </c>
      <c r="F14" s="12">
        <v>12000</v>
      </c>
      <c r="G14" s="9" t="s">
        <v>140</v>
      </c>
      <c r="H14" s="9" t="s">
        <v>168</v>
      </c>
      <c r="I14" s="13" t="str">
        <f t="shared" si="0"/>
        <v>OK</v>
      </c>
    </row>
    <row r="15" spans="1:9" ht="30" customHeight="1" x14ac:dyDescent="0.3">
      <c r="A15" s="9" t="s">
        <v>187</v>
      </c>
      <c r="B15" s="9" t="s">
        <v>161</v>
      </c>
      <c r="C15" s="9" t="s">
        <v>188</v>
      </c>
      <c r="D15" s="9" t="s">
        <v>176</v>
      </c>
      <c r="E15" s="11">
        <v>46418</v>
      </c>
      <c r="F15" s="12">
        <v>4000</v>
      </c>
      <c r="G15" s="9" t="s">
        <v>189</v>
      </c>
      <c r="H15" s="9" t="s">
        <v>168</v>
      </c>
      <c r="I15" s="13" t="str">
        <f t="shared" si="0"/>
        <v>OK</v>
      </c>
    </row>
    <row r="16" spans="1:9" ht="30" customHeight="1" x14ac:dyDescent="0.3">
      <c r="A16" s="9"/>
      <c r="B16" s="9"/>
      <c r="C16" s="9"/>
      <c r="D16" s="9"/>
      <c r="E16" s="11"/>
      <c r="F16" s="12"/>
      <c r="G16" s="9"/>
      <c r="H16" s="9"/>
      <c r="I16" s="13" t="str">
        <f t="shared" si="0"/>
        <v/>
      </c>
    </row>
    <row r="17" spans="1:9" ht="30" customHeight="1" x14ac:dyDescent="0.3">
      <c r="A17" s="9"/>
      <c r="B17" s="9"/>
      <c r="C17" s="9"/>
      <c r="D17" s="9"/>
      <c r="E17" s="11"/>
      <c r="F17" s="12"/>
      <c r="G17" s="9"/>
      <c r="H17" s="9"/>
      <c r="I17" s="13" t="str">
        <f t="shared" si="0"/>
        <v/>
      </c>
    </row>
    <row r="18" spans="1:9" ht="30" customHeight="1" x14ac:dyDescent="0.3">
      <c r="A18" s="9"/>
      <c r="B18" s="9"/>
      <c r="C18" s="9"/>
      <c r="D18" s="9"/>
      <c r="E18" s="11"/>
      <c r="F18" s="12"/>
      <c r="G18" s="9"/>
      <c r="H18" s="9"/>
      <c r="I18" s="13" t="str">
        <f t="shared" si="0"/>
        <v/>
      </c>
    </row>
    <row r="19" spans="1:9" ht="30" customHeight="1" x14ac:dyDescent="0.3">
      <c r="A19" s="9"/>
      <c r="B19" s="9"/>
      <c r="C19" s="9"/>
      <c r="D19" s="9"/>
      <c r="E19" s="11"/>
      <c r="F19" s="12"/>
      <c r="G19" s="9"/>
      <c r="H19" s="9"/>
      <c r="I19" s="13" t="str">
        <f t="shared" si="0"/>
        <v/>
      </c>
    </row>
    <row r="20" spans="1:9" ht="30" customHeight="1" x14ac:dyDescent="0.3">
      <c r="A20" s="9"/>
      <c r="B20" s="9"/>
      <c r="C20" s="9"/>
      <c r="D20" s="9"/>
      <c r="E20" s="11"/>
      <c r="F20" s="12"/>
      <c r="G20" s="9"/>
      <c r="H20" s="9"/>
      <c r="I20" s="13" t="str">
        <f t="shared" si="0"/>
        <v/>
      </c>
    </row>
  </sheetData>
  <conditionalFormatting sqref="B5:B220">
    <cfRule type="expression" dxfId="6" priority="1">
      <formula>ISNUMBER(SEARCH("Recursos",B5))</formula>
    </cfRule>
    <cfRule type="expression" dxfId="5" priority="2">
      <formula>ISNUMBER(SEARCH("Alteração",B5))</formula>
    </cfRule>
    <cfRule type="expression" dxfId="4" priority="3">
      <formula>ISNUMBER(SEARCH("Melhoria",B5))</formula>
    </cfRule>
  </conditionalFormatting>
  <conditionalFormatting sqref="I5:I220">
    <cfRule type="expression" dxfId="3" priority="4">
      <formula>ISNUMBER(SEARCH("Atrasada",I5))</formula>
    </cfRule>
  </conditionalFormatting>
  <dataValidations count="3">
    <dataValidation type="list" allowBlank="1" showErrorMessage="1" errorTitle="Valor inválido" error="Valor fora da lista controlada (ver folha Listas)." sqref="B5:B220" xr:uid="{00000000-0002-0000-0200-000000000000}">
      <formula1>lst_TipoDecisao</formula1>
    </dataValidation>
    <dataValidation type="list" allowBlank="1" showErrorMessage="1" errorTitle="Valor inválido" error="Valor fora da lista controlada (ver folha Listas)." sqref="D5:D220" xr:uid="{00000000-0002-0000-0200-000001000000}">
      <formula1>lst_Funcao</formula1>
    </dataValidation>
    <dataValidation type="list" allowBlank="1" showErrorMessage="1" errorTitle="Valor inválido" error="Valor fora da lista controlada (ver folha Listas)." sqref="H5:H220" xr:uid="{00000000-0002-0000-0200-000002000000}">
      <formula1>lst_EstadoDec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9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50" customWidth="1"/>
    <col min="3" max="3" width="24" customWidth="1"/>
    <col min="4" max="4" width="11" customWidth="1"/>
    <col min="5" max="5" width="10" customWidth="1"/>
    <col min="6" max="6" width="44" customWidth="1"/>
  </cols>
  <sheetData>
    <row r="1" spans="1:6" x14ac:dyDescent="0.3">
      <c r="A1" s="8" t="s">
        <v>143</v>
      </c>
      <c r="B1" s="8" t="s">
        <v>190</v>
      </c>
      <c r="C1" s="8" t="s">
        <v>146</v>
      </c>
      <c r="D1" s="8" t="s">
        <v>147</v>
      </c>
      <c r="E1" s="8" t="s">
        <v>14</v>
      </c>
      <c r="F1" s="8" t="s">
        <v>191</v>
      </c>
    </row>
    <row r="2" spans="1:6" ht="30" customHeight="1" x14ac:dyDescent="0.3">
      <c r="A2" s="9" t="s">
        <v>192</v>
      </c>
      <c r="B2" s="9" t="s">
        <v>193</v>
      </c>
      <c r="C2" s="9" t="s">
        <v>119</v>
      </c>
      <c r="D2" s="11">
        <v>46112</v>
      </c>
      <c r="E2" s="9" t="s">
        <v>159</v>
      </c>
      <c r="F2" s="9" t="s">
        <v>194</v>
      </c>
    </row>
    <row r="3" spans="1:6" ht="30" customHeight="1" x14ac:dyDescent="0.3">
      <c r="A3" s="9" t="s">
        <v>195</v>
      </c>
      <c r="B3" s="9" t="s">
        <v>196</v>
      </c>
      <c r="C3" s="9" t="s">
        <v>97</v>
      </c>
      <c r="D3" s="11">
        <v>46173</v>
      </c>
      <c r="E3" s="9" t="s">
        <v>159</v>
      </c>
      <c r="F3" s="9" t="s">
        <v>197</v>
      </c>
    </row>
    <row r="4" spans="1:6" ht="30" customHeight="1" x14ac:dyDescent="0.3">
      <c r="A4" s="9" t="s">
        <v>198</v>
      </c>
      <c r="B4" s="9" t="s">
        <v>199</v>
      </c>
      <c r="C4" s="9" t="s">
        <v>200</v>
      </c>
      <c r="D4" s="11">
        <v>46112</v>
      </c>
      <c r="E4" s="9" t="s">
        <v>159</v>
      </c>
      <c r="F4" s="9" t="s">
        <v>201</v>
      </c>
    </row>
    <row r="5" spans="1:6" ht="30" customHeight="1" x14ac:dyDescent="0.3">
      <c r="A5" s="9" t="s">
        <v>202</v>
      </c>
      <c r="B5" s="9" t="s">
        <v>203</v>
      </c>
      <c r="C5" s="9" t="s">
        <v>11</v>
      </c>
      <c r="D5" s="11">
        <v>46265</v>
      </c>
      <c r="E5" s="9" t="s">
        <v>159</v>
      </c>
      <c r="F5" s="9" t="s">
        <v>204</v>
      </c>
    </row>
    <row r="6" spans="1:6" ht="30" customHeight="1" x14ac:dyDescent="0.3">
      <c r="A6" s="9" t="s">
        <v>205</v>
      </c>
      <c r="B6" s="9" t="s">
        <v>206</v>
      </c>
      <c r="C6" s="9" t="s">
        <v>119</v>
      </c>
      <c r="D6" s="11">
        <v>46142</v>
      </c>
      <c r="E6" s="9" t="s">
        <v>159</v>
      </c>
      <c r="F6" s="9" t="s">
        <v>207</v>
      </c>
    </row>
    <row r="7" spans="1:6" ht="30" customHeight="1" x14ac:dyDescent="0.3">
      <c r="A7" s="9" t="s">
        <v>208</v>
      </c>
      <c r="B7" s="9" t="s">
        <v>209</v>
      </c>
      <c r="C7" s="9" t="s">
        <v>86</v>
      </c>
      <c r="D7" s="11">
        <v>46203</v>
      </c>
      <c r="E7" s="9" t="s">
        <v>154</v>
      </c>
      <c r="F7" s="9" t="s">
        <v>210</v>
      </c>
    </row>
    <row r="8" spans="1:6" ht="30" customHeight="1" x14ac:dyDescent="0.3">
      <c r="A8" s="9" t="s">
        <v>211</v>
      </c>
      <c r="B8" s="9" t="s">
        <v>212</v>
      </c>
      <c r="C8" s="9" t="s">
        <v>97</v>
      </c>
      <c r="D8" s="11">
        <v>46203</v>
      </c>
      <c r="E8" s="9" t="s">
        <v>154</v>
      </c>
      <c r="F8" s="9" t="s">
        <v>213</v>
      </c>
    </row>
    <row r="9" spans="1:6" ht="30" customHeight="1" x14ac:dyDescent="0.3">
      <c r="A9" s="9" t="s">
        <v>214</v>
      </c>
      <c r="B9" s="9" t="s">
        <v>215</v>
      </c>
      <c r="C9" s="9" t="s">
        <v>163</v>
      </c>
      <c r="D9" s="11">
        <v>46112</v>
      </c>
      <c r="E9" s="9" t="s">
        <v>159</v>
      </c>
      <c r="F9" s="9" t="s">
        <v>216</v>
      </c>
    </row>
  </sheetData>
  <conditionalFormatting sqref="E2:E209">
    <cfRule type="expression" dxfId="2" priority="1">
      <formula>ISNUMBER(SEARCH("Atrasada",E2))</formula>
    </cfRule>
    <cfRule type="expression" dxfId="1" priority="2">
      <formula>ISNUMBER(SEARCH("Em curso",E2))</formula>
    </cfRule>
    <cfRule type="expression" dxfId="0" priority="3">
      <formula>ISNUMBER(SEARCH("Concluída",E2))</formula>
    </cfRule>
  </conditionalFormatting>
  <dataValidations count="2">
    <dataValidation type="list" allowBlank="1" showErrorMessage="1" errorTitle="Valor inválido" error="Valor fora da lista controlada (ver folha Listas)." sqref="C2:C209" xr:uid="{00000000-0002-0000-0300-000000000000}">
      <formula1>lst_Funcao</formula1>
    </dataValidation>
    <dataValidation type="list" allowBlank="1" showErrorMessage="1" errorTitle="Valor inválido" error="Valor fora da lista controlada (ver folha Listas)." sqref="E2:E209" xr:uid="{00000000-0002-0000-0300-000001000000}">
      <formula1>lst_EstadoDec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  <pageSetUpPr fitToPage="1"/>
  </sheetPr>
  <dimension ref="A1:F15"/>
  <sheetViews>
    <sheetView showGridLines="0" workbookViewId="0"/>
  </sheetViews>
  <sheetFormatPr defaultRowHeight="14.4" x14ac:dyDescent="0.3"/>
  <cols>
    <col min="1" max="1" width="30" customWidth="1"/>
    <col min="2" max="6" width="22" customWidth="1"/>
  </cols>
  <sheetData>
    <row r="1" spans="1:6" ht="21" x14ac:dyDescent="0.4">
      <c r="A1" s="14" t="s">
        <v>217</v>
      </c>
      <c r="B1" s="15" t="s">
        <v>218</v>
      </c>
      <c r="F1" s="16" t="s">
        <v>219</v>
      </c>
    </row>
    <row r="2" spans="1:6" x14ac:dyDescent="0.3">
      <c r="B2" s="2" t="s">
        <v>220</v>
      </c>
      <c r="F2" s="17" t="s">
        <v>221</v>
      </c>
    </row>
    <row r="3" spans="1:6" x14ac:dyDescent="0.3">
      <c r="A3" s="18"/>
      <c r="B3" s="18"/>
      <c r="C3" s="18"/>
      <c r="D3" s="18"/>
      <c r="E3" s="18"/>
      <c r="F3" s="18"/>
    </row>
    <row r="5" spans="1:6" ht="31.95" customHeight="1" x14ac:dyDescent="0.3">
      <c r="A5" s="19" t="s">
        <v>222</v>
      </c>
      <c r="B5" s="23" t="s">
        <v>223</v>
      </c>
      <c r="C5" s="24"/>
      <c r="D5" s="24"/>
      <c r="E5" s="24"/>
      <c r="F5" s="24"/>
    </row>
    <row r="6" spans="1:6" ht="48" customHeight="1" x14ac:dyDescent="0.3">
      <c r="A6" s="19" t="s">
        <v>224</v>
      </c>
      <c r="B6" s="23" t="s">
        <v>225</v>
      </c>
      <c r="C6" s="24"/>
      <c r="D6" s="24"/>
      <c r="E6" s="24"/>
      <c r="F6" s="24"/>
    </row>
    <row r="7" spans="1:6" ht="31.95" customHeight="1" x14ac:dyDescent="0.3">
      <c r="A7" s="19" t="s">
        <v>226</v>
      </c>
      <c r="B7" s="23" t="str">
        <f>COUNTA(tbl_entradas_rpg[Entrada_9_3_2])&amp;" entradas (9.3.2 a–h e cultura) — ver folha Entradas_9_3_2"</f>
        <v>15 entradas (9.3.2 a–h e cultura) — ver folha Entradas_9_3_2</v>
      </c>
      <c r="C7" s="24"/>
      <c r="D7" s="24"/>
      <c r="E7" s="24"/>
      <c r="F7" s="24"/>
    </row>
    <row r="8" spans="1:6" ht="48" customHeight="1" x14ac:dyDescent="0.3">
      <c r="A8" s="19" t="s">
        <v>227</v>
      </c>
      <c r="B8" s="23" t="str">
        <f>COUNTA(tbl_decisoes[ID_Decisao])&amp;" decisões — "&amp;COUNTIF(tbl_decisoes[Tipo_Saida_9_3_3],"Recursos")&amp;" de recursos ("&amp;FIXED(SUMIFS(tbl_decisoes[Recursos_EUR],tbl_decisoes[Tipo_Saida_9_3_3],"Recursos"),0)&amp;" €), "&amp;COUNTIF(tbl_decisoes[Tipo_Saida_9_3_3],"Alteração ao SGQ")&amp;" de alteração ao SGQ, "&amp;COUNTIF(tbl_decisoes[Tipo_Saida_9_3_3],"Melhoria")&amp;" de melhoria"</f>
        <v>11 decisões — 4 de recursos (187 000 €), 3 de alteração ao SGQ, 4 de melhoria</v>
      </c>
      <c r="C8" s="24"/>
      <c r="D8" s="24"/>
      <c r="E8" s="24"/>
      <c r="F8" s="24"/>
    </row>
    <row r="9" spans="1:6" ht="48" customHeight="1" x14ac:dyDescent="0.3">
      <c r="A9" s="19" t="s">
        <v>228</v>
      </c>
      <c r="B9" s="23" t="s">
        <v>229</v>
      </c>
      <c r="C9" s="24"/>
      <c r="D9" s="24"/>
      <c r="E9" s="24"/>
      <c r="F9" s="24"/>
    </row>
    <row r="10" spans="1:6" ht="48" customHeight="1" x14ac:dyDescent="0.3">
      <c r="A10" s="19" t="s">
        <v>230</v>
      </c>
      <c r="B10" s="23" t="s">
        <v>231</v>
      </c>
      <c r="C10" s="24"/>
      <c r="D10" s="24"/>
      <c r="E10" s="24"/>
      <c r="F10" s="24"/>
    </row>
    <row r="11" spans="1:6" ht="48" customHeight="1" x14ac:dyDescent="0.3">
      <c r="A11" s="19" t="s">
        <v>232</v>
      </c>
      <c r="B11" s="23" t="s">
        <v>233</v>
      </c>
      <c r="C11" s="24"/>
      <c r="D11" s="24"/>
      <c r="E11" s="24"/>
      <c r="F11" s="24"/>
    </row>
    <row r="12" spans="1:6" ht="48" customHeight="1" x14ac:dyDescent="0.3">
      <c r="A12" s="19" t="s">
        <v>234</v>
      </c>
      <c r="B12" s="23" t="s">
        <v>235</v>
      </c>
      <c r="C12" s="24"/>
      <c r="D12" s="24"/>
      <c r="E12" s="24"/>
      <c r="F12" s="24"/>
    </row>
    <row r="13" spans="1:6" ht="31.95" customHeight="1" x14ac:dyDescent="0.3">
      <c r="A13" s="19" t="s">
        <v>236</v>
      </c>
      <c r="B13" s="23" t="s">
        <v>237</v>
      </c>
      <c r="C13" s="24"/>
      <c r="D13" s="24"/>
      <c r="E13" s="24"/>
      <c r="F13" s="24"/>
    </row>
    <row r="14" spans="1:6" ht="48" customHeight="1" x14ac:dyDescent="0.3">
      <c r="A14" s="19" t="s">
        <v>238</v>
      </c>
      <c r="B14" s="23" t="s">
        <v>239</v>
      </c>
      <c r="C14" s="24"/>
      <c r="D14" s="24"/>
      <c r="E14" s="24"/>
      <c r="F14" s="24"/>
    </row>
    <row r="15" spans="1:6" ht="31.95" customHeight="1" x14ac:dyDescent="0.3">
      <c r="A15" s="19" t="s">
        <v>240</v>
      </c>
      <c r="B15" s="23" t="s">
        <v>241</v>
      </c>
      <c r="C15" s="24"/>
      <c r="D15" s="24"/>
      <c r="E15" s="24"/>
      <c r="F15" s="24"/>
    </row>
  </sheetData>
  <mergeCells count="11">
    <mergeCell ref="B5:F5"/>
    <mergeCell ref="B14:F14"/>
    <mergeCell ref="B8:F8"/>
    <mergeCell ref="B9:F9"/>
    <mergeCell ref="B13:F13"/>
    <mergeCell ref="B12:F12"/>
    <mergeCell ref="B7:F7"/>
    <mergeCell ref="B6:F6"/>
    <mergeCell ref="B15:F15"/>
    <mergeCell ref="B10:F10"/>
    <mergeCell ref="B11:F11"/>
  </mergeCells>
  <pageMargins left="0.75" right="0.75" top="1" bottom="1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18" customWidth="1"/>
    <col min="4" max="4" width="16" customWidth="1"/>
    <col min="5" max="5" width="45" customWidth="1"/>
  </cols>
  <sheetData>
    <row r="1" spans="1:5" x14ac:dyDescent="0.3">
      <c r="A1" s="16" t="s">
        <v>242</v>
      </c>
    </row>
    <row r="2" spans="1:5" x14ac:dyDescent="0.3">
      <c r="A2" s="21" t="s">
        <v>243</v>
      </c>
      <c r="B2" s="21" t="s">
        <v>70</v>
      </c>
      <c r="C2" s="21" t="s">
        <v>244</v>
      </c>
      <c r="D2" s="21" t="s">
        <v>245</v>
      </c>
      <c r="E2" s="21" t="s">
        <v>246</v>
      </c>
    </row>
    <row r="3" spans="1:5" x14ac:dyDescent="0.3">
      <c r="A3" s="22">
        <v>46387</v>
      </c>
      <c r="B3" s="6" t="s">
        <v>95</v>
      </c>
      <c r="C3" s="6" t="s">
        <v>95</v>
      </c>
      <c r="D3" s="6" t="s">
        <v>168</v>
      </c>
      <c r="E3" s="6" t="s">
        <v>141</v>
      </c>
    </row>
    <row r="4" spans="1:5" x14ac:dyDescent="0.3">
      <c r="B4" s="6" t="s">
        <v>109</v>
      </c>
      <c r="C4" s="6" t="s">
        <v>156</v>
      </c>
      <c r="D4" s="6" t="s">
        <v>154</v>
      </c>
      <c r="E4" s="6" t="s">
        <v>128</v>
      </c>
    </row>
    <row r="5" spans="1:5" x14ac:dyDescent="0.3">
      <c r="B5" s="6" t="s">
        <v>90</v>
      </c>
      <c r="C5" s="6" t="s">
        <v>161</v>
      </c>
      <c r="D5" s="6" t="s">
        <v>159</v>
      </c>
      <c r="E5" s="6" t="s">
        <v>11</v>
      </c>
    </row>
    <row r="6" spans="1:5" x14ac:dyDescent="0.3">
      <c r="B6" s="6" t="s">
        <v>76</v>
      </c>
      <c r="D6" s="6" t="s">
        <v>247</v>
      </c>
      <c r="E6" s="6" t="s">
        <v>97</v>
      </c>
    </row>
    <row r="7" spans="1:5" x14ac:dyDescent="0.3">
      <c r="D7" s="6" t="s">
        <v>248</v>
      </c>
      <c r="E7" s="6" t="s">
        <v>200</v>
      </c>
    </row>
    <row r="8" spans="1:5" x14ac:dyDescent="0.3">
      <c r="E8" s="6" t="s">
        <v>86</v>
      </c>
    </row>
    <row r="9" spans="1:5" x14ac:dyDescent="0.3">
      <c r="E9" s="6" t="s">
        <v>119</v>
      </c>
    </row>
    <row r="10" spans="1:5" x14ac:dyDescent="0.3">
      <c r="E10" s="6" t="s">
        <v>249</v>
      </c>
    </row>
    <row r="11" spans="1:5" x14ac:dyDescent="0.3">
      <c r="E11" s="6" t="s">
        <v>183</v>
      </c>
    </row>
    <row r="12" spans="1:5" x14ac:dyDescent="0.3">
      <c r="E12" s="6" t="s">
        <v>163</v>
      </c>
    </row>
    <row r="13" spans="1:5" x14ac:dyDescent="0.3">
      <c r="E13" s="6" t="s">
        <v>176</v>
      </c>
    </row>
    <row r="14" spans="1:5" x14ac:dyDescent="0.3">
      <c r="E14" s="6" t="s">
        <v>250</v>
      </c>
    </row>
    <row r="15" spans="1:5" x14ac:dyDescent="0.3">
      <c r="E15" s="6" t="s">
        <v>251</v>
      </c>
    </row>
    <row r="16" spans="1:5" x14ac:dyDescent="0.3">
      <c r="E16" s="6" t="s">
        <v>252</v>
      </c>
    </row>
    <row r="17" spans="5:5" x14ac:dyDescent="0.3">
      <c r="E17" s="6" t="s">
        <v>253</v>
      </c>
    </row>
    <row r="18" spans="5:5" x14ac:dyDescent="0.3">
      <c r="E18" s="6" t="s">
        <v>254</v>
      </c>
    </row>
    <row r="19" spans="5:5" x14ac:dyDescent="0.3">
      <c r="E19" s="6" t="s">
        <v>255</v>
      </c>
    </row>
    <row r="20" spans="5:5" x14ac:dyDescent="0.3">
      <c r="E20" s="6" t="s">
        <v>256</v>
      </c>
    </row>
    <row r="21" spans="5:5" x14ac:dyDescent="0.3">
      <c r="E21" s="6" t="s">
        <v>257</v>
      </c>
    </row>
    <row r="22" spans="5:5" x14ac:dyDescent="0.3">
      <c r="E22" s="6" t="s">
        <v>258</v>
      </c>
    </row>
    <row r="23" spans="5:5" x14ac:dyDescent="0.3">
      <c r="E23" s="6" t="s">
        <v>259</v>
      </c>
    </row>
    <row r="24" spans="5:5" x14ac:dyDescent="0.3">
      <c r="E24" s="6" t="s">
        <v>260</v>
      </c>
    </row>
    <row r="25" spans="5:5" x14ac:dyDescent="0.3">
      <c r="E25" s="6" t="s">
        <v>261</v>
      </c>
    </row>
    <row r="26" spans="5:5" x14ac:dyDescent="0.3">
      <c r="E26" s="6" t="s">
        <v>262</v>
      </c>
    </row>
    <row r="27" spans="5:5" x14ac:dyDescent="0.3">
      <c r="E27" s="6" t="s">
        <v>263</v>
      </c>
    </row>
    <row r="28" spans="5:5" x14ac:dyDescent="0.3">
      <c r="E28" s="6" t="s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265</v>
      </c>
      <c r="B1" s="8" t="s">
        <v>266</v>
      </c>
      <c r="C1" s="8" t="s">
        <v>267</v>
      </c>
      <c r="D1" s="8" t="s">
        <v>268</v>
      </c>
      <c r="E1" s="8" t="s">
        <v>269</v>
      </c>
      <c r="F1" s="8" t="s">
        <v>270</v>
      </c>
      <c r="G1" s="8" t="s">
        <v>271</v>
      </c>
      <c r="H1" s="8" t="s">
        <v>272</v>
      </c>
      <c r="I1" s="8" t="s">
        <v>273</v>
      </c>
    </row>
    <row r="2" spans="1:9" x14ac:dyDescent="0.3">
      <c r="A2" s="20" t="s">
        <v>35</v>
      </c>
      <c r="B2" s="20" t="s">
        <v>274</v>
      </c>
      <c r="C2" s="20" t="s">
        <v>67</v>
      </c>
      <c r="D2" s="20" t="s">
        <v>275</v>
      </c>
      <c r="E2" s="20" t="s">
        <v>276</v>
      </c>
      <c r="F2" s="20" t="s">
        <v>277</v>
      </c>
      <c r="G2" s="20"/>
      <c r="H2" s="20" t="s">
        <v>278</v>
      </c>
      <c r="I2" s="20" t="s">
        <v>279</v>
      </c>
    </row>
    <row r="3" spans="1:9" x14ac:dyDescent="0.3">
      <c r="A3" s="20" t="s">
        <v>35</v>
      </c>
      <c r="B3" s="20" t="s">
        <v>274</v>
      </c>
      <c r="C3" s="20" t="s">
        <v>68</v>
      </c>
      <c r="D3" s="20" t="s">
        <v>275</v>
      </c>
      <c r="E3" s="20" t="s">
        <v>276</v>
      </c>
      <c r="F3" s="20" t="s">
        <v>280</v>
      </c>
      <c r="G3" s="20"/>
      <c r="H3" s="20" t="s">
        <v>278</v>
      </c>
      <c r="I3" s="20"/>
    </row>
    <row r="4" spans="1:9" x14ac:dyDescent="0.3">
      <c r="A4" s="20" t="s">
        <v>35</v>
      </c>
      <c r="B4" s="20" t="s">
        <v>274</v>
      </c>
      <c r="C4" s="20" t="s">
        <v>69</v>
      </c>
      <c r="D4" s="20" t="s">
        <v>275</v>
      </c>
      <c r="E4" s="20" t="s">
        <v>276</v>
      </c>
      <c r="F4" s="20" t="s">
        <v>281</v>
      </c>
      <c r="G4" s="20"/>
      <c r="H4" s="20" t="s">
        <v>278</v>
      </c>
      <c r="I4" s="20"/>
    </row>
    <row r="5" spans="1:9" x14ac:dyDescent="0.3">
      <c r="A5" s="20" t="s">
        <v>35</v>
      </c>
      <c r="B5" s="20" t="s">
        <v>274</v>
      </c>
      <c r="C5" s="20" t="s">
        <v>70</v>
      </c>
      <c r="D5" s="20" t="s">
        <v>275</v>
      </c>
      <c r="E5" s="20" t="s">
        <v>276</v>
      </c>
      <c r="F5" s="20" t="s">
        <v>282</v>
      </c>
      <c r="G5" s="20" t="s">
        <v>283</v>
      </c>
      <c r="H5" s="20" t="s">
        <v>278</v>
      </c>
      <c r="I5" s="20"/>
    </row>
    <row r="6" spans="1:9" x14ac:dyDescent="0.3">
      <c r="A6" s="20" t="s">
        <v>35</v>
      </c>
      <c r="B6" s="20" t="s">
        <v>274</v>
      </c>
      <c r="C6" s="20" t="s">
        <v>71</v>
      </c>
      <c r="D6" s="20" t="s">
        <v>275</v>
      </c>
      <c r="E6" s="20" t="s">
        <v>276</v>
      </c>
      <c r="F6" s="20" t="s">
        <v>284</v>
      </c>
      <c r="G6" s="20"/>
      <c r="H6" s="20" t="s">
        <v>278</v>
      </c>
      <c r="I6" s="20"/>
    </row>
    <row r="7" spans="1:9" x14ac:dyDescent="0.3">
      <c r="A7" s="20" t="s">
        <v>35</v>
      </c>
      <c r="B7" s="20" t="s">
        <v>274</v>
      </c>
      <c r="C7" s="20" t="s">
        <v>72</v>
      </c>
      <c r="D7" s="20" t="s">
        <v>275</v>
      </c>
      <c r="E7" s="20" t="s">
        <v>276</v>
      </c>
      <c r="F7" s="20" t="s">
        <v>285</v>
      </c>
      <c r="G7" s="20" t="s">
        <v>286</v>
      </c>
      <c r="H7" s="20" t="s">
        <v>278</v>
      </c>
      <c r="I7" s="20"/>
    </row>
    <row r="8" spans="1:9" x14ac:dyDescent="0.3">
      <c r="A8" s="20" t="s">
        <v>37</v>
      </c>
      <c r="B8" s="20" t="s">
        <v>287</v>
      </c>
      <c r="C8" s="20" t="s">
        <v>143</v>
      </c>
      <c r="D8" s="20" t="s">
        <v>275</v>
      </c>
      <c r="E8" s="20" t="s">
        <v>276</v>
      </c>
      <c r="F8" s="20" t="s">
        <v>288</v>
      </c>
      <c r="G8" s="20"/>
      <c r="H8" s="20" t="s">
        <v>278</v>
      </c>
      <c r="I8" s="20" t="s">
        <v>279</v>
      </c>
    </row>
    <row r="9" spans="1:9" x14ac:dyDescent="0.3">
      <c r="A9" s="20" t="s">
        <v>37</v>
      </c>
      <c r="B9" s="20" t="s">
        <v>287</v>
      </c>
      <c r="C9" s="20" t="s">
        <v>144</v>
      </c>
      <c r="D9" s="20" t="s">
        <v>275</v>
      </c>
      <c r="E9" s="20" t="s">
        <v>276</v>
      </c>
      <c r="F9" s="20" t="s">
        <v>289</v>
      </c>
      <c r="G9" s="20" t="s">
        <v>290</v>
      </c>
      <c r="H9" s="20" t="s">
        <v>278</v>
      </c>
      <c r="I9" s="20"/>
    </row>
    <row r="10" spans="1:9" x14ac:dyDescent="0.3">
      <c r="A10" s="20" t="s">
        <v>37</v>
      </c>
      <c r="B10" s="20" t="s">
        <v>287</v>
      </c>
      <c r="C10" s="20" t="s">
        <v>145</v>
      </c>
      <c r="D10" s="20" t="s">
        <v>275</v>
      </c>
      <c r="E10" s="20" t="s">
        <v>276</v>
      </c>
      <c r="F10" s="20" t="s">
        <v>288</v>
      </c>
      <c r="G10" s="20"/>
      <c r="H10" s="20" t="s">
        <v>278</v>
      </c>
      <c r="I10" s="20"/>
    </row>
    <row r="11" spans="1:9" x14ac:dyDescent="0.3">
      <c r="A11" s="20" t="s">
        <v>37</v>
      </c>
      <c r="B11" s="20" t="s">
        <v>287</v>
      </c>
      <c r="C11" s="20" t="s">
        <v>146</v>
      </c>
      <c r="D11" s="20" t="s">
        <v>275</v>
      </c>
      <c r="E11" s="20" t="s">
        <v>276</v>
      </c>
      <c r="F11" s="20" t="s">
        <v>291</v>
      </c>
      <c r="G11" s="20" t="s">
        <v>286</v>
      </c>
      <c r="H11" s="20" t="s">
        <v>278</v>
      </c>
      <c r="I11" s="20"/>
    </row>
    <row r="12" spans="1:9" ht="26.4" x14ac:dyDescent="0.3">
      <c r="A12" s="20" t="s">
        <v>37</v>
      </c>
      <c r="B12" s="20" t="s">
        <v>287</v>
      </c>
      <c r="C12" s="20" t="s">
        <v>147</v>
      </c>
      <c r="D12" s="20" t="s">
        <v>292</v>
      </c>
      <c r="E12" s="20" t="s">
        <v>276</v>
      </c>
      <c r="F12" s="20" t="s">
        <v>293</v>
      </c>
      <c r="G12" s="20"/>
      <c r="H12" s="20" t="s">
        <v>278</v>
      </c>
      <c r="I12" s="20"/>
    </row>
    <row r="13" spans="1:9" x14ac:dyDescent="0.3">
      <c r="A13" s="20" t="s">
        <v>37</v>
      </c>
      <c r="B13" s="20" t="s">
        <v>287</v>
      </c>
      <c r="C13" s="20" t="s">
        <v>148</v>
      </c>
      <c r="D13" s="20" t="s">
        <v>294</v>
      </c>
      <c r="E13" s="20" t="s">
        <v>276</v>
      </c>
      <c r="F13" s="20" t="s">
        <v>295</v>
      </c>
      <c r="G13" s="20"/>
      <c r="H13" s="20" t="s">
        <v>278</v>
      </c>
      <c r="I13" s="20"/>
    </row>
    <row r="14" spans="1:9" x14ac:dyDescent="0.3">
      <c r="A14" s="20" t="s">
        <v>37</v>
      </c>
      <c r="B14" s="20" t="s">
        <v>287</v>
      </c>
      <c r="C14" s="20" t="s">
        <v>149</v>
      </c>
      <c r="D14" s="20" t="s">
        <v>275</v>
      </c>
      <c r="E14" s="20" t="s">
        <v>276</v>
      </c>
      <c r="F14" s="20" t="s">
        <v>296</v>
      </c>
      <c r="G14" s="20"/>
      <c r="H14" s="20" t="s">
        <v>297</v>
      </c>
      <c r="I14" s="20"/>
    </row>
    <row r="15" spans="1:9" x14ac:dyDescent="0.3">
      <c r="A15" s="20" t="s">
        <v>37</v>
      </c>
      <c r="B15" s="20" t="s">
        <v>287</v>
      </c>
      <c r="C15" s="20" t="s">
        <v>14</v>
      </c>
      <c r="D15" s="20" t="s">
        <v>275</v>
      </c>
      <c r="E15" s="20" t="s">
        <v>276</v>
      </c>
      <c r="F15" s="20" t="s">
        <v>298</v>
      </c>
      <c r="G15" s="20" t="s">
        <v>299</v>
      </c>
      <c r="H15" s="20" t="s">
        <v>278</v>
      </c>
      <c r="I15" s="20"/>
    </row>
    <row r="16" spans="1:9" x14ac:dyDescent="0.3">
      <c r="A16" s="20" t="s">
        <v>37</v>
      </c>
      <c r="B16" s="20" t="s">
        <v>287</v>
      </c>
      <c r="C16" s="20" t="s">
        <v>150</v>
      </c>
      <c r="D16" s="20" t="s">
        <v>275</v>
      </c>
      <c r="E16" s="20" t="s">
        <v>300</v>
      </c>
      <c r="F16" s="20" t="s">
        <v>301</v>
      </c>
      <c r="G16" s="20"/>
      <c r="H16" s="20" t="s">
        <v>278</v>
      </c>
      <c r="I16" s="20"/>
    </row>
    <row r="17" spans="1:9" x14ac:dyDescent="0.3">
      <c r="A17" s="20" t="s">
        <v>39</v>
      </c>
      <c r="B17" s="20" t="s">
        <v>302</v>
      </c>
      <c r="C17" s="20" t="s">
        <v>143</v>
      </c>
      <c r="D17" s="20" t="s">
        <v>275</v>
      </c>
      <c r="E17" s="20" t="s">
        <v>276</v>
      </c>
      <c r="F17" s="20" t="s">
        <v>303</v>
      </c>
      <c r="G17" s="20"/>
      <c r="H17" s="20" t="s">
        <v>278</v>
      </c>
      <c r="I17" s="20" t="s">
        <v>279</v>
      </c>
    </row>
    <row r="18" spans="1:9" x14ac:dyDescent="0.3">
      <c r="A18" s="20" t="s">
        <v>39</v>
      </c>
      <c r="B18" s="20" t="s">
        <v>302</v>
      </c>
      <c r="C18" s="20" t="s">
        <v>190</v>
      </c>
      <c r="D18" s="20" t="s">
        <v>275</v>
      </c>
      <c r="E18" s="20" t="s">
        <v>276</v>
      </c>
      <c r="F18" s="20" t="s">
        <v>288</v>
      </c>
      <c r="G18" s="20"/>
      <c r="H18" s="20" t="s">
        <v>278</v>
      </c>
      <c r="I18" s="20"/>
    </row>
    <row r="19" spans="1:9" x14ac:dyDescent="0.3">
      <c r="A19" s="20" t="s">
        <v>39</v>
      </c>
      <c r="B19" s="20" t="s">
        <v>302</v>
      </c>
      <c r="C19" s="20" t="s">
        <v>146</v>
      </c>
      <c r="D19" s="20" t="s">
        <v>275</v>
      </c>
      <c r="E19" s="20" t="s">
        <v>276</v>
      </c>
      <c r="F19" s="20" t="s">
        <v>291</v>
      </c>
      <c r="G19" s="20" t="s">
        <v>286</v>
      </c>
      <c r="H19" s="20" t="s">
        <v>278</v>
      </c>
      <c r="I19" s="20"/>
    </row>
    <row r="20" spans="1:9" ht="26.4" x14ac:dyDescent="0.3">
      <c r="A20" s="20" t="s">
        <v>39</v>
      </c>
      <c r="B20" s="20" t="s">
        <v>302</v>
      </c>
      <c r="C20" s="20" t="s">
        <v>147</v>
      </c>
      <c r="D20" s="20" t="s">
        <v>292</v>
      </c>
      <c r="E20" s="20" t="s">
        <v>276</v>
      </c>
      <c r="F20" s="20" t="s">
        <v>293</v>
      </c>
      <c r="G20" s="20"/>
      <c r="H20" s="20" t="s">
        <v>278</v>
      </c>
      <c r="I20" s="20"/>
    </row>
    <row r="21" spans="1:9" x14ac:dyDescent="0.3">
      <c r="A21" s="20" t="s">
        <v>39</v>
      </c>
      <c r="B21" s="20" t="s">
        <v>302</v>
      </c>
      <c r="C21" s="20" t="s">
        <v>14</v>
      </c>
      <c r="D21" s="20" t="s">
        <v>275</v>
      </c>
      <c r="E21" s="20" t="s">
        <v>276</v>
      </c>
      <c r="F21" s="20" t="s">
        <v>298</v>
      </c>
      <c r="G21" s="20" t="s">
        <v>299</v>
      </c>
      <c r="H21" s="20" t="s">
        <v>278</v>
      </c>
      <c r="I21" s="20"/>
    </row>
    <row r="22" spans="1:9" x14ac:dyDescent="0.3">
      <c r="A22" s="20" t="s">
        <v>39</v>
      </c>
      <c r="B22" s="20" t="s">
        <v>302</v>
      </c>
      <c r="C22" s="20" t="s">
        <v>191</v>
      </c>
      <c r="D22" s="20" t="s">
        <v>275</v>
      </c>
      <c r="E22" s="20" t="s">
        <v>276</v>
      </c>
      <c r="F22" s="20" t="s">
        <v>304</v>
      </c>
      <c r="G22" s="20"/>
      <c r="H22" s="20" t="s">
        <v>278</v>
      </c>
      <c r="I22" s="2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9</vt:i4>
      </vt:variant>
    </vt:vector>
  </HeadingPairs>
  <TitlesOfParts>
    <vt:vector size="16" baseType="lpstr">
      <vt:lpstr>00_LEIA-ME</vt:lpstr>
      <vt:lpstr>Entradas_9_3_2</vt:lpstr>
      <vt:lpstr>Decisoes_9_3_3</vt:lpstr>
      <vt:lpstr>Acoes_Anteriores</vt:lpstr>
      <vt:lpstr>Ata_RPG_2026_01</vt:lpstr>
      <vt:lpstr>Listas</vt:lpstr>
      <vt:lpstr>Dicionario_Dados</vt:lpstr>
      <vt:lpstr>DataRef</vt:lpstr>
      <vt:lpstr>lst_DataReferencia</vt:lpstr>
      <vt:lpstr>lst_EstadoDec</vt:lpstr>
      <vt:lpstr>lst_Funcao</vt:lpstr>
      <vt:lpstr>lst_Tendencia</vt:lpstr>
      <vt:lpstr>lst_TipoDecisao</vt:lpstr>
      <vt:lpstr>Acoes_Anteriores!Títulos_de_Impressão</vt:lpstr>
      <vt:lpstr>Decisoes_9_3_3!Títulos_de_Impressão</vt:lpstr>
      <vt:lpstr>Entradas_9_3_2!Títulos_de_Impressão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RG-SGQ-17 Revisão pela Gestão</dc:title>
  <dc:subject>SGQ NP EN ISO 9001:2026 — Plasticom</dc:subject>
  <dc:creator>Gerente da Qualidade</dc:creator>
  <cp:lastModifiedBy>Aline Meireles</cp:lastModifiedBy>
  <dcterms:created xsi:type="dcterms:W3CDTF">2026-09-30T13:07:31Z</dcterms:created>
  <dcterms:modified xsi:type="dcterms:W3CDTF">2026-09-30T13:07:40Z</dcterms:modified>
</cp:coreProperties>
</file>