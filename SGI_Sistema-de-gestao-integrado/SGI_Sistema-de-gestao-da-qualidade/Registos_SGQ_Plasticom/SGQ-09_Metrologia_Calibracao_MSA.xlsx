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tables/table5.xml" ContentType="application/vnd.openxmlformats-officedocument.spreadsheetml.table+xml"/>
  <Override PartName="/xl/comments5.xml" ContentType="application/vnd.openxmlformats-officedocument.spreadsheetml.comments+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roject Portfolios\manufacturing-performance-analytics\SGI_Sistema-de-gestao-integrado\SGI_Sistema-de-gestao-da-qualidade\Registos_SGQ_Plasticom\"/>
    </mc:Choice>
  </mc:AlternateContent>
  <xr:revisionPtr revIDLastSave="0" documentId="13_ncr:1_{6BAF4920-34F6-494B-AC15-29AFBB3A2835}" xr6:coauthVersionLast="47" xr6:coauthVersionMax="47" xr10:uidLastSave="{00000000-0000-0000-0000-000000000000}"/>
  <bookViews>
    <workbookView xWindow="1920" yWindow="1920" windowWidth="17280" windowHeight="8880" xr2:uid="{00000000-000D-0000-FFFF-FFFF00000000}"/>
  </bookViews>
  <sheets>
    <sheet name="00_LEIA-ME" sheetId="1" r:id="rId1"/>
    <sheet name="Inventario_Equipamentos" sheetId="2" r:id="rId2"/>
    <sheet name="Calibracoes" sheetId="3" r:id="rId3"/>
    <sheet name="Fora_Tolerancia" sheetId="4" r:id="rId4"/>
    <sheet name="GRR_Dados" sheetId="5" r:id="rId5"/>
    <sheet name="GRR_Calculo" sheetId="6" r:id="rId6"/>
    <sheet name="Estudos_MSA" sheetId="7" r:id="rId7"/>
    <sheet name="Resumo_Metrologia" sheetId="8" r:id="rId8"/>
    <sheet name="Listas" sheetId="9" r:id="rId9"/>
    <sheet name="Dicionario_Dados" sheetId="10" r:id="rId10"/>
  </sheets>
  <definedNames>
    <definedName name="DataRef">Listas!$A$3</definedName>
    <definedName name="lst_DataReferencia">Listas!$A$3:$A$3</definedName>
    <definedName name="lst_EstadoMSA">Listas!$F$3:$F$5</definedName>
    <definedName name="lst_EstadoUso">Listas!$D$3:$D$5</definedName>
    <definedName name="lst_Processo">Listas!$C$3:$C$20</definedName>
    <definedName name="lst_SimNao">Listas!$E$3:$E$4</definedName>
    <definedName name="lst_TipoConf">Listas!$B$3:$B$4</definedName>
    <definedName name="_xlnm.Print_Titles" localSheetId="2">Calibracoes!$1:$1</definedName>
    <definedName name="_xlnm.Print_Titles" localSheetId="6">Estudos_MSA!$4:$4</definedName>
    <definedName name="_xlnm.Print_Titles" localSheetId="3">Fora_Tolerancia!$4:$4</definedName>
    <definedName name="_xlnm.Print_Titles" localSheetId="4">GRR_Dados!$1:$1</definedName>
    <definedName name="_xlnm.Print_Titles" localSheetId="1">Inventario_Equipamentos!$4:$4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8" l="1"/>
  <c r="B5" i="8"/>
  <c r="B4" i="8"/>
  <c r="F34" i="6"/>
  <c r="D34" i="6"/>
  <c r="C34" i="6"/>
  <c r="E34" i="6" s="1"/>
  <c r="F33" i="6"/>
  <c r="D33" i="6"/>
  <c r="C33" i="6"/>
  <c r="E33" i="6" s="1"/>
  <c r="F32" i="6"/>
  <c r="D32" i="6"/>
  <c r="C32" i="6"/>
  <c r="E32" i="6" s="1"/>
  <c r="F31" i="6"/>
  <c r="D31" i="6"/>
  <c r="C31" i="6"/>
  <c r="F30" i="6"/>
  <c r="D30" i="6"/>
  <c r="C30" i="6"/>
  <c r="E30" i="6" s="1"/>
  <c r="F29" i="6"/>
  <c r="D29" i="6"/>
  <c r="C29" i="6"/>
  <c r="E29" i="6" s="1"/>
  <c r="F28" i="6"/>
  <c r="D28" i="6"/>
  <c r="C28" i="6"/>
  <c r="E28" i="6" s="1"/>
  <c r="F27" i="6"/>
  <c r="D27" i="6"/>
  <c r="C27" i="6"/>
  <c r="F26" i="6"/>
  <c r="D26" i="6"/>
  <c r="C26" i="6"/>
  <c r="E26" i="6" s="1"/>
  <c r="F25" i="6"/>
  <c r="D25" i="6"/>
  <c r="C25" i="6"/>
  <c r="E25" i="6" s="1"/>
  <c r="F24" i="6"/>
  <c r="D24" i="6"/>
  <c r="C24" i="6"/>
  <c r="E24" i="6" s="1"/>
  <c r="F23" i="6"/>
  <c r="D23" i="6"/>
  <c r="C23" i="6"/>
  <c r="F22" i="6"/>
  <c r="D22" i="6"/>
  <c r="E22" i="6" s="1"/>
  <c r="C22" i="6"/>
  <c r="F21" i="6"/>
  <c r="D21" i="6"/>
  <c r="C21" i="6"/>
  <c r="E21" i="6" s="1"/>
  <c r="F20" i="6"/>
  <c r="D20" i="6"/>
  <c r="C20" i="6"/>
  <c r="E20" i="6" s="1"/>
  <c r="F19" i="6"/>
  <c r="D19" i="6"/>
  <c r="C19" i="6"/>
  <c r="E19" i="6" s="1"/>
  <c r="F18" i="6"/>
  <c r="D18" i="6"/>
  <c r="C18" i="6"/>
  <c r="E18" i="6" s="1"/>
  <c r="F17" i="6"/>
  <c r="D17" i="6"/>
  <c r="C17" i="6"/>
  <c r="F16" i="6"/>
  <c r="D16" i="6"/>
  <c r="C16" i="6"/>
  <c r="E16" i="6" s="1"/>
  <c r="F15" i="6"/>
  <c r="D15" i="6"/>
  <c r="C15" i="6"/>
  <c r="E15" i="6" s="1"/>
  <c r="F14" i="6"/>
  <c r="D14" i="6"/>
  <c r="C14" i="6"/>
  <c r="E14" i="6" s="1"/>
  <c r="F13" i="6"/>
  <c r="D13" i="6"/>
  <c r="C13" i="6"/>
  <c r="E13" i="6" s="1"/>
  <c r="I12" i="6"/>
  <c r="I16" i="6" s="1"/>
  <c r="F12" i="6"/>
  <c r="D12" i="6"/>
  <c r="C12" i="6"/>
  <c r="E12" i="6" s="1"/>
  <c r="I11" i="6"/>
  <c r="F11" i="6"/>
  <c r="D11" i="6"/>
  <c r="C11" i="6"/>
  <c r="E11" i="6" s="1"/>
  <c r="F10" i="6"/>
  <c r="D10" i="6"/>
  <c r="C10" i="6"/>
  <c r="E10" i="6" s="1"/>
  <c r="F9" i="6"/>
  <c r="D9" i="6"/>
  <c r="C9" i="6"/>
  <c r="E9" i="6" s="1"/>
  <c r="F8" i="6"/>
  <c r="D8" i="6"/>
  <c r="C8" i="6"/>
  <c r="E8" i="6" s="1"/>
  <c r="F7" i="6"/>
  <c r="D7" i="6"/>
  <c r="C7" i="6"/>
  <c r="E7" i="6" s="1"/>
  <c r="F6" i="6"/>
  <c r="D6" i="6"/>
  <c r="C6" i="6"/>
  <c r="E6" i="6" s="1"/>
  <c r="F5" i="6"/>
  <c r="D5" i="6"/>
  <c r="C5" i="6"/>
  <c r="E5" i="6" s="1"/>
  <c r="J100" i="3"/>
  <c r="D100" i="3"/>
  <c r="J99" i="3"/>
  <c r="D99" i="3"/>
  <c r="J98" i="3"/>
  <c r="D98" i="3"/>
  <c r="J97" i="3"/>
  <c r="D97" i="3"/>
  <c r="J96" i="3"/>
  <c r="D96" i="3"/>
  <c r="J95" i="3"/>
  <c r="D95" i="3"/>
  <c r="J94" i="3"/>
  <c r="D94" i="3"/>
  <c r="J93" i="3"/>
  <c r="D93" i="3"/>
  <c r="J92" i="3"/>
  <c r="D92" i="3"/>
  <c r="J91" i="3"/>
  <c r="D91" i="3"/>
  <c r="J90" i="3"/>
  <c r="D90" i="3"/>
  <c r="J89" i="3"/>
  <c r="D89" i="3"/>
  <c r="J88" i="3"/>
  <c r="D88" i="3"/>
  <c r="J87" i="3"/>
  <c r="D87" i="3"/>
  <c r="J86" i="3"/>
  <c r="D86" i="3"/>
  <c r="J85" i="3"/>
  <c r="D85" i="3"/>
  <c r="J84" i="3"/>
  <c r="D84" i="3"/>
  <c r="J83" i="3"/>
  <c r="D83" i="3"/>
  <c r="J82" i="3"/>
  <c r="D82" i="3"/>
  <c r="J81" i="3"/>
  <c r="D81" i="3"/>
  <c r="J80" i="3"/>
  <c r="D80" i="3"/>
  <c r="J79" i="3"/>
  <c r="D79" i="3"/>
  <c r="J78" i="3"/>
  <c r="D78" i="3"/>
  <c r="J77" i="3"/>
  <c r="D77" i="3"/>
  <c r="J76" i="3"/>
  <c r="D76" i="3"/>
  <c r="J75" i="3"/>
  <c r="D75" i="3"/>
  <c r="J74" i="3"/>
  <c r="D74" i="3"/>
  <c r="J73" i="3"/>
  <c r="D73" i="3"/>
  <c r="J72" i="3"/>
  <c r="D72" i="3"/>
  <c r="J71" i="3"/>
  <c r="D71" i="3"/>
  <c r="J70" i="3"/>
  <c r="D70" i="3"/>
  <c r="J69" i="3"/>
  <c r="D69" i="3"/>
  <c r="J68" i="3"/>
  <c r="D68" i="3"/>
  <c r="J67" i="3"/>
  <c r="D67" i="3"/>
  <c r="J66" i="3"/>
  <c r="D66" i="3"/>
  <c r="J65" i="3"/>
  <c r="D65" i="3"/>
  <c r="J64" i="3"/>
  <c r="D64" i="3"/>
  <c r="J63" i="3"/>
  <c r="D63" i="3"/>
  <c r="J62" i="3"/>
  <c r="D62" i="3"/>
  <c r="J61" i="3"/>
  <c r="D61" i="3"/>
  <c r="J60" i="3"/>
  <c r="D60" i="3"/>
  <c r="J59" i="3"/>
  <c r="D59" i="3"/>
  <c r="J58" i="3"/>
  <c r="D58" i="3"/>
  <c r="J57" i="3"/>
  <c r="D57" i="3"/>
  <c r="J56" i="3"/>
  <c r="D56" i="3"/>
  <c r="J55" i="3"/>
  <c r="D55" i="3"/>
  <c r="J54" i="3"/>
  <c r="D54" i="3"/>
  <c r="J53" i="3"/>
  <c r="D53" i="3"/>
  <c r="J52" i="3"/>
  <c r="D52" i="3"/>
  <c r="J51" i="3"/>
  <c r="D51" i="3"/>
  <c r="J50" i="3"/>
  <c r="D50" i="3"/>
  <c r="J49" i="3"/>
  <c r="D49" i="3"/>
  <c r="J48" i="3"/>
  <c r="D48" i="3"/>
  <c r="J47" i="3"/>
  <c r="D47" i="3"/>
  <c r="J46" i="3"/>
  <c r="D46" i="3"/>
  <c r="J45" i="3"/>
  <c r="D45" i="3"/>
  <c r="J44" i="3"/>
  <c r="D44" i="3"/>
  <c r="J43" i="3"/>
  <c r="D43" i="3"/>
  <c r="J42" i="3"/>
  <c r="D42" i="3"/>
  <c r="J41" i="3"/>
  <c r="D41" i="3"/>
  <c r="J40" i="3"/>
  <c r="D40" i="3"/>
  <c r="J39" i="3"/>
  <c r="D39" i="3"/>
  <c r="J38" i="3"/>
  <c r="D38" i="3"/>
  <c r="J37" i="3"/>
  <c r="D37" i="3"/>
  <c r="J36" i="3"/>
  <c r="D36" i="3"/>
  <c r="J35" i="3"/>
  <c r="D35" i="3"/>
  <c r="J34" i="3"/>
  <c r="D34" i="3"/>
  <c r="J33" i="3"/>
  <c r="D33" i="3"/>
  <c r="J32" i="3"/>
  <c r="D32" i="3"/>
  <c r="J31" i="3"/>
  <c r="D31" i="3"/>
  <c r="J30" i="3"/>
  <c r="D30" i="3"/>
  <c r="J29" i="3"/>
  <c r="D29" i="3"/>
  <c r="J28" i="3"/>
  <c r="D28" i="3"/>
  <c r="J27" i="3"/>
  <c r="D27" i="3"/>
  <c r="J26" i="3"/>
  <c r="D26" i="3"/>
  <c r="J25" i="3"/>
  <c r="D25" i="3"/>
  <c r="J24" i="3"/>
  <c r="D24" i="3"/>
  <c r="J23" i="3"/>
  <c r="D23" i="3"/>
  <c r="J22" i="3"/>
  <c r="D22" i="3"/>
  <c r="J21" i="3"/>
  <c r="D21" i="3"/>
  <c r="J20" i="3"/>
  <c r="D20" i="3"/>
  <c r="J19" i="3"/>
  <c r="D19" i="3"/>
  <c r="J18" i="3"/>
  <c r="D18" i="3"/>
  <c r="J17" i="3"/>
  <c r="D17" i="3"/>
  <c r="J16" i="3"/>
  <c r="D16" i="3"/>
  <c r="J15" i="3"/>
  <c r="D15" i="3"/>
  <c r="J14" i="3"/>
  <c r="D14" i="3"/>
  <c r="J13" i="3"/>
  <c r="D13" i="3"/>
  <c r="J12" i="3"/>
  <c r="D12" i="3"/>
  <c r="J11" i="3"/>
  <c r="D11" i="3"/>
  <c r="J10" i="3"/>
  <c r="D10" i="3"/>
  <c r="J9" i="3"/>
  <c r="D9" i="3"/>
  <c r="J8" i="3"/>
  <c r="D8" i="3"/>
  <c r="J7" i="3"/>
  <c r="D7" i="3"/>
  <c r="J6" i="3"/>
  <c r="D6" i="3"/>
  <c r="J5" i="3"/>
  <c r="D5" i="3"/>
  <c r="J4" i="3"/>
  <c r="D4" i="3"/>
  <c r="J3" i="3"/>
  <c r="D3" i="3"/>
  <c r="Q10" i="2" s="1"/>
  <c r="R10" i="2" s="1"/>
  <c r="J2" i="3"/>
  <c r="B11" i="8" s="1"/>
  <c r="D2" i="3"/>
  <c r="S43" i="2"/>
  <c r="P43" i="2"/>
  <c r="S42" i="2"/>
  <c r="P42" i="2"/>
  <c r="S41" i="2"/>
  <c r="P41" i="2"/>
  <c r="S40" i="2"/>
  <c r="P40" i="2"/>
  <c r="S39" i="2"/>
  <c r="P39" i="2"/>
  <c r="S38" i="2"/>
  <c r="P38" i="2"/>
  <c r="S37" i="2"/>
  <c r="P37" i="2"/>
  <c r="S36" i="2"/>
  <c r="P36" i="2"/>
  <c r="S35" i="2"/>
  <c r="P35" i="2"/>
  <c r="S34" i="2"/>
  <c r="P34" i="2"/>
  <c r="S33" i="2"/>
  <c r="P33" i="2"/>
  <c r="S32" i="2"/>
  <c r="P32" i="2"/>
  <c r="S31" i="2"/>
  <c r="P31" i="2"/>
  <c r="S30" i="2"/>
  <c r="P30" i="2"/>
  <c r="S29" i="2"/>
  <c r="P29" i="2"/>
  <c r="S28" i="2"/>
  <c r="P28" i="2"/>
  <c r="S27" i="2"/>
  <c r="P27" i="2"/>
  <c r="S26" i="2"/>
  <c r="P26" i="2"/>
  <c r="S25" i="2"/>
  <c r="P25" i="2"/>
  <c r="S24" i="2"/>
  <c r="P24" i="2"/>
  <c r="S23" i="2"/>
  <c r="P23" i="2"/>
  <c r="S22" i="2"/>
  <c r="P22" i="2"/>
  <c r="S21" i="2"/>
  <c r="P21" i="2"/>
  <c r="S20" i="2"/>
  <c r="P20" i="2"/>
  <c r="S19" i="2"/>
  <c r="P19" i="2"/>
  <c r="S18" i="2"/>
  <c r="P18" i="2"/>
  <c r="S17" i="2"/>
  <c r="P17" i="2"/>
  <c r="S16" i="2"/>
  <c r="P16" i="2"/>
  <c r="S15" i="2"/>
  <c r="P15" i="2"/>
  <c r="S14" i="2"/>
  <c r="P14" i="2"/>
  <c r="S13" i="2"/>
  <c r="P13" i="2"/>
  <c r="S12" i="2"/>
  <c r="P12" i="2"/>
  <c r="S11" i="2"/>
  <c r="P11" i="2"/>
  <c r="S10" i="2"/>
  <c r="P10" i="2"/>
  <c r="S9" i="2"/>
  <c r="P9" i="2"/>
  <c r="S8" i="2"/>
  <c r="P8" i="2"/>
  <c r="S7" i="2"/>
  <c r="P7" i="2"/>
  <c r="S6" i="2"/>
  <c r="Q6" i="2"/>
  <c r="P6" i="2"/>
  <c r="S5" i="2"/>
  <c r="P5" i="2"/>
  <c r="R6" i="2" l="1"/>
  <c r="Q8" i="2"/>
  <c r="R8" i="2" s="1"/>
  <c r="E17" i="6"/>
  <c r="E23" i="6"/>
  <c r="E27" i="6"/>
  <c r="E31" i="6"/>
  <c r="B10" i="8"/>
  <c r="Q7" i="2"/>
  <c r="R7" i="2" s="1"/>
  <c r="Q30" i="2"/>
  <c r="R30" i="2" s="1"/>
  <c r="Q23" i="2"/>
  <c r="R23" i="2" s="1"/>
  <c r="Q21" i="2"/>
  <c r="R21" i="2" s="1"/>
  <c r="Q19" i="2"/>
  <c r="R19" i="2" s="1"/>
  <c r="Q17" i="2"/>
  <c r="R17" i="2" s="1"/>
  <c r="Q15" i="2"/>
  <c r="R15" i="2" s="1"/>
  <c r="Q13" i="2"/>
  <c r="R13" i="2" s="1"/>
  <c r="Q11" i="2"/>
  <c r="R11" i="2" s="1"/>
  <c r="Q43" i="2"/>
  <c r="R43" i="2" s="1"/>
  <c r="Q42" i="2"/>
  <c r="R42" i="2" s="1"/>
  <c r="Q41" i="2"/>
  <c r="R41" i="2" s="1"/>
  <c r="Q40" i="2"/>
  <c r="R40" i="2" s="1"/>
  <c r="Q39" i="2"/>
  <c r="R39" i="2" s="1"/>
  <c r="Q38" i="2"/>
  <c r="R38" i="2" s="1"/>
  <c r="Q37" i="2"/>
  <c r="R37" i="2" s="1"/>
  <c r="Q36" i="2"/>
  <c r="R36" i="2" s="1"/>
  <c r="Q35" i="2"/>
  <c r="R35" i="2" s="1"/>
  <c r="Q34" i="2"/>
  <c r="R34" i="2" s="1"/>
  <c r="Q33" i="2"/>
  <c r="R33" i="2" s="1"/>
  <c r="Q32" i="2"/>
  <c r="R32" i="2" s="1"/>
  <c r="Q31" i="2"/>
  <c r="R31" i="2" s="1"/>
  <c r="Q29" i="2"/>
  <c r="R29" i="2" s="1"/>
  <c r="Q28" i="2"/>
  <c r="R28" i="2" s="1"/>
  <c r="Q27" i="2"/>
  <c r="R27" i="2" s="1"/>
  <c r="Q26" i="2"/>
  <c r="R26" i="2" s="1"/>
  <c r="Q25" i="2"/>
  <c r="R25" i="2" s="1"/>
  <c r="Q24" i="2"/>
  <c r="R24" i="2" s="1"/>
  <c r="Q22" i="2"/>
  <c r="R22" i="2" s="1"/>
  <c r="Q20" i="2"/>
  <c r="R20" i="2" s="1"/>
  <c r="Q18" i="2"/>
  <c r="R18" i="2" s="1"/>
  <c r="Q16" i="2"/>
  <c r="R16" i="2" s="1"/>
  <c r="Q14" i="2"/>
  <c r="R14" i="2" s="1"/>
  <c r="Q12" i="2"/>
  <c r="R12" i="2" s="1"/>
  <c r="I10" i="6"/>
  <c r="I13" i="6" s="1"/>
  <c r="I14" i="6" s="1"/>
  <c r="Q5" i="2"/>
  <c r="R5" i="2" s="1"/>
  <c r="Q9" i="2"/>
  <c r="R9" i="2" s="1"/>
  <c r="B8" i="8" l="1"/>
  <c r="B7" i="8"/>
  <c r="B6" i="8"/>
  <c r="B9" i="8" s="1"/>
  <c r="I15" i="6"/>
  <c r="I21" i="6" l="1"/>
  <c r="I17" i="6"/>
  <c r="I20" i="6" s="1"/>
  <c r="I22" i="6"/>
  <c r="G5" i="7" s="1"/>
  <c r="I23" i="6" l="1"/>
  <c r="I5" i="7" s="1"/>
  <c r="F5" i="7"/>
  <c r="I18" i="6"/>
  <c r="I19"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SGQ</author>
  </authors>
  <commentList>
    <comment ref="A4" authorId="0" shapeId="0" xr:uid="{00000000-0006-0000-0100-000001000000}">
      <text>
        <r>
          <rPr>
            <sz val="11"/>
            <color theme="1"/>
            <rFont val="Calibri"/>
            <family val="2"/>
            <scheme val="minor"/>
          </rPr>
          <t>ID único.</t>
        </r>
      </text>
    </comment>
    <comment ref="B4" authorId="0" shapeId="0" xr:uid="{00000000-0006-0000-0100-000002000000}">
      <text>
        <r>
          <rPr>
            <sz val="11"/>
            <color theme="1"/>
            <rFont val="Calibri"/>
            <family val="2"/>
            <scheme val="minor"/>
          </rPr>
          <t>Etiqueta no equipamento (identificação do estado, 7.1.5.2 b).</t>
        </r>
      </text>
    </comment>
    <comment ref="C4" authorId="0" shapeId="0" xr:uid="{00000000-0006-0000-0100-000003000000}">
      <text>
        <r>
          <rPr>
            <sz val="11"/>
            <color theme="1"/>
            <rFont val="Calibri"/>
            <family val="2"/>
            <scheme val="minor"/>
          </rPr>
          <t>Equipamento.</t>
        </r>
      </text>
    </comment>
    <comment ref="D4" authorId="0" shapeId="0" xr:uid="{00000000-0006-0000-0100-000004000000}">
      <text>
        <r>
          <rPr>
            <sz val="11"/>
            <color theme="1"/>
            <rFont val="Calibri"/>
            <family val="2"/>
            <scheme val="minor"/>
          </rPr>
          <t>Calibração externa rastreável ou verificação interna.</t>
        </r>
      </text>
    </comment>
    <comment ref="E4" authorId="0" shapeId="0" xr:uid="{00000000-0006-0000-0100-000005000000}">
      <text>
        <r>
          <rPr>
            <sz val="11"/>
            <color theme="1"/>
            <rFont val="Calibri"/>
            <family val="2"/>
            <scheme val="minor"/>
          </rPr>
          <t>Local de uso.</t>
        </r>
      </text>
    </comment>
    <comment ref="F4" authorId="0" shapeId="0" xr:uid="{00000000-0006-0000-0100-000006000000}">
      <text>
        <r>
          <rPr>
            <sz val="11"/>
            <color theme="1"/>
            <rFont val="Calibri"/>
            <family val="2"/>
            <scheme val="minor"/>
          </rPr>
          <t>Processo.</t>
        </r>
      </text>
    </comment>
    <comment ref="G4" authorId="0" shapeId="0" xr:uid="{00000000-0006-0000-0100-000007000000}">
      <text>
        <r>
          <rPr>
            <sz val="11"/>
            <color theme="1"/>
            <rFont val="Calibri"/>
            <family val="2"/>
            <scheme val="minor"/>
          </rPr>
          <t>Característica medida (requisito do cliente/plano de controlo).</t>
        </r>
      </text>
    </comment>
    <comment ref="H4" authorId="0" shapeId="0" xr:uid="{00000000-0006-0000-0100-000008000000}">
      <text>
        <r>
          <rPr>
            <sz val="11"/>
            <color theme="1"/>
            <rFont val="Calibri"/>
            <family val="2"/>
            <scheme val="minor"/>
          </rPr>
          <t>Meia-tolerância da característica (±), na unidade.</t>
        </r>
      </text>
    </comment>
    <comment ref="I4" authorId="0" shapeId="0" xr:uid="{00000000-0006-0000-0100-000009000000}">
      <text>
        <r>
          <rPr>
            <sz val="11"/>
            <color theme="1"/>
            <rFont val="Calibri"/>
            <family val="2"/>
            <scheme val="minor"/>
          </rPr>
          <t>Unidade.</t>
        </r>
      </text>
    </comment>
    <comment ref="J4" authorId="0" shapeId="0" xr:uid="{00000000-0006-0000-0100-00000A000000}">
      <text>
        <r>
          <rPr>
            <sz val="11"/>
            <color theme="1"/>
            <rFont val="Calibri"/>
            <family val="2"/>
            <scheme val="minor"/>
          </rPr>
          <t>Resolução do equipamento.</t>
        </r>
      </text>
    </comment>
    <comment ref="K4" authorId="0" shapeId="0" xr:uid="{00000000-0006-0000-0100-00000B000000}">
      <text>
        <r>
          <rPr>
            <sz val="11"/>
            <color theme="1"/>
            <rFont val="Calibri"/>
            <family val="2"/>
            <scheme val="minor"/>
          </rPr>
          <t>Erro máximo admissível (requisito metrológico, ISO 10012).</t>
        </r>
      </text>
    </comment>
    <comment ref="L4" authorId="0" shapeId="0" xr:uid="{00000000-0006-0000-0100-00000C000000}">
      <text>
        <r>
          <rPr>
            <sz val="11"/>
            <color theme="1"/>
            <rFont val="Calibri"/>
            <family val="2"/>
            <scheme val="minor"/>
          </rPr>
          <t>Intervalo de confirmação.</t>
        </r>
      </text>
    </comment>
    <comment ref="M4" authorId="0" shapeId="0" xr:uid="{00000000-0006-0000-0100-00000D000000}">
      <text>
        <r>
          <rPr>
            <sz val="11"/>
            <color theme="1"/>
            <rFont val="Calibri"/>
            <family val="2"/>
            <scheme val="minor"/>
          </rPr>
          <t>Data da última calibração/verificação.</t>
        </r>
      </text>
    </comment>
    <comment ref="N4" authorId="0" shapeId="0" xr:uid="{00000000-0006-0000-0100-00000E000000}">
      <text>
        <r>
          <rPr>
            <sz val="11"/>
            <color theme="1"/>
            <rFont val="Calibri"/>
            <family val="2"/>
            <scheme val="minor"/>
          </rPr>
          <t>Laboratório acreditado ou método de verificação (rastreabilidade).</t>
        </r>
      </text>
    </comment>
    <comment ref="O4" authorId="0" shapeId="0" xr:uid="{00000000-0006-0000-0100-00000F000000}">
      <text>
        <r>
          <rPr>
            <sz val="11"/>
            <color theme="1"/>
            <rFont val="Calibri"/>
            <family val="2"/>
            <scheme val="minor"/>
          </rPr>
          <t>Estado de uso.</t>
        </r>
      </text>
    </comment>
    <comment ref="P4" authorId="0" shapeId="0" xr:uid="{00000000-0006-0000-0100-000010000000}">
      <text>
        <r>
          <rPr>
            <sz val="11"/>
            <color theme="1"/>
            <rFont val="Calibri"/>
            <family val="2"/>
            <scheme val="minor"/>
          </rPr>
          <t>Última + intervalo.
[calculado]</t>
        </r>
      </text>
    </comment>
    <comment ref="Q4" authorId="0" shapeId="0" xr:uid="{00000000-0006-0000-0100-000011000000}">
      <text>
        <r>
          <rPr>
            <sz val="11"/>
            <color theme="1"/>
            <rFont val="Calibri"/>
            <family val="2"/>
            <scheme val="minor"/>
          </rPr>
          <t>Decisão da última confirmação (tbl_calibracoes).
[calculado]</t>
        </r>
      </text>
    </comment>
    <comment ref="R4" authorId="0" shapeId="0" xr:uid="{00000000-0006-0000-0100-000012000000}">
      <text>
        <r>
          <rPr>
            <sz val="11"/>
            <color theme="1"/>
            <rFont val="Calibri"/>
            <family val="2"/>
            <scheme val="minor"/>
          </rPr>
          <t>Estado para identificação no posto (7.1.5.2 b).
[calculado]</t>
        </r>
      </text>
    </comment>
    <comment ref="S4" authorId="0" shapeId="0" xr:uid="{00000000-0006-0000-0100-000013000000}">
      <text>
        <r>
          <rPr>
            <sz val="11"/>
            <color theme="1"/>
            <rFont val="Calibri"/>
            <family val="2"/>
            <scheme val="minor"/>
          </rPr>
          <t>Tolerância ÷ EMA (recomendado ≥ 4; ideal ≥ 10).
[calculado]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SGQ</author>
  </authors>
  <commentList>
    <comment ref="A1" authorId="0" shapeId="0" xr:uid="{00000000-0006-0000-0200-000001000000}">
      <text>
        <r>
          <rPr>
            <sz val="11"/>
            <color theme="1"/>
            <rFont val="Calibri"/>
            <family val="2"/>
            <scheme val="minor"/>
          </rPr>
          <t>Registo de calibração/verificação.</t>
        </r>
      </text>
    </comment>
    <comment ref="B1" authorId="0" shapeId="0" xr:uid="{00000000-0006-0000-0200-000002000000}">
      <text>
        <r>
          <rPr>
            <sz val="11"/>
            <color theme="1"/>
            <rFont val="Calibri"/>
            <family val="2"/>
            <scheme val="minor"/>
          </rPr>
          <t>Equipamento.</t>
        </r>
      </text>
    </comment>
    <comment ref="C1" authorId="0" shapeId="0" xr:uid="{00000000-0006-0000-0200-000003000000}">
      <text>
        <r>
          <rPr>
            <sz val="11"/>
            <color theme="1"/>
            <rFont val="Calibri"/>
            <family val="2"/>
            <scheme val="minor"/>
          </rPr>
          <t>Data.</t>
        </r>
      </text>
    </comment>
    <comment ref="D1" authorId="0" shapeId="0" xr:uid="{00000000-0006-0000-0200-000004000000}">
      <text>
        <r>
          <rPr>
            <sz val="11"/>
            <color theme="1"/>
            <rFont val="Calibri"/>
            <family val="2"/>
            <scheme val="minor"/>
          </rPr>
          <t>Chave técnica.
[calculado]</t>
        </r>
      </text>
    </comment>
    <comment ref="E1" authorId="0" shapeId="0" xr:uid="{00000000-0006-0000-0200-000005000000}">
      <text>
        <r>
          <rPr>
            <sz val="11"/>
            <color theme="1"/>
            <rFont val="Calibri"/>
            <family val="2"/>
            <scheme val="minor"/>
          </rPr>
          <t>N.º do certificado / relatório.</t>
        </r>
      </text>
    </comment>
    <comment ref="F1" authorId="0" shapeId="0" xr:uid="{00000000-0006-0000-0200-000006000000}">
      <text>
        <r>
          <rPr>
            <sz val="11"/>
            <color theme="1"/>
            <rFont val="Calibri"/>
            <family val="2"/>
            <scheme val="minor"/>
          </rPr>
          <t>Laboratório ou verificação interna.</t>
        </r>
      </text>
    </comment>
    <comment ref="G1" authorId="0" shapeId="0" xr:uid="{00000000-0006-0000-0200-000007000000}">
      <text>
        <r>
          <rPr>
            <sz val="11"/>
            <color theme="1"/>
            <rFont val="Calibri"/>
            <family val="2"/>
            <scheme val="minor"/>
          </rPr>
          <t>Maior erro encontrado (valor absoluto).</t>
        </r>
      </text>
    </comment>
    <comment ref="H1" authorId="0" shapeId="0" xr:uid="{00000000-0006-0000-0200-000008000000}">
      <text>
        <r>
          <rPr>
            <sz val="11"/>
            <color theme="1"/>
            <rFont val="Calibri"/>
            <family val="2"/>
            <scheme val="minor"/>
          </rPr>
          <t>Incerteza expandida U (k = 2).</t>
        </r>
      </text>
    </comment>
    <comment ref="I1" authorId="0" shapeId="0" xr:uid="{00000000-0006-0000-0200-000009000000}">
      <text>
        <r>
          <rPr>
            <sz val="11"/>
            <color theme="1"/>
            <rFont val="Calibri"/>
            <family val="2"/>
            <scheme val="minor"/>
          </rPr>
          <t>Erro máximo admissível.</t>
        </r>
      </text>
    </comment>
    <comment ref="J1" authorId="0" shapeId="0" xr:uid="{00000000-0006-0000-0200-00000A000000}">
      <text>
        <r>
          <rPr>
            <sz val="11"/>
            <color theme="1"/>
            <rFont val="Calibri"/>
            <family val="2"/>
            <scheme val="minor"/>
          </rPr>
          <t>Regra de decisão com banda de guarda (ISO 14253-1).
[calculado]</t>
        </r>
      </text>
    </comment>
    <comment ref="K1" authorId="0" shapeId="0" xr:uid="{00000000-0006-0000-0200-00000B000000}">
      <text>
        <r>
          <rPr>
            <sz val="11"/>
            <color theme="1"/>
            <rFont val="Calibri"/>
            <family val="2"/>
            <scheme val="minor"/>
          </rPr>
          <t>Houve ajuste? (7.1.5.2 c: proteção contra ajustes não autorizados)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SGQ</author>
  </authors>
  <commentList>
    <comment ref="A4" authorId="0" shapeId="0" xr:uid="{00000000-0006-0000-0300-000001000000}">
      <text>
        <r>
          <rPr>
            <sz val="11"/>
            <color theme="1"/>
            <rFont val="Calibri"/>
            <family val="2"/>
            <scheme val="minor"/>
          </rPr>
          <t>Avaliação de fora de tolerância.</t>
        </r>
      </text>
    </comment>
    <comment ref="B4" authorId="0" shapeId="0" xr:uid="{00000000-0006-0000-0300-000002000000}">
      <text>
        <r>
          <rPr>
            <sz val="11"/>
            <color theme="1"/>
            <rFont val="Calibri"/>
            <family val="2"/>
            <scheme val="minor"/>
          </rPr>
          <t>Equipamento.</t>
        </r>
      </text>
    </comment>
    <comment ref="C4" authorId="0" shapeId="0" xr:uid="{00000000-0006-0000-0300-000003000000}">
      <text>
        <r>
          <rPr>
            <sz val="11"/>
            <color theme="1"/>
            <rFont val="Calibri"/>
            <family val="2"/>
            <scheme val="minor"/>
          </rPr>
          <t>Data.</t>
        </r>
      </text>
    </comment>
    <comment ref="D4" authorId="0" shapeId="0" xr:uid="{00000000-0006-0000-0300-000004000000}">
      <text>
        <r>
          <rPr>
            <sz val="11"/>
            <color theme="1"/>
            <rFont val="Calibri"/>
            <family val="2"/>
            <scheme val="minor"/>
          </rPr>
          <t>O que foi encontrado.</t>
        </r>
      </text>
    </comment>
    <comment ref="E4" authorId="0" shapeId="0" xr:uid="{00000000-0006-0000-0300-000005000000}">
      <text>
        <r>
          <rPr>
            <sz val="11"/>
            <color theme="1"/>
            <rFont val="Calibri"/>
            <family val="2"/>
            <scheme val="minor"/>
          </rPr>
          <t>Período desde a última confirmação conforme.</t>
        </r>
      </text>
    </comment>
    <comment ref="F4" authorId="0" shapeId="0" xr:uid="{00000000-0006-0000-0300-000006000000}">
      <text>
        <r>
          <rPr>
            <sz val="11"/>
            <color theme="1"/>
            <rFont val="Calibri"/>
            <family val="2"/>
            <scheme val="minor"/>
          </rPr>
          <t>Validade dos resultados anteriores (7.1.5.2 último parágrafo).</t>
        </r>
      </text>
    </comment>
    <comment ref="G4" authorId="0" shapeId="0" xr:uid="{00000000-0006-0000-0300-000007000000}">
      <text>
        <r>
          <rPr>
            <sz val="11"/>
            <color theme="1"/>
            <rFont val="Calibri"/>
            <family val="2"/>
            <scheme val="minor"/>
          </rPr>
          <t>Produto afetado / ação sobre o produto.</t>
        </r>
      </text>
    </comment>
    <comment ref="H4" authorId="0" shapeId="0" xr:uid="{00000000-0006-0000-0300-000008000000}">
      <text>
        <r>
          <rPr>
            <sz val="11"/>
            <color theme="1"/>
            <rFont val="Calibri"/>
            <family val="2"/>
            <scheme val="minor"/>
          </rPr>
          <t>Ação tomada.</t>
        </r>
      </text>
    </comment>
    <comment ref="I4" authorId="0" shapeId="0" xr:uid="{00000000-0006-0000-0300-000009000000}">
      <text>
        <r>
          <rPr>
            <sz val="11"/>
            <color theme="1"/>
            <rFont val="Calibri"/>
            <family val="2"/>
            <scheme val="minor"/>
          </rPr>
          <t>Responsável.</t>
        </r>
      </text>
    </comment>
    <comment ref="J4" authorId="0" shapeId="0" xr:uid="{00000000-0006-0000-0300-00000A000000}">
      <text>
        <r>
          <rPr>
            <sz val="11"/>
            <color theme="1"/>
            <rFont val="Calibri"/>
            <family val="2"/>
            <scheme val="minor"/>
          </rPr>
          <t>Estado.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SGQ</author>
  </authors>
  <commentList>
    <comment ref="A1" authorId="0" shapeId="0" xr:uid="{00000000-0006-0000-0400-000001000000}">
      <text>
        <r>
          <rPr>
            <sz val="11"/>
            <color theme="1"/>
            <rFont val="Calibri"/>
            <family val="2"/>
            <scheme val="minor"/>
          </rPr>
          <t>Medição.</t>
        </r>
      </text>
    </comment>
    <comment ref="B1" authorId="0" shapeId="0" xr:uid="{00000000-0006-0000-0400-000002000000}">
      <text>
        <r>
          <rPr>
            <sz val="11"/>
            <color theme="1"/>
            <rFont val="Calibri"/>
            <family val="2"/>
            <scheme val="minor"/>
          </rPr>
          <t>Estudo MSA.</t>
        </r>
      </text>
    </comment>
    <comment ref="C1" authorId="0" shapeId="0" xr:uid="{00000000-0006-0000-0400-000003000000}">
      <text>
        <r>
          <rPr>
            <sz val="11"/>
            <color theme="1"/>
            <rFont val="Calibri"/>
            <family val="2"/>
            <scheme val="minor"/>
          </rPr>
          <t>Peça (10 peças da produção de OP-INJ-003).</t>
        </r>
      </text>
    </comment>
    <comment ref="D1" authorId="0" shapeId="0" xr:uid="{00000000-0006-0000-0400-000004000000}">
      <text>
        <r>
          <rPr>
            <sz val="11"/>
            <color theme="1"/>
            <rFont val="Calibri"/>
            <family val="2"/>
            <scheme val="minor"/>
          </rPr>
          <t>Inspetor.</t>
        </r>
      </text>
    </comment>
    <comment ref="E1" authorId="0" shapeId="0" xr:uid="{00000000-0006-0000-0400-000005000000}">
      <text>
        <r>
          <rPr>
            <sz val="11"/>
            <color theme="1"/>
            <rFont val="Calibri"/>
            <family val="2"/>
            <scheme val="minor"/>
          </rPr>
          <t>Repetição 1–3.</t>
        </r>
      </text>
    </comment>
    <comment ref="F1" authorId="0" shapeId="0" xr:uid="{00000000-0006-0000-0400-000006000000}">
      <text>
        <r>
          <rPr>
            <sz val="11"/>
            <color theme="1"/>
            <rFont val="Calibri"/>
            <family val="2"/>
            <scheme val="minor"/>
          </rPr>
          <t>Peso medido (g).</t>
        </r>
      </text>
    </comment>
    <comment ref="G1" authorId="0" shapeId="0" xr:uid="{00000000-0006-0000-0400-000007000000}">
      <text>
        <r>
          <rPr>
            <sz val="11"/>
            <color theme="1"/>
            <rFont val="Calibri"/>
            <family val="2"/>
            <scheme val="minor"/>
          </rPr>
          <t>Data/hora da medição.</t>
        </r>
      </text>
    </comment>
    <comment ref="H1" authorId="0" shapeId="0" xr:uid="{00000000-0006-0000-0400-000008000000}">
      <text>
        <r>
          <rPr>
            <sz val="11"/>
            <color theme="1"/>
            <rFont val="Calibri"/>
            <family val="2"/>
            <scheme val="minor"/>
          </rPr>
          <t>Limite inferior.</t>
        </r>
      </text>
    </comment>
    <comment ref="I1" authorId="0" shapeId="0" xr:uid="{00000000-0006-0000-0400-000009000000}">
      <text>
        <r>
          <rPr>
            <sz val="11"/>
            <color theme="1"/>
            <rFont val="Calibri"/>
            <family val="2"/>
            <scheme val="minor"/>
          </rPr>
          <t>Limite superior.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SGQ</author>
  </authors>
  <commentList>
    <comment ref="A4" authorId="0" shapeId="0" xr:uid="{00000000-0006-0000-0600-000001000000}">
      <text>
        <r>
          <rPr>
            <sz val="11"/>
            <color theme="1"/>
            <rFont val="Calibri"/>
            <family val="2"/>
            <scheme val="minor"/>
          </rPr>
          <t>Estudo MSA.</t>
        </r>
      </text>
    </comment>
    <comment ref="B4" authorId="0" shapeId="0" xr:uid="{00000000-0006-0000-0600-000002000000}">
      <text>
        <r>
          <rPr>
            <sz val="11"/>
            <color theme="1"/>
            <rFont val="Calibri"/>
            <family val="2"/>
            <scheme val="minor"/>
          </rPr>
          <t>Característica.</t>
        </r>
      </text>
    </comment>
    <comment ref="C4" authorId="0" shapeId="0" xr:uid="{00000000-0006-0000-0600-000003000000}">
      <text>
        <r>
          <rPr>
            <sz val="11"/>
            <color theme="1"/>
            <rFont val="Calibri"/>
            <family val="2"/>
            <scheme val="minor"/>
          </rPr>
          <t>Tipo de equipamento.</t>
        </r>
      </text>
    </comment>
    <comment ref="D4" authorId="0" shapeId="0" xr:uid="{00000000-0006-0000-0600-000004000000}">
      <text>
        <r>
          <rPr>
            <sz val="11"/>
            <color theme="1"/>
            <rFont val="Calibri"/>
            <family val="2"/>
            <scheme val="minor"/>
          </rPr>
          <t>GRR por variáveis / atributos (kappa) / viés e linearidade.</t>
        </r>
      </text>
    </comment>
    <comment ref="E4" authorId="0" shapeId="0" xr:uid="{00000000-0006-0000-0600-000005000000}">
      <text>
        <r>
          <rPr>
            <sz val="11"/>
            <color theme="1"/>
            <rFont val="Calibri"/>
            <family val="2"/>
            <scheme val="minor"/>
          </rPr>
          <t>Data.</t>
        </r>
      </text>
    </comment>
    <comment ref="F4" authorId="0" shapeId="0" xr:uid="{00000000-0006-0000-0600-000006000000}">
      <text>
        <r>
          <rPr>
            <sz val="11"/>
            <color theme="1"/>
            <rFont val="Calibri"/>
            <family val="2"/>
            <scheme val="minor"/>
          </rPr>
          <t>%GRR da variação total.</t>
        </r>
      </text>
    </comment>
    <comment ref="G4" authorId="0" shapeId="0" xr:uid="{00000000-0006-0000-0600-000007000000}">
      <text>
        <r>
          <rPr>
            <sz val="11"/>
            <color theme="1"/>
            <rFont val="Calibri"/>
            <family val="2"/>
            <scheme val="minor"/>
          </rPr>
          <t>ndc (variáveis) ou kappa (atributos).</t>
        </r>
      </text>
    </comment>
    <comment ref="H4" authorId="0" shapeId="0" xr:uid="{00000000-0006-0000-0600-000008000000}">
      <text>
        <r>
          <rPr>
            <sz val="11"/>
            <color theme="1"/>
            <rFont val="Calibri"/>
            <family val="2"/>
            <scheme val="minor"/>
          </rPr>
          <t>Estado.</t>
        </r>
      </text>
    </comment>
    <comment ref="I4" authorId="0" shapeId="0" xr:uid="{00000000-0006-0000-0600-000009000000}">
      <text>
        <r>
          <rPr>
            <sz val="11"/>
            <color theme="1"/>
            <rFont val="Calibri"/>
            <family val="2"/>
            <scheme val="minor"/>
          </rPr>
          <t>Conclusão.</t>
        </r>
      </text>
    </comment>
    <comment ref="J4" authorId="0" shapeId="0" xr:uid="{00000000-0006-0000-0600-00000A000000}">
      <text>
        <r>
          <rPr>
            <sz val="11"/>
            <color theme="1"/>
            <rFont val="Calibri"/>
            <family val="2"/>
            <scheme val="minor"/>
          </rPr>
          <t>Porque é necessário (característica crítica/decisão).</t>
        </r>
      </text>
    </comment>
  </commentList>
</comments>
</file>

<file path=xl/sharedStrings.xml><?xml version="1.0" encoding="utf-8"?>
<sst xmlns="http://schemas.openxmlformats.org/spreadsheetml/2006/main" count="2119" uniqueCount="890">
  <si>
    <t>RG-SGQ-09 — Metrologia: Confirmação Metrológica, Calibração e MSA</t>
  </si>
  <si>
    <t>Sistema de Gestão da Qualidade NP EN ISO 9001:2026 · Plasticom — Unidade 1 (Marinha Grande, Portugal) · Registo do SGQ (fábrica simulada)</t>
  </si>
  <si>
    <t>CONTROLO DO DOCUMENTO (7.5 — informação documentada)</t>
  </si>
  <si>
    <t>Código do registo</t>
  </si>
  <si>
    <t>RG-SGQ-09</t>
  </si>
  <si>
    <t>Título</t>
  </si>
  <si>
    <t>Metrologia: Confirmação Metrológica, Calibração e MSA</t>
  </si>
  <si>
    <t>Versão / Revisão</t>
  </si>
  <si>
    <t>01</t>
  </si>
  <si>
    <t>Data de emissão</t>
  </si>
  <si>
    <t>Elaborado por</t>
  </si>
  <si>
    <t>Gerente da Qualidade</t>
  </si>
  <si>
    <t>Aprovado por</t>
  </si>
  <si>
    <t>Diretor Geral</t>
  </si>
  <si>
    <t>Estado</t>
  </si>
  <si>
    <t>Em vigor</t>
  </si>
  <si>
    <t>Retenção</t>
  </si>
  <si>
    <t>5 anos após substituição</t>
  </si>
  <si>
    <t>Localização</t>
  </si>
  <si>
    <t>Repositório controlado do SGQ &gt; Registos_SGQ_Plasticom (a versão eletrónica é a controlada; cópias impressas são não controladas). Proteção contra alterações não intencionais (7.5.3.2): edição só pelo dono do registo; histórico de versões no repositório.</t>
  </si>
  <si>
    <t>FINALIDADE E ÂMBITO</t>
  </si>
  <si>
    <t>Finalidade</t>
  </si>
  <si>
    <t>Registo do sistema de gestão da medição da Plasticom segundo a ISO 10012:2026: inventário com requisitos metrológicos (tolerância da característica, EMA, relação de incerteza), estado de confirmação calculado, histórico de calibrações com regra de decisão com banda de guarda, avaliações retrospetivas de fora de tolerância e o estudo Gage R&amp;R real do peso das tampas calculado por fórmulas.</t>
  </si>
  <si>
    <t>Utilização / atividades</t>
  </si>
  <si>
    <t>Manter o inventário de equipamentos de monitorização e medição, planear e registar a calibração/verificação, decidir a conformidade metrológica, avaliar o impacto de equipamento fora de tolerância e demonstrar a adequação do sistema de medição (MSA).</t>
  </si>
  <si>
    <t>Requisitos ISO 9001:2026</t>
  </si>
  <si>
    <t>7.1.5.1 a) b) e informação documentada como evidência de adequação; 7.1.5.2 a) calibração/verificação rastreável, b) identificação do estado, c) proteção contra ajustes, e avaliação da validade de resultados anteriores; 8.5.1 b); 9.1.1 b)</t>
  </si>
  <si>
    <t>REFERÊNCIAS DE BOAS PRÁTICAS APLICADAS (orientação — não são requisitos auditáveis da ISO 9001)</t>
  </si>
  <si>
    <t>ISO 10012:2026 (Academy cap. 59)</t>
  </si>
  <si>
    <t>Calibração válida ≠ sistema de medição adequado: requisito metrológico derivado da tolerância, confirmação metrológica, MSA proporcional ao risco e reação a medição não fiável.</t>
  </si>
  <si>
    <t>AIAG MSA 4.ª ed. / Academy cap. 60–61, 163, 175</t>
  </si>
  <si>
    <t>Gage R&amp;R pelo método da média e amplitude (K1 = 0,5908; K2 = 0,5231; K3 = 0,3146 para 3 ensaios, 3 avaliadores, 10 peças); critérios %GRR &lt; 10% aceitável, 10–30% condicional; ndc ≥ 5; MSA por atributos (kappa).</t>
  </si>
  <si>
    <t>ISO 14253-1 (regra de decisão)</t>
  </si>
  <si>
    <t>Conforme se |erro| + U ≤ EMA (banda de guarda); 'Indeterminado' se |erro| ≤ EMA &lt; |erro| + U.</t>
  </si>
  <si>
    <t>ISO/TC 176 APG — Resources (monitoring and measuring)</t>
  </si>
  <si>
    <t>O auditor segue um instrumento do posto até ao certificado e ao padrão nacional; verifica a avaliação retrospetiva quando está fora de tolerância.</t>
  </si>
  <si>
    <t>ESTRUTURA DO FICHEIRO</t>
  </si>
  <si>
    <t>Inventario_Equipamentos</t>
  </si>
  <si>
    <t>Inventário de equipamentos de monitorização e medição com requisitos metrológicos e estado de confirmação calculado (7.1.5; ISO 10012:2026).</t>
  </si>
  <si>
    <t>Calibracoes</t>
  </si>
  <si>
    <t>Histórico de calibrações e verificações com decisão de conformidade metrológica.</t>
  </si>
  <si>
    <t>Fora_Tolerancia</t>
  </si>
  <si>
    <t>Equipamento fora de tolerância ou vencido e avaliação do impacto nos resultados anteriores (7.1.5.2).</t>
  </si>
  <si>
    <t>GRR_Dados</t>
  </si>
  <si>
    <t>Dados brutos do estudo Gage R&amp;R GRR-CAP-WEIGHT-001 (dataset do projeto, 10 peças × 3 avaliadores × 3 ensaios).</t>
  </si>
  <si>
    <t>GRR_Calculo</t>
  </si>
  <si>
    <t>Cálculo do Gage R&amp;R por fórmulas (método da média e amplitude, AIAG MSA) sobre tbl_grr_dados.</t>
  </si>
  <si>
    <t>Estudos_MSA</t>
  </si>
  <si>
    <t>Plano e resultados de análise do sistema de medição (MSA) proporcional ao risco.</t>
  </si>
  <si>
    <t>Resumo_Metrologia</t>
  </si>
  <si>
    <t>Indicadores calculados (KPI-Q-17) e estado do parque.</t>
  </si>
  <si>
    <t>Listas</t>
  </si>
  <si>
    <t>Domínios (listas de valores) usados na validação de dados das tabelas.</t>
  </si>
  <si>
    <t>Dicionario_Dados</t>
  </si>
  <si>
    <t>Descrição de cada coluna de cada tabela: tipo, origem (entrada/calculado), domínio, obrigatoriedade e chaves.</t>
  </si>
  <si>
    <t>CONVENÇÕES (prontas para análise de dados e machine learning)</t>
  </si>
  <si>
    <t>Tabelas</t>
  </si>
  <si>
    <t>Cada registo é uma Tabela Excel com nome próprio (tbl_*): uma linha = um registo, cabeçalho único, sem células mescladas. Ler com pandas (pd.read_excel(ficheiro, sheet_name=folha, header=&lt;linha do cabeçalho - 1&gt;)) ou Power BI (Obter Dados &gt; Tabela).</t>
  </si>
  <si>
    <t>Cabeçalho cinzento</t>
  </si>
  <si>
    <t>Coluna CALCULADA por fórmula — não escrever por cima. As restantes colunas são de entrada.</t>
  </si>
  <si>
    <t>Validação</t>
  </si>
  <si>
    <t>Colunas com lista controlada só aceitam valores da folha Listas (evita categorias duplicadas por grafia diferente).</t>
  </si>
  <si>
    <t>Chaves</t>
  </si>
  <si>
    <t>IDs estáveis e únicos (PK) e referências a IDs de outros registos (FK) permitem juntar tabelas entre ficheiros do SGQ e do SGA — ver SGQ-00_Indice_Modelo_Dados.xlsx.</t>
  </si>
  <si>
    <t>Datas e unidades</t>
  </si>
  <si>
    <t>Datas em formato data (aaaa-mm-dd); números como números; a unidade está no nome da coluna ou no dicionário. Data de referência do SGQ: 2026-12-31.</t>
  </si>
  <si>
    <t>Dados</t>
  </si>
  <si>
    <t>Fábrica simulada Plasticom. Dados operacionais e de qualidade extraídos do dataset do projeto (datasets/silver e datasets/dim, período 2025-07-01 a 2026-12-31); os campos de gestão que o dataset não tem (datas de resposta, avaliações, decisões) são simulação didática coerente com esses dados.</t>
  </si>
  <si>
    <t>LIGAÇÕES A OUTROS REGISTOS</t>
  </si>
  <si>
    <t>RG-SGQ-13 Plano de controlo</t>
  </si>
  <si>
    <t>Equipamento de cada característica do plano de controlo.</t>
  </si>
  <si>
    <t>RG-SGA-13</t>
  </si>
  <si>
    <t>Equipamentos de medição ambiental (SGI).</t>
  </si>
  <si>
    <t>dataset fact_gage_rr_study</t>
  </si>
  <si>
    <t>Dados brutos do estudo GRR-CAP-WEIGHT-001 (tbl_grr_dados).</t>
  </si>
  <si>
    <t>INVENTÁRIO DE EQUIPAMENTOS DE MEDIÇÃO E CONFIRMAÇÃO METROLÓGICA (7.1.5 · ISO 10012:2026)</t>
  </si>
  <si>
    <t>Derivado dos planos de controlo do dataset · EMA = requisito metrológico · Estado calculado à data de referência · Vermelho = não usar</t>
  </si>
  <si>
    <t>ID_Equipamento</t>
  </si>
  <si>
    <t>Codigo_Interno</t>
  </si>
  <si>
    <t>Equipamento</t>
  </si>
  <si>
    <t>Tipo_Controlo</t>
  </si>
  <si>
    <t>Local</t>
  </si>
  <si>
    <t>Processo</t>
  </si>
  <si>
    <t>Caracteristica</t>
  </si>
  <si>
    <t>Tolerancia_Mais_Menos</t>
  </si>
  <si>
    <t>Unidade</t>
  </si>
  <si>
    <t>Resolucao</t>
  </si>
  <si>
    <t>EMA</t>
  </si>
  <si>
    <t>Periodicidade_Meses</t>
  </si>
  <si>
    <t>Ultima_Calibracao</t>
  </si>
  <si>
    <t>Entidade</t>
  </si>
  <si>
    <t>Estado_Uso</t>
  </si>
  <si>
    <t>Proxima_Calibracao</t>
  </si>
  <si>
    <t>Ultimo_Resultado</t>
  </si>
  <si>
    <t>Rel_Tolerancia_EMA</t>
  </si>
  <si>
    <t>EQM-001</t>
  </si>
  <si>
    <t>BAL1-01</t>
  </si>
  <si>
    <t>Balança 0,01 g</t>
  </si>
  <si>
    <t>Calibração externa</t>
  </si>
  <si>
    <t>ISBM-001</t>
  </si>
  <si>
    <t>SOP</t>
  </si>
  <si>
    <t>Peso do frasco</t>
  </si>
  <si>
    <t>g</t>
  </si>
  <si>
    <t>Lab. acreditado L0045</t>
  </si>
  <si>
    <t>Em uso</t>
  </si>
  <si>
    <t>EQM-002</t>
  </si>
  <si>
    <t>BAL1-02</t>
  </si>
  <si>
    <t>ISBM-003</t>
  </si>
  <si>
    <t>EQM-003</t>
  </si>
  <si>
    <t>BAL1-03</t>
  </si>
  <si>
    <t>ISBM-005</t>
  </si>
  <si>
    <t>EQM-004</t>
  </si>
  <si>
    <t>BAL1-04</t>
  </si>
  <si>
    <t>ISBM-006</t>
  </si>
  <si>
    <t>EQM-005</t>
  </si>
  <si>
    <t>BAL1-05</t>
  </si>
  <si>
    <t>ISBM-009</t>
  </si>
  <si>
    <t>EQM-006</t>
  </si>
  <si>
    <t>BAL1-06</t>
  </si>
  <si>
    <t>Laboratório</t>
  </si>
  <si>
    <t>LAB</t>
  </si>
  <si>
    <t>EQM-007</t>
  </si>
  <si>
    <t>BAL3-01</t>
  </si>
  <si>
    <t>Balança analítica 0,001 g</t>
  </si>
  <si>
    <t>Peso da tampa</t>
  </si>
  <si>
    <t>EQM-008</t>
  </si>
  <si>
    <t>BAL3-02</t>
  </si>
  <si>
    <t>IM-002</t>
  </si>
  <si>
    <t>INJ</t>
  </si>
  <si>
    <t>EQM-009</t>
  </si>
  <si>
    <t>BAL3-03</t>
  </si>
  <si>
    <t>IM-007</t>
  </si>
  <si>
    <t>EQM-010</t>
  </si>
  <si>
    <t>PAQ-01</t>
  </si>
  <si>
    <t>Paquímetro digital 0–150 mm</t>
  </si>
  <si>
    <t>Altura / diâmetro</t>
  </si>
  <si>
    <t>mm</t>
  </si>
  <si>
    <t>Lab. acreditado L0112</t>
  </si>
  <si>
    <t>EQM-011</t>
  </si>
  <si>
    <t>PAQ-02</t>
  </si>
  <si>
    <t>Posto sopro</t>
  </si>
  <si>
    <t>EQM-012</t>
  </si>
  <si>
    <t>PAQ-03</t>
  </si>
  <si>
    <t>Posto injeção</t>
  </si>
  <si>
    <t>EQM-013</t>
  </si>
  <si>
    <t>PAQ-04</t>
  </si>
  <si>
    <t>Receção</t>
  </si>
  <si>
    <t>REC</t>
  </si>
  <si>
    <t>EQM-014</t>
  </si>
  <si>
    <t>CAL-01</t>
  </si>
  <si>
    <t>Calibre passa/não passa de gargalo e rosca</t>
  </si>
  <si>
    <t>Verificação interna</t>
  </si>
  <si>
    <t>24/410</t>
  </si>
  <si>
    <t>Diâmetro do gargalo / rosca</t>
  </si>
  <si>
    <t>Verificação interna com blocos-padrão calibrados</t>
  </si>
  <si>
    <t>EQM-015</t>
  </si>
  <si>
    <t>CAL-02</t>
  </si>
  <si>
    <t>28/410</t>
  </si>
  <si>
    <t>EQM-016</t>
  </si>
  <si>
    <t>CAL-03</t>
  </si>
  <si>
    <t>28/415</t>
  </si>
  <si>
    <t>EQM-017</t>
  </si>
  <si>
    <t>CAL-04</t>
  </si>
  <si>
    <t>38/400 (potes)</t>
  </si>
  <si>
    <t>EQM-018</t>
  </si>
  <si>
    <t>ESP-01</t>
  </si>
  <si>
    <t>Medidor de espessura por ultrassons</t>
  </si>
  <si>
    <t>Espessura de parede</t>
  </si>
  <si>
    <t>EQM-019</t>
  </si>
  <si>
    <t>ESP-02</t>
  </si>
  <si>
    <t>EQM-020</t>
  </si>
  <si>
    <t>PRV-01</t>
  </si>
  <si>
    <t>Proveta graduada 1 000 ml classe A</t>
  </si>
  <si>
    <t>Volume de transbordo</t>
  </si>
  <si>
    <t>ml</t>
  </si>
  <si>
    <t>Verificação gravimétrica interna</t>
  </si>
  <si>
    <t>EQM-021</t>
  </si>
  <si>
    <t>PRV-02</t>
  </si>
  <si>
    <t>Laboratório 2</t>
  </si>
  <si>
    <t>EQM-022</t>
  </si>
  <si>
    <t>LKT-01</t>
  </si>
  <si>
    <t>Equipamento de ensaio de estanquidade</t>
  </si>
  <si>
    <t>Estanquidade (fuga)</t>
  </si>
  <si>
    <t>mbar</t>
  </si>
  <si>
    <t>Verificação com fuga calibrada (padrão rastreável)</t>
  </si>
  <si>
    <t>EQM-023</t>
  </si>
  <si>
    <t>LKT-02</t>
  </si>
  <si>
    <t>EQM-024</t>
  </si>
  <si>
    <t>LKT-03</t>
  </si>
  <si>
    <t>ISBM-010</t>
  </si>
  <si>
    <t>EQM-025</t>
  </si>
  <si>
    <t>D65-01</t>
  </si>
  <si>
    <t>Cabine de luz D65</t>
  </si>
  <si>
    <t>Defeitos visuais e cor</t>
  </si>
  <si>
    <t>lux</t>
  </si>
  <si>
    <t>Luxímetro calibrado + horas das lâmpadas</t>
  </si>
  <si>
    <t>EQM-026</t>
  </si>
  <si>
    <t>D65-02</t>
  </si>
  <si>
    <t>EQM-027</t>
  </si>
  <si>
    <t>D65-03</t>
  </si>
  <si>
    <t>Posto decoração</t>
  </si>
  <si>
    <t>SER</t>
  </si>
  <si>
    <t>EQM-028</t>
  </si>
  <si>
    <t>TRQ-01</t>
  </si>
  <si>
    <t>Torquímetro digital de tampas</t>
  </si>
  <si>
    <t>Binário de abertura / força de remoção</t>
  </si>
  <si>
    <t>N·cm</t>
  </si>
  <si>
    <t>Lab. acreditado L0203</t>
  </si>
  <si>
    <t>EQM-029</t>
  </si>
  <si>
    <t>TRQ-02</t>
  </si>
  <si>
    <t>EQM-030</t>
  </si>
  <si>
    <t>TBT-01</t>
  </si>
  <si>
    <t>Equipamento de ensaio do anel de inviolabilidade</t>
  </si>
  <si>
    <t>Força de rotura das pontes</t>
  </si>
  <si>
    <t>N</t>
  </si>
  <si>
    <t>EQM-031</t>
  </si>
  <si>
    <t>MIG-01</t>
  </si>
  <si>
    <t>Célula de migração + balança de resíduo</t>
  </si>
  <si>
    <t>Migração global</t>
  </si>
  <si>
    <t>mg/dm²</t>
  </si>
  <si>
    <t>Verificação com ensaio interlaboratorial</t>
  </si>
  <si>
    <t>EQM-032</t>
  </si>
  <si>
    <t>UTM-01</t>
  </si>
  <si>
    <t>Máquina universal de ensaios</t>
  </si>
  <si>
    <t>Carga de empilhamento / tensão</t>
  </si>
  <si>
    <t>kgf</t>
  </si>
  <si>
    <t>EQM-033</t>
  </si>
  <si>
    <t>DRP-01</t>
  </si>
  <si>
    <t>Banco de ensaio de queda ASTM D2463</t>
  </si>
  <si>
    <t>Altura de queda</t>
  </si>
  <si>
    <t>Verificação dimensional interna</t>
  </si>
  <si>
    <t>EQM-034</t>
  </si>
  <si>
    <t>COL-01</t>
  </si>
  <si>
    <t>Colorímetro</t>
  </si>
  <si>
    <t>Cor (ΔE)</t>
  </si>
  <si>
    <t>ΔE</t>
  </si>
  <si>
    <t>Fabricante (placas de referência)</t>
  </si>
  <si>
    <t>EQM-035</t>
  </si>
  <si>
    <t>MFI-01</t>
  </si>
  <si>
    <t>Plastómetro (índice de fluidez)</t>
  </si>
  <si>
    <t>Laboratório de receção</t>
  </si>
  <si>
    <t>MFI da resina</t>
  </si>
  <si>
    <t>g/10 min</t>
  </si>
  <si>
    <t>Lab. acreditado L0301</t>
  </si>
  <si>
    <t>EQM-036</t>
  </si>
  <si>
    <t>KFT-01</t>
  </si>
  <si>
    <t>Titulador Karl Fischer</t>
  </si>
  <si>
    <t>Humidade da resina</t>
  </si>
  <si>
    <t>ppm</t>
  </si>
  <si>
    <t>Padrão de água certificado</t>
  </si>
  <si>
    <t>EQM-037</t>
  </si>
  <si>
    <t>DEN-01</t>
  </si>
  <si>
    <t>Coluna de densidade</t>
  </si>
  <si>
    <t>Densidade</t>
  </si>
  <si>
    <t>g/cm³</t>
  </si>
  <si>
    <t>Esferas-padrão certificadas</t>
  </si>
  <si>
    <t>EQM-038</t>
  </si>
  <si>
    <t>TH-01</t>
  </si>
  <si>
    <t>Termo-higrómetro</t>
  </si>
  <si>
    <t>Nave de sopro (TH-01)</t>
  </si>
  <si>
    <t>Temperatura / humidade ambiente</t>
  </si>
  <si>
    <t>°C</t>
  </si>
  <si>
    <t>EQM-039</t>
  </si>
  <si>
    <t>TH-02</t>
  </si>
  <si>
    <t>Armazém de resinas (TH-02)</t>
  </si>
  <si>
    <t>ID_Calibracao</t>
  </si>
  <si>
    <t>Data</t>
  </si>
  <si>
    <t>Chave</t>
  </si>
  <si>
    <t>Certificado</t>
  </si>
  <si>
    <t>Erro_Max_Encontrado</t>
  </si>
  <si>
    <t>Incerteza_U</t>
  </si>
  <si>
    <t>Decisao</t>
  </si>
  <si>
    <t>Ajustado</t>
  </si>
  <si>
    <t>CAL-001-1</t>
  </si>
  <si>
    <t>C-2411-001</t>
  </si>
  <si>
    <t>Não</t>
  </si>
  <si>
    <t>CAL-001-2</t>
  </si>
  <si>
    <t>C-2511-001</t>
  </si>
  <si>
    <t>CAL-001-3</t>
  </si>
  <si>
    <t>C-2611-001</t>
  </si>
  <si>
    <t>CAL-002-1</t>
  </si>
  <si>
    <t>C-2412-002</t>
  </si>
  <si>
    <t>CAL-002-2</t>
  </si>
  <si>
    <t>C-2512-002</t>
  </si>
  <si>
    <t>CAL-002-3</t>
  </si>
  <si>
    <t>C-2612-002</t>
  </si>
  <si>
    <t>CAL-003-1</t>
  </si>
  <si>
    <t>C-2501-003</t>
  </si>
  <si>
    <t>CAL-003-2</t>
  </si>
  <si>
    <t>C-2601-003</t>
  </si>
  <si>
    <t>CAL-004-0</t>
  </si>
  <si>
    <t>C-2605-004A</t>
  </si>
  <si>
    <t>Sim</t>
  </si>
  <si>
    <t>CAL-004-1</t>
  </si>
  <si>
    <t>C-2511-004</t>
  </si>
  <si>
    <t>CAL-004-2</t>
  </si>
  <si>
    <t>C-2605-004</t>
  </si>
  <si>
    <t>CAL-004-3</t>
  </si>
  <si>
    <t>C-2611-004</t>
  </si>
  <si>
    <t>CAL-005-1</t>
  </si>
  <si>
    <t>C-2511-005</t>
  </si>
  <si>
    <t>CAL-005-2</t>
  </si>
  <si>
    <t>C-2605-005</t>
  </si>
  <si>
    <t>CAL-005-3</t>
  </si>
  <si>
    <t>C-2611-005</t>
  </si>
  <si>
    <t>CAL-006-1</t>
  </si>
  <si>
    <t>C-2512-006</t>
  </si>
  <si>
    <t>CAL-006-2</t>
  </si>
  <si>
    <t>C-2606-006</t>
  </si>
  <si>
    <t>CAL-006-3</t>
  </si>
  <si>
    <t>C-2612-006</t>
  </si>
  <si>
    <t>CAL-007-1</t>
  </si>
  <si>
    <t>C-2506-007</t>
  </si>
  <si>
    <t>CAL-007-2</t>
  </si>
  <si>
    <t>C-2606-007</t>
  </si>
  <si>
    <t>CAL-008-1</t>
  </si>
  <si>
    <t>C-2507-008</t>
  </si>
  <si>
    <t>CAL-008-2</t>
  </si>
  <si>
    <t>C-2607-008</t>
  </si>
  <si>
    <t>CAL-009-1</t>
  </si>
  <si>
    <t>C-2410-009</t>
  </si>
  <si>
    <t>CAL-009-2</t>
  </si>
  <si>
    <t>C-2510-009</t>
  </si>
  <si>
    <t>CAL-009-3</t>
  </si>
  <si>
    <t>C-2609-009</t>
  </si>
  <si>
    <t>CAL-010-1</t>
  </si>
  <si>
    <t>C-2411-010</t>
  </si>
  <si>
    <t>CAL-010-2</t>
  </si>
  <si>
    <t>C-2511-010</t>
  </si>
  <si>
    <t>CAL-010-3</t>
  </si>
  <si>
    <t>C-2611-010</t>
  </si>
  <si>
    <t>CAL-011-1</t>
  </si>
  <si>
    <t>C-2412-011</t>
  </si>
  <si>
    <t>CAL-011-2</t>
  </si>
  <si>
    <t>C-2512-011</t>
  </si>
  <si>
    <t>CAL-011-3</t>
  </si>
  <si>
    <t>C-2612-011</t>
  </si>
  <si>
    <t>CAL-012-1</t>
  </si>
  <si>
    <t>C-2501-012</t>
  </si>
  <si>
    <t>CAL-012-2</t>
  </si>
  <si>
    <t>C-2601-012</t>
  </si>
  <si>
    <t>CAL-013-1</t>
  </si>
  <si>
    <t>C-2503-013</t>
  </si>
  <si>
    <t>CAL-013-2</t>
  </si>
  <si>
    <t>C-2603-013</t>
  </si>
  <si>
    <t>CAL-014-1</t>
  </si>
  <si>
    <t>V-2504-014</t>
  </si>
  <si>
    <t>CAL-014-2</t>
  </si>
  <si>
    <t>V-2604-014</t>
  </si>
  <si>
    <t>CAL-015-1</t>
  </si>
  <si>
    <t>V-2505-015</t>
  </si>
  <si>
    <t>CAL-015-2</t>
  </si>
  <si>
    <t>V-2605-015</t>
  </si>
  <si>
    <t>CAL-016-1</t>
  </si>
  <si>
    <t>V-2506-016</t>
  </si>
  <si>
    <t>CAL-016-2</t>
  </si>
  <si>
    <t>V-2606-016</t>
  </si>
  <si>
    <t>CAL-017-1</t>
  </si>
  <si>
    <t>V-2507-017</t>
  </si>
  <si>
    <t>CAL-017-2</t>
  </si>
  <si>
    <t>V-2607-017</t>
  </si>
  <si>
    <t>CAL-018-1</t>
  </si>
  <si>
    <t>C-2410-018</t>
  </si>
  <si>
    <t>CAL-018-2</t>
  </si>
  <si>
    <t>C-2510-018</t>
  </si>
  <si>
    <t>CAL-018-3</t>
  </si>
  <si>
    <t>C-2610-018</t>
  </si>
  <si>
    <t>CAL-019-1</t>
  </si>
  <si>
    <t>C-2411-019</t>
  </si>
  <si>
    <t>CAL-019-2</t>
  </si>
  <si>
    <t>C-2511-019</t>
  </si>
  <si>
    <t>CAL-019-3</t>
  </si>
  <si>
    <t>C-2611-019</t>
  </si>
  <si>
    <t>CAL-020-1</t>
  </si>
  <si>
    <t>V-2212-020</t>
  </si>
  <si>
    <t>CAL-020-2</t>
  </si>
  <si>
    <t>V-2512-020</t>
  </si>
  <si>
    <t>CAL-021-1</t>
  </si>
  <si>
    <t>V-2301-021</t>
  </si>
  <si>
    <t>CAL-021-2</t>
  </si>
  <si>
    <t>V-2601-021</t>
  </si>
  <si>
    <t>CAL-022-1</t>
  </si>
  <si>
    <t>V-2506-022</t>
  </si>
  <si>
    <t>Verificação com fuga calibrada</t>
  </si>
  <si>
    <t>CAL-022-2</t>
  </si>
  <si>
    <t>V-2512-022</t>
  </si>
  <si>
    <t>CAL-022-3</t>
  </si>
  <si>
    <t>V-2609-022</t>
  </si>
  <si>
    <t>CAL-023-1</t>
  </si>
  <si>
    <t>V-2510-023</t>
  </si>
  <si>
    <t>CAL-023-2</t>
  </si>
  <si>
    <t>V-2604-023</t>
  </si>
  <si>
    <t>CAL-023-3</t>
  </si>
  <si>
    <t>V-2610-023</t>
  </si>
  <si>
    <t>CAL-024-1</t>
  </si>
  <si>
    <t>V-2510-024</t>
  </si>
  <si>
    <t>CAL-024-2</t>
  </si>
  <si>
    <t>V-2604-024</t>
  </si>
  <si>
    <t>CAL-024-3</t>
  </si>
  <si>
    <t>V-2610-024</t>
  </si>
  <si>
    <t>CAL-025-1</t>
  </si>
  <si>
    <t>V-2506-025</t>
  </si>
  <si>
    <t>CAL-025-2</t>
  </si>
  <si>
    <t>V-2606-025</t>
  </si>
  <si>
    <t>CAL-026-1</t>
  </si>
  <si>
    <t>V-2507-026</t>
  </si>
  <si>
    <t>CAL-026-2</t>
  </si>
  <si>
    <t>V-2607-026</t>
  </si>
  <si>
    <t>CAL-027-1</t>
  </si>
  <si>
    <t>V-2410-027</t>
  </si>
  <si>
    <t>CAL-027-2</t>
  </si>
  <si>
    <t>V-2510-027</t>
  </si>
  <si>
    <t>CAL-027-3</t>
  </si>
  <si>
    <t>V-2610-027</t>
  </si>
  <si>
    <t>CAL-028-1</t>
  </si>
  <si>
    <t>C-2411-028</t>
  </si>
  <si>
    <t>CAL-028-2</t>
  </si>
  <si>
    <t>C-2511-028</t>
  </si>
  <si>
    <t>CAL-028-3</t>
  </si>
  <si>
    <t>C-2611-028</t>
  </si>
  <si>
    <t>CAL-029-1</t>
  </si>
  <si>
    <t>C-2412-029</t>
  </si>
  <si>
    <t>CAL-029-2</t>
  </si>
  <si>
    <t>C-2512-029</t>
  </si>
  <si>
    <t>CAL-029-3</t>
  </si>
  <si>
    <t>C-2612-029</t>
  </si>
  <si>
    <t>CAL-030-1</t>
  </si>
  <si>
    <t>C-2501-030</t>
  </si>
  <si>
    <t>CAL-030-2</t>
  </si>
  <si>
    <t>C-2601-030</t>
  </si>
  <si>
    <t>CAL-031-1</t>
  </si>
  <si>
    <t>V-2408-031</t>
  </si>
  <si>
    <t>CAL-031-2</t>
  </si>
  <si>
    <t>V-2508-031</t>
  </si>
  <si>
    <t>CAL-031-3</t>
  </si>
  <si>
    <t>V-2610-031</t>
  </si>
  <si>
    <t>CAL-032-1</t>
  </si>
  <si>
    <t>C-2504-032</t>
  </si>
  <si>
    <t>CAL-032-2</t>
  </si>
  <si>
    <t>C-2604-032</t>
  </si>
  <si>
    <t>CAL-033-1</t>
  </si>
  <si>
    <t>V-2405-033</t>
  </si>
  <si>
    <t>CAL-033-2</t>
  </si>
  <si>
    <t>V-2605-033</t>
  </si>
  <si>
    <t>CAL-034-1</t>
  </si>
  <si>
    <t>C-2506-034</t>
  </si>
  <si>
    <t>Fabricante</t>
  </si>
  <si>
    <t>CAL-034-2</t>
  </si>
  <si>
    <t>C-2606-034</t>
  </si>
  <si>
    <t>CAL-035-1</t>
  </si>
  <si>
    <t>C-2508-035</t>
  </si>
  <si>
    <t>CAL-035-2</t>
  </si>
  <si>
    <t>C-2608-035</t>
  </si>
  <si>
    <t>CAL-036-1</t>
  </si>
  <si>
    <t>V-2511-036</t>
  </si>
  <si>
    <t>CAL-036-2</t>
  </si>
  <si>
    <t>V-2605-036</t>
  </si>
  <si>
    <t>CAL-036-3</t>
  </si>
  <si>
    <t>V-2611-036</t>
  </si>
  <si>
    <t>CAL-037-1</t>
  </si>
  <si>
    <t>V-2411-037</t>
  </si>
  <si>
    <t>CAL-037-2</t>
  </si>
  <si>
    <t>V-2511-037</t>
  </si>
  <si>
    <t>CAL-037-3</t>
  </si>
  <si>
    <t>V-2611-037</t>
  </si>
  <si>
    <t>CAL-038-1</t>
  </si>
  <si>
    <t>C-2412-038</t>
  </si>
  <si>
    <t>CAL-038-2</t>
  </si>
  <si>
    <t>C-2512-038</t>
  </si>
  <si>
    <t>CAL-038-3</t>
  </si>
  <si>
    <t>C-2612-038</t>
  </si>
  <si>
    <t>CAL-039-1</t>
  </si>
  <si>
    <t>C-2502-039</t>
  </si>
  <si>
    <t>CAL-039-2</t>
  </si>
  <si>
    <t>C-2602-039</t>
  </si>
  <si>
    <t>EQUIPAMENTO NÃO APTO — AVALIAÇÃO RETROSPETIVA (7.1.5.2)</t>
  </si>
  <si>
    <t>ID_OOT</t>
  </si>
  <si>
    <t>Data_Detecao</t>
  </si>
  <si>
    <t>Descricao</t>
  </si>
  <si>
    <t>Periodo_Afetado</t>
  </si>
  <si>
    <t>Avaliacao_Retrospetiva</t>
  </si>
  <si>
    <t>Produto_Afetado</t>
  </si>
  <si>
    <t>Acao</t>
  </si>
  <si>
    <t>Responsavel</t>
  </si>
  <si>
    <t>OOT-26-01</t>
  </si>
  <si>
    <t>Balança 0,01 g da ISBM-006 com erro de 0,08 g (EMA 0,05 g) na calibração anual</t>
  </si>
  <si>
    <t>2026-01-10 a 2026-05-12</t>
  </si>
  <si>
    <t>Recalculadas as decisões de peso dos lotes da ISBM-006 com a correção de −0,08 g: 0 lotes mudam de decisão (folga mínima 0,21 g face ao LSL).</t>
  </si>
  <si>
    <t>Nenhum lote afetado; cliente não notificado</t>
  </si>
  <si>
    <t>Ajuste e recalibração; intervalo reduzido para 6 meses; ligação ao relato REL-26-02</t>
  </si>
  <si>
    <t>Fechada</t>
  </si>
  <si>
    <t>OOT-26-02</t>
  </si>
  <si>
    <t>Proveta graduada da linha 2 com verificação vencida (constatação de auditoria)</t>
  </si>
  <si>
    <t>2025-08-05 a 2026-09-17</t>
  </si>
  <si>
    <t>Verificação gravimétrica feita no dia: erro 1,2 ml (EMA 5 ml). Resultados anteriores válidos.</t>
  </si>
  <si>
    <t>Nenhum</t>
  </si>
  <si>
    <t>Plano de verificação no calendário do laboratório</t>
  </si>
  <si>
    <t>OOT-26-03</t>
  </si>
  <si>
    <t>Equipamento de ensaio de estanquidade da ISBM-009 com verificação semestral vencida</t>
  </si>
  <si>
    <t>2026-06-01 a 2026-09-17</t>
  </si>
  <si>
    <t>Verificação com fuga calibrada: deteta 100% das fugas-padrão. Lotes farma libertados válidos.</t>
  </si>
  <si>
    <t>Nenhum; CUST-017 informado por transparência</t>
  </si>
  <si>
    <t>Alerta automático de vencimento no MES</t>
  </si>
  <si>
    <t>Em curso</t>
  </si>
  <si>
    <t>ID_Medicao</t>
  </si>
  <si>
    <t>Estudo</t>
  </si>
  <si>
    <t>Peca</t>
  </si>
  <si>
    <t>Avaliador</t>
  </si>
  <si>
    <t>Ensaio</t>
  </si>
  <si>
    <t>Valor</t>
  </si>
  <si>
    <t>Data_Hora</t>
  </si>
  <si>
    <t>LSL</t>
  </si>
  <si>
    <t>USL</t>
  </si>
  <si>
    <t>GRR-001</t>
  </si>
  <si>
    <t>GRR-CAP-WEIGHT-001</t>
  </si>
  <si>
    <t>PART-01</t>
  </si>
  <si>
    <t>Ana Silva</t>
  </si>
  <si>
    <t>2026-08-03 08:00</t>
  </si>
  <si>
    <t>GRR-002</t>
  </si>
  <si>
    <t>2026-08-03 08:04</t>
  </si>
  <si>
    <t>GRR-003</t>
  </si>
  <si>
    <t>2026-08-03 08:08</t>
  </si>
  <si>
    <t>GRR-004</t>
  </si>
  <si>
    <t>Beatriz Costa</t>
  </si>
  <si>
    <t>2026-08-03 08:12</t>
  </si>
  <si>
    <t>GRR-005</t>
  </si>
  <si>
    <t>2026-08-03 08:16</t>
  </si>
  <si>
    <t>GRR-006</t>
  </si>
  <si>
    <t>2026-08-03 08:20</t>
  </si>
  <si>
    <t>GRR-007</t>
  </si>
  <si>
    <t>Carlos Mendes</t>
  </si>
  <si>
    <t>2026-08-03 08:24</t>
  </si>
  <si>
    <t>GRR-008</t>
  </si>
  <si>
    <t>2026-08-03 08:28</t>
  </si>
  <si>
    <t>GRR-009</t>
  </si>
  <si>
    <t>2026-08-03 08:32</t>
  </si>
  <si>
    <t>GRR-010</t>
  </si>
  <si>
    <t>PART-02</t>
  </si>
  <si>
    <t>2026-08-03 08:36</t>
  </si>
  <si>
    <t>GRR-011</t>
  </si>
  <si>
    <t>2026-08-03 08:40</t>
  </si>
  <si>
    <t>GRR-012</t>
  </si>
  <si>
    <t>2026-08-03 08:44</t>
  </si>
  <si>
    <t>GRR-013</t>
  </si>
  <si>
    <t>2026-08-03 08:48</t>
  </si>
  <si>
    <t>GRR-014</t>
  </si>
  <si>
    <t>2026-08-03 08:52</t>
  </si>
  <si>
    <t>GRR-015</t>
  </si>
  <si>
    <t>2026-08-03 08:56</t>
  </si>
  <si>
    <t>GRR-016</t>
  </si>
  <si>
    <t>2026-08-03 09:00</t>
  </si>
  <si>
    <t>GRR-017</t>
  </si>
  <si>
    <t>2026-08-03 09:04</t>
  </si>
  <si>
    <t>GRR-018</t>
  </si>
  <si>
    <t>2026-08-03 09:08</t>
  </si>
  <si>
    <t>GRR-019</t>
  </si>
  <si>
    <t>PART-03</t>
  </si>
  <si>
    <t>2026-08-03 09:12</t>
  </si>
  <si>
    <t>GRR-020</t>
  </si>
  <si>
    <t>2026-08-03 09:16</t>
  </si>
  <si>
    <t>GRR-021</t>
  </si>
  <si>
    <t>2026-08-03 09:20</t>
  </si>
  <si>
    <t>GRR-022</t>
  </si>
  <si>
    <t>2026-08-03 09:24</t>
  </si>
  <si>
    <t>GRR-023</t>
  </si>
  <si>
    <t>2026-08-03 09:28</t>
  </si>
  <si>
    <t>GRR-024</t>
  </si>
  <si>
    <t>2026-08-03 09:32</t>
  </si>
  <si>
    <t>GRR-025</t>
  </si>
  <si>
    <t>2026-08-03 09:36</t>
  </si>
  <si>
    <t>GRR-026</t>
  </si>
  <si>
    <t>2026-08-03 09:40</t>
  </si>
  <si>
    <t>GRR-027</t>
  </si>
  <si>
    <t>2026-08-03 09:44</t>
  </si>
  <si>
    <t>GRR-028</t>
  </si>
  <si>
    <t>PART-04</t>
  </si>
  <si>
    <t>2026-08-03 09:48</t>
  </si>
  <si>
    <t>GRR-029</t>
  </si>
  <si>
    <t>2026-08-03 09:52</t>
  </si>
  <si>
    <t>GRR-030</t>
  </si>
  <si>
    <t>2026-08-03 09:56</t>
  </si>
  <si>
    <t>GRR-031</t>
  </si>
  <si>
    <t>2026-08-03 10:00</t>
  </si>
  <si>
    <t>GRR-032</t>
  </si>
  <si>
    <t>2026-08-03 10:04</t>
  </si>
  <si>
    <t>GRR-033</t>
  </si>
  <si>
    <t>2026-08-03 10:08</t>
  </si>
  <si>
    <t>GRR-034</t>
  </si>
  <si>
    <t>2026-08-03 10:12</t>
  </si>
  <si>
    <t>GRR-035</t>
  </si>
  <si>
    <t>2026-08-03 10:16</t>
  </si>
  <si>
    <t>GRR-036</t>
  </si>
  <si>
    <t>2026-08-03 10:20</t>
  </si>
  <si>
    <t>GRR-037</t>
  </si>
  <si>
    <t>PART-05</t>
  </si>
  <si>
    <t>2026-08-03 10:24</t>
  </si>
  <si>
    <t>GRR-038</t>
  </si>
  <si>
    <t>2026-08-03 10:28</t>
  </si>
  <si>
    <t>GRR-039</t>
  </si>
  <si>
    <t>2026-08-03 10:32</t>
  </si>
  <si>
    <t>GRR-040</t>
  </si>
  <si>
    <t>2026-08-03 10:36</t>
  </si>
  <si>
    <t>GRR-041</t>
  </si>
  <si>
    <t>2026-08-03 10:40</t>
  </si>
  <si>
    <t>GRR-042</t>
  </si>
  <si>
    <t>2026-08-03 10:44</t>
  </si>
  <si>
    <t>GRR-043</t>
  </si>
  <si>
    <t>2026-08-03 10:48</t>
  </si>
  <si>
    <t>GRR-044</t>
  </si>
  <si>
    <t>2026-08-03 10:52</t>
  </si>
  <si>
    <t>GRR-045</t>
  </si>
  <si>
    <t>2026-08-03 10:56</t>
  </si>
  <si>
    <t>GRR-046</t>
  </si>
  <si>
    <t>PART-06</t>
  </si>
  <si>
    <t>2026-08-03 11:00</t>
  </si>
  <si>
    <t>GRR-047</t>
  </si>
  <si>
    <t>2026-08-03 11:04</t>
  </si>
  <si>
    <t>GRR-048</t>
  </si>
  <si>
    <t>2026-08-03 11:08</t>
  </si>
  <si>
    <t>GRR-049</t>
  </si>
  <si>
    <t>2026-08-03 11:12</t>
  </si>
  <si>
    <t>GRR-050</t>
  </si>
  <si>
    <t>2026-08-03 11:16</t>
  </si>
  <si>
    <t>GRR-051</t>
  </si>
  <si>
    <t>2026-08-03 11:20</t>
  </si>
  <si>
    <t>GRR-052</t>
  </si>
  <si>
    <t>2026-08-03 11:24</t>
  </si>
  <si>
    <t>GRR-053</t>
  </si>
  <si>
    <t>2026-08-03 11:28</t>
  </si>
  <si>
    <t>GRR-054</t>
  </si>
  <si>
    <t>2026-08-03 11:32</t>
  </si>
  <si>
    <t>GRR-055</t>
  </si>
  <si>
    <t>PART-07</t>
  </si>
  <si>
    <t>2026-08-03 11:36</t>
  </si>
  <si>
    <t>GRR-056</t>
  </si>
  <si>
    <t>2026-08-03 11:40</t>
  </si>
  <si>
    <t>GRR-057</t>
  </si>
  <si>
    <t>2026-08-03 11:44</t>
  </si>
  <si>
    <t>GRR-058</t>
  </si>
  <si>
    <t>2026-08-03 11:48</t>
  </si>
  <si>
    <t>GRR-059</t>
  </si>
  <si>
    <t>2026-08-03 11:52</t>
  </si>
  <si>
    <t>GRR-060</t>
  </si>
  <si>
    <t>2026-08-03 11:56</t>
  </si>
  <si>
    <t>GRR-061</t>
  </si>
  <si>
    <t>2026-08-03 12:00</t>
  </si>
  <si>
    <t>GRR-062</t>
  </si>
  <si>
    <t>2026-08-03 12:04</t>
  </si>
  <si>
    <t>GRR-063</t>
  </si>
  <si>
    <t>2026-08-03 12:08</t>
  </si>
  <si>
    <t>GRR-064</t>
  </si>
  <si>
    <t>PART-08</t>
  </si>
  <si>
    <t>2026-08-03 12:12</t>
  </si>
  <si>
    <t>GRR-065</t>
  </si>
  <si>
    <t>2026-08-03 12:16</t>
  </si>
  <si>
    <t>GRR-066</t>
  </si>
  <si>
    <t>2026-08-03 12:20</t>
  </si>
  <si>
    <t>GRR-067</t>
  </si>
  <si>
    <t>2026-08-03 12:24</t>
  </si>
  <si>
    <t>GRR-068</t>
  </si>
  <si>
    <t>2026-08-03 12:28</t>
  </si>
  <si>
    <t>GRR-069</t>
  </si>
  <si>
    <t>2026-08-03 12:32</t>
  </si>
  <si>
    <t>GRR-070</t>
  </si>
  <si>
    <t>2026-08-03 12:36</t>
  </si>
  <si>
    <t>GRR-071</t>
  </si>
  <si>
    <t>2026-08-03 12:40</t>
  </si>
  <si>
    <t>GRR-072</t>
  </si>
  <si>
    <t>2026-08-03 12:44</t>
  </si>
  <si>
    <t>GRR-073</t>
  </si>
  <si>
    <t>PART-09</t>
  </si>
  <si>
    <t>2026-08-03 12:48</t>
  </si>
  <si>
    <t>GRR-074</t>
  </si>
  <si>
    <t>2026-08-03 12:52</t>
  </si>
  <si>
    <t>GRR-075</t>
  </si>
  <si>
    <t>2026-08-03 12:56</t>
  </si>
  <si>
    <t>GRR-076</t>
  </si>
  <si>
    <t>2026-08-03 13:00</t>
  </si>
  <si>
    <t>GRR-077</t>
  </si>
  <si>
    <t>2026-08-03 13:04</t>
  </si>
  <si>
    <t>GRR-078</t>
  </si>
  <si>
    <t>2026-08-03 13:08</t>
  </si>
  <si>
    <t>GRR-079</t>
  </si>
  <si>
    <t>2026-08-03 13:12</t>
  </si>
  <si>
    <t>GRR-080</t>
  </si>
  <si>
    <t>2026-08-03 13:16</t>
  </si>
  <si>
    <t>GRR-081</t>
  </si>
  <si>
    <t>2026-08-03 13:20</t>
  </si>
  <si>
    <t>GRR-082</t>
  </si>
  <si>
    <t>PART-10</t>
  </si>
  <si>
    <t>2026-08-03 13:24</t>
  </si>
  <si>
    <t>GRR-083</t>
  </si>
  <si>
    <t>2026-08-03 13:28</t>
  </si>
  <si>
    <t>GRR-084</t>
  </si>
  <si>
    <t>2026-08-03 13:32</t>
  </si>
  <si>
    <t>GRR-085</t>
  </si>
  <si>
    <t>2026-08-03 13:36</t>
  </si>
  <si>
    <t>GRR-086</t>
  </si>
  <si>
    <t>2026-08-03 13:40</t>
  </si>
  <si>
    <t>GRR-087</t>
  </si>
  <si>
    <t>2026-08-03 13:44</t>
  </si>
  <si>
    <t>GRR-088</t>
  </si>
  <si>
    <t>2026-08-03 13:48</t>
  </si>
  <si>
    <t>GRR-089</t>
  </si>
  <si>
    <t>2026-08-03 13:52</t>
  </si>
  <si>
    <t>GRR-090</t>
  </si>
  <si>
    <t>2026-08-03 13:56</t>
  </si>
  <si>
    <t>GAGE R&amp;R — PESO DAS TAMPAS (GRR-CAP-WEIGHT-001) — calculado</t>
  </si>
  <si>
    <t>Método da média e amplitude (AIAG MSA 4.ª ed.) · 10 peças × 3 avaliadores × 3 ensaios · Tudo em fórmulas sobre tbl_grr_dados</t>
  </si>
  <si>
    <t>Peça</t>
  </si>
  <si>
    <t>Máximo</t>
  </si>
  <si>
    <t>Mínimo</t>
  </si>
  <si>
    <t>Amplitude</t>
  </si>
  <si>
    <t>Média</t>
  </si>
  <si>
    <t>n peças</t>
  </si>
  <si>
    <t>Dado do estudo</t>
  </si>
  <si>
    <t>r ensaios</t>
  </si>
  <si>
    <t>k avaliadores</t>
  </si>
  <si>
    <t>K1 (3 ensaios)</t>
  </si>
  <si>
    <t>Constante AIAG (1/d2*)</t>
  </si>
  <si>
    <t>K2 (3 avaliadores)</t>
  </si>
  <si>
    <t>Constante AIAG</t>
  </si>
  <si>
    <t>K3 (10 peças)</t>
  </si>
  <si>
    <t>R̄ (amplitude média)</t>
  </si>
  <si>
    <t>Média das amplitudes avaliador × peça</t>
  </si>
  <si>
    <t>X̄diff (diferença entre médias dos avaliadores)</t>
  </si>
  <si>
    <t>Máx − mín das médias por avaliador</t>
  </si>
  <si>
    <t>Rp (amplitude das médias das peças)</t>
  </si>
  <si>
    <t>Máx − mín das médias por peça</t>
  </si>
  <si>
    <t>EV — repetibilidade</t>
  </si>
  <si>
    <t>R̄ × K1</t>
  </si>
  <si>
    <t>AV — reprodutibilidade</t>
  </si>
  <si>
    <t>√((X̄diff·K2)² − EV²/(n·r))</t>
  </si>
  <si>
    <t>GRR</t>
  </si>
  <si>
    <t>√(EV² + AV²)</t>
  </si>
  <si>
    <t>PV — variação das peças</t>
  </si>
  <si>
    <t>Rp × K3</t>
  </si>
  <si>
    <t>TV — variação total</t>
  </si>
  <si>
    <t>√(GRR² + PV²)</t>
  </si>
  <si>
    <t>%EV (da TV)</t>
  </si>
  <si>
    <t>%AV (da TV)</t>
  </si>
  <si>
    <t>%GRR (da TV)</t>
  </si>
  <si>
    <t>&lt; 10% aceitável; 10–30% condicional; &gt; 30% inaceitável</t>
  </si>
  <si>
    <t>%GRR (da tolerância, 6σ)</t>
  </si>
  <si>
    <t>Relevante para decisões de conformidade</t>
  </si>
  <si>
    <t>ndc — n.º de categorias distintas</t>
  </si>
  <si>
    <t>≥ 5 exigido</t>
  </si>
  <si>
    <t>Decisão</t>
  </si>
  <si>
    <t>Critérios AIAG</t>
  </si>
  <si>
    <t>ANÁLISE DO SISTEMA DE MEDIÇÃO (MSA)</t>
  </si>
  <si>
    <t>O estudo GRR-CAP-WEIGHT-001 lê os resultados da folha GRR_Calculo (dados reais) · Os restantes estão planeados por risco</t>
  </si>
  <si>
    <t>ID_Estudo</t>
  </si>
  <si>
    <t>Tipo_Estudo</t>
  </si>
  <si>
    <t>Pct_GRR_TV</t>
  </si>
  <si>
    <t>ndc_ou_Kappa</t>
  </si>
  <si>
    <t>Prioridade_Risco</t>
  </si>
  <si>
    <t>GRR por variáveis (média e amplitude)</t>
  </si>
  <si>
    <t>Concluído</t>
  </si>
  <si>
    <t>Característica maior; base do DMAIC IM-002 (dataset)</t>
  </si>
  <si>
    <t>GRR-BOT-THICK-001</t>
  </si>
  <si>
    <t>GRR por variáveis</t>
  </si>
  <si>
    <t>Planeado</t>
  </si>
  <si>
    <t>R1 / R17: espessura com Cpk marginal na ISBM-003</t>
  </si>
  <si>
    <t>GRR-CAP-TORQUE-001</t>
  </si>
  <si>
    <t>Binário de abertura</t>
  </si>
  <si>
    <t>Torquímetro digital</t>
  </si>
  <si>
    <t>GRR destrutivo (ANOVA aninhada)</t>
  </si>
  <si>
    <t>Característica crítica; reclamações de binário</t>
  </si>
  <si>
    <t>AAA-VIS-001</t>
  </si>
  <si>
    <t>Defeitos visuais (pontos negros, manchas)</t>
  </si>
  <si>
    <t>Cabine D65 (inspetores)</t>
  </si>
  <si>
    <t>Concordância por atributos (kappa de Fleiss)</t>
  </si>
  <si>
    <t>Kappa 0,71 — aceitável com melhoria (catálogo de defeitos FOR-Q-14)</t>
  </si>
  <si>
    <t>Reclamações de contaminação; 5 inspetores</t>
  </si>
  <si>
    <t>AAA-TAMPER-001</t>
  </si>
  <si>
    <t>Anel de inviolabilidade (passa/falha)</t>
  </si>
  <si>
    <t>Equipamento do anel</t>
  </si>
  <si>
    <t>Concordância por atributos</t>
  </si>
  <si>
    <t>S = 10 na PFMEA; farma</t>
  </si>
  <si>
    <t>RESUMO DA METROLOGIA — calculado</t>
  </si>
  <si>
    <t>Indicador</t>
  </si>
  <si>
    <t>Equipamentos no inventário</t>
  </si>
  <si>
    <t xml:space="preserve">  em uso</t>
  </si>
  <si>
    <t xml:space="preserve">  válidos</t>
  </si>
  <si>
    <t xml:space="preserve">  vencidos</t>
  </si>
  <si>
    <t xml:space="preserve">  bloqueados por não conformidade</t>
  </si>
  <si>
    <t>KPI-Q-17 — equipamentos em uso com confirmação válida</t>
  </si>
  <si>
    <t>Equipamentos com tolerância/EMA &lt; 4 (resolução insuficiente)</t>
  </si>
  <si>
    <t>Calibrações 'Indeterminado' (banda de guarda)</t>
  </si>
  <si>
    <t>Avaliações de fora de tolerância em curso</t>
  </si>
  <si>
    <t>LISTAS CONTROLADAS (domínios de validação de dados) — editar aqui para alterar opções</t>
  </si>
  <si>
    <t>DataReferencia</t>
  </si>
  <si>
    <t>TipoConf</t>
  </si>
  <si>
    <t>EstadoUso</t>
  </si>
  <si>
    <t>SimNao</t>
  </si>
  <si>
    <t>EstadoMSA</t>
  </si>
  <si>
    <t>GES</t>
  </si>
  <si>
    <t>QUA</t>
  </si>
  <si>
    <t>Fora de serviço</t>
  </si>
  <si>
    <t>COM</t>
  </si>
  <si>
    <t>Abatido</t>
  </si>
  <si>
    <t>RD</t>
  </si>
  <si>
    <t>PCP</t>
  </si>
  <si>
    <t>CMP</t>
  </si>
  <si>
    <t>HFS</t>
  </si>
  <si>
    <t>EXP</t>
  </si>
  <si>
    <t>MAN</t>
  </si>
  <si>
    <t>MET</t>
  </si>
  <si>
    <t>RH</t>
  </si>
  <si>
    <t>TI</t>
  </si>
  <si>
    <t>DOC</t>
  </si>
  <si>
    <t>Folha</t>
  </si>
  <si>
    <t>Tabela</t>
  </si>
  <si>
    <t>Coluna</t>
  </si>
  <si>
    <t>Tipo</t>
  </si>
  <si>
    <t>Origem</t>
  </si>
  <si>
    <t>Dominio_Unidade</t>
  </si>
  <si>
    <t>Obrigatorio</t>
  </si>
  <si>
    <t>tbl_equipamentos</t>
  </si>
  <si>
    <t>Texto</t>
  </si>
  <si>
    <t>Entrada</t>
  </si>
  <si>
    <t>ID único.</t>
  </si>
  <si>
    <t>PK</t>
  </si>
  <si>
    <t>Etiqueta no equipamento (identificação do estado, 7.1.5.2 b).</t>
  </si>
  <si>
    <t>Equipamento.</t>
  </si>
  <si>
    <t>Calibração externa rastreável ou verificação interna.</t>
  </si>
  <si>
    <t>Lista lst_TipoConf</t>
  </si>
  <si>
    <t>Local de uso.</t>
  </si>
  <si>
    <t>Processo.</t>
  </si>
  <si>
    <t>Lista lst_Processo</t>
  </si>
  <si>
    <t>Característica medida (requisito do cliente/plano de controlo).</t>
  </si>
  <si>
    <t>Decimal</t>
  </si>
  <si>
    <t>Meia-tolerância da característica (±), na unidade.</t>
  </si>
  <si>
    <t>Unidade.</t>
  </si>
  <si>
    <t>Resolução do equipamento.</t>
  </si>
  <si>
    <t>Erro máximo admissível (requisito metrológico, ISO 10012).</t>
  </si>
  <si>
    <t>Inteiro</t>
  </si>
  <si>
    <t>Intervalo de confirmação.</t>
  </si>
  <si>
    <t>Data (aaaa-mm-dd)</t>
  </si>
  <si>
    <t>Data da última calibração/verificação.</t>
  </si>
  <si>
    <t>Laboratório acreditado ou método de verificação (rastreabilidade).</t>
  </si>
  <si>
    <t>Estado de uso.</t>
  </si>
  <si>
    <t>Lista lst_EstadoUso</t>
  </si>
  <si>
    <t>Calculado (fórmula)</t>
  </si>
  <si>
    <t>Última + intervalo.</t>
  </si>
  <si>
    <t>Decisão da última confirmação (tbl_calibracoes).</t>
  </si>
  <si>
    <t>Estado para identificação no posto (7.1.5.2 b).</t>
  </si>
  <si>
    <t>Tolerância ÷ EMA (recomendado ≥ 4; ideal ≥ 10).</t>
  </si>
  <si>
    <t>tbl_calibracoes</t>
  </si>
  <si>
    <t>Registo de calibração/verificação.</t>
  </si>
  <si>
    <t>FK → tbl_equipamentos</t>
  </si>
  <si>
    <t>Data.</t>
  </si>
  <si>
    <t>Chave técnica.</t>
  </si>
  <si>
    <t>N.º do certificado / relatório.</t>
  </si>
  <si>
    <t>Laboratório ou verificação interna.</t>
  </si>
  <si>
    <t>Maior erro encontrado (valor absoluto).</t>
  </si>
  <si>
    <t>Incerteza expandida U (k = 2).</t>
  </si>
  <si>
    <t>Erro máximo admissível.</t>
  </si>
  <si>
    <t>Regra de decisão com banda de guarda (ISO 14253-1).</t>
  </si>
  <si>
    <t>Houve ajuste? (7.1.5.2 c: proteção contra ajustes não autorizados)</t>
  </si>
  <si>
    <t>Lista lst_SimNao</t>
  </si>
  <si>
    <t>tbl_fora_tolerancia</t>
  </si>
  <si>
    <t>Avaliação de fora de tolerância.</t>
  </si>
  <si>
    <t>O que foi encontrado.</t>
  </si>
  <si>
    <t>Período desde a última confirmação conforme.</t>
  </si>
  <si>
    <t>Validade dos resultados anteriores (7.1.5.2 último parágrafo).</t>
  </si>
  <si>
    <t>Produto afetado / ação sobre o produto.</t>
  </si>
  <si>
    <t>Ação tomada.</t>
  </si>
  <si>
    <t>Responsável.</t>
  </si>
  <si>
    <t>Estado.</t>
  </si>
  <si>
    <t>tbl_grr_dados</t>
  </si>
  <si>
    <t>Medição.</t>
  </si>
  <si>
    <t>Estudo MSA.</t>
  </si>
  <si>
    <t>Peça (10 peças da produção de OP-INJ-003).</t>
  </si>
  <si>
    <t>Inspetor.</t>
  </si>
  <si>
    <t>Repetição 1–3.</t>
  </si>
  <si>
    <t>Peso medido (g).</t>
  </si>
  <si>
    <t>Data/hora da medição.</t>
  </si>
  <si>
    <t>Limite inferior.</t>
  </si>
  <si>
    <t>Limite superior.</t>
  </si>
  <si>
    <t>tbl_msa</t>
  </si>
  <si>
    <t>Característica.</t>
  </si>
  <si>
    <t>Tipo de equipamento.</t>
  </si>
  <si>
    <t>GRR por variáveis / atributos (kappa) / viés e linearidade.</t>
  </si>
  <si>
    <t>Percentagem (fração 0-1)</t>
  </si>
  <si>
    <t>%GRR da variação total.</t>
  </si>
  <si>
    <t>ndc (variáveis) ou kappa (atributos).</t>
  </si>
  <si>
    <t>Lista lst_EstadoMSA</t>
  </si>
  <si>
    <t>Conclusão.</t>
  </si>
  <si>
    <t>Porque é necessário (característica crítica/decisão).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</si>
</sst>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yyyy\-mm\-dd"/>
    <numFmt numFmtId="166" formatCode="#,##0.0"/>
    <numFmt numFmtId="167" formatCode="0.0000"/>
    <numFmt numFmtId="168" formatCode="0.00000"/>
    <numFmt numFmtId="169" formatCode="0.0%"/>
  </numFmts>
  <fonts count="6" x14ac:knownFonts="1">
    <font>
      <sz val="11"/>
      <color theme="1"/>
      <name val="Calibri"/>
      <family val="2"/>
      <scheme val="minor"/>
    </font>
    <font>
      <b/>
      <sz val="14"/>
      <color rgb="FF0F2F3A"/>
      <name val="Arial"/>
    </font>
    <font>
      <i/>
      <sz val="10"/>
      <color rgb="FF4A5A60"/>
      <name val="Arial"/>
    </font>
    <font>
      <b/>
      <sz val="10"/>
      <color rgb="FFFFFFFF"/>
      <name val="Arial"/>
    </font>
    <font>
      <sz val="10"/>
      <name val="Arial"/>
    </font>
    <font>
      <b/>
      <sz val="10"/>
      <name val="Arial"/>
    </font>
  </fonts>
  <fills count="6">
    <fill>
      <patternFill patternType="none"/>
    </fill>
    <fill>
      <patternFill patternType="gray125"/>
    </fill>
    <fill>
      <patternFill patternType="solid">
        <fgColor rgb="FF1F4E5F"/>
      </patternFill>
    </fill>
    <fill>
      <patternFill patternType="solid">
        <fgColor rgb="FF4F6F7A"/>
      </patternFill>
    </fill>
    <fill>
      <patternFill patternType="solid">
        <fgColor rgb="FFEDEDED"/>
      </patternFill>
    </fill>
    <fill>
      <patternFill patternType="solid">
        <fgColor rgb="FFDCEBEF"/>
      </patternFill>
    </fill>
  </fills>
  <borders count="2">
    <border>
      <left/>
      <right/>
      <top/>
      <bottom/>
      <diagonal/>
    </border>
    <border>
      <left style="thin">
        <color rgb="FFB7C4C9"/>
      </left>
      <right style="thin">
        <color rgb="FFB7C4C9"/>
      </right>
      <top style="thin">
        <color rgb="FFB7C4C9"/>
      </top>
      <bottom style="thin">
        <color rgb="FFB7C4C9"/>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5" fillId="5" borderId="0" xfId="0" applyFont="1" applyFill="1"/>
    <xf numFmtId="0" fontId="0" fillId="5" borderId="0" xfId="0" applyFill="1"/>
    <xf numFmtId="0" fontId="5" fillId="0" borderId="0" xfId="0" applyFont="1" applyAlignment="1">
      <alignment vertical="top" wrapText="1"/>
    </xf>
    <xf numFmtId="0" fontId="4" fillId="0" borderId="0" xfId="0" applyFont="1" applyAlignment="1">
      <alignment vertical="top" wrapText="1"/>
    </xf>
    <xf numFmtId="165" fontId="4" fillId="0" borderId="0" xfId="0" applyNumberFormat="1" applyFont="1" applyAlignment="1">
      <alignment horizontal="left" vertical="top"/>
    </xf>
    <xf numFmtId="0" fontId="3" fillId="2" borderId="1" xfId="0" applyFont="1" applyFill="1" applyBorder="1" applyAlignment="1">
      <alignment horizontal="center" vertical="top" wrapText="1"/>
    </xf>
    <xf numFmtId="0" fontId="3" fillId="3" borderId="1" xfId="0" applyFont="1" applyFill="1" applyBorder="1" applyAlignment="1">
      <alignment horizontal="center" vertical="top" wrapText="1"/>
    </xf>
    <xf numFmtId="49" fontId="4" fillId="0" borderId="1" xfId="0" applyNumberFormat="1" applyFont="1" applyBorder="1" applyAlignment="1">
      <alignment vertical="top" wrapText="1"/>
    </xf>
    <xf numFmtId="164" fontId="4" fillId="0" borderId="1" xfId="0" applyNumberFormat="1" applyFont="1" applyBorder="1" applyAlignment="1">
      <alignment vertical="top" wrapText="1"/>
    </xf>
    <xf numFmtId="1" fontId="4" fillId="0" borderId="1" xfId="0" applyNumberFormat="1" applyFont="1" applyBorder="1" applyAlignment="1">
      <alignment vertical="top" wrapText="1"/>
    </xf>
    <xf numFmtId="165" fontId="4" fillId="0" borderId="1" xfId="0" applyNumberFormat="1" applyFont="1" applyBorder="1" applyAlignment="1">
      <alignment vertical="top" wrapText="1"/>
    </xf>
    <xf numFmtId="165" fontId="4" fillId="4" borderId="1" xfId="0" applyNumberFormat="1" applyFont="1" applyFill="1" applyBorder="1" applyAlignment="1">
      <alignment vertical="top" wrapText="1"/>
    </xf>
    <xf numFmtId="49" fontId="4" fillId="4" borderId="1" xfId="0" applyNumberFormat="1" applyFont="1" applyFill="1" applyBorder="1" applyAlignment="1">
      <alignment vertical="top" wrapText="1"/>
    </xf>
    <xf numFmtId="166" fontId="4" fillId="4" borderId="1" xfId="0" applyNumberFormat="1" applyFont="1" applyFill="1" applyBorder="1" applyAlignment="1">
      <alignment vertical="top" wrapText="1"/>
    </xf>
    <xf numFmtId="4" fontId="4" fillId="0" borderId="1" xfId="0" applyNumberFormat="1" applyFont="1" applyBorder="1" applyAlignment="1">
      <alignment vertical="top" wrapText="1"/>
    </xf>
    <xf numFmtId="0" fontId="4" fillId="0" borderId="1" xfId="0" applyFont="1" applyBorder="1" applyAlignment="1">
      <alignment vertical="top" wrapText="1"/>
    </xf>
    <xf numFmtId="167" fontId="4" fillId="0" borderId="1" xfId="0" applyNumberFormat="1" applyFont="1" applyBorder="1" applyAlignment="1">
      <alignment vertical="top" wrapText="1"/>
    </xf>
    <xf numFmtId="168" fontId="4" fillId="0" borderId="1" xfId="0" applyNumberFormat="1" applyFont="1" applyBorder="1" applyAlignment="1">
      <alignment vertical="top" wrapText="1"/>
    </xf>
    <xf numFmtId="0" fontId="5" fillId="0" borderId="1" xfId="0" applyFont="1" applyBorder="1" applyAlignment="1">
      <alignment vertical="top" wrapText="1"/>
    </xf>
    <xf numFmtId="169" fontId="4" fillId="0" borderId="1" xfId="0" applyNumberFormat="1" applyFont="1" applyBorder="1" applyAlignment="1">
      <alignment vertical="top" wrapText="1"/>
    </xf>
    <xf numFmtId="169" fontId="5" fillId="0" borderId="1" xfId="0" applyNumberFormat="1" applyFont="1" applyBorder="1" applyAlignment="1">
      <alignment vertical="top" wrapText="1"/>
    </xf>
    <xf numFmtId="0" fontId="5" fillId="0" borderId="0" xfId="0" applyFont="1"/>
    <xf numFmtId="0" fontId="3" fillId="2" borderId="0" xfId="0" applyFont="1" applyFill="1" applyAlignment="1">
      <alignment horizontal="center" vertical="top" wrapText="1"/>
    </xf>
    <xf numFmtId="165" fontId="4" fillId="0" borderId="0" xfId="0" applyNumberFormat="1" applyFont="1" applyAlignment="1">
      <alignment vertical="top" wrapText="1"/>
    </xf>
  </cellXfs>
  <cellStyles count="1">
    <cellStyle name="Normal" xfId="0" builtinId="0"/>
  </cellStyles>
  <dxfs count="13">
    <dxf>
      <font>
        <b/>
        <color rgb="FF14532D"/>
        <name val="Arial"/>
      </font>
      <fill>
        <patternFill patternType="solid">
          <fgColor rgb="FFCDEBD3"/>
        </patternFill>
      </fill>
    </dxf>
    <dxf>
      <font>
        <b/>
        <color rgb="FF5C4B00"/>
        <name val="Arial"/>
      </font>
      <fill>
        <patternFill patternType="solid">
          <fgColor rgb="FFFFF2B3"/>
        </patternFill>
      </fill>
    </dxf>
    <dxf>
      <font>
        <b/>
        <color rgb="FF404040"/>
        <name val="Arial"/>
      </font>
      <fill>
        <patternFill patternType="solid">
          <fgColor rgb="FFE7E7E7"/>
        </patternFill>
      </fill>
    </dxf>
    <dxf>
      <fill>
        <patternFill patternType="solid">
          <fgColor rgb="FFCDEBD3"/>
        </patternFill>
      </fill>
    </dxf>
    <dxf>
      <font>
        <b/>
        <color rgb="FF14532D"/>
        <name val="Arial"/>
      </font>
      <fill>
        <patternFill patternType="solid">
          <fgColor rgb="FFCDEBD3"/>
        </patternFill>
      </fill>
    </dxf>
    <dxf>
      <font>
        <b/>
        <color rgb="FF7C3E00"/>
        <name val="Arial"/>
      </font>
      <fill>
        <patternFill patternType="solid">
          <fgColor rgb="FFFCE4C4"/>
        </patternFill>
      </fill>
    </dxf>
    <dxf>
      <font>
        <b/>
        <color rgb="FF7F1D1D"/>
        <name val="Arial"/>
      </font>
      <fill>
        <patternFill patternType="solid">
          <fgColor rgb="FFF4C7C3"/>
        </patternFill>
      </fill>
    </dxf>
    <dxf>
      <font>
        <b/>
        <color rgb="FF7C3E00"/>
        <name val="Arial"/>
      </font>
      <fill>
        <patternFill patternType="solid">
          <fgColor rgb="FFFCE4C4"/>
        </patternFill>
      </fill>
    </dxf>
    <dxf>
      <font>
        <b/>
        <color rgb="FF404040"/>
        <name val="Arial"/>
      </font>
      <fill>
        <patternFill patternType="solid">
          <fgColor rgb="FFE7E7E7"/>
        </patternFill>
      </fill>
    </dxf>
    <dxf>
      <font>
        <b/>
        <color rgb="FF14532D"/>
        <name val="Arial"/>
      </font>
      <fill>
        <patternFill patternType="solid">
          <fgColor rgb="FFCDEBD3"/>
        </patternFill>
      </fill>
    </dxf>
    <dxf>
      <font>
        <b/>
        <color rgb="FF7C3E00"/>
        <name val="Arial"/>
      </font>
      <fill>
        <patternFill patternType="solid">
          <fgColor rgb="FFFCE4C4"/>
        </patternFill>
      </fill>
    </dxf>
    <dxf>
      <font>
        <b/>
        <color rgb="FF7F1D1D"/>
        <name val="Arial"/>
      </font>
      <fill>
        <patternFill patternType="solid">
          <fgColor rgb="FFF4C7C3"/>
        </patternFill>
      </fill>
    </dxf>
    <dxf>
      <font>
        <b/>
        <color rgb="FF7F1D1D"/>
        <name val="Arial"/>
      </font>
      <fill>
        <patternFill patternType="solid">
          <fgColor rgb="FFF4C7C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equipamentos" displayName="tbl_equipamentos" ref="A4:S43">
  <autoFilter ref="A4:S43" xr:uid="{00000000-0009-0000-0100-000001000000}"/>
  <tableColumns count="19">
    <tableColumn id="1" xr3:uid="{00000000-0010-0000-0000-000001000000}" name="ID_Equipamento"/>
    <tableColumn id="2" xr3:uid="{00000000-0010-0000-0000-000002000000}" name="Codigo_Interno"/>
    <tableColumn id="3" xr3:uid="{00000000-0010-0000-0000-000003000000}" name="Equipamento"/>
    <tableColumn id="4" xr3:uid="{00000000-0010-0000-0000-000004000000}" name="Tipo_Controlo"/>
    <tableColumn id="5" xr3:uid="{00000000-0010-0000-0000-000005000000}" name="Local"/>
    <tableColumn id="6" xr3:uid="{00000000-0010-0000-0000-000006000000}" name="Processo"/>
    <tableColumn id="7" xr3:uid="{00000000-0010-0000-0000-000007000000}" name="Caracteristica"/>
    <tableColumn id="8" xr3:uid="{00000000-0010-0000-0000-000008000000}" name="Tolerancia_Mais_Menos"/>
    <tableColumn id="9" xr3:uid="{00000000-0010-0000-0000-000009000000}" name="Unidade"/>
    <tableColumn id="10" xr3:uid="{00000000-0010-0000-0000-00000A000000}" name="Resolucao"/>
    <tableColumn id="11" xr3:uid="{00000000-0010-0000-0000-00000B000000}" name="EMA"/>
    <tableColumn id="12" xr3:uid="{00000000-0010-0000-0000-00000C000000}" name="Periodicidade_Meses"/>
    <tableColumn id="13" xr3:uid="{00000000-0010-0000-0000-00000D000000}" name="Ultima_Calibracao"/>
    <tableColumn id="14" xr3:uid="{00000000-0010-0000-0000-00000E000000}" name="Entidade"/>
    <tableColumn id="15" xr3:uid="{00000000-0010-0000-0000-00000F000000}" name="Estado_Uso"/>
    <tableColumn id="16" xr3:uid="{00000000-0010-0000-0000-000010000000}" name="Proxima_Calibracao"/>
    <tableColumn id="17" xr3:uid="{00000000-0010-0000-0000-000011000000}" name="Ultimo_Resultado"/>
    <tableColumn id="18" xr3:uid="{00000000-0010-0000-0000-000012000000}" name="Estado"/>
    <tableColumn id="19" xr3:uid="{00000000-0010-0000-0000-000013000000}" name="Rel_Tolerancia_EMA"/>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calibracoes" displayName="tbl_calibracoes" ref="A1:K100">
  <autoFilter ref="A1:K100" xr:uid="{00000000-0009-0000-0100-000002000000}"/>
  <tableColumns count="11">
    <tableColumn id="1" xr3:uid="{00000000-0010-0000-0100-000001000000}" name="ID_Calibracao"/>
    <tableColumn id="2" xr3:uid="{00000000-0010-0000-0100-000002000000}" name="ID_Equipamento"/>
    <tableColumn id="3" xr3:uid="{00000000-0010-0000-0100-000003000000}" name="Data"/>
    <tableColumn id="4" xr3:uid="{00000000-0010-0000-0100-000004000000}" name="Chave"/>
    <tableColumn id="5" xr3:uid="{00000000-0010-0000-0100-000005000000}" name="Certificado"/>
    <tableColumn id="6" xr3:uid="{00000000-0010-0000-0100-000006000000}" name="Entidade"/>
    <tableColumn id="7" xr3:uid="{00000000-0010-0000-0100-000007000000}" name="Erro_Max_Encontrado"/>
    <tableColumn id="8" xr3:uid="{00000000-0010-0000-0100-000008000000}" name="Incerteza_U"/>
    <tableColumn id="9" xr3:uid="{00000000-0010-0000-0100-000009000000}" name="EMA"/>
    <tableColumn id="10" xr3:uid="{00000000-0010-0000-0100-00000A000000}" name="Decisao"/>
    <tableColumn id="11" xr3:uid="{00000000-0010-0000-0100-00000B000000}" name="Ajustado"/>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ora_tolerancia" displayName="tbl_fora_tolerancia" ref="A4:J7">
  <autoFilter ref="A4:J7" xr:uid="{00000000-0009-0000-0100-000003000000}"/>
  <tableColumns count="10">
    <tableColumn id="1" xr3:uid="{00000000-0010-0000-0200-000001000000}" name="ID_OOT"/>
    <tableColumn id="2" xr3:uid="{00000000-0010-0000-0200-000002000000}" name="ID_Equipamento"/>
    <tableColumn id="3" xr3:uid="{00000000-0010-0000-0200-000003000000}" name="Data_Detecao"/>
    <tableColumn id="4" xr3:uid="{00000000-0010-0000-0200-000004000000}" name="Descricao"/>
    <tableColumn id="5" xr3:uid="{00000000-0010-0000-0200-000005000000}" name="Periodo_Afetado"/>
    <tableColumn id="6" xr3:uid="{00000000-0010-0000-0200-000006000000}" name="Avaliacao_Retrospetiva"/>
    <tableColumn id="7" xr3:uid="{00000000-0010-0000-0200-000007000000}" name="Produto_Afetado"/>
    <tableColumn id="8" xr3:uid="{00000000-0010-0000-0200-000008000000}" name="Acao"/>
    <tableColumn id="9" xr3:uid="{00000000-0010-0000-0200-000009000000}" name="Responsavel"/>
    <tableColumn id="10" xr3:uid="{00000000-0010-0000-0200-00000A000000}" name="Estado"/>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grr_dados" displayName="tbl_grr_dados" ref="A1:I91">
  <autoFilter ref="A1:I91" xr:uid="{00000000-0009-0000-0100-000004000000}"/>
  <tableColumns count="9">
    <tableColumn id="1" xr3:uid="{00000000-0010-0000-0300-000001000000}" name="ID_Medicao"/>
    <tableColumn id="2" xr3:uid="{00000000-0010-0000-0300-000002000000}" name="Estudo"/>
    <tableColumn id="3" xr3:uid="{00000000-0010-0000-0300-000003000000}" name="Peca"/>
    <tableColumn id="4" xr3:uid="{00000000-0010-0000-0300-000004000000}" name="Avaliador"/>
    <tableColumn id="5" xr3:uid="{00000000-0010-0000-0300-000005000000}" name="Ensaio"/>
    <tableColumn id="6" xr3:uid="{00000000-0010-0000-0300-000006000000}" name="Valor"/>
    <tableColumn id="7" xr3:uid="{00000000-0010-0000-0300-000007000000}" name="Data_Hora"/>
    <tableColumn id="8" xr3:uid="{00000000-0010-0000-0300-000008000000}" name="LSL"/>
    <tableColumn id="9" xr3:uid="{00000000-0010-0000-0300-000009000000}" name="USL"/>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msa" displayName="tbl_msa" ref="A4:J9">
  <autoFilter ref="A4:J9" xr:uid="{00000000-0009-0000-0100-000005000000}"/>
  <tableColumns count="10">
    <tableColumn id="1" xr3:uid="{00000000-0010-0000-0400-000001000000}" name="ID_Estudo"/>
    <tableColumn id="2" xr3:uid="{00000000-0010-0000-0400-000002000000}" name="Caracteristica"/>
    <tableColumn id="3" xr3:uid="{00000000-0010-0000-0400-000003000000}" name="Equipamento"/>
    <tableColumn id="4" xr3:uid="{00000000-0010-0000-0400-000004000000}" name="Tipo_Estudo"/>
    <tableColumn id="5" xr3:uid="{00000000-0010-0000-0400-000005000000}" name="Data"/>
    <tableColumn id="6" xr3:uid="{00000000-0010-0000-0400-000006000000}" name="Pct_GRR_TV"/>
    <tableColumn id="7" xr3:uid="{00000000-0010-0000-0400-000007000000}" name="ndc_ou_Kappa"/>
    <tableColumn id="8" xr3:uid="{00000000-0010-0000-0400-000008000000}" name="Estado"/>
    <tableColumn id="9" xr3:uid="{00000000-0010-0000-0400-000009000000}" name="Decisao"/>
    <tableColumn id="10" xr3:uid="{00000000-0010-0000-0400-00000A000000}" name="Prioridade_Risco"/>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dicionario" displayName="tbl_dicionario" ref="A1:I60">
  <autoFilter ref="A1:I60" xr:uid="{00000000-0009-0000-0100-000006000000}"/>
  <tableColumns count="9">
    <tableColumn id="1" xr3:uid="{00000000-0010-0000-0500-000001000000}" name="Folha"/>
    <tableColumn id="2" xr3:uid="{00000000-0010-0000-0500-000002000000}" name="Tabela"/>
    <tableColumn id="3" xr3:uid="{00000000-0010-0000-0500-000003000000}" name="Coluna"/>
    <tableColumn id="4" xr3:uid="{00000000-0010-0000-0500-000004000000}" name="Tipo"/>
    <tableColumn id="5" xr3:uid="{00000000-0010-0000-0500-000005000000}" name="Origem"/>
    <tableColumn id="6" xr3:uid="{00000000-0010-0000-0500-000006000000}" name="Descricao"/>
    <tableColumn id="7" xr3:uid="{00000000-0010-0000-0500-000007000000}" name="Dominio_Unidade"/>
    <tableColumn id="8" xr3:uid="{00000000-0010-0000-0500-000008000000}" name="Obrigatorio"/>
    <tableColumn id="9" xr3:uid="{00000000-0010-0000-0500-000009000000}" name="Chav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5F"/>
  </sheetPr>
  <dimension ref="A1:B48"/>
  <sheetViews>
    <sheetView showGridLines="0" tabSelected="1" workbookViewId="0"/>
  </sheetViews>
  <sheetFormatPr defaultRowHeight="14.4" x14ac:dyDescent="0.3"/>
  <cols>
    <col min="1" max="1" width="30" customWidth="1"/>
    <col min="2" max="2" width="110" customWidth="1"/>
  </cols>
  <sheetData>
    <row r="1" spans="1:2" ht="17.399999999999999" x14ac:dyDescent="0.3">
      <c r="A1" s="1" t="s">
        <v>0</v>
      </c>
    </row>
    <row r="2" spans="1:2" x14ac:dyDescent="0.3">
      <c r="A2" s="2" t="s">
        <v>1</v>
      </c>
    </row>
    <row r="4" spans="1:2" x14ac:dyDescent="0.3">
      <c r="A4" s="3" t="s">
        <v>2</v>
      </c>
      <c r="B4" s="4"/>
    </row>
    <row r="5" spans="1:2" x14ac:dyDescent="0.3">
      <c r="A5" s="5" t="s">
        <v>3</v>
      </c>
      <c r="B5" s="6" t="s">
        <v>4</v>
      </c>
    </row>
    <row r="6" spans="1:2" x14ac:dyDescent="0.3">
      <c r="A6" s="5" t="s">
        <v>5</v>
      </c>
      <c r="B6" s="6" t="s">
        <v>6</v>
      </c>
    </row>
    <row r="7" spans="1:2" x14ac:dyDescent="0.3">
      <c r="A7" s="5" t="s">
        <v>7</v>
      </c>
      <c r="B7" s="6" t="s">
        <v>8</v>
      </c>
    </row>
    <row r="8" spans="1:2" x14ac:dyDescent="0.3">
      <c r="A8" s="5" t="s">
        <v>9</v>
      </c>
      <c r="B8" s="7">
        <v>46387</v>
      </c>
    </row>
    <row r="9" spans="1:2" x14ac:dyDescent="0.3">
      <c r="A9" s="5" t="s">
        <v>10</v>
      </c>
      <c r="B9" s="6" t="s">
        <v>11</v>
      </c>
    </row>
    <row r="10" spans="1:2" x14ac:dyDescent="0.3">
      <c r="A10" s="5" t="s">
        <v>12</v>
      </c>
      <c r="B10" s="6" t="s">
        <v>13</v>
      </c>
    </row>
    <row r="11" spans="1:2" x14ac:dyDescent="0.3">
      <c r="A11" s="5" t="s">
        <v>14</v>
      </c>
      <c r="B11" s="6" t="s">
        <v>15</v>
      </c>
    </row>
    <row r="12" spans="1:2" x14ac:dyDescent="0.3">
      <c r="A12" s="5" t="s">
        <v>16</v>
      </c>
      <c r="B12" s="6" t="s">
        <v>17</v>
      </c>
    </row>
    <row r="13" spans="1:2" ht="39.6" x14ac:dyDescent="0.3">
      <c r="A13" s="5" t="s">
        <v>18</v>
      </c>
      <c r="B13" s="6" t="s">
        <v>19</v>
      </c>
    </row>
    <row r="15" spans="1:2" x14ac:dyDescent="0.3">
      <c r="A15" s="3" t="s">
        <v>20</v>
      </c>
      <c r="B15" s="4"/>
    </row>
    <row r="16" spans="1:2" ht="52.8" x14ac:dyDescent="0.3">
      <c r="A16" s="5" t="s">
        <v>21</v>
      </c>
      <c r="B16" s="6" t="s">
        <v>22</v>
      </c>
    </row>
    <row r="17" spans="1:2" ht="39.6" x14ac:dyDescent="0.3">
      <c r="A17" s="5" t="s">
        <v>23</v>
      </c>
      <c r="B17" s="6" t="s">
        <v>24</v>
      </c>
    </row>
    <row r="18" spans="1:2" ht="26.4" x14ac:dyDescent="0.3">
      <c r="A18" s="5" t="s">
        <v>25</v>
      </c>
      <c r="B18" s="6" t="s">
        <v>26</v>
      </c>
    </row>
    <row r="20" spans="1:2" x14ac:dyDescent="0.3">
      <c r="A20" s="3" t="s">
        <v>27</v>
      </c>
      <c r="B20" s="4"/>
    </row>
    <row r="21" spans="1:2" ht="26.4" x14ac:dyDescent="0.3">
      <c r="A21" s="5" t="s">
        <v>28</v>
      </c>
      <c r="B21" s="6" t="s">
        <v>29</v>
      </c>
    </row>
    <row r="22" spans="1:2" ht="26.4" x14ac:dyDescent="0.3">
      <c r="A22" s="5" t="s">
        <v>30</v>
      </c>
      <c r="B22" s="6" t="s">
        <v>31</v>
      </c>
    </row>
    <row r="23" spans="1:2" x14ac:dyDescent="0.3">
      <c r="A23" s="5" t="s">
        <v>32</v>
      </c>
      <c r="B23" s="6" t="s">
        <v>33</v>
      </c>
    </row>
    <row r="24" spans="1:2" ht="26.4" x14ac:dyDescent="0.3">
      <c r="A24" s="5" t="s">
        <v>34</v>
      </c>
      <c r="B24" s="6" t="s">
        <v>35</v>
      </c>
    </row>
    <row r="26" spans="1:2" x14ac:dyDescent="0.3">
      <c r="A26" s="3" t="s">
        <v>36</v>
      </c>
      <c r="B26" s="4"/>
    </row>
    <row r="27" spans="1:2" ht="26.4" x14ac:dyDescent="0.3">
      <c r="A27" s="5" t="s">
        <v>37</v>
      </c>
      <c r="B27" s="6" t="s">
        <v>38</v>
      </c>
    </row>
    <row r="28" spans="1:2" x14ac:dyDescent="0.3">
      <c r="A28" s="5" t="s">
        <v>39</v>
      </c>
      <c r="B28" s="6" t="s">
        <v>40</v>
      </c>
    </row>
    <row r="29" spans="1:2" x14ac:dyDescent="0.3">
      <c r="A29" s="5" t="s">
        <v>41</v>
      </c>
      <c r="B29" s="6" t="s">
        <v>42</v>
      </c>
    </row>
    <row r="30" spans="1:2" x14ac:dyDescent="0.3">
      <c r="A30" s="5" t="s">
        <v>43</v>
      </c>
      <c r="B30" s="6" t="s">
        <v>44</v>
      </c>
    </row>
    <row r="31" spans="1:2" x14ac:dyDescent="0.3">
      <c r="A31" s="5" t="s">
        <v>45</v>
      </c>
      <c r="B31" s="6" t="s">
        <v>46</v>
      </c>
    </row>
    <row r="32" spans="1:2" x14ac:dyDescent="0.3">
      <c r="A32" s="5" t="s">
        <v>47</v>
      </c>
      <c r="B32" s="6" t="s">
        <v>48</v>
      </c>
    </row>
    <row r="33" spans="1:2" x14ac:dyDescent="0.3">
      <c r="A33" s="5" t="s">
        <v>49</v>
      </c>
      <c r="B33" s="6" t="s">
        <v>50</v>
      </c>
    </row>
    <row r="34" spans="1:2" x14ac:dyDescent="0.3">
      <c r="A34" s="5" t="s">
        <v>51</v>
      </c>
      <c r="B34" s="6" t="s">
        <v>52</v>
      </c>
    </row>
    <row r="35" spans="1:2" x14ac:dyDescent="0.3">
      <c r="A35" s="5" t="s">
        <v>53</v>
      </c>
      <c r="B35" s="6" t="s">
        <v>54</v>
      </c>
    </row>
    <row r="37" spans="1:2" x14ac:dyDescent="0.3">
      <c r="A37" s="3" t="s">
        <v>55</v>
      </c>
      <c r="B37" s="4"/>
    </row>
    <row r="38" spans="1:2" ht="26.4" x14ac:dyDescent="0.3">
      <c r="A38" s="5" t="s">
        <v>56</v>
      </c>
      <c r="B38" s="6" t="s">
        <v>57</v>
      </c>
    </row>
    <row r="39" spans="1:2" x14ac:dyDescent="0.3">
      <c r="A39" s="5" t="s">
        <v>58</v>
      </c>
      <c r="B39" s="6" t="s">
        <v>59</v>
      </c>
    </row>
    <row r="40" spans="1:2" x14ac:dyDescent="0.3">
      <c r="A40" s="5" t="s">
        <v>60</v>
      </c>
      <c r="B40" s="6" t="s">
        <v>61</v>
      </c>
    </row>
    <row r="41" spans="1:2" ht="26.4" x14ac:dyDescent="0.3">
      <c r="A41" s="5" t="s">
        <v>62</v>
      </c>
      <c r="B41" s="6" t="s">
        <v>63</v>
      </c>
    </row>
    <row r="42" spans="1:2" ht="26.4" x14ac:dyDescent="0.3">
      <c r="A42" s="5" t="s">
        <v>64</v>
      </c>
      <c r="B42" s="6" t="s">
        <v>65</v>
      </c>
    </row>
    <row r="43" spans="1:2" ht="39.6" x14ac:dyDescent="0.3">
      <c r="A43" s="5" t="s">
        <v>66</v>
      </c>
      <c r="B43" s="6" t="s">
        <v>67</v>
      </c>
    </row>
    <row r="45" spans="1:2" x14ac:dyDescent="0.3">
      <c r="A45" s="3" t="s">
        <v>68</v>
      </c>
      <c r="B45" s="4"/>
    </row>
    <row r="46" spans="1:2" x14ac:dyDescent="0.3">
      <c r="A46" s="5" t="s">
        <v>69</v>
      </c>
      <c r="B46" s="6" t="s">
        <v>70</v>
      </c>
    </row>
    <row r="47" spans="1:2" x14ac:dyDescent="0.3">
      <c r="A47" s="5" t="s">
        <v>71</v>
      </c>
      <c r="B47" s="6" t="s">
        <v>72</v>
      </c>
    </row>
    <row r="48" spans="1:2" x14ac:dyDescent="0.3">
      <c r="A48" s="5" t="s">
        <v>73</v>
      </c>
      <c r="B48" s="6" t="s">
        <v>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43"/>
  <sheetViews>
    <sheetView zoomScale="90" workbookViewId="0">
      <pane xSplit="2" ySplit="4" topLeftCell="C5" activePane="bottomRight" state="frozen"/>
      <selection pane="topRight"/>
      <selection pane="bottomLeft"/>
      <selection pane="bottomRight"/>
    </sheetView>
  </sheetViews>
  <sheetFormatPr defaultRowHeight="14.4" x14ac:dyDescent="0.3"/>
  <cols>
    <col min="1" max="2" width="9" customWidth="1"/>
    <col min="3" max="3" width="30" customWidth="1"/>
    <col min="4" max="4" width="14" customWidth="1"/>
    <col min="5" max="5" width="18" customWidth="1"/>
    <col min="6" max="6" width="7" customWidth="1"/>
    <col min="7" max="7" width="26" customWidth="1"/>
    <col min="8" max="8" width="9" customWidth="1"/>
    <col min="9" max="12" width="8" customWidth="1"/>
    <col min="13" max="13" width="11" customWidth="1"/>
    <col min="14" max="14" width="30" customWidth="1"/>
    <col min="15" max="16" width="11" customWidth="1"/>
    <col min="17" max="17" width="12" customWidth="1"/>
    <col min="18" max="18" width="14" customWidth="1"/>
    <col min="19" max="19" width="9" customWidth="1"/>
  </cols>
  <sheetData>
    <row r="1" spans="1:19" ht="17.399999999999999" x14ac:dyDescent="0.3">
      <c r="A1" s="1" t="s">
        <v>75</v>
      </c>
    </row>
    <row r="2" spans="1:19" x14ac:dyDescent="0.3">
      <c r="A2" s="2" t="s">
        <v>76</v>
      </c>
    </row>
    <row r="4" spans="1:19" ht="39.6" x14ac:dyDescent="0.3">
      <c r="A4" s="8" t="s">
        <v>77</v>
      </c>
      <c r="B4" s="8" t="s">
        <v>78</v>
      </c>
      <c r="C4" s="8" t="s">
        <v>79</v>
      </c>
      <c r="D4" s="8" t="s">
        <v>80</v>
      </c>
      <c r="E4" s="8" t="s">
        <v>81</v>
      </c>
      <c r="F4" s="8" t="s">
        <v>82</v>
      </c>
      <c r="G4" s="8" t="s">
        <v>83</v>
      </c>
      <c r="H4" s="8" t="s">
        <v>84</v>
      </c>
      <c r="I4" s="8" t="s">
        <v>85</v>
      </c>
      <c r="J4" s="8" t="s">
        <v>86</v>
      </c>
      <c r="K4" s="8" t="s">
        <v>87</v>
      </c>
      <c r="L4" s="8" t="s">
        <v>88</v>
      </c>
      <c r="M4" s="8" t="s">
        <v>89</v>
      </c>
      <c r="N4" s="8" t="s">
        <v>90</v>
      </c>
      <c r="O4" s="8" t="s">
        <v>91</v>
      </c>
      <c r="P4" s="9" t="s">
        <v>92</v>
      </c>
      <c r="Q4" s="9" t="s">
        <v>93</v>
      </c>
      <c r="R4" s="9" t="s">
        <v>14</v>
      </c>
      <c r="S4" s="9" t="s">
        <v>94</v>
      </c>
    </row>
    <row r="5" spans="1:19" ht="30" customHeight="1" x14ac:dyDescent="0.3">
      <c r="A5" s="10" t="s">
        <v>95</v>
      </c>
      <c r="B5" s="10" t="s">
        <v>96</v>
      </c>
      <c r="C5" s="10" t="s">
        <v>97</v>
      </c>
      <c r="D5" s="10" t="s">
        <v>98</v>
      </c>
      <c r="E5" s="10" t="s">
        <v>99</v>
      </c>
      <c r="F5" s="10" t="s">
        <v>100</v>
      </c>
      <c r="G5" s="10" t="s">
        <v>101</v>
      </c>
      <c r="H5" s="11">
        <v>0.9</v>
      </c>
      <c r="I5" s="10" t="s">
        <v>102</v>
      </c>
      <c r="J5" s="11">
        <v>0.01</v>
      </c>
      <c r="K5" s="11">
        <v>0.05</v>
      </c>
      <c r="L5" s="12">
        <v>12</v>
      </c>
      <c r="M5" s="13">
        <v>46329</v>
      </c>
      <c r="N5" s="10" t="s">
        <v>103</v>
      </c>
      <c r="O5" s="10" t="s">
        <v>104</v>
      </c>
      <c r="P5" s="14">
        <f t="shared" ref="P5:P43" si="0">IF(A5="","",EDATE(M5,L5))</f>
        <v>46694</v>
      </c>
      <c r="Q5" s="15" t="str">
        <f>IFERROR(INDEX(tbl_calibracoes[Decisao],MATCH(A5&amp;"|"&amp;M5,tbl_calibracoes[Chave],0)),"Sem registo")</f>
        <v>Conforme</v>
      </c>
      <c r="R5" s="15" t="str">
        <f t="shared" ref="R5:R43" si="1">IF(A5="","",IF(O5&lt;&gt;"Em uso",O5,IF(Q5="Não conforme","Bloqueado — NC",IF(P5&lt;DataRef,"Vencido",IF(P5&lt;=DataRef+30,"A vencer (30 d)","Válido")))))</f>
        <v>Válido</v>
      </c>
      <c r="S5" s="16">
        <f t="shared" ref="S5:S43" si="2">IF(H5="","",IFERROR(H5/K5,""))</f>
        <v>18</v>
      </c>
    </row>
    <row r="6" spans="1:19" ht="30" customHeight="1" x14ac:dyDescent="0.3">
      <c r="A6" s="10" t="s">
        <v>105</v>
      </c>
      <c r="B6" s="10" t="s">
        <v>106</v>
      </c>
      <c r="C6" s="10" t="s">
        <v>97</v>
      </c>
      <c r="D6" s="10" t="s">
        <v>98</v>
      </c>
      <c r="E6" s="10" t="s">
        <v>107</v>
      </c>
      <c r="F6" s="10" t="s">
        <v>100</v>
      </c>
      <c r="G6" s="10" t="s">
        <v>101</v>
      </c>
      <c r="H6" s="11">
        <v>0.9</v>
      </c>
      <c r="I6" s="10" t="s">
        <v>102</v>
      </c>
      <c r="J6" s="11">
        <v>0.01</v>
      </c>
      <c r="K6" s="11">
        <v>0.05</v>
      </c>
      <c r="L6" s="12">
        <v>12</v>
      </c>
      <c r="M6" s="13">
        <v>46365</v>
      </c>
      <c r="N6" s="10" t="s">
        <v>103</v>
      </c>
      <c r="O6" s="10" t="s">
        <v>104</v>
      </c>
      <c r="P6" s="14">
        <f t="shared" si="0"/>
        <v>46730</v>
      </c>
      <c r="Q6" s="15" t="str">
        <f>IFERROR(INDEX(tbl_calibracoes[Decisao],MATCH(A6&amp;"|"&amp;M6,tbl_calibracoes[Chave],0)),"Sem registo")</f>
        <v>Conforme</v>
      </c>
      <c r="R6" s="15" t="str">
        <f t="shared" si="1"/>
        <v>Válido</v>
      </c>
      <c r="S6" s="16">
        <f t="shared" si="2"/>
        <v>18</v>
      </c>
    </row>
    <row r="7" spans="1:19" ht="30" customHeight="1" x14ac:dyDescent="0.3">
      <c r="A7" s="10" t="s">
        <v>108</v>
      </c>
      <c r="B7" s="10" t="s">
        <v>109</v>
      </c>
      <c r="C7" s="10" t="s">
        <v>97</v>
      </c>
      <c r="D7" s="10" t="s">
        <v>98</v>
      </c>
      <c r="E7" s="10" t="s">
        <v>110</v>
      </c>
      <c r="F7" s="10" t="s">
        <v>100</v>
      </c>
      <c r="G7" s="10" t="s">
        <v>101</v>
      </c>
      <c r="H7" s="11">
        <v>0.9</v>
      </c>
      <c r="I7" s="10" t="s">
        <v>102</v>
      </c>
      <c r="J7" s="11">
        <v>0.01</v>
      </c>
      <c r="K7" s="11">
        <v>0.05</v>
      </c>
      <c r="L7" s="12">
        <v>12</v>
      </c>
      <c r="M7" s="13">
        <v>46042</v>
      </c>
      <c r="N7" s="10" t="s">
        <v>103</v>
      </c>
      <c r="O7" s="10" t="s">
        <v>104</v>
      </c>
      <c r="P7" s="14">
        <f t="shared" si="0"/>
        <v>46407</v>
      </c>
      <c r="Q7" s="15" t="str">
        <f>IFERROR(INDEX(tbl_calibracoes[Decisao],MATCH(A7&amp;"|"&amp;M7,tbl_calibracoes[Chave],0)),"Sem registo")</f>
        <v>Conforme</v>
      </c>
      <c r="R7" s="15" t="str">
        <f t="shared" si="1"/>
        <v>A vencer (30 d)</v>
      </c>
      <c r="S7" s="16">
        <f t="shared" si="2"/>
        <v>18</v>
      </c>
    </row>
    <row r="8" spans="1:19" ht="30" customHeight="1" x14ac:dyDescent="0.3">
      <c r="A8" s="10" t="s">
        <v>111</v>
      </c>
      <c r="B8" s="10" t="s">
        <v>112</v>
      </c>
      <c r="C8" s="10" t="s">
        <v>97</v>
      </c>
      <c r="D8" s="10" t="s">
        <v>98</v>
      </c>
      <c r="E8" s="10" t="s">
        <v>113</v>
      </c>
      <c r="F8" s="10" t="s">
        <v>100</v>
      </c>
      <c r="G8" s="10" t="s">
        <v>101</v>
      </c>
      <c r="H8" s="11">
        <v>0.9</v>
      </c>
      <c r="I8" s="10" t="s">
        <v>102</v>
      </c>
      <c r="J8" s="11">
        <v>0.01</v>
      </c>
      <c r="K8" s="11">
        <v>0.05</v>
      </c>
      <c r="L8" s="12">
        <v>6</v>
      </c>
      <c r="M8" s="13">
        <v>46332</v>
      </c>
      <c r="N8" s="10" t="s">
        <v>103</v>
      </c>
      <c r="O8" s="10" t="s">
        <v>104</v>
      </c>
      <c r="P8" s="14">
        <f t="shared" si="0"/>
        <v>46513</v>
      </c>
      <c r="Q8" s="15" t="str">
        <f>IFERROR(INDEX(tbl_calibracoes[Decisao],MATCH(A8&amp;"|"&amp;M8,tbl_calibracoes[Chave],0)),"Sem registo")</f>
        <v>Conforme</v>
      </c>
      <c r="R8" s="15" t="str">
        <f t="shared" si="1"/>
        <v>Válido</v>
      </c>
      <c r="S8" s="16">
        <f t="shared" si="2"/>
        <v>18</v>
      </c>
    </row>
    <row r="9" spans="1:19" ht="30" customHeight="1" x14ac:dyDescent="0.3">
      <c r="A9" s="10" t="s">
        <v>114</v>
      </c>
      <c r="B9" s="10" t="s">
        <v>115</v>
      </c>
      <c r="C9" s="10" t="s">
        <v>97</v>
      </c>
      <c r="D9" s="10" t="s">
        <v>98</v>
      </c>
      <c r="E9" s="10" t="s">
        <v>116</v>
      </c>
      <c r="F9" s="10" t="s">
        <v>100</v>
      </c>
      <c r="G9" s="10" t="s">
        <v>101</v>
      </c>
      <c r="H9" s="11">
        <v>0.9</v>
      </c>
      <c r="I9" s="10" t="s">
        <v>102</v>
      </c>
      <c r="J9" s="11">
        <v>0.01</v>
      </c>
      <c r="K9" s="11">
        <v>0.05</v>
      </c>
      <c r="L9" s="12">
        <v>6</v>
      </c>
      <c r="M9" s="13">
        <v>46344</v>
      </c>
      <c r="N9" s="10" t="s">
        <v>103</v>
      </c>
      <c r="O9" s="10" t="s">
        <v>104</v>
      </c>
      <c r="P9" s="14">
        <f t="shared" si="0"/>
        <v>46525</v>
      </c>
      <c r="Q9" s="15" t="str">
        <f>IFERROR(INDEX(tbl_calibracoes[Decisao],MATCH(A9&amp;"|"&amp;M9,tbl_calibracoes[Chave],0)),"Sem registo")</f>
        <v>Conforme</v>
      </c>
      <c r="R9" s="15" t="str">
        <f t="shared" si="1"/>
        <v>Válido</v>
      </c>
      <c r="S9" s="16">
        <f t="shared" si="2"/>
        <v>18</v>
      </c>
    </row>
    <row r="10" spans="1:19" ht="30" customHeight="1" x14ac:dyDescent="0.3">
      <c r="A10" s="10" t="s">
        <v>117</v>
      </c>
      <c r="B10" s="10" t="s">
        <v>118</v>
      </c>
      <c r="C10" s="10" t="s">
        <v>97</v>
      </c>
      <c r="D10" s="10" t="s">
        <v>98</v>
      </c>
      <c r="E10" s="10" t="s">
        <v>119</v>
      </c>
      <c r="F10" s="10" t="s">
        <v>120</v>
      </c>
      <c r="G10" s="10" t="s">
        <v>101</v>
      </c>
      <c r="H10" s="11">
        <v>0.9</v>
      </c>
      <c r="I10" s="10" t="s">
        <v>102</v>
      </c>
      <c r="J10" s="11">
        <v>0.01</v>
      </c>
      <c r="K10" s="11">
        <v>0.05</v>
      </c>
      <c r="L10" s="12">
        <v>6</v>
      </c>
      <c r="M10" s="13">
        <v>46359</v>
      </c>
      <c r="N10" s="10" t="s">
        <v>103</v>
      </c>
      <c r="O10" s="10" t="s">
        <v>104</v>
      </c>
      <c r="P10" s="14">
        <f t="shared" si="0"/>
        <v>46541</v>
      </c>
      <c r="Q10" s="15" t="str">
        <f>IFERROR(INDEX(tbl_calibracoes[Decisao],MATCH(A10&amp;"|"&amp;M10,tbl_calibracoes[Chave],0)),"Sem registo")</f>
        <v>Conforme</v>
      </c>
      <c r="R10" s="15" t="str">
        <f t="shared" si="1"/>
        <v>Válido</v>
      </c>
      <c r="S10" s="16">
        <f t="shared" si="2"/>
        <v>18</v>
      </c>
    </row>
    <row r="11" spans="1:19" ht="30" customHeight="1" x14ac:dyDescent="0.3">
      <c r="A11" s="10" t="s">
        <v>121</v>
      </c>
      <c r="B11" s="10" t="s">
        <v>122</v>
      </c>
      <c r="C11" s="10" t="s">
        <v>123</v>
      </c>
      <c r="D11" s="10" t="s">
        <v>98</v>
      </c>
      <c r="E11" s="10" t="s">
        <v>119</v>
      </c>
      <c r="F11" s="10" t="s">
        <v>120</v>
      </c>
      <c r="G11" s="10" t="s">
        <v>124</v>
      </c>
      <c r="H11" s="11">
        <v>0.9</v>
      </c>
      <c r="I11" s="10" t="s">
        <v>102</v>
      </c>
      <c r="J11" s="11">
        <v>1E-3</v>
      </c>
      <c r="K11" s="11">
        <v>5.0000000000000001E-3</v>
      </c>
      <c r="L11" s="12">
        <v>12</v>
      </c>
      <c r="M11" s="13">
        <v>46190</v>
      </c>
      <c r="N11" s="10" t="s">
        <v>103</v>
      </c>
      <c r="O11" s="10" t="s">
        <v>104</v>
      </c>
      <c r="P11" s="14">
        <f t="shared" si="0"/>
        <v>46555</v>
      </c>
      <c r="Q11" s="15" t="str">
        <f>IFERROR(INDEX(tbl_calibracoes[Decisao],MATCH(A11&amp;"|"&amp;M11,tbl_calibracoes[Chave],0)),"Sem registo")</f>
        <v>Conforme</v>
      </c>
      <c r="R11" s="15" t="str">
        <f t="shared" si="1"/>
        <v>Válido</v>
      </c>
      <c r="S11" s="16">
        <f t="shared" si="2"/>
        <v>180</v>
      </c>
    </row>
    <row r="12" spans="1:19" ht="30" customHeight="1" x14ac:dyDescent="0.3">
      <c r="A12" s="10" t="s">
        <v>125</v>
      </c>
      <c r="B12" s="10" t="s">
        <v>126</v>
      </c>
      <c r="C12" s="10" t="s">
        <v>123</v>
      </c>
      <c r="D12" s="10" t="s">
        <v>98</v>
      </c>
      <c r="E12" s="10" t="s">
        <v>127</v>
      </c>
      <c r="F12" s="10" t="s">
        <v>128</v>
      </c>
      <c r="G12" s="10" t="s">
        <v>124</v>
      </c>
      <c r="H12" s="11">
        <v>0.9</v>
      </c>
      <c r="I12" s="10" t="s">
        <v>102</v>
      </c>
      <c r="J12" s="11">
        <v>1E-3</v>
      </c>
      <c r="K12" s="11">
        <v>5.0000000000000001E-3</v>
      </c>
      <c r="L12" s="12">
        <v>12</v>
      </c>
      <c r="M12" s="13">
        <v>46227</v>
      </c>
      <c r="N12" s="10" t="s">
        <v>103</v>
      </c>
      <c r="O12" s="10" t="s">
        <v>104</v>
      </c>
      <c r="P12" s="14">
        <f t="shared" si="0"/>
        <v>46592</v>
      </c>
      <c r="Q12" s="15" t="str">
        <f>IFERROR(INDEX(tbl_calibracoes[Decisao],MATCH(A12&amp;"|"&amp;M12,tbl_calibracoes[Chave],0)),"Sem registo")</f>
        <v>Conforme</v>
      </c>
      <c r="R12" s="15" t="str">
        <f t="shared" si="1"/>
        <v>Válido</v>
      </c>
      <c r="S12" s="16">
        <f t="shared" si="2"/>
        <v>180</v>
      </c>
    </row>
    <row r="13" spans="1:19" ht="30" customHeight="1" x14ac:dyDescent="0.3">
      <c r="A13" s="10" t="s">
        <v>129</v>
      </c>
      <c r="B13" s="10" t="s">
        <v>130</v>
      </c>
      <c r="C13" s="10" t="s">
        <v>123</v>
      </c>
      <c r="D13" s="10" t="s">
        <v>98</v>
      </c>
      <c r="E13" s="10" t="s">
        <v>131</v>
      </c>
      <c r="F13" s="10" t="s">
        <v>128</v>
      </c>
      <c r="G13" s="10" t="s">
        <v>124</v>
      </c>
      <c r="H13" s="11">
        <v>0.9</v>
      </c>
      <c r="I13" s="10" t="s">
        <v>102</v>
      </c>
      <c r="J13" s="11">
        <v>1E-3</v>
      </c>
      <c r="K13" s="11">
        <v>5.0000000000000001E-3</v>
      </c>
      <c r="L13" s="12">
        <v>12</v>
      </c>
      <c r="M13" s="13">
        <v>46293</v>
      </c>
      <c r="N13" s="10" t="s">
        <v>103</v>
      </c>
      <c r="O13" s="10" t="s">
        <v>104</v>
      </c>
      <c r="P13" s="14">
        <f t="shared" si="0"/>
        <v>46658</v>
      </c>
      <c r="Q13" s="15" t="str">
        <f>IFERROR(INDEX(tbl_calibracoes[Decisao],MATCH(A13&amp;"|"&amp;M13,tbl_calibracoes[Chave],0)),"Sem registo")</f>
        <v>Conforme</v>
      </c>
      <c r="R13" s="15" t="str">
        <f t="shared" si="1"/>
        <v>Válido</v>
      </c>
      <c r="S13" s="16">
        <f t="shared" si="2"/>
        <v>180</v>
      </c>
    </row>
    <row r="14" spans="1:19" ht="30" customHeight="1" x14ac:dyDescent="0.3">
      <c r="A14" s="10" t="s">
        <v>132</v>
      </c>
      <c r="B14" s="10" t="s">
        <v>133</v>
      </c>
      <c r="C14" s="10" t="s">
        <v>134</v>
      </c>
      <c r="D14" s="10" t="s">
        <v>98</v>
      </c>
      <c r="E14" s="10" t="s">
        <v>119</v>
      </c>
      <c r="F14" s="10" t="s">
        <v>120</v>
      </c>
      <c r="G14" s="10" t="s">
        <v>135</v>
      </c>
      <c r="H14" s="11">
        <v>0.3</v>
      </c>
      <c r="I14" s="10" t="s">
        <v>136</v>
      </c>
      <c r="J14" s="11">
        <v>0.01</v>
      </c>
      <c r="K14" s="11">
        <v>0.03</v>
      </c>
      <c r="L14" s="12">
        <v>12</v>
      </c>
      <c r="M14" s="13">
        <v>46329</v>
      </c>
      <c r="N14" s="10" t="s">
        <v>137</v>
      </c>
      <c r="O14" s="10" t="s">
        <v>104</v>
      </c>
      <c r="P14" s="14">
        <f t="shared" si="0"/>
        <v>46694</v>
      </c>
      <c r="Q14" s="15" t="str">
        <f>IFERROR(INDEX(tbl_calibracoes[Decisao],MATCH(A14&amp;"|"&amp;M14,tbl_calibracoes[Chave],0)),"Sem registo")</f>
        <v>Conforme</v>
      </c>
      <c r="R14" s="15" t="str">
        <f t="shared" si="1"/>
        <v>Válido</v>
      </c>
      <c r="S14" s="16">
        <f t="shared" si="2"/>
        <v>10</v>
      </c>
    </row>
    <row r="15" spans="1:19" ht="30" customHeight="1" x14ac:dyDescent="0.3">
      <c r="A15" s="10" t="s">
        <v>138</v>
      </c>
      <c r="B15" s="10" t="s">
        <v>139</v>
      </c>
      <c r="C15" s="10" t="s">
        <v>134</v>
      </c>
      <c r="D15" s="10" t="s">
        <v>98</v>
      </c>
      <c r="E15" s="10" t="s">
        <v>140</v>
      </c>
      <c r="F15" s="10" t="s">
        <v>100</v>
      </c>
      <c r="G15" s="10" t="s">
        <v>135</v>
      </c>
      <c r="H15" s="11">
        <v>0.3</v>
      </c>
      <c r="I15" s="10" t="s">
        <v>136</v>
      </c>
      <c r="J15" s="11">
        <v>0.01</v>
      </c>
      <c r="K15" s="11">
        <v>0.03</v>
      </c>
      <c r="L15" s="12">
        <v>12</v>
      </c>
      <c r="M15" s="13">
        <v>46365</v>
      </c>
      <c r="N15" s="10" t="s">
        <v>137</v>
      </c>
      <c r="O15" s="10" t="s">
        <v>104</v>
      </c>
      <c r="P15" s="14">
        <f t="shared" si="0"/>
        <v>46730</v>
      </c>
      <c r="Q15" s="15" t="str">
        <f>IFERROR(INDEX(tbl_calibracoes[Decisao],MATCH(A15&amp;"|"&amp;M15,tbl_calibracoes[Chave],0)),"Sem registo")</f>
        <v>Conforme</v>
      </c>
      <c r="R15" s="15" t="str">
        <f t="shared" si="1"/>
        <v>Válido</v>
      </c>
      <c r="S15" s="16">
        <f t="shared" si="2"/>
        <v>10</v>
      </c>
    </row>
    <row r="16" spans="1:19" ht="30" customHeight="1" x14ac:dyDescent="0.3">
      <c r="A16" s="10" t="s">
        <v>141</v>
      </c>
      <c r="B16" s="10" t="s">
        <v>142</v>
      </c>
      <c r="C16" s="10" t="s">
        <v>134</v>
      </c>
      <c r="D16" s="10" t="s">
        <v>98</v>
      </c>
      <c r="E16" s="10" t="s">
        <v>143</v>
      </c>
      <c r="F16" s="10" t="s">
        <v>128</v>
      </c>
      <c r="G16" s="10" t="s">
        <v>135</v>
      </c>
      <c r="H16" s="11">
        <v>0.3</v>
      </c>
      <c r="I16" s="10" t="s">
        <v>136</v>
      </c>
      <c r="J16" s="11">
        <v>0.01</v>
      </c>
      <c r="K16" s="11">
        <v>0.03</v>
      </c>
      <c r="L16" s="12">
        <v>12</v>
      </c>
      <c r="M16" s="13">
        <v>46045</v>
      </c>
      <c r="N16" s="10" t="s">
        <v>137</v>
      </c>
      <c r="O16" s="10" t="s">
        <v>104</v>
      </c>
      <c r="P16" s="14">
        <f t="shared" si="0"/>
        <v>46410</v>
      </c>
      <c r="Q16" s="15" t="str">
        <f>IFERROR(INDEX(tbl_calibracoes[Decisao],MATCH(A16&amp;"|"&amp;M16,tbl_calibracoes[Chave],0)),"Sem registo")</f>
        <v>Conforme</v>
      </c>
      <c r="R16" s="15" t="str">
        <f t="shared" si="1"/>
        <v>A vencer (30 d)</v>
      </c>
      <c r="S16" s="16">
        <f t="shared" si="2"/>
        <v>10</v>
      </c>
    </row>
    <row r="17" spans="1:19" ht="30" customHeight="1" x14ac:dyDescent="0.3">
      <c r="A17" s="10" t="s">
        <v>144</v>
      </c>
      <c r="B17" s="10" t="s">
        <v>145</v>
      </c>
      <c r="C17" s="10" t="s">
        <v>134</v>
      </c>
      <c r="D17" s="10" t="s">
        <v>98</v>
      </c>
      <c r="E17" s="10" t="s">
        <v>146</v>
      </c>
      <c r="F17" s="10" t="s">
        <v>147</v>
      </c>
      <c r="G17" s="10" t="s">
        <v>135</v>
      </c>
      <c r="H17" s="11">
        <v>0.3</v>
      </c>
      <c r="I17" s="10" t="s">
        <v>136</v>
      </c>
      <c r="J17" s="11">
        <v>0.01</v>
      </c>
      <c r="K17" s="11">
        <v>0.03</v>
      </c>
      <c r="L17" s="12">
        <v>12</v>
      </c>
      <c r="M17" s="13">
        <v>46082</v>
      </c>
      <c r="N17" s="10" t="s">
        <v>137</v>
      </c>
      <c r="O17" s="10" t="s">
        <v>104</v>
      </c>
      <c r="P17" s="14">
        <f t="shared" si="0"/>
        <v>46447</v>
      </c>
      <c r="Q17" s="15" t="str">
        <f>IFERROR(INDEX(tbl_calibracoes[Decisao],MATCH(A17&amp;"|"&amp;M17,tbl_calibracoes[Chave],0)),"Sem registo")</f>
        <v>Conforme</v>
      </c>
      <c r="R17" s="15" t="str">
        <f t="shared" si="1"/>
        <v>Válido</v>
      </c>
      <c r="S17" s="16">
        <f t="shared" si="2"/>
        <v>10</v>
      </c>
    </row>
    <row r="18" spans="1:19" ht="30" customHeight="1" x14ac:dyDescent="0.3">
      <c r="A18" s="10" t="s">
        <v>148</v>
      </c>
      <c r="B18" s="10" t="s">
        <v>149</v>
      </c>
      <c r="C18" s="10" t="s">
        <v>150</v>
      </c>
      <c r="D18" s="10" t="s">
        <v>151</v>
      </c>
      <c r="E18" s="10" t="s">
        <v>152</v>
      </c>
      <c r="F18" s="10" t="s">
        <v>120</v>
      </c>
      <c r="G18" s="10" t="s">
        <v>153</v>
      </c>
      <c r="H18" s="11">
        <v>0.2</v>
      </c>
      <c r="I18" s="10" t="s">
        <v>136</v>
      </c>
      <c r="J18" s="11"/>
      <c r="K18" s="11">
        <v>0.01</v>
      </c>
      <c r="L18" s="12">
        <v>12</v>
      </c>
      <c r="M18" s="13">
        <v>46119</v>
      </c>
      <c r="N18" s="10" t="s">
        <v>154</v>
      </c>
      <c r="O18" s="10" t="s">
        <v>104</v>
      </c>
      <c r="P18" s="14">
        <f t="shared" si="0"/>
        <v>46484</v>
      </c>
      <c r="Q18" s="15" t="str">
        <f>IFERROR(INDEX(tbl_calibracoes[Decisao],MATCH(A18&amp;"|"&amp;M18,tbl_calibracoes[Chave],0)),"Sem registo")</f>
        <v>Conforme</v>
      </c>
      <c r="R18" s="15" t="str">
        <f t="shared" si="1"/>
        <v>Válido</v>
      </c>
      <c r="S18" s="16">
        <f t="shared" si="2"/>
        <v>20</v>
      </c>
    </row>
    <row r="19" spans="1:19" ht="30" customHeight="1" x14ac:dyDescent="0.3">
      <c r="A19" s="10" t="s">
        <v>155</v>
      </c>
      <c r="B19" s="10" t="s">
        <v>156</v>
      </c>
      <c r="C19" s="10" t="s">
        <v>150</v>
      </c>
      <c r="D19" s="10" t="s">
        <v>151</v>
      </c>
      <c r="E19" s="10" t="s">
        <v>157</v>
      </c>
      <c r="F19" s="10" t="s">
        <v>120</v>
      </c>
      <c r="G19" s="10" t="s">
        <v>153</v>
      </c>
      <c r="H19" s="11">
        <v>0.2</v>
      </c>
      <c r="I19" s="10" t="s">
        <v>136</v>
      </c>
      <c r="J19" s="11"/>
      <c r="K19" s="11">
        <v>0.01</v>
      </c>
      <c r="L19" s="12">
        <v>12</v>
      </c>
      <c r="M19" s="13">
        <v>46156</v>
      </c>
      <c r="N19" s="10" t="s">
        <v>154</v>
      </c>
      <c r="O19" s="10" t="s">
        <v>104</v>
      </c>
      <c r="P19" s="14">
        <f t="shared" si="0"/>
        <v>46521</v>
      </c>
      <c r="Q19" s="15" t="str">
        <f>IFERROR(INDEX(tbl_calibracoes[Decisao],MATCH(A19&amp;"|"&amp;M19,tbl_calibracoes[Chave],0)),"Sem registo")</f>
        <v>Conforme</v>
      </c>
      <c r="R19" s="15" t="str">
        <f t="shared" si="1"/>
        <v>Válido</v>
      </c>
      <c r="S19" s="16">
        <f t="shared" si="2"/>
        <v>20</v>
      </c>
    </row>
    <row r="20" spans="1:19" ht="30" customHeight="1" x14ac:dyDescent="0.3">
      <c r="A20" s="10" t="s">
        <v>158</v>
      </c>
      <c r="B20" s="10" t="s">
        <v>159</v>
      </c>
      <c r="C20" s="10" t="s">
        <v>150</v>
      </c>
      <c r="D20" s="10" t="s">
        <v>151</v>
      </c>
      <c r="E20" s="10" t="s">
        <v>160</v>
      </c>
      <c r="F20" s="10" t="s">
        <v>120</v>
      </c>
      <c r="G20" s="10" t="s">
        <v>153</v>
      </c>
      <c r="H20" s="11">
        <v>0.2</v>
      </c>
      <c r="I20" s="10" t="s">
        <v>136</v>
      </c>
      <c r="J20" s="11"/>
      <c r="K20" s="11">
        <v>0.01</v>
      </c>
      <c r="L20" s="12">
        <v>12</v>
      </c>
      <c r="M20" s="13">
        <v>46193</v>
      </c>
      <c r="N20" s="10" t="s">
        <v>154</v>
      </c>
      <c r="O20" s="10" t="s">
        <v>104</v>
      </c>
      <c r="P20" s="14">
        <f t="shared" si="0"/>
        <v>46558</v>
      </c>
      <c r="Q20" s="15" t="str">
        <f>IFERROR(INDEX(tbl_calibracoes[Decisao],MATCH(A20&amp;"|"&amp;M20,tbl_calibracoes[Chave],0)),"Sem registo")</f>
        <v>Conforme</v>
      </c>
      <c r="R20" s="15" t="str">
        <f t="shared" si="1"/>
        <v>Válido</v>
      </c>
      <c r="S20" s="16">
        <f t="shared" si="2"/>
        <v>20</v>
      </c>
    </row>
    <row r="21" spans="1:19" ht="30" customHeight="1" x14ac:dyDescent="0.3">
      <c r="A21" s="10" t="s">
        <v>161</v>
      </c>
      <c r="B21" s="10" t="s">
        <v>162</v>
      </c>
      <c r="C21" s="10" t="s">
        <v>150</v>
      </c>
      <c r="D21" s="10" t="s">
        <v>151</v>
      </c>
      <c r="E21" s="10" t="s">
        <v>163</v>
      </c>
      <c r="F21" s="10" t="s">
        <v>120</v>
      </c>
      <c r="G21" s="10" t="s">
        <v>153</v>
      </c>
      <c r="H21" s="11">
        <v>0.2</v>
      </c>
      <c r="I21" s="10" t="s">
        <v>136</v>
      </c>
      <c r="J21" s="11"/>
      <c r="K21" s="11">
        <v>0.01</v>
      </c>
      <c r="L21" s="12">
        <v>12</v>
      </c>
      <c r="M21" s="13">
        <v>46230</v>
      </c>
      <c r="N21" s="10" t="s">
        <v>154</v>
      </c>
      <c r="O21" s="10" t="s">
        <v>104</v>
      </c>
      <c r="P21" s="14">
        <f t="shared" si="0"/>
        <v>46595</v>
      </c>
      <c r="Q21" s="15" t="str">
        <f>IFERROR(INDEX(tbl_calibracoes[Decisao],MATCH(A21&amp;"|"&amp;M21,tbl_calibracoes[Chave],0)),"Sem registo")</f>
        <v>Conforme</v>
      </c>
      <c r="R21" s="15" t="str">
        <f t="shared" si="1"/>
        <v>Válido</v>
      </c>
      <c r="S21" s="16">
        <f t="shared" si="2"/>
        <v>20</v>
      </c>
    </row>
    <row r="22" spans="1:19" ht="30" customHeight="1" x14ac:dyDescent="0.3">
      <c r="A22" s="10" t="s">
        <v>164</v>
      </c>
      <c r="B22" s="10" t="s">
        <v>165</v>
      </c>
      <c r="C22" s="10" t="s">
        <v>166</v>
      </c>
      <c r="D22" s="10" t="s">
        <v>98</v>
      </c>
      <c r="E22" s="10" t="s">
        <v>119</v>
      </c>
      <c r="F22" s="10" t="s">
        <v>120</v>
      </c>
      <c r="G22" s="10" t="s">
        <v>167</v>
      </c>
      <c r="H22" s="11">
        <v>0.1</v>
      </c>
      <c r="I22" s="10" t="s">
        <v>136</v>
      </c>
      <c r="J22" s="11">
        <v>0.01</v>
      </c>
      <c r="K22" s="11">
        <v>0.02</v>
      </c>
      <c r="L22" s="12">
        <v>12</v>
      </c>
      <c r="M22" s="13">
        <v>46299</v>
      </c>
      <c r="N22" s="10" t="s">
        <v>137</v>
      </c>
      <c r="O22" s="10" t="s">
        <v>104</v>
      </c>
      <c r="P22" s="14">
        <f t="shared" si="0"/>
        <v>46664</v>
      </c>
      <c r="Q22" s="15" t="str">
        <f>IFERROR(INDEX(tbl_calibracoes[Decisao],MATCH(A22&amp;"|"&amp;M22,tbl_calibracoes[Chave],0)),"Sem registo")</f>
        <v>Conforme</v>
      </c>
      <c r="R22" s="15" t="str">
        <f t="shared" si="1"/>
        <v>Válido</v>
      </c>
      <c r="S22" s="16">
        <f t="shared" si="2"/>
        <v>5</v>
      </c>
    </row>
    <row r="23" spans="1:19" ht="30" customHeight="1" x14ac:dyDescent="0.3">
      <c r="A23" s="10" t="s">
        <v>168</v>
      </c>
      <c r="B23" s="10" t="s">
        <v>169</v>
      </c>
      <c r="C23" s="10" t="s">
        <v>166</v>
      </c>
      <c r="D23" s="10" t="s">
        <v>98</v>
      </c>
      <c r="E23" s="10" t="s">
        <v>107</v>
      </c>
      <c r="F23" s="10" t="s">
        <v>100</v>
      </c>
      <c r="G23" s="10" t="s">
        <v>167</v>
      </c>
      <c r="H23" s="11">
        <v>0.1</v>
      </c>
      <c r="I23" s="10" t="s">
        <v>136</v>
      </c>
      <c r="J23" s="11">
        <v>0.01</v>
      </c>
      <c r="K23" s="11">
        <v>0.02</v>
      </c>
      <c r="L23" s="12">
        <v>12</v>
      </c>
      <c r="M23" s="13">
        <v>46335</v>
      </c>
      <c r="N23" s="10" t="s">
        <v>137</v>
      </c>
      <c r="O23" s="10" t="s">
        <v>104</v>
      </c>
      <c r="P23" s="14">
        <f t="shared" si="0"/>
        <v>46700</v>
      </c>
      <c r="Q23" s="15" t="str">
        <f>IFERROR(INDEX(tbl_calibracoes[Decisao],MATCH(A23&amp;"|"&amp;M23,tbl_calibracoes[Chave],0)),"Sem registo")</f>
        <v>Conforme</v>
      </c>
      <c r="R23" s="15" t="str">
        <f t="shared" si="1"/>
        <v>Válido</v>
      </c>
      <c r="S23" s="16">
        <f t="shared" si="2"/>
        <v>5</v>
      </c>
    </row>
    <row r="24" spans="1:19" ht="30" customHeight="1" x14ac:dyDescent="0.3">
      <c r="A24" s="10" t="s">
        <v>170</v>
      </c>
      <c r="B24" s="10" t="s">
        <v>171</v>
      </c>
      <c r="C24" s="10" t="s">
        <v>172</v>
      </c>
      <c r="D24" s="10" t="s">
        <v>151</v>
      </c>
      <c r="E24" s="10" t="s">
        <v>119</v>
      </c>
      <c r="F24" s="10" t="s">
        <v>120</v>
      </c>
      <c r="G24" s="10" t="s">
        <v>173</v>
      </c>
      <c r="H24" s="11">
        <v>15</v>
      </c>
      <c r="I24" s="10" t="s">
        <v>174</v>
      </c>
      <c r="J24" s="11">
        <v>5</v>
      </c>
      <c r="K24" s="11">
        <v>5</v>
      </c>
      <c r="L24" s="12">
        <v>36</v>
      </c>
      <c r="M24" s="13">
        <v>46011</v>
      </c>
      <c r="N24" s="10" t="s">
        <v>175</v>
      </c>
      <c r="O24" s="10" t="s">
        <v>104</v>
      </c>
      <c r="P24" s="14">
        <f t="shared" si="0"/>
        <v>47107</v>
      </c>
      <c r="Q24" s="15" t="str">
        <f>IFERROR(INDEX(tbl_calibracoes[Decisao],MATCH(A24&amp;"|"&amp;M24,tbl_calibracoes[Chave],0)),"Sem registo")</f>
        <v>Conforme</v>
      </c>
      <c r="R24" s="15" t="str">
        <f t="shared" si="1"/>
        <v>Válido</v>
      </c>
      <c r="S24" s="16">
        <f t="shared" si="2"/>
        <v>3</v>
      </c>
    </row>
    <row r="25" spans="1:19" ht="30" customHeight="1" x14ac:dyDescent="0.3">
      <c r="A25" s="10" t="s">
        <v>176</v>
      </c>
      <c r="B25" s="10" t="s">
        <v>177</v>
      </c>
      <c r="C25" s="10" t="s">
        <v>172</v>
      </c>
      <c r="D25" s="10" t="s">
        <v>151</v>
      </c>
      <c r="E25" s="10" t="s">
        <v>178</v>
      </c>
      <c r="F25" s="10" t="s">
        <v>120</v>
      </c>
      <c r="G25" s="10" t="s">
        <v>173</v>
      </c>
      <c r="H25" s="11">
        <v>15</v>
      </c>
      <c r="I25" s="10" t="s">
        <v>174</v>
      </c>
      <c r="J25" s="11">
        <v>5</v>
      </c>
      <c r="K25" s="11">
        <v>5</v>
      </c>
      <c r="L25" s="12">
        <v>36</v>
      </c>
      <c r="M25" s="13">
        <v>46048</v>
      </c>
      <c r="N25" s="10" t="s">
        <v>175</v>
      </c>
      <c r="O25" s="10" t="s">
        <v>104</v>
      </c>
      <c r="P25" s="14">
        <f t="shared" si="0"/>
        <v>47144</v>
      </c>
      <c r="Q25" s="15" t="str">
        <f>IFERROR(INDEX(tbl_calibracoes[Decisao],MATCH(A25&amp;"|"&amp;M25,tbl_calibracoes[Chave],0)),"Sem registo")</f>
        <v>Conforme</v>
      </c>
      <c r="R25" s="15" t="str">
        <f t="shared" si="1"/>
        <v>Válido</v>
      </c>
      <c r="S25" s="16">
        <f t="shared" si="2"/>
        <v>3</v>
      </c>
    </row>
    <row r="26" spans="1:19" ht="30" customHeight="1" x14ac:dyDescent="0.3">
      <c r="A26" s="10" t="s">
        <v>179</v>
      </c>
      <c r="B26" s="10" t="s">
        <v>180</v>
      </c>
      <c r="C26" s="10" t="s">
        <v>181</v>
      </c>
      <c r="D26" s="10" t="s">
        <v>151</v>
      </c>
      <c r="E26" s="10" t="s">
        <v>119</v>
      </c>
      <c r="F26" s="10" t="s">
        <v>120</v>
      </c>
      <c r="G26" s="10" t="s">
        <v>182</v>
      </c>
      <c r="H26" s="11"/>
      <c r="I26" s="10" t="s">
        <v>183</v>
      </c>
      <c r="J26" s="11">
        <v>0.1</v>
      </c>
      <c r="K26" s="11">
        <v>1</v>
      </c>
      <c r="L26" s="12">
        <v>6</v>
      </c>
      <c r="M26" s="13">
        <v>46289</v>
      </c>
      <c r="N26" s="10" t="s">
        <v>184</v>
      </c>
      <c r="O26" s="10" t="s">
        <v>104</v>
      </c>
      <c r="P26" s="14">
        <f t="shared" si="0"/>
        <v>46470</v>
      </c>
      <c r="Q26" s="15" t="str">
        <f>IFERROR(INDEX(tbl_calibracoes[Decisao],MATCH(A26&amp;"|"&amp;M26,tbl_calibracoes[Chave],0)),"Sem registo")</f>
        <v>Conforme</v>
      </c>
      <c r="R26" s="15" t="str">
        <f t="shared" si="1"/>
        <v>Válido</v>
      </c>
      <c r="S26" s="16" t="str">
        <f t="shared" si="2"/>
        <v/>
      </c>
    </row>
    <row r="27" spans="1:19" ht="30" customHeight="1" x14ac:dyDescent="0.3">
      <c r="A27" s="10" t="s">
        <v>185</v>
      </c>
      <c r="B27" s="10" t="s">
        <v>186</v>
      </c>
      <c r="C27" s="10" t="s">
        <v>181</v>
      </c>
      <c r="D27" s="10" t="s">
        <v>151</v>
      </c>
      <c r="E27" s="10" t="s">
        <v>116</v>
      </c>
      <c r="F27" s="10" t="s">
        <v>100</v>
      </c>
      <c r="G27" s="10" t="s">
        <v>182</v>
      </c>
      <c r="H27" s="11"/>
      <c r="I27" s="10" t="s">
        <v>183</v>
      </c>
      <c r="J27" s="11">
        <v>0.1</v>
      </c>
      <c r="K27" s="11">
        <v>1</v>
      </c>
      <c r="L27" s="12">
        <v>6</v>
      </c>
      <c r="M27" s="13">
        <v>46301</v>
      </c>
      <c r="N27" s="10" t="s">
        <v>184</v>
      </c>
      <c r="O27" s="10" t="s">
        <v>104</v>
      </c>
      <c r="P27" s="14">
        <f t="shared" si="0"/>
        <v>46483</v>
      </c>
      <c r="Q27" s="15" t="str">
        <f>IFERROR(INDEX(tbl_calibracoes[Decisao],MATCH(A27&amp;"|"&amp;M27,tbl_calibracoes[Chave],0)),"Sem registo")</f>
        <v>Conforme</v>
      </c>
      <c r="R27" s="15" t="str">
        <f t="shared" si="1"/>
        <v>Válido</v>
      </c>
      <c r="S27" s="16" t="str">
        <f t="shared" si="2"/>
        <v/>
      </c>
    </row>
    <row r="28" spans="1:19" ht="30" customHeight="1" x14ac:dyDescent="0.3">
      <c r="A28" s="10" t="s">
        <v>187</v>
      </c>
      <c r="B28" s="10" t="s">
        <v>188</v>
      </c>
      <c r="C28" s="10" t="s">
        <v>181</v>
      </c>
      <c r="D28" s="10" t="s">
        <v>151</v>
      </c>
      <c r="E28" s="10" t="s">
        <v>189</v>
      </c>
      <c r="F28" s="10" t="s">
        <v>100</v>
      </c>
      <c r="G28" s="10" t="s">
        <v>182</v>
      </c>
      <c r="H28" s="11"/>
      <c r="I28" s="10" t="s">
        <v>183</v>
      </c>
      <c r="J28" s="11">
        <v>0.1</v>
      </c>
      <c r="K28" s="11">
        <v>1</v>
      </c>
      <c r="L28" s="12">
        <v>6</v>
      </c>
      <c r="M28" s="13">
        <v>46317</v>
      </c>
      <c r="N28" s="10" t="s">
        <v>184</v>
      </c>
      <c r="O28" s="10" t="s">
        <v>104</v>
      </c>
      <c r="P28" s="14">
        <f t="shared" si="0"/>
        <v>46499</v>
      </c>
      <c r="Q28" s="15" t="str">
        <f>IFERROR(INDEX(tbl_calibracoes[Decisao],MATCH(A28&amp;"|"&amp;M28,tbl_calibracoes[Chave],0)),"Sem registo")</f>
        <v>Conforme</v>
      </c>
      <c r="R28" s="15" t="str">
        <f t="shared" si="1"/>
        <v>Válido</v>
      </c>
      <c r="S28" s="16" t="str">
        <f t="shared" si="2"/>
        <v/>
      </c>
    </row>
    <row r="29" spans="1:19" ht="30" customHeight="1" x14ac:dyDescent="0.3">
      <c r="A29" s="10" t="s">
        <v>190</v>
      </c>
      <c r="B29" s="10" t="s">
        <v>191</v>
      </c>
      <c r="C29" s="10" t="s">
        <v>192</v>
      </c>
      <c r="D29" s="10" t="s">
        <v>151</v>
      </c>
      <c r="E29" s="10" t="s">
        <v>119</v>
      </c>
      <c r="F29" s="10" t="s">
        <v>120</v>
      </c>
      <c r="G29" s="10" t="s">
        <v>193</v>
      </c>
      <c r="H29" s="11"/>
      <c r="I29" s="10" t="s">
        <v>194</v>
      </c>
      <c r="J29" s="11">
        <v>10</v>
      </c>
      <c r="K29" s="11">
        <v>100</v>
      </c>
      <c r="L29" s="12">
        <v>12</v>
      </c>
      <c r="M29" s="13">
        <v>46196</v>
      </c>
      <c r="N29" s="10" t="s">
        <v>195</v>
      </c>
      <c r="O29" s="10" t="s">
        <v>104</v>
      </c>
      <c r="P29" s="14">
        <f t="shared" si="0"/>
        <v>46561</v>
      </c>
      <c r="Q29" s="15" t="str">
        <f>IFERROR(INDEX(tbl_calibracoes[Decisao],MATCH(A29&amp;"|"&amp;M29,tbl_calibracoes[Chave],0)),"Sem registo")</f>
        <v>Conforme</v>
      </c>
      <c r="R29" s="15" t="str">
        <f t="shared" si="1"/>
        <v>Válido</v>
      </c>
      <c r="S29" s="16" t="str">
        <f t="shared" si="2"/>
        <v/>
      </c>
    </row>
    <row r="30" spans="1:19" ht="30" customHeight="1" x14ac:dyDescent="0.3">
      <c r="A30" s="10" t="s">
        <v>196</v>
      </c>
      <c r="B30" s="10" t="s">
        <v>197</v>
      </c>
      <c r="C30" s="10" t="s">
        <v>192</v>
      </c>
      <c r="D30" s="10" t="s">
        <v>151</v>
      </c>
      <c r="E30" s="10" t="s">
        <v>140</v>
      </c>
      <c r="F30" s="10" t="s">
        <v>100</v>
      </c>
      <c r="G30" s="10" t="s">
        <v>193</v>
      </c>
      <c r="H30" s="11"/>
      <c r="I30" s="10" t="s">
        <v>194</v>
      </c>
      <c r="J30" s="11">
        <v>10</v>
      </c>
      <c r="K30" s="11">
        <v>100</v>
      </c>
      <c r="L30" s="12">
        <v>12</v>
      </c>
      <c r="M30" s="13">
        <v>46233</v>
      </c>
      <c r="N30" s="10" t="s">
        <v>195</v>
      </c>
      <c r="O30" s="10" t="s">
        <v>104</v>
      </c>
      <c r="P30" s="14">
        <f t="shared" si="0"/>
        <v>46598</v>
      </c>
      <c r="Q30" s="15" t="str">
        <f>IFERROR(INDEX(tbl_calibracoes[Decisao],MATCH(A30&amp;"|"&amp;M30,tbl_calibracoes[Chave],0)),"Sem registo")</f>
        <v>Conforme</v>
      </c>
      <c r="R30" s="15" t="str">
        <f t="shared" si="1"/>
        <v>Válido</v>
      </c>
      <c r="S30" s="16" t="str">
        <f t="shared" si="2"/>
        <v/>
      </c>
    </row>
    <row r="31" spans="1:19" ht="30" customHeight="1" x14ac:dyDescent="0.3">
      <c r="A31" s="10" t="s">
        <v>198</v>
      </c>
      <c r="B31" s="10" t="s">
        <v>199</v>
      </c>
      <c r="C31" s="10" t="s">
        <v>192</v>
      </c>
      <c r="D31" s="10" t="s">
        <v>151</v>
      </c>
      <c r="E31" s="10" t="s">
        <v>200</v>
      </c>
      <c r="F31" s="10" t="s">
        <v>201</v>
      </c>
      <c r="G31" s="10" t="s">
        <v>193</v>
      </c>
      <c r="H31" s="11"/>
      <c r="I31" s="10" t="s">
        <v>194</v>
      </c>
      <c r="J31" s="11">
        <v>10</v>
      </c>
      <c r="K31" s="11">
        <v>100</v>
      </c>
      <c r="L31" s="12">
        <v>12</v>
      </c>
      <c r="M31" s="13">
        <v>46299</v>
      </c>
      <c r="N31" s="10" t="s">
        <v>195</v>
      </c>
      <c r="O31" s="10" t="s">
        <v>104</v>
      </c>
      <c r="P31" s="14">
        <f t="shared" si="0"/>
        <v>46664</v>
      </c>
      <c r="Q31" s="15" t="str">
        <f>IFERROR(INDEX(tbl_calibracoes[Decisao],MATCH(A31&amp;"|"&amp;M31,tbl_calibracoes[Chave],0)),"Sem registo")</f>
        <v>Conforme</v>
      </c>
      <c r="R31" s="15" t="str">
        <f t="shared" si="1"/>
        <v>Válido</v>
      </c>
      <c r="S31" s="16" t="str">
        <f t="shared" si="2"/>
        <v/>
      </c>
    </row>
    <row r="32" spans="1:19" ht="30" customHeight="1" x14ac:dyDescent="0.3">
      <c r="A32" s="10" t="s">
        <v>202</v>
      </c>
      <c r="B32" s="10" t="s">
        <v>203</v>
      </c>
      <c r="C32" s="10" t="s">
        <v>204</v>
      </c>
      <c r="D32" s="10" t="s">
        <v>98</v>
      </c>
      <c r="E32" s="10" t="s">
        <v>119</v>
      </c>
      <c r="F32" s="10" t="s">
        <v>120</v>
      </c>
      <c r="G32" s="10" t="s">
        <v>205</v>
      </c>
      <c r="H32" s="11">
        <v>4</v>
      </c>
      <c r="I32" s="10" t="s">
        <v>206</v>
      </c>
      <c r="J32" s="11">
        <v>0.1</v>
      </c>
      <c r="K32" s="11">
        <v>0.4</v>
      </c>
      <c r="L32" s="12">
        <v>12</v>
      </c>
      <c r="M32" s="13">
        <v>46335</v>
      </c>
      <c r="N32" s="10" t="s">
        <v>207</v>
      </c>
      <c r="O32" s="10" t="s">
        <v>104</v>
      </c>
      <c r="P32" s="14">
        <f t="shared" si="0"/>
        <v>46700</v>
      </c>
      <c r="Q32" s="15" t="str">
        <f>IFERROR(INDEX(tbl_calibracoes[Decisao],MATCH(A32&amp;"|"&amp;M32,tbl_calibracoes[Chave],0)),"Sem registo")</f>
        <v>Conforme</v>
      </c>
      <c r="R32" s="15" t="str">
        <f t="shared" si="1"/>
        <v>Válido</v>
      </c>
      <c r="S32" s="16">
        <f t="shared" si="2"/>
        <v>10</v>
      </c>
    </row>
    <row r="33" spans="1:19" ht="30" customHeight="1" x14ac:dyDescent="0.3">
      <c r="A33" s="10" t="s">
        <v>208</v>
      </c>
      <c r="B33" s="10" t="s">
        <v>209</v>
      </c>
      <c r="C33" s="10" t="s">
        <v>204</v>
      </c>
      <c r="D33" s="10" t="s">
        <v>98</v>
      </c>
      <c r="E33" s="10" t="s">
        <v>143</v>
      </c>
      <c r="F33" s="10" t="s">
        <v>128</v>
      </c>
      <c r="G33" s="10" t="s">
        <v>205</v>
      </c>
      <c r="H33" s="11">
        <v>4</v>
      </c>
      <c r="I33" s="10" t="s">
        <v>206</v>
      </c>
      <c r="J33" s="11">
        <v>0.1</v>
      </c>
      <c r="K33" s="11">
        <v>0.4</v>
      </c>
      <c r="L33" s="12">
        <v>12</v>
      </c>
      <c r="M33" s="13">
        <v>46371</v>
      </c>
      <c r="N33" s="10" t="s">
        <v>207</v>
      </c>
      <c r="O33" s="10" t="s">
        <v>104</v>
      </c>
      <c r="P33" s="14">
        <f t="shared" si="0"/>
        <v>46736</v>
      </c>
      <c r="Q33" s="15" t="str">
        <f>IFERROR(INDEX(tbl_calibracoes[Decisao],MATCH(A33&amp;"|"&amp;M33,tbl_calibracoes[Chave],0)),"Sem registo")</f>
        <v>Conforme</v>
      </c>
      <c r="R33" s="15" t="str">
        <f t="shared" si="1"/>
        <v>Válido</v>
      </c>
      <c r="S33" s="16">
        <f t="shared" si="2"/>
        <v>10</v>
      </c>
    </row>
    <row r="34" spans="1:19" ht="30" customHeight="1" x14ac:dyDescent="0.3">
      <c r="A34" s="10" t="s">
        <v>210</v>
      </c>
      <c r="B34" s="10" t="s">
        <v>211</v>
      </c>
      <c r="C34" s="10" t="s">
        <v>212</v>
      </c>
      <c r="D34" s="10" t="s">
        <v>98</v>
      </c>
      <c r="E34" s="10" t="s">
        <v>119</v>
      </c>
      <c r="F34" s="10" t="s">
        <v>120</v>
      </c>
      <c r="G34" s="10" t="s">
        <v>213</v>
      </c>
      <c r="H34" s="11">
        <v>5</v>
      </c>
      <c r="I34" s="10" t="s">
        <v>214</v>
      </c>
      <c r="J34" s="11">
        <v>0.1</v>
      </c>
      <c r="K34" s="11">
        <v>0.5</v>
      </c>
      <c r="L34" s="12">
        <v>12</v>
      </c>
      <c r="M34" s="13">
        <v>46051</v>
      </c>
      <c r="N34" s="10" t="s">
        <v>207</v>
      </c>
      <c r="O34" s="10" t="s">
        <v>104</v>
      </c>
      <c r="P34" s="14">
        <f t="shared" si="0"/>
        <v>46416</v>
      </c>
      <c r="Q34" s="15" t="str">
        <f>IFERROR(INDEX(tbl_calibracoes[Decisao],MATCH(A34&amp;"|"&amp;M34,tbl_calibracoes[Chave],0)),"Sem registo")</f>
        <v>Conforme</v>
      </c>
      <c r="R34" s="15" t="str">
        <f t="shared" si="1"/>
        <v>A vencer (30 d)</v>
      </c>
      <c r="S34" s="16">
        <f t="shared" si="2"/>
        <v>10</v>
      </c>
    </row>
    <row r="35" spans="1:19" ht="30" customHeight="1" x14ac:dyDescent="0.3">
      <c r="A35" s="10" t="s">
        <v>215</v>
      </c>
      <c r="B35" s="10" t="s">
        <v>216</v>
      </c>
      <c r="C35" s="10" t="s">
        <v>217</v>
      </c>
      <c r="D35" s="10" t="s">
        <v>151</v>
      </c>
      <c r="E35" s="10" t="s">
        <v>119</v>
      </c>
      <c r="F35" s="10" t="s">
        <v>120</v>
      </c>
      <c r="G35" s="10" t="s">
        <v>218</v>
      </c>
      <c r="H35" s="11">
        <v>2</v>
      </c>
      <c r="I35" s="10" t="s">
        <v>219</v>
      </c>
      <c r="J35" s="11">
        <v>0.1</v>
      </c>
      <c r="K35" s="11">
        <v>0.5</v>
      </c>
      <c r="L35" s="12">
        <v>12</v>
      </c>
      <c r="M35" s="13">
        <v>46297</v>
      </c>
      <c r="N35" s="10" t="s">
        <v>220</v>
      </c>
      <c r="O35" s="10" t="s">
        <v>104</v>
      </c>
      <c r="P35" s="14">
        <f t="shared" si="0"/>
        <v>46662</v>
      </c>
      <c r="Q35" s="15" t="str">
        <f>IFERROR(INDEX(tbl_calibracoes[Decisao],MATCH(A35&amp;"|"&amp;M35,tbl_calibracoes[Chave],0)),"Sem registo")</f>
        <v>Conforme</v>
      </c>
      <c r="R35" s="15" t="str">
        <f t="shared" si="1"/>
        <v>Válido</v>
      </c>
      <c r="S35" s="16">
        <f t="shared" si="2"/>
        <v>4</v>
      </c>
    </row>
    <row r="36" spans="1:19" ht="30" customHeight="1" x14ac:dyDescent="0.3">
      <c r="A36" s="10" t="s">
        <v>221</v>
      </c>
      <c r="B36" s="10" t="s">
        <v>222</v>
      </c>
      <c r="C36" s="10" t="s">
        <v>223</v>
      </c>
      <c r="D36" s="10" t="s">
        <v>98</v>
      </c>
      <c r="E36" s="10" t="s">
        <v>119</v>
      </c>
      <c r="F36" s="10" t="s">
        <v>120</v>
      </c>
      <c r="G36" s="10" t="s">
        <v>224</v>
      </c>
      <c r="H36" s="11">
        <v>20</v>
      </c>
      <c r="I36" s="10" t="s">
        <v>225</v>
      </c>
      <c r="J36" s="11">
        <v>0.1</v>
      </c>
      <c r="K36" s="11">
        <v>1</v>
      </c>
      <c r="L36" s="12">
        <v>12</v>
      </c>
      <c r="M36" s="13">
        <v>46125</v>
      </c>
      <c r="N36" s="10" t="s">
        <v>207</v>
      </c>
      <c r="O36" s="10" t="s">
        <v>104</v>
      </c>
      <c r="P36" s="14">
        <f t="shared" si="0"/>
        <v>46490</v>
      </c>
      <c r="Q36" s="15" t="str">
        <f>IFERROR(INDEX(tbl_calibracoes[Decisao],MATCH(A36&amp;"|"&amp;M36,tbl_calibracoes[Chave],0)),"Sem registo")</f>
        <v>Conforme</v>
      </c>
      <c r="R36" s="15" t="str">
        <f t="shared" si="1"/>
        <v>Válido</v>
      </c>
      <c r="S36" s="16">
        <f t="shared" si="2"/>
        <v>20</v>
      </c>
    </row>
    <row r="37" spans="1:19" ht="30" customHeight="1" x14ac:dyDescent="0.3">
      <c r="A37" s="10" t="s">
        <v>226</v>
      </c>
      <c r="B37" s="10" t="s">
        <v>227</v>
      </c>
      <c r="C37" s="10" t="s">
        <v>228</v>
      </c>
      <c r="D37" s="10" t="s">
        <v>151</v>
      </c>
      <c r="E37" s="10" t="s">
        <v>119</v>
      </c>
      <c r="F37" s="10" t="s">
        <v>120</v>
      </c>
      <c r="G37" s="10" t="s">
        <v>229</v>
      </c>
      <c r="H37" s="11">
        <v>50</v>
      </c>
      <c r="I37" s="10" t="s">
        <v>136</v>
      </c>
      <c r="J37" s="11">
        <v>1</v>
      </c>
      <c r="K37" s="11">
        <v>5</v>
      </c>
      <c r="L37" s="12">
        <v>24</v>
      </c>
      <c r="M37" s="13">
        <v>46162</v>
      </c>
      <c r="N37" s="10" t="s">
        <v>230</v>
      </c>
      <c r="O37" s="10" t="s">
        <v>104</v>
      </c>
      <c r="P37" s="14">
        <f t="shared" si="0"/>
        <v>46893</v>
      </c>
      <c r="Q37" s="15" t="str">
        <f>IFERROR(INDEX(tbl_calibracoes[Decisao],MATCH(A37&amp;"|"&amp;M37,tbl_calibracoes[Chave],0)),"Sem registo")</f>
        <v>Conforme</v>
      </c>
      <c r="R37" s="15" t="str">
        <f t="shared" si="1"/>
        <v>Válido</v>
      </c>
      <c r="S37" s="16">
        <f t="shared" si="2"/>
        <v>10</v>
      </c>
    </row>
    <row r="38" spans="1:19" ht="30" customHeight="1" x14ac:dyDescent="0.3">
      <c r="A38" s="10" t="s">
        <v>231</v>
      </c>
      <c r="B38" s="10" t="s">
        <v>232</v>
      </c>
      <c r="C38" s="10" t="s">
        <v>233</v>
      </c>
      <c r="D38" s="10" t="s">
        <v>98</v>
      </c>
      <c r="E38" s="10" t="s">
        <v>119</v>
      </c>
      <c r="F38" s="10" t="s">
        <v>120</v>
      </c>
      <c r="G38" s="10" t="s">
        <v>234</v>
      </c>
      <c r="H38" s="11">
        <v>1</v>
      </c>
      <c r="I38" s="10" t="s">
        <v>235</v>
      </c>
      <c r="J38" s="11">
        <v>0.01</v>
      </c>
      <c r="K38" s="11">
        <v>0.1</v>
      </c>
      <c r="L38" s="12">
        <v>12</v>
      </c>
      <c r="M38" s="13">
        <v>46199</v>
      </c>
      <c r="N38" s="10" t="s">
        <v>236</v>
      </c>
      <c r="O38" s="10" t="s">
        <v>104</v>
      </c>
      <c r="P38" s="14">
        <f t="shared" si="0"/>
        <v>46564</v>
      </c>
      <c r="Q38" s="15" t="str">
        <f>IFERROR(INDEX(tbl_calibracoes[Decisao],MATCH(A38&amp;"|"&amp;M38,tbl_calibracoes[Chave],0)),"Sem registo")</f>
        <v>Conforme</v>
      </c>
      <c r="R38" s="15" t="str">
        <f t="shared" si="1"/>
        <v>Válido</v>
      </c>
      <c r="S38" s="16">
        <f t="shared" si="2"/>
        <v>10</v>
      </c>
    </row>
    <row r="39" spans="1:19" ht="30" customHeight="1" x14ac:dyDescent="0.3">
      <c r="A39" s="10" t="s">
        <v>237</v>
      </c>
      <c r="B39" s="10" t="s">
        <v>238</v>
      </c>
      <c r="C39" s="10" t="s">
        <v>239</v>
      </c>
      <c r="D39" s="10" t="s">
        <v>98</v>
      </c>
      <c r="E39" s="10" t="s">
        <v>240</v>
      </c>
      <c r="F39" s="10" t="s">
        <v>147</v>
      </c>
      <c r="G39" s="10" t="s">
        <v>241</v>
      </c>
      <c r="H39" s="11">
        <v>0.1</v>
      </c>
      <c r="I39" s="10" t="s">
        <v>242</v>
      </c>
      <c r="J39" s="11">
        <v>1E-3</v>
      </c>
      <c r="K39" s="11">
        <v>0.01</v>
      </c>
      <c r="L39" s="12">
        <v>12</v>
      </c>
      <c r="M39" s="13">
        <v>46236</v>
      </c>
      <c r="N39" s="10" t="s">
        <v>243</v>
      </c>
      <c r="O39" s="10" t="s">
        <v>104</v>
      </c>
      <c r="P39" s="14">
        <f t="shared" si="0"/>
        <v>46601</v>
      </c>
      <c r="Q39" s="15" t="str">
        <f>IFERROR(INDEX(tbl_calibracoes[Decisao],MATCH(A39&amp;"|"&amp;M39,tbl_calibracoes[Chave],0)),"Sem registo")</f>
        <v>Conforme</v>
      </c>
      <c r="R39" s="15" t="str">
        <f t="shared" si="1"/>
        <v>Válido</v>
      </c>
      <c r="S39" s="16">
        <f t="shared" si="2"/>
        <v>10</v>
      </c>
    </row>
    <row r="40" spans="1:19" ht="30" customHeight="1" x14ac:dyDescent="0.3">
      <c r="A40" s="10" t="s">
        <v>244</v>
      </c>
      <c r="B40" s="10" t="s">
        <v>245</v>
      </c>
      <c r="C40" s="10" t="s">
        <v>246</v>
      </c>
      <c r="D40" s="10" t="s">
        <v>151</v>
      </c>
      <c r="E40" s="10" t="s">
        <v>240</v>
      </c>
      <c r="F40" s="10" t="s">
        <v>147</v>
      </c>
      <c r="G40" s="10" t="s">
        <v>247</v>
      </c>
      <c r="H40" s="11">
        <v>150</v>
      </c>
      <c r="I40" s="10" t="s">
        <v>248</v>
      </c>
      <c r="J40" s="11">
        <v>1</v>
      </c>
      <c r="K40" s="11">
        <v>15</v>
      </c>
      <c r="L40" s="12">
        <v>6</v>
      </c>
      <c r="M40" s="13">
        <v>46330</v>
      </c>
      <c r="N40" s="10" t="s">
        <v>249</v>
      </c>
      <c r="O40" s="10" t="s">
        <v>104</v>
      </c>
      <c r="P40" s="14">
        <f t="shared" si="0"/>
        <v>46511</v>
      </c>
      <c r="Q40" s="15" t="str">
        <f>IFERROR(INDEX(tbl_calibracoes[Decisao],MATCH(A40&amp;"|"&amp;M40,tbl_calibracoes[Chave],0)),"Sem registo")</f>
        <v>Conforme</v>
      </c>
      <c r="R40" s="15" t="str">
        <f t="shared" si="1"/>
        <v>Válido</v>
      </c>
      <c r="S40" s="16">
        <f t="shared" si="2"/>
        <v>10</v>
      </c>
    </row>
    <row r="41" spans="1:19" ht="30" customHeight="1" x14ac:dyDescent="0.3">
      <c r="A41" s="10" t="s">
        <v>250</v>
      </c>
      <c r="B41" s="10" t="s">
        <v>251</v>
      </c>
      <c r="C41" s="10" t="s">
        <v>252</v>
      </c>
      <c r="D41" s="10" t="s">
        <v>151</v>
      </c>
      <c r="E41" s="10" t="s">
        <v>240</v>
      </c>
      <c r="F41" s="10" t="s">
        <v>147</v>
      </c>
      <c r="G41" s="10" t="s">
        <v>253</v>
      </c>
      <c r="H41" s="11">
        <v>4.0000000000000001E-3</v>
      </c>
      <c r="I41" s="10" t="s">
        <v>254</v>
      </c>
      <c r="J41" s="11">
        <v>1E-4</v>
      </c>
      <c r="K41" s="11">
        <v>4.0000000000000002E-4</v>
      </c>
      <c r="L41" s="12">
        <v>12</v>
      </c>
      <c r="M41" s="13">
        <v>46341</v>
      </c>
      <c r="N41" s="10" t="s">
        <v>255</v>
      </c>
      <c r="O41" s="10" t="s">
        <v>104</v>
      </c>
      <c r="P41" s="14">
        <f t="shared" si="0"/>
        <v>46706</v>
      </c>
      <c r="Q41" s="15" t="str">
        <f>IFERROR(INDEX(tbl_calibracoes[Decisao],MATCH(A41&amp;"|"&amp;M41,tbl_calibracoes[Chave],0)),"Sem registo")</f>
        <v>Conforme</v>
      </c>
      <c r="R41" s="15" t="str">
        <f t="shared" si="1"/>
        <v>Válido</v>
      </c>
      <c r="S41" s="16">
        <f t="shared" si="2"/>
        <v>10</v>
      </c>
    </row>
    <row r="42" spans="1:19" ht="30" customHeight="1" x14ac:dyDescent="0.3">
      <c r="A42" s="10" t="s">
        <v>256</v>
      </c>
      <c r="B42" s="10" t="s">
        <v>257</v>
      </c>
      <c r="C42" s="10" t="s">
        <v>258</v>
      </c>
      <c r="D42" s="10" t="s">
        <v>98</v>
      </c>
      <c r="E42" s="10" t="s">
        <v>259</v>
      </c>
      <c r="F42" s="10" t="s">
        <v>100</v>
      </c>
      <c r="G42" s="10" t="s">
        <v>260</v>
      </c>
      <c r="H42" s="11">
        <v>2</v>
      </c>
      <c r="I42" s="10" t="s">
        <v>261</v>
      </c>
      <c r="J42" s="11">
        <v>0.1</v>
      </c>
      <c r="K42" s="11">
        <v>0.5</v>
      </c>
      <c r="L42" s="12">
        <v>12</v>
      </c>
      <c r="M42" s="13">
        <v>46377</v>
      </c>
      <c r="N42" s="10" t="s">
        <v>103</v>
      </c>
      <c r="O42" s="10" t="s">
        <v>104</v>
      </c>
      <c r="P42" s="14">
        <f t="shared" si="0"/>
        <v>46742</v>
      </c>
      <c r="Q42" s="15" t="str">
        <f>IFERROR(INDEX(tbl_calibracoes[Decisao],MATCH(A42&amp;"|"&amp;M42,tbl_calibracoes[Chave],0)),"Sem registo")</f>
        <v>Conforme</v>
      </c>
      <c r="R42" s="15" t="str">
        <f t="shared" si="1"/>
        <v>Válido</v>
      </c>
      <c r="S42" s="16">
        <f t="shared" si="2"/>
        <v>4</v>
      </c>
    </row>
    <row r="43" spans="1:19" ht="30" customHeight="1" x14ac:dyDescent="0.3">
      <c r="A43" s="10" t="s">
        <v>262</v>
      </c>
      <c r="B43" s="10" t="s">
        <v>263</v>
      </c>
      <c r="C43" s="10" t="s">
        <v>258</v>
      </c>
      <c r="D43" s="10" t="s">
        <v>98</v>
      </c>
      <c r="E43" s="10" t="s">
        <v>264</v>
      </c>
      <c r="F43" s="10" t="s">
        <v>147</v>
      </c>
      <c r="G43" s="10" t="s">
        <v>260</v>
      </c>
      <c r="H43" s="11">
        <v>2</v>
      </c>
      <c r="I43" s="10" t="s">
        <v>261</v>
      </c>
      <c r="J43" s="11">
        <v>0.1</v>
      </c>
      <c r="K43" s="11">
        <v>0.5</v>
      </c>
      <c r="L43" s="12">
        <v>12</v>
      </c>
      <c r="M43" s="13">
        <v>46054</v>
      </c>
      <c r="N43" s="10" t="s">
        <v>103</v>
      </c>
      <c r="O43" s="10" t="s">
        <v>104</v>
      </c>
      <c r="P43" s="14">
        <f t="shared" si="0"/>
        <v>46419</v>
      </c>
      <c r="Q43" s="15" t="str">
        <f>IFERROR(INDEX(tbl_calibracoes[Decisao],MATCH(A43&amp;"|"&amp;M43,tbl_calibracoes[Chave],0)),"Sem registo")</f>
        <v>Conforme</v>
      </c>
      <c r="R43" s="15" t="str">
        <f t="shared" si="1"/>
        <v>Válido</v>
      </c>
      <c r="S43" s="16">
        <f t="shared" si="2"/>
        <v>4</v>
      </c>
    </row>
  </sheetData>
  <conditionalFormatting sqref="R5:R243">
    <cfRule type="expression" dxfId="12" priority="1">
      <formula>ISNUMBER(SEARCH("Vencido",R5))</formula>
    </cfRule>
    <cfRule type="expression" dxfId="11" priority="2">
      <formula>ISNUMBER(SEARCH("Bloqueado",R5))</formula>
    </cfRule>
    <cfRule type="expression" dxfId="10" priority="3">
      <formula>ISNUMBER(SEARCH("A vencer",R5))</formula>
    </cfRule>
    <cfRule type="expression" dxfId="9" priority="4">
      <formula>ISNUMBER(SEARCH("Válido",R5))</formula>
    </cfRule>
    <cfRule type="expression" dxfId="8" priority="5">
      <formula>ISNUMBER(SEARCH("Fora",R5))</formula>
    </cfRule>
  </conditionalFormatting>
  <conditionalFormatting sqref="S5:S243">
    <cfRule type="expression" dxfId="7" priority="6">
      <formula>AND(S5&lt;&gt;"",S5&lt;4)</formula>
    </cfRule>
  </conditionalFormatting>
  <dataValidations count="3">
    <dataValidation type="list" allowBlank="1" showErrorMessage="1" errorTitle="Valor inválido" error="Valor fora da lista controlada (ver folha Listas)." sqref="D5:D243" xr:uid="{00000000-0002-0000-0100-000000000000}">
      <formula1>lst_TipoConf</formula1>
    </dataValidation>
    <dataValidation type="list" allowBlank="1" showErrorMessage="1" errorTitle="Valor inválido" error="Valor fora da lista controlada (ver folha Listas)." sqref="F5:F243" xr:uid="{00000000-0002-0000-0100-000001000000}">
      <formula1>lst_Processo</formula1>
    </dataValidation>
    <dataValidation type="list" allowBlank="1" showErrorMessage="1" errorTitle="Valor inválido" error="Valor fora da lista controlada (ver folha Listas)." sqref="O5:O243" xr:uid="{00000000-0002-0000-0100-000002000000}">
      <formula1>lst_EstadoUso</formula1>
    </dataValidation>
  </dataValidations>
  <pageMargins left="0.75" right="0.75" top="1" bottom="1" header="0.5" footer="0.5"/>
  <pageSetup fitToHeight="0" orientation="landscape"/>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100"/>
  <sheetViews>
    <sheetView zoomScale="90" workbookViewId="0">
      <pane xSplit="1" ySplit="1" topLeftCell="B2" activePane="bottomRight" state="frozen"/>
      <selection pane="topRight"/>
      <selection pane="bottomLeft"/>
      <selection pane="bottomRight"/>
    </sheetView>
  </sheetViews>
  <sheetFormatPr defaultRowHeight="14.4" x14ac:dyDescent="0.3"/>
  <cols>
    <col min="1" max="1" width="12" customWidth="1"/>
    <col min="2" max="2" width="9" customWidth="1"/>
    <col min="3" max="3" width="11" customWidth="1"/>
    <col min="4" max="4" width="16" customWidth="1"/>
    <col min="5" max="5" width="14" customWidth="1"/>
    <col min="6" max="6" width="26" customWidth="1"/>
    <col min="7" max="7" width="10" customWidth="1"/>
    <col min="8" max="8" width="9" customWidth="1"/>
    <col min="9" max="9" width="8" customWidth="1"/>
    <col min="10" max="10" width="13" customWidth="1"/>
    <col min="11" max="11" width="8" customWidth="1"/>
  </cols>
  <sheetData>
    <row r="1" spans="1:11" ht="39.6" x14ac:dyDescent="0.3">
      <c r="A1" s="8" t="s">
        <v>265</v>
      </c>
      <c r="B1" s="8" t="s">
        <v>77</v>
      </c>
      <c r="C1" s="8" t="s">
        <v>266</v>
      </c>
      <c r="D1" s="9" t="s">
        <v>267</v>
      </c>
      <c r="E1" s="8" t="s">
        <v>268</v>
      </c>
      <c r="F1" s="8" t="s">
        <v>90</v>
      </c>
      <c r="G1" s="8" t="s">
        <v>269</v>
      </c>
      <c r="H1" s="8" t="s">
        <v>270</v>
      </c>
      <c r="I1" s="8" t="s">
        <v>87</v>
      </c>
      <c r="J1" s="9" t="s">
        <v>271</v>
      </c>
      <c r="K1" s="8" t="s">
        <v>272</v>
      </c>
    </row>
    <row r="2" spans="1:11" ht="16.05" customHeight="1" x14ac:dyDescent="0.3">
      <c r="A2" s="10" t="s">
        <v>273</v>
      </c>
      <c r="B2" s="10" t="s">
        <v>95</v>
      </c>
      <c r="C2" s="13">
        <v>45604</v>
      </c>
      <c r="D2" s="15" t="str">
        <f t="shared" ref="D2:D33" si="0">B2&amp;"|"&amp;C2</f>
        <v>EQM-001|45604</v>
      </c>
      <c r="E2" s="10" t="s">
        <v>274</v>
      </c>
      <c r="F2" s="10" t="s">
        <v>103</v>
      </c>
      <c r="G2" s="11">
        <v>1.2500000000000001E-2</v>
      </c>
      <c r="H2" s="11">
        <v>1.2E-2</v>
      </c>
      <c r="I2" s="11">
        <v>0.05</v>
      </c>
      <c r="J2" s="15" t="str">
        <f t="shared" ref="J2:J33" si="1">IF(G2="","Verificado OK",IF(ABS(G2)+H2&lt;=I2,"Conforme",IF(ABS(G2)&lt;=I2,"Indeterminado","Não conforme")))</f>
        <v>Conforme</v>
      </c>
      <c r="K2" s="10" t="s">
        <v>275</v>
      </c>
    </row>
    <row r="3" spans="1:11" ht="16.05" customHeight="1" x14ac:dyDescent="0.3">
      <c r="A3" s="10" t="s">
        <v>276</v>
      </c>
      <c r="B3" s="10" t="s">
        <v>95</v>
      </c>
      <c r="C3" s="13">
        <v>45968</v>
      </c>
      <c r="D3" s="15" t="str">
        <f t="shared" si="0"/>
        <v>EQM-001|45968</v>
      </c>
      <c r="E3" s="10" t="s">
        <v>277</v>
      </c>
      <c r="F3" s="10" t="s">
        <v>103</v>
      </c>
      <c r="G3" s="11">
        <v>1.7500000000000002E-2</v>
      </c>
      <c r="H3" s="11">
        <v>1.2E-2</v>
      </c>
      <c r="I3" s="11">
        <v>0.05</v>
      </c>
      <c r="J3" s="15" t="str">
        <f t="shared" si="1"/>
        <v>Conforme</v>
      </c>
      <c r="K3" s="10" t="s">
        <v>275</v>
      </c>
    </row>
    <row r="4" spans="1:11" ht="16.05" customHeight="1" x14ac:dyDescent="0.3">
      <c r="A4" s="10" t="s">
        <v>278</v>
      </c>
      <c r="B4" s="10" t="s">
        <v>95</v>
      </c>
      <c r="C4" s="13">
        <v>46329</v>
      </c>
      <c r="D4" s="15" t="str">
        <f t="shared" si="0"/>
        <v>EQM-001|46329</v>
      </c>
      <c r="E4" s="10" t="s">
        <v>279</v>
      </c>
      <c r="F4" s="10" t="s">
        <v>103</v>
      </c>
      <c r="G4" s="11">
        <v>2.2499999999999999E-2</v>
      </c>
      <c r="H4" s="11">
        <v>1.2E-2</v>
      </c>
      <c r="I4" s="11">
        <v>0.05</v>
      </c>
      <c r="J4" s="15" t="str">
        <f t="shared" si="1"/>
        <v>Conforme</v>
      </c>
      <c r="K4" s="10" t="s">
        <v>275</v>
      </c>
    </row>
    <row r="5" spans="1:11" ht="16.05" customHeight="1" x14ac:dyDescent="0.3">
      <c r="A5" s="10" t="s">
        <v>280</v>
      </c>
      <c r="B5" s="10" t="s">
        <v>105</v>
      </c>
      <c r="C5" s="13">
        <v>45641</v>
      </c>
      <c r="D5" s="15" t="str">
        <f t="shared" si="0"/>
        <v>EQM-002|45641</v>
      </c>
      <c r="E5" s="10" t="s">
        <v>281</v>
      </c>
      <c r="F5" s="10" t="s">
        <v>103</v>
      </c>
      <c r="G5" s="11">
        <v>1.7500000000000002E-2</v>
      </c>
      <c r="H5" s="11">
        <v>1.2E-2</v>
      </c>
      <c r="I5" s="11">
        <v>0.05</v>
      </c>
      <c r="J5" s="15" t="str">
        <f t="shared" si="1"/>
        <v>Conforme</v>
      </c>
      <c r="K5" s="10" t="s">
        <v>275</v>
      </c>
    </row>
    <row r="6" spans="1:11" ht="16.05" customHeight="1" x14ac:dyDescent="0.3">
      <c r="A6" s="10" t="s">
        <v>282</v>
      </c>
      <c r="B6" s="10" t="s">
        <v>105</v>
      </c>
      <c r="C6" s="13">
        <v>46005</v>
      </c>
      <c r="D6" s="15" t="str">
        <f t="shared" si="0"/>
        <v>EQM-002|46005</v>
      </c>
      <c r="E6" s="10" t="s">
        <v>283</v>
      </c>
      <c r="F6" s="10" t="s">
        <v>103</v>
      </c>
      <c r="G6" s="11">
        <v>2.2499999999999999E-2</v>
      </c>
      <c r="H6" s="11">
        <v>1.2E-2</v>
      </c>
      <c r="I6" s="11">
        <v>0.05</v>
      </c>
      <c r="J6" s="15" t="str">
        <f t="shared" si="1"/>
        <v>Conforme</v>
      </c>
      <c r="K6" s="10" t="s">
        <v>275</v>
      </c>
    </row>
    <row r="7" spans="1:11" ht="16.05" customHeight="1" x14ac:dyDescent="0.3">
      <c r="A7" s="10" t="s">
        <v>284</v>
      </c>
      <c r="B7" s="10" t="s">
        <v>105</v>
      </c>
      <c r="C7" s="13">
        <v>46365</v>
      </c>
      <c r="D7" s="15" t="str">
        <f t="shared" si="0"/>
        <v>EQM-002|46365</v>
      </c>
      <c r="E7" s="10" t="s">
        <v>285</v>
      </c>
      <c r="F7" s="10" t="s">
        <v>103</v>
      </c>
      <c r="G7" s="11">
        <v>2.75E-2</v>
      </c>
      <c r="H7" s="11">
        <v>1.2E-2</v>
      </c>
      <c r="I7" s="11">
        <v>0.05</v>
      </c>
      <c r="J7" s="15" t="str">
        <f t="shared" si="1"/>
        <v>Conforme</v>
      </c>
      <c r="K7" s="10" t="s">
        <v>275</v>
      </c>
    </row>
    <row r="8" spans="1:11" ht="16.05" customHeight="1" x14ac:dyDescent="0.3">
      <c r="A8" s="10" t="s">
        <v>286</v>
      </c>
      <c r="B8" s="10" t="s">
        <v>108</v>
      </c>
      <c r="C8" s="13">
        <v>45678</v>
      </c>
      <c r="D8" s="15" t="str">
        <f t="shared" si="0"/>
        <v>EQM-003|45678</v>
      </c>
      <c r="E8" s="10" t="s">
        <v>287</v>
      </c>
      <c r="F8" s="10" t="s">
        <v>103</v>
      </c>
      <c r="G8" s="11">
        <v>2.2499999999999999E-2</v>
      </c>
      <c r="H8" s="11">
        <v>1.2E-2</v>
      </c>
      <c r="I8" s="11">
        <v>0.05</v>
      </c>
      <c r="J8" s="15" t="str">
        <f t="shared" si="1"/>
        <v>Conforme</v>
      </c>
      <c r="K8" s="10" t="s">
        <v>275</v>
      </c>
    </row>
    <row r="9" spans="1:11" ht="16.05" customHeight="1" x14ac:dyDescent="0.3">
      <c r="A9" s="10" t="s">
        <v>288</v>
      </c>
      <c r="B9" s="10" t="s">
        <v>108</v>
      </c>
      <c r="C9" s="13">
        <v>46042</v>
      </c>
      <c r="D9" s="15" t="str">
        <f t="shared" si="0"/>
        <v>EQM-003|46042</v>
      </c>
      <c r="E9" s="10" t="s">
        <v>289</v>
      </c>
      <c r="F9" s="10" t="s">
        <v>103</v>
      </c>
      <c r="G9" s="11">
        <v>2.75E-2</v>
      </c>
      <c r="H9" s="11">
        <v>1.2E-2</v>
      </c>
      <c r="I9" s="11">
        <v>0.05</v>
      </c>
      <c r="J9" s="15" t="str">
        <f t="shared" si="1"/>
        <v>Conforme</v>
      </c>
      <c r="K9" s="10" t="s">
        <v>275</v>
      </c>
    </row>
    <row r="10" spans="1:11" ht="16.05" customHeight="1" x14ac:dyDescent="0.3">
      <c r="A10" s="10" t="s">
        <v>290</v>
      </c>
      <c r="B10" s="10" t="s">
        <v>111</v>
      </c>
      <c r="C10" s="13">
        <v>46154</v>
      </c>
      <c r="D10" s="15" t="str">
        <f t="shared" si="0"/>
        <v>EQM-004|46154</v>
      </c>
      <c r="E10" s="10" t="s">
        <v>291</v>
      </c>
      <c r="F10" s="10" t="s">
        <v>103</v>
      </c>
      <c r="G10" s="11">
        <v>0.08</v>
      </c>
      <c r="H10" s="11">
        <v>1.2E-2</v>
      </c>
      <c r="I10" s="11">
        <v>0.05</v>
      </c>
      <c r="J10" s="15" t="str">
        <f t="shared" si="1"/>
        <v>Não conforme</v>
      </c>
      <c r="K10" s="10" t="s">
        <v>292</v>
      </c>
    </row>
    <row r="11" spans="1:11" ht="16.05" customHeight="1" x14ac:dyDescent="0.3">
      <c r="A11" s="10" t="s">
        <v>293</v>
      </c>
      <c r="B11" s="10" t="s">
        <v>111</v>
      </c>
      <c r="C11" s="13">
        <v>45973</v>
      </c>
      <c r="D11" s="15" t="str">
        <f t="shared" si="0"/>
        <v>EQM-004|45973</v>
      </c>
      <c r="E11" s="10" t="s">
        <v>294</v>
      </c>
      <c r="F11" s="10" t="s">
        <v>103</v>
      </c>
      <c r="G11" s="11">
        <v>2.75E-2</v>
      </c>
      <c r="H11" s="11">
        <v>1.2E-2</v>
      </c>
      <c r="I11" s="11">
        <v>0.05</v>
      </c>
      <c r="J11" s="15" t="str">
        <f t="shared" si="1"/>
        <v>Conforme</v>
      </c>
      <c r="K11" s="10" t="s">
        <v>275</v>
      </c>
    </row>
    <row r="12" spans="1:11" ht="16.05" customHeight="1" x14ac:dyDescent="0.3">
      <c r="A12" s="10" t="s">
        <v>295</v>
      </c>
      <c r="B12" s="10" t="s">
        <v>111</v>
      </c>
      <c r="C12" s="13">
        <v>46155</v>
      </c>
      <c r="D12" s="15" t="str">
        <f t="shared" si="0"/>
        <v>EQM-004|46155</v>
      </c>
      <c r="E12" s="10" t="s">
        <v>296</v>
      </c>
      <c r="F12" s="10" t="s">
        <v>103</v>
      </c>
      <c r="G12" s="11">
        <v>7.4999999999999997E-3</v>
      </c>
      <c r="H12" s="11">
        <v>1.2E-2</v>
      </c>
      <c r="I12" s="11">
        <v>0.05</v>
      </c>
      <c r="J12" s="15" t="str">
        <f t="shared" si="1"/>
        <v>Conforme</v>
      </c>
      <c r="K12" s="10" t="s">
        <v>292</v>
      </c>
    </row>
    <row r="13" spans="1:11" ht="16.05" customHeight="1" x14ac:dyDescent="0.3">
      <c r="A13" s="10" t="s">
        <v>297</v>
      </c>
      <c r="B13" s="10" t="s">
        <v>111</v>
      </c>
      <c r="C13" s="13">
        <v>46332</v>
      </c>
      <c r="D13" s="15" t="str">
        <f t="shared" si="0"/>
        <v>EQM-004|46332</v>
      </c>
      <c r="E13" s="10" t="s">
        <v>298</v>
      </c>
      <c r="F13" s="10" t="s">
        <v>103</v>
      </c>
      <c r="G13" s="11">
        <v>1.2500000000000001E-2</v>
      </c>
      <c r="H13" s="11">
        <v>1.2E-2</v>
      </c>
      <c r="I13" s="11">
        <v>0.05</v>
      </c>
      <c r="J13" s="15" t="str">
        <f t="shared" si="1"/>
        <v>Conforme</v>
      </c>
      <c r="K13" s="10" t="s">
        <v>292</v>
      </c>
    </row>
    <row r="14" spans="1:11" ht="16.05" customHeight="1" x14ac:dyDescent="0.3">
      <c r="A14" s="10" t="s">
        <v>299</v>
      </c>
      <c r="B14" s="10" t="s">
        <v>114</v>
      </c>
      <c r="C14" s="13">
        <v>45986</v>
      </c>
      <c r="D14" s="15" t="str">
        <f t="shared" si="0"/>
        <v>EQM-005|45986</v>
      </c>
      <c r="E14" s="10" t="s">
        <v>300</v>
      </c>
      <c r="F14" s="10" t="s">
        <v>103</v>
      </c>
      <c r="G14" s="11">
        <v>7.4999999999999997E-3</v>
      </c>
      <c r="H14" s="11">
        <v>1.2E-2</v>
      </c>
      <c r="I14" s="11">
        <v>0.05</v>
      </c>
      <c r="J14" s="15" t="str">
        <f t="shared" si="1"/>
        <v>Conforme</v>
      </c>
      <c r="K14" s="10" t="s">
        <v>275</v>
      </c>
    </row>
    <row r="15" spans="1:11" ht="16.05" customHeight="1" x14ac:dyDescent="0.3">
      <c r="A15" s="10" t="s">
        <v>301</v>
      </c>
      <c r="B15" s="10" t="s">
        <v>114</v>
      </c>
      <c r="C15" s="13">
        <v>46168</v>
      </c>
      <c r="D15" s="15" t="str">
        <f t="shared" si="0"/>
        <v>EQM-005|46168</v>
      </c>
      <c r="E15" s="10" t="s">
        <v>302</v>
      </c>
      <c r="F15" s="10" t="s">
        <v>103</v>
      </c>
      <c r="G15" s="11">
        <v>1.2500000000000001E-2</v>
      </c>
      <c r="H15" s="11">
        <v>1.2E-2</v>
      </c>
      <c r="I15" s="11">
        <v>0.05</v>
      </c>
      <c r="J15" s="15" t="str">
        <f t="shared" si="1"/>
        <v>Conforme</v>
      </c>
      <c r="K15" s="10" t="s">
        <v>275</v>
      </c>
    </row>
    <row r="16" spans="1:11" ht="16.05" customHeight="1" x14ac:dyDescent="0.3">
      <c r="A16" s="10" t="s">
        <v>303</v>
      </c>
      <c r="B16" s="10" t="s">
        <v>114</v>
      </c>
      <c r="C16" s="13">
        <v>46344</v>
      </c>
      <c r="D16" s="15" t="str">
        <f t="shared" si="0"/>
        <v>EQM-005|46344</v>
      </c>
      <c r="E16" s="10" t="s">
        <v>304</v>
      </c>
      <c r="F16" s="10" t="s">
        <v>103</v>
      </c>
      <c r="G16" s="11">
        <v>1.7500000000000002E-2</v>
      </c>
      <c r="H16" s="11">
        <v>1.2E-2</v>
      </c>
      <c r="I16" s="11">
        <v>0.05</v>
      </c>
      <c r="J16" s="15" t="str">
        <f t="shared" si="1"/>
        <v>Conforme</v>
      </c>
      <c r="K16" s="10" t="s">
        <v>275</v>
      </c>
    </row>
    <row r="17" spans="1:11" ht="16.05" customHeight="1" x14ac:dyDescent="0.3">
      <c r="A17" s="10" t="s">
        <v>305</v>
      </c>
      <c r="B17" s="10" t="s">
        <v>117</v>
      </c>
      <c r="C17" s="13">
        <v>45997</v>
      </c>
      <c r="D17" s="15" t="str">
        <f t="shared" si="0"/>
        <v>EQM-006|45997</v>
      </c>
      <c r="E17" s="10" t="s">
        <v>306</v>
      </c>
      <c r="F17" s="10" t="s">
        <v>103</v>
      </c>
      <c r="G17" s="11">
        <v>1.2500000000000001E-2</v>
      </c>
      <c r="H17" s="11">
        <v>1.2E-2</v>
      </c>
      <c r="I17" s="11">
        <v>0.05</v>
      </c>
      <c r="J17" s="15" t="str">
        <f t="shared" si="1"/>
        <v>Conforme</v>
      </c>
      <c r="K17" s="10" t="s">
        <v>275</v>
      </c>
    </row>
    <row r="18" spans="1:11" ht="16.05" customHeight="1" x14ac:dyDescent="0.3">
      <c r="A18" s="10" t="s">
        <v>307</v>
      </c>
      <c r="B18" s="10" t="s">
        <v>117</v>
      </c>
      <c r="C18" s="13">
        <v>46179</v>
      </c>
      <c r="D18" s="15" t="str">
        <f t="shared" si="0"/>
        <v>EQM-006|46179</v>
      </c>
      <c r="E18" s="10" t="s">
        <v>308</v>
      </c>
      <c r="F18" s="10" t="s">
        <v>103</v>
      </c>
      <c r="G18" s="11">
        <v>1.7500000000000002E-2</v>
      </c>
      <c r="H18" s="11">
        <v>1.2E-2</v>
      </c>
      <c r="I18" s="11">
        <v>0.05</v>
      </c>
      <c r="J18" s="15" t="str">
        <f t="shared" si="1"/>
        <v>Conforme</v>
      </c>
      <c r="K18" s="10" t="s">
        <v>275</v>
      </c>
    </row>
    <row r="19" spans="1:11" ht="16.05" customHeight="1" x14ac:dyDescent="0.3">
      <c r="A19" s="10" t="s">
        <v>309</v>
      </c>
      <c r="B19" s="10" t="s">
        <v>117</v>
      </c>
      <c r="C19" s="13">
        <v>46359</v>
      </c>
      <c r="D19" s="15" t="str">
        <f t="shared" si="0"/>
        <v>EQM-006|46359</v>
      </c>
      <c r="E19" s="10" t="s">
        <v>310</v>
      </c>
      <c r="F19" s="10" t="s">
        <v>103</v>
      </c>
      <c r="G19" s="11">
        <v>2.2499999999999999E-2</v>
      </c>
      <c r="H19" s="11">
        <v>1.2E-2</v>
      </c>
      <c r="I19" s="11">
        <v>0.05</v>
      </c>
      <c r="J19" s="15" t="str">
        <f t="shared" si="1"/>
        <v>Conforme</v>
      </c>
      <c r="K19" s="10" t="s">
        <v>275</v>
      </c>
    </row>
    <row r="20" spans="1:11" ht="16.05" customHeight="1" x14ac:dyDescent="0.3">
      <c r="A20" s="10" t="s">
        <v>311</v>
      </c>
      <c r="B20" s="10" t="s">
        <v>121</v>
      </c>
      <c r="C20" s="13">
        <v>45826</v>
      </c>
      <c r="D20" s="15" t="str">
        <f t="shared" si="0"/>
        <v>EQM-007|45826</v>
      </c>
      <c r="E20" s="10" t="s">
        <v>312</v>
      </c>
      <c r="F20" s="10" t="s">
        <v>103</v>
      </c>
      <c r="G20" s="11">
        <v>1.75E-3</v>
      </c>
      <c r="H20" s="11">
        <v>1.5E-3</v>
      </c>
      <c r="I20" s="11">
        <v>5.0000000000000001E-3</v>
      </c>
      <c r="J20" s="15" t="str">
        <f t="shared" si="1"/>
        <v>Conforme</v>
      </c>
      <c r="K20" s="10" t="s">
        <v>275</v>
      </c>
    </row>
    <row r="21" spans="1:11" ht="16.05" customHeight="1" x14ac:dyDescent="0.3">
      <c r="A21" s="10" t="s">
        <v>313</v>
      </c>
      <c r="B21" s="10" t="s">
        <v>121</v>
      </c>
      <c r="C21" s="13">
        <v>46190</v>
      </c>
      <c r="D21" s="15" t="str">
        <f t="shared" si="0"/>
        <v>EQM-007|46190</v>
      </c>
      <c r="E21" s="10" t="s">
        <v>314</v>
      </c>
      <c r="F21" s="10" t="s">
        <v>103</v>
      </c>
      <c r="G21" s="11">
        <v>2.2499999999999998E-3</v>
      </c>
      <c r="H21" s="11">
        <v>1.5E-3</v>
      </c>
      <c r="I21" s="11">
        <v>5.0000000000000001E-3</v>
      </c>
      <c r="J21" s="15" t="str">
        <f t="shared" si="1"/>
        <v>Conforme</v>
      </c>
      <c r="K21" s="10" t="s">
        <v>275</v>
      </c>
    </row>
    <row r="22" spans="1:11" ht="16.05" customHeight="1" x14ac:dyDescent="0.3">
      <c r="A22" s="10" t="s">
        <v>315</v>
      </c>
      <c r="B22" s="10" t="s">
        <v>125</v>
      </c>
      <c r="C22" s="13">
        <v>45863</v>
      </c>
      <c r="D22" s="15" t="str">
        <f t="shared" si="0"/>
        <v>EQM-008|45863</v>
      </c>
      <c r="E22" s="10" t="s">
        <v>316</v>
      </c>
      <c r="F22" s="10" t="s">
        <v>103</v>
      </c>
      <c r="G22" s="11">
        <v>2.2499999999999998E-3</v>
      </c>
      <c r="H22" s="11">
        <v>1.5E-3</v>
      </c>
      <c r="I22" s="11">
        <v>5.0000000000000001E-3</v>
      </c>
      <c r="J22" s="15" t="str">
        <f t="shared" si="1"/>
        <v>Conforme</v>
      </c>
      <c r="K22" s="10" t="s">
        <v>275</v>
      </c>
    </row>
    <row r="23" spans="1:11" ht="16.05" customHeight="1" x14ac:dyDescent="0.3">
      <c r="A23" s="10" t="s">
        <v>317</v>
      </c>
      <c r="B23" s="10" t="s">
        <v>125</v>
      </c>
      <c r="C23" s="13">
        <v>46227</v>
      </c>
      <c r="D23" s="15" t="str">
        <f t="shared" si="0"/>
        <v>EQM-008|46227</v>
      </c>
      <c r="E23" s="10" t="s">
        <v>318</v>
      </c>
      <c r="F23" s="10" t="s">
        <v>103</v>
      </c>
      <c r="G23" s="11">
        <v>2.7499999999999998E-3</v>
      </c>
      <c r="H23" s="11">
        <v>1.5E-3</v>
      </c>
      <c r="I23" s="11">
        <v>5.0000000000000001E-3</v>
      </c>
      <c r="J23" s="15" t="str">
        <f t="shared" si="1"/>
        <v>Conforme</v>
      </c>
      <c r="K23" s="10" t="s">
        <v>275</v>
      </c>
    </row>
    <row r="24" spans="1:11" ht="16.05" customHeight="1" x14ac:dyDescent="0.3">
      <c r="A24" s="10" t="s">
        <v>319</v>
      </c>
      <c r="B24" s="10" t="s">
        <v>129</v>
      </c>
      <c r="C24" s="13">
        <v>45570</v>
      </c>
      <c r="D24" s="15" t="str">
        <f t="shared" si="0"/>
        <v>EQM-009|45570</v>
      </c>
      <c r="E24" s="10" t="s">
        <v>320</v>
      </c>
      <c r="F24" s="10" t="s">
        <v>103</v>
      </c>
      <c r="G24" s="11">
        <v>2.7499999999999998E-3</v>
      </c>
      <c r="H24" s="11">
        <v>1.5E-3</v>
      </c>
      <c r="I24" s="11">
        <v>5.0000000000000001E-3</v>
      </c>
      <c r="J24" s="15" t="str">
        <f t="shared" si="1"/>
        <v>Conforme</v>
      </c>
      <c r="K24" s="10" t="s">
        <v>275</v>
      </c>
    </row>
    <row r="25" spans="1:11" ht="16.05" customHeight="1" x14ac:dyDescent="0.3">
      <c r="A25" s="10" t="s">
        <v>321</v>
      </c>
      <c r="B25" s="10" t="s">
        <v>129</v>
      </c>
      <c r="C25" s="13">
        <v>45934</v>
      </c>
      <c r="D25" s="15" t="str">
        <f t="shared" si="0"/>
        <v>EQM-009|45934</v>
      </c>
      <c r="E25" s="10" t="s">
        <v>322</v>
      </c>
      <c r="F25" s="10" t="s">
        <v>103</v>
      </c>
      <c r="G25" s="11">
        <v>7.5000000000000002E-4</v>
      </c>
      <c r="H25" s="11">
        <v>1.5E-3</v>
      </c>
      <c r="I25" s="11">
        <v>5.0000000000000001E-3</v>
      </c>
      <c r="J25" s="15" t="str">
        <f t="shared" si="1"/>
        <v>Conforme</v>
      </c>
      <c r="K25" s="10" t="s">
        <v>275</v>
      </c>
    </row>
    <row r="26" spans="1:11" ht="16.05" customHeight="1" x14ac:dyDescent="0.3">
      <c r="A26" s="10" t="s">
        <v>323</v>
      </c>
      <c r="B26" s="10" t="s">
        <v>129</v>
      </c>
      <c r="C26" s="13">
        <v>46293</v>
      </c>
      <c r="D26" s="15" t="str">
        <f t="shared" si="0"/>
        <v>EQM-009|46293</v>
      </c>
      <c r="E26" s="10" t="s">
        <v>324</v>
      </c>
      <c r="F26" s="10" t="s">
        <v>103</v>
      </c>
      <c r="G26" s="11">
        <v>1.25E-3</v>
      </c>
      <c r="H26" s="11">
        <v>1.5E-3</v>
      </c>
      <c r="I26" s="11">
        <v>5.0000000000000001E-3</v>
      </c>
      <c r="J26" s="15" t="str">
        <f t="shared" si="1"/>
        <v>Conforme</v>
      </c>
      <c r="K26" s="10" t="s">
        <v>275</v>
      </c>
    </row>
    <row r="27" spans="1:11" ht="16.05" customHeight="1" x14ac:dyDescent="0.3">
      <c r="A27" s="10" t="s">
        <v>325</v>
      </c>
      <c r="B27" s="10" t="s">
        <v>132</v>
      </c>
      <c r="C27" s="13">
        <v>45607</v>
      </c>
      <c r="D27" s="15" t="str">
        <f t="shared" si="0"/>
        <v>EQM-010|45607</v>
      </c>
      <c r="E27" s="10" t="s">
        <v>326</v>
      </c>
      <c r="F27" s="10" t="s">
        <v>137</v>
      </c>
      <c r="G27" s="11">
        <v>4.4999999999999997E-3</v>
      </c>
      <c r="H27" s="11">
        <v>1.2E-2</v>
      </c>
      <c r="I27" s="11">
        <v>0.03</v>
      </c>
      <c r="J27" s="15" t="str">
        <f t="shared" si="1"/>
        <v>Conforme</v>
      </c>
      <c r="K27" s="10" t="s">
        <v>275</v>
      </c>
    </row>
    <row r="28" spans="1:11" ht="16.05" customHeight="1" x14ac:dyDescent="0.3">
      <c r="A28" s="10" t="s">
        <v>327</v>
      </c>
      <c r="B28" s="10" t="s">
        <v>132</v>
      </c>
      <c r="C28" s="13">
        <v>45971</v>
      </c>
      <c r="D28" s="15" t="str">
        <f t="shared" si="0"/>
        <v>EQM-010|45971</v>
      </c>
      <c r="E28" s="10" t="s">
        <v>328</v>
      </c>
      <c r="F28" s="10" t="s">
        <v>137</v>
      </c>
      <c r="G28" s="11">
        <v>7.4999999999999997E-3</v>
      </c>
      <c r="H28" s="11">
        <v>1.2E-2</v>
      </c>
      <c r="I28" s="11">
        <v>0.03</v>
      </c>
      <c r="J28" s="15" t="str">
        <f t="shared" si="1"/>
        <v>Conforme</v>
      </c>
      <c r="K28" s="10" t="s">
        <v>275</v>
      </c>
    </row>
    <row r="29" spans="1:11" ht="16.05" customHeight="1" x14ac:dyDescent="0.3">
      <c r="A29" s="10" t="s">
        <v>329</v>
      </c>
      <c r="B29" s="10" t="s">
        <v>132</v>
      </c>
      <c r="C29" s="13">
        <v>46329</v>
      </c>
      <c r="D29" s="15" t="str">
        <f t="shared" si="0"/>
        <v>EQM-010|46329</v>
      </c>
      <c r="E29" s="10" t="s">
        <v>330</v>
      </c>
      <c r="F29" s="10" t="s">
        <v>137</v>
      </c>
      <c r="G29" s="11">
        <v>1.0500000000000001E-2</v>
      </c>
      <c r="H29" s="11">
        <v>1.2E-2</v>
      </c>
      <c r="I29" s="11">
        <v>0.03</v>
      </c>
      <c r="J29" s="15" t="str">
        <f t="shared" si="1"/>
        <v>Conforme</v>
      </c>
      <c r="K29" s="10" t="s">
        <v>275</v>
      </c>
    </row>
    <row r="30" spans="1:11" ht="16.05" customHeight="1" x14ac:dyDescent="0.3">
      <c r="A30" s="10" t="s">
        <v>331</v>
      </c>
      <c r="B30" s="10" t="s">
        <v>138</v>
      </c>
      <c r="C30" s="13">
        <v>45644</v>
      </c>
      <c r="D30" s="15" t="str">
        <f t="shared" si="0"/>
        <v>EQM-011|45644</v>
      </c>
      <c r="E30" s="10" t="s">
        <v>332</v>
      </c>
      <c r="F30" s="10" t="s">
        <v>137</v>
      </c>
      <c r="G30" s="11">
        <v>7.4999999999999997E-3</v>
      </c>
      <c r="H30" s="11">
        <v>1.2E-2</v>
      </c>
      <c r="I30" s="11">
        <v>0.03</v>
      </c>
      <c r="J30" s="15" t="str">
        <f t="shared" si="1"/>
        <v>Conforme</v>
      </c>
      <c r="K30" s="10" t="s">
        <v>275</v>
      </c>
    </row>
    <row r="31" spans="1:11" ht="16.05" customHeight="1" x14ac:dyDescent="0.3">
      <c r="A31" s="10" t="s">
        <v>333</v>
      </c>
      <c r="B31" s="10" t="s">
        <v>138</v>
      </c>
      <c r="C31" s="13">
        <v>46008</v>
      </c>
      <c r="D31" s="15" t="str">
        <f t="shared" si="0"/>
        <v>EQM-011|46008</v>
      </c>
      <c r="E31" s="10" t="s">
        <v>334</v>
      </c>
      <c r="F31" s="10" t="s">
        <v>137</v>
      </c>
      <c r="G31" s="11">
        <v>1.0500000000000001E-2</v>
      </c>
      <c r="H31" s="11">
        <v>1.2E-2</v>
      </c>
      <c r="I31" s="11">
        <v>0.03</v>
      </c>
      <c r="J31" s="15" t="str">
        <f t="shared" si="1"/>
        <v>Conforme</v>
      </c>
      <c r="K31" s="10" t="s">
        <v>275</v>
      </c>
    </row>
    <row r="32" spans="1:11" ht="16.05" customHeight="1" x14ac:dyDescent="0.3">
      <c r="A32" s="10" t="s">
        <v>335</v>
      </c>
      <c r="B32" s="10" t="s">
        <v>138</v>
      </c>
      <c r="C32" s="13">
        <v>46365</v>
      </c>
      <c r="D32" s="15" t="str">
        <f t="shared" si="0"/>
        <v>EQM-011|46365</v>
      </c>
      <c r="E32" s="10" t="s">
        <v>336</v>
      </c>
      <c r="F32" s="10" t="s">
        <v>137</v>
      </c>
      <c r="G32" s="11">
        <v>1.35E-2</v>
      </c>
      <c r="H32" s="11">
        <v>1.2E-2</v>
      </c>
      <c r="I32" s="11">
        <v>0.03</v>
      </c>
      <c r="J32" s="15" t="str">
        <f t="shared" si="1"/>
        <v>Conforme</v>
      </c>
      <c r="K32" s="10" t="s">
        <v>275</v>
      </c>
    </row>
    <row r="33" spans="1:11" ht="16.05" customHeight="1" x14ac:dyDescent="0.3">
      <c r="A33" s="10" t="s">
        <v>337</v>
      </c>
      <c r="B33" s="10" t="s">
        <v>141</v>
      </c>
      <c r="C33" s="13">
        <v>45681</v>
      </c>
      <c r="D33" s="15" t="str">
        <f t="shared" si="0"/>
        <v>EQM-012|45681</v>
      </c>
      <c r="E33" s="10" t="s">
        <v>338</v>
      </c>
      <c r="F33" s="10" t="s">
        <v>137</v>
      </c>
      <c r="G33" s="11">
        <v>1.0500000000000001E-2</v>
      </c>
      <c r="H33" s="11">
        <v>1.2E-2</v>
      </c>
      <c r="I33" s="11">
        <v>0.03</v>
      </c>
      <c r="J33" s="15" t="str">
        <f t="shared" si="1"/>
        <v>Conforme</v>
      </c>
      <c r="K33" s="10" t="s">
        <v>275</v>
      </c>
    </row>
    <row r="34" spans="1:11" ht="16.05" customHeight="1" x14ac:dyDescent="0.3">
      <c r="A34" s="10" t="s">
        <v>339</v>
      </c>
      <c r="B34" s="10" t="s">
        <v>141</v>
      </c>
      <c r="C34" s="13">
        <v>46045</v>
      </c>
      <c r="D34" s="15" t="str">
        <f t="shared" ref="D34:D65" si="2">B34&amp;"|"&amp;C34</f>
        <v>EQM-012|46045</v>
      </c>
      <c r="E34" s="10" t="s">
        <v>340</v>
      </c>
      <c r="F34" s="10" t="s">
        <v>137</v>
      </c>
      <c r="G34" s="11">
        <v>1.35E-2</v>
      </c>
      <c r="H34" s="11">
        <v>1.2E-2</v>
      </c>
      <c r="I34" s="11">
        <v>0.03</v>
      </c>
      <c r="J34" s="15" t="str">
        <f t="shared" ref="J34:J65" si="3">IF(G34="","Verificado OK",IF(ABS(G34)+H34&lt;=I34,"Conforme",IF(ABS(G34)&lt;=I34,"Indeterminado","Não conforme")))</f>
        <v>Conforme</v>
      </c>
      <c r="K34" s="10" t="s">
        <v>275</v>
      </c>
    </row>
    <row r="35" spans="1:11" ht="16.05" customHeight="1" x14ac:dyDescent="0.3">
      <c r="A35" s="10" t="s">
        <v>341</v>
      </c>
      <c r="B35" s="10" t="s">
        <v>144</v>
      </c>
      <c r="C35" s="13">
        <v>45718</v>
      </c>
      <c r="D35" s="15" t="str">
        <f t="shared" si="2"/>
        <v>EQM-013|45718</v>
      </c>
      <c r="E35" s="10" t="s">
        <v>342</v>
      </c>
      <c r="F35" s="10" t="s">
        <v>137</v>
      </c>
      <c r="G35" s="11">
        <v>1.35E-2</v>
      </c>
      <c r="H35" s="11">
        <v>1.2E-2</v>
      </c>
      <c r="I35" s="11">
        <v>0.03</v>
      </c>
      <c r="J35" s="15" t="str">
        <f t="shared" si="3"/>
        <v>Conforme</v>
      </c>
      <c r="K35" s="10" t="s">
        <v>275</v>
      </c>
    </row>
    <row r="36" spans="1:11" ht="16.05" customHeight="1" x14ac:dyDescent="0.3">
      <c r="A36" s="10" t="s">
        <v>343</v>
      </c>
      <c r="B36" s="10" t="s">
        <v>144</v>
      </c>
      <c r="C36" s="13">
        <v>46082</v>
      </c>
      <c r="D36" s="15" t="str">
        <f t="shared" si="2"/>
        <v>EQM-013|46082</v>
      </c>
      <c r="E36" s="10" t="s">
        <v>344</v>
      </c>
      <c r="F36" s="10" t="s">
        <v>137</v>
      </c>
      <c r="G36" s="11">
        <v>1.6500000000000001E-2</v>
      </c>
      <c r="H36" s="11">
        <v>1.2E-2</v>
      </c>
      <c r="I36" s="11">
        <v>0.03</v>
      </c>
      <c r="J36" s="15" t="str">
        <f t="shared" si="3"/>
        <v>Conforme</v>
      </c>
      <c r="K36" s="10" t="s">
        <v>275</v>
      </c>
    </row>
    <row r="37" spans="1:11" ht="16.05" customHeight="1" x14ac:dyDescent="0.3">
      <c r="A37" s="10" t="s">
        <v>345</v>
      </c>
      <c r="B37" s="10" t="s">
        <v>148</v>
      </c>
      <c r="C37" s="13">
        <v>45755</v>
      </c>
      <c r="D37" s="15" t="str">
        <f t="shared" si="2"/>
        <v>EQM-014|45755</v>
      </c>
      <c r="E37" s="10" t="s">
        <v>346</v>
      </c>
      <c r="F37" s="10" t="s">
        <v>154</v>
      </c>
      <c r="G37" s="11">
        <v>5.4999999999999997E-3</v>
      </c>
      <c r="H37" s="11">
        <v>3.0000000000000001E-3</v>
      </c>
      <c r="I37" s="11">
        <v>0.01</v>
      </c>
      <c r="J37" s="15" t="str">
        <f t="shared" si="3"/>
        <v>Conforme</v>
      </c>
      <c r="K37" s="10" t="s">
        <v>275</v>
      </c>
    </row>
    <row r="38" spans="1:11" ht="16.05" customHeight="1" x14ac:dyDescent="0.3">
      <c r="A38" s="10" t="s">
        <v>347</v>
      </c>
      <c r="B38" s="10" t="s">
        <v>148</v>
      </c>
      <c r="C38" s="13">
        <v>46119</v>
      </c>
      <c r="D38" s="15" t="str">
        <f t="shared" si="2"/>
        <v>EQM-014|46119</v>
      </c>
      <c r="E38" s="10" t="s">
        <v>348</v>
      </c>
      <c r="F38" s="10" t="s">
        <v>154</v>
      </c>
      <c r="G38" s="11">
        <v>1.5E-3</v>
      </c>
      <c r="H38" s="11">
        <v>3.0000000000000001E-3</v>
      </c>
      <c r="I38" s="11">
        <v>0.01</v>
      </c>
      <c r="J38" s="15" t="str">
        <f t="shared" si="3"/>
        <v>Conforme</v>
      </c>
      <c r="K38" s="10" t="s">
        <v>275</v>
      </c>
    </row>
    <row r="39" spans="1:11" ht="16.05" customHeight="1" x14ac:dyDescent="0.3">
      <c r="A39" s="10" t="s">
        <v>349</v>
      </c>
      <c r="B39" s="10" t="s">
        <v>155</v>
      </c>
      <c r="C39" s="13">
        <v>45792</v>
      </c>
      <c r="D39" s="15" t="str">
        <f t="shared" si="2"/>
        <v>EQM-015|45792</v>
      </c>
      <c r="E39" s="10" t="s">
        <v>350</v>
      </c>
      <c r="F39" s="10" t="s">
        <v>154</v>
      </c>
      <c r="G39" s="11">
        <v>1.5E-3</v>
      </c>
      <c r="H39" s="11">
        <v>3.0000000000000001E-3</v>
      </c>
      <c r="I39" s="11">
        <v>0.01</v>
      </c>
      <c r="J39" s="15" t="str">
        <f t="shared" si="3"/>
        <v>Conforme</v>
      </c>
      <c r="K39" s="10" t="s">
        <v>275</v>
      </c>
    </row>
    <row r="40" spans="1:11" ht="16.05" customHeight="1" x14ac:dyDescent="0.3">
      <c r="A40" s="10" t="s">
        <v>351</v>
      </c>
      <c r="B40" s="10" t="s">
        <v>155</v>
      </c>
      <c r="C40" s="13">
        <v>46156</v>
      </c>
      <c r="D40" s="15" t="str">
        <f t="shared" si="2"/>
        <v>EQM-015|46156</v>
      </c>
      <c r="E40" s="10" t="s">
        <v>352</v>
      </c>
      <c r="F40" s="10" t="s">
        <v>154</v>
      </c>
      <c r="G40" s="11">
        <v>2.5000000000000001E-3</v>
      </c>
      <c r="H40" s="11">
        <v>3.0000000000000001E-3</v>
      </c>
      <c r="I40" s="11">
        <v>0.01</v>
      </c>
      <c r="J40" s="15" t="str">
        <f t="shared" si="3"/>
        <v>Conforme</v>
      </c>
      <c r="K40" s="10" t="s">
        <v>275</v>
      </c>
    </row>
    <row r="41" spans="1:11" ht="16.05" customHeight="1" x14ac:dyDescent="0.3">
      <c r="A41" s="10" t="s">
        <v>353</v>
      </c>
      <c r="B41" s="10" t="s">
        <v>158</v>
      </c>
      <c r="C41" s="13">
        <v>45829</v>
      </c>
      <c r="D41" s="15" t="str">
        <f t="shared" si="2"/>
        <v>EQM-016|45829</v>
      </c>
      <c r="E41" s="10" t="s">
        <v>354</v>
      </c>
      <c r="F41" s="10" t="s">
        <v>154</v>
      </c>
      <c r="G41" s="11">
        <v>2.5000000000000001E-3</v>
      </c>
      <c r="H41" s="11">
        <v>3.0000000000000001E-3</v>
      </c>
      <c r="I41" s="11">
        <v>0.01</v>
      </c>
      <c r="J41" s="15" t="str">
        <f t="shared" si="3"/>
        <v>Conforme</v>
      </c>
      <c r="K41" s="10" t="s">
        <v>275</v>
      </c>
    </row>
    <row r="42" spans="1:11" ht="16.05" customHeight="1" x14ac:dyDescent="0.3">
      <c r="A42" s="10" t="s">
        <v>355</v>
      </c>
      <c r="B42" s="10" t="s">
        <v>158</v>
      </c>
      <c r="C42" s="13">
        <v>46193</v>
      </c>
      <c r="D42" s="15" t="str">
        <f t="shared" si="2"/>
        <v>EQM-016|46193</v>
      </c>
      <c r="E42" s="10" t="s">
        <v>356</v>
      </c>
      <c r="F42" s="10" t="s">
        <v>154</v>
      </c>
      <c r="G42" s="11">
        <v>3.5000000000000001E-3</v>
      </c>
      <c r="H42" s="11">
        <v>3.0000000000000001E-3</v>
      </c>
      <c r="I42" s="11">
        <v>0.01</v>
      </c>
      <c r="J42" s="15" t="str">
        <f t="shared" si="3"/>
        <v>Conforme</v>
      </c>
      <c r="K42" s="10" t="s">
        <v>275</v>
      </c>
    </row>
    <row r="43" spans="1:11" ht="16.05" customHeight="1" x14ac:dyDescent="0.3">
      <c r="A43" s="10" t="s">
        <v>357</v>
      </c>
      <c r="B43" s="10" t="s">
        <v>161</v>
      </c>
      <c r="C43" s="13">
        <v>45866</v>
      </c>
      <c r="D43" s="15" t="str">
        <f t="shared" si="2"/>
        <v>EQM-017|45866</v>
      </c>
      <c r="E43" s="10" t="s">
        <v>358</v>
      </c>
      <c r="F43" s="10" t="s">
        <v>154</v>
      </c>
      <c r="G43" s="11">
        <v>3.5000000000000001E-3</v>
      </c>
      <c r="H43" s="11">
        <v>3.0000000000000001E-3</v>
      </c>
      <c r="I43" s="11">
        <v>0.01</v>
      </c>
      <c r="J43" s="15" t="str">
        <f t="shared" si="3"/>
        <v>Conforme</v>
      </c>
      <c r="K43" s="10" t="s">
        <v>275</v>
      </c>
    </row>
    <row r="44" spans="1:11" ht="16.05" customHeight="1" x14ac:dyDescent="0.3">
      <c r="A44" s="10" t="s">
        <v>359</v>
      </c>
      <c r="B44" s="10" t="s">
        <v>161</v>
      </c>
      <c r="C44" s="13">
        <v>46230</v>
      </c>
      <c r="D44" s="15" t="str">
        <f t="shared" si="2"/>
        <v>EQM-017|46230</v>
      </c>
      <c r="E44" s="10" t="s">
        <v>360</v>
      </c>
      <c r="F44" s="10" t="s">
        <v>154</v>
      </c>
      <c r="G44" s="11">
        <v>4.4999999999999997E-3</v>
      </c>
      <c r="H44" s="11">
        <v>3.0000000000000001E-3</v>
      </c>
      <c r="I44" s="11">
        <v>0.01</v>
      </c>
      <c r="J44" s="15" t="str">
        <f t="shared" si="3"/>
        <v>Conforme</v>
      </c>
      <c r="K44" s="10" t="s">
        <v>275</v>
      </c>
    </row>
    <row r="45" spans="1:11" ht="16.05" customHeight="1" x14ac:dyDescent="0.3">
      <c r="A45" s="10" t="s">
        <v>361</v>
      </c>
      <c r="B45" s="10" t="s">
        <v>164</v>
      </c>
      <c r="C45" s="13">
        <v>45573</v>
      </c>
      <c r="D45" s="15" t="str">
        <f t="shared" si="2"/>
        <v>EQM-018|45573</v>
      </c>
      <c r="E45" s="10" t="s">
        <v>362</v>
      </c>
      <c r="F45" s="10" t="s">
        <v>137</v>
      </c>
      <c r="G45" s="11">
        <v>8.9999999999999993E-3</v>
      </c>
      <c r="H45" s="11">
        <v>8.0000000000000002E-3</v>
      </c>
      <c r="I45" s="11">
        <v>0.02</v>
      </c>
      <c r="J45" s="15" t="str">
        <f t="shared" si="3"/>
        <v>Conforme</v>
      </c>
      <c r="K45" s="10" t="s">
        <v>275</v>
      </c>
    </row>
    <row r="46" spans="1:11" ht="16.05" customHeight="1" x14ac:dyDescent="0.3">
      <c r="A46" s="10" t="s">
        <v>363</v>
      </c>
      <c r="B46" s="10" t="s">
        <v>164</v>
      </c>
      <c r="C46" s="13">
        <v>45937</v>
      </c>
      <c r="D46" s="15" t="str">
        <f t="shared" si="2"/>
        <v>EQM-018|45937</v>
      </c>
      <c r="E46" s="10" t="s">
        <v>364</v>
      </c>
      <c r="F46" s="10" t="s">
        <v>137</v>
      </c>
      <c r="G46" s="11">
        <v>1.0999999999999999E-2</v>
      </c>
      <c r="H46" s="11">
        <v>8.0000000000000002E-3</v>
      </c>
      <c r="I46" s="11">
        <v>0.02</v>
      </c>
      <c r="J46" s="15" t="str">
        <f t="shared" si="3"/>
        <v>Conforme</v>
      </c>
      <c r="K46" s="10" t="s">
        <v>275</v>
      </c>
    </row>
    <row r="47" spans="1:11" ht="16.05" customHeight="1" x14ac:dyDescent="0.3">
      <c r="A47" s="10" t="s">
        <v>365</v>
      </c>
      <c r="B47" s="10" t="s">
        <v>164</v>
      </c>
      <c r="C47" s="13">
        <v>46299</v>
      </c>
      <c r="D47" s="15" t="str">
        <f t="shared" si="2"/>
        <v>EQM-018|46299</v>
      </c>
      <c r="E47" s="10" t="s">
        <v>366</v>
      </c>
      <c r="F47" s="10" t="s">
        <v>137</v>
      </c>
      <c r="G47" s="11">
        <v>3.0000000000000001E-3</v>
      </c>
      <c r="H47" s="11">
        <v>8.0000000000000002E-3</v>
      </c>
      <c r="I47" s="11">
        <v>0.02</v>
      </c>
      <c r="J47" s="15" t="str">
        <f t="shared" si="3"/>
        <v>Conforme</v>
      </c>
      <c r="K47" s="10" t="s">
        <v>275</v>
      </c>
    </row>
    <row r="48" spans="1:11" ht="16.05" customHeight="1" x14ac:dyDescent="0.3">
      <c r="A48" s="10" t="s">
        <v>367</v>
      </c>
      <c r="B48" s="10" t="s">
        <v>168</v>
      </c>
      <c r="C48" s="13">
        <v>45610</v>
      </c>
      <c r="D48" s="15" t="str">
        <f t="shared" si="2"/>
        <v>EQM-019|45610</v>
      </c>
      <c r="E48" s="10" t="s">
        <v>368</v>
      </c>
      <c r="F48" s="10" t="s">
        <v>137</v>
      </c>
      <c r="G48" s="11">
        <v>1.0999999999999999E-2</v>
      </c>
      <c r="H48" s="11">
        <v>8.0000000000000002E-3</v>
      </c>
      <c r="I48" s="11">
        <v>0.02</v>
      </c>
      <c r="J48" s="15" t="str">
        <f t="shared" si="3"/>
        <v>Conforme</v>
      </c>
      <c r="K48" s="10" t="s">
        <v>275</v>
      </c>
    </row>
    <row r="49" spans="1:11" ht="16.05" customHeight="1" x14ac:dyDescent="0.3">
      <c r="A49" s="10" t="s">
        <v>369</v>
      </c>
      <c r="B49" s="10" t="s">
        <v>168</v>
      </c>
      <c r="C49" s="13">
        <v>45974</v>
      </c>
      <c r="D49" s="15" t="str">
        <f t="shared" si="2"/>
        <v>EQM-019|45974</v>
      </c>
      <c r="E49" s="10" t="s">
        <v>370</v>
      </c>
      <c r="F49" s="10" t="s">
        <v>137</v>
      </c>
      <c r="G49" s="11">
        <v>1.6E-2</v>
      </c>
      <c r="H49" s="11">
        <v>8.0000000000000002E-3</v>
      </c>
      <c r="I49" s="11">
        <v>0.02</v>
      </c>
      <c r="J49" s="15" t="str">
        <f t="shared" si="3"/>
        <v>Indeterminado</v>
      </c>
      <c r="K49" s="10" t="s">
        <v>275</v>
      </c>
    </row>
    <row r="50" spans="1:11" ht="16.05" customHeight="1" x14ac:dyDescent="0.3">
      <c r="A50" s="10" t="s">
        <v>371</v>
      </c>
      <c r="B50" s="10" t="s">
        <v>168</v>
      </c>
      <c r="C50" s="13">
        <v>46335</v>
      </c>
      <c r="D50" s="15" t="str">
        <f t="shared" si="2"/>
        <v>EQM-019|46335</v>
      </c>
      <c r="E50" s="10" t="s">
        <v>372</v>
      </c>
      <c r="F50" s="10" t="s">
        <v>137</v>
      </c>
      <c r="G50" s="11">
        <v>5.0000000000000001E-3</v>
      </c>
      <c r="H50" s="11">
        <v>8.0000000000000002E-3</v>
      </c>
      <c r="I50" s="11">
        <v>0.02</v>
      </c>
      <c r="J50" s="15" t="str">
        <f t="shared" si="3"/>
        <v>Conforme</v>
      </c>
      <c r="K50" s="10" t="s">
        <v>275</v>
      </c>
    </row>
    <row r="51" spans="1:11" ht="16.05" customHeight="1" x14ac:dyDescent="0.3">
      <c r="A51" s="10" t="s">
        <v>373</v>
      </c>
      <c r="B51" s="10" t="s">
        <v>170</v>
      </c>
      <c r="C51" s="13">
        <v>44917</v>
      </c>
      <c r="D51" s="15" t="str">
        <f t="shared" si="2"/>
        <v>EQM-020|44917</v>
      </c>
      <c r="E51" s="10" t="s">
        <v>374</v>
      </c>
      <c r="F51" s="10" t="s">
        <v>175</v>
      </c>
      <c r="G51" s="11">
        <v>0.75</v>
      </c>
      <c r="H51" s="11">
        <v>1.5</v>
      </c>
      <c r="I51" s="11">
        <v>5</v>
      </c>
      <c r="J51" s="15" t="str">
        <f t="shared" si="3"/>
        <v>Conforme</v>
      </c>
      <c r="K51" s="10" t="s">
        <v>275</v>
      </c>
    </row>
    <row r="52" spans="1:11" ht="16.05" customHeight="1" x14ac:dyDescent="0.3">
      <c r="A52" s="10" t="s">
        <v>375</v>
      </c>
      <c r="B52" s="10" t="s">
        <v>170</v>
      </c>
      <c r="C52" s="13">
        <v>46011</v>
      </c>
      <c r="D52" s="15" t="str">
        <f t="shared" si="2"/>
        <v>EQM-020|46011</v>
      </c>
      <c r="E52" s="10" t="s">
        <v>376</v>
      </c>
      <c r="F52" s="10" t="s">
        <v>175</v>
      </c>
      <c r="G52" s="11">
        <v>1.25</v>
      </c>
      <c r="H52" s="11">
        <v>1.5</v>
      </c>
      <c r="I52" s="11">
        <v>5</v>
      </c>
      <c r="J52" s="15" t="str">
        <f t="shared" si="3"/>
        <v>Conforme</v>
      </c>
      <c r="K52" s="10" t="s">
        <v>275</v>
      </c>
    </row>
    <row r="53" spans="1:11" ht="16.05" customHeight="1" x14ac:dyDescent="0.3">
      <c r="A53" s="10" t="s">
        <v>377</v>
      </c>
      <c r="B53" s="10" t="s">
        <v>176</v>
      </c>
      <c r="C53" s="13">
        <v>44954</v>
      </c>
      <c r="D53" s="15" t="str">
        <f t="shared" si="2"/>
        <v>EQM-021|44954</v>
      </c>
      <c r="E53" s="10" t="s">
        <v>378</v>
      </c>
      <c r="F53" s="10" t="s">
        <v>175</v>
      </c>
      <c r="G53" s="11">
        <v>1.25</v>
      </c>
      <c r="H53" s="11">
        <v>1.5</v>
      </c>
      <c r="I53" s="11">
        <v>5</v>
      </c>
      <c r="J53" s="15" t="str">
        <f t="shared" si="3"/>
        <v>Conforme</v>
      </c>
      <c r="K53" s="10" t="s">
        <v>275</v>
      </c>
    </row>
    <row r="54" spans="1:11" ht="16.05" customHeight="1" x14ac:dyDescent="0.3">
      <c r="A54" s="10" t="s">
        <v>379</v>
      </c>
      <c r="B54" s="10" t="s">
        <v>176</v>
      </c>
      <c r="C54" s="13">
        <v>46048</v>
      </c>
      <c r="D54" s="15" t="str">
        <f t="shared" si="2"/>
        <v>EQM-021|46048</v>
      </c>
      <c r="E54" s="10" t="s">
        <v>380</v>
      </c>
      <c r="F54" s="10" t="s">
        <v>175</v>
      </c>
      <c r="G54" s="11">
        <v>1.75</v>
      </c>
      <c r="H54" s="11">
        <v>1.5</v>
      </c>
      <c r="I54" s="11">
        <v>5</v>
      </c>
      <c r="J54" s="15" t="str">
        <f t="shared" si="3"/>
        <v>Conforme</v>
      </c>
      <c r="K54" s="10" t="s">
        <v>275</v>
      </c>
    </row>
    <row r="55" spans="1:11" ht="16.05" customHeight="1" x14ac:dyDescent="0.3">
      <c r="A55" s="10" t="s">
        <v>381</v>
      </c>
      <c r="B55" s="10" t="s">
        <v>179</v>
      </c>
      <c r="C55" s="13">
        <v>45810</v>
      </c>
      <c r="D55" s="15" t="str">
        <f t="shared" si="2"/>
        <v>EQM-022|45810</v>
      </c>
      <c r="E55" s="10" t="s">
        <v>382</v>
      </c>
      <c r="F55" s="10" t="s">
        <v>383</v>
      </c>
      <c r="G55" s="11">
        <v>0.35</v>
      </c>
      <c r="H55" s="11">
        <v>0.3</v>
      </c>
      <c r="I55" s="11">
        <v>1</v>
      </c>
      <c r="J55" s="15" t="str">
        <f t="shared" si="3"/>
        <v>Conforme</v>
      </c>
      <c r="K55" s="10" t="s">
        <v>275</v>
      </c>
    </row>
    <row r="56" spans="1:11" ht="16.05" customHeight="1" x14ac:dyDescent="0.3">
      <c r="A56" s="10" t="s">
        <v>384</v>
      </c>
      <c r="B56" s="10" t="s">
        <v>179</v>
      </c>
      <c r="C56" s="13">
        <v>45992</v>
      </c>
      <c r="D56" s="15" t="str">
        <f t="shared" si="2"/>
        <v>EQM-022|45992</v>
      </c>
      <c r="E56" s="10" t="s">
        <v>385</v>
      </c>
      <c r="F56" s="10" t="s">
        <v>383</v>
      </c>
      <c r="G56" s="11">
        <v>0.45</v>
      </c>
      <c r="H56" s="11">
        <v>0.3</v>
      </c>
      <c r="I56" s="11">
        <v>1</v>
      </c>
      <c r="J56" s="15" t="str">
        <f t="shared" si="3"/>
        <v>Conforme</v>
      </c>
      <c r="K56" s="10" t="s">
        <v>275</v>
      </c>
    </row>
    <row r="57" spans="1:11" ht="16.05" customHeight="1" x14ac:dyDescent="0.3">
      <c r="A57" s="10" t="s">
        <v>386</v>
      </c>
      <c r="B57" s="10" t="s">
        <v>179</v>
      </c>
      <c r="C57" s="13">
        <v>46289</v>
      </c>
      <c r="D57" s="15" t="str">
        <f t="shared" si="2"/>
        <v>EQM-022|46289</v>
      </c>
      <c r="E57" s="10" t="s">
        <v>387</v>
      </c>
      <c r="F57" s="10" t="s">
        <v>383</v>
      </c>
      <c r="G57" s="11">
        <v>0.55000000000000004</v>
      </c>
      <c r="H57" s="11">
        <v>0.3</v>
      </c>
      <c r="I57" s="11">
        <v>1</v>
      </c>
      <c r="J57" s="15" t="str">
        <f t="shared" si="3"/>
        <v>Conforme</v>
      </c>
      <c r="K57" s="10" t="s">
        <v>275</v>
      </c>
    </row>
    <row r="58" spans="1:11" ht="16.05" customHeight="1" x14ac:dyDescent="0.3">
      <c r="A58" s="10" t="s">
        <v>388</v>
      </c>
      <c r="B58" s="10" t="s">
        <v>185</v>
      </c>
      <c r="C58" s="13">
        <v>45944</v>
      </c>
      <c r="D58" s="15" t="str">
        <f t="shared" si="2"/>
        <v>EQM-023|45944</v>
      </c>
      <c r="E58" s="10" t="s">
        <v>389</v>
      </c>
      <c r="F58" s="10" t="s">
        <v>383</v>
      </c>
      <c r="G58" s="11">
        <v>0.45</v>
      </c>
      <c r="H58" s="11">
        <v>0.3</v>
      </c>
      <c r="I58" s="11">
        <v>1</v>
      </c>
      <c r="J58" s="15" t="str">
        <f t="shared" si="3"/>
        <v>Conforme</v>
      </c>
      <c r="K58" s="10" t="s">
        <v>275</v>
      </c>
    </row>
    <row r="59" spans="1:11" ht="16.05" customHeight="1" x14ac:dyDescent="0.3">
      <c r="A59" s="10" t="s">
        <v>390</v>
      </c>
      <c r="B59" s="10" t="s">
        <v>185</v>
      </c>
      <c r="C59" s="13">
        <v>46126</v>
      </c>
      <c r="D59" s="15" t="str">
        <f t="shared" si="2"/>
        <v>EQM-023|46126</v>
      </c>
      <c r="E59" s="10" t="s">
        <v>391</v>
      </c>
      <c r="F59" s="10" t="s">
        <v>383</v>
      </c>
      <c r="G59" s="11">
        <v>0.55000000000000004</v>
      </c>
      <c r="H59" s="11">
        <v>0.3</v>
      </c>
      <c r="I59" s="11">
        <v>1</v>
      </c>
      <c r="J59" s="15" t="str">
        <f t="shared" si="3"/>
        <v>Conforme</v>
      </c>
      <c r="K59" s="10" t="s">
        <v>275</v>
      </c>
    </row>
    <row r="60" spans="1:11" ht="16.05" customHeight="1" x14ac:dyDescent="0.3">
      <c r="A60" s="10" t="s">
        <v>392</v>
      </c>
      <c r="B60" s="10" t="s">
        <v>185</v>
      </c>
      <c r="C60" s="13">
        <v>46301</v>
      </c>
      <c r="D60" s="15" t="str">
        <f t="shared" si="2"/>
        <v>EQM-023|46301</v>
      </c>
      <c r="E60" s="10" t="s">
        <v>393</v>
      </c>
      <c r="F60" s="10" t="s">
        <v>383</v>
      </c>
      <c r="G60" s="11">
        <v>0.15</v>
      </c>
      <c r="H60" s="11">
        <v>0.3</v>
      </c>
      <c r="I60" s="11">
        <v>1</v>
      </c>
      <c r="J60" s="15" t="str">
        <f t="shared" si="3"/>
        <v>Conforme</v>
      </c>
      <c r="K60" s="10" t="s">
        <v>275</v>
      </c>
    </row>
    <row r="61" spans="1:11" ht="16.05" customHeight="1" x14ac:dyDescent="0.3">
      <c r="A61" s="10" t="s">
        <v>394</v>
      </c>
      <c r="B61" s="10" t="s">
        <v>187</v>
      </c>
      <c r="C61" s="13">
        <v>45955</v>
      </c>
      <c r="D61" s="15" t="str">
        <f t="shared" si="2"/>
        <v>EQM-024|45955</v>
      </c>
      <c r="E61" s="10" t="s">
        <v>395</v>
      </c>
      <c r="F61" s="10" t="s">
        <v>383</v>
      </c>
      <c r="G61" s="11">
        <v>0.55000000000000004</v>
      </c>
      <c r="H61" s="11">
        <v>0.3</v>
      </c>
      <c r="I61" s="11">
        <v>1</v>
      </c>
      <c r="J61" s="15" t="str">
        <f t="shared" si="3"/>
        <v>Conforme</v>
      </c>
      <c r="K61" s="10" t="s">
        <v>275</v>
      </c>
    </row>
    <row r="62" spans="1:11" ht="16.05" customHeight="1" x14ac:dyDescent="0.3">
      <c r="A62" s="10" t="s">
        <v>396</v>
      </c>
      <c r="B62" s="10" t="s">
        <v>187</v>
      </c>
      <c r="C62" s="13">
        <v>46137</v>
      </c>
      <c r="D62" s="15" t="str">
        <f t="shared" si="2"/>
        <v>EQM-024|46137</v>
      </c>
      <c r="E62" s="10" t="s">
        <v>397</v>
      </c>
      <c r="F62" s="10" t="s">
        <v>383</v>
      </c>
      <c r="G62" s="11">
        <v>0.15</v>
      </c>
      <c r="H62" s="11">
        <v>0.3</v>
      </c>
      <c r="I62" s="11">
        <v>1</v>
      </c>
      <c r="J62" s="15" t="str">
        <f t="shared" si="3"/>
        <v>Conforme</v>
      </c>
      <c r="K62" s="10" t="s">
        <v>275</v>
      </c>
    </row>
    <row r="63" spans="1:11" ht="16.05" customHeight="1" x14ac:dyDescent="0.3">
      <c r="A63" s="10" t="s">
        <v>398</v>
      </c>
      <c r="B63" s="10" t="s">
        <v>187</v>
      </c>
      <c r="C63" s="13">
        <v>46317</v>
      </c>
      <c r="D63" s="15" t="str">
        <f t="shared" si="2"/>
        <v>EQM-024|46317</v>
      </c>
      <c r="E63" s="10" t="s">
        <v>399</v>
      </c>
      <c r="F63" s="10" t="s">
        <v>383</v>
      </c>
      <c r="G63" s="11">
        <v>0.25</v>
      </c>
      <c r="H63" s="11">
        <v>0.3</v>
      </c>
      <c r="I63" s="11">
        <v>1</v>
      </c>
      <c r="J63" s="15" t="str">
        <f t="shared" si="3"/>
        <v>Conforme</v>
      </c>
      <c r="K63" s="10" t="s">
        <v>275</v>
      </c>
    </row>
    <row r="64" spans="1:11" ht="16.05" customHeight="1" x14ac:dyDescent="0.3">
      <c r="A64" s="10" t="s">
        <v>400</v>
      </c>
      <c r="B64" s="10" t="s">
        <v>190</v>
      </c>
      <c r="C64" s="13">
        <v>45832</v>
      </c>
      <c r="D64" s="15" t="str">
        <f t="shared" si="2"/>
        <v>EQM-025|45832</v>
      </c>
      <c r="E64" s="10" t="s">
        <v>401</v>
      </c>
      <c r="F64" s="10" t="s">
        <v>195</v>
      </c>
      <c r="G64" s="11">
        <v>15</v>
      </c>
      <c r="H64" s="11">
        <v>30</v>
      </c>
      <c r="I64" s="11">
        <v>100</v>
      </c>
      <c r="J64" s="15" t="str">
        <f t="shared" si="3"/>
        <v>Conforme</v>
      </c>
      <c r="K64" s="10" t="s">
        <v>275</v>
      </c>
    </row>
    <row r="65" spans="1:11" ht="16.05" customHeight="1" x14ac:dyDescent="0.3">
      <c r="A65" s="10" t="s">
        <v>402</v>
      </c>
      <c r="B65" s="10" t="s">
        <v>190</v>
      </c>
      <c r="C65" s="13">
        <v>46196</v>
      </c>
      <c r="D65" s="15" t="str">
        <f t="shared" si="2"/>
        <v>EQM-025|46196</v>
      </c>
      <c r="E65" s="10" t="s">
        <v>403</v>
      </c>
      <c r="F65" s="10" t="s">
        <v>195</v>
      </c>
      <c r="G65" s="11">
        <v>25</v>
      </c>
      <c r="H65" s="11">
        <v>30</v>
      </c>
      <c r="I65" s="11">
        <v>100</v>
      </c>
      <c r="J65" s="15" t="str">
        <f t="shared" si="3"/>
        <v>Conforme</v>
      </c>
      <c r="K65" s="10" t="s">
        <v>275</v>
      </c>
    </row>
    <row r="66" spans="1:11" ht="16.05" customHeight="1" x14ac:dyDescent="0.3">
      <c r="A66" s="10" t="s">
        <v>404</v>
      </c>
      <c r="B66" s="10" t="s">
        <v>196</v>
      </c>
      <c r="C66" s="13">
        <v>45869</v>
      </c>
      <c r="D66" s="15" t="str">
        <f t="shared" ref="D66:D97" si="4">B66&amp;"|"&amp;C66</f>
        <v>EQM-026|45869</v>
      </c>
      <c r="E66" s="10" t="s">
        <v>405</v>
      </c>
      <c r="F66" s="10" t="s">
        <v>195</v>
      </c>
      <c r="G66" s="11">
        <v>25</v>
      </c>
      <c r="H66" s="11">
        <v>30</v>
      </c>
      <c r="I66" s="11">
        <v>100</v>
      </c>
      <c r="J66" s="15" t="str">
        <f t="shared" ref="J66:J97" si="5">IF(G66="","Verificado OK",IF(ABS(G66)+H66&lt;=I66,"Conforme",IF(ABS(G66)&lt;=I66,"Indeterminado","Não conforme")))</f>
        <v>Conforme</v>
      </c>
      <c r="K66" s="10" t="s">
        <v>275</v>
      </c>
    </row>
    <row r="67" spans="1:11" ht="16.05" customHeight="1" x14ac:dyDescent="0.3">
      <c r="A67" s="10" t="s">
        <v>406</v>
      </c>
      <c r="B67" s="10" t="s">
        <v>196</v>
      </c>
      <c r="C67" s="13">
        <v>46233</v>
      </c>
      <c r="D67" s="15" t="str">
        <f t="shared" si="4"/>
        <v>EQM-026|46233</v>
      </c>
      <c r="E67" s="10" t="s">
        <v>407</v>
      </c>
      <c r="F67" s="10" t="s">
        <v>195</v>
      </c>
      <c r="G67" s="11">
        <v>35</v>
      </c>
      <c r="H67" s="11">
        <v>30</v>
      </c>
      <c r="I67" s="11">
        <v>100</v>
      </c>
      <c r="J67" s="15" t="str">
        <f t="shared" si="5"/>
        <v>Conforme</v>
      </c>
      <c r="K67" s="10" t="s">
        <v>275</v>
      </c>
    </row>
    <row r="68" spans="1:11" ht="16.05" customHeight="1" x14ac:dyDescent="0.3">
      <c r="A68" s="10" t="s">
        <v>408</v>
      </c>
      <c r="B68" s="10" t="s">
        <v>198</v>
      </c>
      <c r="C68" s="13">
        <v>45576</v>
      </c>
      <c r="D68" s="15" t="str">
        <f t="shared" si="4"/>
        <v>EQM-027|45576</v>
      </c>
      <c r="E68" s="10" t="s">
        <v>409</v>
      </c>
      <c r="F68" s="10" t="s">
        <v>195</v>
      </c>
      <c r="G68" s="11">
        <v>35</v>
      </c>
      <c r="H68" s="11">
        <v>30</v>
      </c>
      <c r="I68" s="11">
        <v>100</v>
      </c>
      <c r="J68" s="15" t="str">
        <f t="shared" si="5"/>
        <v>Conforme</v>
      </c>
      <c r="K68" s="10" t="s">
        <v>275</v>
      </c>
    </row>
    <row r="69" spans="1:11" ht="16.05" customHeight="1" x14ac:dyDescent="0.3">
      <c r="A69" s="10" t="s">
        <v>410</v>
      </c>
      <c r="B69" s="10" t="s">
        <v>198</v>
      </c>
      <c r="C69" s="13">
        <v>45940</v>
      </c>
      <c r="D69" s="15" t="str">
        <f t="shared" si="4"/>
        <v>EQM-027|45940</v>
      </c>
      <c r="E69" s="10" t="s">
        <v>411</v>
      </c>
      <c r="F69" s="10" t="s">
        <v>195</v>
      </c>
      <c r="G69" s="11">
        <v>45</v>
      </c>
      <c r="H69" s="11">
        <v>30</v>
      </c>
      <c r="I69" s="11">
        <v>100</v>
      </c>
      <c r="J69" s="15" t="str">
        <f t="shared" si="5"/>
        <v>Conforme</v>
      </c>
      <c r="K69" s="10" t="s">
        <v>275</v>
      </c>
    </row>
    <row r="70" spans="1:11" ht="16.05" customHeight="1" x14ac:dyDescent="0.3">
      <c r="A70" s="10" t="s">
        <v>412</v>
      </c>
      <c r="B70" s="10" t="s">
        <v>198</v>
      </c>
      <c r="C70" s="13">
        <v>46299</v>
      </c>
      <c r="D70" s="15" t="str">
        <f t="shared" si="4"/>
        <v>EQM-027|46299</v>
      </c>
      <c r="E70" s="10" t="s">
        <v>413</v>
      </c>
      <c r="F70" s="10" t="s">
        <v>195</v>
      </c>
      <c r="G70" s="11">
        <v>55</v>
      </c>
      <c r="H70" s="11">
        <v>30</v>
      </c>
      <c r="I70" s="11">
        <v>100</v>
      </c>
      <c r="J70" s="15" t="str">
        <f t="shared" si="5"/>
        <v>Conforme</v>
      </c>
      <c r="K70" s="10" t="s">
        <v>275</v>
      </c>
    </row>
    <row r="71" spans="1:11" ht="16.05" customHeight="1" x14ac:dyDescent="0.3">
      <c r="A71" s="10" t="s">
        <v>414</v>
      </c>
      <c r="B71" s="10" t="s">
        <v>202</v>
      </c>
      <c r="C71" s="13">
        <v>45613</v>
      </c>
      <c r="D71" s="15" t="str">
        <f t="shared" si="4"/>
        <v>EQM-028|45613</v>
      </c>
      <c r="E71" s="10" t="s">
        <v>415</v>
      </c>
      <c r="F71" s="10" t="s">
        <v>207</v>
      </c>
      <c r="G71" s="11">
        <v>0.18</v>
      </c>
      <c r="H71" s="11">
        <v>0.12</v>
      </c>
      <c r="I71" s="11">
        <v>0.4</v>
      </c>
      <c r="J71" s="15" t="str">
        <f t="shared" si="5"/>
        <v>Conforme</v>
      </c>
      <c r="K71" s="10" t="s">
        <v>275</v>
      </c>
    </row>
    <row r="72" spans="1:11" ht="16.05" customHeight="1" x14ac:dyDescent="0.3">
      <c r="A72" s="10" t="s">
        <v>416</v>
      </c>
      <c r="B72" s="10" t="s">
        <v>202</v>
      </c>
      <c r="C72" s="13">
        <v>45977</v>
      </c>
      <c r="D72" s="15" t="str">
        <f t="shared" si="4"/>
        <v>EQM-028|45977</v>
      </c>
      <c r="E72" s="10" t="s">
        <v>417</v>
      </c>
      <c r="F72" s="10" t="s">
        <v>207</v>
      </c>
      <c r="G72" s="11">
        <v>0.22</v>
      </c>
      <c r="H72" s="11">
        <v>0.12</v>
      </c>
      <c r="I72" s="11">
        <v>0.4</v>
      </c>
      <c r="J72" s="15" t="str">
        <f t="shared" si="5"/>
        <v>Conforme</v>
      </c>
      <c r="K72" s="10" t="s">
        <v>275</v>
      </c>
    </row>
    <row r="73" spans="1:11" ht="16.05" customHeight="1" x14ac:dyDescent="0.3">
      <c r="A73" s="10" t="s">
        <v>418</v>
      </c>
      <c r="B73" s="10" t="s">
        <v>202</v>
      </c>
      <c r="C73" s="13">
        <v>46335</v>
      </c>
      <c r="D73" s="15" t="str">
        <f t="shared" si="4"/>
        <v>EQM-028|46335</v>
      </c>
      <c r="E73" s="10" t="s">
        <v>419</v>
      </c>
      <c r="F73" s="10" t="s">
        <v>207</v>
      </c>
      <c r="G73" s="11">
        <v>0.06</v>
      </c>
      <c r="H73" s="11">
        <v>0.12</v>
      </c>
      <c r="I73" s="11">
        <v>0.4</v>
      </c>
      <c r="J73" s="15" t="str">
        <f t="shared" si="5"/>
        <v>Conforme</v>
      </c>
      <c r="K73" s="10" t="s">
        <v>275</v>
      </c>
    </row>
    <row r="74" spans="1:11" ht="16.05" customHeight="1" x14ac:dyDescent="0.3">
      <c r="A74" s="10" t="s">
        <v>420</v>
      </c>
      <c r="B74" s="10" t="s">
        <v>208</v>
      </c>
      <c r="C74" s="13">
        <v>45650</v>
      </c>
      <c r="D74" s="15" t="str">
        <f t="shared" si="4"/>
        <v>EQM-029|45650</v>
      </c>
      <c r="E74" s="10" t="s">
        <v>421</v>
      </c>
      <c r="F74" s="10" t="s">
        <v>207</v>
      </c>
      <c r="G74" s="11">
        <v>0.22</v>
      </c>
      <c r="H74" s="11">
        <v>0.12</v>
      </c>
      <c r="I74" s="11">
        <v>0.4</v>
      </c>
      <c r="J74" s="15" t="str">
        <f t="shared" si="5"/>
        <v>Conforme</v>
      </c>
      <c r="K74" s="10" t="s">
        <v>275</v>
      </c>
    </row>
    <row r="75" spans="1:11" ht="16.05" customHeight="1" x14ac:dyDescent="0.3">
      <c r="A75" s="10" t="s">
        <v>422</v>
      </c>
      <c r="B75" s="10" t="s">
        <v>208</v>
      </c>
      <c r="C75" s="13">
        <v>46014</v>
      </c>
      <c r="D75" s="15" t="str">
        <f t="shared" si="4"/>
        <v>EQM-029|46014</v>
      </c>
      <c r="E75" s="10" t="s">
        <v>423</v>
      </c>
      <c r="F75" s="10" t="s">
        <v>207</v>
      </c>
      <c r="G75" s="11">
        <v>0.06</v>
      </c>
      <c r="H75" s="11">
        <v>0.12</v>
      </c>
      <c r="I75" s="11">
        <v>0.4</v>
      </c>
      <c r="J75" s="15" t="str">
        <f t="shared" si="5"/>
        <v>Conforme</v>
      </c>
      <c r="K75" s="10" t="s">
        <v>275</v>
      </c>
    </row>
    <row r="76" spans="1:11" ht="16.05" customHeight="1" x14ac:dyDescent="0.3">
      <c r="A76" s="10" t="s">
        <v>424</v>
      </c>
      <c r="B76" s="10" t="s">
        <v>208</v>
      </c>
      <c r="C76" s="13">
        <v>46371</v>
      </c>
      <c r="D76" s="15" t="str">
        <f t="shared" si="4"/>
        <v>EQM-029|46371</v>
      </c>
      <c r="E76" s="10" t="s">
        <v>425</v>
      </c>
      <c r="F76" s="10" t="s">
        <v>207</v>
      </c>
      <c r="G76" s="11">
        <v>0.1</v>
      </c>
      <c r="H76" s="11">
        <v>0.12</v>
      </c>
      <c r="I76" s="11">
        <v>0.4</v>
      </c>
      <c r="J76" s="15" t="str">
        <f t="shared" si="5"/>
        <v>Conforme</v>
      </c>
      <c r="K76" s="10" t="s">
        <v>275</v>
      </c>
    </row>
    <row r="77" spans="1:11" ht="16.05" customHeight="1" x14ac:dyDescent="0.3">
      <c r="A77" s="10" t="s">
        <v>426</v>
      </c>
      <c r="B77" s="10" t="s">
        <v>210</v>
      </c>
      <c r="C77" s="13">
        <v>45687</v>
      </c>
      <c r="D77" s="15" t="str">
        <f t="shared" si="4"/>
        <v>EQM-030|45687</v>
      </c>
      <c r="E77" s="10" t="s">
        <v>427</v>
      </c>
      <c r="F77" s="10" t="s">
        <v>207</v>
      </c>
      <c r="G77" s="11">
        <v>7.4999999999999997E-2</v>
      </c>
      <c r="H77" s="11">
        <v>0.15</v>
      </c>
      <c r="I77" s="11">
        <v>0.5</v>
      </c>
      <c r="J77" s="15" t="str">
        <f t="shared" si="5"/>
        <v>Conforme</v>
      </c>
      <c r="K77" s="10" t="s">
        <v>275</v>
      </c>
    </row>
    <row r="78" spans="1:11" ht="16.05" customHeight="1" x14ac:dyDescent="0.3">
      <c r="A78" s="10" t="s">
        <v>428</v>
      </c>
      <c r="B78" s="10" t="s">
        <v>210</v>
      </c>
      <c r="C78" s="13">
        <v>46051</v>
      </c>
      <c r="D78" s="15" t="str">
        <f t="shared" si="4"/>
        <v>EQM-030|46051</v>
      </c>
      <c r="E78" s="10" t="s">
        <v>429</v>
      </c>
      <c r="F78" s="10" t="s">
        <v>207</v>
      </c>
      <c r="G78" s="11">
        <v>0.125</v>
      </c>
      <c r="H78" s="11">
        <v>0.15</v>
      </c>
      <c r="I78" s="11">
        <v>0.5</v>
      </c>
      <c r="J78" s="15" t="str">
        <f t="shared" si="5"/>
        <v>Conforme</v>
      </c>
      <c r="K78" s="10" t="s">
        <v>275</v>
      </c>
    </row>
    <row r="79" spans="1:11" ht="16.05" customHeight="1" x14ac:dyDescent="0.3">
      <c r="A79" s="10" t="s">
        <v>430</v>
      </c>
      <c r="B79" s="10" t="s">
        <v>215</v>
      </c>
      <c r="C79" s="13">
        <v>45510</v>
      </c>
      <c r="D79" s="15" t="str">
        <f t="shared" si="4"/>
        <v>EQM-031|45510</v>
      </c>
      <c r="E79" s="10" t="s">
        <v>431</v>
      </c>
      <c r="F79" s="10" t="s">
        <v>220</v>
      </c>
      <c r="G79" s="11">
        <v>0.125</v>
      </c>
      <c r="H79" s="11">
        <v>0.2</v>
      </c>
      <c r="I79" s="11">
        <v>0.5</v>
      </c>
      <c r="J79" s="15" t="str">
        <f t="shared" si="5"/>
        <v>Conforme</v>
      </c>
      <c r="K79" s="10" t="s">
        <v>275</v>
      </c>
    </row>
    <row r="80" spans="1:11" ht="16.05" customHeight="1" x14ac:dyDescent="0.3">
      <c r="A80" s="10" t="s">
        <v>432</v>
      </c>
      <c r="B80" s="10" t="s">
        <v>215</v>
      </c>
      <c r="C80" s="13">
        <v>45874</v>
      </c>
      <c r="D80" s="15" t="str">
        <f t="shared" si="4"/>
        <v>EQM-031|45874</v>
      </c>
      <c r="E80" s="10" t="s">
        <v>433</v>
      </c>
      <c r="F80" s="10" t="s">
        <v>220</v>
      </c>
      <c r="G80" s="11">
        <v>0.17499999999999999</v>
      </c>
      <c r="H80" s="11">
        <v>0.2</v>
      </c>
      <c r="I80" s="11">
        <v>0.5</v>
      </c>
      <c r="J80" s="15" t="str">
        <f t="shared" si="5"/>
        <v>Conforme</v>
      </c>
      <c r="K80" s="10" t="s">
        <v>275</v>
      </c>
    </row>
    <row r="81" spans="1:11" ht="16.05" customHeight="1" x14ac:dyDescent="0.3">
      <c r="A81" s="10" t="s">
        <v>434</v>
      </c>
      <c r="B81" s="10" t="s">
        <v>215</v>
      </c>
      <c r="C81" s="13">
        <v>46297</v>
      </c>
      <c r="D81" s="15" t="str">
        <f t="shared" si="4"/>
        <v>EQM-031|46297</v>
      </c>
      <c r="E81" s="10" t="s">
        <v>435</v>
      </c>
      <c r="F81" s="10" t="s">
        <v>220</v>
      </c>
      <c r="G81" s="11">
        <v>0.22500000000000001</v>
      </c>
      <c r="H81" s="11">
        <v>0.2</v>
      </c>
      <c r="I81" s="11">
        <v>0.5</v>
      </c>
      <c r="J81" s="15" t="str">
        <f t="shared" si="5"/>
        <v>Conforme</v>
      </c>
      <c r="K81" s="10" t="s">
        <v>275</v>
      </c>
    </row>
    <row r="82" spans="1:11" ht="16.05" customHeight="1" x14ac:dyDescent="0.3">
      <c r="A82" s="10" t="s">
        <v>436</v>
      </c>
      <c r="B82" s="10" t="s">
        <v>221</v>
      </c>
      <c r="C82" s="13">
        <v>45761</v>
      </c>
      <c r="D82" s="15" t="str">
        <f t="shared" si="4"/>
        <v>EQM-032|45761</v>
      </c>
      <c r="E82" s="10" t="s">
        <v>437</v>
      </c>
      <c r="F82" s="10" t="s">
        <v>207</v>
      </c>
      <c r="G82" s="11">
        <v>0.35</v>
      </c>
      <c r="H82" s="11">
        <v>0.3</v>
      </c>
      <c r="I82" s="11">
        <v>1</v>
      </c>
      <c r="J82" s="15" t="str">
        <f t="shared" si="5"/>
        <v>Conforme</v>
      </c>
      <c r="K82" s="10" t="s">
        <v>275</v>
      </c>
    </row>
    <row r="83" spans="1:11" ht="16.05" customHeight="1" x14ac:dyDescent="0.3">
      <c r="A83" s="10" t="s">
        <v>438</v>
      </c>
      <c r="B83" s="10" t="s">
        <v>221</v>
      </c>
      <c r="C83" s="13">
        <v>46125</v>
      </c>
      <c r="D83" s="15" t="str">
        <f t="shared" si="4"/>
        <v>EQM-032|46125</v>
      </c>
      <c r="E83" s="10" t="s">
        <v>439</v>
      </c>
      <c r="F83" s="10" t="s">
        <v>207</v>
      </c>
      <c r="G83" s="11">
        <v>0.45</v>
      </c>
      <c r="H83" s="11">
        <v>0.3</v>
      </c>
      <c r="I83" s="11">
        <v>1</v>
      </c>
      <c r="J83" s="15" t="str">
        <f t="shared" si="5"/>
        <v>Conforme</v>
      </c>
      <c r="K83" s="10" t="s">
        <v>275</v>
      </c>
    </row>
    <row r="84" spans="1:11" ht="16.05" customHeight="1" x14ac:dyDescent="0.3">
      <c r="A84" s="10" t="s">
        <v>440</v>
      </c>
      <c r="B84" s="10" t="s">
        <v>226</v>
      </c>
      <c r="C84" s="13">
        <v>45433</v>
      </c>
      <c r="D84" s="15" t="str">
        <f t="shared" si="4"/>
        <v>EQM-033|45433</v>
      </c>
      <c r="E84" s="10" t="s">
        <v>441</v>
      </c>
      <c r="F84" s="10" t="s">
        <v>230</v>
      </c>
      <c r="G84" s="11">
        <v>2.25</v>
      </c>
      <c r="H84" s="11">
        <v>2</v>
      </c>
      <c r="I84" s="11">
        <v>5</v>
      </c>
      <c r="J84" s="15" t="str">
        <f t="shared" si="5"/>
        <v>Conforme</v>
      </c>
      <c r="K84" s="10" t="s">
        <v>275</v>
      </c>
    </row>
    <row r="85" spans="1:11" ht="16.05" customHeight="1" x14ac:dyDescent="0.3">
      <c r="A85" s="10" t="s">
        <v>442</v>
      </c>
      <c r="B85" s="10" t="s">
        <v>226</v>
      </c>
      <c r="C85" s="13">
        <v>46162</v>
      </c>
      <c r="D85" s="15" t="str">
        <f t="shared" si="4"/>
        <v>EQM-033|46162</v>
      </c>
      <c r="E85" s="10" t="s">
        <v>443</v>
      </c>
      <c r="F85" s="10" t="s">
        <v>230</v>
      </c>
      <c r="G85" s="11">
        <v>2.75</v>
      </c>
      <c r="H85" s="11">
        <v>2</v>
      </c>
      <c r="I85" s="11">
        <v>5</v>
      </c>
      <c r="J85" s="15" t="str">
        <f t="shared" si="5"/>
        <v>Conforme</v>
      </c>
      <c r="K85" s="10" t="s">
        <v>275</v>
      </c>
    </row>
    <row r="86" spans="1:11" ht="16.05" customHeight="1" x14ac:dyDescent="0.3">
      <c r="A86" s="10" t="s">
        <v>444</v>
      </c>
      <c r="B86" s="10" t="s">
        <v>231</v>
      </c>
      <c r="C86" s="13">
        <v>45835</v>
      </c>
      <c r="D86" s="15" t="str">
        <f t="shared" si="4"/>
        <v>EQM-034|45835</v>
      </c>
      <c r="E86" s="10" t="s">
        <v>445</v>
      </c>
      <c r="F86" s="10" t="s">
        <v>446</v>
      </c>
      <c r="G86" s="11">
        <v>5.5E-2</v>
      </c>
      <c r="H86" s="11">
        <v>0.04</v>
      </c>
      <c r="I86" s="11">
        <v>0.1</v>
      </c>
      <c r="J86" s="15" t="str">
        <f t="shared" si="5"/>
        <v>Conforme</v>
      </c>
      <c r="K86" s="10" t="s">
        <v>275</v>
      </c>
    </row>
    <row r="87" spans="1:11" ht="16.05" customHeight="1" x14ac:dyDescent="0.3">
      <c r="A87" s="10" t="s">
        <v>447</v>
      </c>
      <c r="B87" s="10" t="s">
        <v>231</v>
      </c>
      <c r="C87" s="13">
        <v>46199</v>
      </c>
      <c r="D87" s="15" t="str">
        <f t="shared" si="4"/>
        <v>EQM-034|46199</v>
      </c>
      <c r="E87" s="10" t="s">
        <v>448</v>
      </c>
      <c r="F87" s="10" t="s">
        <v>446</v>
      </c>
      <c r="G87" s="11">
        <v>1.4999999999999999E-2</v>
      </c>
      <c r="H87" s="11">
        <v>0.04</v>
      </c>
      <c r="I87" s="11">
        <v>0.1</v>
      </c>
      <c r="J87" s="15" t="str">
        <f t="shared" si="5"/>
        <v>Conforme</v>
      </c>
      <c r="K87" s="10" t="s">
        <v>275</v>
      </c>
    </row>
    <row r="88" spans="1:11" ht="16.05" customHeight="1" x14ac:dyDescent="0.3">
      <c r="A88" s="10" t="s">
        <v>449</v>
      </c>
      <c r="B88" s="10" t="s">
        <v>237</v>
      </c>
      <c r="C88" s="13">
        <v>45872</v>
      </c>
      <c r="D88" s="15" t="str">
        <f t="shared" si="4"/>
        <v>EQM-035|45872</v>
      </c>
      <c r="E88" s="10" t="s">
        <v>450</v>
      </c>
      <c r="F88" s="10" t="s">
        <v>243</v>
      </c>
      <c r="G88" s="11">
        <v>1.5E-3</v>
      </c>
      <c r="H88" s="11">
        <v>4.0000000000000001E-3</v>
      </c>
      <c r="I88" s="11">
        <v>0.01</v>
      </c>
      <c r="J88" s="15" t="str">
        <f t="shared" si="5"/>
        <v>Conforme</v>
      </c>
      <c r="K88" s="10" t="s">
        <v>275</v>
      </c>
    </row>
    <row r="89" spans="1:11" ht="16.05" customHeight="1" x14ac:dyDescent="0.3">
      <c r="A89" s="10" t="s">
        <v>451</v>
      </c>
      <c r="B89" s="10" t="s">
        <v>237</v>
      </c>
      <c r="C89" s="13">
        <v>46236</v>
      </c>
      <c r="D89" s="15" t="str">
        <f t="shared" si="4"/>
        <v>EQM-035|46236</v>
      </c>
      <c r="E89" s="10" t="s">
        <v>452</v>
      </c>
      <c r="F89" s="10" t="s">
        <v>243</v>
      </c>
      <c r="G89" s="11">
        <v>2.5000000000000001E-3</v>
      </c>
      <c r="H89" s="11">
        <v>4.0000000000000001E-3</v>
      </c>
      <c r="I89" s="11">
        <v>0.01</v>
      </c>
      <c r="J89" s="15" t="str">
        <f t="shared" si="5"/>
        <v>Conforme</v>
      </c>
      <c r="K89" s="10" t="s">
        <v>275</v>
      </c>
    </row>
    <row r="90" spans="1:11" ht="16.05" customHeight="1" x14ac:dyDescent="0.3">
      <c r="A90" s="10" t="s">
        <v>453</v>
      </c>
      <c r="B90" s="10" t="s">
        <v>244</v>
      </c>
      <c r="C90" s="13">
        <v>45967</v>
      </c>
      <c r="D90" s="15" t="str">
        <f t="shared" si="4"/>
        <v>EQM-036|45967</v>
      </c>
      <c r="E90" s="10" t="s">
        <v>454</v>
      </c>
      <c r="F90" s="10" t="s">
        <v>249</v>
      </c>
      <c r="G90" s="11">
        <v>3.75</v>
      </c>
      <c r="H90" s="11">
        <v>5</v>
      </c>
      <c r="I90" s="11">
        <v>15</v>
      </c>
      <c r="J90" s="15" t="str">
        <f t="shared" si="5"/>
        <v>Conforme</v>
      </c>
      <c r="K90" s="10" t="s">
        <v>275</v>
      </c>
    </row>
    <row r="91" spans="1:11" ht="16.05" customHeight="1" x14ac:dyDescent="0.3">
      <c r="A91" s="10" t="s">
        <v>455</v>
      </c>
      <c r="B91" s="10" t="s">
        <v>244</v>
      </c>
      <c r="C91" s="13">
        <v>46149</v>
      </c>
      <c r="D91" s="15" t="str">
        <f t="shared" si="4"/>
        <v>EQM-036|46149</v>
      </c>
      <c r="E91" s="10" t="s">
        <v>456</v>
      </c>
      <c r="F91" s="10" t="s">
        <v>249</v>
      </c>
      <c r="G91" s="11">
        <v>5.25</v>
      </c>
      <c r="H91" s="11">
        <v>5</v>
      </c>
      <c r="I91" s="11">
        <v>15</v>
      </c>
      <c r="J91" s="15" t="str">
        <f t="shared" si="5"/>
        <v>Conforme</v>
      </c>
      <c r="K91" s="10" t="s">
        <v>275</v>
      </c>
    </row>
    <row r="92" spans="1:11" ht="16.05" customHeight="1" x14ac:dyDescent="0.3">
      <c r="A92" s="10" t="s">
        <v>457</v>
      </c>
      <c r="B92" s="10" t="s">
        <v>244</v>
      </c>
      <c r="C92" s="13">
        <v>46330</v>
      </c>
      <c r="D92" s="15" t="str">
        <f t="shared" si="4"/>
        <v>EQM-036|46330</v>
      </c>
      <c r="E92" s="10" t="s">
        <v>458</v>
      </c>
      <c r="F92" s="10" t="s">
        <v>249</v>
      </c>
      <c r="G92" s="11">
        <v>6.75</v>
      </c>
      <c r="H92" s="11">
        <v>5</v>
      </c>
      <c r="I92" s="11">
        <v>15</v>
      </c>
      <c r="J92" s="15" t="str">
        <f t="shared" si="5"/>
        <v>Conforme</v>
      </c>
      <c r="K92" s="10" t="s">
        <v>275</v>
      </c>
    </row>
    <row r="93" spans="1:11" ht="16.05" customHeight="1" x14ac:dyDescent="0.3">
      <c r="A93" s="10" t="s">
        <v>459</v>
      </c>
      <c r="B93" s="10" t="s">
        <v>250</v>
      </c>
      <c r="C93" s="13">
        <v>45616</v>
      </c>
      <c r="D93" s="15" t="str">
        <f t="shared" si="4"/>
        <v>EQM-037|45616</v>
      </c>
      <c r="E93" s="10" t="s">
        <v>460</v>
      </c>
      <c r="F93" s="10" t="s">
        <v>255</v>
      </c>
      <c r="G93" s="11">
        <v>1.3999999999999999E-4</v>
      </c>
      <c r="H93" s="11">
        <v>1.4999999999999999E-4</v>
      </c>
      <c r="I93" s="11">
        <v>4.0000000000000002E-4</v>
      </c>
      <c r="J93" s="15" t="str">
        <f t="shared" si="5"/>
        <v>Conforme</v>
      </c>
      <c r="K93" s="10" t="s">
        <v>275</v>
      </c>
    </row>
    <row r="94" spans="1:11" ht="16.05" customHeight="1" x14ac:dyDescent="0.3">
      <c r="A94" s="10" t="s">
        <v>461</v>
      </c>
      <c r="B94" s="10" t="s">
        <v>250</v>
      </c>
      <c r="C94" s="13">
        <v>45980</v>
      </c>
      <c r="D94" s="15" t="str">
        <f t="shared" si="4"/>
        <v>EQM-037|45980</v>
      </c>
      <c r="E94" s="10" t="s">
        <v>462</v>
      </c>
      <c r="F94" s="10" t="s">
        <v>255</v>
      </c>
      <c r="G94" s="11">
        <v>1.8000000000000001E-4</v>
      </c>
      <c r="H94" s="11">
        <v>1.4999999999999999E-4</v>
      </c>
      <c r="I94" s="11">
        <v>4.0000000000000002E-4</v>
      </c>
      <c r="J94" s="15" t="str">
        <f t="shared" si="5"/>
        <v>Conforme</v>
      </c>
      <c r="K94" s="10" t="s">
        <v>275</v>
      </c>
    </row>
    <row r="95" spans="1:11" ht="16.05" customHeight="1" x14ac:dyDescent="0.3">
      <c r="A95" s="10" t="s">
        <v>463</v>
      </c>
      <c r="B95" s="10" t="s">
        <v>250</v>
      </c>
      <c r="C95" s="13">
        <v>46341</v>
      </c>
      <c r="D95" s="15" t="str">
        <f t="shared" si="4"/>
        <v>EQM-037|46341</v>
      </c>
      <c r="E95" s="10" t="s">
        <v>464</v>
      </c>
      <c r="F95" s="10" t="s">
        <v>255</v>
      </c>
      <c r="G95" s="11">
        <v>2.2000000000000001E-4</v>
      </c>
      <c r="H95" s="11">
        <v>1.4999999999999999E-4</v>
      </c>
      <c r="I95" s="11">
        <v>4.0000000000000002E-4</v>
      </c>
      <c r="J95" s="15" t="str">
        <f t="shared" si="5"/>
        <v>Conforme</v>
      </c>
      <c r="K95" s="10" t="s">
        <v>275</v>
      </c>
    </row>
    <row r="96" spans="1:11" ht="16.05" customHeight="1" x14ac:dyDescent="0.3">
      <c r="A96" s="10" t="s">
        <v>465</v>
      </c>
      <c r="B96" s="10" t="s">
        <v>256</v>
      </c>
      <c r="C96" s="13">
        <v>45653</v>
      </c>
      <c r="D96" s="15" t="str">
        <f t="shared" si="4"/>
        <v>EQM-038|45653</v>
      </c>
      <c r="E96" s="10" t="s">
        <v>466</v>
      </c>
      <c r="F96" s="10" t="s">
        <v>103</v>
      </c>
      <c r="G96" s="11">
        <v>0.22500000000000001</v>
      </c>
      <c r="H96" s="11">
        <v>0.2</v>
      </c>
      <c r="I96" s="11">
        <v>0.5</v>
      </c>
      <c r="J96" s="15" t="str">
        <f t="shared" si="5"/>
        <v>Conforme</v>
      </c>
      <c r="K96" s="10" t="s">
        <v>275</v>
      </c>
    </row>
    <row r="97" spans="1:11" ht="16.05" customHeight="1" x14ac:dyDescent="0.3">
      <c r="A97" s="10" t="s">
        <v>467</v>
      </c>
      <c r="B97" s="10" t="s">
        <v>256</v>
      </c>
      <c r="C97" s="13">
        <v>46017</v>
      </c>
      <c r="D97" s="15" t="str">
        <f t="shared" si="4"/>
        <v>EQM-038|46017</v>
      </c>
      <c r="E97" s="10" t="s">
        <v>468</v>
      </c>
      <c r="F97" s="10" t="s">
        <v>103</v>
      </c>
      <c r="G97" s="11">
        <v>0.27500000000000002</v>
      </c>
      <c r="H97" s="11">
        <v>0.2</v>
      </c>
      <c r="I97" s="11">
        <v>0.5</v>
      </c>
      <c r="J97" s="15" t="str">
        <f t="shared" si="5"/>
        <v>Conforme</v>
      </c>
      <c r="K97" s="10" t="s">
        <v>275</v>
      </c>
    </row>
    <row r="98" spans="1:11" ht="16.05" customHeight="1" x14ac:dyDescent="0.3">
      <c r="A98" s="10" t="s">
        <v>469</v>
      </c>
      <c r="B98" s="10" t="s">
        <v>256</v>
      </c>
      <c r="C98" s="13">
        <v>46377</v>
      </c>
      <c r="D98" s="15" t="str">
        <f t="shared" ref="D98:D129" si="6">B98&amp;"|"&amp;C98</f>
        <v>EQM-038|46377</v>
      </c>
      <c r="E98" s="10" t="s">
        <v>470</v>
      </c>
      <c r="F98" s="10" t="s">
        <v>103</v>
      </c>
      <c r="G98" s="11">
        <v>7.4999999999999997E-2</v>
      </c>
      <c r="H98" s="11">
        <v>0.2</v>
      </c>
      <c r="I98" s="11">
        <v>0.5</v>
      </c>
      <c r="J98" s="15" t="str">
        <f t="shared" ref="J98:J129" si="7">IF(G98="","Verificado OK",IF(ABS(G98)+H98&lt;=I98,"Conforme",IF(ABS(G98)&lt;=I98,"Indeterminado","Não conforme")))</f>
        <v>Conforme</v>
      </c>
      <c r="K98" s="10" t="s">
        <v>275</v>
      </c>
    </row>
    <row r="99" spans="1:11" ht="16.05" customHeight="1" x14ac:dyDescent="0.3">
      <c r="A99" s="10" t="s">
        <v>471</v>
      </c>
      <c r="B99" s="10" t="s">
        <v>262</v>
      </c>
      <c r="C99" s="13">
        <v>45690</v>
      </c>
      <c r="D99" s="15" t="str">
        <f t="shared" si="6"/>
        <v>EQM-039|45690</v>
      </c>
      <c r="E99" s="10" t="s">
        <v>472</v>
      </c>
      <c r="F99" s="10" t="s">
        <v>103</v>
      </c>
      <c r="G99" s="11">
        <v>0.27500000000000002</v>
      </c>
      <c r="H99" s="11">
        <v>0.2</v>
      </c>
      <c r="I99" s="11">
        <v>0.5</v>
      </c>
      <c r="J99" s="15" t="str">
        <f t="shared" si="7"/>
        <v>Conforme</v>
      </c>
      <c r="K99" s="10" t="s">
        <v>275</v>
      </c>
    </row>
    <row r="100" spans="1:11" ht="16.05" customHeight="1" x14ac:dyDescent="0.3">
      <c r="A100" s="10" t="s">
        <v>473</v>
      </c>
      <c r="B100" s="10" t="s">
        <v>262</v>
      </c>
      <c r="C100" s="13">
        <v>46054</v>
      </c>
      <c r="D100" s="15" t="str">
        <f t="shared" si="6"/>
        <v>EQM-039|46054</v>
      </c>
      <c r="E100" s="10" t="s">
        <v>474</v>
      </c>
      <c r="F100" s="10" t="s">
        <v>103</v>
      </c>
      <c r="G100" s="11">
        <v>7.4999999999999997E-2</v>
      </c>
      <c r="H100" s="11">
        <v>0.2</v>
      </c>
      <c r="I100" s="11">
        <v>0.5</v>
      </c>
      <c r="J100" s="15" t="str">
        <f t="shared" si="7"/>
        <v>Conforme</v>
      </c>
      <c r="K100" s="10" t="s">
        <v>275</v>
      </c>
    </row>
  </sheetData>
  <conditionalFormatting sqref="J2:J300">
    <cfRule type="expression" dxfId="6" priority="1">
      <formula>ISNUMBER(SEARCH("Não conforme",J2))</formula>
    </cfRule>
    <cfRule type="expression" dxfId="5" priority="2">
      <formula>ISNUMBER(SEARCH("Indeterminado",J2))</formula>
    </cfRule>
    <cfRule type="expression" dxfId="4" priority="3">
      <formula>ISNUMBER(SEARCH("Conforme",J2))</formula>
    </cfRule>
  </conditionalFormatting>
  <dataValidations count="1">
    <dataValidation type="list" allowBlank="1" showErrorMessage="1" errorTitle="Valor inválido" error="Valor fora da lista controlada (ver folha Listas)." sqref="K2:K300" xr:uid="{00000000-0002-0000-0200-000000000000}">
      <formula1>lst_SimNao</formula1>
    </dataValidation>
  </dataValidations>
  <pageMargins left="0.75" right="0.75" top="1" bottom="1" header="0.5" footer="0.5"/>
  <pageSetup fitToHeight="0" orientation="landscape"/>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7"/>
  <sheetViews>
    <sheetView zoomScale="90" workbookViewId="0">
      <pane xSplit="1" ySplit="4" topLeftCell="B5" activePane="bottomRight" state="frozen"/>
      <selection pane="topRight"/>
      <selection pane="bottomLeft"/>
      <selection pane="bottomRight"/>
    </sheetView>
  </sheetViews>
  <sheetFormatPr defaultRowHeight="14.4" x14ac:dyDescent="0.3"/>
  <cols>
    <col min="1" max="2" width="9" customWidth="1"/>
    <col min="3" max="3" width="11" customWidth="1"/>
    <col min="4" max="4" width="44" customWidth="1"/>
    <col min="5" max="5" width="20" customWidth="1"/>
    <col min="6" max="6" width="52" customWidth="1"/>
    <col min="7" max="7" width="26" customWidth="1"/>
    <col min="8" max="8" width="40" customWidth="1"/>
    <col min="9" max="9" width="22" customWidth="1"/>
    <col min="10" max="10" width="10" customWidth="1"/>
  </cols>
  <sheetData>
    <row r="1" spans="1:10" ht="17.399999999999999" x14ac:dyDescent="0.3">
      <c r="A1" s="1" t="s">
        <v>475</v>
      </c>
    </row>
    <row r="4" spans="1:10" ht="26.4" x14ac:dyDescent="0.3">
      <c r="A4" s="8" t="s">
        <v>476</v>
      </c>
      <c r="B4" s="8" t="s">
        <v>77</v>
      </c>
      <c r="C4" s="8" t="s">
        <v>477</v>
      </c>
      <c r="D4" s="8" t="s">
        <v>478</v>
      </c>
      <c r="E4" s="8" t="s">
        <v>479</v>
      </c>
      <c r="F4" s="8" t="s">
        <v>480</v>
      </c>
      <c r="G4" s="8" t="s">
        <v>481</v>
      </c>
      <c r="H4" s="8" t="s">
        <v>482</v>
      </c>
      <c r="I4" s="8" t="s">
        <v>483</v>
      </c>
      <c r="J4" s="8" t="s">
        <v>14</v>
      </c>
    </row>
    <row r="5" spans="1:10" ht="60" customHeight="1" x14ac:dyDescent="0.3">
      <c r="A5" s="10" t="s">
        <v>484</v>
      </c>
      <c r="B5" s="10" t="s">
        <v>111</v>
      </c>
      <c r="C5" s="13">
        <v>46154</v>
      </c>
      <c r="D5" s="10" t="s">
        <v>485</v>
      </c>
      <c r="E5" s="10" t="s">
        <v>486</v>
      </c>
      <c r="F5" s="10" t="s">
        <v>487</v>
      </c>
      <c r="G5" s="10" t="s">
        <v>488</v>
      </c>
      <c r="H5" s="10" t="s">
        <v>489</v>
      </c>
      <c r="I5" s="10" t="s">
        <v>11</v>
      </c>
      <c r="J5" s="10" t="s">
        <v>490</v>
      </c>
    </row>
    <row r="6" spans="1:10" ht="60" customHeight="1" x14ac:dyDescent="0.3">
      <c r="A6" s="10" t="s">
        <v>491</v>
      </c>
      <c r="B6" s="10" t="s">
        <v>179</v>
      </c>
      <c r="C6" s="13">
        <v>46282</v>
      </c>
      <c r="D6" s="10" t="s">
        <v>492</v>
      </c>
      <c r="E6" s="10" t="s">
        <v>493</v>
      </c>
      <c r="F6" s="10" t="s">
        <v>494</v>
      </c>
      <c r="G6" s="10" t="s">
        <v>495</v>
      </c>
      <c r="H6" s="10" t="s">
        <v>496</v>
      </c>
      <c r="I6" s="10" t="s">
        <v>11</v>
      </c>
      <c r="J6" s="10" t="s">
        <v>490</v>
      </c>
    </row>
    <row r="7" spans="1:10" ht="60" customHeight="1" x14ac:dyDescent="0.3">
      <c r="A7" s="10" t="s">
        <v>497</v>
      </c>
      <c r="B7" s="10" t="s">
        <v>215</v>
      </c>
      <c r="C7" s="13">
        <v>46282</v>
      </c>
      <c r="D7" s="10" t="s">
        <v>498</v>
      </c>
      <c r="E7" s="10" t="s">
        <v>499</v>
      </c>
      <c r="F7" s="10" t="s">
        <v>500</v>
      </c>
      <c r="G7" s="10" t="s">
        <v>501</v>
      </c>
      <c r="H7" s="10" t="s">
        <v>502</v>
      </c>
      <c r="I7" s="10" t="s">
        <v>11</v>
      </c>
      <c r="J7" s="10" t="s">
        <v>503</v>
      </c>
    </row>
  </sheetData>
  <pageMargins left="0.75" right="0.75" top="1" bottom="1" header="0.5" footer="0.5"/>
  <pageSetup fitToHeight="0" orientation="landscape"/>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91"/>
  <sheetViews>
    <sheetView zoomScale="90" workbookViewId="0">
      <pane xSplit="1" ySplit="1" topLeftCell="B2" activePane="bottomRight" state="frozen"/>
      <selection pane="topRight"/>
      <selection pane="bottomLeft"/>
      <selection pane="bottomRight"/>
    </sheetView>
  </sheetViews>
  <sheetFormatPr defaultRowHeight="14.4" x14ac:dyDescent="0.3"/>
  <cols>
    <col min="1" max="1" width="9" customWidth="1"/>
    <col min="2" max="2" width="18" customWidth="1"/>
    <col min="3" max="3" width="8" customWidth="1"/>
    <col min="4" max="4" width="14" customWidth="1"/>
    <col min="5" max="5" width="6" customWidth="1"/>
    <col min="6" max="6" width="9" customWidth="1"/>
    <col min="7" max="7" width="16" customWidth="1"/>
    <col min="8" max="9" width="7" customWidth="1"/>
  </cols>
  <sheetData>
    <row r="1" spans="1:9" ht="26.4" x14ac:dyDescent="0.3">
      <c r="A1" s="8" t="s">
        <v>504</v>
      </c>
      <c r="B1" s="8" t="s">
        <v>505</v>
      </c>
      <c r="C1" s="8" t="s">
        <v>506</v>
      </c>
      <c r="D1" s="8" t="s">
        <v>507</v>
      </c>
      <c r="E1" s="8" t="s">
        <v>508</v>
      </c>
      <c r="F1" s="8" t="s">
        <v>509</v>
      </c>
      <c r="G1" s="8" t="s">
        <v>510</v>
      </c>
      <c r="H1" s="8" t="s">
        <v>511</v>
      </c>
      <c r="I1" s="8" t="s">
        <v>512</v>
      </c>
    </row>
    <row r="2" spans="1:9" ht="15" customHeight="1" x14ac:dyDescent="0.3">
      <c r="A2" s="10" t="s">
        <v>513</v>
      </c>
      <c r="B2" s="10" t="s">
        <v>514</v>
      </c>
      <c r="C2" s="10" t="s">
        <v>515</v>
      </c>
      <c r="D2" s="10" t="s">
        <v>516</v>
      </c>
      <c r="E2" s="12">
        <v>1</v>
      </c>
      <c r="F2" s="11">
        <v>10.8291</v>
      </c>
      <c r="G2" s="10" t="s">
        <v>517</v>
      </c>
      <c r="H2" s="17">
        <v>10.3</v>
      </c>
      <c r="I2" s="17">
        <v>13.8</v>
      </c>
    </row>
    <row r="3" spans="1:9" ht="15" customHeight="1" x14ac:dyDescent="0.3">
      <c r="A3" s="10" t="s">
        <v>518</v>
      </c>
      <c r="B3" s="10" t="s">
        <v>514</v>
      </c>
      <c r="C3" s="10" t="s">
        <v>515</v>
      </c>
      <c r="D3" s="10" t="s">
        <v>516</v>
      </c>
      <c r="E3" s="12">
        <v>2</v>
      </c>
      <c r="F3" s="11">
        <v>10.833500000000001</v>
      </c>
      <c r="G3" s="10" t="s">
        <v>519</v>
      </c>
      <c r="H3" s="17">
        <v>10.3</v>
      </c>
      <c r="I3" s="17">
        <v>13.8</v>
      </c>
    </row>
    <row r="4" spans="1:9" ht="15" customHeight="1" x14ac:dyDescent="0.3">
      <c r="A4" s="10" t="s">
        <v>520</v>
      </c>
      <c r="B4" s="10" t="s">
        <v>514</v>
      </c>
      <c r="C4" s="10" t="s">
        <v>515</v>
      </c>
      <c r="D4" s="10" t="s">
        <v>516</v>
      </c>
      <c r="E4" s="12">
        <v>3</v>
      </c>
      <c r="F4" s="11">
        <v>10.7852</v>
      </c>
      <c r="G4" s="10" t="s">
        <v>521</v>
      </c>
      <c r="H4" s="17">
        <v>10.3</v>
      </c>
      <c r="I4" s="17">
        <v>13.8</v>
      </c>
    </row>
    <row r="5" spans="1:9" ht="15" customHeight="1" x14ac:dyDescent="0.3">
      <c r="A5" s="10" t="s">
        <v>522</v>
      </c>
      <c r="B5" s="10" t="s">
        <v>514</v>
      </c>
      <c r="C5" s="10" t="s">
        <v>515</v>
      </c>
      <c r="D5" s="10" t="s">
        <v>523</v>
      </c>
      <c r="E5" s="12">
        <v>1</v>
      </c>
      <c r="F5" s="11">
        <v>10.838699999999999</v>
      </c>
      <c r="G5" s="10" t="s">
        <v>524</v>
      </c>
      <c r="H5" s="17">
        <v>10.3</v>
      </c>
      <c r="I5" s="17">
        <v>13.8</v>
      </c>
    </row>
    <row r="6" spans="1:9" ht="15" customHeight="1" x14ac:dyDescent="0.3">
      <c r="A6" s="10" t="s">
        <v>525</v>
      </c>
      <c r="B6" s="10" t="s">
        <v>514</v>
      </c>
      <c r="C6" s="10" t="s">
        <v>515</v>
      </c>
      <c r="D6" s="10" t="s">
        <v>523</v>
      </c>
      <c r="E6" s="12">
        <v>2</v>
      </c>
      <c r="F6" s="11">
        <v>10.889200000000001</v>
      </c>
      <c r="G6" s="10" t="s">
        <v>526</v>
      </c>
      <c r="H6" s="17">
        <v>10.3</v>
      </c>
      <c r="I6" s="17">
        <v>13.8</v>
      </c>
    </row>
    <row r="7" spans="1:9" ht="15" customHeight="1" x14ac:dyDescent="0.3">
      <c r="A7" s="10" t="s">
        <v>527</v>
      </c>
      <c r="B7" s="10" t="s">
        <v>514</v>
      </c>
      <c r="C7" s="10" t="s">
        <v>515</v>
      </c>
      <c r="D7" s="10" t="s">
        <v>523</v>
      </c>
      <c r="E7" s="12">
        <v>3</v>
      </c>
      <c r="F7" s="11">
        <v>10.8063</v>
      </c>
      <c r="G7" s="10" t="s">
        <v>528</v>
      </c>
      <c r="H7" s="17">
        <v>10.3</v>
      </c>
      <c r="I7" s="17">
        <v>13.8</v>
      </c>
    </row>
    <row r="8" spans="1:9" ht="15" customHeight="1" x14ac:dyDescent="0.3">
      <c r="A8" s="10" t="s">
        <v>529</v>
      </c>
      <c r="B8" s="10" t="s">
        <v>514</v>
      </c>
      <c r="C8" s="10" t="s">
        <v>515</v>
      </c>
      <c r="D8" s="10" t="s">
        <v>530</v>
      </c>
      <c r="E8" s="12">
        <v>1</v>
      </c>
      <c r="F8" s="11">
        <v>10.801600000000001</v>
      </c>
      <c r="G8" s="10" t="s">
        <v>531</v>
      </c>
      <c r="H8" s="17">
        <v>10.3</v>
      </c>
      <c r="I8" s="17">
        <v>13.8</v>
      </c>
    </row>
    <row r="9" spans="1:9" ht="15" customHeight="1" x14ac:dyDescent="0.3">
      <c r="A9" s="10" t="s">
        <v>532</v>
      </c>
      <c r="B9" s="10" t="s">
        <v>514</v>
      </c>
      <c r="C9" s="10" t="s">
        <v>515</v>
      </c>
      <c r="D9" s="10" t="s">
        <v>530</v>
      </c>
      <c r="E9" s="12">
        <v>2</v>
      </c>
      <c r="F9" s="11">
        <v>10.845499999999999</v>
      </c>
      <c r="G9" s="10" t="s">
        <v>533</v>
      </c>
      <c r="H9" s="17">
        <v>10.3</v>
      </c>
      <c r="I9" s="17">
        <v>13.8</v>
      </c>
    </row>
    <row r="10" spans="1:9" ht="15" customHeight="1" x14ac:dyDescent="0.3">
      <c r="A10" s="10" t="s">
        <v>534</v>
      </c>
      <c r="B10" s="10" t="s">
        <v>514</v>
      </c>
      <c r="C10" s="10" t="s">
        <v>515</v>
      </c>
      <c r="D10" s="10" t="s">
        <v>530</v>
      </c>
      <c r="E10" s="12">
        <v>3</v>
      </c>
      <c r="F10" s="11">
        <v>10.8049</v>
      </c>
      <c r="G10" s="10" t="s">
        <v>535</v>
      </c>
      <c r="H10" s="17">
        <v>10.3</v>
      </c>
      <c r="I10" s="17">
        <v>13.8</v>
      </c>
    </row>
    <row r="11" spans="1:9" ht="15" customHeight="1" x14ac:dyDescent="0.3">
      <c r="A11" s="10" t="s">
        <v>536</v>
      </c>
      <c r="B11" s="10" t="s">
        <v>514</v>
      </c>
      <c r="C11" s="10" t="s">
        <v>537</v>
      </c>
      <c r="D11" s="10" t="s">
        <v>516</v>
      </c>
      <c r="E11" s="12">
        <v>1</v>
      </c>
      <c r="F11" s="11">
        <v>10.5722</v>
      </c>
      <c r="G11" s="10" t="s">
        <v>538</v>
      </c>
      <c r="H11" s="17">
        <v>10.3</v>
      </c>
      <c r="I11" s="17">
        <v>13.8</v>
      </c>
    </row>
    <row r="12" spans="1:9" ht="15" customHeight="1" x14ac:dyDescent="0.3">
      <c r="A12" s="10" t="s">
        <v>539</v>
      </c>
      <c r="B12" s="10" t="s">
        <v>514</v>
      </c>
      <c r="C12" s="10" t="s">
        <v>537</v>
      </c>
      <c r="D12" s="10" t="s">
        <v>516</v>
      </c>
      <c r="E12" s="12">
        <v>2</v>
      </c>
      <c r="F12" s="11">
        <v>10.724500000000001</v>
      </c>
      <c r="G12" s="10" t="s">
        <v>540</v>
      </c>
      <c r="H12" s="17">
        <v>10.3</v>
      </c>
      <c r="I12" s="17">
        <v>13.8</v>
      </c>
    </row>
    <row r="13" spans="1:9" ht="15" customHeight="1" x14ac:dyDescent="0.3">
      <c r="A13" s="10" t="s">
        <v>541</v>
      </c>
      <c r="B13" s="10" t="s">
        <v>514</v>
      </c>
      <c r="C13" s="10" t="s">
        <v>537</v>
      </c>
      <c r="D13" s="10" t="s">
        <v>516</v>
      </c>
      <c r="E13" s="12">
        <v>3</v>
      </c>
      <c r="F13" s="11">
        <v>10.517899999999999</v>
      </c>
      <c r="G13" s="10" t="s">
        <v>542</v>
      </c>
      <c r="H13" s="17">
        <v>10.3</v>
      </c>
      <c r="I13" s="17">
        <v>13.8</v>
      </c>
    </row>
    <row r="14" spans="1:9" ht="15" customHeight="1" x14ac:dyDescent="0.3">
      <c r="A14" s="10" t="s">
        <v>543</v>
      </c>
      <c r="B14" s="10" t="s">
        <v>514</v>
      </c>
      <c r="C14" s="10" t="s">
        <v>537</v>
      </c>
      <c r="D14" s="10" t="s">
        <v>523</v>
      </c>
      <c r="E14" s="12">
        <v>1</v>
      </c>
      <c r="F14" s="11">
        <v>10.658799999999999</v>
      </c>
      <c r="G14" s="10" t="s">
        <v>544</v>
      </c>
      <c r="H14" s="17">
        <v>10.3</v>
      </c>
      <c r="I14" s="17">
        <v>13.8</v>
      </c>
    </row>
    <row r="15" spans="1:9" ht="15" customHeight="1" x14ac:dyDescent="0.3">
      <c r="A15" s="10" t="s">
        <v>545</v>
      </c>
      <c r="B15" s="10" t="s">
        <v>514</v>
      </c>
      <c r="C15" s="10" t="s">
        <v>537</v>
      </c>
      <c r="D15" s="10" t="s">
        <v>523</v>
      </c>
      <c r="E15" s="12">
        <v>2</v>
      </c>
      <c r="F15" s="11">
        <v>10.670299999999999</v>
      </c>
      <c r="G15" s="10" t="s">
        <v>546</v>
      </c>
      <c r="H15" s="17">
        <v>10.3</v>
      </c>
      <c r="I15" s="17">
        <v>13.8</v>
      </c>
    </row>
    <row r="16" spans="1:9" ht="15" customHeight="1" x14ac:dyDescent="0.3">
      <c r="A16" s="10" t="s">
        <v>547</v>
      </c>
      <c r="B16" s="10" t="s">
        <v>514</v>
      </c>
      <c r="C16" s="10" t="s">
        <v>537</v>
      </c>
      <c r="D16" s="10" t="s">
        <v>523</v>
      </c>
      <c r="E16" s="12">
        <v>3</v>
      </c>
      <c r="F16" s="11">
        <v>10.6736</v>
      </c>
      <c r="G16" s="10" t="s">
        <v>548</v>
      </c>
      <c r="H16" s="17">
        <v>10.3</v>
      </c>
      <c r="I16" s="17">
        <v>13.8</v>
      </c>
    </row>
    <row r="17" spans="1:9" ht="15" customHeight="1" x14ac:dyDescent="0.3">
      <c r="A17" s="10" t="s">
        <v>549</v>
      </c>
      <c r="B17" s="10" t="s">
        <v>514</v>
      </c>
      <c r="C17" s="10" t="s">
        <v>537</v>
      </c>
      <c r="D17" s="10" t="s">
        <v>530</v>
      </c>
      <c r="E17" s="12">
        <v>1</v>
      </c>
      <c r="F17" s="11">
        <v>10.6067</v>
      </c>
      <c r="G17" s="10" t="s">
        <v>550</v>
      </c>
      <c r="H17" s="17">
        <v>10.3</v>
      </c>
      <c r="I17" s="17">
        <v>13.8</v>
      </c>
    </row>
    <row r="18" spans="1:9" ht="15" customHeight="1" x14ac:dyDescent="0.3">
      <c r="A18" s="10" t="s">
        <v>551</v>
      </c>
      <c r="B18" s="10" t="s">
        <v>514</v>
      </c>
      <c r="C18" s="10" t="s">
        <v>537</v>
      </c>
      <c r="D18" s="10" t="s">
        <v>530</v>
      </c>
      <c r="E18" s="12">
        <v>2</v>
      </c>
      <c r="F18" s="11">
        <v>10.543100000000001</v>
      </c>
      <c r="G18" s="10" t="s">
        <v>552</v>
      </c>
      <c r="H18" s="17">
        <v>10.3</v>
      </c>
      <c r="I18" s="17">
        <v>13.8</v>
      </c>
    </row>
    <row r="19" spans="1:9" ht="15" customHeight="1" x14ac:dyDescent="0.3">
      <c r="A19" s="10" t="s">
        <v>553</v>
      </c>
      <c r="B19" s="10" t="s">
        <v>514</v>
      </c>
      <c r="C19" s="10" t="s">
        <v>537</v>
      </c>
      <c r="D19" s="10" t="s">
        <v>530</v>
      </c>
      <c r="E19" s="12">
        <v>3</v>
      </c>
      <c r="F19" s="11">
        <v>10.6332</v>
      </c>
      <c r="G19" s="10" t="s">
        <v>554</v>
      </c>
      <c r="H19" s="17">
        <v>10.3</v>
      </c>
      <c r="I19" s="17">
        <v>13.8</v>
      </c>
    </row>
    <row r="20" spans="1:9" ht="15" customHeight="1" x14ac:dyDescent="0.3">
      <c r="A20" s="10" t="s">
        <v>555</v>
      </c>
      <c r="B20" s="10" t="s">
        <v>514</v>
      </c>
      <c r="C20" s="10" t="s">
        <v>556</v>
      </c>
      <c r="D20" s="10" t="s">
        <v>516</v>
      </c>
      <c r="E20" s="12">
        <v>1</v>
      </c>
      <c r="F20" s="11">
        <v>12.0252</v>
      </c>
      <c r="G20" s="10" t="s">
        <v>557</v>
      </c>
      <c r="H20" s="17">
        <v>10.3</v>
      </c>
      <c r="I20" s="17">
        <v>13.8</v>
      </c>
    </row>
    <row r="21" spans="1:9" ht="15" customHeight="1" x14ac:dyDescent="0.3">
      <c r="A21" s="10" t="s">
        <v>558</v>
      </c>
      <c r="B21" s="10" t="s">
        <v>514</v>
      </c>
      <c r="C21" s="10" t="s">
        <v>556</v>
      </c>
      <c r="D21" s="10" t="s">
        <v>516</v>
      </c>
      <c r="E21" s="12">
        <v>2</v>
      </c>
      <c r="F21" s="11">
        <v>12.034800000000001</v>
      </c>
      <c r="G21" s="10" t="s">
        <v>559</v>
      </c>
      <c r="H21" s="17">
        <v>10.3</v>
      </c>
      <c r="I21" s="17">
        <v>13.8</v>
      </c>
    </row>
    <row r="22" spans="1:9" ht="15" customHeight="1" x14ac:dyDescent="0.3">
      <c r="A22" s="10" t="s">
        <v>560</v>
      </c>
      <c r="B22" s="10" t="s">
        <v>514</v>
      </c>
      <c r="C22" s="10" t="s">
        <v>556</v>
      </c>
      <c r="D22" s="10" t="s">
        <v>516</v>
      </c>
      <c r="E22" s="12">
        <v>3</v>
      </c>
      <c r="F22" s="11">
        <v>12.0328</v>
      </c>
      <c r="G22" s="10" t="s">
        <v>561</v>
      </c>
      <c r="H22" s="17">
        <v>10.3</v>
      </c>
      <c r="I22" s="17">
        <v>13.8</v>
      </c>
    </row>
    <row r="23" spans="1:9" ht="15" customHeight="1" x14ac:dyDescent="0.3">
      <c r="A23" s="10" t="s">
        <v>562</v>
      </c>
      <c r="B23" s="10" t="s">
        <v>514</v>
      </c>
      <c r="C23" s="10" t="s">
        <v>556</v>
      </c>
      <c r="D23" s="10" t="s">
        <v>523</v>
      </c>
      <c r="E23" s="12">
        <v>1</v>
      </c>
      <c r="F23" s="11">
        <v>11.9978</v>
      </c>
      <c r="G23" s="10" t="s">
        <v>563</v>
      </c>
      <c r="H23" s="17">
        <v>10.3</v>
      </c>
      <c r="I23" s="17">
        <v>13.8</v>
      </c>
    </row>
    <row r="24" spans="1:9" ht="15" customHeight="1" x14ac:dyDescent="0.3">
      <c r="A24" s="10" t="s">
        <v>564</v>
      </c>
      <c r="B24" s="10" t="s">
        <v>514</v>
      </c>
      <c r="C24" s="10" t="s">
        <v>556</v>
      </c>
      <c r="D24" s="10" t="s">
        <v>523</v>
      </c>
      <c r="E24" s="12">
        <v>2</v>
      </c>
      <c r="F24" s="11">
        <v>12.0824</v>
      </c>
      <c r="G24" s="10" t="s">
        <v>565</v>
      </c>
      <c r="H24" s="17">
        <v>10.3</v>
      </c>
      <c r="I24" s="17">
        <v>13.8</v>
      </c>
    </row>
    <row r="25" spans="1:9" ht="15" customHeight="1" x14ac:dyDescent="0.3">
      <c r="A25" s="10" t="s">
        <v>566</v>
      </c>
      <c r="B25" s="10" t="s">
        <v>514</v>
      </c>
      <c r="C25" s="10" t="s">
        <v>556</v>
      </c>
      <c r="D25" s="10" t="s">
        <v>523</v>
      </c>
      <c r="E25" s="12">
        <v>3</v>
      </c>
      <c r="F25" s="11">
        <v>12.0754</v>
      </c>
      <c r="G25" s="10" t="s">
        <v>567</v>
      </c>
      <c r="H25" s="17">
        <v>10.3</v>
      </c>
      <c r="I25" s="17">
        <v>13.8</v>
      </c>
    </row>
    <row r="26" spans="1:9" ht="15" customHeight="1" x14ac:dyDescent="0.3">
      <c r="A26" s="10" t="s">
        <v>568</v>
      </c>
      <c r="B26" s="10" t="s">
        <v>514</v>
      </c>
      <c r="C26" s="10" t="s">
        <v>556</v>
      </c>
      <c r="D26" s="10" t="s">
        <v>530</v>
      </c>
      <c r="E26" s="12">
        <v>1</v>
      </c>
      <c r="F26" s="11">
        <v>12.0152</v>
      </c>
      <c r="G26" s="10" t="s">
        <v>569</v>
      </c>
      <c r="H26" s="17">
        <v>10.3</v>
      </c>
      <c r="I26" s="17">
        <v>13.8</v>
      </c>
    </row>
    <row r="27" spans="1:9" ht="15" customHeight="1" x14ac:dyDescent="0.3">
      <c r="A27" s="10" t="s">
        <v>570</v>
      </c>
      <c r="B27" s="10" t="s">
        <v>514</v>
      </c>
      <c r="C27" s="10" t="s">
        <v>556</v>
      </c>
      <c r="D27" s="10" t="s">
        <v>530</v>
      </c>
      <c r="E27" s="12">
        <v>2</v>
      </c>
      <c r="F27" s="11">
        <v>12.018599999999999</v>
      </c>
      <c r="G27" s="10" t="s">
        <v>571</v>
      </c>
      <c r="H27" s="17">
        <v>10.3</v>
      </c>
      <c r="I27" s="17">
        <v>13.8</v>
      </c>
    </row>
    <row r="28" spans="1:9" ht="15" customHeight="1" x14ac:dyDescent="0.3">
      <c r="A28" s="10" t="s">
        <v>572</v>
      </c>
      <c r="B28" s="10" t="s">
        <v>514</v>
      </c>
      <c r="C28" s="10" t="s">
        <v>556</v>
      </c>
      <c r="D28" s="10" t="s">
        <v>530</v>
      </c>
      <c r="E28" s="12">
        <v>3</v>
      </c>
      <c r="F28" s="11">
        <v>12.0181</v>
      </c>
      <c r="G28" s="10" t="s">
        <v>573</v>
      </c>
      <c r="H28" s="17">
        <v>10.3</v>
      </c>
      <c r="I28" s="17">
        <v>13.8</v>
      </c>
    </row>
    <row r="29" spans="1:9" ht="15" customHeight="1" x14ac:dyDescent="0.3">
      <c r="A29" s="10" t="s">
        <v>574</v>
      </c>
      <c r="B29" s="10" t="s">
        <v>514</v>
      </c>
      <c r="C29" s="10" t="s">
        <v>575</v>
      </c>
      <c r="D29" s="10" t="s">
        <v>516</v>
      </c>
      <c r="E29" s="12">
        <v>1</v>
      </c>
      <c r="F29" s="11">
        <v>14.065200000000001</v>
      </c>
      <c r="G29" s="10" t="s">
        <v>576</v>
      </c>
      <c r="H29" s="17">
        <v>10.3</v>
      </c>
      <c r="I29" s="17">
        <v>13.8</v>
      </c>
    </row>
    <row r="30" spans="1:9" ht="15" customHeight="1" x14ac:dyDescent="0.3">
      <c r="A30" s="10" t="s">
        <v>577</v>
      </c>
      <c r="B30" s="10" t="s">
        <v>514</v>
      </c>
      <c r="C30" s="10" t="s">
        <v>575</v>
      </c>
      <c r="D30" s="10" t="s">
        <v>516</v>
      </c>
      <c r="E30" s="12">
        <v>2</v>
      </c>
      <c r="F30" s="11">
        <v>14.115399999999999</v>
      </c>
      <c r="G30" s="10" t="s">
        <v>578</v>
      </c>
      <c r="H30" s="17">
        <v>10.3</v>
      </c>
      <c r="I30" s="17">
        <v>13.8</v>
      </c>
    </row>
    <row r="31" spans="1:9" ht="15" customHeight="1" x14ac:dyDescent="0.3">
      <c r="A31" s="10" t="s">
        <v>579</v>
      </c>
      <c r="B31" s="10" t="s">
        <v>514</v>
      </c>
      <c r="C31" s="10" t="s">
        <v>575</v>
      </c>
      <c r="D31" s="10" t="s">
        <v>516</v>
      </c>
      <c r="E31" s="12">
        <v>3</v>
      </c>
      <c r="F31" s="11">
        <v>14.1591</v>
      </c>
      <c r="G31" s="10" t="s">
        <v>580</v>
      </c>
      <c r="H31" s="17">
        <v>10.3</v>
      </c>
      <c r="I31" s="17">
        <v>13.8</v>
      </c>
    </row>
    <row r="32" spans="1:9" ht="15" customHeight="1" x14ac:dyDescent="0.3">
      <c r="A32" s="10" t="s">
        <v>581</v>
      </c>
      <c r="B32" s="10" t="s">
        <v>514</v>
      </c>
      <c r="C32" s="10" t="s">
        <v>575</v>
      </c>
      <c r="D32" s="10" t="s">
        <v>523</v>
      </c>
      <c r="E32" s="12">
        <v>1</v>
      </c>
      <c r="F32" s="11">
        <v>14.0726</v>
      </c>
      <c r="G32" s="10" t="s">
        <v>582</v>
      </c>
      <c r="H32" s="17">
        <v>10.3</v>
      </c>
      <c r="I32" s="17">
        <v>13.8</v>
      </c>
    </row>
    <row r="33" spans="1:9" ht="15" customHeight="1" x14ac:dyDescent="0.3">
      <c r="A33" s="10" t="s">
        <v>583</v>
      </c>
      <c r="B33" s="10" t="s">
        <v>514</v>
      </c>
      <c r="C33" s="10" t="s">
        <v>575</v>
      </c>
      <c r="D33" s="10" t="s">
        <v>523</v>
      </c>
      <c r="E33" s="12">
        <v>2</v>
      </c>
      <c r="F33" s="11">
        <v>14.089399999999999</v>
      </c>
      <c r="G33" s="10" t="s">
        <v>584</v>
      </c>
      <c r="H33" s="17">
        <v>10.3</v>
      </c>
      <c r="I33" s="17">
        <v>13.8</v>
      </c>
    </row>
    <row r="34" spans="1:9" ht="15" customHeight="1" x14ac:dyDescent="0.3">
      <c r="A34" s="10" t="s">
        <v>585</v>
      </c>
      <c r="B34" s="10" t="s">
        <v>514</v>
      </c>
      <c r="C34" s="10" t="s">
        <v>575</v>
      </c>
      <c r="D34" s="10" t="s">
        <v>523</v>
      </c>
      <c r="E34" s="12">
        <v>3</v>
      </c>
      <c r="F34" s="11">
        <v>14.098599999999999</v>
      </c>
      <c r="G34" s="10" t="s">
        <v>586</v>
      </c>
      <c r="H34" s="17">
        <v>10.3</v>
      </c>
      <c r="I34" s="17">
        <v>13.8</v>
      </c>
    </row>
    <row r="35" spans="1:9" ht="15" customHeight="1" x14ac:dyDescent="0.3">
      <c r="A35" s="10" t="s">
        <v>587</v>
      </c>
      <c r="B35" s="10" t="s">
        <v>514</v>
      </c>
      <c r="C35" s="10" t="s">
        <v>575</v>
      </c>
      <c r="D35" s="10" t="s">
        <v>530</v>
      </c>
      <c r="E35" s="12">
        <v>1</v>
      </c>
      <c r="F35" s="11">
        <v>14.0062</v>
      </c>
      <c r="G35" s="10" t="s">
        <v>588</v>
      </c>
      <c r="H35" s="17">
        <v>10.3</v>
      </c>
      <c r="I35" s="17">
        <v>13.8</v>
      </c>
    </row>
    <row r="36" spans="1:9" ht="15" customHeight="1" x14ac:dyDescent="0.3">
      <c r="A36" s="10" t="s">
        <v>589</v>
      </c>
      <c r="B36" s="10" t="s">
        <v>514</v>
      </c>
      <c r="C36" s="10" t="s">
        <v>575</v>
      </c>
      <c r="D36" s="10" t="s">
        <v>530</v>
      </c>
      <c r="E36" s="12">
        <v>2</v>
      </c>
      <c r="F36" s="11">
        <v>14.079000000000001</v>
      </c>
      <c r="G36" s="10" t="s">
        <v>590</v>
      </c>
      <c r="H36" s="17">
        <v>10.3</v>
      </c>
      <c r="I36" s="17">
        <v>13.8</v>
      </c>
    </row>
    <row r="37" spans="1:9" ht="15" customHeight="1" x14ac:dyDescent="0.3">
      <c r="A37" s="10" t="s">
        <v>591</v>
      </c>
      <c r="B37" s="10" t="s">
        <v>514</v>
      </c>
      <c r="C37" s="10" t="s">
        <v>575</v>
      </c>
      <c r="D37" s="10" t="s">
        <v>530</v>
      </c>
      <c r="E37" s="12">
        <v>3</v>
      </c>
      <c r="F37" s="11">
        <v>14.027200000000001</v>
      </c>
      <c r="G37" s="10" t="s">
        <v>592</v>
      </c>
      <c r="H37" s="17">
        <v>10.3</v>
      </c>
      <c r="I37" s="17">
        <v>13.8</v>
      </c>
    </row>
    <row r="38" spans="1:9" ht="15" customHeight="1" x14ac:dyDescent="0.3">
      <c r="A38" s="10" t="s">
        <v>593</v>
      </c>
      <c r="B38" s="10" t="s">
        <v>514</v>
      </c>
      <c r="C38" s="10" t="s">
        <v>594</v>
      </c>
      <c r="D38" s="10" t="s">
        <v>516</v>
      </c>
      <c r="E38" s="12">
        <v>1</v>
      </c>
      <c r="F38" s="11">
        <v>11.633599999999999</v>
      </c>
      <c r="G38" s="10" t="s">
        <v>595</v>
      </c>
      <c r="H38" s="17">
        <v>10.3</v>
      </c>
      <c r="I38" s="17">
        <v>13.8</v>
      </c>
    </row>
    <row r="39" spans="1:9" ht="15" customHeight="1" x14ac:dyDescent="0.3">
      <c r="A39" s="10" t="s">
        <v>596</v>
      </c>
      <c r="B39" s="10" t="s">
        <v>514</v>
      </c>
      <c r="C39" s="10" t="s">
        <v>594</v>
      </c>
      <c r="D39" s="10" t="s">
        <v>516</v>
      </c>
      <c r="E39" s="12">
        <v>2</v>
      </c>
      <c r="F39" s="11">
        <v>11.5822</v>
      </c>
      <c r="G39" s="10" t="s">
        <v>597</v>
      </c>
      <c r="H39" s="17">
        <v>10.3</v>
      </c>
      <c r="I39" s="17">
        <v>13.8</v>
      </c>
    </row>
    <row r="40" spans="1:9" ht="15" customHeight="1" x14ac:dyDescent="0.3">
      <c r="A40" s="10" t="s">
        <v>598</v>
      </c>
      <c r="B40" s="10" t="s">
        <v>514</v>
      </c>
      <c r="C40" s="10" t="s">
        <v>594</v>
      </c>
      <c r="D40" s="10" t="s">
        <v>516</v>
      </c>
      <c r="E40" s="12">
        <v>3</v>
      </c>
      <c r="F40" s="11">
        <v>11.643599999999999</v>
      </c>
      <c r="G40" s="10" t="s">
        <v>599</v>
      </c>
      <c r="H40" s="17">
        <v>10.3</v>
      </c>
      <c r="I40" s="17">
        <v>13.8</v>
      </c>
    </row>
    <row r="41" spans="1:9" ht="15" customHeight="1" x14ac:dyDescent="0.3">
      <c r="A41" s="10" t="s">
        <v>600</v>
      </c>
      <c r="B41" s="10" t="s">
        <v>514</v>
      </c>
      <c r="C41" s="10" t="s">
        <v>594</v>
      </c>
      <c r="D41" s="10" t="s">
        <v>523</v>
      </c>
      <c r="E41" s="12">
        <v>1</v>
      </c>
      <c r="F41" s="11">
        <v>11.6853</v>
      </c>
      <c r="G41" s="10" t="s">
        <v>601</v>
      </c>
      <c r="H41" s="17">
        <v>10.3</v>
      </c>
      <c r="I41" s="17">
        <v>13.8</v>
      </c>
    </row>
    <row r="42" spans="1:9" ht="15" customHeight="1" x14ac:dyDescent="0.3">
      <c r="A42" s="10" t="s">
        <v>602</v>
      </c>
      <c r="B42" s="10" t="s">
        <v>514</v>
      </c>
      <c r="C42" s="10" t="s">
        <v>594</v>
      </c>
      <c r="D42" s="10" t="s">
        <v>523</v>
      </c>
      <c r="E42" s="12">
        <v>2</v>
      </c>
      <c r="F42" s="11">
        <v>11.680199999999999</v>
      </c>
      <c r="G42" s="10" t="s">
        <v>603</v>
      </c>
      <c r="H42" s="17">
        <v>10.3</v>
      </c>
      <c r="I42" s="17">
        <v>13.8</v>
      </c>
    </row>
    <row r="43" spans="1:9" ht="15" customHeight="1" x14ac:dyDescent="0.3">
      <c r="A43" s="10" t="s">
        <v>604</v>
      </c>
      <c r="B43" s="10" t="s">
        <v>514</v>
      </c>
      <c r="C43" s="10" t="s">
        <v>594</v>
      </c>
      <c r="D43" s="10" t="s">
        <v>523</v>
      </c>
      <c r="E43" s="12">
        <v>3</v>
      </c>
      <c r="F43" s="11">
        <v>11.6295</v>
      </c>
      <c r="G43" s="10" t="s">
        <v>605</v>
      </c>
      <c r="H43" s="17">
        <v>10.3</v>
      </c>
      <c r="I43" s="17">
        <v>13.8</v>
      </c>
    </row>
    <row r="44" spans="1:9" ht="15" customHeight="1" x14ac:dyDescent="0.3">
      <c r="A44" s="10" t="s">
        <v>606</v>
      </c>
      <c r="B44" s="10" t="s">
        <v>514</v>
      </c>
      <c r="C44" s="10" t="s">
        <v>594</v>
      </c>
      <c r="D44" s="10" t="s">
        <v>530</v>
      </c>
      <c r="E44" s="12">
        <v>1</v>
      </c>
      <c r="F44" s="11">
        <v>11.702299999999999</v>
      </c>
      <c r="G44" s="10" t="s">
        <v>607</v>
      </c>
      <c r="H44" s="17">
        <v>10.3</v>
      </c>
      <c r="I44" s="17">
        <v>13.8</v>
      </c>
    </row>
    <row r="45" spans="1:9" ht="15" customHeight="1" x14ac:dyDescent="0.3">
      <c r="A45" s="10" t="s">
        <v>608</v>
      </c>
      <c r="B45" s="10" t="s">
        <v>514</v>
      </c>
      <c r="C45" s="10" t="s">
        <v>594</v>
      </c>
      <c r="D45" s="10" t="s">
        <v>530</v>
      </c>
      <c r="E45" s="12">
        <v>2</v>
      </c>
      <c r="F45" s="11">
        <v>11.675599999999999</v>
      </c>
      <c r="G45" s="10" t="s">
        <v>609</v>
      </c>
      <c r="H45" s="17">
        <v>10.3</v>
      </c>
      <c r="I45" s="17">
        <v>13.8</v>
      </c>
    </row>
    <row r="46" spans="1:9" ht="15" customHeight="1" x14ac:dyDescent="0.3">
      <c r="A46" s="10" t="s">
        <v>610</v>
      </c>
      <c r="B46" s="10" t="s">
        <v>514</v>
      </c>
      <c r="C46" s="10" t="s">
        <v>594</v>
      </c>
      <c r="D46" s="10" t="s">
        <v>530</v>
      </c>
      <c r="E46" s="12">
        <v>3</v>
      </c>
      <c r="F46" s="11">
        <v>11.663399999999999</v>
      </c>
      <c r="G46" s="10" t="s">
        <v>611</v>
      </c>
      <c r="H46" s="17">
        <v>10.3</v>
      </c>
      <c r="I46" s="17">
        <v>13.8</v>
      </c>
    </row>
    <row r="47" spans="1:9" ht="15" customHeight="1" x14ac:dyDescent="0.3">
      <c r="A47" s="10" t="s">
        <v>612</v>
      </c>
      <c r="B47" s="10" t="s">
        <v>514</v>
      </c>
      <c r="C47" s="10" t="s">
        <v>613</v>
      </c>
      <c r="D47" s="10" t="s">
        <v>516</v>
      </c>
      <c r="E47" s="12">
        <v>1</v>
      </c>
      <c r="F47" s="11">
        <v>10.6617</v>
      </c>
      <c r="G47" s="10" t="s">
        <v>614</v>
      </c>
      <c r="H47" s="17">
        <v>10.3</v>
      </c>
      <c r="I47" s="17">
        <v>13.8</v>
      </c>
    </row>
    <row r="48" spans="1:9" ht="15" customHeight="1" x14ac:dyDescent="0.3">
      <c r="A48" s="10" t="s">
        <v>615</v>
      </c>
      <c r="B48" s="10" t="s">
        <v>514</v>
      </c>
      <c r="C48" s="10" t="s">
        <v>613</v>
      </c>
      <c r="D48" s="10" t="s">
        <v>516</v>
      </c>
      <c r="E48" s="12">
        <v>2</v>
      </c>
      <c r="F48" s="11">
        <v>10.684100000000001</v>
      </c>
      <c r="G48" s="10" t="s">
        <v>616</v>
      </c>
      <c r="H48" s="17">
        <v>10.3</v>
      </c>
      <c r="I48" s="17">
        <v>13.8</v>
      </c>
    </row>
    <row r="49" spans="1:9" ht="15" customHeight="1" x14ac:dyDescent="0.3">
      <c r="A49" s="10" t="s">
        <v>617</v>
      </c>
      <c r="B49" s="10" t="s">
        <v>514</v>
      </c>
      <c r="C49" s="10" t="s">
        <v>613</v>
      </c>
      <c r="D49" s="10" t="s">
        <v>516</v>
      </c>
      <c r="E49" s="12">
        <v>3</v>
      </c>
      <c r="F49" s="11">
        <v>10.6213</v>
      </c>
      <c r="G49" s="10" t="s">
        <v>618</v>
      </c>
      <c r="H49" s="17">
        <v>10.3</v>
      </c>
      <c r="I49" s="17">
        <v>13.8</v>
      </c>
    </row>
    <row r="50" spans="1:9" ht="15" customHeight="1" x14ac:dyDescent="0.3">
      <c r="A50" s="10" t="s">
        <v>619</v>
      </c>
      <c r="B50" s="10" t="s">
        <v>514</v>
      </c>
      <c r="C50" s="10" t="s">
        <v>613</v>
      </c>
      <c r="D50" s="10" t="s">
        <v>523</v>
      </c>
      <c r="E50" s="12">
        <v>1</v>
      </c>
      <c r="F50" s="11">
        <v>10.708299999999999</v>
      </c>
      <c r="G50" s="10" t="s">
        <v>620</v>
      </c>
      <c r="H50" s="17">
        <v>10.3</v>
      </c>
      <c r="I50" s="17">
        <v>13.8</v>
      </c>
    </row>
    <row r="51" spans="1:9" ht="15" customHeight="1" x14ac:dyDescent="0.3">
      <c r="A51" s="10" t="s">
        <v>621</v>
      </c>
      <c r="B51" s="10" t="s">
        <v>514</v>
      </c>
      <c r="C51" s="10" t="s">
        <v>613</v>
      </c>
      <c r="D51" s="10" t="s">
        <v>523</v>
      </c>
      <c r="E51" s="12">
        <v>2</v>
      </c>
      <c r="F51" s="11">
        <v>10.645200000000001</v>
      </c>
      <c r="G51" s="10" t="s">
        <v>622</v>
      </c>
      <c r="H51" s="17">
        <v>10.3</v>
      </c>
      <c r="I51" s="17">
        <v>13.8</v>
      </c>
    </row>
    <row r="52" spans="1:9" ht="15" customHeight="1" x14ac:dyDescent="0.3">
      <c r="A52" s="10" t="s">
        <v>623</v>
      </c>
      <c r="B52" s="10" t="s">
        <v>514</v>
      </c>
      <c r="C52" s="10" t="s">
        <v>613</v>
      </c>
      <c r="D52" s="10" t="s">
        <v>523</v>
      </c>
      <c r="E52" s="12">
        <v>3</v>
      </c>
      <c r="F52" s="11">
        <v>10.657400000000001</v>
      </c>
      <c r="G52" s="10" t="s">
        <v>624</v>
      </c>
      <c r="H52" s="17">
        <v>10.3</v>
      </c>
      <c r="I52" s="17">
        <v>13.8</v>
      </c>
    </row>
    <row r="53" spans="1:9" ht="15" customHeight="1" x14ac:dyDescent="0.3">
      <c r="A53" s="10" t="s">
        <v>625</v>
      </c>
      <c r="B53" s="10" t="s">
        <v>514</v>
      </c>
      <c r="C53" s="10" t="s">
        <v>613</v>
      </c>
      <c r="D53" s="10" t="s">
        <v>530</v>
      </c>
      <c r="E53" s="12">
        <v>1</v>
      </c>
      <c r="F53" s="11">
        <v>10.651199999999999</v>
      </c>
      <c r="G53" s="10" t="s">
        <v>626</v>
      </c>
      <c r="H53" s="17">
        <v>10.3</v>
      </c>
      <c r="I53" s="17">
        <v>13.8</v>
      </c>
    </row>
    <row r="54" spans="1:9" ht="15" customHeight="1" x14ac:dyDescent="0.3">
      <c r="A54" s="10" t="s">
        <v>627</v>
      </c>
      <c r="B54" s="10" t="s">
        <v>514</v>
      </c>
      <c r="C54" s="10" t="s">
        <v>613</v>
      </c>
      <c r="D54" s="10" t="s">
        <v>530</v>
      </c>
      <c r="E54" s="12">
        <v>2</v>
      </c>
      <c r="F54" s="11">
        <v>10.6112</v>
      </c>
      <c r="G54" s="10" t="s">
        <v>628</v>
      </c>
      <c r="H54" s="17">
        <v>10.3</v>
      </c>
      <c r="I54" s="17">
        <v>13.8</v>
      </c>
    </row>
    <row r="55" spans="1:9" ht="15" customHeight="1" x14ac:dyDescent="0.3">
      <c r="A55" s="10" t="s">
        <v>629</v>
      </c>
      <c r="B55" s="10" t="s">
        <v>514</v>
      </c>
      <c r="C55" s="10" t="s">
        <v>613</v>
      </c>
      <c r="D55" s="10" t="s">
        <v>530</v>
      </c>
      <c r="E55" s="12">
        <v>3</v>
      </c>
      <c r="F55" s="11">
        <v>10.6287</v>
      </c>
      <c r="G55" s="10" t="s">
        <v>630</v>
      </c>
      <c r="H55" s="17">
        <v>10.3</v>
      </c>
      <c r="I55" s="17">
        <v>13.8</v>
      </c>
    </row>
    <row r="56" spans="1:9" ht="15" customHeight="1" x14ac:dyDescent="0.3">
      <c r="A56" s="10" t="s">
        <v>631</v>
      </c>
      <c r="B56" s="10" t="s">
        <v>514</v>
      </c>
      <c r="C56" s="10" t="s">
        <v>632</v>
      </c>
      <c r="D56" s="10" t="s">
        <v>516</v>
      </c>
      <c r="E56" s="12">
        <v>1</v>
      </c>
      <c r="F56" s="11">
        <v>11.8378</v>
      </c>
      <c r="G56" s="10" t="s">
        <v>633</v>
      </c>
      <c r="H56" s="17">
        <v>10.3</v>
      </c>
      <c r="I56" s="17">
        <v>13.8</v>
      </c>
    </row>
    <row r="57" spans="1:9" ht="15" customHeight="1" x14ac:dyDescent="0.3">
      <c r="A57" s="10" t="s">
        <v>634</v>
      </c>
      <c r="B57" s="10" t="s">
        <v>514</v>
      </c>
      <c r="C57" s="10" t="s">
        <v>632</v>
      </c>
      <c r="D57" s="10" t="s">
        <v>516</v>
      </c>
      <c r="E57" s="12">
        <v>2</v>
      </c>
      <c r="F57" s="11">
        <v>11.8575</v>
      </c>
      <c r="G57" s="10" t="s">
        <v>635</v>
      </c>
      <c r="H57" s="17">
        <v>10.3</v>
      </c>
      <c r="I57" s="17">
        <v>13.8</v>
      </c>
    </row>
    <row r="58" spans="1:9" ht="15" customHeight="1" x14ac:dyDescent="0.3">
      <c r="A58" s="10" t="s">
        <v>636</v>
      </c>
      <c r="B58" s="10" t="s">
        <v>514</v>
      </c>
      <c r="C58" s="10" t="s">
        <v>632</v>
      </c>
      <c r="D58" s="10" t="s">
        <v>516</v>
      </c>
      <c r="E58" s="12">
        <v>3</v>
      </c>
      <c r="F58" s="11">
        <v>11.816599999999999</v>
      </c>
      <c r="G58" s="10" t="s">
        <v>637</v>
      </c>
      <c r="H58" s="17">
        <v>10.3</v>
      </c>
      <c r="I58" s="17">
        <v>13.8</v>
      </c>
    </row>
    <row r="59" spans="1:9" ht="15" customHeight="1" x14ac:dyDescent="0.3">
      <c r="A59" s="10" t="s">
        <v>638</v>
      </c>
      <c r="B59" s="10" t="s">
        <v>514</v>
      </c>
      <c r="C59" s="10" t="s">
        <v>632</v>
      </c>
      <c r="D59" s="10" t="s">
        <v>523</v>
      </c>
      <c r="E59" s="12">
        <v>1</v>
      </c>
      <c r="F59" s="11">
        <v>11.869899999999999</v>
      </c>
      <c r="G59" s="10" t="s">
        <v>639</v>
      </c>
      <c r="H59" s="17">
        <v>10.3</v>
      </c>
      <c r="I59" s="17">
        <v>13.8</v>
      </c>
    </row>
    <row r="60" spans="1:9" ht="15" customHeight="1" x14ac:dyDescent="0.3">
      <c r="A60" s="10" t="s">
        <v>640</v>
      </c>
      <c r="B60" s="10" t="s">
        <v>514</v>
      </c>
      <c r="C60" s="10" t="s">
        <v>632</v>
      </c>
      <c r="D60" s="10" t="s">
        <v>523</v>
      </c>
      <c r="E60" s="12">
        <v>2</v>
      </c>
      <c r="F60" s="11">
        <v>11.8203</v>
      </c>
      <c r="G60" s="10" t="s">
        <v>641</v>
      </c>
      <c r="H60" s="17">
        <v>10.3</v>
      </c>
      <c r="I60" s="17">
        <v>13.8</v>
      </c>
    </row>
    <row r="61" spans="1:9" ht="15" customHeight="1" x14ac:dyDescent="0.3">
      <c r="A61" s="10" t="s">
        <v>642</v>
      </c>
      <c r="B61" s="10" t="s">
        <v>514</v>
      </c>
      <c r="C61" s="10" t="s">
        <v>632</v>
      </c>
      <c r="D61" s="10" t="s">
        <v>523</v>
      </c>
      <c r="E61" s="12">
        <v>3</v>
      </c>
      <c r="F61" s="11">
        <v>11.8581</v>
      </c>
      <c r="G61" s="10" t="s">
        <v>643</v>
      </c>
      <c r="H61" s="17">
        <v>10.3</v>
      </c>
      <c r="I61" s="17">
        <v>13.8</v>
      </c>
    </row>
    <row r="62" spans="1:9" ht="15" customHeight="1" x14ac:dyDescent="0.3">
      <c r="A62" s="10" t="s">
        <v>644</v>
      </c>
      <c r="B62" s="10" t="s">
        <v>514</v>
      </c>
      <c r="C62" s="10" t="s">
        <v>632</v>
      </c>
      <c r="D62" s="10" t="s">
        <v>530</v>
      </c>
      <c r="E62" s="12">
        <v>1</v>
      </c>
      <c r="F62" s="11">
        <v>11.7995</v>
      </c>
      <c r="G62" s="10" t="s">
        <v>645</v>
      </c>
      <c r="H62" s="17">
        <v>10.3</v>
      </c>
      <c r="I62" s="17">
        <v>13.8</v>
      </c>
    </row>
    <row r="63" spans="1:9" ht="15" customHeight="1" x14ac:dyDescent="0.3">
      <c r="A63" s="10" t="s">
        <v>646</v>
      </c>
      <c r="B63" s="10" t="s">
        <v>514</v>
      </c>
      <c r="C63" s="10" t="s">
        <v>632</v>
      </c>
      <c r="D63" s="10" t="s">
        <v>530</v>
      </c>
      <c r="E63" s="12">
        <v>2</v>
      </c>
      <c r="F63" s="11">
        <v>11.8156</v>
      </c>
      <c r="G63" s="10" t="s">
        <v>647</v>
      </c>
      <c r="H63" s="17">
        <v>10.3</v>
      </c>
      <c r="I63" s="17">
        <v>13.8</v>
      </c>
    </row>
    <row r="64" spans="1:9" ht="15" customHeight="1" x14ac:dyDescent="0.3">
      <c r="A64" s="10" t="s">
        <v>648</v>
      </c>
      <c r="B64" s="10" t="s">
        <v>514</v>
      </c>
      <c r="C64" s="10" t="s">
        <v>632</v>
      </c>
      <c r="D64" s="10" t="s">
        <v>530</v>
      </c>
      <c r="E64" s="12">
        <v>3</v>
      </c>
      <c r="F64" s="11">
        <v>11.815099999999999</v>
      </c>
      <c r="G64" s="10" t="s">
        <v>649</v>
      </c>
      <c r="H64" s="17">
        <v>10.3</v>
      </c>
      <c r="I64" s="17">
        <v>13.8</v>
      </c>
    </row>
    <row r="65" spans="1:9" ht="15" customHeight="1" x14ac:dyDescent="0.3">
      <c r="A65" s="10" t="s">
        <v>650</v>
      </c>
      <c r="B65" s="10" t="s">
        <v>514</v>
      </c>
      <c r="C65" s="10" t="s">
        <v>651</v>
      </c>
      <c r="D65" s="10" t="s">
        <v>516</v>
      </c>
      <c r="E65" s="12">
        <v>1</v>
      </c>
      <c r="F65" s="11">
        <v>11.783799999999999</v>
      </c>
      <c r="G65" s="10" t="s">
        <v>652</v>
      </c>
      <c r="H65" s="17">
        <v>10.3</v>
      </c>
      <c r="I65" s="17">
        <v>13.8</v>
      </c>
    </row>
    <row r="66" spans="1:9" ht="15" customHeight="1" x14ac:dyDescent="0.3">
      <c r="A66" s="10" t="s">
        <v>653</v>
      </c>
      <c r="B66" s="10" t="s">
        <v>514</v>
      </c>
      <c r="C66" s="10" t="s">
        <v>651</v>
      </c>
      <c r="D66" s="10" t="s">
        <v>516</v>
      </c>
      <c r="E66" s="12">
        <v>2</v>
      </c>
      <c r="F66" s="11">
        <v>11.7662</v>
      </c>
      <c r="G66" s="10" t="s">
        <v>654</v>
      </c>
      <c r="H66" s="17">
        <v>10.3</v>
      </c>
      <c r="I66" s="17">
        <v>13.8</v>
      </c>
    </row>
    <row r="67" spans="1:9" ht="15" customHeight="1" x14ac:dyDescent="0.3">
      <c r="A67" s="10" t="s">
        <v>655</v>
      </c>
      <c r="B67" s="10" t="s">
        <v>514</v>
      </c>
      <c r="C67" s="10" t="s">
        <v>651</v>
      </c>
      <c r="D67" s="10" t="s">
        <v>516</v>
      </c>
      <c r="E67" s="12">
        <v>3</v>
      </c>
      <c r="F67" s="11">
        <v>11.863200000000001</v>
      </c>
      <c r="G67" s="10" t="s">
        <v>656</v>
      </c>
      <c r="H67" s="17">
        <v>10.3</v>
      </c>
      <c r="I67" s="17">
        <v>13.8</v>
      </c>
    </row>
    <row r="68" spans="1:9" ht="15" customHeight="1" x14ac:dyDescent="0.3">
      <c r="A68" s="10" t="s">
        <v>657</v>
      </c>
      <c r="B68" s="10" t="s">
        <v>514</v>
      </c>
      <c r="C68" s="10" t="s">
        <v>651</v>
      </c>
      <c r="D68" s="10" t="s">
        <v>523</v>
      </c>
      <c r="E68" s="12">
        <v>1</v>
      </c>
      <c r="F68" s="11">
        <v>11.819599999999999</v>
      </c>
      <c r="G68" s="10" t="s">
        <v>658</v>
      </c>
      <c r="H68" s="17">
        <v>10.3</v>
      </c>
      <c r="I68" s="17">
        <v>13.8</v>
      </c>
    </row>
    <row r="69" spans="1:9" ht="15" customHeight="1" x14ac:dyDescent="0.3">
      <c r="A69" s="10" t="s">
        <v>659</v>
      </c>
      <c r="B69" s="10" t="s">
        <v>514</v>
      </c>
      <c r="C69" s="10" t="s">
        <v>651</v>
      </c>
      <c r="D69" s="10" t="s">
        <v>523</v>
      </c>
      <c r="E69" s="12">
        <v>2</v>
      </c>
      <c r="F69" s="11">
        <v>11.7706</v>
      </c>
      <c r="G69" s="10" t="s">
        <v>660</v>
      </c>
      <c r="H69" s="17">
        <v>10.3</v>
      </c>
      <c r="I69" s="17">
        <v>13.8</v>
      </c>
    </row>
    <row r="70" spans="1:9" ht="15" customHeight="1" x14ac:dyDescent="0.3">
      <c r="A70" s="10" t="s">
        <v>661</v>
      </c>
      <c r="B70" s="10" t="s">
        <v>514</v>
      </c>
      <c r="C70" s="10" t="s">
        <v>651</v>
      </c>
      <c r="D70" s="10" t="s">
        <v>523</v>
      </c>
      <c r="E70" s="12">
        <v>3</v>
      </c>
      <c r="F70" s="11">
        <v>11.8096</v>
      </c>
      <c r="G70" s="10" t="s">
        <v>662</v>
      </c>
      <c r="H70" s="17">
        <v>10.3</v>
      </c>
      <c r="I70" s="17">
        <v>13.8</v>
      </c>
    </row>
    <row r="71" spans="1:9" ht="15" customHeight="1" x14ac:dyDescent="0.3">
      <c r="A71" s="10" t="s">
        <v>663</v>
      </c>
      <c r="B71" s="10" t="s">
        <v>514</v>
      </c>
      <c r="C71" s="10" t="s">
        <v>651</v>
      </c>
      <c r="D71" s="10" t="s">
        <v>530</v>
      </c>
      <c r="E71" s="12">
        <v>1</v>
      </c>
      <c r="F71" s="11">
        <v>11.8912</v>
      </c>
      <c r="G71" s="10" t="s">
        <v>664</v>
      </c>
      <c r="H71" s="17">
        <v>10.3</v>
      </c>
      <c r="I71" s="17">
        <v>13.8</v>
      </c>
    </row>
    <row r="72" spans="1:9" ht="15" customHeight="1" x14ac:dyDescent="0.3">
      <c r="A72" s="10" t="s">
        <v>665</v>
      </c>
      <c r="B72" s="10" t="s">
        <v>514</v>
      </c>
      <c r="C72" s="10" t="s">
        <v>651</v>
      </c>
      <c r="D72" s="10" t="s">
        <v>530</v>
      </c>
      <c r="E72" s="12">
        <v>2</v>
      </c>
      <c r="F72" s="11">
        <v>11.8596</v>
      </c>
      <c r="G72" s="10" t="s">
        <v>666</v>
      </c>
      <c r="H72" s="17">
        <v>10.3</v>
      </c>
      <c r="I72" s="17">
        <v>13.8</v>
      </c>
    </row>
    <row r="73" spans="1:9" ht="15" customHeight="1" x14ac:dyDescent="0.3">
      <c r="A73" s="10" t="s">
        <v>667</v>
      </c>
      <c r="B73" s="10" t="s">
        <v>514</v>
      </c>
      <c r="C73" s="10" t="s">
        <v>651</v>
      </c>
      <c r="D73" s="10" t="s">
        <v>530</v>
      </c>
      <c r="E73" s="12">
        <v>3</v>
      </c>
      <c r="F73" s="11">
        <v>11.754200000000001</v>
      </c>
      <c r="G73" s="10" t="s">
        <v>668</v>
      </c>
      <c r="H73" s="17">
        <v>10.3</v>
      </c>
      <c r="I73" s="17">
        <v>13.8</v>
      </c>
    </row>
    <row r="74" spans="1:9" ht="15" customHeight="1" x14ac:dyDescent="0.3">
      <c r="A74" s="10" t="s">
        <v>669</v>
      </c>
      <c r="B74" s="10" t="s">
        <v>514</v>
      </c>
      <c r="C74" s="10" t="s">
        <v>670</v>
      </c>
      <c r="D74" s="10" t="s">
        <v>516</v>
      </c>
      <c r="E74" s="12">
        <v>1</v>
      </c>
      <c r="F74" s="11">
        <v>12.2818</v>
      </c>
      <c r="G74" s="10" t="s">
        <v>671</v>
      </c>
      <c r="H74" s="17">
        <v>10.3</v>
      </c>
      <c r="I74" s="17">
        <v>13.8</v>
      </c>
    </row>
    <row r="75" spans="1:9" ht="15" customHeight="1" x14ac:dyDescent="0.3">
      <c r="A75" s="10" t="s">
        <v>672</v>
      </c>
      <c r="B75" s="10" t="s">
        <v>514</v>
      </c>
      <c r="C75" s="10" t="s">
        <v>670</v>
      </c>
      <c r="D75" s="10" t="s">
        <v>516</v>
      </c>
      <c r="E75" s="12">
        <v>2</v>
      </c>
      <c r="F75" s="11">
        <v>12.304399999999999</v>
      </c>
      <c r="G75" s="10" t="s">
        <v>673</v>
      </c>
      <c r="H75" s="17">
        <v>10.3</v>
      </c>
      <c r="I75" s="17">
        <v>13.8</v>
      </c>
    </row>
    <row r="76" spans="1:9" ht="15" customHeight="1" x14ac:dyDescent="0.3">
      <c r="A76" s="10" t="s">
        <v>674</v>
      </c>
      <c r="B76" s="10" t="s">
        <v>514</v>
      </c>
      <c r="C76" s="10" t="s">
        <v>670</v>
      </c>
      <c r="D76" s="10" t="s">
        <v>516</v>
      </c>
      <c r="E76" s="12">
        <v>3</v>
      </c>
      <c r="F76" s="11">
        <v>12.3194</v>
      </c>
      <c r="G76" s="10" t="s">
        <v>675</v>
      </c>
      <c r="H76" s="17">
        <v>10.3</v>
      </c>
      <c r="I76" s="17">
        <v>13.8</v>
      </c>
    </row>
    <row r="77" spans="1:9" ht="15" customHeight="1" x14ac:dyDescent="0.3">
      <c r="A77" s="10" t="s">
        <v>676</v>
      </c>
      <c r="B77" s="10" t="s">
        <v>514</v>
      </c>
      <c r="C77" s="10" t="s">
        <v>670</v>
      </c>
      <c r="D77" s="10" t="s">
        <v>523</v>
      </c>
      <c r="E77" s="12">
        <v>1</v>
      </c>
      <c r="F77" s="11">
        <v>12.263199999999999</v>
      </c>
      <c r="G77" s="10" t="s">
        <v>677</v>
      </c>
      <c r="H77" s="17">
        <v>10.3</v>
      </c>
      <c r="I77" s="17">
        <v>13.8</v>
      </c>
    </row>
    <row r="78" spans="1:9" ht="15" customHeight="1" x14ac:dyDescent="0.3">
      <c r="A78" s="10" t="s">
        <v>678</v>
      </c>
      <c r="B78" s="10" t="s">
        <v>514</v>
      </c>
      <c r="C78" s="10" t="s">
        <v>670</v>
      </c>
      <c r="D78" s="10" t="s">
        <v>523</v>
      </c>
      <c r="E78" s="12">
        <v>2</v>
      </c>
      <c r="F78" s="11">
        <v>12.2843</v>
      </c>
      <c r="G78" s="10" t="s">
        <v>679</v>
      </c>
      <c r="H78" s="17">
        <v>10.3</v>
      </c>
      <c r="I78" s="17">
        <v>13.8</v>
      </c>
    </row>
    <row r="79" spans="1:9" ht="15" customHeight="1" x14ac:dyDescent="0.3">
      <c r="A79" s="10" t="s">
        <v>680</v>
      </c>
      <c r="B79" s="10" t="s">
        <v>514</v>
      </c>
      <c r="C79" s="10" t="s">
        <v>670</v>
      </c>
      <c r="D79" s="10" t="s">
        <v>523</v>
      </c>
      <c r="E79" s="12">
        <v>3</v>
      </c>
      <c r="F79" s="11">
        <v>12.31</v>
      </c>
      <c r="G79" s="10" t="s">
        <v>681</v>
      </c>
      <c r="H79" s="17">
        <v>10.3</v>
      </c>
      <c r="I79" s="17">
        <v>13.8</v>
      </c>
    </row>
    <row r="80" spans="1:9" ht="15" customHeight="1" x14ac:dyDescent="0.3">
      <c r="A80" s="10" t="s">
        <v>682</v>
      </c>
      <c r="B80" s="10" t="s">
        <v>514</v>
      </c>
      <c r="C80" s="10" t="s">
        <v>670</v>
      </c>
      <c r="D80" s="10" t="s">
        <v>530</v>
      </c>
      <c r="E80" s="12">
        <v>1</v>
      </c>
      <c r="F80" s="11">
        <v>12.2264</v>
      </c>
      <c r="G80" s="10" t="s">
        <v>683</v>
      </c>
      <c r="H80" s="17">
        <v>10.3</v>
      </c>
      <c r="I80" s="17">
        <v>13.8</v>
      </c>
    </row>
    <row r="81" spans="1:9" ht="15" customHeight="1" x14ac:dyDescent="0.3">
      <c r="A81" s="10" t="s">
        <v>684</v>
      </c>
      <c r="B81" s="10" t="s">
        <v>514</v>
      </c>
      <c r="C81" s="10" t="s">
        <v>670</v>
      </c>
      <c r="D81" s="10" t="s">
        <v>530</v>
      </c>
      <c r="E81" s="12">
        <v>2</v>
      </c>
      <c r="F81" s="11">
        <v>12.241199999999999</v>
      </c>
      <c r="G81" s="10" t="s">
        <v>685</v>
      </c>
      <c r="H81" s="17">
        <v>10.3</v>
      </c>
      <c r="I81" s="17">
        <v>13.8</v>
      </c>
    </row>
    <row r="82" spans="1:9" ht="15" customHeight="1" x14ac:dyDescent="0.3">
      <c r="A82" s="10" t="s">
        <v>686</v>
      </c>
      <c r="B82" s="10" t="s">
        <v>514</v>
      </c>
      <c r="C82" s="10" t="s">
        <v>670</v>
      </c>
      <c r="D82" s="10" t="s">
        <v>530</v>
      </c>
      <c r="E82" s="12">
        <v>3</v>
      </c>
      <c r="F82" s="11">
        <v>12.2011</v>
      </c>
      <c r="G82" s="10" t="s">
        <v>687</v>
      </c>
      <c r="H82" s="17">
        <v>10.3</v>
      </c>
      <c r="I82" s="17">
        <v>13.8</v>
      </c>
    </row>
    <row r="83" spans="1:9" ht="15" customHeight="1" x14ac:dyDescent="0.3">
      <c r="A83" s="10" t="s">
        <v>688</v>
      </c>
      <c r="B83" s="10" t="s">
        <v>514</v>
      </c>
      <c r="C83" s="10" t="s">
        <v>689</v>
      </c>
      <c r="D83" s="10" t="s">
        <v>516</v>
      </c>
      <c r="E83" s="12">
        <v>1</v>
      </c>
      <c r="F83" s="11">
        <v>12.156599999999999</v>
      </c>
      <c r="G83" s="10" t="s">
        <v>690</v>
      </c>
      <c r="H83" s="17">
        <v>10.3</v>
      </c>
      <c r="I83" s="17">
        <v>13.8</v>
      </c>
    </row>
    <row r="84" spans="1:9" ht="15" customHeight="1" x14ac:dyDescent="0.3">
      <c r="A84" s="10" t="s">
        <v>691</v>
      </c>
      <c r="B84" s="10" t="s">
        <v>514</v>
      </c>
      <c r="C84" s="10" t="s">
        <v>689</v>
      </c>
      <c r="D84" s="10" t="s">
        <v>516</v>
      </c>
      <c r="E84" s="12">
        <v>2</v>
      </c>
      <c r="F84" s="11">
        <v>12.169700000000001</v>
      </c>
      <c r="G84" s="10" t="s">
        <v>692</v>
      </c>
      <c r="H84" s="17">
        <v>10.3</v>
      </c>
      <c r="I84" s="17">
        <v>13.8</v>
      </c>
    </row>
    <row r="85" spans="1:9" ht="15" customHeight="1" x14ac:dyDescent="0.3">
      <c r="A85" s="10" t="s">
        <v>693</v>
      </c>
      <c r="B85" s="10" t="s">
        <v>514</v>
      </c>
      <c r="C85" s="10" t="s">
        <v>689</v>
      </c>
      <c r="D85" s="10" t="s">
        <v>516</v>
      </c>
      <c r="E85" s="12">
        <v>3</v>
      </c>
      <c r="F85" s="11">
        <v>12.1182</v>
      </c>
      <c r="G85" s="10" t="s">
        <v>694</v>
      </c>
      <c r="H85" s="17">
        <v>10.3</v>
      </c>
      <c r="I85" s="17">
        <v>13.8</v>
      </c>
    </row>
    <row r="86" spans="1:9" ht="15" customHeight="1" x14ac:dyDescent="0.3">
      <c r="A86" s="10" t="s">
        <v>695</v>
      </c>
      <c r="B86" s="10" t="s">
        <v>514</v>
      </c>
      <c r="C86" s="10" t="s">
        <v>689</v>
      </c>
      <c r="D86" s="10" t="s">
        <v>523</v>
      </c>
      <c r="E86" s="12">
        <v>1</v>
      </c>
      <c r="F86" s="11">
        <v>12.1534</v>
      </c>
      <c r="G86" s="10" t="s">
        <v>696</v>
      </c>
      <c r="H86" s="17">
        <v>10.3</v>
      </c>
      <c r="I86" s="17">
        <v>13.8</v>
      </c>
    </row>
    <row r="87" spans="1:9" ht="15" customHeight="1" x14ac:dyDescent="0.3">
      <c r="A87" s="10" t="s">
        <v>697</v>
      </c>
      <c r="B87" s="10" t="s">
        <v>514</v>
      </c>
      <c r="C87" s="10" t="s">
        <v>689</v>
      </c>
      <c r="D87" s="10" t="s">
        <v>523</v>
      </c>
      <c r="E87" s="12">
        <v>2</v>
      </c>
      <c r="F87" s="11">
        <v>12.172800000000001</v>
      </c>
      <c r="G87" s="10" t="s">
        <v>698</v>
      </c>
      <c r="H87" s="17">
        <v>10.3</v>
      </c>
      <c r="I87" s="17">
        <v>13.8</v>
      </c>
    </row>
    <row r="88" spans="1:9" ht="15" customHeight="1" x14ac:dyDescent="0.3">
      <c r="A88" s="10" t="s">
        <v>699</v>
      </c>
      <c r="B88" s="10" t="s">
        <v>514</v>
      </c>
      <c r="C88" s="10" t="s">
        <v>689</v>
      </c>
      <c r="D88" s="10" t="s">
        <v>523</v>
      </c>
      <c r="E88" s="12">
        <v>3</v>
      </c>
      <c r="F88" s="11">
        <v>12.1226</v>
      </c>
      <c r="G88" s="10" t="s">
        <v>700</v>
      </c>
      <c r="H88" s="17">
        <v>10.3</v>
      </c>
      <c r="I88" s="17">
        <v>13.8</v>
      </c>
    </row>
    <row r="89" spans="1:9" ht="15" customHeight="1" x14ac:dyDescent="0.3">
      <c r="A89" s="10" t="s">
        <v>701</v>
      </c>
      <c r="B89" s="10" t="s">
        <v>514</v>
      </c>
      <c r="C89" s="10" t="s">
        <v>689</v>
      </c>
      <c r="D89" s="10" t="s">
        <v>530</v>
      </c>
      <c r="E89" s="12">
        <v>1</v>
      </c>
      <c r="F89" s="11">
        <v>12.108000000000001</v>
      </c>
      <c r="G89" s="10" t="s">
        <v>702</v>
      </c>
      <c r="H89" s="17">
        <v>10.3</v>
      </c>
      <c r="I89" s="17">
        <v>13.8</v>
      </c>
    </row>
    <row r="90" spans="1:9" ht="15" customHeight="1" x14ac:dyDescent="0.3">
      <c r="A90" s="10" t="s">
        <v>703</v>
      </c>
      <c r="B90" s="10" t="s">
        <v>514</v>
      </c>
      <c r="C90" s="10" t="s">
        <v>689</v>
      </c>
      <c r="D90" s="10" t="s">
        <v>530</v>
      </c>
      <c r="E90" s="12">
        <v>2</v>
      </c>
      <c r="F90" s="11">
        <v>12.098599999999999</v>
      </c>
      <c r="G90" s="10" t="s">
        <v>704</v>
      </c>
      <c r="H90" s="17">
        <v>10.3</v>
      </c>
      <c r="I90" s="17">
        <v>13.8</v>
      </c>
    </row>
    <row r="91" spans="1:9" ht="15" customHeight="1" x14ac:dyDescent="0.3">
      <c r="A91" s="10" t="s">
        <v>705</v>
      </c>
      <c r="B91" s="10" t="s">
        <v>514</v>
      </c>
      <c r="C91" s="10" t="s">
        <v>689</v>
      </c>
      <c r="D91" s="10" t="s">
        <v>530</v>
      </c>
      <c r="E91" s="12">
        <v>3</v>
      </c>
      <c r="F91" s="11">
        <v>12.132</v>
      </c>
      <c r="G91" s="10" t="s">
        <v>706</v>
      </c>
      <c r="H91" s="17">
        <v>10.3</v>
      </c>
      <c r="I91" s="17">
        <v>13.8</v>
      </c>
    </row>
  </sheetData>
  <pageMargins left="0.75" right="0.75" top="1" bottom="1" header="0.5" footer="0.5"/>
  <pageSetup fitToHeight="0" orientation="landscape"/>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pageSetUpPr fitToPage="1"/>
  </sheetPr>
  <dimension ref="A1:J34"/>
  <sheetViews>
    <sheetView showGridLines="0" workbookViewId="0"/>
  </sheetViews>
  <sheetFormatPr defaultRowHeight="14.4" x14ac:dyDescent="0.3"/>
  <cols>
    <col min="1" max="1" width="16" customWidth="1"/>
    <col min="2" max="2" width="10" customWidth="1"/>
    <col min="3" max="6" width="11" customWidth="1"/>
    <col min="8" max="8" width="44" customWidth="1"/>
    <col min="9" max="9" width="13" customWidth="1"/>
    <col min="10" max="10" width="50" customWidth="1"/>
  </cols>
  <sheetData>
    <row r="1" spans="1:10" ht="17.399999999999999" x14ac:dyDescent="0.3">
      <c r="A1" s="1" t="s">
        <v>707</v>
      </c>
    </row>
    <row r="2" spans="1:10" x14ac:dyDescent="0.3">
      <c r="A2" s="2" t="s">
        <v>708</v>
      </c>
    </row>
    <row r="4" spans="1:10" x14ac:dyDescent="0.3">
      <c r="A4" s="8" t="s">
        <v>507</v>
      </c>
      <c r="B4" s="8" t="s">
        <v>709</v>
      </c>
      <c r="C4" s="8" t="s">
        <v>710</v>
      </c>
      <c r="D4" s="8" t="s">
        <v>711</v>
      </c>
      <c r="E4" s="8" t="s">
        <v>712</v>
      </c>
      <c r="F4" s="8" t="s">
        <v>713</v>
      </c>
      <c r="H4" s="18" t="s">
        <v>714</v>
      </c>
      <c r="I4" s="12">
        <v>10</v>
      </c>
      <c r="J4" s="6" t="s">
        <v>715</v>
      </c>
    </row>
    <row r="5" spans="1:10" x14ac:dyDescent="0.3">
      <c r="A5" s="18" t="s">
        <v>516</v>
      </c>
      <c r="B5" s="18" t="s">
        <v>515</v>
      </c>
      <c r="C5" s="19">
        <f>_xlfn.MAXIFS(tbl_grr_dados[Valor],tbl_grr_dados[Avaliador],A5,tbl_grr_dados[Peca],B5)</f>
        <v>10.833500000000001</v>
      </c>
      <c r="D5" s="19">
        <f>_xlfn.MINIFS(tbl_grr_dados[Valor],tbl_grr_dados[Avaliador],A5,tbl_grr_dados[Peca],B5)</f>
        <v>10.7852</v>
      </c>
      <c r="E5" s="19">
        <f t="shared" ref="E5:E34" si="0">C5-D5</f>
        <v>4.830000000000112E-2</v>
      </c>
      <c r="F5" s="19">
        <f>AVERAGEIFS(tbl_grr_dados[Valor],tbl_grr_dados[Avaliador],A5,tbl_grr_dados[Peca],B5)</f>
        <v>10.815933333333334</v>
      </c>
      <c r="H5" s="18" t="s">
        <v>716</v>
      </c>
      <c r="I5" s="12">
        <v>3</v>
      </c>
      <c r="J5" s="6" t="s">
        <v>715</v>
      </c>
    </row>
    <row r="6" spans="1:10" x14ac:dyDescent="0.3">
      <c r="A6" s="18" t="s">
        <v>516</v>
      </c>
      <c r="B6" s="18" t="s">
        <v>537</v>
      </c>
      <c r="C6" s="19">
        <f>_xlfn.MAXIFS(tbl_grr_dados[Valor],tbl_grr_dados[Avaliador],A6,tbl_grr_dados[Peca],B6)</f>
        <v>10.724500000000001</v>
      </c>
      <c r="D6" s="19">
        <f>_xlfn.MINIFS(tbl_grr_dados[Valor],tbl_grr_dados[Avaliador],A6,tbl_grr_dados[Peca],B6)</f>
        <v>10.517899999999999</v>
      </c>
      <c r="E6" s="19">
        <f t="shared" si="0"/>
        <v>0.20660000000000167</v>
      </c>
      <c r="F6" s="19">
        <f>AVERAGEIFS(tbl_grr_dados[Valor],tbl_grr_dados[Avaliador],A6,tbl_grr_dados[Peca],B6)</f>
        <v>10.604866666666666</v>
      </c>
      <c r="H6" s="18" t="s">
        <v>717</v>
      </c>
      <c r="I6" s="12">
        <v>3</v>
      </c>
      <c r="J6" s="6" t="s">
        <v>715</v>
      </c>
    </row>
    <row r="7" spans="1:10" x14ac:dyDescent="0.3">
      <c r="A7" s="18" t="s">
        <v>516</v>
      </c>
      <c r="B7" s="18" t="s">
        <v>556</v>
      </c>
      <c r="C7" s="19">
        <f>_xlfn.MAXIFS(tbl_grr_dados[Valor],tbl_grr_dados[Avaliador],A7,tbl_grr_dados[Peca],B7)</f>
        <v>12.034800000000001</v>
      </c>
      <c r="D7" s="19">
        <f>_xlfn.MINIFS(tbl_grr_dados[Valor],tbl_grr_dados[Avaliador],A7,tbl_grr_dados[Peca],B7)</f>
        <v>12.0252</v>
      </c>
      <c r="E7" s="19">
        <f t="shared" si="0"/>
        <v>9.6000000000007191E-3</v>
      </c>
      <c r="F7" s="19">
        <f>AVERAGEIFS(tbl_grr_dados[Valor],tbl_grr_dados[Avaliador],A7,tbl_grr_dados[Peca],B7)</f>
        <v>12.030933333333335</v>
      </c>
      <c r="H7" s="18" t="s">
        <v>718</v>
      </c>
      <c r="I7" s="19">
        <v>0.59079999999999999</v>
      </c>
      <c r="J7" s="6" t="s">
        <v>719</v>
      </c>
    </row>
    <row r="8" spans="1:10" x14ac:dyDescent="0.3">
      <c r="A8" s="18" t="s">
        <v>516</v>
      </c>
      <c r="B8" s="18" t="s">
        <v>575</v>
      </c>
      <c r="C8" s="19">
        <f>_xlfn.MAXIFS(tbl_grr_dados[Valor],tbl_grr_dados[Avaliador],A8,tbl_grr_dados[Peca],B8)</f>
        <v>14.1591</v>
      </c>
      <c r="D8" s="19">
        <f>_xlfn.MINIFS(tbl_grr_dados[Valor],tbl_grr_dados[Avaliador],A8,tbl_grr_dados[Peca],B8)</f>
        <v>14.065200000000001</v>
      </c>
      <c r="E8" s="19">
        <f t="shared" si="0"/>
        <v>9.389999999999965E-2</v>
      </c>
      <c r="F8" s="19">
        <f>AVERAGEIFS(tbl_grr_dados[Valor],tbl_grr_dados[Avaliador],A8,tbl_grr_dados[Peca],B8)</f>
        <v>14.113233333333334</v>
      </c>
      <c r="H8" s="18" t="s">
        <v>720</v>
      </c>
      <c r="I8" s="19">
        <v>0.52310000000000001</v>
      </c>
      <c r="J8" s="6" t="s">
        <v>721</v>
      </c>
    </row>
    <row r="9" spans="1:10" x14ac:dyDescent="0.3">
      <c r="A9" s="18" t="s">
        <v>516</v>
      </c>
      <c r="B9" s="18" t="s">
        <v>594</v>
      </c>
      <c r="C9" s="19">
        <f>_xlfn.MAXIFS(tbl_grr_dados[Valor],tbl_grr_dados[Avaliador],A9,tbl_grr_dados[Peca],B9)</f>
        <v>11.643599999999999</v>
      </c>
      <c r="D9" s="19">
        <f>_xlfn.MINIFS(tbl_grr_dados[Valor],tbl_grr_dados[Avaliador],A9,tbl_grr_dados[Peca],B9)</f>
        <v>11.5822</v>
      </c>
      <c r="E9" s="19">
        <f t="shared" si="0"/>
        <v>6.1399999999999011E-2</v>
      </c>
      <c r="F9" s="19">
        <f>AVERAGEIFS(tbl_grr_dados[Valor],tbl_grr_dados[Avaliador],A9,tbl_grr_dados[Peca],B9)</f>
        <v>11.6198</v>
      </c>
      <c r="H9" s="18" t="s">
        <v>722</v>
      </c>
      <c r="I9" s="19">
        <v>0.31459999999999999</v>
      </c>
      <c r="J9" s="6" t="s">
        <v>721</v>
      </c>
    </row>
    <row r="10" spans="1:10" x14ac:dyDescent="0.3">
      <c r="A10" s="18" t="s">
        <v>516</v>
      </c>
      <c r="B10" s="18" t="s">
        <v>613</v>
      </c>
      <c r="C10" s="19">
        <f>_xlfn.MAXIFS(tbl_grr_dados[Valor],tbl_grr_dados[Avaliador],A10,tbl_grr_dados[Peca],B10)</f>
        <v>10.684100000000001</v>
      </c>
      <c r="D10" s="19">
        <f>_xlfn.MINIFS(tbl_grr_dados[Valor],tbl_grr_dados[Avaliador],A10,tbl_grr_dados[Peca],B10)</f>
        <v>10.6213</v>
      </c>
      <c r="E10" s="19">
        <f t="shared" si="0"/>
        <v>6.2800000000001077E-2</v>
      </c>
      <c r="F10" s="19">
        <f>AVERAGEIFS(tbl_grr_dados[Valor],tbl_grr_dados[Avaliador],A10,tbl_grr_dados[Peca],B10)</f>
        <v>10.655700000000001</v>
      </c>
      <c r="H10" s="18" t="s">
        <v>723</v>
      </c>
      <c r="I10" s="20">
        <f>AVERAGE(E5:E34)</f>
        <v>5.827000000000003E-2</v>
      </c>
      <c r="J10" s="6" t="s">
        <v>724</v>
      </c>
    </row>
    <row r="11" spans="1:10" x14ac:dyDescent="0.3">
      <c r="A11" s="18" t="s">
        <v>516</v>
      </c>
      <c r="B11" s="18" t="s">
        <v>632</v>
      </c>
      <c r="C11" s="19">
        <f>_xlfn.MAXIFS(tbl_grr_dados[Valor],tbl_grr_dados[Avaliador],A11,tbl_grr_dados[Peca],B11)</f>
        <v>11.8575</v>
      </c>
      <c r="D11" s="19">
        <f>_xlfn.MINIFS(tbl_grr_dados[Valor],tbl_grr_dados[Avaliador],A11,tbl_grr_dados[Peca],B11)</f>
        <v>11.816599999999999</v>
      </c>
      <c r="E11" s="19">
        <f t="shared" si="0"/>
        <v>4.0900000000000603E-2</v>
      </c>
      <c r="F11" s="19">
        <f>AVERAGEIFS(tbl_grr_dados[Valor],tbl_grr_dados[Avaliador],A11,tbl_grr_dados[Peca],B11)</f>
        <v>11.837299999999999</v>
      </c>
      <c r="H11" s="18" t="s">
        <v>725</v>
      </c>
      <c r="I11" s="20">
        <f>MAX(AVERAGEIFS(tbl_grr_dados[Valor],tbl_grr_dados[Avaliador],"Ana Silva"),AVERAGEIFS(tbl_grr_dados[Valor],tbl_grr_dados[Avaliador],"Beatriz Costa"),AVERAGEIFS(tbl_grr_dados[Valor],tbl_grr_dados[Avaliador],"Carlos Mendes"))-MIN(AVERAGEIFS(tbl_grr_dados[Valor],tbl_grr_dados[Avaliador],"Ana Silva"),AVERAGEIFS(tbl_grr_dados[Valor],tbl_grr_dados[Avaliador],"Beatriz Costa"),AVERAGEIFS(tbl_grr_dados[Valor],tbl_grr_dados[Avaliador],"Carlos Mendes"))</f>
        <v>3.1306666666663929E-2</v>
      </c>
      <c r="J11" s="6" t="s">
        <v>726</v>
      </c>
    </row>
    <row r="12" spans="1:10" x14ac:dyDescent="0.3">
      <c r="A12" s="18" t="s">
        <v>516</v>
      </c>
      <c r="B12" s="18" t="s">
        <v>651</v>
      </c>
      <c r="C12" s="19">
        <f>_xlfn.MAXIFS(tbl_grr_dados[Valor],tbl_grr_dados[Avaliador],A12,tbl_grr_dados[Peca],B12)</f>
        <v>11.863200000000001</v>
      </c>
      <c r="D12" s="19">
        <f>_xlfn.MINIFS(tbl_grr_dados[Valor],tbl_grr_dados[Avaliador],A12,tbl_grr_dados[Peca],B12)</f>
        <v>11.7662</v>
      </c>
      <c r="E12" s="19">
        <f t="shared" si="0"/>
        <v>9.7000000000001307E-2</v>
      </c>
      <c r="F12" s="19">
        <f>AVERAGEIFS(tbl_grr_dados[Valor],tbl_grr_dados[Avaliador],A12,tbl_grr_dados[Peca],B12)</f>
        <v>11.804399999999999</v>
      </c>
      <c r="H12" s="18" t="s">
        <v>727</v>
      </c>
      <c r="I12" s="20">
        <f>MAX(AVERAGEIFS(tbl_grr_dados[Valor],tbl_grr_dados[Peca],"PART-01"),AVERAGEIFS(tbl_grr_dados[Valor],tbl_grr_dados[Peca],"PART-02"),AVERAGEIFS(tbl_grr_dados[Valor],tbl_grr_dados[Peca],"PART-03"),AVERAGEIFS(tbl_grr_dados[Valor],tbl_grr_dados[Peca],"PART-04"),AVERAGEIFS(tbl_grr_dados[Valor],tbl_grr_dados[Peca],"PART-05"),AVERAGEIFS(tbl_grr_dados[Valor],tbl_grr_dados[Peca],"PART-06"),AVERAGEIFS(tbl_grr_dados[Valor],tbl_grr_dados[Peca],"PART-07"),AVERAGEIFS(tbl_grr_dados[Valor],tbl_grr_dados[Peca],"PART-08"),AVERAGEIFS(tbl_grr_dados[Valor],tbl_grr_dados[Peca],"PART-09"),AVERAGEIFS(tbl_grr_dados[Valor],tbl_grr_dados[Peca],"PART-10"))-MIN(AVERAGEIFS(tbl_grr_dados[Valor],tbl_grr_dados[Peca],"PART-01"),AVERAGEIFS(tbl_grr_dados[Valor],tbl_grr_dados[Peca],"PART-02"),AVERAGEIFS(tbl_grr_dados[Valor],tbl_grr_dados[Peca],"PART-03"),AVERAGEIFS(tbl_grr_dados[Valor],tbl_grr_dados[Peca],"PART-04"),AVERAGEIFS(tbl_grr_dados[Valor],tbl_grr_dados[Peca],"PART-05"),AVERAGEIFS(tbl_grr_dados[Valor],tbl_grr_dados[Peca],"PART-06"),AVERAGEIFS(tbl_grr_dados[Valor],tbl_grr_dados[Peca],"PART-07"),AVERAGEIFS(tbl_grr_dados[Valor],tbl_grr_dados[Peca],"PART-08"),AVERAGEIFS(tbl_grr_dados[Valor],tbl_grr_dados[Peca],"PART-09"),AVERAGEIFS(tbl_grr_dados[Valor],tbl_grr_dados[Peca],"PART-10"))</f>
        <v>3.4569333333333354</v>
      </c>
      <c r="J12" s="6" t="s">
        <v>728</v>
      </c>
    </row>
    <row r="13" spans="1:10" x14ac:dyDescent="0.3">
      <c r="A13" s="18" t="s">
        <v>516</v>
      </c>
      <c r="B13" s="18" t="s">
        <v>670</v>
      </c>
      <c r="C13" s="19">
        <f>_xlfn.MAXIFS(tbl_grr_dados[Valor],tbl_grr_dados[Avaliador],A13,tbl_grr_dados[Peca],B13)</f>
        <v>12.3194</v>
      </c>
      <c r="D13" s="19">
        <f>_xlfn.MINIFS(tbl_grr_dados[Valor],tbl_grr_dados[Avaliador],A13,tbl_grr_dados[Peca],B13)</f>
        <v>12.2818</v>
      </c>
      <c r="E13" s="19">
        <f t="shared" si="0"/>
        <v>3.7599999999999412E-2</v>
      </c>
      <c r="F13" s="19">
        <f>AVERAGEIFS(tbl_grr_dados[Valor],tbl_grr_dados[Avaliador],A13,tbl_grr_dados[Peca],B13)</f>
        <v>12.301866666666667</v>
      </c>
      <c r="H13" s="18" t="s">
        <v>729</v>
      </c>
      <c r="I13" s="20">
        <f>I10*I7</f>
        <v>3.4425916000000015E-2</v>
      </c>
      <c r="J13" s="6" t="s">
        <v>730</v>
      </c>
    </row>
    <row r="14" spans="1:10" x14ac:dyDescent="0.3">
      <c r="A14" s="18" t="s">
        <v>516</v>
      </c>
      <c r="B14" s="18" t="s">
        <v>689</v>
      </c>
      <c r="C14" s="19">
        <f>_xlfn.MAXIFS(tbl_grr_dados[Valor],tbl_grr_dados[Avaliador],A14,tbl_grr_dados[Peca],B14)</f>
        <v>12.169700000000001</v>
      </c>
      <c r="D14" s="19">
        <f>_xlfn.MINIFS(tbl_grr_dados[Valor],tbl_grr_dados[Avaliador],A14,tbl_grr_dados[Peca],B14)</f>
        <v>12.1182</v>
      </c>
      <c r="E14" s="19">
        <f t="shared" si="0"/>
        <v>5.1500000000000767E-2</v>
      </c>
      <c r="F14" s="19">
        <f>AVERAGEIFS(tbl_grr_dados[Valor],tbl_grr_dados[Avaliador],A14,tbl_grr_dados[Peca],B14)</f>
        <v>12.148166666666667</v>
      </c>
      <c r="H14" s="18" t="s">
        <v>731</v>
      </c>
      <c r="I14" s="20">
        <f>SQRT(MAX(0,(I11*I8)^2-I13^2/(I4*I5)))</f>
        <v>1.5122352006911876E-2</v>
      </c>
      <c r="J14" s="6" t="s">
        <v>732</v>
      </c>
    </row>
    <row r="15" spans="1:10" x14ac:dyDescent="0.3">
      <c r="A15" s="18" t="s">
        <v>523</v>
      </c>
      <c r="B15" s="18" t="s">
        <v>515</v>
      </c>
      <c r="C15" s="19">
        <f>_xlfn.MAXIFS(tbl_grr_dados[Valor],tbl_grr_dados[Avaliador],A15,tbl_grr_dados[Peca],B15)</f>
        <v>10.889200000000001</v>
      </c>
      <c r="D15" s="19">
        <f>_xlfn.MINIFS(tbl_grr_dados[Valor],tbl_grr_dados[Avaliador],A15,tbl_grr_dados[Peca],B15)</f>
        <v>10.8063</v>
      </c>
      <c r="E15" s="19">
        <f t="shared" si="0"/>
        <v>8.2900000000000418E-2</v>
      </c>
      <c r="F15" s="19">
        <f>AVERAGEIFS(tbl_grr_dados[Valor],tbl_grr_dados[Avaliador],A15,tbl_grr_dados[Peca],B15)</f>
        <v>10.844733333333332</v>
      </c>
      <c r="H15" s="21" t="s">
        <v>733</v>
      </c>
      <c r="I15" s="20">
        <f>SQRT(I13^2+I14^2)</f>
        <v>3.7600920502828233E-2</v>
      </c>
      <c r="J15" s="6" t="s">
        <v>734</v>
      </c>
    </row>
    <row r="16" spans="1:10" x14ac:dyDescent="0.3">
      <c r="A16" s="18" t="s">
        <v>523</v>
      </c>
      <c r="B16" s="18" t="s">
        <v>537</v>
      </c>
      <c r="C16" s="19">
        <f>_xlfn.MAXIFS(tbl_grr_dados[Valor],tbl_grr_dados[Avaliador],A16,tbl_grr_dados[Peca],B16)</f>
        <v>10.6736</v>
      </c>
      <c r="D16" s="19">
        <f>_xlfn.MINIFS(tbl_grr_dados[Valor],tbl_grr_dados[Avaliador],A16,tbl_grr_dados[Peca],B16)</f>
        <v>10.658799999999999</v>
      </c>
      <c r="E16" s="19">
        <f t="shared" si="0"/>
        <v>1.4800000000001035E-2</v>
      </c>
      <c r="F16" s="19">
        <f>AVERAGEIFS(tbl_grr_dados[Valor],tbl_grr_dados[Avaliador],A16,tbl_grr_dados[Peca],B16)</f>
        <v>10.667566666666666</v>
      </c>
      <c r="H16" s="18" t="s">
        <v>735</v>
      </c>
      <c r="I16" s="20">
        <f>I12*I9</f>
        <v>1.0875512266666674</v>
      </c>
      <c r="J16" s="6" t="s">
        <v>736</v>
      </c>
    </row>
    <row r="17" spans="1:10" x14ac:dyDescent="0.3">
      <c r="A17" s="18" t="s">
        <v>523</v>
      </c>
      <c r="B17" s="18" t="s">
        <v>556</v>
      </c>
      <c r="C17" s="19">
        <f>_xlfn.MAXIFS(tbl_grr_dados[Valor],tbl_grr_dados[Avaliador],A17,tbl_grr_dados[Peca],B17)</f>
        <v>12.0824</v>
      </c>
      <c r="D17" s="19">
        <f>_xlfn.MINIFS(tbl_grr_dados[Valor],tbl_grr_dados[Avaliador],A17,tbl_grr_dados[Peca],B17)</f>
        <v>11.9978</v>
      </c>
      <c r="E17" s="19">
        <f t="shared" si="0"/>
        <v>8.4600000000000009E-2</v>
      </c>
      <c r="F17" s="19">
        <f>AVERAGEIFS(tbl_grr_dados[Valor],tbl_grr_dados[Avaliador],A17,tbl_grr_dados[Peca],B17)</f>
        <v>12.051866666666667</v>
      </c>
      <c r="H17" s="18" t="s">
        <v>737</v>
      </c>
      <c r="I17" s="20">
        <f>SQRT(I15^2+I16^2)</f>
        <v>1.0882010383411849</v>
      </c>
      <c r="J17" s="6" t="s">
        <v>738</v>
      </c>
    </row>
    <row r="18" spans="1:10" x14ac:dyDescent="0.3">
      <c r="A18" s="18" t="s">
        <v>523</v>
      </c>
      <c r="B18" s="18" t="s">
        <v>575</v>
      </c>
      <c r="C18" s="19">
        <f>_xlfn.MAXIFS(tbl_grr_dados[Valor],tbl_grr_dados[Avaliador],A18,tbl_grr_dados[Peca],B18)</f>
        <v>14.098599999999999</v>
      </c>
      <c r="D18" s="19">
        <f>_xlfn.MINIFS(tbl_grr_dados[Valor],tbl_grr_dados[Avaliador],A18,tbl_grr_dados[Peca],B18)</f>
        <v>14.0726</v>
      </c>
      <c r="E18" s="19">
        <f t="shared" si="0"/>
        <v>2.5999999999999801E-2</v>
      </c>
      <c r="F18" s="19">
        <f>AVERAGEIFS(tbl_grr_dados[Valor],tbl_grr_dados[Avaliador],A18,tbl_grr_dados[Peca],B18)</f>
        <v>14.086866666666666</v>
      </c>
      <c r="H18" s="18" t="s">
        <v>739</v>
      </c>
      <c r="I18" s="22">
        <f>I13/I17</f>
        <v>3.1635621348494264E-2</v>
      </c>
      <c r="J18" s="6"/>
    </row>
    <row r="19" spans="1:10" x14ac:dyDescent="0.3">
      <c r="A19" s="18" t="s">
        <v>523</v>
      </c>
      <c r="B19" s="18" t="s">
        <v>594</v>
      </c>
      <c r="C19" s="19">
        <f>_xlfn.MAXIFS(tbl_grr_dados[Valor],tbl_grr_dados[Avaliador],A19,tbl_grr_dados[Peca],B19)</f>
        <v>11.6853</v>
      </c>
      <c r="D19" s="19">
        <f>_xlfn.MINIFS(tbl_grr_dados[Valor],tbl_grr_dados[Avaliador],A19,tbl_grr_dados[Peca],B19)</f>
        <v>11.6295</v>
      </c>
      <c r="E19" s="19">
        <f t="shared" si="0"/>
        <v>5.5799999999999628E-2</v>
      </c>
      <c r="F19" s="19">
        <f>AVERAGEIFS(tbl_grr_dados[Valor],tbl_grr_dados[Avaliador],A19,tbl_grr_dados[Peca],B19)</f>
        <v>11.664999999999999</v>
      </c>
      <c r="H19" s="18" t="s">
        <v>740</v>
      </c>
      <c r="I19" s="22">
        <f>I14/I17</f>
        <v>1.3896652800445636E-2</v>
      </c>
      <c r="J19" s="6"/>
    </row>
    <row r="20" spans="1:10" x14ac:dyDescent="0.3">
      <c r="A20" s="18" t="s">
        <v>523</v>
      </c>
      <c r="B20" s="18" t="s">
        <v>613</v>
      </c>
      <c r="C20" s="19">
        <f>_xlfn.MAXIFS(tbl_grr_dados[Valor],tbl_grr_dados[Avaliador],A20,tbl_grr_dados[Peca],B20)</f>
        <v>10.708299999999999</v>
      </c>
      <c r="D20" s="19">
        <f>_xlfn.MINIFS(tbl_grr_dados[Valor],tbl_grr_dados[Avaliador],A20,tbl_grr_dados[Peca],B20)</f>
        <v>10.645200000000001</v>
      </c>
      <c r="E20" s="19">
        <f t="shared" si="0"/>
        <v>6.3099999999998602E-2</v>
      </c>
      <c r="F20" s="19">
        <f>AVERAGEIFS(tbl_grr_dados[Valor],tbl_grr_dados[Avaliador],A20,tbl_grr_dados[Peca],B20)</f>
        <v>10.670299999999999</v>
      </c>
      <c r="H20" s="21" t="s">
        <v>741</v>
      </c>
      <c r="I20" s="23">
        <f>I15/I17</f>
        <v>3.4553284896829121E-2</v>
      </c>
      <c r="J20" s="6" t="s">
        <v>742</v>
      </c>
    </row>
    <row r="21" spans="1:10" x14ac:dyDescent="0.3">
      <c r="A21" s="18" t="s">
        <v>523</v>
      </c>
      <c r="B21" s="18" t="s">
        <v>632</v>
      </c>
      <c r="C21" s="19">
        <f>_xlfn.MAXIFS(tbl_grr_dados[Valor],tbl_grr_dados[Avaliador],A21,tbl_grr_dados[Peca],B21)</f>
        <v>11.869899999999999</v>
      </c>
      <c r="D21" s="19">
        <f>_xlfn.MINIFS(tbl_grr_dados[Valor],tbl_grr_dados[Avaliador],A21,tbl_grr_dados[Peca],B21)</f>
        <v>11.8203</v>
      </c>
      <c r="E21" s="19">
        <f t="shared" si="0"/>
        <v>4.9599999999999866E-2</v>
      </c>
      <c r="F21" s="19">
        <f>AVERAGEIFS(tbl_grr_dados[Valor],tbl_grr_dados[Avaliador],A21,tbl_grr_dados[Peca],B21)</f>
        <v>11.849433333333332</v>
      </c>
      <c r="H21" s="18" t="s">
        <v>743</v>
      </c>
      <c r="I21" s="22">
        <f>6*I15/(MAX(tbl_grr_dados[USL])-MIN(tbl_grr_dados[LSL]))</f>
        <v>6.4458720861991253E-2</v>
      </c>
      <c r="J21" s="6" t="s">
        <v>744</v>
      </c>
    </row>
    <row r="22" spans="1:10" x14ac:dyDescent="0.3">
      <c r="A22" s="18" t="s">
        <v>523</v>
      </c>
      <c r="B22" s="18" t="s">
        <v>651</v>
      </c>
      <c r="C22" s="19">
        <f>_xlfn.MAXIFS(tbl_grr_dados[Valor],tbl_grr_dados[Avaliador],A22,tbl_grr_dados[Peca],B22)</f>
        <v>11.819599999999999</v>
      </c>
      <c r="D22" s="19">
        <f>_xlfn.MINIFS(tbl_grr_dados[Valor],tbl_grr_dados[Avaliador],A22,tbl_grr_dados[Peca],B22)</f>
        <v>11.7706</v>
      </c>
      <c r="E22" s="19">
        <f t="shared" si="0"/>
        <v>4.8999999999999488E-2</v>
      </c>
      <c r="F22" s="19">
        <f>AVERAGEIFS(tbl_grr_dados[Valor],tbl_grr_dados[Avaliador],A22,tbl_grr_dados[Peca],B22)</f>
        <v>11.799933333333334</v>
      </c>
      <c r="H22" s="18" t="s">
        <v>745</v>
      </c>
      <c r="I22" s="12">
        <f>ROUNDDOWN(1.41*I16/I15,0)</f>
        <v>40</v>
      </c>
      <c r="J22" s="6" t="s">
        <v>746</v>
      </c>
    </row>
    <row r="23" spans="1:10" x14ac:dyDescent="0.3">
      <c r="A23" s="18" t="s">
        <v>523</v>
      </c>
      <c r="B23" s="18" t="s">
        <v>670</v>
      </c>
      <c r="C23" s="19">
        <f>_xlfn.MAXIFS(tbl_grr_dados[Valor],tbl_grr_dados[Avaliador],A23,tbl_grr_dados[Peca],B23)</f>
        <v>12.31</v>
      </c>
      <c r="D23" s="19">
        <f>_xlfn.MINIFS(tbl_grr_dados[Valor],tbl_grr_dados[Avaliador],A23,tbl_grr_dados[Peca],B23)</f>
        <v>12.263199999999999</v>
      </c>
      <c r="E23" s="19">
        <f t="shared" si="0"/>
        <v>4.6800000000001063E-2</v>
      </c>
      <c r="F23" s="19">
        <f>AVERAGEIFS(tbl_grr_dados[Valor],tbl_grr_dados[Avaliador],A23,tbl_grr_dados[Peca],B23)</f>
        <v>12.285833333333334</v>
      </c>
      <c r="H23" s="21" t="s">
        <v>747</v>
      </c>
      <c r="I23" s="21" t="str">
        <f>IF(AND(I20&lt;0.1,I22&gt;=5),"Sistema de medição ACEITÁVEL",IF(AND(I20&lt;=0.3,I22&gt;=5),"CONDICIONAL — melhorar","INACEITÁVEL — não usar para decisões"))</f>
        <v>Sistema de medição ACEITÁVEL</v>
      </c>
      <c r="J23" s="6" t="s">
        <v>748</v>
      </c>
    </row>
    <row r="24" spans="1:10" x14ac:dyDescent="0.3">
      <c r="A24" s="18" t="s">
        <v>523</v>
      </c>
      <c r="B24" s="18" t="s">
        <v>689</v>
      </c>
      <c r="C24" s="19">
        <f>_xlfn.MAXIFS(tbl_grr_dados[Valor],tbl_grr_dados[Avaliador],A24,tbl_grr_dados[Peca],B24)</f>
        <v>12.172800000000001</v>
      </c>
      <c r="D24" s="19">
        <f>_xlfn.MINIFS(tbl_grr_dados[Valor],tbl_grr_dados[Avaliador],A24,tbl_grr_dados[Peca],B24)</f>
        <v>12.1226</v>
      </c>
      <c r="E24" s="19">
        <f t="shared" si="0"/>
        <v>5.0200000000000244E-2</v>
      </c>
      <c r="F24" s="19">
        <f>AVERAGEIFS(tbl_grr_dados[Valor],tbl_grr_dados[Avaliador],A24,tbl_grr_dados[Peca],B24)</f>
        <v>12.1496</v>
      </c>
    </row>
    <row r="25" spans="1:10" x14ac:dyDescent="0.3">
      <c r="A25" s="18" t="s">
        <v>530</v>
      </c>
      <c r="B25" s="18" t="s">
        <v>515</v>
      </c>
      <c r="C25" s="19">
        <f>_xlfn.MAXIFS(tbl_grr_dados[Valor],tbl_grr_dados[Avaliador],A25,tbl_grr_dados[Peca],B25)</f>
        <v>10.845499999999999</v>
      </c>
      <c r="D25" s="19">
        <f>_xlfn.MINIFS(tbl_grr_dados[Valor],tbl_grr_dados[Avaliador],A25,tbl_grr_dados[Peca],B25)</f>
        <v>10.801600000000001</v>
      </c>
      <c r="E25" s="19">
        <f t="shared" si="0"/>
        <v>4.389999999999894E-2</v>
      </c>
      <c r="F25" s="19">
        <f>AVERAGEIFS(tbl_grr_dados[Valor],tbl_grr_dados[Avaliador],A25,tbl_grr_dados[Peca],B25)</f>
        <v>10.817333333333332</v>
      </c>
    </row>
    <row r="26" spans="1:10" x14ac:dyDescent="0.3">
      <c r="A26" s="18" t="s">
        <v>530</v>
      </c>
      <c r="B26" s="18" t="s">
        <v>537</v>
      </c>
      <c r="C26" s="19">
        <f>_xlfn.MAXIFS(tbl_grr_dados[Valor],tbl_grr_dados[Avaliador],A26,tbl_grr_dados[Peca],B26)</f>
        <v>10.6332</v>
      </c>
      <c r="D26" s="19">
        <f>_xlfn.MINIFS(tbl_grr_dados[Valor],tbl_grr_dados[Avaliador],A26,tbl_grr_dados[Peca],B26)</f>
        <v>10.543100000000001</v>
      </c>
      <c r="E26" s="19">
        <f t="shared" si="0"/>
        <v>9.0099999999999625E-2</v>
      </c>
      <c r="F26" s="19">
        <f>AVERAGEIFS(tbl_grr_dados[Valor],tbl_grr_dados[Avaliador],A26,tbl_grr_dados[Peca],B26)</f>
        <v>10.594333333333333</v>
      </c>
    </row>
    <row r="27" spans="1:10" x14ac:dyDescent="0.3">
      <c r="A27" s="18" t="s">
        <v>530</v>
      </c>
      <c r="B27" s="18" t="s">
        <v>556</v>
      </c>
      <c r="C27" s="19">
        <f>_xlfn.MAXIFS(tbl_grr_dados[Valor],tbl_grr_dados[Avaliador],A27,tbl_grr_dados[Peca],B27)</f>
        <v>12.018599999999999</v>
      </c>
      <c r="D27" s="19">
        <f>_xlfn.MINIFS(tbl_grr_dados[Valor],tbl_grr_dados[Avaliador],A27,tbl_grr_dados[Peca],B27)</f>
        <v>12.0152</v>
      </c>
      <c r="E27" s="19">
        <f t="shared" si="0"/>
        <v>3.3999999999991815E-3</v>
      </c>
      <c r="F27" s="19">
        <f>AVERAGEIFS(tbl_grr_dados[Valor],tbl_grr_dados[Avaliador],A27,tbl_grr_dados[Peca],B27)</f>
        <v>12.017300000000001</v>
      </c>
    </row>
    <row r="28" spans="1:10" x14ac:dyDescent="0.3">
      <c r="A28" s="18" t="s">
        <v>530</v>
      </c>
      <c r="B28" s="18" t="s">
        <v>575</v>
      </c>
      <c r="C28" s="19">
        <f>_xlfn.MAXIFS(tbl_grr_dados[Valor],tbl_grr_dados[Avaliador],A28,tbl_grr_dados[Peca],B28)</f>
        <v>14.079000000000001</v>
      </c>
      <c r="D28" s="19">
        <f>_xlfn.MINIFS(tbl_grr_dados[Valor],tbl_grr_dados[Avaliador],A28,tbl_grr_dados[Peca],B28)</f>
        <v>14.0062</v>
      </c>
      <c r="E28" s="19">
        <f t="shared" si="0"/>
        <v>7.2800000000000864E-2</v>
      </c>
      <c r="F28" s="19">
        <f>AVERAGEIFS(tbl_grr_dados[Valor],tbl_grr_dados[Avaliador],A28,tbl_grr_dados[Peca],B28)</f>
        <v>14.037466666666667</v>
      </c>
    </row>
    <row r="29" spans="1:10" x14ac:dyDescent="0.3">
      <c r="A29" s="18" t="s">
        <v>530</v>
      </c>
      <c r="B29" s="18" t="s">
        <v>594</v>
      </c>
      <c r="C29" s="19">
        <f>_xlfn.MAXIFS(tbl_grr_dados[Valor],tbl_grr_dados[Avaliador],A29,tbl_grr_dados[Peca],B29)</f>
        <v>11.702299999999999</v>
      </c>
      <c r="D29" s="19">
        <f>_xlfn.MINIFS(tbl_grr_dados[Valor],tbl_grr_dados[Avaliador],A29,tbl_grr_dados[Peca],B29)</f>
        <v>11.663399999999999</v>
      </c>
      <c r="E29" s="19">
        <f t="shared" si="0"/>
        <v>3.8899999999999935E-2</v>
      </c>
      <c r="F29" s="19">
        <f>AVERAGEIFS(tbl_grr_dados[Valor],tbl_grr_dados[Avaliador],A29,tbl_grr_dados[Peca],B29)</f>
        <v>11.680433333333331</v>
      </c>
    </row>
    <row r="30" spans="1:10" x14ac:dyDescent="0.3">
      <c r="A30" s="18" t="s">
        <v>530</v>
      </c>
      <c r="B30" s="18" t="s">
        <v>613</v>
      </c>
      <c r="C30" s="19">
        <f>_xlfn.MAXIFS(tbl_grr_dados[Valor],tbl_grr_dados[Avaliador],A30,tbl_grr_dados[Peca],B30)</f>
        <v>10.651199999999999</v>
      </c>
      <c r="D30" s="19">
        <f>_xlfn.MINIFS(tbl_grr_dados[Valor],tbl_grr_dados[Avaliador],A30,tbl_grr_dados[Peca],B30)</f>
        <v>10.6112</v>
      </c>
      <c r="E30" s="19">
        <f t="shared" si="0"/>
        <v>3.9999999999999147E-2</v>
      </c>
      <c r="F30" s="19">
        <f>AVERAGEIFS(tbl_grr_dados[Valor],tbl_grr_dados[Avaliador],A30,tbl_grr_dados[Peca],B30)</f>
        <v>10.630366666666667</v>
      </c>
    </row>
    <row r="31" spans="1:10" x14ac:dyDescent="0.3">
      <c r="A31" s="18" t="s">
        <v>530</v>
      </c>
      <c r="B31" s="18" t="s">
        <v>632</v>
      </c>
      <c r="C31" s="19">
        <f>_xlfn.MAXIFS(tbl_grr_dados[Valor],tbl_grr_dados[Avaliador],A31,tbl_grr_dados[Peca],B31)</f>
        <v>11.8156</v>
      </c>
      <c r="D31" s="19">
        <f>_xlfn.MINIFS(tbl_grr_dados[Valor],tbl_grr_dados[Avaliador],A31,tbl_grr_dados[Peca],B31)</f>
        <v>11.7995</v>
      </c>
      <c r="E31" s="19">
        <f t="shared" si="0"/>
        <v>1.6099999999999781E-2</v>
      </c>
      <c r="F31" s="19">
        <f>AVERAGEIFS(tbl_grr_dados[Valor],tbl_grr_dados[Avaliador],A31,tbl_grr_dados[Peca],B31)</f>
        <v>11.810066666666666</v>
      </c>
    </row>
    <row r="32" spans="1:10" x14ac:dyDescent="0.3">
      <c r="A32" s="18" t="s">
        <v>530</v>
      </c>
      <c r="B32" s="18" t="s">
        <v>651</v>
      </c>
      <c r="C32" s="19">
        <f>_xlfn.MAXIFS(tbl_grr_dados[Valor],tbl_grr_dados[Avaliador],A32,tbl_grr_dados[Peca],B32)</f>
        <v>11.8912</v>
      </c>
      <c r="D32" s="19">
        <f>_xlfn.MINIFS(tbl_grr_dados[Valor],tbl_grr_dados[Avaliador],A32,tbl_grr_dados[Peca],B32)</f>
        <v>11.754200000000001</v>
      </c>
      <c r="E32" s="19">
        <f t="shared" si="0"/>
        <v>0.13699999999999868</v>
      </c>
      <c r="F32" s="19">
        <f>AVERAGEIFS(tbl_grr_dados[Valor],tbl_grr_dados[Avaliador],A32,tbl_grr_dados[Peca],B32)</f>
        <v>11.834999999999999</v>
      </c>
    </row>
    <row r="33" spans="1:6" x14ac:dyDescent="0.3">
      <c r="A33" s="18" t="s">
        <v>530</v>
      </c>
      <c r="B33" s="18" t="s">
        <v>670</v>
      </c>
      <c r="C33" s="19">
        <f>_xlfn.MAXIFS(tbl_grr_dados[Valor],tbl_grr_dados[Avaliador],A33,tbl_grr_dados[Peca],B33)</f>
        <v>12.241199999999999</v>
      </c>
      <c r="D33" s="19">
        <f>_xlfn.MINIFS(tbl_grr_dados[Valor],tbl_grr_dados[Avaliador],A33,tbl_grr_dados[Peca],B33)</f>
        <v>12.2011</v>
      </c>
      <c r="E33" s="19">
        <f t="shared" si="0"/>
        <v>4.0099999999998914E-2</v>
      </c>
      <c r="F33" s="19">
        <f>AVERAGEIFS(tbl_grr_dados[Valor],tbl_grr_dados[Avaliador],A33,tbl_grr_dados[Peca],B33)</f>
        <v>12.222900000000001</v>
      </c>
    </row>
    <row r="34" spans="1:6" x14ac:dyDescent="0.3">
      <c r="A34" s="18" t="s">
        <v>530</v>
      </c>
      <c r="B34" s="18" t="s">
        <v>689</v>
      </c>
      <c r="C34" s="19">
        <f>_xlfn.MAXIFS(tbl_grr_dados[Valor],tbl_grr_dados[Avaliador],A34,tbl_grr_dados[Peca],B34)</f>
        <v>12.132</v>
      </c>
      <c r="D34" s="19">
        <f>_xlfn.MINIFS(tbl_grr_dados[Valor],tbl_grr_dados[Avaliador],A34,tbl_grr_dados[Peca],B34)</f>
        <v>12.098599999999999</v>
      </c>
      <c r="E34" s="19">
        <f t="shared" si="0"/>
        <v>3.3400000000000318E-2</v>
      </c>
      <c r="F34" s="19">
        <f>AVERAGEIFS(tbl_grr_dados[Valor],tbl_grr_dados[Avaliador],A34,tbl_grr_dados[Peca],B34)</f>
        <v>12.112866666666667</v>
      </c>
    </row>
  </sheetData>
  <conditionalFormatting sqref="I23">
    <cfRule type="expression" dxfId="3" priority="1">
      <formula>ISNUMBER(SEARCH("ACEIT",I23))</formula>
    </cfRule>
  </conditionalFormatting>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
  <sheetViews>
    <sheetView zoomScale="90" workbookViewId="0">
      <pane xSplit="1" ySplit="4" topLeftCell="B5" activePane="bottomRight" state="frozen"/>
      <selection pane="topRight"/>
      <selection pane="bottomLeft"/>
      <selection pane="bottomRight"/>
    </sheetView>
  </sheetViews>
  <sheetFormatPr defaultRowHeight="14.4" x14ac:dyDescent="0.3"/>
  <cols>
    <col min="1" max="1" width="18" customWidth="1"/>
    <col min="2" max="2" width="22" customWidth="1"/>
    <col min="3" max="3" width="24" customWidth="1"/>
    <col min="4" max="4" width="22" customWidth="1"/>
    <col min="5" max="5" width="11" customWidth="1"/>
    <col min="6" max="7" width="9" customWidth="1"/>
    <col min="8" max="8" width="10" customWidth="1"/>
    <col min="9" max="10" width="30" customWidth="1"/>
  </cols>
  <sheetData>
    <row r="1" spans="1:10" ht="17.399999999999999" x14ac:dyDescent="0.3">
      <c r="A1" s="1" t="s">
        <v>749</v>
      </c>
    </row>
    <row r="2" spans="1:10" x14ac:dyDescent="0.3">
      <c r="A2" s="2" t="s">
        <v>750</v>
      </c>
    </row>
    <row r="4" spans="1:10" ht="26.4" x14ac:dyDescent="0.3">
      <c r="A4" s="8" t="s">
        <v>751</v>
      </c>
      <c r="B4" s="8" t="s">
        <v>83</v>
      </c>
      <c r="C4" s="8" t="s">
        <v>79</v>
      </c>
      <c r="D4" s="8" t="s">
        <v>752</v>
      </c>
      <c r="E4" s="8" t="s">
        <v>266</v>
      </c>
      <c r="F4" s="8" t="s">
        <v>753</v>
      </c>
      <c r="G4" s="8" t="s">
        <v>754</v>
      </c>
      <c r="H4" s="8" t="s">
        <v>14</v>
      </c>
      <c r="I4" s="8" t="s">
        <v>271</v>
      </c>
      <c r="J4" s="8" t="s">
        <v>755</v>
      </c>
    </row>
    <row r="5" spans="1:10" ht="31.95" customHeight="1" x14ac:dyDescent="0.3">
      <c r="A5" s="10" t="s">
        <v>514</v>
      </c>
      <c r="B5" s="10" t="s">
        <v>124</v>
      </c>
      <c r="C5" s="10" t="s">
        <v>123</v>
      </c>
      <c r="D5" s="10" t="s">
        <v>756</v>
      </c>
      <c r="E5" s="13">
        <v>46237</v>
      </c>
      <c r="F5" s="22">
        <f>GRR_Calculo!I20</f>
        <v>3.4553284896829121E-2</v>
      </c>
      <c r="G5" s="17">
        <f>GRR_Calculo!I22</f>
        <v>40</v>
      </c>
      <c r="H5" s="10" t="s">
        <v>757</v>
      </c>
      <c r="I5" s="10" t="str">
        <f>GRR_Calculo!I23</f>
        <v>Sistema de medição ACEITÁVEL</v>
      </c>
      <c r="J5" s="10" t="s">
        <v>758</v>
      </c>
    </row>
    <row r="6" spans="1:10" ht="31.95" customHeight="1" x14ac:dyDescent="0.3">
      <c r="A6" s="10" t="s">
        <v>759</v>
      </c>
      <c r="B6" s="10" t="s">
        <v>167</v>
      </c>
      <c r="C6" s="10" t="s">
        <v>166</v>
      </c>
      <c r="D6" s="10" t="s">
        <v>760</v>
      </c>
      <c r="E6" s="13"/>
      <c r="F6" s="22"/>
      <c r="G6" s="17"/>
      <c r="H6" s="10" t="s">
        <v>761</v>
      </c>
      <c r="I6" s="10"/>
      <c r="J6" s="10" t="s">
        <v>762</v>
      </c>
    </row>
    <row r="7" spans="1:10" ht="31.95" customHeight="1" x14ac:dyDescent="0.3">
      <c r="A7" s="10" t="s">
        <v>763</v>
      </c>
      <c r="B7" s="10" t="s">
        <v>764</v>
      </c>
      <c r="C7" s="10" t="s">
        <v>765</v>
      </c>
      <c r="D7" s="10" t="s">
        <v>766</v>
      </c>
      <c r="E7" s="13"/>
      <c r="F7" s="22"/>
      <c r="G7" s="17"/>
      <c r="H7" s="10" t="s">
        <v>761</v>
      </c>
      <c r="I7" s="10"/>
      <c r="J7" s="10" t="s">
        <v>767</v>
      </c>
    </row>
    <row r="8" spans="1:10" ht="31.95" customHeight="1" x14ac:dyDescent="0.3">
      <c r="A8" s="10" t="s">
        <v>768</v>
      </c>
      <c r="B8" s="10" t="s">
        <v>769</v>
      </c>
      <c r="C8" s="10" t="s">
        <v>770</v>
      </c>
      <c r="D8" s="10" t="s">
        <v>771</v>
      </c>
      <c r="E8" s="13">
        <v>46225</v>
      </c>
      <c r="F8" s="22"/>
      <c r="G8" s="17">
        <v>0.71</v>
      </c>
      <c r="H8" s="10" t="s">
        <v>757</v>
      </c>
      <c r="I8" s="10" t="s">
        <v>772</v>
      </c>
      <c r="J8" s="10" t="s">
        <v>773</v>
      </c>
    </row>
    <row r="9" spans="1:10" ht="31.95" customHeight="1" x14ac:dyDescent="0.3">
      <c r="A9" s="10" t="s">
        <v>774</v>
      </c>
      <c r="B9" s="10" t="s">
        <v>775</v>
      </c>
      <c r="C9" s="10" t="s">
        <v>776</v>
      </c>
      <c r="D9" s="10" t="s">
        <v>777</v>
      </c>
      <c r="E9" s="13"/>
      <c r="F9" s="22"/>
      <c r="G9" s="17"/>
      <c r="H9" s="10" t="s">
        <v>503</v>
      </c>
      <c r="I9" s="10"/>
      <c r="J9" s="10" t="s">
        <v>778</v>
      </c>
    </row>
  </sheetData>
  <conditionalFormatting sqref="H5:H209">
    <cfRule type="expression" dxfId="2" priority="1">
      <formula>ISNUMBER(SEARCH("Planeado",H5))</formula>
    </cfRule>
    <cfRule type="expression" dxfId="1" priority="2">
      <formula>ISNUMBER(SEARCH("Em curso",H5))</formula>
    </cfRule>
    <cfRule type="expression" dxfId="0" priority="3">
      <formula>ISNUMBER(SEARCH("Concluído",H5))</formula>
    </cfRule>
  </conditionalFormatting>
  <dataValidations count="1">
    <dataValidation type="list" allowBlank="1" showErrorMessage="1" errorTitle="Valor inválido" error="Valor fora da lista controlada (ver folha Listas)." sqref="H5:H209" xr:uid="{00000000-0002-0000-0600-000000000000}">
      <formula1>lst_EstadoMSA</formula1>
    </dataValidation>
  </dataValidations>
  <pageMargins left="0.75" right="0.75" top="1" bottom="1" header="0.5" footer="0.5"/>
  <pageSetup fitToHeight="0" orientation="landscape"/>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12"/>
  <sheetViews>
    <sheetView showGridLines="0" workbookViewId="0"/>
  </sheetViews>
  <sheetFormatPr defaultRowHeight="14.4" x14ac:dyDescent="0.3"/>
  <cols>
    <col min="1" max="1" width="54" customWidth="1"/>
    <col min="2" max="2" width="12" customWidth="1"/>
  </cols>
  <sheetData>
    <row r="1" spans="1:2" ht="17.399999999999999" x14ac:dyDescent="0.3">
      <c r="A1" s="1" t="s">
        <v>779</v>
      </c>
    </row>
    <row r="3" spans="1:2" x14ac:dyDescent="0.3">
      <c r="A3" s="8" t="s">
        <v>780</v>
      </c>
      <c r="B3" s="8" t="s">
        <v>509</v>
      </c>
    </row>
    <row r="4" spans="1:2" x14ac:dyDescent="0.3">
      <c r="A4" s="21" t="s">
        <v>781</v>
      </c>
      <c r="B4" s="12">
        <f>COUNTA(tbl_equipamentos[ID_Equipamento])</f>
        <v>39</v>
      </c>
    </row>
    <row r="5" spans="1:2" x14ac:dyDescent="0.3">
      <c r="A5" s="18" t="s">
        <v>782</v>
      </c>
      <c r="B5" s="12">
        <f>COUNTIF(tbl_equipamentos[Estado_Uso],"Em uso")</f>
        <v>39</v>
      </c>
    </row>
    <row r="6" spans="1:2" x14ac:dyDescent="0.3">
      <c r="A6" s="18" t="s">
        <v>783</v>
      </c>
      <c r="B6" s="12">
        <f>COUNTIF(tbl_equipamentos[Estado],"Válido")+COUNTIF(tbl_equipamentos[Estado],"A vencer (30 d)")</f>
        <v>39</v>
      </c>
    </row>
    <row r="7" spans="1:2" x14ac:dyDescent="0.3">
      <c r="A7" s="18" t="s">
        <v>784</v>
      </c>
      <c r="B7" s="12">
        <f>COUNTIF(tbl_equipamentos[Estado],"Vencido")</f>
        <v>0</v>
      </c>
    </row>
    <row r="8" spans="1:2" x14ac:dyDescent="0.3">
      <c r="A8" s="18" t="s">
        <v>785</v>
      </c>
      <c r="B8" s="12">
        <f>COUNTIF(tbl_equipamentos[Estado],"Bloqueado*")</f>
        <v>0</v>
      </c>
    </row>
    <row r="9" spans="1:2" x14ac:dyDescent="0.3">
      <c r="A9" s="21" t="s">
        <v>786</v>
      </c>
      <c r="B9" s="22">
        <f>IFERROR(B6/B5,"")</f>
        <v>1</v>
      </c>
    </row>
    <row r="10" spans="1:2" ht="26.4" x14ac:dyDescent="0.3">
      <c r="A10" s="21" t="s">
        <v>787</v>
      </c>
      <c r="B10" s="12">
        <f>COUNTIF(tbl_equipamentos[Rel_Tolerancia_EMA],"&lt;4")</f>
        <v>2</v>
      </c>
    </row>
    <row r="11" spans="1:2" x14ac:dyDescent="0.3">
      <c r="A11" s="21" t="s">
        <v>788</v>
      </c>
      <c r="B11" s="12">
        <f>COUNTIF(tbl_calibracoes[Decisao],"Indeterminado")</f>
        <v>1</v>
      </c>
    </row>
    <row r="12" spans="1:2" x14ac:dyDescent="0.3">
      <c r="A12" s="21" t="s">
        <v>789</v>
      </c>
      <c r="B12" s="12">
        <f>COUNTIF(tbl_fora_tolerancia[Estado],"Em curso")</f>
        <v>1</v>
      </c>
    </row>
  </sheetData>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0"/>
  <sheetViews>
    <sheetView workbookViewId="0">
      <pane ySplit="2" topLeftCell="A3" activePane="bottomLeft" state="frozen"/>
      <selection pane="bottomLeft"/>
    </sheetView>
  </sheetViews>
  <sheetFormatPr defaultRowHeight="14.4" x14ac:dyDescent="0.3"/>
  <cols>
    <col min="1" max="1" width="16" customWidth="1"/>
    <col min="2" max="2" width="21" customWidth="1"/>
    <col min="3" max="3" width="16" customWidth="1"/>
    <col min="4" max="4" width="17" customWidth="1"/>
    <col min="5" max="6" width="16" customWidth="1"/>
  </cols>
  <sheetData>
    <row r="1" spans="1:6" x14ac:dyDescent="0.3">
      <c r="A1" s="24" t="s">
        <v>790</v>
      </c>
    </row>
    <row r="2" spans="1:6" x14ac:dyDescent="0.3">
      <c r="A2" s="25" t="s">
        <v>791</v>
      </c>
      <c r="B2" s="25" t="s">
        <v>792</v>
      </c>
      <c r="C2" s="25" t="s">
        <v>82</v>
      </c>
      <c r="D2" s="25" t="s">
        <v>793</v>
      </c>
      <c r="E2" s="25" t="s">
        <v>794</v>
      </c>
      <c r="F2" s="25" t="s">
        <v>795</v>
      </c>
    </row>
    <row r="3" spans="1:6" x14ac:dyDescent="0.3">
      <c r="A3" s="26">
        <v>46387</v>
      </c>
      <c r="B3" s="6" t="s">
        <v>98</v>
      </c>
      <c r="C3" s="6" t="s">
        <v>796</v>
      </c>
      <c r="D3" s="6" t="s">
        <v>104</v>
      </c>
      <c r="E3" s="6" t="s">
        <v>292</v>
      </c>
      <c r="F3" s="6" t="s">
        <v>757</v>
      </c>
    </row>
    <row r="4" spans="1:6" x14ac:dyDescent="0.3">
      <c r="B4" s="6" t="s">
        <v>151</v>
      </c>
      <c r="C4" s="6" t="s">
        <v>797</v>
      </c>
      <c r="D4" s="6" t="s">
        <v>798</v>
      </c>
      <c r="E4" s="6" t="s">
        <v>275</v>
      </c>
      <c r="F4" s="6" t="s">
        <v>761</v>
      </c>
    </row>
    <row r="5" spans="1:6" x14ac:dyDescent="0.3">
      <c r="C5" s="6" t="s">
        <v>799</v>
      </c>
      <c r="D5" s="6" t="s">
        <v>800</v>
      </c>
      <c r="F5" s="6" t="s">
        <v>503</v>
      </c>
    </row>
    <row r="6" spans="1:6" x14ac:dyDescent="0.3">
      <c r="C6" s="6" t="s">
        <v>801</v>
      </c>
    </row>
    <row r="7" spans="1:6" x14ac:dyDescent="0.3">
      <c r="C7" s="6" t="s">
        <v>802</v>
      </c>
    </row>
    <row r="8" spans="1:6" x14ac:dyDescent="0.3">
      <c r="C8" s="6" t="s">
        <v>803</v>
      </c>
    </row>
    <row r="9" spans="1:6" x14ac:dyDescent="0.3">
      <c r="C9" s="6" t="s">
        <v>147</v>
      </c>
    </row>
    <row r="10" spans="1:6" x14ac:dyDescent="0.3">
      <c r="C10" s="6" t="s">
        <v>128</v>
      </c>
    </row>
    <row r="11" spans="1:6" x14ac:dyDescent="0.3">
      <c r="C11" s="6" t="s">
        <v>100</v>
      </c>
    </row>
    <row r="12" spans="1:6" x14ac:dyDescent="0.3">
      <c r="C12" s="6" t="s">
        <v>201</v>
      </c>
    </row>
    <row r="13" spans="1:6" x14ac:dyDescent="0.3">
      <c r="C13" s="6" t="s">
        <v>804</v>
      </c>
    </row>
    <row r="14" spans="1:6" x14ac:dyDescent="0.3">
      <c r="C14" s="6" t="s">
        <v>120</v>
      </c>
    </row>
    <row r="15" spans="1:6" x14ac:dyDescent="0.3">
      <c r="C15" s="6" t="s">
        <v>805</v>
      </c>
    </row>
    <row r="16" spans="1:6" x14ac:dyDescent="0.3">
      <c r="C16" s="6" t="s">
        <v>806</v>
      </c>
    </row>
    <row r="17" spans="3:3" x14ac:dyDescent="0.3">
      <c r="C17" s="6" t="s">
        <v>807</v>
      </c>
    </row>
    <row r="18" spans="3:3" x14ac:dyDescent="0.3">
      <c r="C18" s="6" t="s">
        <v>808</v>
      </c>
    </row>
    <row r="19" spans="3:3" x14ac:dyDescent="0.3">
      <c r="C19" s="6" t="s">
        <v>809</v>
      </c>
    </row>
    <row r="20" spans="3:3" x14ac:dyDescent="0.3">
      <c r="C20" s="6" t="s">
        <v>810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60"/>
  <sheetViews>
    <sheetView workbookViewId="0">
      <pane xSplit="3" ySplit="1" topLeftCell="D2" activePane="bottomRight" state="frozen"/>
      <selection pane="topRight"/>
      <selection pane="bottomLeft"/>
      <selection pane="bottomRight"/>
    </sheetView>
  </sheetViews>
  <sheetFormatPr defaultRowHeight="14.4" x14ac:dyDescent="0.3"/>
  <cols>
    <col min="1" max="1" width="22" customWidth="1"/>
    <col min="2" max="2" width="24" customWidth="1"/>
    <col min="3" max="3" width="30" customWidth="1"/>
    <col min="4" max="4" width="16" customWidth="1"/>
    <col min="5" max="5" width="18" customWidth="1"/>
    <col min="6" max="6" width="70" customWidth="1"/>
    <col min="7" max="7" width="36" customWidth="1"/>
    <col min="8" max="8" width="11" customWidth="1"/>
    <col min="9" max="9" width="12" customWidth="1"/>
  </cols>
  <sheetData>
    <row r="1" spans="1:9" x14ac:dyDescent="0.3">
      <c r="A1" s="8" t="s">
        <v>811</v>
      </c>
      <c r="B1" s="8" t="s">
        <v>812</v>
      </c>
      <c r="C1" s="8" t="s">
        <v>813</v>
      </c>
      <c r="D1" s="8" t="s">
        <v>814</v>
      </c>
      <c r="E1" s="8" t="s">
        <v>815</v>
      </c>
      <c r="F1" s="8" t="s">
        <v>478</v>
      </c>
      <c r="G1" s="8" t="s">
        <v>816</v>
      </c>
      <c r="H1" s="8" t="s">
        <v>817</v>
      </c>
      <c r="I1" s="8" t="s">
        <v>267</v>
      </c>
    </row>
    <row r="2" spans="1:9" x14ac:dyDescent="0.3">
      <c r="A2" s="18" t="s">
        <v>37</v>
      </c>
      <c r="B2" s="18" t="s">
        <v>818</v>
      </c>
      <c r="C2" s="18" t="s">
        <v>77</v>
      </c>
      <c r="D2" s="18" t="s">
        <v>819</v>
      </c>
      <c r="E2" s="18" t="s">
        <v>820</v>
      </c>
      <c r="F2" s="18" t="s">
        <v>821</v>
      </c>
      <c r="G2" s="18"/>
      <c r="H2" s="18" t="s">
        <v>292</v>
      </c>
      <c r="I2" s="18" t="s">
        <v>822</v>
      </c>
    </row>
    <row r="3" spans="1:9" x14ac:dyDescent="0.3">
      <c r="A3" s="18" t="s">
        <v>37</v>
      </c>
      <c r="B3" s="18" t="s">
        <v>818</v>
      </c>
      <c r="C3" s="18" t="s">
        <v>78</v>
      </c>
      <c r="D3" s="18" t="s">
        <v>819</v>
      </c>
      <c r="E3" s="18" t="s">
        <v>820</v>
      </c>
      <c r="F3" s="18" t="s">
        <v>823</v>
      </c>
      <c r="G3" s="18"/>
      <c r="H3" s="18" t="s">
        <v>292</v>
      </c>
      <c r="I3" s="18"/>
    </row>
    <row r="4" spans="1:9" x14ac:dyDescent="0.3">
      <c r="A4" s="18" t="s">
        <v>37</v>
      </c>
      <c r="B4" s="18" t="s">
        <v>818</v>
      </c>
      <c r="C4" s="18" t="s">
        <v>79</v>
      </c>
      <c r="D4" s="18" t="s">
        <v>819</v>
      </c>
      <c r="E4" s="18" t="s">
        <v>820</v>
      </c>
      <c r="F4" s="18" t="s">
        <v>824</v>
      </c>
      <c r="G4" s="18"/>
      <c r="H4" s="18" t="s">
        <v>292</v>
      </c>
      <c r="I4" s="18"/>
    </row>
    <row r="5" spans="1:9" x14ac:dyDescent="0.3">
      <c r="A5" s="18" t="s">
        <v>37</v>
      </c>
      <c r="B5" s="18" t="s">
        <v>818</v>
      </c>
      <c r="C5" s="18" t="s">
        <v>80</v>
      </c>
      <c r="D5" s="18" t="s">
        <v>819</v>
      </c>
      <c r="E5" s="18" t="s">
        <v>820</v>
      </c>
      <c r="F5" s="18" t="s">
        <v>825</v>
      </c>
      <c r="G5" s="18" t="s">
        <v>826</v>
      </c>
      <c r="H5" s="18" t="s">
        <v>292</v>
      </c>
      <c r="I5" s="18"/>
    </row>
    <row r="6" spans="1:9" x14ac:dyDescent="0.3">
      <c r="A6" s="18" t="s">
        <v>37</v>
      </c>
      <c r="B6" s="18" t="s">
        <v>818</v>
      </c>
      <c r="C6" s="18" t="s">
        <v>81</v>
      </c>
      <c r="D6" s="18" t="s">
        <v>819</v>
      </c>
      <c r="E6" s="18" t="s">
        <v>820</v>
      </c>
      <c r="F6" s="18" t="s">
        <v>827</v>
      </c>
      <c r="G6" s="18"/>
      <c r="H6" s="18" t="s">
        <v>292</v>
      </c>
      <c r="I6" s="18"/>
    </row>
    <row r="7" spans="1:9" x14ac:dyDescent="0.3">
      <c r="A7" s="18" t="s">
        <v>37</v>
      </c>
      <c r="B7" s="18" t="s">
        <v>818</v>
      </c>
      <c r="C7" s="18" t="s">
        <v>82</v>
      </c>
      <c r="D7" s="18" t="s">
        <v>819</v>
      </c>
      <c r="E7" s="18" t="s">
        <v>820</v>
      </c>
      <c r="F7" s="18" t="s">
        <v>828</v>
      </c>
      <c r="G7" s="18" t="s">
        <v>829</v>
      </c>
      <c r="H7" s="18" t="s">
        <v>292</v>
      </c>
      <c r="I7" s="18"/>
    </row>
    <row r="8" spans="1:9" x14ac:dyDescent="0.3">
      <c r="A8" s="18" t="s">
        <v>37</v>
      </c>
      <c r="B8" s="18" t="s">
        <v>818</v>
      </c>
      <c r="C8" s="18" t="s">
        <v>83</v>
      </c>
      <c r="D8" s="18" t="s">
        <v>819</v>
      </c>
      <c r="E8" s="18" t="s">
        <v>820</v>
      </c>
      <c r="F8" s="18" t="s">
        <v>830</v>
      </c>
      <c r="G8" s="18"/>
      <c r="H8" s="18" t="s">
        <v>292</v>
      </c>
      <c r="I8" s="18"/>
    </row>
    <row r="9" spans="1:9" x14ac:dyDescent="0.3">
      <c r="A9" s="18" t="s">
        <v>37</v>
      </c>
      <c r="B9" s="18" t="s">
        <v>818</v>
      </c>
      <c r="C9" s="18" t="s">
        <v>84</v>
      </c>
      <c r="D9" s="18" t="s">
        <v>831</v>
      </c>
      <c r="E9" s="18" t="s">
        <v>820</v>
      </c>
      <c r="F9" s="18" t="s">
        <v>832</v>
      </c>
      <c r="G9" s="18"/>
      <c r="H9" s="18" t="s">
        <v>275</v>
      </c>
      <c r="I9" s="18"/>
    </row>
    <row r="10" spans="1:9" x14ac:dyDescent="0.3">
      <c r="A10" s="18" t="s">
        <v>37</v>
      </c>
      <c r="B10" s="18" t="s">
        <v>818</v>
      </c>
      <c r="C10" s="18" t="s">
        <v>85</v>
      </c>
      <c r="D10" s="18" t="s">
        <v>819</v>
      </c>
      <c r="E10" s="18" t="s">
        <v>820</v>
      </c>
      <c r="F10" s="18" t="s">
        <v>833</v>
      </c>
      <c r="G10" s="18"/>
      <c r="H10" s="18" t="s">
        <v>292</v>
      </c>
      <c r="I10" s="18"/>
    </row>
    <row r="11" spans="1:9" x14ac:dyDescent="0.3">
      <c r="A11" s="18" t="s">
        <v>37</v>
      </c>
      <c r="B11" s="18" t="s">
        <v>818</v>
      </c>
      <c r="C11" s="18" t="s">
        <v>86</v>
      </c>
      <c r="D11" s="18" t="s">
        <v>831</v>
      </c>
      <c r="E11" s="18" t="s">
        <v>820</v>
      </c>
      <c r="F11" s="18" t="s">
        <v>834</v>
      </c>
      <c r="G11" s="18"/>
      <c r="H11" s="18" t="s">
        <v>275</v>
      </c>
      <c r="I11" s="18"/>
    </row>
    <row r="12" spans="1:9" x14ac:dyDescent="0.3">
      <c r="A12" s="18" t="s">
        <v>37</v>
      </c>
      <c r="B12" s="18" t="s">
        <v>818</v>
      </c>
      <c r="C12" s="18" t="s">
        <v>87</v>
      </c>
      <c r="D12" s="18" t="s">
        <v>831</v>
      </c>
      <c r="E12" s="18" t="s">
        <v>820</v>
      </c>
      <c r="F12" s="18" t="s">
        <v>835</v>
      </c>
      <c r="G12" s="18"/>
      <c r="H12" s="18" t="s">
        <v>292</v>
      </c>
      <c r="I12" s="18"/>
    </row>
    <row r="13" spans="1:9" x14ac:dyDescent="0.3">
      <c r="A13" s="18" t="s">
        <v>37</v>
      </c>
      <c r="B13" s="18" t="s">
        <v>818</v>
      </c>
      <c r="C13" s="18" t="s">
        <v>88</v>
      </c>
      <c r="D13" s="18" t="s">
        <v>836</v>
      </c>
      <c r="E13" s="18" t="s">
        <v>820</v>
      </c>
      <c r="F13" s="18" t="s">
        <v>837</v>
      </c>
      <c r="G13" s="18"/>
      <c r="H13" s="18" t="s">
        <v>292</v>
      </c>
      <c r="I13" s="18"/>
    </row>
    <row r="14" spans="1:9" ht="26.4" x14ac:dyDescent="0.3">
      <c r="A14" s="18" t="s">
        <v>37</v>
      </c>
      <c r="B14" s="18" t="s">
        <v>818</v>
      </c>
      <c r="C14" s="18" t="s">
        <v>89</v>
      </c>
      <c r="D14" s="18" t="s">
        <v>838</v>
      </c>
      <c r="E14" s="18" t="s">
        <v>820</v>
      </c>
      <c r="F14" s="18" t="s">
        <v>839</v>
      </c>
      <c r="G14" s="18"/>
      <c r="H14" s="18" t="s">
        <v>292</v>
      </c>
      <c r="I14" s="18"/>
    </row>
    <row r="15" spans="1:9" x14ac:dyDescent="0.3">
      <c r="A15" s="18" t="s">
        <v>37</v>
      </c>
      <c r="B15" s="18" t="s">
        <v>818</v>
      </c>
      <c r="C15" s="18" t="s">
        <v>90</v>
      </c>
      <c r="D15" s="18" t="s">
        <v>819</v>
      </c>
      <c r="E15" s="18" t="s">
        <v>820</v>
      </c>
      <c r="F15" s="18" t="s">
        <v>840</v>
      </c>
      <c r="G15" s="18"/>
      <c r="H15" s="18" t="s">
        <v>292</v>
      </c>
      <c r="I15" s="18"/>
    </row>
    <row r="16" spans="1:9" x14ac:dyDescent="0.3">
      <c r="A16" s="18" t="s">
        <v>37</v>
      </c>
      <c r="B16" s="18" t="s">
        <v>818</v>
      </c>
      <c r="C16" s="18" t="s">
        <v>91</v>
      </c>
      <c r="D16" s="18" t="s">
        <v>819</v>
      </c>
      <c r="E16" s="18" t="s">
        <v>820</v>
      </c>
      <c r="F16" s="18" t="s">
        <v>841</v>
      </c>
      <c r="G16" s="18" t="s">
        <v>842</v>
      </c>
      <c r="H16" s="18" t="s">
        <v>292</v>
      </c>
      <c r="I16" s="18"/>
    </row>
    <row r="17" spans="1:9" ht="26.4" x14ac:dyDescent="0.3">
      <c r="A17" s="18" t="s">
        <v>37</v>
      </c>
      <c r="B17" s="18" t="s">
        <v>818</v>
      </c>
      <c r="C17" s="18" t="s">
        <v>92</v>
      </c>
      <c r="D17" s="18" t="s">
        <v>838</v>
      </c>
      <c r="E17" s="18" t="s">
        <v>843</v>
      </c>
      <c r="F17" s="18" t="s">
        <v>844</v>
      </c>
      <c r="G17" s="18"/>
      <c r="H17" s="18" t="s">
        <v>292</v>
      </c>
      <c r="I17" s="18"/>
    </row>
    <row r="18" spans="1:9" x14ac:dyDescent="0.3">
      <c r="A18" s="18" t="s">
        <v>37</v>
      </c>
      <c r="B18" s="18" t="s">
        <v>818</v>
      </c>
      <c r="C18" s="18" t="s">
        <v>93</v>
      </c>
      <c r="D18" s="18" t="s">
        <v>819</v>
      </c>
      <c r="E18" s="18" t="s">
        <v>843</v>
      </c>
      <c r="F18" s="18" t="s">
        <v>845</v>
      </c>
      <c r="G18" s="18"/>
      <c r="H18" s="18" t="s">
        <v>292</v>
      </c>
      <c r="I18" s="18"/>
    </row>
    <row r="19" spans="1:9" x14ac:dyDescent="0.3">
      <c r="A19" s="18" t="s">
        <v>37</v>
      </c>
      <c r="B19" s="18" t="s">
        <v>818</v>
      </c>
      <c r="C19" s="18" t="s">
        <v>14</v>
      </c>
      <c r="D19" s="18" t="s">
        <v>819</v>
      </c>
      <c r="E19" s="18" t="s">
        <v>843</v>
      </c>
      <c r="F19" s="18" t="s">
        <v>846</v>
      </c>
      <c r="G19" s="18"/>
      <c r="H19" s="18" t="s">
        <v>292</v>
      </c>
      <c r="I19" s="18"/>
    </row>
    <row r="20" spans="1:9" x14ac:dyDescent="0.3">
      <c r="A20" s="18" t="s">
        <v>37</v>
      </c>
      <c r="B20" s="18" t="s">
        <v>818</v>
      </c>
      <c r="C20" s="18" t="s">
        <v>94</v>
      </c>
      <c r="D20" s="18" t="s">
        <v>831</v>
      </c>
      <c r="E20" s="18" t="s">
        <v>843</v>
      </c>
      <c r="F20" s="18" t="s">
        <v>847</v>
      </c>
      <c r="G20" s="18"/>
      <c r="H20" s="18" t="s">
        <v>292</v>
      </c>
      <c r="I20" s="18"/>
    </row>
    <row r="21" spans="1:9" x14ac:dyDescent="0.3">
      <c r="A21" s="18" t="s">
        <v>39</v>
      </c>
      <c r="B21" s="18" t="s">
        <v>848</v>
      </c>
      <c r="C21" s="18" t="s">
        <v>265</v>
      </c>
      <c r="D21" s="18" t="s">
        <v>819</v>
      </c>
      <c r="E21" s="18" t="s">
        <v>820</v>
      </c>
      <c r="F21" s="18" t="s">
        <v>849</v>
      </c>
      <c r="G21" s="18"/>
      <c r="H21" s="18" t="s">
        <v>292</v>
      </c>
      <c r="I21" s="18" t="s">
        <v>822</v>
      </c>
    </row>
    <row r="22" spans="1:9" ht="39.6" x14ac:dyDescent="0.3">
      <c r="A22" s="18" t="s">
        <v>39</v>
      </c>
      <c r="B22" s="18" t="s">
        <v>848</v>
      </c>
      <c r="C22" s="18" t="s">
        <v>77</v>
      </c>
      <c r="D22" s="18" t="s">
        <v>819</v>
      </c>
      <c r="E22" s="18" t="s">
        <v>820</v>
      </c>
      <c r="F22" s="18" t="s">
        <v>824</v>
      </c>
      <c r="G22" s="18"/>
      <c r="H22" s="18" t="s">
        <v>292</v>
      </c>
      <c r="I22" s="18" t="s">
        <v>850</v>
      </c>
    </row>
    <row r="23" spans="1:9" ht="26.4" x14ac:dyDescent="0.3">
      <c r="A23" s="18" t="s">
        <v>39</v>
      </c>
      <c r="B23" s="18" t="s">
        <v>848</v>
      </c>
      <c r="C23" s="18" t="s">
        <v>266</v>
      </c>
      <c r="D23" s="18" t="s">
        <v>838</v>
      </c>
      <c r="E23" s="18" t="s">
        <v>820</v>
      </c>
      <c r="F23" s="18" t="s">
        <v>851</v>
      </c>
      <c r="G23" s="18"/>
      <c r="H23" s="18" t="s">
        <v>292</v>
      </c>
      <c r="I23" s="18"/>
    </row>
    <row r="24" spans="1:9" x14ac:dyDescent="0.3">
      <c r="A24" s="18" t="s">
        <v>39</v>
      </c>
      <c r="B24" s="18" t="s">
        <v>848</v>
      </c>
      <c r="C24" s="18" t="s">
        <v>267</v>
      </c>
      <c r="D24" s="18" t="s">
        <v>819</v>
      </c>
      <c r="E24" s="18" t="s">
        <v>843</v>
      </c>
      <c r="F24" s="18" t="s">
        <v>852</v>
      </c>
      <c r="G24" s="18"/>
      <c r="H24" s="18" t="s">
        <v>292</v>
      </c>
      <c r="I24" s="18"/>
    </row>
    <row r="25" spans="1:9" x14ac:dyDescent="0.3">
      <c r="A25" s="18" t="s">
        <v>39</v>
      </c>
      <c r="B25" s="18" t="s">
        <v>848</v>
      </c>
      <c r="C25" s="18" t="s">
        <v>268</v>
      </c>
      <c r="D25" s="18" t="s">
        <v>819</v>
      </c>
      <c r="E25" s="18" t="s">
        <v>820</v>
      </c>
      <c r="F25" s="18" t="s">
        <v>853</v>
      </c>
      <c r="G25" s="18"/>
      <c r="H25" s="18" t="s">
        <v>292</v>
      </c>
      <c r="I25" s="18"/>
    </row>
    <row r="26" spans="1:9" x14ac:dyDescent="0.3">
      <c r="A26" s="18" t="s">
        <v>39</v>
      </c>
      <c r="B26" s="18" t="s">
        <v>848</v>
      </c>
      <c r="C26" s="18" t="s">
        <v>90</v>
      </c>
      <c r="D26" s="18" t="s">
        <v>819</v>
      </c>
      <c r="E26" s="18" t="s">
        <v>820</v>
      </c>
      <c r="F26" s="18" t="s">
        <v>854</v>
      </c>
      <c r="G26" s="18"/>
      <c r="H26" s="18" t="s">
        <v>292</v>
      </c>
      <c r="I26" s="18"/>
    </row>
    <row r="27" spans="1:9" x14ac:dyDescent="0.3">
      <c r="A27" s="18" t="s">
        <v>39</v>
      </c>
      <c r="B27" s="18" t="s">
        <v>848</v>
      </c>
      <c r="C27" s="18" t="s">
        <v>269</v>
      </c>
      <c r="D27" s="18" t="s">
        <v>831</v>
      </c>
      <c r="E27" s="18" t="s">
        <v>820</v>
      </c>
      <c r="F27" s="18" t="s">
        <v>855</v>
      </c>
      <c r="G27" s="18"/>
      <c r="H27" s="18" t="s">
        <v>275</v>
      </c>
      <c r="I27" s="18"/>
    </row>
    <row r="28" spans="1:9" x14ac:dyDescent="0.3">
      <c r="A28" s="18" t="s">
        <v>39</v>
      </c>
      <c r="B28" s="18" t="s">
        <v>848</v>
      </c>
      <c r="C28" s="18" t="s">
        <v>270</v>
      </c>
      <c r="D28" s="18" t="s">
        <v>831</v>
      </c>
      <c r="E28" s="18" t="s">
        <v>820</v>
      </c>
      <c r="F28" s="18" t="s">
        <v>856</v>
      </c>
      <c r="G28" s="18"/>
      <c r="H28" s="18" t="s">
        <v>292</v>
      </c>
      <c r="I28" s="18"/>
    </row>
    <row r="29" spans="1:9" x14ac:dyDescent="0.3">
      <c r="A29" s="18" t="s">
        <v>39</v>
      </c>
      <c r="B29" s="18" t="s">
        <v>848</v>
      </c>
      <c r="C29" s="18" t="s">
        <v>87</v>
      </c>
      <c r="D29" s="18" t="s">
        <v>831</v>
      </c>
      <c r="E29" s="18" t="s">
        <v>820</v>
      </c>
      <c r="F29" s="18" t="s">
        <v>857</v>
      </c>
      <c r="G29" s="18"/>
      <c r="H29" s="18" t="s">
        <v>292</v>
      </c>
      <c r="I29" s="18"/>
    </row>
    <row r="30" spans="1:9" x14ac:dyDescent="0.3">
      <c r="A30" s="18" t="s">
        <v>39</v>
      </c>
      <c r="B30" s="18" t="s">
        <v>848</v>
      </c>
      <c r="C30" s="18" t="s">
        <v>271</v>
      </c>
      <c r="D30" s="18" t="s">
        <v>819</v>
      </c>
      <c r="E30" s="18" t="s">
        <v>843</v>
      </c>
      <c r="F30" s="18" t="s">
        <v>858</v>
      </c>
      <c r="G30" s="18"/>
      <c r="H30" s="18" t="s">
        <v>292</v>
      </c>
      <c r="I30" s="18"/>
    </row>
    <row r="31" spans="1:9" x14ac:dyDescent="0.3">
      <c r="A31" s="18" t="s">
        <v>39</v>
      </c>
      <c r="B31" s="18" t="s">
        <v>848</v>
      </c>
      <c r="C31" s="18" t="s">
        <v>272</v>
      </c>
      <c r="D31" s="18" t="s">
        <v>819</v>
      </c>
      <c r="E31" s="18" t="s">
        <v>820</v>
      </c>
      <c r="F31" s="18" t="s">
        <v>859</v>
      </c>
      <c r="G31" s="18" t="s">
        <v>860</v>
      </c>
      <c r="H31" s="18" t="s">
        <v>275</v>
      </c>
      <c r="I31" s="18"/>
    </row>
    <row r="32" spans="1:9" x14ac:dyDescent="0.3">
      <c r="A32" s="18" t="s">
        <v>41</v>
      </c>
      <c r="B32" s="18" t="s">
        <v>861</v>
      </c>
      <c r="C32" s="18" t="s">
        <v>476</v>
      </c>
      <c r="D32" s="18" t="s">
        <v>819</v>
      </c>
      <c r="E32" s="18" t="s">
        <v>820</v>
      </c>
      <c r="F32" s="18" t="s">
        <v>862</v>
      </c>
      <c r="G32" s="18"/>
      <c r="H32" s="18" t="s">
        <v>292</v>
      </c>
      <c r="I32" s="18" t="s">
        <v>822</v>
      </c>
    </row>
    <row r="33" spans="1:9" ht="39.6" x14ac:dyDescent="0.3">
      <c r="A33" s="18" t="s">
        <v>41</v>
      </c>
      <c r="B33" s="18" t="s">
        <v>861</v>
      </c>
      <c r="C33" s="18" t="s">
        <v>77</v>
      </c>
      <c r="D33" s="18" t="s">
        <v>819</v>
      </c>
      <c r="E33" s="18" t="s">
        <v>820</v>
      </c>
      <c r="F33" s="18" t="s">
        <v>824</v>
      </c>
      <c r="G33" s="18"/>
      <c r="H33" s="18" t="s">
        <v>292</v>
      </c>
      <c r="I33" s="18" t="s">
        <v>850</v>
      </c>
    </row>
    <row r="34" spans="1:9" ht="26.4" x14ac:dyDescent="0.3">
      <c r="A34" s="18" t="s">
        <v>41</v>
      </c>
      <c r="B34" s="18" t="s">
        <v>861</v>
      </c>
      <c r="C34" s="18" t="s">
        <v>477</v>
      </c>
      <c r="D34" s="18" t="s">
        <v>838</v>
      </c>
      <c r="E34" s="18" t="s">
        <v>820</v>
      </c>
      <c r="F34" s="18" t="s">
        <v>851</v>
      </c>
      <c r="G34" s="18"/>
      <c r="H34" s="18" t="s">
        <v>292</v>
      </c>
      <c r="I34" s="18"/>
    </row>
    <row r="35" spans="1:9" x14ac:dyDescent="0.3">
      <c r="A35" s="18" t="s">
        <v>41</v>
      </c>
      <c r="B35" s="18" t="s">
        <v>861</v>
      </c>
      <c r="C35" s="18" t="s">
        <v>478</v>
      </c>
      <c r="D35" s="18" t="s">
        <v>819</v>
      </c>
      <c r="E35" s="18" t="s">
        <v>820</v>
      </c>
      <c r="F35" s="18" t="s">
        <v>863</v>
      </c>
      <c r="G35" s="18"/>
      <c r="H35" s="18" t="s">
        <v>292</v>
      </c>
      <c r="I35" s="18"/>
    </row>
    <row r="36" spans="1:9" x14ac:dyDescent="0.3">
      <c r="A36" s="18" t="s">
        <v>41</v>
      </c>
      <c r="B36" s="18" t="s">
        <v>861</v>
      </c>
      <c r="C36" s="18" t="s">
        <v>479</v>
      </c>
      <c r="D36" s="18" t="s">
        <v>819</v>
      </c>
      <c r="E36" s="18" t="s">
        <v>820</v>
      </c>
      <c r="F36" s="18" t="s">
        <v>864</v>
      </c>
      <c r="G36" s="18"/>
      <c r="H36" s="18" t="s">
        <v>292</v>
      </c>
      <c r="I36" s="18"/>
    </row>
    <row r="37" spans="1:9" x14ac:dyDescent="0.3">
      <c r="A37" s="18" t="s">
        <v>41</v>
      </c>
      <c r="B37" s="18" t="s">
        <v>861</v>
      </c>
      <c r="C37" s="18" t="s">
        <v>480</v>
      </c>
      <c r="D37" s="18" t="s">
        <v>819</v>
      </c>
      <c r="E37" s="18" t="s">
        <v>820</v>
      </c>
      <c r="F37" s="18" t="s">
        <v>865</v>
      </c>
      <c r="G37" s="18"/>
      <c r="H37" s="18" t="s">
        <v>292</v>
      </c>
      <c r="I37" s="18"/>
    </row>
    <row r="38" spans="1:9" x14ac:dyDescent="0.3">
      <c r="A38" s="18" t="s">
        <v>41</v>
      </c>
      <c r="B38" s="18" t="s">
        <v>861</v>
      </c>
      <c r="C38" s="18" t="s">
        <v>481</v>
      </c>
      <c r="D38" s="18" t="s">
        <v>819</v>
      </c>
      <c r="E38" s="18" t="s">
        <v>820</v>
      </c>
      <c r="F38" s="18" t="s">
        <v>866</v>
      </c>
      <c r="G38" s="18"/>
      <c r="H38" s="18" t="s">
        <v>292</v>
      </c>
      <c r="I38" s="18"/>
    </row>
    <row r="39" spans="1:9" x14ac:dyDescent="0.3">
      <c r="A39" s="18" t="s">
        <v>41</v>
      </c>
      <c r="B39" s="18" t="s">
        <v>861</v>
      </c>
      <c r="C39" s="18" t="s">
        <v>482</v>
      </c>
      <c r="D39" s="18" t="s">
        <v>819</v>
      </c>
      <c r="E39" s="18" t="s">
        <v>820</v>
      </c>
      <c r="F39" s="18" t="s">
        <v>867</v>
      </c>
      <c r="G39" s="18"/>
      <c r="H39" s="18" t="s">
        <v>292</v>
      </c>
      <c r="I39" s="18"/>
    </row>
    <row r="40" spans="1:9" x14ac:dyDescent="0.3">
      <c r="A40" s="18" t="s">
        <v>41</v>
      </c>
      <c r="B40" s="18" t="s">
        <v>861</v>
      </c>
      <c r="C40" s="18" t="s">
        <v>483</v>
      </c>
      <c r="D40" s="18" t="s">
        <v>819</v>
      </c>
      <c r="E40" s="18" t="s">
        <v>820</v>
      </c>
      <c r="F40" s="18" t="s">
        <v>868</v>
      </c>
      <c r="G40" s="18"/>
      <c r="H40" s="18" t="s">
        <v>292</v>
      </c>
      <c r="I40" s="18"/>
    </row>
    <row r="41" spans="1:9" x14ac:dyDescent="0.3">
      <c r="A41" s="18" t="s">
        <v>41</v>
      </c>
      <c r="B41" s="18" t="s">
        <v>861</v>
      </c>
      <c r="C41" s="18" t="s">
        <v>14</v>
      </c>
      <c r="D41" s="18" t="s">
        <v>819</v>
      </c>
      <c r="E41" s="18" t="s">
        <v>820</v>
      </c>
      <c r="F41" s="18" t="s">
        <v>869</v>
      </c>
      <c r="G41" s="18"/>
      <c r="H41" s="18" t="s">
        <v>292</v>
      </c>
      <c r="I41" s="18"/>
    </row>
    <row r="42" spans="1:9" x14ac:dyDescent="0.3">
      <c r="A42" s="18" t="s">
        <v>43</v>
      </c>
      <c r="B42" s="18" t="s">
        <v>870</v>
      </c>
      <c r="C42" s="18" t="s">
        <v>504</v>
      </c>
      <c r="D42" s="18" t="s">
        <v>819</v>
      </c>
      <c r="E42" s="18" t="s">
        <v>820</v>
      </c>
      <c r="F42" s="18" t="s">
        <v>871</v>
      </c>
      <c r="G42" s="18"/>
      <c r="H42" s="18" t="s">
        <v>292</v>
      </c>
      <c r="I42" s="18" t="s">
        <v>822</v>
      </c>
    </row>
    <row r="43" spans="1:9" x14ac:dyDescent="0.3">
      <c r="A43" s="18" t="s">
        <v>43</v>
      </c>
      <c r="B43" s="18" t="s">
        <v>870</v>
      </c>
      <c r="C43" s="18" t="s">
        <v>505</v>
      </c>
      <c r="D43" s="18" t="s">
        <v>819</v>
      </c>
      <c r="E43" s="18" t="s">
        <v>820</v>
      </c>
      <c r="F43" s="18" t="s">
        <v>872</v>
      </c>
      <c r="G43" s="18"/>
      <c r="H43" s="18" t="s">
        <v>292</v>
      </c>
      <c r="I43" s="18"/>
    </row>
    <row r="44" spans="1:9" x14ac:dyDescent="0.3">
      <c r="A44" s="18" t="s">
        <v>43</v>
      </c>
      <c r="B44" s="18" t="s">
        <v>870</v>
      </c>
      <c r="C44" s="18" t="s">
        <v>506</v>
      </c>
      <c r="D44" s="18" t="s">
        <v>819</v>
      </c>
      <c r="E44" s="18" t="s">
        <v>820</v>
      </c>
      <c r="F44" s="18" t="s">
        <v>873</v>
      </c>
      <c r="G44" s="18"/>
      <c r="H44" s="18" t="s">
        <v>292</v>
      </c>
      <c r="I44" s="18"/>
    </row>
    <row r="45" spans="1:9" x14ac:dyDescent="0.3">
      <c r="A45" s="18" t="s">
        <v>43</v>
      </c>
      <c r="B45" s="18" t="s">
        <v>870</v>
      </c>
      <c r="C45" s="18" t="s">
        <v>507</v>
      </c>
      <c r="D45" s="18" t="s">
        <v>819</v>
      </c>
      <c r="E45" s="18" t="s">
        <v>820</v>
      </c>
      <c r="F45" s="18" t="s">
        <v>874</v>
      </c>
      <c r="G45" s="18"/>
      <c r="H45" s="18" t="s">
        <v>292</v>
      </c>
      <c r="I45" s="18"/>
    </row>
    <row r="46" spans="1:9" x14ac:dyDescent="0.3">
      <c r="A46" s="18" t="s">
        <v>43</v>
      </c>
      <c r="B46" s="18" t="s">
        <v>870</v>
      </c>
      <c r="C46" s="18" t="s">
        <v>508</v>
      </c>
      <c r="D46" s="18" t="s">
        <v>836</v>
      </c>
      <c r="E46" s="18" t="s">
        <v>820</v>
      </c>
      <c r="F46" s="18" t="s">
        <v>875</v>
      </c>
      <c r="G46" s="18"/>
      <c r="H46" s="18" t="s">
        <v>292</v>
      </c>
      <c r="I46" s="18"/>
    </row>
    <row r="47" spans="1:9" x14ac:dyDescent="0.3">
      <c r="A47" s="18" t="s">
        <v>43</v>
      </c>
      <c r="B47" s="18" t="s">
        <v>870</v>
      </c>
      <c r="C47" s="18" t="s">
        <v>509</v>
      </c>
      <c r="D47" s="18" t="s">
        <v>831</v>
      </c>
      <c r="E47" s="18" t="s">
        <v>820</v>
      </c>
      <c r="F47" s="18" t="s">
        <v>876</v>
      </c>
      <c r="G47" s="18"/>
      <c r="H47" s="18" t="s">
        <v>292</v>
      </c>
      <c r="I47" s="18"/>
    </row>
    <row r="48" spans="1:9" x14ac:dyDescent="0.3">
      <c r="A48" s="18" t="s">
        <v>43</v>
      </c>
      <c r="B48" s="18" t="s">
        <v>870</v>
      </c>
      <c r="C48" s="18" t="s">
        <v>510</v>
      </c>
      <c r="D48" s="18" t="s">
        <v>819</v>
      </c>
      <c r="E48" s="18" t="s">
        <v>820</v>
      </c>
      <c r="F48" s="18" t="s">
        <v>877</v>
      </c>
      <c r="G48" s="18"/>
      <c r="H48" s="18" t="s">
        <v>292</v>
      </c>
      <c r="I48" s="18"/>
    </row>
    <row r="49" spans="1:9" x14ac:dyDescent="0.3">
      <c r="A49" s="18" t="s">
        <v>43</v>
      </c>
      <c r="B49" s="18" t="s">
        <v>870</v>
      </c>
      <c r="C49" s="18" t="s">
        <v>511</v>
      </c>
      <c r="D49" s="18" t="s">
        <v>831</v>
      </c>
      <c r="E49" s="18" t="s">
        <v>820</v>
      </c>
      <c r="F49" s="18" t="s">
        <v>878</v>
      </c>
      <c r="G49" s="18"/>
      <c r="H49" s="18" t="s">
        <v>292</v>
      </c>
      <c r="I49" s="18"/>
    </row>
    <row r="50" spans="1:9" x14ac:dyDescent="0.3">
      <c r="A50" s="18" t="s">
        <v>43</v>
      </c>
      <c r="B50" s="18" t="s">
        <v>870</v>
      </c>
      <c r="C50" s="18" t="s">
        <v>512</v>
      </c>
      <c r="D50" s="18" t="s">
        <v>831</v>
      </c>
      <c r="E50" s="18" t="s">
        <v>820</v>
      </c>
      <c r="F50" s="18" t="s">
        <v>879</v>
      </c>
      <c r="G50" s="18"/>
      <c r="H50" s="18" t="s">
        <v>292</v>
      </c>
      <c r="I50" s="18"/>
    </row>
    <row r="51" spans="1:9" x14ac:dyDescent="0.3">
      <c r="A51" s="18" t="s">
        <v>47</v>
      </c>
      <c r="B51" s="18" t="s">
        <v>880</v>
      </c>
      <c r="C51" s="18" t="s">
        <v>751</v>
      </c>
      <c r="D51" s="18" t="s">
        <v>819</v>
      </c>
      <c r="E51" s="18" t="s">
        <v>820</v>
      </c>
      <c r="F51" s="18" t="s">
        <v>872</v>
      </c>
      <c r="G51" s="18"/>
      <c r="H51" s="18" t="s">
        <v>292</v>
      </c>
      <c r="I51" s="18" t="s">
        <v>822</v>
      </c>
    </row>
    <row r="52" spans="1:9" x14ac:dyDescent="0.3">
      <c r="A52" s="18" t="s">
        <v>47</v>
      </c>
      <c r="B52" s="18" t="s">
        <v>880</v>
      </c>
      <c r="C52" s="18" t="s">
        <v>83</v>
      </c>
      <c r="D52" s="18" t="s">
        <v>819</v>
      </c>
      <c r="E52" s="18" t="s">
        <v>820</v>
      </c>
      <c r="F52" s="18" t="s">
        <v>881</v>
      </c>
      <c r="G52" s="18"/>
      <c r="H52" s="18" t="s">
        <v>292</v>
      </c>
      <c r="I52" s="18"/>
    </row>
    <row r="53" spans="1:9" x14ac:dyDescent="0.3">
      <c r="A53" s="18" t="s">
        <v>47</v>
      </c>
      <c r="B53" s="18" t="s">
        <v>880</v>
      </c>
      <c r="C53" s="18" t="s">
        <v>79</v>
      </c>
      <c r="D53" s="18" t="s">
        <v>819</v>
      </c>
      <c r="E53" s="18" t="s">
        <v>820</v>
      </c>
      <c r="F53" s="18" t="s">
        <v>882</v>
      </c>
      <c r="G53" s="18"/>
      <c r="H53" s="18" t="s">
        <v>292</v>
      </c>
      <c r="I53" s="18"/>
    </row>
    <row r="54" spans="1:9" x14ac:dyDescent="0.3">
      <c r="A54" s="18" t="s">
        <v>47</v>
      </c>
      <c r="B54" s="18" t="s">
        <v>880</v>
      </c>
      <c r="C54" s="18" t="s">
        <v>752</v>
      </c>
      <c r="D54" s="18" t="s">
        <v>819</v>
      </c>
      <c r="E54" s="18" t="s">
        <v>820</v>
      </c>
      <c r="F54" s="18" t="s">
        <v>883</v>
      </c>
      <c r="G54" s="18"/>
      <c r="H54" s="18" t="s">
        <v>292</v>
      </c>
      <c r="I54" s="18"/>
    </row>
    <row r="55" spans="1:9" ht="26.4" x14ac:dyDescent="0.3">
      <c r="A55" s="18" t="s">
        <v>47</v>
      </c>
      <c r="B55" s="18" t="s">
        <v>880</v>
      </c>
      <c r="C55" s="18" t="s">
        <v>266</v>
      </c>
      <c r="D55" s="18" t="s">
        <v>838</v>
      </c>
      <c r="E55" s="18" t="s">
        <v>820</v>
      </c>
      <c r="F55" s="18" t="s">
        <v>851</v>
      </c>
      <c r="G55" s="18"/>
      <c r="H55" s="18" t="s">
        <v>275</v>
      </c>
      <c r="I55" s="18"/>
    </row>
    <row r="56" spans="1:9" ht="26.4" x14ac:dyDescent="0.3">
      <c r="A56" s="18" t="s">
        <v>47</v>
      </c>
      <c r="B56" s="18" t="s">
        <v>880</v>
      </c>
      <c r="C56" s="18" t="s">
        <v>753</v>
      </c>
      <c r="D56" s="18" t="s">
        <v>884</v>
      </c>
      <c r="E56" s="18" t="s">
        <v>820</v>
      </c>
      <c r="F56" s="18" t="s">
        <v>885</v>
      </c>
      <c r="G56" s="18"/>
      <c r="H56" s="18" t="s">
        <v>275</v>
      </c>
      <c r="I56" s="18"/>
    </row>
    <row r="57" spans="1:9" x14ac:dyDescent="0.3">
      <c r="A57" s="18" t="s">
        <v>47</v>
      </c>
      <c r="B57" s="18" t="s">
        <v>880</v>
      </c>
      <c r="C57" s="18" t="s">
        <v>754</v>
      </c>
      <c r="D57" s="18" t="s">
        <v>831</v>
      </c>
      <c r="E57" s="18" t="s">
        <v>820</v>
      </c>
      <c r="F57" s="18" t="s">
        <v>886</v>
      </c>
      <c r="G57" s="18"/>
      <c r="H57" s="18" t="s">
        <v>275</v>
      </c>
      <c r="I57" s="18"/>
    </row>
    <row r="58" spans="1:9" x14ac:dyDescent="0.3">
      <c r="A58" s="18" t="s">
        <v>47</v>
      </c>
      <c r="B58" s="18" t="s">
        <v>880</v>
      </c>
      <c r="C58" s="18" t="s">
        <v>14</v>
      </c>
      <c r="D58" s="18" t="s">
        <v>819</v>
      </c>
      <c r="E58" s="18" t="s">
        <v>820</v>
      </c>
      <c r="F58" s="18" t="s">
        <v>869</v>
      </c>
      <c r="G58" s="18" t="s">
        <v>887</v>
      </c>
      <c r="H58" s="18" t="s">
        <v>292</v>
      </c>
      <c r="I58" s="18"/>
    </row>
    <row r="59" spans="1:9" x14ac:dyDescent="0.3">
      <c r="A59" s="18" t="s">
        <v>47</v>
      </c>
      <c r="B59" s="18" t="s">
        <v>880</v>
      </c>
      <c r="C59" s="18" t="s">
        <v>271</v>
      </c>
      <c r="D59" s="18" t="s">
        <v>819</v>
      </c>
      <c r="E59" s="18" t="s">
        <v>820</v>
      </c>
      <c r="F59" s="18" t="s">
        <v>888</v>
      </c>
      <c r="G59" s="18"/>
      <c r="H59" s="18" t="s">
        <v>275</v>
      </c>
      <c r="I59" s="18"/>
    </row>
    <row r="60" spans="1:9" x14ac:dyDescent="0.3">
      <c r="A60" s="18" t="s">
        <v>47</v>
      </c>
      <c r="B60" s="18" t="s">
        <v>880</v>
      </c>
      <c r="C60" s="18" t="s">
        <v>755</v>
      </c>
      <c r="D60" s="18" t="s">
        <v>819</v>
      </c>
      <c r="E60" s="18" t="s">
        <v>820</v>
      </c>
      <c r="F60" s="18" t="s">
        <v>889</v>
      </c>
      <c r="G60" s="18"/>
      <c r="H60" s="18" t="s">
        <v>292</v>
      </c>
      <c r="I60" s="18"/>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10</vt:i4>
      </vt:variant>
      <vt:variant>
        <vt:lpstr>Intervalos com Nome</vt:lpstr>
      </vt:variant>
      <vt:variant>
        <vt:i4>12</vt:i4>
      </vt:variant>
    </vt:vector>
  </HeadingPairs>
  <TitlesOfParts>
    <vt:vector size="22" baseType="lpstr">
      <vt:lpstr>00_LEIA-ME</vt:lpstr>
      <vt:lpstr>Inventario_Equipamentos</vt:lpstr>
      <vt:lpstr>Calibracoes</vt:lpstr>
      <vt:lpstr>Fora_Tolerancia</vt:lpstr>
      <vt:lpstr>GRR_Dados</vt:lpstr>
      <vt:lpstr>GRR_Calculo</vt:lpstr>
      <vt:lpstr>Estudos_MSA</vt:lpstr>
      <vt:lpstr>Resumo_Metrologia</vt:lpstr>
      <vt:lpstr>Listas</vt:lpstr>
      <vt:lpstr>Dicionario_Dados</vt:lpstr>
      <vt:lpstr>DataRef</vt:lpstr>
      <vt:lpstr>lst_DataReferencia</vt:lpstr>
      <vt:lpstr>lst_EstadoMSA</vt:lpstr>
      <vt:lpstr>lst_EstadoUso</vt:lpstr>
      <vt:lpstr>lst_Processo</vt:lpstr>
      <vt:lpstr>lst_SimNao</vt:lpstr>
      <vt:lpstr>lst_TipoConf</vt:lpstr>
      <vt:lpstr>Calibracoes!Títulos_de_Impressão</vt:lpstr>
      <vt:lpstr>Estudos_MSA!Títulos_de_Impressão</vt:lpstr>
      <vt:lpstr>Fora_Tolerancia!Títulos_de_Impressão</vt:lpstr>
      <vt:lpstr>GRR_Dados!Títulos_de_Impressão</vt:lpstr>
      <vt:lpstr>Inventario_Equipamentos!Títulos_de_Impressão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RG-SGQ-09 Metrologia: Confirmação Metrológica, Calibração e MSA</dc:title>
  <dc:subject>SGQ NP EN ISO 9001:2026 — Plasticom</dc:subject>
  <dc:creator>Gerente da Qualidade</dc:creator>
  <cp:lastModifiedBy>Aline Meireles</cp:lastModifiedBy>
  <dcterms:created xsi:type="dcterms:W3CDTF">2026-09-30T16:46:49Z</dcterms:created>
  <dcterms:modified xsi:type="dcterms:W3CDTF">2026-09-30T16:47:12Z</dcterms:modified>
</cp:coreProperties>
</file>