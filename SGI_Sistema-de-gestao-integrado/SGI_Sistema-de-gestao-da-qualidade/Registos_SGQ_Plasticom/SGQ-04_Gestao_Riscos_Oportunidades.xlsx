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5DF05A37-6C9D-4128-87C4-375880CB8A9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iscos_Qualidade" sheetId="2" r:id="rId2"/>
    <sheet name="Oportunidades_Qualidade" sheetId="3" r:id="rId3"/>
    <sheet name="PFMEA_Processo" sheetId="4" r:id="rId4"/>
    <sheet name="Resumo_Riscos" sheetId="5" r:id="rId5"/>
    <sheet name="Listas" sheetId="6" r:id="rId6"/>
    <sheet name="Dicionario_Dados" sheetId="7" r:id="rId7"/>
  </sheets>
  <definedNames>
    <definedName name="DataRef">Listas!$A$3</definedName>
    <definedName name="lst_Classe">Listas!$F$3:$F$5</definedName>
    <definedName name="lst_DataReferencia">Listas!$A$3:$A$3</definedName>
    <definedName name="lst_Eficacia">Listas!$E$3:$E$6</definedName>
    <definedName name="lst_Opcao">Listas!$C$3:$C$9</definedName>
    <definedName name="lst_Processo">Listas!$D$3:$D$20</definedName>
    <definedName name="lst_SimNao">Listas!$B$3:$B$4</definedName>
    <definedName name="_xlnm.Print_Titles" localSheetId="2">Oportunidades_Qualidade!$4:$4</definedName>
    <definedName name="_xlnm.Print_Titles" localSheetId="3">PFMEA_Processo!$4:$4</definedName>
    <definedName name="_xlnm.Print_Titles" localSheetId="1">Riscos_Qualidade!$4:$4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8" i="5"/>
  <c r="B8" i="5"/>
  <c r="C7" i="5"/>
  <c r="B7" i="5"/>
  <c r="C6" i="5"/>
  <c r="B6" i="5"/>
  <c r="C5" i="5"/>
  <c r="C9" i="5" s="1"/>
  <c r="B5" i="5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V31" i="2"/>
  <c r="U31" i="2"/>
  <c r="V30" i="2"/>
  <c r="U30" i="2"/>
  <c r="V29" i="2"/>
  <c r="U29" i="2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V5" i="2"/>
  <c r="U5" i="2"/>
  <c r="B9" i="5" l="1"/>
  <c r="O12" i="4"/>
  <c r="P12" i="4"/>
  <c r="P24" i="4"/>
  <c r="O24" i="4"/>
  <c r="O28" i="4"/>
  <c r="P28" i="4"/>
  <c r="O32" i="4"/>
  <c r="P32" i="4"/>
  <c r="P5" i="4"/>
  <c r="O5" i="4"/>
  <c r="O9" i="4"/>
  <c r="P9" i="4"/>
  <c r="O13" i="4"/>
  <c r="P13" i="4"/>
  <c r="P17" i="4"/>
  <c r="O17" i="4"/>
  <c r="O21" i="4"/>
  <c r="P21" i="4"/>
  <c r="O25" i="4"/>
  <c r="P25" i="4"/>
  <c r="P29" i="4"/>
  <c r="O29" i="4"/>
  <c r="P33" i="4"/>
  <c r="O33" i="4"/>
  <c r="O8" i="4"/>
  <c r="P8" i="4"/>
  <c r="O16" i="4"/>
  <c r="P16" i="4"/>
  <c r="O6" i="4"/>
  <c r="P6" i="4"/>
  <c r="P10" i="4"/>
  <c r="O10" i="4"/>
  <c r="P14" i="4"/>
  <c r="O14" i="4"/>
  <c r="O18" i="4"/>
  <c r="P18" i="4"/>
  <c r="P22" i="4"/>
  <c r="O22" i="4"/>
  <c r="O26" i="4"/>
  <c r="P26" i="4"/>
  <c r="P30" i="4"/>
  <c r="O30" i="4"/>
  <c r="P20" i="4"/>
  <c r="O20" i="4"/>
  <c r="P7" i="4"/>
  <c r="O7" i="4"/>
  <c r="O11" i="4"/>
  <c r="P11" i="4"/>
  <c r="O15" i="4"/>
  <c r="P15" i="4"/>
  <c r="P19" i="4"/>
  <c r="O19" i="4"/>
  <c r="O23" i="4"/>
  <c r="P23" i="4"/>
  <c r="P27" i="4"/>
  <c r="O27" i="4"/>
  <c r="P31" i="4"/>
  <c r="O31" i="4"/>
  <c r="C23" i="5" l="1"/>
  <c r="C21" i="5"/>
  <c r="B23" i="5"/>
  <c r="B21" i="5"/>
  <c r="C22" i="5"/>
  <c r="B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 no registo corporativo.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Efeito indesejado na capacidade de fornecer produto conforme e de aumentar a satisfação (6.1.2).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Risco relacionado com disrupção — capacidade de fornecer durante/após uma disrupção (6.1.2 Nota 1).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Opção de tratamento (6.1.2 Nota 2).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Processo onde a ação é integrada.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Como a ação é integrada e implementada no processo (6.1.2 b1).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Como se avalia a eficácia (6.1.2 b2).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Resultado da avaliação da eficácia (9.1.3 e).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CAPA, MOC, projeto ou registo SGQ.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Ações proporcionais ao impacto potencial (6.1.2): risco alto mantido → rever; risco baixo evitado → avaliar custo.
[calculado]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Sinal para a revisão pela gestão (9.3.2 g).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 no registo corporativo.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Copiado do RG-SGA-02 na geração (não editar aqui).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Efeito desejado na conformidade e na satisfação do cliente (6.1.3).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Processo onde a ação é integrada.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6.1.3 b1).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6.1.3 b2).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9.1.3 f).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Ligações.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Linha da PFMEA.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Característica do plano de controlo.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Classe da característica.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Modo de falha potencial.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Efeito no cliente.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Severidade 1–10 (10 = segurança do consumidor / requisito legal).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Causa principal conhecida.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Unidades inspecionadas por atributos no período (dataset).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Defeitos encontrados (dataset).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Defeitos por milhão observados na inspeção.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Ocorrência calculada pelo ppm observado (escala: ≥100 000→10 … &gt;0→2; 0→1).
[calculado]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Método de deteção do plano de controlo.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Deteção 1–10 (visão 3, ensaio de fuga 3, passa/não passa 4, visual por amostragem 7).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S × O × D.
[calculado]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Prioridade de ação simplificada (inspirada na tabela AP AIAG-VDA): severidade primeiro, depois ocorrência e deteção.
[calculado]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Ação para reduzir O ou D.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Risco SGI relacionado.</t>
        </r>
      </text>
    </comment>
  </commentList>
</comments>
</file>

<file path=xl/sharedStrings.xml><?xml version="1.0" encoding="utf-8"?>
<sst xmlns="http://schemas.openxmlformats.org/spreadsheetml/2006/main" count="1461" uniqueCount="659">
  <si>
    <t>RG-SGQ-04 — Riscos e Oportunidades da Qualidade (vista do registo SGI) e PFMEA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</si>
  <si>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</si>
  <si>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</si>
  <si>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</si>
  <si>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RG-SGQ-04</t>
  </si>
  <si>
    <t>Título</t>
  </si>
  <si>
    <t>Riscos e Oportunidades da Qualidade (vista do registo SGI) e PFMEA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</si>
  <si>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</si>
  <si>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</si>
  <si>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</si>
  <si>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</si>
  <si>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</si>
  <si>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</si>
  <si>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</si>
  <si>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</si>
  <si>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</si>
  <si>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</si>
  <si>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</si>
  <si>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</si>
  <si>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</si>
  <si>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</si>
  <si>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</si>
  <si>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Vista da qualidade do registo corporativo de riscos do SGI (RG-SGA-02, fonte única): os campos de identificação, pontuação, dono e estado são COPIADOS na geração (não editar aqui); os campos da ISO 9001:2026 (efeito na conformidade, disrupção, opção de tratamento, integração no processo, método e resultado da eficácia) são registados aqui. Inclui a PFMEA de processo com a ocorrência calculada pelas inspeções reais.</t>
  </si>
  <si>
    <t>Utilização / atividades</t>
  </si>
  <si>
    <t>Determinar, analisar e avaliar riscos (6.1.2) e oportunidades (6.1.3) que afetam a conformidade dos produtos e a satisfação do cliente; planear ações proporcionais, integrá-las nos processos e avaliar a sua eficácia.</t>
  </si>
  <si>
    <t>Requisitos ISO 9001:2026</t>
  </si>
  <si>
    <t>6.1.1 Determinação de riscos e oportunidades; 6.1.2 Ações para tratar riscos (Nota 1 disrupção; Nota 2 opções); 6.1.3 Ações para tratar oportunidades (novo em 2026); 9.1.3 e) f); 9.3.2 g) h); 4.4.1 g)</t>
  </si>
  <si>
    <t>REFERÊNCIAS DE BOAS PRÁTICAS APLICADAS (orientação — não são requisitos auditáveis da ISO 9001)</t>
  </si>
  <si>
    <t>ISO/TC 176 APG — Risk-based thinking</t>
  </si>
  <si>
    <t>Não é exigida gestão de risco formal (ISO 31000), mas as ações devem ser proporcionais e a eficácia avaliada: colunas Proporcionalidade e Resultado_Eficacia.</t>
  </si>
  <si>
    <t>ISO 31000:2018 / IEC 31010:2019 (pasta gestão de riscos)</t>
  </si>
  <si>
    <t>Escala P×I do registo SGI; PFMEA como técnica de identificação de riscos de processo.</t>
  </si>
  <si>
    <t>AIAG-VDA FMEA / Academy cap. 81–82</t>
  </si>
  <si>
    <t>S, O, D e RPN; ocorrência derivada de ppm observado; prioridade de ação (AP simplificada).</t>
  </si>
  <si>
    <t>ICH Q9(R1) (pasta de interpretação)</t>
  </si>
  <si>
    <t>Formalidade proporcional ao risco — usado para os produtos farmacêuticos (anel de inviolabilidade, S = 10).</t>
  </si>
  <si>
    <t>ESTRUTURA DO FICHEIRO</t>
  </si>
  <si>
    <t>Riscos_Qualidade</t>
  </si>
  <si>
    <t>Riscos que afetam a conformidade e a satisfação (6.1.2) — vista do RG-SGA-02 com os campos da ISO 9001:2026.</t>
  </si>
  <si>
    <t>Oportunidades_Qualidade</t>
  </si>
  <si>
    <t>Oportunidades que podem ter efeito desejado na conformidade e na satisfação (6.1.3 — subcapítulo novo na ISO 9001:2026).</t>
  </si>
  <si>
    <t>PFMEA_Processo</t>
  </si>
  <si>
    <t>PFMEA resumida por processo × característica com ocorrência calculada a partir das inspeções por atributos do período.</t>
  </si>
  <si>
    <t>Resumo_Riscos</t>
  </si>
  <si>
    <t>Resumo calculado: riscos por opção de tratamento e resultado de eficácia; PFMEA por prioridade.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</si>
  <si>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</si>
  <si>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</si>
  <si>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</si>
  <si>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</si>
  <si>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</si>
  <si>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</si>
  <si>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</si>
  <si>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</si>
  <si>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</si>
  <si>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</si>
  <si>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</si>
  <si>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</si>
  <si>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</si>
  <si>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</si>
  <si>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</si>
  <si>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</si>
  <si>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</si>
  <si>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</si>
  <si>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RG-SGA-02 (fonte)</t>
  </si>
  <si>
    <t>tbRiscos / tbOportunidades — alterar pontuação, dono e estado só no RG-SGA-02 e regenerar.</t>
  </si>
  <si>
    <t>RG-SGQ-05 KPI</t>
  </si>
  <si>
    <t>KPI usado para avaliar a eficácia.</t>
  </si>
  <si>
    <t>RG-SGQ-18 / RG-SGQ-06</t>
  </si>
  <si>
    <t>CAPA e alterações que implementam as ações.</t>
  </si>
  <si>
    <t>RISCOS DA QUALIDADE — AÇÕES E EFICÁCIA (6.1.2)</t>
  </si>
  <si>
    <t>Colunas 2–10 copiadas do RG-SGA-02 (fonte única) · Colunas seguintes: requisitos ISO 9001:2026 · Proporcionalidade e alerta calculados</t>
  </si>
  <si>
    <t>ID_Risco</t>
  </si>
  <si>
    <t>Area_SGI</t>
  </si>
  <si>
    <t>Descricao</t>
  </si>
  <si>
    <t>Causa</t>
  </si>
  <si>
    <t>Score_Inerente</t>
  </si>
  <si>
    <t>Score_Atual</t>
  </si>
  <si>
    <t>Nivel_Atual</t>
  </si>
  <si>
    <t>Dono</t>
  </si>
  <si>
    <t>Acao_Adotada_SGI</t>
  </si>
  <si>
    <t>Estado_SGI</t>
  </si>
  <si>
    <t>Efeito_Conformidade_Satisfacao</t>
  </si>
  <si>
    <t>Disrupcao</t>
  </si>
  <si>
    <t>Opcao_Tratamento</t>
  </si>
  <si>
    <t>Processo_SGQ</t>
  </si>
  <si>
    <t>Integracao_Processo</t>
  </si>
  <si>
    <t>Metodo_Eficacia</t>
  </si>
  <si>
    <t>KPI</t>
  </si>
  <si>
    <t>Resultado_Eficacia</t>
  </si>
  <si>
    <t>Data_Avaliacao</t>
  </si>
  <si>
    <t>Ligacoes_SGQ</t>
  </si>
  <si>
    <t>Proporcionalidade</t>
  </si>
  <si>
    <t>Alerta_Eficacia</t>
  </si>
  <si>
    <t>R1</t>
  </si>
  <si>
    <t>Sopro (ISBM)</t>
  </si>
  <si>
    <t>Instabilidade da espessura de parede na ISBM-003 gera frascos fora de especificação e lotes rejeitados/refeitos</t>
  </si>
  <si>
    <t>Programação do parison instável: dispersão de espessura (RangeR ≈ 3,0× as demais ISBM) com viés para ombro fino</t>
  </si>
  <si>
    <t>Alto</t>
  </si>
  <si>
    <t>Gerente de Produção</t>
  </si>
  <si>
    <t>Mitigar</t>
  </si>
  <si>
    <t>Em andamento</t>
  </si>
  <si>
    <t>Frascos com espessura fora de especificação e lotes rejeitados</t>
  </si>
  <si>
    <t>Não</t>
  </si>
  <si>
    <t>Alterar a probabilidade</t>
  </si>
  <si>
    <t>SOP</t>
  </si>
  <si>
    <t>PC-SOP-01 rev. 04: SPC de espessura por cavidade; manutenção do perfil de aquecimento</t>
  </si>
  <si>
    <t>Taxa de rejeição ISBM-003 ≤ 2,5% durante 3 meses</t>
  </si>
  <si>
    <t>KPI-Q-01</t>
  </si>
  <si>
    <t>Por avaliar</t>
  </si>
  <si>
    <t>CAPA-Q-26-04</t>
  </si>
  <si>
    <t>R2</t>
  </si>
  <si>
    <t>Desgaste acumulado do molde M-SOP-007 (ISBM-001) eleva Flash/Leakage até a reforma</t>
  </si>
  <si>
    <t>Desgaste do molde cresce com as unidades acumuladas; sem contador de ciclos desde a reforma, a ação ocorre só após o lote falhar</t>
  </si>
  <si>
    <t>Médio</t>
  </si>
  <si>
    <t>Gerente de Manutenção</t>
  </si>
  <si>
    <t>Aberto</t>
  </si>
  <si>
    <t>Flash e fugas em frascos do molde M-SOP-007</t>
  </si>
  <si>
    <t>Eliminar a fonte de risco</t>
  </si>
  <si>
    <t>MAN</t>
  </si>
  <si>
    <t>Reforma do molde e manutenção por contador de ciclos (PFMEA RPN 280 → 120)</t>
  </si>
  <si>
    <t>Leakage em M-SOP-007 &lt; 300 ppm após reforma</t>
  </si>
  <si>
    <t>Eficaz</t>
  </si>
  <si>
    <t>MOC-Q-26-07</t>
  </si>
  <si>
    <t>R3</t>
  </si>
  <si>
    <t>Paradas não planejadas recorrentes na ISBM-005 por envelhecimento hidráulico reduzem a disponibilidade</t>
  </si>
  <si>
    <t>Envelhecimento do sistema hidráulico: frequência de paradas ≈ 2,3× a base; sem análise de condição por horas de operação</t>
  </si>
  <si>
    <t>Paragens da ISBM-005 atrasam entregas</t>
  </si>
  <si>
    <t>Sim</t>
  </si>
  <si>
    <t>Plano preventivo hidráulico por horas; peças críticas em stock</t>
  </si>
  <si>
    <t>MTBF ISBM-005 ≥ 12 h</t>
  </si>
  <si>
    <t>KPI-Q-07</t>
  </si>
  <si>
    <t>Não eficaz</t>
  </si>
  <si>
    <t>RG-SGQ-02 tbl_maquinas</t>
  </si>
  <si>
    <t>R4</t>
  </si>
  <si>
    <t>Injeção</t>
  </si>
  <si>
    <t>Short shot e variação de peso na IM-002 causados por banda de aquecimento marginal e janela de parâmetros inadequada</t>
  </si>
  <si>
    <t>Banda de aquecimento do canhão marginal: interação temperatura × velocidade de injeção fora da janela ótima</t>
  </si>
  <si>
    <t>Short shot e variação de peso em tampas da IM-002</t>
  </si>
  <si>
    <t>INJ</t>
  </si>
  <si>
    <t>Nova janela de parâmetros validada por DOE (MOC-Q-26-05)</t>
  </si>
  <si>
    <t>Taxa de defeito IM-002 ≤ 0,38% (meta DMAIC)</t>
  </si>
  <si>
    <t>MOC-Q-26-05; PRJ-Q-01</t>
  </si>
  <si>
    <t>R5</t>
  </si>
  <si>
    <t>Flash crescente na IM-004 em campanhas longas entre trocas de molde (acúmulo de ciclos desde o setup)</t>
  </si>
  <si>
    <t>Campanhas de até 930 mil unidades sem troca; o desgaste do molde cresce com os ciclos e não há contador nem limite de reação</t>
  </si>
  <si>
    <t>Flash em tampas em campanhas longas</t>
  </si>
  <si>
    <t>Limpeza de respiros a cada 50 000 ciclos no MES</t>
  </si>
  <si>
    <t>Flash IM-004 &lt; 4 000 ppm</t>
  </si>
  <si>
    <t>R6</t>
  </si>
  <si>
    <t>Serigrafia</t>
  </si>
  <si>
    <t>Pico de falha de adesão de tinta em FR-007-PP-350 (SS-002) ligado a lote de resina PP marginal</t>
  </si>
  <si>
    <t>Interação entrada × processo: lote de PP do fornecedor SUP-005 na janela marginal + sensibilidade do processo de decoração</t>
  </si>
  <si>
    <t>Falha de aderência da decoração (reclamação de cliente)</t>
  </si>
  <si>
    <t>SER</t>
  </si>
  <si>
    <t>Ensaio de aderência no arranque e a meio do lote (PC-DEC-01 rev. 03)</t>
  </si>
  <si>
    <t>Zero lotes com adesão NC em 3 meses</t>
  </si>
  <si>
    <t>KPI-Q-02</t>
  </si>
  <si>
    <t>CAPA-Q-26-03</t>
  </si>
  <si>
    <t>R7</t>
  </si>
  <si>
    <t>Degradação de confiabilidade da SS-001 (desgaste de rolete/rasqueta e backlog de manutenção) eleva falhas e tempo de reparo</t>
  </si>
  <si>
    <t>Desgaste de rolete/rasqueta com backlog de manutenção: MTTR subiu de ≈ 1,7 h para ≈ 3,5 h até jun/2026</t>
  </si>
  <si>
    <t>Concluído</t>
  </si>
  <si>
    <t>Defeitos e atrasos na serigrafia SS-001</t>
  </si>
  <si>
    <t>Plano de rolete/rasqueta por contador; backlog de manutenção a zero</t>
  </si>
  <si>
    <t>MTTR SS-001 ≤ 1,8 h</t>
  </si>
  <si>
    <t>R8</t>
  </si>
  <si>
    <t>Hot Foil</t>
  </si>
  <si>
    <t>Transferência incompleta de foil na HF-001 em alta velocidade, com velocidade real de linha não registrada</t>
  </si>
  <si>
    <t>Velocidade elevada estreita a janela do processo; o parâmetro não é registrado por ordem (só recuperado por ActualCycleTimeSec)</t>
  </si>
  <si>
    <t>Transferência incompleta de foil</t>
  </si>
  <si>
    <t>HFS</t>
  </si>
  <si>
    <t>Registo da velocidade real e limite de 60 golpes/min</t>
  </si>
  <si>
    <t>Foil Transfer &lt; 250 ppm</t>
  </si>
  <si>
    <t>R9</t>
  </si>
  <si>
    <t>Produção (transversal)</t>
  </si>
  <si>
    <t>Prêmio de defeito no turno 2 (fadiga/handover) eleva a rejeição em todos os processos</t>
  </si>
  <si>
    <t>Fadiga e passagem de turno (handover); carga e supervisão diferentes no turno 14h–22h</t>
  </si>
  <si>
    <t>Mais defeitos no turno 2 em todos os processos</t>
  </si>
  <si>
    <t>PCP</t>
  </si>
  <si>
    <t>Checklist de passagem de turno; reforço de inspetor no turno 2</t>
  </si>
  <si>
    <t>Diferença de rejeição turno 2 vs. média ≤ 0,2 pp</t>
  </si>
  <si>
    <t>RG-SGQ-03 GW-26-02</t>
  </si>
  <si>
    <t>R10</t>
  </si>
  <si>
    <t>Alta variabilidade de execução do operador OP-INJ-003 (dispersão 2× os pares, sem viés de média)</t>
  </si>
  <si>
    <t>Método de execução/medição inconsistente e possível ergonomia; RangeR ≈ 5,0 vs ≈ 2,5 dos pares com média semelhante</t>
  </si>
  <si>
    <t>Baixo</t>
  </si>
  <si>
    <t>Variação de peso atribuída ao operador OP-INJ-003</t>
  </si>
  <si>
    <t>RH</t>
  </si>
  <si>
    <t>Retreino e validação no posto (RG-SGQ-07)</t>
  </si>
  <si>
    <t>Desvio-padrão do operador ≤ 1,3× pares</t>
  </si>
  <si>
    <t>KPI-Q-18</t>
  </si>
  <si>
    <t>R11</t>
  </si>
  <si>
    <t>Contaminação (black specks) em frascos soprados ligada a lote de masterbatch/cor</t>
  </si>
  <si>
    <t>Lote de masterbatch com contaminação e purga insuficiente na troca de cor</t>
  </si>
  <si>
    <t>Pontos negros (contaminação) em frascos — reclamação crítica</t>
  </si>
  <si>
    <t>Partilhar o risco</t>
  </si>
  <si>
    <t>CMP</t>
  </si>
  <si>
    <t>Certificado de análise por lote de masterbatch e cláusula de qualidade no contrato SUP-008</t>
  </si>
  <si>
    <t>Black Specks &lt; 8 000 ppm</t>
  </si>
  <si>
    <t>RG-SGQ-12</t>
  </si>
  <si>
    <t>R12</t>
  </si>
  <si>
    <t>Engenharia de Processo</t>
  </si>
  <si>
    <t>Lançamento de novos produtos (FR-011/012-PET-400) com curva de aprendizado e defeitos elevados nas primeiras semanas</t>
  </si>
  <si>
    <t>Parâmetros e plano de controle ainda não estabilizados no lançamento; efeito de aprendizado de ~6 semanas</t>
  </si>
  <si>
    <t>Monitorar</t>
  </si>
  <si>
    <t>Defeitos elevados nas primeiras semanas dos produtos novos</t>
  </si>
  <si>
    <t>RD</t>
  </si>
  <si>
    <t>Lançamento com plano de controlo reforçado (safe launch) 6 semanas</t>
  </si>
  <si>
    <t>FPY dos SKU novos ≥ 90% à 6.ª semana</t>
  </si>
  <si>
    <t>Parcial</t>
  </si>
  <si>
    <t>DD-26-01 a DD-26-06</t>
  </si>
  <si>
    <t>R13</t>
  </si>
  <si>
    <t>Compras / Fornecedores</t>
  </si>
  <si>
    <t>Lotes de matéria-prima fora de especificação do fornecedor SUP-005 (compra spot, PP/PVC) chegam à produção</t>
  </si>
  <si>
    <t>Fornecedor spot (4 anos, sem contrato de longo prazo) com processo de fornecimento de maior taxa de lote fora de especificação</t>
  </si>
  <si>
    <t>Crítico</t>
  </si>
  <si>
    <t>Gerente de Compras</t>
  </si>
  <si>
    <t>Prevenir</t>
  </si>
  <si>
    <t>Lotes de resina fora de especificação chegam à produção</t>
  </si>
  <si>
    <t>Evitar o risco</t>
  </si>
  <si>
    <t>SUP-005 em aprovação condicional; 100% dos lotes com ensaio de MFI e humidade</t>
  </si>
  <si>
    <t>Lotes aceites SUP-005 ≥ 90%</t>
  </si>
  <si>
    <t>KPI-Q-08</t>
  </si>
  <si>
    <t>RG-SGQ-12; CAPA-Q-26-05</t>
  </si>
  <si>
    <t>R14</t>
  </si>
  <si>
    <t>Volatilidade de qualidade e disponibilidade de PCR/rPET e troca de fornecedor de HDPE-PCR</t>
  </si>
  <si>
    <t>Dependência de poucas fontes de material reciclado; transição SUP-001 → SUP-004 (mai–jun/2026) com curva de aprendizado</t>
  </si>
  <si>
    <t>Variação de qualidade e falta de PCR/rPET</t>
  </si>
  <si>
    <t>Segundo fornecedor de HDPE-PCR em qualificação</t>
  </si>
  <si>
    <t>Dois fornecedores aprovados por material PCR</t>
  </si>
  <si>
    <t>R15</t>
  </si>
  <si>
    <t>PCP / Planejamento</t>
  </si>
  <si>
    <t>Falta de matéria-prima interrompe ordens de produção (parada por Raw Material Shortage)</t>
  </si>
  <si>
    <t>Planejamento de compras sem cobertura mínima por material crítico e dependência de fornecedores spot</t>
  </si>
  <si>
    <t>Falta de MP interrompe ordens e entregas</t>
  </si>
  <si>
    <t>Alterar as consequências</t>
  </si>
  <si>
    <t>Stock de segurança de 10 dias para resinas críticas; aviso ao cliente (8.2.1 e)</t>
  </si>
  <si>
    <t>Zero paragens por falta de MP em 3 meses</t>
  </si>
  <si>
    <t>KPI-Q-20</t>
  </si>
  <si>
    <t>RG-SGQ-08 COMC-06</t>
  </si>
  <si>
    <t>R16</t>
  </si>
  <si>
    <t>Qualidade</t>
  </si>
  <si>
    <t>Escape de lote marginal ao cliente: passa na amostragem AQL, mas gera reclamação</t>
  </si>
  <si>
    <t>AQL decide o lote, mas não substitui indicadores antecedentes de processo; controle reativo em vez de detecção antecipada</t>
  </si>
  <si>
    <t>Lote marginal passa na amostragem AQL e gera reclamação</t>
  </si>
  <si>
    <t>LAB</t>
  </si>
  <si>
    <t>Inspeção reforçada (ISO 2859-1:2026) após 2 lotes rejeitados em 5; ensaio de fuga 100% nas linhas com leak tester</t>
  </si>
  <si>
    <t>PPM de cliente ≤ 150</t>
  </si>
  <si>
    <t>KPI-Q-03</t>
  </si>
  <si>
    <t>RG-SGQ-13</t>
  </si>
  <si>
    <t>R17</t>
  </si>
  <si>
    <t>Capacidade de processo marginal: 0% dos 190 grupos máquina×molde×característica atingem Cpk ≥ 1,33</t>
  </si>
  <si>
    <t>Centralização e dispersão inadequadas de forma generalizada; máquinas nomeadas (IM-002, ISBM-003) pioram uma base já modesta</t>
  </si>
  <si>
    <t>Capacidade marginal: variação dimensional leva a NC e reclamação</t>
  </si>
  <si>
    <t>Plano Cpk: características críticas com Cpk ≥ 1,33 até 2027</t>
  </si>
  <si>
    <t>% grupos críticos com Cpk ≥ 1,33</t>
  </si>
  <si>
    <t>KPI-Q-13</t>
  </si>
  <si>
    <t>OBJ-Q-04</t>
  </si>
  <si>
    <t>R18</t>
  </si>
  <si>
    <t>Rastreabilidade incompleta lote → ordem → produto final impede contenção rápida e RTY real</t>
  </si>
  <si>
    <t>Sem rota rastreável sopro → decoração → tampa → produto final; RTY hoje é proxy; parte das reclamações não liga a lote</t>
  </si>
  <si>
    <t>Rastreabilidade incompleta impede contenção rápida</t>
  </si>
  <si>
    <t>TI</t>
  </si>
  <si>
    <t>Rastreabilidade lote → ordem → cliente no ERP; exercício de recolha semestral</t>
  </si>
  <si>
    <t>Tempo de rastreio ≤ 4 h nos exercícios</t>
  </si>
  <si>
    <t>RG-SGQ-13 tbl_rastreio</t>
  </si>
  <si>
    <t>R19</t>
  </si>
  <si>
    <t>Dados / TI</t>
  </si>
  <si>
    <t>Parâmetros críticos (velocidade, ciclos, pressão, temperatura) não são registrados na hora, impedindo detecção antecipada</t>
  </si>
  <si>
    <t>Parâmetros ocultos (velocidade de linha, ciclos desde setup/reforma) são inferidos retrospectivamente por proxy</t>
  </si>
  <si>
    <t>Gerente de Dados / TI</t>
  </si>
  <si>
    <t>Parâmetros não registados: deteção tardia de desvios</t>
  </si>
  <si>
    <t>Recolha automática de parâmetros no MES (O3)</t>
  </si>
  <si>
    <t>% máquinas com parâmetros registados</t>
  </si>
  <si>
    <t>R20</t>
  </si>
  <si>
    <t>Backlog de CAPAs vencidas e baixa eficácia (31% não eficazes) permitem recorrência das não conformidades</t>
  </si>
  <si>
    <t>Sem priorização por risco, prazos irrealistas e verificação de eficácia não exigida antes do fechamento</t>
  </si>
  <si>
    <t>CAPA vencidas e ineficazes: recorrência das NC</t>
  </si>
  <si>
    <t>QUA</t>
  </si>
  <si>
    <t>Revisão semanal de CAPA; 8D para NC maiores; verificação de eficácia a 90 dias</t>
  </si>
  <si>
    <t>CAPA no prazo ≥ 85% e eficácia ≥ 80%</t>
  </si>
  <si>
    <t>KPI-Q-10; KPI-Q-11</t>
  </si>
  <si>
    <t>RG-SGQ-18</t>
  </si>
  <si>
    <t>R21</t>
  </si>
  <si>
    <t>Logística / Expedição</t>
  </si>
  <si>
    <t>Falhas logísticas (atraso, quantidade menor, produto errado) geram reclamações de cliente sem relação com a qualidade do produto</t>
  </si>
  <si>
    <t>Conferência de expedição e planejamento de carga insuficientes; falta de confirmação do pedido antes do envio</t>
  </si>
  <si>
    <t>Gerente de Logística</t>
  </si>
  <si>
    <t>Reclamações de serviço (atraso, quantidade, produto trocado)</t>
  </si>
  <si>
    <t>EXP</t>
  </si>
  <si>
    <t>Leitura de código de barras na carga; contagem por balança; confirmação de datas</t>
  </si>
  <si>
    <t>Reclamações de serviço ≤ 5/mês</t>
  </si>
  <si>
    <t>KPI-Q-05</t>
  </si>
  <si>
    <t>CAPA-Q-26-02</t>
  </si>
  <si>
    <t>R23</t>
  </si>
  <si>
    <t>Recursos Humanos</t>
  </si>
  <si>
    <t>Indisponibilidade de operadores (maior causa de parada não planejada) reduz a utilização das máquinas</t>
  </si>
  <si>
    <t>Escala rígida, absentismo, baixa polivalência e turnos com cobertura mínima</t>
  </si>
  <si>
    <t>Gerente de RH</t>
  </si>
  <si>
    <t>Falta de operadores reduz capacidade e competência no posto</t>
  </si>
  <si>
    <t>Polivalência mínima de 2 pessoas por posto crítico</t>
  </si>
  <si>
    <t>Cobertura da matriz de polivalência ≥ 80%</t>
  </si>
  <si>
    <t>R24</t>
  </si>
  <si>
    <t>Gestão Financeira</t>
  </si>
  <si>
    <t>Erosão de margem por perdas de qualidade (scrap, refação, reclamações) acima da meta</t>
  </si>
  <si>
    <t>Perdas dominantes por processo sem priorização financeira; foco no KPI em vez do mecanismo</t>
  </si>
  <si>
    <t>Gerente Financeiro</t>
  </si>
  <si>
    <t>Custo da não qualidade acima da meta</t>
  </si>
  <si>
    <t>GES</t>
  </si>
  <si>
    <t>COQ mensal na revisão pela gestão</t>
  </si>
  <si>
    <t>COQ falhas ≤ 3% das vendas</t>
  </si>
  <si>
    <t>KPI-Q-16</t>
  </si>
  <si>
    <t>RG-SGQ-19</t>
  </si>
  <si>
    <t>R26</t>
  </si>
  <si>
    <t>Indisponibilidade ou corrupção do warehouse/pipeline de dados que sustenta os KPIs e as decisões</t>
  </si>
  <si>
    <t>Carga bronze → silver → gold sem monitoramento de qualidade nem plano de recuperação testado</t>
  </si>
  <si>
    <t>Dados corrompidos levam a decisões erradas sobre produto</t>
  </si>
  <si>
    <t>Cópias de segurança diárias e testes de pipeline</t>
  </si>
  <si>
    <t>Incidentes de dados = 0</t>
  </si>
  <si>
    <t>—</t>
  </si>
  <si>
    <t>R33</t>
  </si>
  <si>
    <t>Gestão Comercial</t>
  </si>
  <si>
    <t>Requisitos do PPWR (Reg. UE 2025/40) e dos clientes europeus de reciclabilidade e conteúdo reciclado não atendidos pelo portfólio</t>
  </si>
  <si>
    <t>Portfólio sem avaliação de design para reciclagem e dependência de dados de fornecedores sobre conteúdo reciclado e composição</t>
  </si>
  <si>
    <t>Diretor Industrial</t>
  </si>
  <si>
    <t>Portfólio não cumpre requisitos PPWR e de clientes europeus</t>
  </si>
  <si>
    <t>Assumir o risco para perseguir uma oportunidade</t>
  </si>
  <si>
    <t>Dossier técnico PPWR como saída obrigatória do D&amp;D</t>
  </si>
  <si>
    <t>Famílias com dossier PPWR</t>
  </si>
  <si>
    <t>DD-26-01</t>
  </si>
  <si>
    <t>R34</t>
  </si>
  <si>
    <t>Gestão Estratégica</t>
  </si>
  <si>
    <t>Alterações climáticas e escassez hídrica reduzem a resiliência operacional (calor, água de arrefecimento, cadeia de abastecimento)</t>
  </si>
  <si>
    <t>Consumo relevante de água de arrefecimento e eletricidade; eventos de calor e restrições hídricas mais frequentes</t>
  </si>
  <si>
    <t>Aprofundar análise</t>
  </si>
  <si>
    <t>Calor e seca afetam o arrefecimento e a continuidade</t>
  </si>
  <si>
    <t>Plano de verão: chiller de reserva, janela de processo de calor validada</t>
  </si>
  <si>
    <t>Zero lotes NC por temperatura no verão</t>
  </si>
  <si>
    <t>RG-SGQ-02 AMB-01</t>
  </si>
  <si>
    <t>R36</t>
  </si>
  <si>
    <t>Lotes de resina fora de especificação e declarações de conteúdo reciclado não verificadas de fornecedores spot (SUP-005) e de PCR.</t>
  </si>
  <si>
    <t>Compras spot sem avaliação ambiental; volatilidade do mercado de PCR.</t>
  </si>
  <si>
    <t>Responsável de Compras</t>
  </si>
  <si>
    <t>Resina spot fora de especificação e declarações PCR não verificadas</t>
  </si>
  <si>
    <t>Sem novas compras spot sem aprovação da Qualidade</t>
  </si>
  <si>
    <t>Compras spot aprovadas = 100%</t>
  </si>
  <si>
    <t>OPORTUNIDADES DA QUALIDADE (6.1.3 — novo em 2026)</t>
  </si>
  <si>
    <t>Avaliação da eficácia separada da dos riscos (9.1.3 f; 9.3.2 h)</t>
  </si>
  <si>
    <t>ID_Oport</t>
  </si>
  <si>
    <t>Beneficio_SGI</t>
  </si>
  <si>
    <t>Score</t>
  </si>
  <si>
    <t>Nivel</t>
  </si>
  <si>
    <t>Decisao_SGI</t>
  </si>
  <si>
    <t>Efeito_Desejado</t>
  </si>
  <si>
    <t>O1</t>
  </si>
  <si>
    <t>Padronizar a janela de parâmetros validada no DOE da IM-002 e replicar à frota de injeção</t>
  </si>
  <si>
    <t>Menos short shot e refugo; Cpk do peso maior</t>
  </si>
  <si>
    <t>Explorar</t>
  </si>
  <si>
    <t>Menos defeitos na frota de injeção</t>
  </si>
  <si>
    <t>Replicar a janela validada do DOE às IM-001/003–008</t>
  </si>
  <si>
    <t>Taxa de defeito média da injeção −30%</t>
  </si>
  <si>
    <t>MOC-Q-26-05</t>
  </si>
  <si>
    <t>O2</t>
  </si>
  <si>
    <t>Manutenção</t>
  </si>
  <si>
    <t>Manutenção baseada em condição/ciclos com contadores CiclosDesdeSetup e CiclosDesdeReforma</t>
  </si>
  <si>
    <t>Intervir antes do escape; menos lotes refeitos e menos reclamações</t>
  </si>
  <si>
    <t>Menos flash/fugas por manutenção de moldes baseada em ciclos</t>
  </si>
  <si>
    <t>Contadores de ciclos no MES</t>
  </si>
  <si>
    <t>Defeitos por molde após reforma</t>
  </si>
  <si>
    <t>O3</t>
  </si>
  <si>
    <t>Dashboard de causa-raiz e KRIs em tempo quase real integrando qualidade, manutenção, produção e ambiente</t>
  </si>
  <si>
    <t>Decisão por evidência; detecção antecipada de desvios; base do painel ambiental</t>
  </si>
  <si>
    <t>Integrar ao planejamento estratégico</t>
  </si>
  <si>
    <t>Deteção precoce de desvios com painéis em tempo quase real</t>
  </si>
  <si>
    <t>Painel de SPC e KPI no Power BI com alertas</t>
  </si>
  <si>
    <t>Tempo entre desvio e reação &lt; 1 turno</t>
  </si>
  <si>
    <t>O4</t>
  </si>
  <si>
    <t>Reduzir a parada não planejada (Disponibilidade 87,4% → 90%) atacando operador indisponível, ar comprimido e matéria-prima</t>
  </si>
  <si>
    <t>+2,6 p.p. de disponibilidade e mais capacidade sem nova máquina</t>
  </si>
  <si>
    <t>Melhorar</t>
  </si>
  <si>
    <t>Mais disponibilidade = entregas no prazo</t>
  </si>
  <si>
    <t>Ataque às 3 maiores causas de paragem</t>
  </si>
  <si>
    <t>Disponibilidade 87,4% → 90%</t>
  </si>
  <si>
    <t>O5</t>
  </si>
  <si>
    <t>Programa Design for Recycling e conteúdo reciclado como diferencial com clientes europeus (PPWR)</t>
  </si>
  <si>
    <t>Diferenciação, retenção e novos negócios com clientes da UE</t>
  </si>
  <si>
    <t>Diferenciação com clientes europeus (design for recycling)</t>
  </si>
  <si>
    <t>Critérios de reciclabilidade nas entradas de D&amp;D</t>
  </si>
  <si>
    <t>N.º de projetos ganhos com argumento de circularidade</t>
  </si>
  <si>
    <t>O8</t>
  </si>
  <si>
    <t>Scorecard de fornecedor e migração de compras spot para contratos com critérios de qualidade</t>
  </si>
  <si>
    <t>Menos lotes fora de especificação, refações e reclamações</t>
  </si>
  <si>
    <t>Fornecedores mais fiáveis através de scorecard</t>
  </si>
  <si>
    <t>Scorecard mensal e reavaliação semestral (RG-SGQ-12)</t>
  </si>
  <si>
    <t>Lotes aceites ≥ 95%</t>
  </si>
  <si>
    <t>O9</t>
  </si>
  <si>
    <t>SMED nas trocas de molde e setup para reduzir tempo de parada e aumentar a flexibilidade</t>
  </si>
  <si>
    <t>Menos tempo de troca e trocas mais seguras (LOTO padronizado)</t>
  </si>
  <si>
    <t>Analisar viabilidade e custo-benefício</t>
  </si>
  <si>
    <t>Mais flexibilidade para lotes pequenos alimentar/farma</t>
  </si>
  <si>
    <t>SMED nas trocas de molde</t>
  </si>
  <si>
    <t>Tempo médio de troca −25%</t>
  </si>
  <si>
    <t>PRJ-Q-03</t>
  </si>
  <si>
    <t>O11</t>
  </si>
  <si>
    <t>Eliminar as causas upstream das refações de lote (“fábrica escondida”)</t>
  </si>
  <si>
    <t>Menos horas de refação e capacidade recuperada</t>
  </si>
  <si>
    <t>Eliminar refações escondidas (fábrica escondida)</t>
  </si>
  <si>
    <t>Registar retrabalho como NC e atacar as causas</t>
  </si>
  <si>
    <t>Custo de refação −50%</t>
  </si>
  <si>
    <t>O12</t>
  </si>
  <si>
    <t>Rastreabilidade ponta a ponta lote → produto final → cliente para RTY físico e menor custo de reclamação</t>
  </si>
  <si>
    <t>Contenção rápida e melhor taxonomia de reclamações</t>
  </si>
  <si>
    <t>Contenção rápida e menor custo de reclamação</t>
  </si>
  <si>
    <t>Rastreabilidade ponta a ponta</t>
  </si>
  <si>
    <t>Tempo de rastreio ≤ 4 h</t>
  </si>
  <si>
    <t>O13</t>
  </si>
  <si>
    <t>Laboratório da Qualidade</t>
  </si>
  <si>
    <t>Inspeção automática por visão nas características críticas de decoração e de aparência</t>
  </si>
  <si>
    <t>Detecção 100% em pontos críticos e menor custo de avaliação</t>
  </si>
  <si>
    <t>Reter para avaliação futura</t>
  </si>
  <si>
    <t>Deteção a 100% de defeitos de decoração</t>
  </si>
  <si>
    <t>Visão artificial na HF-001 (investimento aprovado)</t>
  </si>
  <si>
    <t>Reclamações de decoração −50%</t>
  </si>
  <si>
    <t>KPI-Q-04</t>
  </si>
  <si>
    <t>PRJ-Q-04</t>
  </si>
  <si>
    <t>O14</t>
  </si>
  <si>
    <t>Planejar capacidade e turnos para o pico sazonal de setembro–novembro</t>
  </si>
  <si>
    <t>Entregas no prazo no pico sem aumentar defeitos sensíveis à velocidade</t>
  </si>
  <si>
    <t>Cumprir o pico set–nov sem perder qualidade</t>
  </si>
  <si>
    <t>Plano de capacidade e reforço de inspetores</t>
  </si>
  <si>
    <t>Rejeição set–nov ≤ média anual</t>
  </si>
  <si>
    <t>PFMEA DE PROCESSO — OCORRÊNCIA A PARTIR DOS DADOS REAIS DE INSPEÇÃO</t>
  </si>
  <si>
    <t>Inspeção por atributos ISO 2859-1, 2025-07-01 a 2026-12-31 · O, RPN e prioridade calculados · S e D definidos pela equipa (ver comentários)</t>
  </si>
  <si>
    <t>ID_FMEA</t>
  </si>
  <si>
    <t>Processo</t>
  </si>
  <si>
    <t>Caracteristica</t>
  </si>
  <si>
    <t>Classe</t>
  </si>
  <si>
    <t>Modo_Falha</t>
  </si>
  <si>
    <t>Efeito</t>
  </si>
  <si>
    <t>S</t>
  </si>
  <si>
    <t>Unidades_Inspecionadas</t>
  </si>
  <si>
    <t>Defeitos</t>
  </si>
  <si>
    <t>PPM_Observado</t>
  </si>
  <si>
    <t>O</t>
  </si>
  <si>
    <t>Controlo_Detecao</t>
  </si>
  <si>
    <t>D</t>
  </si>
  <si>
    <t>RPN</t>
  </si>
  <si>
    <t>Prioridade_Acao</t>
  </si>
  <si>
    <t>Acao_Recomendada</t>
  </si>
  <si>
    <t>PFMEA-01</t>
  </si>
  <si>
    <t>Aderência do foil</t>
  </si>
  <si>
    <t>Crítica</t>
  </si>
  <si>
    <t>Foil destaca</t>
  </si>
  <si>
    <t>Perda do conteúdo / segurança do consumidor; reclamação crítica e possível recolha</t>
  </si>
  <si>
    <t>Temperatura do cunho</t>
  </si>
  <si>
    <t>Visual (vision)</t>
  </si>
  <si>
    <t>PFMEA-02</t>
  </si>
  <si>
    <t>Transferência do foil</t>
  </si>
  <si>
    <t>Foil não transfere</t>
  </si>
  <si>
    <t>Velocidade alta / temperatura baixa</t>
  </si>
  <si>
    <t>Limitar velocidade; visão artificial HF-001</t>
  </si>
  <si>
    <t>PFMEA-03</t>
  </si>
  <si>
    <t>Cobertura de tinta</t>
  </si>
  <si>
    <t>Maior</t>
  </si>
  <si>
    <t>Cobertura insuficiente</t>
  </si>
  <si>
    <t>Falha funcional ou estética grave; rejeição pelo cliente na linha de enchimento</t>
  </si>
  <si>
    <t>Pressão da rasqueta / viscosidade da tinta</t>
  </si>
  <si>
    <t>PFMEA-04</t>
  </si>
  <si>
    <t>Definição de contornos</t>
  </si>
  <si>
    <t>Contorno mal definido</t>
  </si>
  <si>
    <t>Pressão do cunho</t>
  </si>
  <si>
    <t>PFMEA-05</t>
  </si>
  <si>
    <t>Resistência à fricção</t>
  </si>
  <si>
    <t>Decoração sai por fricção</t>
  </si>
  <si>
    <t>Foil inadequado ao substrato</t>
  </si>
  <si>
    <t>PFMEA-06</t>
  </si>
  <si>
    <t>Ensaio de queda</t>
  </si>
  <si>
    <t>Rotura em queda</t>
  </si>
  <si>
    <t>Espessura baixa na base</t>
  </si>
  <si>
    <t>Drop Test</t>
  </si>
  <si>
    <t>PFMEA-07</t>
  </si>
  <si>
    <t>Vedação</t>
  </si>
  <si>
    <t>Tampa não veda</t>
  </si>
  <si>
    <t>Variação dimensional do vedante</t>
  </si>
  <si>
    <t>Leak Test</t>
  </si>
  <si>
    <t>Controlo dimensional do vedante por SPC</t>
  </si>
  <si>
    <t>PFMEA-08</t>
  </si>
  <si>
    <t>Anel de inviolabilidade</t>
  </si>
  <si>
    <t>Anel de inviolabilidade não separa/separa antes da abertura</t>
  </si>
  <si>
    <t>Pontes do anel mal dimensionadas na ferramenta nova (TE-012)</t>
  </si>
  <si>
    <t>Pull Test</t>
  </si>
  <si>
    <t>Rever pontes da ferramenta TE-012 e ensaio 100% em linha até Cpk ≥ 1,33</t>
  </si>
  <si>
    <t>PFMEA-09</t>
  </si>
  <si>
    <t>Rosca</t>
  </si>
  <si>
    <t>Rosca deformada</t>
  </si>
  <si>
    <t>Arrefecimento insuficiente</t>
  </si>
  <si>
    <t>Go/No-Go</t>
  </si>
  <si>
    <t>PFMEA-10</t>
  </si>
  <si>
    <t>Rebarba</t>
  </si>
  <si>
    <t>Rebarba no plano de junta</t>
  </si>
  <si>
    <t>Força de fecho insuficiente, desgaste do plano de junta</t>
  </si>
  <si>
    <t>Manutenção de moldes por contador de ciclos</t>
  </si>
  <si>
    <t>PFMEA-11</t>
  </si>
  <si>
    <t>Injeção incompleta</t>
  </si>
  <si>
    <t>Peça incompleta</t>
  </si>
  <si>
    <t>Temperatura / velocidade de injeção (IM-002)</t>
  </si>
  <si>
    <t>Janela de parâmetros validada por DOE</t>
  </si>
  <si>
    <t>PFMEA-12</t>
  </si>
  <si>
    <t>Cor</t>
  </si>
  <si>
    <t>Menor</t>
  </si>
  <si>
    <t>Cor fora do padrão</t>
  </si>
  <si>
    <t>Defeito estético; reclamação menor</t>
  </si>
  <si>
    <t>Dosagem de masterbatch</t>
  </si>
  <si>
    <t>PFMEA-13</t>
  </si>
  <si>
    <t>Mancha</t>
  </si>
  <si>
    <t>Óleo/limpeza do molde</t>
  </si>
  <si>
    <t>PFMEA-14</t>
  </si>
  <si>
    <t>Aderência</t>
  </si>
  <si>
    <t>Tinta destaca</t>
  </si>
  <si>
    <t>Tratamento de superfície insuficiente / resina marginal</t>
  </si>
  <si>
    <t>Cross Hatch</t>
  </si>
  <si>
    <t>Ensaio no arranque e a meio do lote</t>
  </si>
  <si>
    <t>PFMEA-15</t>
  </si>
  <si>
    <t>Centragem</t>
  </si>
  <si>
    <t>Decoração descentrada</t>
  </si>
  <si>
    <t>Posicionamento do frasco</t>
  </si>
  <si>
    <t>Visual</t>
  </si>
  <si>
    <t>PFMEA-16</t>
  </si>
  <si>
    <t>Cura</t>
  </si>
  <si>
    <t>Tinta mal curada</t>
  </si>
  <si>
    <t>Potência UV degradada</t>
  </si>
  <si>
    <t>MEK Rub Test</t>
  </si>
  <si>
    <t>PFMEA-17</t>
  </si>
  <si>
    <t>Registo de impressão</t>
  </si>
  <si>
    <t>Desalinhamento da impressão</t>
  </si>
  <si>
    <t>Folga do suporte do ecrã</t>
  </si>
  <si>
    <t>PFMEA-18</t>
  </si>
  <si>
    <t>PFMEA-19</t>
  </si>
  <si>
    <t>PFMEA-20</t>
  </si>
  <si>
    <t>Microfuros</t>
  </si>
  <si>
    <t>Microfuros na tinta</t>
  </si>
  <si>
    <t>Ecrã sujo</t>
  </si>
  <si>
    <t>PFMEA-21</t>
  </si>
  <si>
    <t>Borrão</t>
  </si>
  <si>
    <t>Velocidade excessiva</t>
  </si>
  <si>
    <t>PFMEA-22</t>
  </si>
  <si>
    <t>Estanquidade (fuga)</t>
  </si>
  <si>
    <t>Frasco com fuga</t>
  </si>
  <si>
    <t>Desgaste do molde / parâmetros de sopro</t>
  </si>
  <si>
    <t>Leak tester 100% em linha nas ISBM sem deteção automática</t>
  </si>
  <si>
    <t>PFMEA-23</t>
  </si>
  <si>
    <t>Bolhas</t>
  </si>
  <si>
    <t>Bolhas na parede</t>
  </si>
  <si>
    <t>Humidade da resina</t>
  </si>
  <si>
    <t>PFMEA-24</t>
  </si>
  <si>
    <t>Rebarba de corte</t>
  </si>
  <si>
    <t>Faca de corte gasta</t>
  </si>
  <si>
    <t>PFMEA-25</t>
  </si>
  <si>
    <t>PFMEA-26</t>
  </si>
  <si>
    <t>Pontos negros</t>
  </si>
  <si>
    <t>Pontos negros (contaminação)</t>
  </si>
  <si>
    <t>Contaminação do masterbatch / degradação no cilindro</t>
  </si>
  <si>
    <t>Certificado por lote de masterbatch; purga do cilindro</t>
  </si>
  <si>
    <t>PFMEA-27</t>
  </si>
  <si>
    <t>PFMEA-28</t>
  </si>
  <si>
    <t>PFMEA-29</t>
  </si>
  <si>
    <t>Transparência</t>
  </si>
  <si>
    <t>Falta de transparência</t>
  </si>
  <si>
    <t>Resina húmida ou mal seca</t>
  </si>
  <si>
    <t>RESUMO DE RISCOS E OPORTUNIDADES DA QUALIDADE — calculado</t>
  </si>
  <si>
    <t>Entradas 9.3.2 g) e h) da revisão pela gestão</t>
  </si>
  <si>
    <t>Resultado da eficácia</t>
  </si>
  <si>
    <t>Riscos (6.1.2)</t>
  </si>
  <si>
    <t>Oportunidades (6.1.3)</t>
  </si>
  <si>
    <t>Total</t>
  </si>
  <si>
    <t>Opção de tratamento (6.1.2 Nota 2)</t>
  </si>
  <si>
    <t>N.º de riscos</t>
  </si>
  <si>
    <t>dos quais disrupção</t>
  </si>
  <si>
    <t>Manter o risco por decisão informada</t>
  </si>
  <si>
    <t>PFMEA — prioridade de ação</t>
  </si>
  <si>
    <t>N.º de linhas</t>
  </si>
  <si>
    <t>RPN máximo</t>
  </si>
  <si>
    <t>Alta</t>
  </si>
  <si>
    <t>Média</t>
  </si>
  <si>
    <t>Baixa</t>
  </si>
  <si>
    <t>LISTAS CONTROLADAS (domínios de validação de dados) — editar aqui para alterar opções</t>
  </si>
  <si>
    <t>DataReferencia</t>
  </si>
  <si>
    <t>SimNao</t>
  </si>
  <si>
    <t>Opcao</t>
  </si>
  <si>
    <t>Eficacia</t>
  </si>
  <si>
    <t>COM</t>
  </si>
  <si>
    <t>REC</t>
  </si>
  <si>
    <t>MET</t>
  </si>
  <si>
    <t>DOC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</si>
  <si>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</si>
  <si>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</si>
  <si>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</si>
  <si>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</si>
  <si>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</si>
  <si>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</si>
  <si>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</si>
  <si>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</si>
  <si>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tbl_riscos_q</t>
  </si>
  <si>
    <t>Texto</t>
  </si>
  <si>
    <t>Entrada</t>
  </si>
  <si>
    <t>ID no registo corporativo.</t>
  </si>
  <si>
    <t>PK / FK → RG-SGA-02</t>
  </si>
  <si>
    <t>Copiado do RG-SGA-02 na geração (não editar aqui).</t>
  </si>
  <si>
    <t>Decimal</t>
  </si>
  <si>
    <t>Efeito indesejado na capacidade de fornecer produto conforme e de aumentar a satisfação (6.1.2).</t>
  </si>
  <si>
    <t>Risco relacionado com disrupção — capacidade de fornecer durante/após uma disrupção (6.1.2 Nota 1).</t>
  </si>
  <si>
    <t>Lista lst_SimNao</t>
  </si>
  <si>
    <t>Opção de tratamento (6.1.2 Nota 2).</t>
  </si>
  <si>
    <t>Lista lst_Opcao</t>
  </si>
  <si>
    <t>Processo onde a ação é integrada.</t>
  </si>
  <si>
    <t>Lista lst_Processo</t>
  </si>
  <si>
    <t>FK → dim processo</t>
  </si>
  <si>
    <t>Como a ação é integrada e implementada no processo (6.1.2 b1).</t>
  </si>
  <si>
    <t>Como se avalia a eficácia (6.1.2 b2).</t>
  </si>
  <si>
    <t>Indicador.</t>
  </si>
  <si>
    <t>FK → RG-SGQ-05</t>
  </si>
  <si>
    <t>Resultado da avaliação da eficácia (9.1.3 e).</t>
  </si>
  <si>
    <t>Lista lst_Eficacia</t>
  </si>
  <si>
    <t>Data (aaaa-mm-dd)</t>
  </si>
  <si>
    <t>Data da avaliação.</t>
  </si>
  <si>
    <t>CAPA, MOC, projeto ou registo SGQ.</t>
  </si>
  <si>
    <t>Calculado (fórmula)</t>
  </si>
  <si>
    <t>Ações proporcionais ao impacto potencial (6.1.2): risco alto mantido → rever; risco baixo evitado → avaliar custo.</t>
  </si>
  <si>
    <t>Sinal para a revisão pela gestão (9.3.2 g).</t>
  </si>
  <si>
    <t>tbl_oport_q</t>
  </si>
  <si>
    <t>Efeito desejado na conformidade e na satisfação do cliente (6.1.3).</t>
  </si>
  <si>
    <t>6.1.3 b1).</t>
  </si>
  <si>
    <t>6.1.3 b2).</t>
  </si>
  <si>
    <t>9.1.3 f).</t>
  </si>
  <si>
    <t>Data.</t>
  </si>
  <si>
    <t>Ligações.</t>
  </si>
  <si>
    <t>tbl_pfmea</t>
  </si>
  <si>
    <t>Linha da PFMEA.</t>
  </si>
  <si>
    <t>PK</t>
  </si>
  <si>
    <t>Processo.</t>
  </si>
  <si>
    <t>Característica do plano de controlo.</t>
  </si>
  <si>
    <t>Classe da característica.</t>
  </si>
  <si>
    <t>Lista lst_Classe</t>
  </si>
  <si>
    <t>Modo de falha potencial.</t>
  </si>
  <si>
    <t>Efeito no cliente.</t>
  </si>
  <si>
    <t>Inteiro</t>
  </si>
  <si>
    <t>Severidade 1–10 (10 = segurança do consumidor / requisito legal).</t>
  </si>
  <si>
    <t>Causa principal conhecida.</t>
  </si>
  <si>
    <t>Unidades inspecionadas por atributos no período (dataset).</t>
  </si>
  <si>
    <t>Defeitos encontrados (dataset).</t>
  </si>
  <si>
    <t>Defeitos por milhão observados na inspeção.</t>
  </si>
  <si>
    <t>Ocorrência calculada pelo ppm observado (escala: ≥100 000→10 … &gt;0→2; 0→1).</t>
  </si>
  <si>
    <t>Método de deteção do plano de controlo.</t>
  </si>
  <si>
    <t>Deteção 1–10 (visão 3, ensaio de fuga 3, passa/não passa 4, visual por amostragem 7).</t>
  </si>
  <si>
    <t>S × O × D.</t>
  </si>
  <si>
    <t>Prioridade de ação simplificada (inspirada na tabela AP AIAG-VDA): severidade primeiro, depois ocorrência e deteção.</t>
  </si>
  <si>
    <t>Ação para reduzir O ou D.</t>
  </si>
  <si>
    <t>Risco SGI relacionado.</t>
  </si>
  <si>
    <t>FK → RG-SGA-02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</si>
</sst>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9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iscos_q" displayName="tbl_riscos_q" ref="A4:V31">
  <autoFilter ref="A4:V31" xr:uid="{00000000-0009-0000-0100-000001000000}"/>
  <tableColumns count="22">
    <tableColumn id="1" xr3:uid="{00000000-0010-0000-0000-000001000000}" name="ID_Risco"/>
    <tableColumn id="2" xr3:uid="{00000000-0010-0000-0000-000002000000}" name="Area_SGI"/>
    <tableColumn id="3" xr3:uid="{00000000-0010-0000-0000-000003000000}" name="Descricao"/>
    <tableColumn id="4" xr3:uid="{00000000-0010-0000-0000-000004000000}" name="Causa"/>
    <tableColumn id="5" xr3:uid="{00000000-0010-0000-0000-000005000000}" name="Score_Inerente"/>
    <tableColumn id="6" xr3:uid="{00000000-0010-0000-0000-000006000000}" name="Score_Atual"/>
    <tableColumn id="7" xr3:uid="{00000000-0010-0000-0000-000007000000}" name="Nivel_Atual"/>
    <tableColumn id="8" xr3:uid="{00000000-0010-0000-0000-000008000000}" name="Dono"/>
    <tableColumn id="9" xr3:uid="{00000000-0010-0000-0000-000009000000}" name="Acao_Adotada_SGI"/>
    <tableColumn id="10" xr3:uid="{00000000-0010-0000-0000-00000A000000}" name="Estado_SGI"/>
    <tableColumn id="11" xr3:uid="{00000000-0010-0000-0000-00000B000000}" name="Efeito_Conformidade_Satisfacao"/>
    <tableColumn id="12" xr3:uid="{00000000-0010-0000-0000-00000C000000}" name="Disrupcao"/>
    <tableColumn id="13" xr3:uid="{00000000-0010-0000-0000-00000D000000}" name="Opcao_Tratamento"/>
    <tableColumn id="14" xr3:uid="{00000000-0010-0000-0000-00000E000000}" name="Processo_SGQ"/>
    <tableColumn id="15" xr3:uid="{00000000-0010-0000-0000-00000F000000}" name="Integracao_Processo"/>
    <tableColumn id="16" xr3:uid="{00000000-0010-0000-0000-000010000000}" name="Metodo_Eficacia"/>
    <tableColumn id="17" xr3:uid="{00000000-0010-0000-0000-000011000000}" name="KPI"/>
    <tableColumn id="18" xr3:uid="{00000000-0010-0000-0000-000012000000}" name="Resultado_Eficacia"/>
    <tableColumn id="19" xr3:uid="{00000000-0010-0000-0000-000013000000}" name="Data_Avaliacao"/>
    <tableColumn id="20" xr3:uid="{00000000-0010-0000-0000-000014000000}" name="Ligacoes_SGQ"/>
    <tableColumn id="21" xr3:uid="{00000000-0010-0000-0000-000015000000}" name="Proporcionalidade"/>
    <tableColumn id="22" xr3:uid="{00000000-0010-0000-0000-000016000000}" name="Alerta_Efica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oport_q" displayName="tbl_oport_q" ref="A4:P15">
  <autoFilter ref="A4:P15" xr:uid="{00000000-0009-0000-0100-000002000000}"/>
  <tableColumns count="16">
    <tableColumn id="1" xr3:uid="{00000000-0010-0000-0100-000001000000}" name="ID_Oport"/>
    <tableColumn id="2" xr3:uid="{00000000-0010-0000-0100-000002000000}" name="Area_SGI"/>
    <tableColumn id="3" xr3:uid="{00000000-0010-0000-0100-000003000000}" name="Descricao"/>
    <tableColumn id="4" xr3:uid="{00000000-0010-0000-0100-000004000000}" name="Beneficio_SGI"/>
    <tableColumn id="5" xr3:uid="{00000000-0010-0000-0100-000005000000}" name="Score"/>
    <tableColumn id="6" xr3:uid="{00000000-0010-0000-0100-000006000000}" name="Nivel"/>
    <tableColumn id="7" xr3:uid="{00000000-0010-0000-0100-000007000000}" name="Decisao_SGI"/>
    <tableColumn id="8" xr3:uid="{00000000-0010-0000-0100-000008000000}" name="Dono"/>
    <tableColumn id="9" xr3:uid="{00000000-0010-0000-0100-000009000000}" name="Efeito_Desejado"/>
    <tableColumn id="10" xr3:uid="{00000000-0010-0000-0100-00000A000000}" name="Processo_SGQ"/>
    <tableColumn id="11" xr3:uid="{00000000-0010-0000-0100-00000B000000}" name="Integracao_Processo"/>
    <tableColumn id="12" xr3:uid="{00000000-0010-0000-0100-00000C000000}" name="Metodo_Eficacia"/>
    <tableColumn id="13" xr3:uid="{00000000-0010-0000-0100-00000D000000}" name="KPI"/>
    <tableColumn id="14" xr3:uid="{00000000-0010-0000-0100-00000E000000}" name="Resultado_Eficacia"/>
    <tableColumn id="15" xr3:uid="{00000000-0010-0000-0100-00000F000000}" name="Data_Avaliacao"/>
    <tableColumn id="16" xr3:uid="{00000000-0010-0000-0100-000010000000}" name="Ligacoes_SGQ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fmea" displayName="tbl_pfmea" ref="A4:R33">
  <autoFilter ref="A4:R33" xr:uid="{00000000-0009-0000-0100-000003000000}"/>
  <tableColumns count="18">
    <tableColumn id="1" xr3:uid="{00000000-0010-0000-0200-000001000000}" name="ID_FMEA"/>
    <tableColumn id="2" xr3:uid="{00000000-0010-0000-0200-000002000000}" name="Processo"/>
    <tableColumn id="3" xr3:uid="{00000000-0010-0000-0200-000003000000}" name="Caracteristica"/>
    <tableColumn id="4" xr3:uid="{00000000-0010-0000-0200-000004000000}" name="Classe"/>
    <tableColumn id="5" xr3:uid="{00000000-0010-0000-0200-000005000000}" name="Modo_Falha"/>
    <tableColumn id="6" xr3:uid="{00000000-0010-0000-0200-000006000000}" name="Efeito"/>
    <tableColumn id="7" xr3:uid="{00000000-0010-0000-0200-000007000000}" name="S"/>
    <tableColumn id="8" xr3:uid="{00000000-0010-0000-0200-000008000000}" name="Causa"/>
    <tableColumn id="9" xr3:uid="{00000000-0010-0000-0200-000009000000}" name="Unidades_Inspecionadas"/>
    <tableColumn id="10" xr3:uid="{00000000-0010-0000-0200-00000A000000}" name="Defeitos"/>
    <tableColumn id="11" xr3:uid="{00000000-0010-0000-0200-00000B000000}" name="PPM_Observado"/>
    <tableColumn id="12" xr3:uid="{00000000-0010-0000-0200-00000C000000}" name="O"/>
    <tableColumn id="13" xr3:uid="{00000000-0010-0000-0200-00000D000000}" name="Controlo_Detecao"/>
    <tableColumn id="14" xr3:uid="{00000000-0010-0000-0200-00000E000000}" name="D"/>
    <tableColumn id="15" xr3:uid="{00000000-0010-0000-0200-00000F000000}" name="RPN"/>
    <tableColumn id="16" xr3:uid="{00000000-0010-0000-0200-000010000000}" name="Prioridade_Acao"/>
    <tableColumn id="17" xr3:uid="{00000000-0010-0000-0200-000011000000}" name="Acao_Recomendada"/>
    <tableColumn id="18" xr3:uid="{00000000-0010-0000-0200-000012000000}" name="ID_Risc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57">
  <autoFilter ref="A1:I57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5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4" spans="1:2" x14ac:dyDescent="0.3">
      <c r="A34" s="3" t="s">
        <v>49</v>
      </c>
      <c r="B34" s="4"/>
    </row>
    <row r="35" spans="1:2" ht="26.4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ht="26.4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39.6" x14ac:dyDescent="0.3">
      <c r="A40" s="5" t="s">
        <v>60</v>
      </c>
      <c r="B40" s="6" t="s">
        <v>61</v>
      </c>
    </row>
    <row r="42" spans="1:2" x14ac:dyDescent="0.3">
      <c r="A42" s="3" t="s">
        <v>62</v>
      </c>
      <c r="B42" s="4"/>
    </row>
    <row r="43" spans="1:2" x14ac:dyDescent="0.3">
      <c r="A43" s="5" t="s">
        <v>63</v>
      </c>
      <c r="B43" s="6" t="s">
        <v>64</v>
      </c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6" customWidth="1"/>
    <col min="3" max="3" width="42" customWidth="1"/>
    <col min="4" max="4" width="28" customWidth="1"/>
    <col min="5" max="7" width="8" customWidth="1"/>
    <col min="8" max="8" width="20" customWidth="1"/>
    <col min="9" max="9" width="12" customWidth="1"/>
    <col min="10" max="10" width="11" customWidth="1"/>
    <col min="11" max="11" width="34" customWidth="1"/>
    <col min="12" max="12" width="9" customWidth="1"/>
    <col min="13" max="13" width="24" customWidth="1"/>
    <col min="14" max="14" width="7" customWidth="1"/>
    <col min="15" max="15" width="40" customWidth="1"/>
    <col min="16" max="16" width="30" customWidth="1"/>
    <col min="17" max="17" width="12" customWidth="1"/>
    <col min="18" max="19" width="11" customWidth="1"/>
    <col min="20" max="20" width="18" customWidth="1"/>
    <col min="21" max="21" width="12" customWidth="1"/>
    <col min="22" max="22" width="14" customWidth="1"/>
  </cols>
  <sheetData>
    <row r="1" spans="1:22" ht="17.399999999999999" x14ac:dyDescent="0.3">
      <c r="A1" s="1" t="s">
        <v>69</v>
      </c>
    </row>
    <row r="2" spans="1:22" x14ac:dyDescent="0.3">
      <c r="A2" s="2" t="s">
        <v>70</v>
      </c>
    </row>
    <row r="4" spans="1:22" ht="39.6" x14ac:dyDescent="0.3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  <c r="K4" s="8" t="s">
        <v>81</v>
      </c>
      <c r="L4" s="8" t="s">
        <v>82</v>
      </c>
      <c r="M4" s="8" t="s">
        <v>83</v>
      </c>
      <c r="N4" s="8" t="s">
        <v>84</v>
      </c>
      <c r="O4" s="8" t="s">
        <v>85</v>
      </c>
      <c r="P4" s="8" t="s">
        <v>86</v>
      </c>
      <c r="Q4" s="8" t="s">
        <v>87</v>
      </c>
      <c r="R4" s="8" t="s">
        <v>88</v>
      </c>
      <c r="S4" s="8" t="s">
        <v>89</v>
      </c>
      <c r="T4" s="8" t="s">
        <v>90</v>
      </c>
      <c r="U4" s="9" t="s">
        <v>91</v>
      </c>
      <c r="V4" s="9" t="s">
        <v>92</v>
      </c>
    </row>
    <row r="5" spans="1:22" ht="61.95" customHeight="1" x14ac:dyDescent="0.3">
      <c r="A5" s="10" t="s">
        <v>93</v>
      </c>
      <c r="B5" s="10" t="s">
        <v>94</v>
      </c>
      <c r="C5" s="10" t="s">
        <v>95</v>
      </c>
      <c r="D5" s="10" t="s">
        <v>96</v>
      </c>
      <c r="E5" s="11">
        <v>16</v>
      </c>
      <c r="F5" s="11">
        <v>12</v>
      </c>
      <c r="G5" s="10" t="s">
        <v>97</v>
      </c>
      <c r="H5" s="10" t="s">
        <v>98</v>
      </c>
      <c r="I5" s="10" t="s">
        <v>99</v>
      </c>
      <c r="J5" s="10" t="s">
        <v>100</v>
      </c>
      <c r="K5" s="10" t="s">
        <v>101</v>
      </c>
      <c r="L5" s="10" t="s">
        <v>102</v>
      </c>
      <c r="M5" s="10" t="s">
        <v>103</v>
      </c>
      <c r="N5" s="10" t="s">
        <v>104</v>
      </c>
      <c r="O5" s="10" t="s">
        <v>105</v>
      </c>
      <c r="P5" s="10" t="s">
        <v>106</v>
      </c>
      <c r="Q5" s="10" t="s">
        <v>107</v>
      </c>
      <c r="R5" s="10" t="s">
        <v>108</v>
      </c>
      <c r="S5" s="12"/>
      <c r="T5" s="10" t="s">
        <v>109</v>
      </c>
      <c r="U5" s="13" t="str">
        <f t="shared" ref="U5:U31" si="0">IF(A5="","",IF(AND(F5&gt;=12,M5="Manter o risco por decisão informada"),"Rever",IF(AND(F5&lt;=4,M5="Evitar o risco"),"Excessiva?","Adequada")))</f>
        <v>Adequada</v>
      </c>
      <c r="V5" s="13" t="str">
        <f t="shared" ref="V5:V31" si="1">IF(R5="Não eficaz","Replanear ação",IF(AND(R5="Por avaliar",G5="Alto"),"Avaliar já","—"))</f>
        <v>Avaliar já</v>
      </c>
    </row>
    <row r="6" spans="1:22" ht="61.95" customHeight="1" x14ac:dyDescent="0.3">
      <c r="A6" s="10" t="s">
        <v>110</v>
      </c>
      <c r="B6" s="10" t="s">
        <v>94</v>
      </c>
      <c r="C6" s="10" t="s">
        <v>111</v>
      </c>
      <c r="D6" s="10" t="s">
        <v>112</v>
      </c>
      <c r="E6" s="11">
        <v>16</v>
      </c>
      <c r="F6" s="11">
        <v>9</v>
      </c>
      <c r="G6" s="10" t="s">
        <v>113</v>
      </c>
      <c r="H6" s="10" t="s">
        <v>114</v>
      </c>
      <c r="I6" s="10" t="s">
        <v>99</v>
      </c>
      <c r="J6" s="10" t="s">
        <v>115</v>
      </c>
      <c r="K6" s="10" t="s">
        <v>116</v>
      </c>
      <c r="L6" s="10" t="s">
        <v>102</v>
      </c>
      <c r="M6" s="10" t="s">
        <v>117</v>
      </c>
      <c r="N6" s="10" t="s">
        <v>118</v>
      </c>
      <c r="O6" s="10" t="s">
        <v>119</v>
      </c>
      <c r="P6" s="10" t="s">
        <v>120</v>
      </c>
      <c r="Q6" s="10" t="s">
        <v>107</v>
      </c>
      <c r="R6" s="10" t="s">
        <v>121</v>
      </c>
      <c r="S6" s="12">
        <v>46387</v>
      </c>
      <c r="T6" s="10" t="s">
        <v>122</v>
      </c>
      <c r="U6" s="13" t="str">
        <f t="shared" si="0"/>
        <v>Adequada</v>
      </c>
      <c r="V6" s="13" t="str">
        <f t="shared" si="1"/>
        <v>—</v>
      </c>
    </row>
    <row r="7" spans="1:22" ht="61.95" customHeight="1" x14ac:dyDescent="0.3">
      <c r="A7" s="10" t="s">
        <v>123</v>
      </c>
      <c r="B7" s="10" t="s">
        <v>94</v>
      </c>
      <c r="C7" s="10" t="s">
        <v>124</v>
      </c>
      <c r="D7" s="10" t="s">
        <v>125</v>
      </c>
      <c r="E7" s="11">
        <v>15</v>
      </c>
      <c r="F7" s="11">
        <v>12</v>
      </c>
      <c r="G7" s="10" t="s">
        <v>97</v>
      </c>
      <c r="H7" s="10" t="s">
        <v>114</v>
      </c>
      <c r="I7" s="10" t="s">
        <v>99</v>
      </c>
      <c r="J7" s="10" t="s">
        <v>100</v>
      </c>
      <c r="K7" s="10" t="s">
        <v>126</v>
      </c>
      <c r="L7" s="10" t="s">
        <v>127</v>
      </c>
      <c r="M7" s="10" t="s">
        <v>103</v>
      </c>
      <c r="N7" s="10" t="s">
        <v>118</v>
      </c>
      <c r="O7" s="10" t="s">
        <v>128</v>
      </c>
      <c r="P7" s="10" t="s">
        <v>129</v>
      </c>
      <c r="Q7" s="10" t="s">
        <v>130</v>
      </c>
      <c r="R7" s="10" t="s">
        <v>131</v>
      </c>
      <c r="S7" s="12">
        <v>46387</v>
      </c>
      <c r="T7" s="10" t="s">
        <v>132</v>
      </c>
      <c r="U7" s="13" t="str">
        <f t="shared" si="0"/>
        <v>Adequada</v>
      </c>
      <c r="V7" s="13" t="str">
        <f t="shared" si="1"/>
        <v>Replanear ação</v>
      </c>
    </row>
    <row r="8" spans="1:22" ht="61.95" customHeight="1" x14ac:dyDescent="0.3">
      <c r="A8" s="10" t="s">
        <v>133</v>
      </c>
      <c r="B8" s="10" t="s">
        <v>134</v>
      </c>
      <c r="C8" s="10" t="s">
        <v>135</v>
      </c>
      <c r="D8" s="10" t="s">
        <v>136</v>
      </c>
      <c r="E8" s="11">
        <v>16</v>
      </c>
      <c r="F8" s="11">
        <v>12</v>
      </c>
      <c r="G8" s="10" t="s">
        <v>97</v>
      </c>
      <c r="H8" s="10" t="s">
        <v>11</v>
      </c>
      <c r="I8" s="10" t="s">
        <v>99</v>
      </c>
      <c r="J8" s="10" t="s">
        <v>100</v>
      </c>
      <c r="K8" s="10" t="s">
        <v>137</v>
      </c>
      <c r="L8" s="10" t="s">
        <v>102</v>
      </c>
      <c r="M8" s="10" t="s">
        <v>117</v>
      </c>
      <c r="N8" s="10" t="s">
        <v>138</v>
      </c>
      <c r="O8" s="10" t="s">
        <v>139</v>
      </c>
      <c r="P8" s="10" t="s">
        <v>140</v>
      </c>
      <c r="Q8" s="10" t="s">
        <v>107</v>
      </c>
      <c r="R8" s="10" t="s">
        <v>121</v>
      </c>
      <c r="S8" s="12">
        <v>46387</v>
      </c>
      <c r="T8" s="10" t="s">
        <v>141</v>
      </c>
      <c r="U8" s="13" t="str">
        <f t="shared" si="0"/>
        <v>Adequada</v>
      </c>
      <c r="V8" s="13" t="str">
        <f t="shared" si="1"/>
        <v>—</v>
      </c>
    </row>
    <row r="9" spans="1:22" ht="61.95" customHeight="1" x14ac:dyDescent="0.3">
      <c r="A9" s="10" t="s">
        <v>142</v>
      </c>
      <c r="B9" s="10" t="s">
        <v>134</v>
      </c>
      <c r="C9" s="10" t="s">
        <v>143</v>
      </c>
      <c r="D9" s="10" t="s">
        <v>144</v>
      </c>
      <c r="E9" s="11">
        <v>16</v>
      </c>
      <c r="F9" s="11">
        <v>12</v>
      </c>
      <c r="G9" s="10" t="s">
        <v>97</v>
      </c>
      <c r="H9" s="10" t="s">
        <v>98</v>
      </c>
      <c r="I9" s="10" t="s">
        <v>99</v>
      </c>
      <c r="J9" s="10" t="s">
        <v>115</v>
      </c>
      <c r="K9" s="10" t="s">
        <v>145</v>
      </c>
      <c r="L9" s="10" t="s">
        <v>102</v>
      </c>
      <c r="M9" s="10" t="s">
        <v>103</v>
      </c>
      <c r="N9" s="10" t="s">
        <v>138</v>
      </c>
      <c r="O9" s="10" t="s">
        <v>146</v>
      </c>
      <c r="P9" s="10" t="s">
        <v>147</v>
      </c>
      <c r="Q9" s="10" t="s">
        <v>107</v>
      </c>
      <c r="R9" s="10" t="s">
        <v>108</v>
      </c>
      <c r="S9" s="12"/>
      <c r="T9" s="10"/>
      <c r="U9" s="13" t="str">
        <f t="shared" si="0"/>
        <v>Adequada</v>
      </c>
      <c r="V9" s="13" t="str">
        <f t="shared" si="1"/>
        <v>Avaliar já</v>
      </c>
    </row>
    <row r="10" spans="1:22" ht="61.95" customHeight="1" x14ac:dyDescent="0.3">
      <c r="A10" s="10" t="s">
        <v>148</v>
      </c>
      <c r="B10" s="10" t="s">
        <v>149</v>
      </c>
      <c r="C10" s="10" t="s">
        <v>150</v>
      </c>
      <c r="D10" s="10" t="s">
        <v>151</v>
      </c>
      <c r="E10" s="11">
        <v>12</v>
      </c>
      <c r="F10" s="11">
        <v>12</v>
      </c>
      <c r="G10" s="10" t="s">
        <v>97</v>
      </c>
      <c r="H10" s="10" t="s">
        <v>11</v>
      </c>
      <c r="I10" s="10" t="s">
        <v>99</v>
      </c>
      <c r="J10" s="10" t="s">
        <v>115</v>
      </c>
      <c r="K10" s="10" t="s">
        <v>152</v>
      </c>
      <c r="L10" s="10" t="s">
        <v>102</v>
      </c>
      <c r="M10" s="10" t="s">
        <v>103</v>
      </c>
      <c r="N10" s="10" t="s">
        <v>153</v>
      </c>
      <c r="O10" s="10" t="s">
        <v>154</v>
      </c>
      <c r="P10" s="10" t="s">
        <v>155</v>
      </c>
      <c r="Q10" s="10" t="s">
        <v>156</v>
      </c>
      <c r="R10" s="10" t="s">
        <v>108</v>
      </c>
      <c r="S10" s="12"/>
      <c r="T10" s="10" t="s">
        <v>157</v>
      </c>
      <c r="U10" s="13" t="str">
        <f t="shared" si="0"/>
        <v>Adequada</v>
      </c>
      <c r="V10" s="13" t="str">
        <f t="shared" si="1"/>
        <v>Avaliar já</v>
      </c>
    </row>
    <row r="11" spans="1:22" ht="61.95" customHeight="1" x14ac:dyDescent="0.3">
      <c r="A11" s="10" t="s">
        <v>158</v>
      </c>
      <c r="B11" s="10" t="s">
        <v>149</v>
      </c>
      <c r="C11" s="10" t="s">
        <v>159</v>
      </c>
      <c r="D11" s="10" t="s">
        <v>160</v>
      </c>
      <c r="E11" s="11">
        <v>16</v>
      </c>
      <c r="F11" s="11">
        <v>9</v>
      </c>
      <c r="G11" s="10" t="s">
        <v>113</v>
      </c>
      <c r="H11" s="10" t="s">
        <v>114</v>
      </c>
      <c r="I11" s="10" t="s">
        <v>99</v>
      </c>
      <c r="J11" s="10" t="s">
        <v>161</v>
      </c>
      <c r="K11" s="10" t="s">
        <v>162</v>
      </c>
      <c r="L11" s="10" t="s">
        <v>127</v>
      </c>
      <c r="M11" s="10" t="s">
        <v>103</v>
      </c>
      <c r="N11" s="10" t="s">
        <v>118</v>
      </c>
      <c r="O11" s="10" t="s">
        <v>163</v>
      </c>
      <c r="P11" s="10" t="s">
        <v>164</v>
      </c>
      <c r="Q11" s="10" t="s">
        <v>130</v>
      </c>
      <c r="R11" s="10" t="s">
        <v>108</v>
      </c>
      <c r="S11" s="12"/>
      <c r="T11" s="10"/>
      <c r="U11" s="13" t="str">
        <f t="shared" si="0"/>
        <v>Adequada</v>
      </c>
      <c r="V11" s="13" t="str">
        <f t="shared" si="1"/>
        <v>—</v>
      </c>
    </row>
    <row r="12" spans="1:22" ht="61.95" customHeight="1" x14ac:dyDescent="0.3">
      <c r="A12" s="10" t="s">
        <v>165</v>
      </c>
      <c r="B12" s="10" t="s">
        <v>166</v>
      </c>
      <c r="C12" s="10" t="s">
        <v>167</v>
      </c>
      <c r="D12" s="10" t="s">
        <v>168</v>
      </c>
      <c r="E12" s="11">
        <v>12</v>
      </c>
      <c r="F12" s="11">
        <v>12</v>
      </c>
      <c r="G12" s="10" t="s">
        <v>97</v>
      </c>
      <c r="H12" s="10" t="s">
        <v>98</v>
      </c>
      <c r="I12" s="10" t="s">
        <v>99</v>
      </c>
      <c r="J12" s="10" t="s">
        <v>115</v>
      </c>
      <c r="K12" s="10" t="s">
        <v>169</v>
      </c>
      <c r="L12" s="10" t="s">
        <v>102</v>
      </c>
      <c r="M12" s="10" t="s">
        <v>103</v>
      </c>
      <c r="N12" s="10" t="s">
        <v>170</v>
      </c>
      <c r="O12" s="10" t="s">
        <v>171</v>
      </c>
      <c r="P12" s="10" t="s">
        <v>172</v>
      </c>
      <c r="Q12" s="10" t="s">
        <v>107</v>
      </c>
      <c r="R12" s="10" t="s">
        <v>108</v>
      </c>
      <c r="S12" s="12"/>
      <c r="T12" s="10"/>
      <c r="U12" s="13" t="str">
        <f t="shared" si="0"/>
        <v>Adequada</v>
      </c>
      <c r="V12" s="13" t="str">
        <f t="shared" si="1"/>
        <v>Avaliar já</v>
      </c>
    </row>
    <row r="13" spans="1:22" ht="61.95" customHeight="1" x14ac:dyDescent="0.3">
      <c r="A13" s="10" t="s">
        <v>173</v>
      </c>
      <c r="B13" s="10" t="s">
        <v>174</v>
      </c>
      <c r="C13" s="10" t="s">
        <v>175</v>
      </c>
      <c r="D13" s="10" t="s">
        <v>176</v>
      </c>
      <c r="E13" s="11">
        <v>12</v>
      </c>
      <c r="F13" s="11">
        <v>8</v>
      </c>
      <c r="G13" s="10" t="s">
        <v>113</v>
      </c>
      <c r="H13" s="10" t="s">
        <v>98</v>
      </c>
      <c r="I13" s="10" t="s">
        <v>99</v>
      </c>
      <c r="J13" s="10" t="s">
        <v>115</v>
      </c>
      <c r="K13" s="10" t="s">
        <v>177</v>
      </c>
      <c r="L13" s="10" t="s">
        <v>102</v>
      </c>
      <c r="M13" s="10" t="s">
        <v>103</v>
      </c>
      <c r="N13" s="10" t="s">
        <v>178</v>
      </c>
      <c r="O13" s="10" t="s">
        <v>179</v>
      </c>
      <c r="P13" s="10" t="s">
        <v>180</v>
      </c>
      <c r="Q13" s="10" t="s">
        <v>107</v>
      </c>
      <c r="R13" s="10" t="s">
        <v>108</v>
      </c>
      <c r="S13" s="12"/>
      <c r="T13" s="10" t="s">
        <v>181</v>
      </c>
      <c r="U13" s="13" t="str">
        <f t="shared" si="0"/>
        <v>Adequada</v>
      </c>
      <c r="V13" s="13" t="str">
        <f t="shared" si="1"/>
        <v>—</v>
      </c>
    </row>
    <row r="14" spans="1:22" ht="61.95" customHeight="1" x14ac:dyDescent="0.3">
      <c r="A14" s="10" t="s">
        <v>182</v>
      </c>
      <c r="B14" s="10" t="s">
        <v>134</v>
      </c>
      <c r="C14" s="10" t="s">
        <v>183</v>
      </c>
      <c r="D14" s="10" t="s">
        <v>184</v>
      </c>
      <c r="E14" s="11">
        <v>9</v>
      </c>
      <c r="F14" s="11">
        <v>6</v>
      </c>
      <c r="G14" s="10" t="s">
        <v>185</v>
      </c>
      <c r="H14" s="10" t="s">
        <v>98</v>
      </c>
      <c r="I14" s="10" t="s">
        <v>99</v>
      </c>
      <c r="J14" s="10" t="s">
        <v>115</v>
      </c>
      <c r="K14" s="10" t="s">
        <v>186</v>
      </c>
      <c r="L14" s="10" t="s">
        <v>102</v>
      </c>
      <c r="M14" s="10" t="s">
        <v>103</v>
      </c>
      <c r="N14" s="10" t="s">
        <v>187</v>
      </c>
      <c r="O14" s="10" t="s">
        <v>188</v>
      </c>
      <c r="P14" s="10" t="s">
        <v>189</v>
      </c>
      <c r="Q14" s="10" t="s">
        <v>190</v>
      </c>
      <c r="R14" s="10" t="s">
        <v>108</v>
      </c>
      <c r="S14" s="12"/>
      <c r="T14" s="10"/>
      <c r="U14" s="13" t="str">
        <f t="shared" si="0"/>
        <v>Adequada</v>
      </c>
      <c r="V14" s="13" t="str">
        <f t="shared" si="1"/>
        <v>—</v>
      </c>
    </row>
    <row r="15" spans="1:22" ht="61.95" customHeight="1" x14ac:dyDescent="0.3">
      <c r="A15" s="10" t="s">
        <v>191</v>
      </c>
      <c r="B15" s="10" t="s">
        <v>94</v>
      </c>
      <c r="C15" s="10" t="s">
        <v>192</v>
      </c>
      <c r="D15" s="10" t="s">
        <v>193</v>
      </c>
      <c r="E15" s="11">
        <v>12</v>
      </c>
      <c r="F15" s="11">
        <v>9</v>
      </c>
      <c r="G15" s="10" t="s">
        <v>113</v>
      </c>
      <c r="H15" s="10" t="s">
        <v>11</v>
      </c>
      <c r="I15" s="10" t="s">
        <v>99</v>
      </c>
      <c r="J15" s="10" t="s">
        <v>115</v>
      </c>
      <c r="K15" s="10" t="s">
        <v>194</v>
      </c>
      <c r="L15" s="10" t="s">
        <v>102</v>
      </c>
      <c r="M15" s="10" t="s">
        <v>195</v>
      </c>
      <c r="N15" s="10" t="s">
        <v>196</v>
      </c>
      <c r="O15" s="10" t="s">
        <v>197</v>
      </c>
      <c r="P15" s="10" t="s">
        <v>198</v>
      </c>
      <c r="Q15" s="10" t="s">
        <v>107</v>
      </c>
      <c r="R15" s="10" t="s">
        <v>108</v>
      </c>
      <c r="S15" s="12"/>
      <c r="T15" s="10" t="s">
        <v>199</v>
      </c>
      <c r="U15" s="13" t="str">
        <f t="shared" si="0"/>
        <v>Adequada</v>
      </c>
      <c r="V15" s="13" t="str">
        <f t="shared" si="1"/>
        <v>—</v>
      </c>
    </row>
    <row r="16" spans="1:22" ht="61.95" customHeight="1" x14ac:dyDescent="0.3">
      <c r="A16" s="10" t="s">
        <v>200</v>
      </c>
      <c r="B16" s="10" t="s">
        <v>201</v>
      </c>
      <c r="C16" s="10" t="s">
        <v>202</v>
      </c>
      <c r="D16" s="10" t="s">
        <v>203</v>
      </c>
      <c r="E16" s="11">
        <v>6</v>
      </c>
      <c r="F16" s="11">
        <v>4</v>
      </c>
      <c r="G16" s="10" t="s">
        <v>185</v>
      </c>
      <c r="H16" s="10" t="s">
        <v>11</v>
      </c>
      <c r="I16" s="10" t="s">
        <v>204</v>
      </c>
      <c r="J16" s="10"/>
      <c r="K16" s="10" t="s">
        <v>205</v>
      </c>
      <c r="L16" s="10" t="s">
        <v>102</v>
      </c>
      <c r="M16" s="10" t="s">
        <v>103</v>
      </c>
      <c r="N16" s="10" t="s">
        <v>206</v>
      </c>
      <c r="O16" s="10" t="s">
        <v>207</v>
      </c>
      <c r="P16" s="10" t="s">
        <v>208</v>
      </c>
      <c r="Q16" s="10" t="s">
        <v>156</v>
      </c>
      <c r="R16" s="10" t="s">
        <v>209</v>
      </c>
      <c r="S16" s="12">
        <v>46387</v>
      </c>
      <c r="T16" s="10" t="s">
        <v>210</v>
      </c>
      <c r="U16" s="13" t="str">
        <f t="shared" si="0"/>
        <v>Adequada</v>
      </c>
      <c r="V16" s="13" t="str">
        <f t="shared" si="1"/>
        <v>—</v>
      </c>
    </row>
    <row r="17" spans="1:22" ht="61.95" customHeight="1" x14ac:dyDescent="0.3">
      <c r="A17" s="10" t="s">
        <v>211</v>
      </c>
      <c r="B17" s="10" t="s">
        <v>212</v>
      </c>
      <c r="C17" s="10" t="s">
        <v>213</v>
      </c>
      <c r="D17" s="10" t="s">
        <v>214</v>
      </c>
      <c r="E17" s="11">
        <v>20</v>
      </c>
      <c r="F17" s="11">
        <v>16</v>
      </c>
      <c r="G17" s="10" t="s">
        <v>215</v>
      </c>
      <c r="H17" s="10" t="s">
        <v>216</v>
      </c>
      <c r="I17" s="10" t="s">
        <v>217</v>
      </c>
      <c r="J17" s="10" t="s">
        <v>100</v>
      </c>
      <c r="K17" s="10" t="s">
        <v>218</v>
      </c>
      <c r="L17" s="10" t="s">
        <v>127</v>
      </c>
      <c r="M17" s="10" t="s">
        <v>219</v>
      </c>
      <c r="N17" s="10" t="s">
        <v>196</v>
      </c>
      <c r="O17" s="10" t="s">
        <v>220</v>
      </c>
      <c r="P17" s="10" t="s">
        <v>221</v>
      </c>
      <c r="Q17" s="10" t="s">
        <v>222</v>
      </c>
      <c r="R17" s="10" t="s">
        <v>131</v>
      </c>
      <c r="S17" s="12">
        <v>46387</v>
      </c>
      <c r="T17" s="10" t="s">
        <v>223</v>
      </c>
      <c r="U17" s="13" t="str">
        <f t="shared" si="0"/>
        <v>Adequada</v>
      </c>
      <c r="V17" s="13" t="str">
        <f t="shared" si="1"/>
        <v>Replanear ação</v>
      </c>
    </row>
    <row r="18" spans="1:22" ht="61.95" customHeight="1" x14ac:dyDescent="0.3">
      <c r="A18" s="10" t="s">
        <v>224</v>
      </c>
      <c r="B18" s="10" t="s">
        <v>212</v>
      </c>
      <c r="C18" s="10" t="s">
        <v>225</v>
      </c>
      <c r="D18" s="10" t="s">
        <v>226</v>
      </c>
      <c r="E18" s="11">
        <v>12</v>
      </c>
      <c r="F18" s="11">
        <v>9</v>
      </c>
      <c r="G18" s="10" t="s">
        <v>113</v>
      </c>
      <c r="H18" s="10" t="s">
        <v>216</v>
      </c>
      <c r="I18" s="10" t="s">
        <v>99</v>
      </c>
      <c r="J18" s="10" t="s">
        <v>115</v>
      </c>
      <c r="K18" s="10" t="s">
        <v>227</v>
      </c>
      <c r="L18" s="10" t="s">
        <v>127</v>
      </c>
      <c r="M18" s="10" t="s">
        <v>195</v>
      </c>
      <c r="N18" s="10" t="s">
        <v>196</v>
      </c>
      <c r="O18" s="10" t="s">
        <v>228</v>
      </c>
      <c r="P18" s="10" t="s">
        <v>229</v>
      </c>
      <c r="Q18" s="10" t="s">
        <v>222</v>
      </c>
      <c r="R18" s="10" t="s">
        <v>108</v>
      </c>
      <c r="S18" s="12"/>
      <c r="T18" s="10"/>
      <c r="U18" s="13" t="str">
        <f t="shared" si="0"/>
        <v>Adequada</v>
      </c>
      <c r="V18" s="13" t="str">
        <f t="shared" si="1"/>
        <v>—</v>
      </c>
    </row>
    <row r="19" spans="1:22" ht="61.95" customHeight="1" x14ac:dyDescent="0.3">
      <c r="A19" s="10" t="s">
        <v>230</v>
      </c>
      <c r="B19" s="10" t="s">
        <v>231</v>
      </c>
      <c r="C19" s="10" t="s">
        <v>232</v>
      </c>
      <c r="D19" s="10" t="s">
        <v>233</v>
      </c>
      <c r="E19" s="11">
        <v>12</v>
      </c>
      <c r="F19" s="11">
        <v>9</v>
      </c>
      <c r="G19" s="10" t="s">
        <v>113</v>
      </c>
      <c r="H19" s="10" t="s">
        <v>98</v>
      </c>
      <c r="I19" s="10" t="s">
        <v>99</v>
      </c>
      <c r="J19" s="10" t="s">
        <v>115</v>
      </c>
      <c r="K19" s="10" t="s">
        <v>234</v>
      </c>
      <c r="L19" s="10" t="s">
        <v>127</v>
      </c>
      <c r="M19" s="10" t="s">
        <v>235</v>
      </c>
      <c r="N19" s="10" t="s">
        <v>178</v>
      </c>
      <c r="O19" s="10" t="s">
        <v>236</v>
      </c>
      <c r="P19" s="10" t="s">
        <v>237</v>
      </c>
      <c r="Q19" s="10" t="s">
        <v>238</v>
      </c>
      <c r="R19" s="10" t="s">
        <v>108</v>
      </c>
      <c r="S19" s="12"/>
      <c r="T19" s="10" t="s">
        <v>239</v>
      </c>
      <c r="U19" s="13" t="str">
        <f t="shared" si="0"/>
        <v>Adequada</v>
      </c>
      <c r="V19" s="13" t="str">
        <f t="shared" si="1"/>
        <v>—</v>
      </c>
    </row>
    <row r="20" spans="1:22" ht="61.95" customHeight="1" x14ac:dyDescent="0.3">
      <c r="A20" s="10" t="s">
        <v>240</v>
      </c>
      <c r="B20" s="10" t="s">
        <v>241</v>
      </c>
      <c r="C20" s="10" t="s">
        <v>242</v>
      </c>
      <c r="D20" s="10" t="s">
        <v>243</v>
      </c>
      <c r="E20" s="11">
        <v>16</v>
      </c>
      <c r="F20" s="11">
        <v>12</v>
      </c>
      <c r="G20" s="10" t="s">
        <v>97</v>
      </c>
      <c r="H20" s="10" t="s">
        <v>11</v>
      </c>
      <c r="I20" s="10" t="s">
        <v>99</v>
      </c>
      <c r="J20" s="10" t="s">
        <v>115</v>
      </c>
      <c r="K20" s="10" t="s">
        <v>244</v>
      </c>
      <c r="L20" s="10" t="s">
        <v>102</v>
      </c>
      <c r="M20" s="10" t="s">
        <v>103</v>
      </c>
      <c r="N20" s="10" t="s">
        <v>245</v>
      </c>
      <c r="O20" s="10" t="s">
        <v>246</v>
      </c>
      <c r="P20" s="10" t="s">
        <v>247</v>
      </c>
      <c r="Q20" s="10" t="s">
        <v>248</v>
      </c>
      <c r="R20" s="10" t="s">
        <v>209</v>
      </c>
      <c r="S20" s="12">
        <v>46387</v>
      </c>
      <c r="T20" s="10" t="s">
        <v>249</v>
      </c>
      <c r="U20" s="13" t="str">
        <f t="shared" si="0"/>
        <v>Adequada</v>
      </c>
      <c r="V20" s="13" t="str">
        <f t="shared" si="1"/>
        <v>—</v>
      </c>
    </row>
    <row r="21" spans="1:22" ht="61.95" customHeight="1" x14ac:dyDescent="0.3">
      <c r="A21" s="10" t="s">
        <v>250</v>
      </c>
      <c r="B21" s="10" t="s">
        <v>241</v>
      </c>
      <c r="C21" s="10" t="s">
        <v>251</v>
      </c>
      <c r="D21" s="10" t="s">
        <v>252</v>
      </c>
      <c r="E21" s="11">
        <v>15</v>
      </c>
      <c r="F21" s="11">
        <v>12</v>
      </c>
      <c r="G21" s="10" t="s">
        <v>97</v>
      </c>
      <c r="H21" s="10" t="s">
        <v>11</v>
      </c>
      <c r="I21" s="10" t="s">
        <v>99</v>
      </c>
      <c r="J21" s="10" t="s">
        <v>115</v>
      </c>
      <c r="K21" s="10" t="s">
        <v>253</v>
      </c>
      <c r="L21" s="10" t="s">
        <v>102</v>
      </c>
      <c r="M21" s="10" t="s">
        <v>103</v>
      </c>
      <c r="N21" s="10" t="s">
        <v>245</v>
      </c>
      <c r="O21" s="10" t="s">
        <v>254</v>
      </c>
      <c r="P21" s="10" t="s">
        <v>255</v>
      </c>
      <c r="Q21" s="10" t="s">
        <v>256</v>
      </c>
      <c r="R21" s="10" t="s">
        <v>108</v>
      </c>
      <c r="S21" s="12"/>
      <c r="T21" s="10" t="s">
        <v>257</v>
      </c>
      <c r="U21" s="13" t="str">
        <f t="shared" si="0"/>
        <v>Adequada</v>
      </c>
      <c r="V21" s="13" t="str">
        <f t="shared" si="1"/>
        <v>Avaliar já</v>
      </c>
    </row>
    <row r="22" spans="1:22" ht="61.95" customHeight="1" x14ac:dyDescent="0.3">
      <c r="A22" s="10" t="s">
        <v>258</v>
      </c>
      <c r="B22" s="10" t="s">
        <v>241</v>
      </c>
      <c r="C22" s="10" t="s">
        <v>259</v>
      </c>
      <c r="D22" s="10" t="s">
        <v>260</v>
      </c>
      <c r="E22" s="11">
        <v>16</v>
      </c>
      <c r="F22" s="11">
        <v>12</v>
      </c>
      <c r="G22" s="10" t="s">
        <v>97</v>
      </c>
      <c r="H22" s="10" t="s">
        <v>11</v>
      </c>
      <c r="I22" s="10" t="s">
        <v>99</v>
      </c>
      <c r="J22" s="10" t="s">
        <v>115</v>
      </c>
      <c r="K22" s="10" t="s">
        <v>261</v>
      </c>
      <c r="L22" s="10" t="s">
        <v>127</v>
      </c>
      <c r="M22" s="10" t="s">
        <v>235</v>
      </c>
      <c r="N22" s="10" t="s">
        <v>262</v>
      </c>
      <c r="O22" s="10" t="s">
        <v>263</v>
      </c>
      <c r="P22" s="10" t="s">
        <v>264</v>
      </c>
      <c r="Q22" s="10" t="s">
        <v>156</v>
      </c>
      <c r="R22" s="10" t="s">
        <v>209</v>
      </c>
      <c r="S22" s="12">
        <v>46387</v>
      </c>
      <c r="T22" s="10" t="s">
        <v>265</v>
      </c>
      <c r="U22" s="13" t="str">
        <f t="shared" si="0"/>
        <v>Adequada</v>
      </c>
      <c r="V22" s="13" t="str">
        <f t="shared" si="1"/>
        <v>—</v>
      </c>
    </row>
    <row r="23" spans="1:22" ht="61.95" customHeight="1" x14ac:dyDescent="0.3">
      <c r="A23" s="10" t="s">
        <v>266</v>
      </c>
      <c r="B23" s="10" t="s">
        <v>267</v>
      </c>
      <c r="C23" s="10" t="s">
        <v>268</v>
      </c>
      <c r="D23" s="10" t="s">
        <v>269</v>
      </c>
      <c r="E23" s="11">
        <v>15</v>
      </c>
      <c r="F23" s="11">
        <v>12</v>
      </c>
      <c r="G23" s="10" t="s">
        <v>97</v>
      </c>
      <c r="H23" s="10" t="s">
        <v>270</v>
      </c>
      <c r="I23" s="10" t="s">
        <v>99</v>
      </c>
      <c r="J23" s="10" t="s">
        <v>100</v>
      </c>
      <c r="K23" s="10" t="s">
        <v>271</v>
      </c>
      <c r="L23" s="10" t="s">
        <v>102</v>
      </c>
      <c r="M23" s="10" t="s">
        <v>103</v>
      </c>
      <c r="N23" s="10" t="s">
        <v>262</v>
      </c>
      <c r="O23" s="10" t="s">
        <v>272</v>
      </c>
      <c r="P23" s="10" t="s">
        <v>273</v>
      </c>
      <c r="Q23" s="10" t="s">
        <v>130</v>
      </c>
      <c r="R23" s="10" t="s">
        <v>108</v>
      </c>
      <c r="S23" s="12"/>
      <c r="T23" s="10"/>
      <c r="U23" s="13" t="str">
        <f t="shared" si="0"/>
        <v>Adequada</v>
      </c>
      <c r="V23" s="13" t="str">
        <f t="shared" si="1"/>
        <v>Avaliar já</v>
      </c>
    </row>
    <row r="24" spans="1:22" ht="61.95" customHeight="1" x14ac:dyDescent="0.3">
      <c r="A24" s="10" t="s">
        <v>274</v>
      </c>
      <c r="B24" s="10" t="s">
        <v>241</v>
      </c>
      <c r="C24" s="10" t="s">
        <v>275</v>
      </c>
      <c r="D24" s="10" t="s">
        <v>276</v>
      </c>
      <c r="E24" s="11">
        <v>15</v>
      </c>
      <c r="F24" s="11">
        <v>15</v>
      </c>
      <c r="G24" s="10" t="s">
        <v>97</v>
      </c>
      <c r="H24" s="10" t="s">
        <v>11</v>
      </c>
      <c r="I24" s="10" t="s">
        <v>99</v>
      </c>
      <c r="J24" s="10" t="s">
        <v>100</v>
      </c>
      <c r="K24" s="10" t="s">
        <v>277</v>
      </c>
      <c r="L24" s="10" t="s">
        <v>102</v>
      </c>
      <c r="M24" s="10" t="s">
        <v>117</v>
      </c>
      <c r="N24" s="10" t="s">
        <v>278</v>
      </c>
      <c r="O24" s="10" t="s">
        <v>279</v>
      </c>
      <c r="P24" s="10" t="s">
        <v>280</v>
      </c>
      <c r="Q24" s="10" t="s">
        <v>281</v>
      </c>
      <c r="R24" s="10" t="s">
        <v>131</v>
      </c>
      <c r="S24" s="12">
        <v>46387</v>
      </c>
      <c r="T24" s="10" t="s">
        <v>282</v>
      </c>
      <c r="U24" s="13" t="str">
        <f t="shared" si="0"/>
        <v>Adequada</v>
      </c>
      <c r="V24" s="13" t="str">
        <f t="shared" si="1"/>
        <v>Replanear ação</v>
      </c>
    </row>
    <row r="25" spans="1:22" ht="61.95" customHeight="1" x14ac:dyDescent="0.3">
      <c r="A25" s="10" t="s">
        <v>283</v>
      </c>
      <c r="B25" s="10" t="s">
        <v>284</v>
      </c>
      <c r="C25" s="10" t="s">
        <v>285</v>
      </c>
      <c r="D25" s="10" t="s">
        <v>286</v>
      </c>
      <c r="E25" s="11">
        <v>8</v>
      </c>
      <c r="F25" s="11">
        <v>8</v>
      </c>
      <c r="G25" s="10" t="s">
        <v>113</v>
      </c>
      <c r="H25" s="10" t="s">
        <v>287</v>
      </c>
      <c r="I25" s="10" t="s">
        <v>99</v>
      </c>
      <c r="J25" s="10" t="s">
        <v>115</v>
      </c>
      <c r="K25" s="10" t="s">
        <v>288</v>
      </c>
      <c r="L25" s="10" t="s">
        <v>127</v>
      </c>
      <c r="M25" s="10" t="s">
        <v>103</v>
      </c>
      <c r="N25" s="10" t="s">
        <v>289</v>
      </c>
      <c r="O25" s="10" t="s">
        <v>290</v>
      </c>
      <c r="P25" s="10" t="s">
        <v>291</v>
      </c>
      <c r="Q25" s="10" t="s">
        <v>292</v>
      </c>
      <c r="R25" s="10" t="s">
        <v>108</v>
      </c>
      <c r="S25" s="12"/>
      <c r="T25" s="10" t="s">
        <v>293</v>
      </c>
      <c r="U25" s="13" t="str">
        <f t="shared" si="0"/>
        <v>Adequada</v>
      </c>
      <c r="V25" s="13" t="str">
        <f t="shared" si="1"/>
        <v>—</v>
      </c>
    </row>
    <row r="26" spans="1:22" ht="61.95" customHeight="1" x14ac:dyDescent="0.3">
      <c r="A26" s="10" t="s">
        <v>294</v>
      </c>
      <c r="B26" s="10" t="s">
        <v>295</v>
      </c>
      <c r="C26" s="10" t="s">
        <v>296</v>
      </c>
      <c r="D26" s="10" t="s">
        <v>297</v>
      </c>
      <c r="E26" s="11">
        <v>15</v>
      </c>
      <c r="F26" s="11">
        <v>12</v>
      </c>
      <c r="G26" s="10" t="s">
        <v>97</v>
      </c>
      <c r="H26" s="10" t="s">
        <v>298</v>
      </c>
      <c r="I26" s="10" t="s">
        <v>99</v>
      </c>
      <c r="J26" s="10" t="s">
        <v>115</v>
      </c>
      <c r="K26" s="10" t="s">
        <v>299</v>
      </c>
      <c r="L26" s="10" t="s">
        <v>127</v>
      </c>
      <c r="M26" s="10" t="s">
        <v>235</v>
      </c>
      <c r="N26" s="10" t="s">
        <v>187</v>
      </c>
      <c r="O26" s="10" t="s">
        <v>300</v>
      </c>
      <c r="P26" s="10" t="s">
        <v>301</v>
      </c>
      <c r="Q26" s="10" t="s">
        <v>190</v>
      </c>
      <c r="R26" s="10" t="s">
        <v>108</v>
      </c>
      <c r="S26" s="12"/>
      <c r="T26" s="10"/>
      <c r="U26" s="13" t="str">
        <f t="shared" si="0"/>
        <v>Adequada</v>
      </c>
      <c r="V26" s="13" t="str">
        <f t="shared" si="1"/>
        <v>Avaliar já</v>
      </c>
    </row>
    <row r="27" spans="1:22" ht="61.95" customHeight="1" x14ac:dyDescent="0.3">
      <c r="A27" s="10" t="s">
        <v>302</v>
      </c>
      <c r="B27" s="10" t="s">
        <v>303</v>
      </c>
      <c r="C27" s="10" t="s">
        <v>304</v>
      </c>
      <c r="D27" s="10" t="s">
        <v>305</v>
      </c>
      <c r="E27" s="11">
        <v>12</v>
      </c>
      <c r="F27" s="11">
        <v>9</v>
      </c>
      <c r="G27" s="10" t="s">
        <v>113</v>
      </c>
      <c r="H27" s="10" t="s">
        <v>306</v>
      </c>
      <c r="I27" s="10" t="s">
        <v>99</v>
      </c>
      <c r="J27" s="10" t="s">
        <v>115</v>
      </c>
      <c r="K27" s="10" t="s">
        <v>307</v>
      </c>
      <c r="L27" s="10" t="s">
        <v>102</v>
      </c>
      <c r="M27" s="10" t="s">
        <v>103</v>
      </c>
      <c r="N27" s="10" t="s">
        <v>308</v>
      </c>
      <c r="O27" s="10" t="s">
        <v>309</v>
      </c>
      <c r="P27" s="10" t="s">
        <v>310</v>
      </c>
      <c r="Q27" s="10" t="s">
        <v>311</v>
      </c>
      <c r="R27" s="10" t="s">
        <v>108</v>
      </c>
      <c r="S27" s="12"/>
      <c r="T27" s="10" t="s">
        <v>312</v>
      </c>
      <c r="U27" s="13" t="str">
        <f t="shared" si="0"/>
        <v>Adequada</v>
      </c>
      <c r="V27" s="13" t="str">
        <f t="shared" si="1"/>
        <v>—</v>
      </c>
    </row>
    <row r="28" spans="1:22" ht="61.95" customHeight="1" x14ac:dyDescent="0.3">
      <c r="A28" s="10" t="s">
        <v>313</v>
      </c>
      <c r="B28" s="10" t="s">
        <v>267</v>
      </c>
      <c r="C28" s="10" t="s">
        <v>314</v>
      </c>
      <c r="D28" s="10" t="s">
        <v>315</v>
      </c>
      <c r="E28" s="11">
        <v>9</v>
      </c>
      <c r="F28" s="11">
        <v>9</v>
      </c>
      <c r="G28" s="10" t="s">
        <v>113</v>
      </c>
      <c r="H28" s="10" t="s">
        <v>270</v>
      </c>
      <c r="I28" s="10" t="s">
        <v>99</v>
      </c>
      <c r="J28" s="10" t="s">
        <v>115</v>
      </c>
      <c r="K28" s="10" t="s">
        <v>316</v>
      </c>
      <c r="L28" s="10" t="s">
        <v>127</v>
      </c>
      <c r="M28" s="10" t="s">
        <v>235</v>
      </c>
      <c r="N28" s="10" t="s">
        <v>262</v>
      </c>
      <c r="O28" s="10" t="s">
        <v>317</v>
      </c>
      <c r="P28" s="10" t="s">
        <v>318</v>
      </c>
      <c r="Q28" s="10" t="s">
        <v>319</v>
      </c>
      <c r="R28" s="10" t="s">
        <v>121</v>
      </c>
      <c r="S28" s="12">
        <v>46387</v>
      </c>
      <c r="T28" s="10"/>
      <c r="U28" s="13" t="str">
        <f t="shared" si="0"/>
        <v>Adequada</v>
      </c>
      <c r="V28" s="13" t="str">
        <f t="shared" si="1"/>
        <v>—</v>
      </c>
    </row>
    <row r="29" spans="1:22" ht="61.95" customHeight="1" x14ac:dyDescent="0.3">
      <c r="A29" s="10" t="s">
        <v>320</v>
      </c>
      <c r="B29" s="10" t="s">
        <v>321</v>
      </c>
      <c r="C29" s="10" t="s">
        <v>322</v>
      </c>
      <c r="D29" s="10" t="s">
        <v>323</v>
      </c>
      <c r="E29" s="11">
        <v>16</v>
      </c>
      <c r="F29" s="11">
        <v>12</v>
      </c>
      <c r="G29" s="10" t="s">
        <v>97</v>
      </c>
      <c r="H29" s="10" t="s">
        <v>324</v>
      </c>
      <c r="I29" s="10" t="s">
        <v>99</v>
      </c>
      <c r="J29" s="10" t="s">
        <v>100</v>
      </c>
      <c r="K29" s="10" t="s">
        <v>325</v>
      </c>
      <c r="L29" s="10" t="s">
        <v>102</v>
      </c>
      <c r="M29" s="10" t="s">
        <v>326</v>
      </c>
      <c r="N29" s="10" t="s">
        <v>206</v>
      </c>
      <c r="O29" s="10" t="s">
        <v>327</v>
      </c>
      <c r="P29" s="10" t="s">
        <v>328</v>
      </c>
      <c r="Q29" s="10" t="s">
        <v>319</v>
      </c>
      <c r="R29" s="10" t="s">
        <v>108</v>
      </c>
      <c r="S29" s="12"/>
      <c r="T29" s="10" t="s">
        <v>329</v>
      </c>
      <c r="U29" s="13" t="str">
        <f t="shared" si="0"/>
        <v>Adequada</v>
      </c>
      <c r="V29" s="13" t="str">
        <f t="shared" si="1"/>
        <v>Avaliar já</v>
      </c>
    </row>
    <row r="30" spans="1:22" ht="61.95" customHeight="1" x14ac:dyDescent="0.3">
      <c r="A30" s="10" t="s">
        <v>330</v>
      </c>
      <c r="B30" s="10" t="s">
        <v>331</v>
      </c>
      <c r="C30" s="10" t="s">
        <v>332</v>
      </c>
      <c r="D30" s="10" t="s">
        <v>333</v>
      </c>
      <c r="E30" s="11">
        <v>9</v>
      </c>
      <c r="F30" s="11">
        <v>9</v>
      </c>
      <c r="G30" s="10" t="s">
        <v>113</v>
      </c>
      <c r="H30" s="10" t="s">
        <v>324</v>
      </c>
      <c r="I30" s="10" t="s">
        <v>334</v>
      </c>
      <c r="J30" s="10"/>
      <c r="K30" s="10" t="s">
        <v>335</v>
      </c>
      <c r="L30" s="10" t="s">
        <v>127</v>
      </c>
      <c r="M30" s="10" t="s">
        <v>235</v>
      </c>
      <c r="N30" s="10" t="s">
        <v>118</v>
      </c>
      <c r="O30" s="10" t="s">
        <v>336</v>
      </c>
      <c r="P30" s="10" t="s">
        <v>337</v>
      </c>
      <c r="Q30" s="10" t="s">
        <v>107</v>
      </c>
      <c r="R30" s="10" t="s">
        <v>209</v>
      </c>
      <c r="S30" s="12">
        <v>46387</v>
      </c>
      <c r="T30" s="10" t="s">
        <v>338</v>
      </c>
      <c r="U30" s="13" t="str">
        <f t="shared" si="0"/>
        <v>Adequada</v>
      </c>
      <c r="V30" s="13" t="str">
        <f t="shared" si="1"/>
        <v>—</v>
      </c>
    </row>
    <row r="31" spans="1:22" ht="61.95" customHeight="1" x14ac:dyDescent="0.3">
      <c r="A31" s="10" t="s">
        <v>339</v>
      </c>
      <c r="B31" s="10" t="s">
        <v>212</v>
      </c>
      <c r="C31" s="10" t="s">
        <v>340</v>
      </c>
      <c r="D31" s="10" t="s">
        <v>341</v>
      </c>
      <c r="E31" s="11">
        <v>15</v>
      </c>
      <c r="F31" s="11">
        <v>12</v>
      </c>
      <c r="G31" s="10" t="s">
        <v>97</v>
      </c>
      <c r="H31" s="10" t="s">
        <v>342</v>
      </c>
      <c r="I31" s="10" t="s">
        <v>99</v>
      </c>
      <c r="J31" s="10" t="s">
        <v>100</v>
      </c>
      <c r="K31" s="10" t="s">
        <v>343</v>
      </c>
      <c r="L31" s="10" t="s">
        <v>127</v>
      </c>
      <c r="M31" s="10" t="s">
        <v>219</v>
      </c>
      <c r="N31" s="10" t="s">
        <v>196</v>
      </c>
      <c r="O31" s="10" t="s">
        <v>344</v>
      </c>
      <c r="P31" s="10" t="s">
        <v>345</v>
      </c>
      <c r="Q31" s="10" t="s">
        <v>222</v>
      </c>
      <c r="R31" s="10" t="s">
        <v>108</v>
      </c>
      <c r="S31" s="12"/>
      <c r="T31" s="10"/>
      <c r="U31" s="13" t="str">
        <f t="shared" si="0"/>
        <v>Adequada</v>
      </c>
      <c r="V31" s="13" t="str">
        <f t="shared" si="1"/>
        <v>Avaliar já</v>
      </c>
    </row>
  </sheetData>
  <conditionalFormatting sqref="G5:G231">
    <cfRule type="expression" dxfId="18" priority="1">
      <formula>ISNUMBER(SEARCH("Alto",G5))</formula>
    </cfRule>
    <cfRule type="expression" dxfId="17" priority="2">
      <formula>ISNUMBER(SEARCH("Médio",G5))</formula>
    </cfRule>
    <cfRule type="expression" dxfId="16" priority="3">
      <formula>ISNUMBER(SEARCH("Baixo",G5))</formula>
    </cfRule>
  </conditionalFormatting>
  <conditionalFormatting sqref="L5:L231">
    <cfRule type="expression" dxfId="15" priority="7">
      <formula>ISNUMBER(SEARCH("Sim",L5))</formula>
    </cfRule>
  </conditionalFormatting>
  <conditionalFormatting sqref="R5:R231">
    <cfRule type="expression" dxfId="14" priority="4">
      <formula>ISNUMBER(SEARCH("Não eficaz",R5))</formula>
    </cfRule>
    <cfRule type="expression" dxfId="13" priority="5">
      <formula>ISNUMBER(SEARCH("Parcial",R5))</formula>
    </cfRule>
    <cfRule type="expression" dxfId="12" priority="6">
      <formula>ISNUMBER(SEARCH("Eficaz",R5))</formula>
    </cfRule>
  </conditionalFormatting>
  <conditionalFormatting sqref="U5:U231">
    <cfRule type="expression" dxfId="11" priority="10">
      <formula>ISNUMBER(SEARCH("Rever",U5))</formula>
    </cfRule>
    <cfRule type="expression" dxfId="10" priority="11">
      <formula>ISNUMBER(SEARCH("Excessiva",U5))</formula>
    </cfRule>
  </conditionalFormatting>
  <conditionalFormatting sqref="V5:V231">
    <cfRule type="expression" dxfId="9" priority="8">
      <formula>ISNUMBER(SEARCH("Replanear",V5))</formula>
    </cfRule>
    <cfRule type="expression" dxfId="8" priority="9">
      <formula>ISNUMBER(SEARCH("Avaliar",V5))</formula>
    </cfRule>
  </conditionalFormatting>
  <dataValidations count="4">
    <dataValidation type="list" allowBlank="1" showErrorMessage="1" errorTitle="Valor inválido" error="Valor fora da lista controlada (ver folha Listas)." sqref="L5:L231" xr:uid="{00000000-0002-0000-0100-000000000000}">
      <formula1>lst_SimNao</formula1>
    </dataValidation>
    <dataValidation type="list" allowBlank="1" showErrorMessage="1" errorTitle="Valor inválido" error="Valor fora da lista controlada (ver folha Listas)." sqref="M5:M231" xr:uid="{00000000-0002-0000-0100-000001000000}">
      <formula1>lst_Opcao</formula1>
    </dataValidation>
    <dataValidation type="list" allowBlank="1" showErrorMessage="1" errorTitle="Valor inválido" error="Valor fora da lista controlada (ver folha Listas)." sqref="N5:N231" xr:uid="{00000000-0002-0000-0100-000002000000}">
      <formula1>lst_Processo</formula1>
    </dataValidation>
    <dataValidation type="list" allowBlank="1" showErrorMessage="1" errorTitle="Valor inválido" error="Valor fora da lista controlada (ver folha Listas)." sqref="R5:R231" xr:uid="{00000000-0002-0000-0100-000003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6" customWidth="1"/>
    <col min="3" max="3" width="42" customWidth="1"/>
    <col min="4" max="4" width="30" customWidth="1"/>
    <col min="5" max="5" width="7" customWidth="1"/>
    <col min="6" max="6" width="9" customWidth="1"/>
    <col min="7" max="7" width="12" customWidth="1"/>
    <col min="8" max="8" width="20" customWidth="1"/>
    <col min="9" max="9" width="34" customWidth="1"/>
    <col min="10" max="10" width="7" customWidth="1"/>
    <col min="11" max="11" width="40" customWidth="1"/>
    <col min="12" max="12" width="30" customWidth="1"/>
    <col min="13" max="13" width="12" customWidth="1"/>
    <col min="14" max="15" width="11" customWidth="1"/>
    <col min="16" max="16" width="16" customWidth="1"/>
  </cols>
  <sheetData>
    <row r="1" spans="1:16" ht="17.399999999999999" x14ac:dyDescent="0.3">
      <c r="A1" s="1" t="s">
        <v>346</v>
      </c>
    </row>
    <row r="2" spans="1:16" x14ac:dyDescent="0.3">
      <c r="A2" s="2" t="s">
        <v>347</v>
      </c>
    </row>
    <row r="4" spans="1:16" ht="39.6" x14ac:dyDescent="0.3">
      <c r="A4" s="8" t="s">
        <v>348</v>
      </c>
      <c r="B4" s="8" t="s">
        <v>72</v>
      </c>
      <c r="C4" s="8" t="s">
        <v>73</v>
      </c>
      <c r="D4" s="8" t="s">
        <v>349</v>
      </c>
      <c r="E4" s="8" t="s">
        <v>350</v>
      </c>
      <c r="F4" s="8" t="s">
        <v>351</v>
      </c>
      <c r="G4" s="8" t="s">
        <v>352</v>
      </c>
      <c r="H4" s="8" t="s">
        <v>78</v>
      </c>
      <c r="I4" s="8" t="s">
        <v>353</v>
      </c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90</v>
      </c>
    </row>
    <row r="5" spans="1:16" ht="48" customHeight="1" x14ac:dyDescent="0.3">
      <c r="A5" s="10" t="s">
        <v>354</v>
      </c>
      <c r="B5" s="10" t="s">
        <v>134</v>
      </c>
      <c r="C5" s="10" t="s">
        <v>355</v>
      </c>
      <c r="D5" s="10" t="s">
        <v>356</v>
      </c>
      <c r="E5" s="11">
        <v>16</v>
      </c>
      <c r="F5" s="10" t="s">
        <v>215</v>
      </c>
      <c r="G5" s="10" t="s">
        <v>357</v>
      </c>
      <c r="H5" s="10" t="s">
        <v>11</v>
      </c>
      <c r="I5" s="10" t="s">
        <v>358</v>
      </c>
      <c r="J5" s="10" t="s">
        <v>138</v>
      </c>
      <c r="K5" s="10" t="s">
        <v>359</v>
      </c>
      <c r="L5" s="10" t="s">
        <v>360</v>
      </c>
      <c r="M5" s="10" t="s">
        <v>107</v>
      </c>
      <c r="N5" s="10" t="s">
        <v>108</v>
      </c>
      <c r="O5" s="12"/>
      <c r="P5" s="10" t="s">
        <v>361</v>
      </c>
    </row>
    <row r="6" spans="1:16" ht="48" customHeight="1" x14ac:dyDescent="0.3">
      <c r="A6" s="10" t="s">
        <v>362</v>
      </c>
      <c r="B6" s="10" t="s">
        <v>363</v>
      </c>
      <c r="C6" s="10" t="s">
        <v>364</v>
      </c>
      <c r="D6" s="10" t="s">
        <v>365</v>
      </c>
      <c r="E6" s="11">
        <v>16</v>
      </c>
      <c r="F6" s="10" t="s">
        <v>215</v>
      </c>
      <c r="G6" s="10" t="s">
        <v>357</v>
      </c>
      <c r="H6" s="10" t="s">
        <v>114</v>
      </c>
      <c r="I6" s="10" t="s">
        <v>366</v>
      </c>
      <c r="J6" s="10" t="s">
        <v>118</v>
      </c>
      <c r="K6" s="10" t="s">
        <v>367</v>
      </c>
      <c r="L6" s="10" t="s">
        <v>368</v>
      </c>
      <c r="M6" s="10" t="s">
        <v>107</v>
      </c>
      <c r="N6" s="10" t="s">
        <v>108</v>
      </c>
      <c r="O6" s="12"/>
      <c r="P6" s="10"/>
    </row>
    <row r="7" spans="1:16" ht="48" customHeight="1" x14ac:dyDescent="0.3">
      <c r="A7" s="10" t="s">
        <v>369</v>
      </c>
      <c r="B7" s="10" t="s">
        <v>267</v>
      </c>
      <c r="C7" s="10" t="s">
        <v>370</v>
      </c>
      <c r="D7" s="10" t="s">
        <v>371</v>
      </c>
      <c r="E7" s="11">
        <v>16</v>
      </c>
      <c r="F7" s="10" t="s">
        <v>215</v>
      </c>
      <c r="G7" s="10" t="s">
        <v>372</v>
      </c>
      <c r="H7" s="10" t="s">
        <v>270</v>
      </c>
      <c r="I7" s="10" t="s">
        <v>373</v>
      </c>
      <c r="J7" s="10" t="s">
        <v>262</v>
      </c>
      <c r="K7" s="10" t="s">
        <v>374</v>
      </c>
      <c r="L7" s="10" t="s">
        <v>375</v>
      </c>
      <c r="M7" s="10" t="s">
        <v>107</v>
      </c>
      <c r="N7" s="10" t="s">
        <v>108</v>
      </c>
      <c r="O7" s="12"/>
      <c r="P7" s="10"/>
    </row>
    <row r="8" spans="1:16" ht="48" customHeight="1" x14ac:dyDescent="0.3">
      <c r="A8" s="10" t="s">
        <v>376</v>
      </c>
      <c r="B8" s="10" t="s">
        <v>174</v>
      </c>
      <c r="C8" s="10" t="s">
        <v>377</v>
      </c>
      <c r="D8" s="10" t="s">
        <v>378</v>
      </c>
      <c r="E8" s="11">
        <v>15</v>
      </c>
      <c r="F8" s="10" t="s">
        <v>97</v>
      </c>
      <c r="G8" s="10" t="s">
        <v>379</v>
      </c>
      <c r="H8" s="10" t="s">
        <v>98</v>
      </c>
      <c r="I8" s="10" t="s">
        <v>380</v>
      </c>
      <c r="J8" s="10" t="s">
        <v>178</v>
      </c>
      <c r="K8" s="10" t="s">
        <v>381</v>
      </c>
      <c r="L8" s="10" t="s">
        <v>382</v>
      </c>
      <c r="M8" s="10" t="s">
        <v>130</v>
      </c>
      <c r="N8" s="10" t="s">
        <v>108</v>
      </c>
      <c r="O8" s="12"/>
      <c r="P8" s="10"/>
    </row>
    <row r="9" spans="1:16" ht="48" customHeight="1" x14ac:dyDescent="0.3">
      <c r="A9" s="10" t="s">
        <v>383</v>
      </c>
      <c r="B9" s="10" t="s">
        <v>321</v>
      </c>
      <c r="C9" s="10" t="s">
        <v>384</v>
      </c>
      <c r="D9" s="10" t="s">
        <v>385</v>
      </c>
      <c r="E9" s="11">
        <v>12</v>
      </c>
      <c r="F9" s="10" t="s">
        <v>97</v>
      </c>
      <c r="G9" s="10" t="s">
        <v>372</v>
      </c>
      <c r="H9" s="10" t="s">
        <v>324</v>
      </c>
      <c r="I9" s="10" t="s">
        <v>386</v>
      </c>
      <c r="J9" s="10" t="s">
        <v>206</v>
      </c>
      <c r="K9" s="10" t="s">
        <v>387</v>
      </c>
      <c r="L9" s="10" t="s">
        <v>388</v>
      </c>
      <c r="M9" s="10" t="s">
        <v>319</v>
      </c>
      <c r="N9" s="10" t="s">
        <v>108</v>
      </c>
      <c r="O9" s="12"/>
      <c r="P9" s="10" t="s">
        <v>329</v>
      </c>
    </row>
    <row r="10" spans="1:16" ht="48" customHeight="1" x14ac:dyDescent="0.3">
      <c r="A10" s="10" t="s">
        <v>389</v>
      </c>
      <c r="B10" s="10" t="s">
        <v>212</v>
      </c>
      <c r="C10" s="10" t="s">
        <v>390</v>
      </c>
      <c r="D10" s="10" t="s">
        <v>391</v>
      </c>
      <c r="E10" s="11">
        <v>16</v>
      </c>
      <c r="F10" s="10" t="s">
        <v>215</v>
      </c>
      <c r="G10" s="10" t="s">
        <v>357</v>
      </c>
      <c r="H10" s="10" t="s">
        <v>216</v>
      </c>
      <c r="I10" s="10" t="s">
        <v>392</v>
      </c>
      <c r="J10" s="10" t="s">
        <v>196</v>
      </c>
      <c r="K10" s="10" t="s">
        <v>393</v>
      </c>
      <c r="L10" s="10" t="s">
        <v>394</v>
      </c>
      <c r="M10" s="10" t="s">
        <v>222</v>
      </c>
      <c r="N10" s="10" t="s">
        <v>209</v>
      </c>
      <c r="O10" s="12">
        <v>46387</v>
      </c>
      <c r="P10" s="10" t="s">
        <v>199</v>
      </c>
    </row>
    <row r="11" spans="1:16" ht="48" customHeight="1" x14ac:dyDescent="0.3">
      <c r="A11" s="10" t="s">
        <v>395</v>
      </c>
      <c r="B11" s="10" t="s">
        <v>201</v>
      </c>
      <c r="C11" s="10" t="s">
        <v>396</v>
      </c>
      <c r="D11" s="10" t="s">
        <v>397</v>
      </c>
      <c r="E11" s="11">
        <v>9</v>
      </c>
      <c r="F11" s="10" t="s">
        <v>113</v>
      </c>
      <c r="G11" s="10" t="s">
        <v>398</v>
      </c>
      <c r="H11" s="10" t="s">
        <v>98</v>
      </c>
      <c r="I11" s="10" t="s">
        <v>399</v>
      </c>
      <c r="J11" s="10" t="s">
        <v>178</v>
      </c>
      <c r="K11" s="10" t="s">
        <v>400</v>
      </c>
      <c r="L11" s="10" t="s">
        <v>401</v>
      </c>
      <c r="M11" s="10" t="s">
        <v>130</v>
      </c>
      <c r="N11" s="10" t="s">
        <v>108</v>
      </c>
      <c r="O11" s="12"/>
      <c r="P11" s="10" t="s">
        <v>402</v>
      </c>
    </row>
    <row r="12" spans="1:16" ht="48" customHeight="1" x14ac:dyDescent="0.3">
      <c r="A12" s="10" t="s">
        <v>403</v>
      </c>
      <c r="B12" s="10" t="s">
        <v>241</v>
      </c>
      <c r="C12" s="10" t="s">
        <v>404</v>
      </c>
      <c r="D12" s="10" t="s">
        <v>405</v>
      </c>
      <c r="E12" s="11">
        <v>12</v>
      </c>
      <c r="F12" s="10" t="s">
        <v>97</v>
      </c>
      <c r="G12" s="10" t="s">
        <v>357</v>
      </c>
      <c r="H12" s="10" t="s">
        <v>11</v>
      </c>
      <c r="I12" s="10" t="s">
        <v>406</v>
      </c>
      <c r="J12" s="10" t="s">
        <v>278</v>
      </c>
      <c r="K12" s="10" t="s">
        <v>407</v>
      </c>
      <c r="L12" s="10" t="s">
        <v>408</v>
      </c>
      <c r="M12" s="10" t="s">
        <v>311</v>
      </c>
      <c r="N12" s="10" t="s">
        <v>108</v>
      </c>
      <c r="O12" s="12"/>
      <c r="P12" s="10"/>
    </row>
    <row r="13" spans="1:16" ht="48" customHeight="1" x14ac:dyDescent="0.3">
      <c r="A13" s="10" t="s">
        <v>409</v>
      </c>
      <c r="B13" s="10" t="s">
        <v>241</v>
      </c>
      <c r="C13" s="10" t="s">
        <v>410</v>
      </c>
      <c r="D13" s="10" t="s">
        <v>411</v>
      </c>
      <c r="E13" s="11">
        <v>12</v>
      </c>
      <c r="F13" s="10" t="s">
        <v>97</v>
      </c>
      <c r="G13" s="10" t="s">
        <v>398</v>
      </c>
      <c r="H13" s="10" t="s">
        <v>11</v>
      </c>
      <c r="I13" s="10" t="s">
        <v>412</v>
      </c>
      <c r="J13" s="10" t="s">
        <v>262</v>
      </c>
      <c r="K13" s="10" t="s">
        <v>413</v>
      </c>
      <c r="L13" s="10" t="s">
        <v>414</v>
      </c>
      <c r="M13" s="10" t="s">
        <v>248</v>
      </c>
      <c r="N13" s="10" t="s">
        <v>108</v>
      </c>
      <c r="O13" s="12"/>
      <c r="P13" s="10" t="s">
        <v>249</v>
      </c>
    </row>
    <row r="14" spans="1:16" ht="48" customHeight="1" x14ac:dyDescent="0.3">
      <c r="A14" s="10" t="s">
        <v>415</v>
      </c>
      <c r="B14" s="10" t="s">
        <v>416</v>
      </c>
      <c r="C14" s="10" t="s">
        <v>417</v>
      </c>
      <c r="D14" s="10" t="s">
        <v>418</v>
      </c>
      <c r="E14" s="11">
        <v>8</v>
      </c>
      <c r="F14" s="10" t="s">
        <v>113</v>
      </c>
      <c r="G14" s="10" t="s">
        <v>419</v>
      </c>
      <c r="H14" s="10" t="s">
        <v>11</v>
      </c>
      <c r="I14" s="10" t="s">
        <v>420</v>
      </c>
      <c r="J14" s="10" t="s">
        <v>245</v>
      </c>
      <c r="K14" s="10" t="s">
        <v>421</v>
      </c>
      <c r="L14" s="10" t="s">
        <v>422</v>
      </c>
      <c r="M14" s="10" t="s">
        <v>423</v>
      </c>
      <c r="N14" s="10" t="s">
        <v>108</v>
      </c>
      <c r="O14" s="12"/>
      <c r="P14" s="10" t="s">
        <v>424</v>
      </c>
    </row>
    <row r="15" spans="1:16" ht="48" customHeight="1" x14ac:dyDescent="0.3">
      <c r="A15" s="10" t="s">
        <v>425</v>
      </c>
      <c r="B15" s="10" t="s">
        <v>231</v>
      </c>
      <c r="C15" s="10" t="s">
        <v>426</v>
      </c>
      <c r="D15" s="10" t="s">
        <v>427</v>
      </c>
      <c r="E15" s="11">
        <v>12</v>
      </c>
      <c r="F15" s="10" t="s">
        <v>97</v>
      </c>
      <c r="G15" s="10" t="s">
        <v>379</v>
      </c>
      <c r="H15" s="10" t="s">
        <v>98</v>
      </c>
      <c r="I15" s="10" t="s">
        <v>428</v>
      </c>
      <c r="J15" s="10" t="s">
        <v>178</v>
      </c>
      <c r="K15" s="10" t="s">
        <v>429</v>
      </c>
      <c r="L15" s="10" t="s">
        <v>430</v>
      </c>
      <c r="M15" s="10" t="s">
        <v>107</v>
      </c>
      <c r="N15" s="10" t="s">
        <v>108</v>
      </c>
      <c r="O15" s="12"/>
      <c r="P15" s="10"/>
    </row>
  </sheetData>
  <conditionalFormatting sqref="N5:N215">
    <cfRule type="expression" dxfId="7" priority="1">
      <formula>ISNUMBER(SEARCH("Não eficaz",N5))</formula>
    </cfRule>
    <cfRule type="expression" dxfId="6" priority="2">
      <formula>ISNUMBER(SEARCH("Parcial",N5))</formula>
    </cfRule>
    <cfRule type="expression" dxfId="5" priority="3">
      <formula>ISNUMBER(SEARCH("Eficaz",N5))</formula>
    </cfRule>
  </conditionalFormatting>
  <dataValidations count="2">
    <dataValidation type="list" allowBlank="1" showErrorMessage="1" errorTitle="Valor inválido" error="Valor fora da lista controlada (ver folha Listas)." sqref="J5:J215" xr:uid="{00000000-0002-0000-0200-000000000000}">
      <formula1>lst_Processo</formula1>
    </dataValidation>
    <dataValidation type="list" allowBlank="1" showErrorMessage="1" errorTitle="Valor inválido" error="Valor fora da lista controlada (ver folha Listas)." sqref="N5:N215" xr:uid="{00000000-0002-0000-0200-000001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3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7" customWidth="1"/>
    <col min="3" max="3" width="22" customWidth="1"/>
    <col min="4" max="4" width="8" customWidth="1"/>
    <col min="5" max="5" width="30" customWidth="1"/>
    <col min="6" max="6" width="34" customWidth="1"/>
    <col min="7" max="7" width="4" customWidth="1"/>
    <col min="8" max="8" width="32" customWidth="1"/>
    <col min="9" max="9" width="11" customWidth="1"/>
    <col min="10" max="10" width="9" customWidth="1"/>
    <col min="11" max="11" width="10" customWidth="1"/>
    <col min="12" max="12" width="4" customWidth="1"/>
    <col min="13" max="13" width="14" customWidth="1"/>
    <col min="14" max="14" width="4" customWidth="1"/>
    <col min="15" max="15" width="6" customWidth="1"/>
    <col min="16" max="16" width="10" customWidth="1"/>
    <col min="17" max="17" width="36" customWidth="1"/>
    <col min="18" max="18" width="7" customWidth="1"/>
  </cols>
  <sheetData>
    <row r="1" spans="1:18" ht="17.399999999999999" x14ac:dyDescent="0.3">
      <c r="A1" s="1" t="s">
        <v>431</v>
      </c>
    </row>
    <row r="2" spans="1:18" x14ac:dyDescent="0.3">
      <c r="A2" s="2" t="s">
        <v>432</v>
      </c>
    </row>
    <row r="4" spans="1:18" ht="39.6" x14ac:dyDescent="0.3">
      <c r="A4" s="8" t="s">
        <v>433</v>
      </c>
      <c r="B4" s="8" t="s">
        <v>434</v>
      </c>
      <c r="C4" s="8" t="s">
        <v>435</v>
      </c>
      <c r="D4" s="8" t="s">
        <v>436</v>
      </c>
      <c r="E4" s="8" t="s">
        <v>437</v>
      </c>
      <c r="F4" s="8" t="s">
        <v>438</v>
      </c>
      <c r="G4" s="8" t="s">
        <v>439</v>
      </c>
      <c r="H4" s="8" t="s">
        <v>74</v>
      </c>
      <c r="I4" s="8" t="s">
        <v>440</v>
      </c>
      <c r="J4" s="8" t="s">
        <v>441</v>
      </c>
      <c r="K4" s="9" t="s">
        <v>442</v>
      </c>
      <c r="L4" s="9" t="s">
        <v>443</v>
      </c>
      <c r="M4" s="8" t="s">
        <v>444</v>
      </c>
      <c r="N4" s="8" t="s">
        <v>445</v>
      </c>
      <c r="O4" s="9" t="s">
        <v>446</v>
      </c>
      <c r="P4" s="9" t="s">
        <v>447</v>
      </c>
      <c r="Q4" s="8" t="s">
        <v>448</v>
      </c>
      <c r="R4" s="8" t="s">
        <v>71</v>
      </c>
    </row>
    <row r="5" spans="1:18" ht="30" customHeight="1" x14ac:dyDescent="0.3">
      <c r="A5" s="10" t="s">
        <v>449</v>
      </c>
      <c r="B5" s="10" t="s">
        <v>170</v>
      </c>
      <c r="C5" s="10" t="s">
        <v>450</v>
      </c>
      <c r="D5" s="10" t="s">
        <v>451</v>
      </c>
      <c r="E5" s="10" t="s">
        <v>452</v>
      </c>
      <c r="F5" s="10" t="s">
        <v>453</v>
      </c>
      <c r="G5" s="14">
        <v>9</v>
      </c>
      <c r="H5" s="10" t="s">
        <v>454</v>
      </c>
      <c r="I5" s="11">
        <v>247390</v>
      </c>
      <c r="J5" s="11">
        <v>75</v>
      </c>
      <c r="K5" s="15">
        <f t="shared" ref="K5:K33" si="0">IFERROR(J5/I5*1000000,0)</f>
        <v>303.16504304943612</v>
      </c>
      <c r="L5" s="16">
        <f t="shared" ref="L5:L33" si="1">IF(K5&gt;=100000,10,IF(K5&gt;=50000,9,IF(K5&gt;=20000,8,IF(K5&gt;=10000,7,IF(K5&gt;=2000,6,IF(K5&gt;=500,5,IF(K5&gt;=100,4,IF(K5&gt;=10,3,IF(K5&gt;0,2,1)))))))))</f>
        <v>4</v>
      </c>
      <c r="M5" s="10" t="s">
        <v>455</v>
      </c>
      <c r="N5" s="14">
        <v>3</v>
      </c>
      <c r="O5" s="16">
        <f t="shared" ref="O5:O33" si="2">G5*L5*N5</f>
        <v>108</v>
      </c>
      <c r="P5" s="13" t="str">
        <f t="shared" ref="P5:P33" si="3">IF(OR(AND(G5&gt;=9,L5&gt;=4),AND(G5&gt;=7,L5&gt;=6,N5&gt;=5)),"Alta",IF(OR(AND(G5&gt;=9,L5&gt;=2,N5&gt;=5),AND(G5&gt;=5,L5&gt;=5)),"Média","Baixa"))</f>
        <v>Alta</v>
      </c>
      <c r="Q5" s="10"/>
      <c r="R5" s="10"/>
    </row>
    <row r="6" spans="1:18" ht="30" customHeight="1" x14ac:dyDescent="0.3">
      <c r="A6" s="10" t="s">
        <v>456</v>
      </c>
      <c r="B6" s="10" t="s">
        <v>170</v>
      </c>
      <c r="C6" s="10" t="s">
        <v>457</v>
      </c>
      <c r="D6" s="10" t="s">
        <v>451</v>
      </c>
      <c r="E6" s="10" t="s">
        <v>458</v>
      </c>
      <c r="F6" s="10" t="s">
        <v>453</v>
      </c>
      <c r="G6" s="14">
        <v>9</v>
      </c>
      <c r="H6" s="10" t="s">
        <v>459</v>
      </c>
      <c r="I6" s="11">
        <v>241990</v>
      </c>
      <c r="J6" s="11">
        <v>91</v>
      </c>
      <c r="K6" s="15">
        <f t="shared" si="0"/>
        <v>376.04859704946483</v>
      </c>
      <c r="L6" s="16">
        <f t="shared" si="1"/>
        <v>4</v>
      </c>
      <c r="M6" s="10" t="s">
        <v>455</v>
      </c>
      <c r="N6" s="14">
        <v>3</v>
      </c>
      <c r="O6" s="16">
        <f t="shared" si="2"/>
        <v>108</v>
      </c>
      <c r="P6" s="13" t="str">
        <f t="shared" si="3"/>
        <v>Alta</v>
      </c>
      <c r="Q6" s="10" t="s">
        <v>460</v>
      </c>
      <c r="R6" s="10" t="s">
        <v>165</v>
      </c>
    </row>
    <row r="7" spans="1:18" ht="30" customHeight="1" x14ac:dyDescent="0.3">
      <c r="A7" s="10" t="s">
        <v>461</v>
      </c>
      <c r="B7" s="10" t="s">
        <v>170</v>
      </c>
      <c r="C7" s="10" t="s">
        <v>462</v>
      </c>
      <c r="D7" s="10" t="s">
        <v>463</v>
      </c>
      <c r="E7" s="10" t="s">
        <v>464</v>
      </c>
      <c r="F7" s="10" t="s">
        <v>465</v>
      </c>
      <c r="G7" s="14">
        <v>7</v>
      </c>
      <c r="H7" s="10" t="s">
        <v>466</v>
      </c>
      <c r="I7" s="11">
        <v>237870</v>
      </c>
      <c r="J7" s="11">
        <v>792</v>
      </c>
      <c r="K7" s="15">
        <f t="shared" si="0"/>
        <v>3329.5497540673477</v>
      </c>
      <c r="L7" s="16">
        <f t="shared" si="1"/>
        <v>6</v>
      </c>
      <c r="M7" s="10" t="s">
        <v>455</v>
      </c>
      <c r="N7" s="14">
        <v>3</v>
      </c>
      <c r="O7" s="16">
        <f t="shared" si="2"/>
        <v>126</v>
      </c>
      <c r="P7" s="13" t="str">
        <f t="shared" si="3"/>
        <v>Média</v>
      </c>
      <c r="Q7" s="10"/>
      <c r="R7" s="10"/>
    </row>
    <row r="8" spans="1:18" ht="30" customHeight="1" x14ac:dyDescent="0.3">
      <c r="A8" s="10" t="s">
        <v>467</v>
      </c>
      <c r="B8" s="10" t="s">
        <v>170</v>
      </c>
      <c r="C8" s="10" t="s">
        <v>468</v>
      </c>
      <c r="D8" s="10" t="s">
        <v>463</v>
      </c>
      <c r="E8" s="10" t="s">
        <v>469</v>
      </c>
      <c r="F8" s="10" t="s">
        <v>465</v>
      </c>
      <c r="G8" s="14">
        <v>7</v>
      </c>
      <c r="H8" s="10" t="s">
        <v>470</v>
      </c>
      <c r="I8" s="11">
        <v>237905</v>
      </c>
      <c r="J8" s="11">
        <v>781</v>
      </c>
      <c r="K8" s="15">
        <f t="shared" si="0"/>
        <v>3282.8229755574703</v>
      </c>
      <c r="L8" s="16">
        <f t="shared" si="1"/>
        <v>6</v>
      </c>
      <c r="M8" s="10" t="s">
        <v>455</v>
      </c>
      <c r="N8" s="14">
        <v>3</v>
      </c>
      <c r="O8" s="16">
        <f t="shared" si="2"/>
        <v>126</v>
      </c>
      <c r="P8" s="13" t="str">
        <f t="shared" si="3"/>
        <v>Média</v>
      </c>
      <c r="Q8" s="10"/>
      <c r="R8" s="10"/>
    </row>
    <row r="9" spans="1:18" ht="30" customHeight="1" x14ac:dyDescent="0.3">
      <c r="A9" s="10" t="s">
        <v>471</v>
      </c>
      <c r="B9" s="10" t="s">
        <v>170</v>
      </c>
      <c r="C9" s="10" t="s">
        <v>472</v>
      </c>
      <c r="D9" s="10" t="s">
        <v>463</v>
      </c>
      <c r="E9" s="10" t="s">
        <v>473</v>
      </c>
      <c r="F9" s="10" t="s">
        <v>465</v>
      </c>
      <c r="G9" s="14">
        <v>7</v>
      </c>
      <c r="H9" s="10" t="s">
        <v>474</v>
      </c>
      <c r="I9" s="11">
        <v>241760</v>
      </c>
      <c r="J9" s="11">
        <v>836</v>
      </c>
      <c r="K9" s="15">
        <f t="shared" si="0"/>
        <v>3457.9748510919922</v>
      </c>
      <c r="L9" s="16">
        <f t="shared" si="1"/>
        <v>6</v>
      </c>
      <c r="M9" s="10" t="s">
        <v>455</v>
      </c>
      <c r="N9" s="14">
        <v>3</v>
      </c>
      <c r="O9" s="16">
        <f t="shared" si="2"/>
        <v>126</v>
      </c>
      <c r="P9" s="13" t="str">
        <f t="shared" si="3"/>
        <v>Média</v>
      </c>
      <c r="Q9" s="10"/>
      <c r="R9" s="10"/>
    </row>
    <row r="10" spans="1:18" ht="30" customHeight="1" x14ac:dyDescent="0.3">
      <c r="A10" s="10" t="s">
        <v>475</v>
      </c>
      <c r="B10" s="10" t="s">
        <v>138</v>
      </c>
      <c r="C10" s="10" t="s">
        <v>476</v>
      </c>
      <c r="D10" s="10" t="s">
        <v>451</v>
      </c>
      <c r="E10" s="10" t="s">
        <v>477</v>
      </c>
      <c r="F10" s="10" t="s">
        <v>453</v>
      </c>
      <c r="G10" s="14">
        <v>8</v>
      </c>
      <c r="H10" s="10" t="s">
        <v>478</v>
      </c>
      <c r="I10" s="11">
        <v>32639</v>
      </c>
      <c r="J10" s="11">
        <v>9</v>
      </c>
      <c r="K10" s="15">
        <f t="shared" si="0"/>
        <v>275.74374214896289</v>
      </c>
      <c r="L10" s="16">
        <f t="shared" si="1"/>
        <v>4</v>
      </c>
      <c r="M10" s="10" t="s">
        <v>479</v>
      </c>
      <c r="N10" s="14">
        <v>5</v>
      </c>
      <c r="O10" s="16">
        <f t="shared" si="2"/>
        <v>160</v>
      </c>
      <c r="P10" s="13" t="str">
        <f t="shared" si="3"/>
        <v>Baixa</v>
      </c>
      <c r="Q10" s="10"/>
      <c r="R10" s="10"/>
    </row>
    <row r="11" spans="1:18" ht="30" customHeight="1" x14ac:dyDescent="0.3">
      <c r="A11" s="10" t="s">
        <v>480</v>
      </c>
      <c r="B11" s="10" t="s">
        <v>138</v>
      </c>
      <c r="C11" s="10" t="s">
        <v>481</v>
      </c>
      <c r="D11" s="10" t="s">
        <v>451</v>
      </c>
      <c r="E11" s="10" t="s">
        <v>482</v>
      </c>
      <c r="F11" s="10" t="s">
        <v>453</v>
      </c>
      <c r="G11" s="14">
        <v>10</v>
      </c>
      <c r="H11" s="10" t="s">
        <v>483</v>
      </c>
      <c r="I11" s="11">
        <v>805978</v>
      </c>
      <c r="J11" s="11">
        <v>301</v>
      </c>
      <c r="K11" s="15">
        <f t="shared" si="0"/>
        <v>373.45932519249902</v>
      </c>
      <c r="L11" s="16">
        <f t="shared" si="1"/>
        <v>4</v>
      </c>
      <c r="M11" s="10" t="s">
        <v>484</v>
      </c>
      <c r="N11" s="14">
        <v>3</v>
      </c>
      <c r="O11" s="16">
        <f t="shared" si="2"/>
        <v>120</v>
      </c>
      <c r="P11" s="13" t="str">
        <f t="shared" si="3"/>
        <v>Alta</v>
      </c>
      <c r="Q11" s="10" t="s">
        <v>485</v>
      </c>
      <c r="R11" s="10" t="s">
        <v>240</v>
      </c>
    </row>
    <row r="12" spans="1:18" ht="30" customHeight="1" x14ac:dyDescent="0.3">
      <c r="A12" s="10" t="s">
        <v>486</v>
      </c>
      <c r="B12" s="10" t="s">
        <v>138</v>
      </c>
      <c r="C12" s="10" t="s">
        <v>487</v>
      </c>
      <c r="D12" s="10" t="s">
        <v>451</v>
      </c>
      <c r="E12" s="10" t="s">
        <v>488</v>
      </c>
      <c r="F12" s="10" t="s">
        <v>453</v>
      </c>
      <c r="G12" s="14">
        <v>10</v>
      </c>
      <c r="H12" s="10" t="s">
        <v>489</v>
      </c>
      <c r="I12" s="11">
        <v>10000</v>
      </c>
      <c r="J12" s="11">
        <v>369</v>
      </c>
      <c r="K12" s="15">
        <f t="shared" si="0"/>
        <v>36900</v>
      </c>
      <c r="L12" s="16">
        <f t="shared" si="1"/>
        <v>8</v>
      </c>
      <c r="M12" s="10" t="s">
        <v>490</v>
      </c>
      <c r="N12" s="14">
        <v>5</v>
      </c>
      <c r="O12" s="16">
        <f t="shared" si="2"/>
        <v>400</v>
      </c>
      <c r="P12" s="13" t="str">
        <f t="shared" si="3"/>
        <v>Alta</v>
      </c>
      <c r="Q12" s="10" t="s">
        <v>491</v>
      </c>
      <c r="R12" s="10" t="s">
        <v>200</v>
      </c>
    </row>
    <row r="13" spans="1:18" ht="30" customHeight="1" x14ac:dyDescent="0.3">
      <c r="A13" s="10" t="s">
        <v>492</v>
      </c>
      <c r="B13" s="10" t="s">
        <v>138</v>
      </c>
      <c r="C13" s="10" t="s">
        <v>493</v>
      </c>
      <c r="D13" s="10" t="s">
        <v>451</v>
      </c>
      <c r="E13" s="10" t="s">
        <v>494</v>
      </c>
      <c r="F13" s="10" t="s">
        <v>453</v>
      </c>
      <c r="G13" s="14">
        <v>9</v>
      </c>
      <c r="H13" s="10" t="s">
        <v>495</v>
      </c>
      <c r="I13" s="11">
        <v>747340</v>
      </c>
      <c r="J13" s="11">
        <v>297</v>
      </c>
      <c r="K13" s="15">
        <f t="shared" si="0"/>
        <v>397.40947895201651</v>
      </c>
      <c r="L13" s="16">
        <f t="shared" si="1"/>
        <v>4</v>
      </c>
      <c r="M13" s="10" t="s">
        <v>496</v>
      </c>
      <c r="N13" s="14">
        <v>4</v>
      </c>
      <c r="O13" s="16">
        <f t="shared" si="2"/>
        <v>144</v>
      </c>
      <c r="P13" s="13" t="str">
        <f t="shared" si="3"/>
        <v>Alta</v>
      </c>
      <c r="Q13" s="10"/>
      <c r="R13" s="10"/>
    </row>
    <row r="14" spans="1:18" ht="30" customHeight="1" x14ac:dyDescent="0.3">
      <c r="A14" s="10" t="s">
        <v>497</v>
      </c>
      <c r="B14" s="10" t="s">
        <v>138</v>
      </c>
      <c r="C14" s="10" t="s">
        <v>498</v>
      </c>
      <c r="D14" s="10" t="s">
        <v>463</v>
      </c>
      <c r="E14" s="10" t="s">
        <v>499</v>
      </c>
      <c r="F14" s="10" t="s">
        <v>465</v>
      </c>
      <c r="G14" s="14">
        <v>7</v>
      </c>
      <c r="H14" s="10" t="s">
        <v>500</v>
      </c>
      <c r="I14" s="11">
        <v>794148</v>
      </c>
      <c r="J14" s="11">
        <v>4318</v>
      </c>
      <c r="K14" s="15">
        <f t="shared" si="0"/>
        <v>5437.273656799488</v>
      </c>
      <c r="L14" s="16">
        <f t="shared" si="1"/>
        <v>6</v>
      </c>
      <c r="M14" s="10" t="s">
        <v>455</v>
      </c>
      <c r="N14" s="14">
        <v>3</v>
      </c>
      <c r="O14" s="16">
        <f t="shared" si="2"/>
        <v>126</v>
      </c>
      <c r="P14" s="13" t="str">
        <f t="shared" si="3"/>
        <v>Média</v>
      </c>
      <c r="Q14" s="10" t="s">
        <v>501</v>
      </c>
      <c r="R14" s="10" t="s">
        <v>110</v>
      </c>
    </row>
    <row r="15" spans="1:18" ht="30" customHeight="1" x14ac:dyDescent="0.3">
      <c r="A15" s="10" t="s">
        <v>502</v>
      </c>
      <c r="B15" s="10" t="s">
        <v>138</v>
      </c>
      <c r="C15" s="10" t="s">
        <v>503</v>
      </c>
      <c r="D15" s="10" t="s">
        <v>463</v>
      </c>
      <c r="E15" s="10" t="s">
        <v>504</v>
      </c>
      <c r="F15" s="10" t="s">
        <v>465</v>
      </c>
      <c r="G15" s="14">
        <v>7</v>
      </c>
      <c r="H15" s="10" t="s">
        <v>505</v>
      </c>
      <c r="I15" s="11">
        <v>812101</v>
      </c>
      <c r="J15" s="11">
        <v>4163</v>
      </c>
      <c r="K15" s="15">
        <f t="shared" si="0"/>
        <v>5126.2096709645721</v>
      </c>
      <c r="L15" s="16">
        <f t="shared" si="1"/>
        <v>6</v>
      </c>
      <c r="M15" s="10" t="s">
        <v>455</v>
      </c>
      <c r="N15" s="14">
        <v>3</v>
      </c>
      <c r="O15" s="16">
        <f t="shared" si="2"/>
        <v>126</v>
      </c>
      <c r="P15" s="13" t="str">
        <f t="shared" si="3"/>
        <v>Média</v>
      </c>
      <c r="Q15" s="10" t="s">
        <v>506</v>
      </c>
      <c r="R15" s="10" t="s">
        <v>133</v>
      </c>
    </row>
    <row r="16" spans="1:18" ht="30" customHeight="1" x14ac:dyDescent="0.3">
      <c r="A16" s="10" t="s">
        <v>507</v>
      </c>
      <c r="B16" s="10" t="s">
        <v>138</v>
      </c>
      <c r="C16" s="10" t="s">
        <v>508</v>
      </c>
      <c r="D16" s="10" t="s">
        <v>509</v>
      </c>
      <c r="E16" s="10" t="s">
        <v>510</v>
      </c>
      <c r="F16" s="10" t="s">
        <v>511</v>
      </c>
      <c r="G16" s="14">
        <v>4</v>
      </c>
      <c r="H16" s="10" t="s">
        <v>512</v>
      </c>
      <c r="I16" s="11">
        <v>818012</v>
      </c>
      <c r="J16" s="11">
        <v>8506</v>
      </c>
      <c r="K16" s="15">
        <f t="shared" si="0"/>
        <v>10398.380463856276</v>
      </c>
      <c r="L16" s="16">
        <f t="shared" si="1"/>
        <v>7</v>
      </c>
      <c r="M16" s="10" t="s">
        <v>455</v>
      </c>
      <c r="N16" s="14">
        <v>3</v>
      </c>
      <c r="O16" s="16">
        <f t="shared" si="2"/>
        <v>84</v>
      </c>
      <c r="P16" s="13" t="str">
        <f t="shared" si="3"/>
        <v>Baixa</v>
      </c>
      <c r="Q16" s="10"/>
      <c r="R16" s="10"/>
    </row>
    <row r="17" spans="1:18" ht="30" customHeight="1" x14ac:dyDescent="0.3">
      <c r="A17" s="10" t="s">
        <v>513</v>
      </c>
      <c r="B17" s="10" t="s">
        <v>138</v>
      </c>
      <c r="C17" s="10" t="s">
        <v>514</v>
      </c>
      <c r="D17" s="10" t="s">
        <v>509</v>
      </c>
      <c r="E17" s="10" t="s">
        <v>514</v>
      </c>
      <c r="F17" s="10" t="s">
        <v>511</v>
      </c>
      <c r="G17" s="14">
        <v>4</v>
      </c>
      <c r="H17" s="10" t="s">
        <v>515</v>
      </c>
      <c r="I17" s="11">
        <v>826147</v>
      </c>
      <c r="J17" s="11">
        <v>8526</v>
      </c>
      <c r="K17" s="15">
        <f t="shared" si="0"/>
        <v>10320.19725303124</v>
      </c>
      <c r="L17" s="16">
        <f t="shared" si="1"/>
        <v>7</v>
      </c>
      <c r="M17" s="10" t="s">
        <v>455</v>
      </c>
      <c r="N17" s="14">
        <v>3</v>
      </c>
      <c r="O17" s="16">
        <f t="shared" si="2"/>
        <v>84</v>
      </c>
      <c r="P17" s="13" t="str">
        <f t="shared" si="3"/>
        <v>Baixa</v>
      </c>
      <c r="Q17" s="10"/>
      <c r="R17" s="10"/>
    </row>
    <row r="18" spans="1:18" ht="30" customHeight="1" x14ac:dyDescent="0.3">
      <c r="A18" s="10" t="s">
        <v>516</v>
      </c>
      <c r="B18" s="10" t="s">
        <v>153</v>
      </c>
      <c r="C18" s="10" t="s">
        <v>517</v>
      </c>
      <c r="D18" s="10" t="s">
        <v>451</v>
      </c>
      <c r="E18" s="10" t="s">
        <v>518</v>
      </c>
      <c r="F18" s="10" t="s">
        <v>453</v>
      </c>
      <c r="G18" s="14">
        <v>9</v>
      </c>
      <c r="H18" s="10" t="s">
        <v>519</v>
      </c>
      <c r="I18" s="11">
        <v>192780</v>
      </c>
      <c r="J18" s="11">
        <v>56</v>
      </c>
      <c r="K18" s="15">
        <f t="shared" si="0"/>
        <v>290.48656499636894</v>
      </c>
      <c r="L18" s="16">
        <f t="shared" si="1"/>
        <v>4</v>
      </c>
      <c r="M18" s="10" t="s">
        <v>520</v>
      </c>
      <c r="N18" s="14">
        <v>6</v>
      </c>
      <c r="O18" s="16">
        <f t="shared" si="2"/>
        <v>216</v>
      </c>
      <c r="P18" s="13" t="str">
        <f t="shared" si="3"/>
        <v>Alta</v>
      </c>
      <c r="Q18" s="10" t="s">
        <v>521</v>
      </c>
      <c r="R18" s="10" t="s">
        <v>148</v>
      </c>
    </row>
    <row r="19" spans="1:18" ht="30" customHeight="1" x14ac:dyDescent="0.3">
      <c r="A19" s="10" t="s">
        <v>522</v>
      </c>
      <c r="B19" s="10" t="s">
        <v>153</v>
      </c>
      <c r="C19" s="10" t="s">
        <v>523</v>
      </c>
      <c r="D19" s="10" t="s">
        <v>451</v>
      </c>
      <c r="E19" s="10" t="s">
        <v>524</v>
      </c>
      <c r="F19" s="10" t="s">
        <v>453</v>
      </c>
      <c r="G19" s="14">
        <v>9</v>
      </c>
      <c r="H19" s="10" t="s">
        <v>525</v>
      </c>
      <c r="I19" s="11">
        <v>186380</v>
      </c>
      <c r="J19" s="11">
        <v>59</v>
      </c>
      <c r="K19" s="15">
        <f t="shared" si="0"/>
        <v>316.55757055478051</v>
      </c>
      <c r="L19" s="16">
        <f t="shared" si="1"/>
        <v>4</v>
      </c>
      <c r="M19" s="10" t="s">
        <v>526</v>
      </c>
      <c r="N19" s="14">
        <v>7</v>
      </c>
      <c r="O19" s="16">
        <f t="shared" si="2"/>
        <v>252</v>
      </c>
      <c r="P19" s="13" t="str">
        <f t="shared" si="3"/>
        <v>Alta</v>
      </c>
      <c r="Q19" s="10"/>
      <c r="R19" s="10"/>
    </row>
    <row r="20" spans="1:18" ht="30" customHeight="1" x14ac:dyDescent="0.3">
      <c r="A20" s="10" t="s">
        <v>527</v>
      </c>
      <c r="B20" s="10" t="s">
        <v>153</v>
      </c>
      <c r="C20" s="10" t="s">
        <v>528</v>
      </c>
      <c r="D20" s="10" t="s">
        <v>451</v>
      </c>
      <c r="E20" s="10" t="s">
        <v>529</v>
      </c>
      <c r="F20" s="10" t="s">
        <v>453</v>
      </c>
      <c r="G20" s="14">
        <v>9</v>
      </c>
      <c r="H20" s="10" t="s">
        <v>530</v>
      </c>
      <c r="I20" s="11">
        <v>189095</v>
      </c>
      <c r="J20" s="11">
        <v>51</v>
      </c>
      <c r="K20" s="15">
        <f t="shared" si="0"/>
        <v>269.70570348237658</v>
      </c>
      <c r="L20" s="16">
        <f t="shared" si="1"/>
        <v>4</v>
      </c>
      <c r="M20" s="10" t="s">
        <v>531</v>
      </c>
      <c r="N20" s="14">
        <v>6</v>
      </c>
      <c r="O20" s="16">
        <f t="shared" si="2"/>
        <v>216</v>
      </c>
      <c r="P20" s="13" t="str">
        <f t="shared" si="3"/>
        <v>Alta</v>
      </c>
      <c r="Q20" s="10"/>
      <c r="R20" s="10"/>
    </row>
    <row r="21" spans="1:18" ht="30" customHeight="1" x14ac:dyDescent="0.3">
      <c r="A21" s="10" t="s">
        <v>532</v>
      </c>
      <c r="B21" s="10" t="s">
        <v>153</v>
      </c>
      <c r="C21" s="10" t="s">
        <v>533</v>
      </c>
      <c r="D21" s="10" t="s">
        <v>451</v>
      </c>
      <c r="E21" s="10" t="s">
        <v>534</v>
      </c>
      <c r="F21" s="10" t="s">
        <v>453</v>
      </c>
      <c r="G21" s="14">
        <v>9</v>
      </c>
      <c r="H21" s="10" t="s">
        <v>535</v>
      </c>
      <c r="I21" s="11">
        <v>178295</v>
      </c>
      <c r="J21" s="11">
        <v>58</v>
      </c>
      <c r="K21" s="15">
        <f t="shared" si="0"/>
        <v>325.30356992624581</v>
      </c>
      <c r="L21" s="16">
        <f t="shared" si="1"/>
        <v>4</v>
      </c>
      <c r="M21" s="10" t="s">
        <v>526</v>
      </c>
      <c r="N21" s="14">
        <v>7</v>
      </c>
      <c r="O21" s="16">
        <f t="shared" si="2"/>
        <v>252</v>
      </c>
      <c r="P21" s="13" t="str">
        <f t="shared" si="3"/>
        <v>Alta</v>
      </c>
      <c r="Q21" s="10"/>
      <c r="R21" s="10"/>
    </row>
    <row r="22" spans="1:18" ht="30" customHeight="1" x14ac:dyDescent="0.3">
      <c r="A22" s="10" t="s">
        <v>536</v>
      </c>
      <c r="B22" s="10" t="s">
        <v>153</v>
      </c>
      <c r="C22" s="10" t="s">
        <v>462</v>
      </c>
      <c r="D22" s="10" t="s">
        <v>463</v>
      </c>
      <c r="E22" s="10" t="s">
        <v>464</v>
      </c>
      <c r="F22" s="10" t="s">
        <v>465</v>
      </c>
      <c r="G22" s="14">
        <v>7</v>
      </c>
      <c r="H22" s="10" t="s">
        <v>466</v>
      </c>
      <c r="I22" s="11">
        <v>187065</v>
      </c>
      <c r="J22" s="11">
        <v>573</v>
      </c>
      <c r="K22" s="15">
        <f t="shared" si="0"/>
        <v>3063.1064068639243</v>
      </c>
      <c r="L22" s="16">
        <f t="shared" si="1"/>
        <v>6</v>
      </c>
      <c r="M22" s="10" t="s">
        <v>526</v>
      </c>
      <c r="N22" s="14">
        <v>7</v>
      </c>
      <c r="O22" s="16">
        <f t="shared" si="2"/>
        <v>294</v>
      </c>
      <c r="P22" s="13" t="str">
        <f t="shared" si="3"/>
        <v>Alta</v>
      </c>
      <c r="Q22" s="10"/>
      <c r="R22" s="10"/>
    </row>
    <row r="23" spans="1:18" ht="30" customHeight="1" x14ac:dyDescent="0.3">
      <c r="A23" s="10" t="s">
        <v>537</v>
      </c>
      <c r="B23" s="10" t="s">
        <v>153</v>
      </c>
      <c r="C23" s="10" t="s">
        <v>508</v>
      </c>
      <c r="D23" s="10" t="s">
        <v>509</v>
      </c>
      <c r="E23" s="10" t="s">
        <v>510</v>
      </c>
      <c r="F23" s="10" t="s">
        <v>511</v>
      </c>
      <c r="G23" s="14">
        <v>4</v>
      </c>
      <c r="H23" s="10" t="s">
        <v>512</v>
      </c>
      <c r="I23" s="11">
        <v>190810</v>
      </c>
      <c r="J23" s="11">
        <v>1520</v>
      </c>
      <c r="K23" s="15">
        <f t="shared" si="0"/>
        <v>7966.03951574865</v>
      </c>
      <c r="L23" s="16">
        <f t="shared" si="1"/>
        <v>6</v>
      </c>
      <c r="M23" s="10" t="s">
        <v>526</v>
      </c>
      <c r="N23" s="14">
        <v>7</v>
      </c>
      <c r="O23" s="16">
        <f t="shared" si="2"/>
        <v>168</v>
      </c>
      <c r="P23" s="13" t="str">
        <f t="shared" si="3"/>
        <v>Baixa</v>
      </c>
      <c r="Q23" s="10"/>
      <c r="R23" s="10"/>
    </row>
    <row r="24" spans="1:18" ht="30" customHeight="1" x14ac:dyDescent="0.3">
      <c r="A24" s="10" t="s">
        <v>538</v>
      </c>
      <c r="B24" s="10" t="s">
        <v>153</v>
      </c>
      <c r="C24" s="10" t="s">
        <v>539</v>
      </c>
      <c r="D24" s="10" t="s">
        <v>509</v>
      </c>
      <c r="E24" s="10" t="s">
        <v>540</v>
      </c>
      <c r="F24" s="10" t="s">
        <v>511</v>
      </c>
      <c r="G24" s="14">
        <v>4</v>
      </c>
      <c r="H24" s="10" t="s">
        <v>541</v>
      </c>
      <c r="I24" s="11">
        <v>186265</v>
      </c>
      <c r="J24" s="11">
        <v>1547</v>
      </c>
      <c r="K24" s="15">
        <f t="shared" si="0"/>
        <v>8305.371379486216</v>
      </c>
      <c r="L24" s="16">
        <f t="shared" si="1"/>
        <v>6</v>
      </c>
      <c r="M24" s="10" t="s">
        <v>526</v>
      </c>
      <c r="N24" s="14">
        <v>7</v>
      </c>
      <c r="O24" s="16">
        <f t="shared" si="2"/>
        <v>168</v>
      </c>
      <c r="P24" s="13" t="str">
        <f t="shared" si="3"/>
        <v>Baixa</v>
      </c>
      <c r="Q24" s="10"/>
      <c r="R24" s="10"/>
    </row>
    <row r="25" spans="1:18" ht="30" customHeight="1" x14ac:dyDescent="0.3">
      <c r="A25" s="10" t="s">
        <v>542</v>
      </c>
      <c r="B25" s="10" t="s">
        <v>153</v>
      </c>
      <c r="C25" s="10" t="s">
        <v>543</v>
      </c>
      <c r="D25" s="10" t="s">
        <v>509</v>
      </c>
      <c r="E25" s="10" t="s">
        <v>543</v>
      </c>
      <c r="F25" s="10" t="s">
        <v>511</v>
      </c>
      <c r="G25" s="14">
        <v>4</v>
      </c>
      <c r="H25" s="10" t="s">
        <v>544</v>
      </c>
      <c r="I25" s="11">
        <v>185180</v>
      </c>
      <c r="J25" s="11">
        <v>1487</v>
      </c>
      <c r="K25" s="15">
        <f t="shared" si="0"/>
        <v>8030.0248406955398</v>
      </c>
      <c r="L25" s="16">
        <f t="shared" si="1"/>
        <v>6</v>
      </c>
      <c r="M25" s="10" t="s">
        <v>526</v>
      </c>
      <c r="N25" s="14">
        <v>7</v>
      </c>
      <c r="O25" s="16">
        <f t="shared" si="2"/>
        <v>168</v>
      </c>
      <c r="P25" s="13" t="str">
        <f t="shared" si="3"/>
        <v>Baixa</v>
      </c>
      <c r="Q25" s="10"/>
      <c r="R25" s="10"/>
    </row>
    <row r="26" spans="1:18" ht="30" customHeight="1" x14ac:dyDescent="0.3">
      <c r="A26" s="10" t="s">
        <v>545</v>
      </c>
      <c r="B26" s="10" t="s">
        <v>104</v>
      </c>
      <c r="C26" s="10" t="s">
        <v>546</v>
      </c>
      <c r="D26" s="10" t="s">
        <v>451</v>
      </c>
      <c r="E26" s="10" t="s">
        <v>547</v>
      </c>
      <c r="F26" s="10" t="s">
        <v>453</v>
      </c>
      <c r="G26" s="14">
        <v>10</v>
      </c>
      <c r="H26" s="10" t="s">
        <v>548</v>
      </c>
      <c r="I26" s="11">
        <v>781535</v>
      </c>
      <c r="J26" s="11">
        <v>289</v>
      </c>
      <c r="K26" s="15">
        <f t="shared" si="0"/>
        <v>369.78510239464646</v>
      </c>
      <c r="L26" s="16">
        <f t="shared" si="1"/>
        <v>4</v>
      </c>
      <c r="M26" s="10" t="s">
        <v>484</v>
      </c>
      <c r="N26" s="14">
        <v>3</v>
      </c>
      <c r="O26" s="16">
        <f t="shared" si="2"/>
        <v>120</v>
      </c>
      <c r="P26" s="13" t="str">
        <f t="shared" si="3"/>
        <v>Alta</v>
      </c>
      <c r="Q26" s="10" t="s">
        <v>549</v>
      </c>
      <c r="R26" s="10" t="s">
        <v>240</v>
      </c>
    </row>
    <row r="27" spans="1:18" ht="30" customHeight="1" x14ac:dyDescent="0.3">
      <c r="A27" s="10" t="s">
        <v>550</v>
      </c>
      <c r="B27" s="10" t="s">
        <v>104</v>
      </c>
      <c r="C27" s="10" t="s">
        <v>551</v>
      </c>
      <c r="D27" s="10" t="s">
        <v>463</v>
      </c>
      <c r="E27" s="10" t="s">
        <v>552</v>
      </c>
      <c r="F27" s="10" t="s">
        <v>465</v>
      </c>
      <c r="G27" s="14">
        <v>7</v>
      </c>
      <c r="H27" s="10" t="s">
        <v>553</v>
      </c>
      <c r="I27" s="11">
        <v>794015</v>
      </c>
      <c r="J27" s="11">
        <v>2976</v>
      </c>
      <c r="K27" s="15">
        <f t="shared" si="0"/>
        <v>3748.0400244327875</v>
      </c>
      <c r="L27" s="16">
        <f t="shared" si="1"/>
        <v>6</v>
      </c>
      <c r="M27" s="10" t="s">
        <v>526</v>
      </c>
      <c r="N27" s="14">
        <v>7</v>
      </c>
      <c r="O27" s="16">
        <f t="shared" si="2"/>
        <v>294</v>
      </c>
      <c r="P27" s="13" t="str">
        <f t="shared" si="3"/>
        <v>Alta</v>
      </c>
      <c r="Q27" s="10"/>
      <c r="R27" s="10"/>
    </row>
    <row r="28" spans="1:18" ht="30" customHeight="1" x14ac:dyDescent="0.3">
      <c r="A28" s="10" t="s">
        <v>554</v>
      </c>
      <c r="B28" s="10" t="s">
        <v>104</v>
      </c>
      <c r="C28" s="10" t="s">
        <v>555</v>
      </c>
      <c r="D28" s="10" t="s">
        <v>463</v>
      </c>
      <c r="E28" s="10" t="s">
        <v>555</v>
      </c>
      <c r="F28" s="10" t="s">
        <v>465</v>
      </c>
      <c r="G28" s="14">
        <v>7</v>
      </c>
      <c r="H28" s="10" t="s">
        <v>556</v>
      </c>
      <c r="I28" s="11">
        <v>788985</v>
      </c>
      <c r="J28" s="11">
        <v>2933</v>
      </c>
      <c r="K28" s="15">
        <f t="shared" si="0"/>
        <v>3717.4344252425585</v>
      </c>
      <c r="L28" s="16">
        <f t="shared" si="1"/>
        <v>6</v>
      </c>
      <c r="M28" s="10" t="s">
        <v>526</v>
      </c>
      <c r="N28" s="14">
        <v>7</v>
      </c>
      <c r="O28" s="16">
        <f t="shared" si="2"/>
        <v>294</v>
      </c>
      <c r="P28" s="13" t="str">
        <f t="shared" si="3"/>
        <v>Alta</v>
      </c>
      <c r="Q28" s="10"/>
      <c r="R28" s="10"/>
    </row>
    <row r="29" spans="1:18" ht="30" customHeight="1" x14ac:dyDescent="0.3">
      <c r="A29" s="10" t="s">
        <v>557</v>
      </c>
      <c r="B29" s="10" t="s">
        <v>104</v>
      </c>
      <c r="C29" s="10" t="s">
        <v>498</v>
      </c>
      <c r="D29" s="10" t="s">
        <v>463</v>
      </c>
      <c r="E29" s="10" t="s">
        <v>499</v>
      </c>
      <c r="F29" s="10" t="s">
        <v>465</v>
      </c>
      <c r="G29" s="14">
        <v>7</v>
      </c>
      <c r="H29" s="10" t="s">
        <v>500</v>
      </c>
      <c r="I29" s="11">
        <v>809030</v>
      </c>
      <c r="J29" s="11">
        <v>3207</v>
      </c>
      <c r="K29" s="15">
        <f t="shared" si="0"/>
        <v>3964.0062791243831</v>
      </c>
      <c r="L29" s="16">
        <f t="shared" si="1"/>
        <v>6</v>
      </c>
      <c r="M29" s="10" t="s">
        <v>526</v>
      </c>
      <c r="N29" s="14">
        <v>7</v>
      </c>
      <c r="O29" s="16">
        <f t="shared" si="2"/>
        <v>294</v>
      </c>
      <c r="P29" s="13" t="str">
        <f t="shared" si="3"/>
        <v>Alta</v>
      </c>
      <c r="Q29" s="10" t="s">
        <v>501</v>
      </c>
      <c r="R29" s="10" t="s">
        <v>110</v>
      </c>
    </row>
    <row r="30" spans="1:18" ht="30" customHeight="1" x14ac:dyDescent="0.3">
      <c r="A30" s="10" t="s">
        <v>558</v>
      </c>
      <c r="B30" s="10" t="s">
        <v>104</v>
      </c>
      <c r="C30" s="10" t="s">
        <v>559</v>
      </c>
      <c r="D30" s="10" t="s">
        <v>509</v>
      </c>
      <c r="E30" s="10" t="s">
        <v>560</v>
      </c>
      <c r="F30" s="10" t="s">
        <v>511</v>
      </c>
      <c r="G30" s="14">
        <v>4</v>
      </c>
      <c r="H30" s="10" t="s">
        <v>561</v>
      </c>
      <c r="I30" s="11">
        <v>780940</v>
      </c>
      <c r="J30" s="11">
        <v>7181</v>
      </c>
      <c r="K30" s="15">
        <f t="shared" si="0"/>
        <v>9195.3287064307115</v>
      </c>
      <c r="L30" s="16">
        <f t="shared" si="1"/>
        <v>6</v>
      </c>
      <c r="M30" s="10" t="s">
        <v>526</v>
      </c>
      <c r="N30" s="14">
        <v>7</v>
      </c>
      <c r="O30" s="16">
        <f t="shared" si="2"/>
        <v>168</v>
      </c>
      <c r="P30" s="13" t="str">
        <f t="shared" si="3"/>
        <v>Baixa</v>
      </c>
      <c r="Q30" s="10" t="s">
        <v>562</v>
      </c>
      <c r="R30" s="10" t="s">
        <v>191</v>
      </c>
    </row>
    <row r="31" spans="1:18" ht="30" customHeight="1" x14ac:dyDescent="0.3">
      <c r="A31" s="10" t="s">
        <v>563</v>
      </c>
      <c r="B31" s="10" t="s">
        <v>104</v>
      </c>
      <c r="C31" s="10" t="s">
        <v>508</v>
      </c>
      <c r="D31" s="10" t="s">
        <v>509</v>
      </c>
      <c r="E31" s="10" t="s">
        <v>510</v>
      </c>
      <c r="F31" s="10" t="s">
        <v>511</v>
      </c>
      <c r="G31" s="14">
        <v>4</v>
      </c>
      <c r="H31" s="10" t="s">
        <v>512</v>
      </c>
      <c r="I31" s="11">
        <v>793875</v>
      </c>
      <c r="J31" s="11">
        <v>7367</v>
      </c>
      <c r="K31" s="15">
        <f t="shared" si="0"/>
        <v>9279.7984569359141</v>
      </c>
      <c r="L31" s="16">
        <f t="shared" si="1"/>
        <v>6</v>
      </c>
      <c r="M31" s="10" t="s">
        <v>526</v>
      </c>
      <c r="N31" s="14">
        <v>7</v>
      </c>
      <c r="O31" s="16">
        <f t="shared" si="2"/>
        <v>168</v>
      </c>
      <c r="P31" s="13" t="str">
        <f t="shared" si="3"/>
        <v>Baixa</v>
      </c>
      <c r="Q31" s="10"/>
      <c r="R31" s="10"/>
    </row>
    <row r="32" spans="1:18" ht="30" customHeight="1" x14ac:dyDescent="0.3">
      <c r="A32" s="10" t="s">
        <v>564</v>
      </c>
      <c r="B32" s="10" t="s">
        <v>104</v>
      </c>
      <c r="C32" s="10" t="s">
        <v>514</v>
      </c>
      <c r="D32" s="10" t="s">
        <v>509</v>
      </c>
      <c r="E32" s="10" t="s">
        <v>514</v>
      </c>
      <c r="F32" s="10" t="s">
        <v>511</v>
      </c>
      <c r="G32" s="14">
        <v>4</v>
      </c>
      <c r="H32" s="10" t="s">
        <v>515</v>
      </c>
      <c r="I32" s="11">
        <v>789510</v>
      </c>
      <c r="J32" s="11">
        <v>7274</v>
      </c>
      <c r="K32" s="15">
        <f t="shared" si="0"/>
        <v>9213.3095210953616</v>
      </c>
      <c r="L32" s="16">
        <f t="shared" si="1"/>
        <v>6</v>
      </c>
      <c r="M32" s="10" t="s">
        <v>526</v>
      </c>
      <c r="N32" s="14">
        <v>7</v>
      </c>
      <c r="O32" s="16">
        <f t="shared" si="2"/>
        <v>168</v>
      </c>
      <c r="P32" s="13" t="str">
        <f t="shared" si="3"/>
        <v>Baixa</v>
      </c>
      <c r="Q32" s="10"/>
      <c r="R32" s="10"/>
    </row>
    <row r="33" spans="1:18" ht="30" customHeight="1" x14ac:dyDescent="0.3">
      <c r="A33" s="10" t="s">
        <v>565</v>
      </c>
      <c r="B33" s="10" t="s">
        <v>104</v>
      </c>
      <c r="C33" s="10" t="s">
        <v>566</v>
      </c>
      <c r="D33" s="10" t="s">
        <v>509</v>
      </c>
      <c r="E33" s="10" t="s">
        <v>567</v>
      </c>
      <c r="F33" s="10" t="s">
        <v>511</v>
      </c>
      <c r="G33" s="14">
        <v>4</v>
      </c>
      <c r="H33" s="10" t="s">
        <v>568</v>
      </c>
      <c r="I33" s="11">
        <v>771475</v>
      </c>
      <c r="J33" s="11">
        <v>7073</v>
      </c>
      <c r="K33" s="15">
        <f t="shared" si="0"/>
        <v>9168.1519167827864</v>
      </c>
      <c r="L33" s="16">
        <f t="shared" si="1"/>
        <v>6</v>
      </c>
      <c r="M33" s="10" t="s">
        <v>526</v>
      </c>
      <c r="N33" s="14">
        <v>7</v>
      </c>
      <c r="O33" s="16">
        <f t="shared" si="2"/>
        <v>168</v>
      </c>
      <c r="P33" s="13" t="str">
        <f t="shared" si="3"/>
        <v>Baixa</v>
      </c>
      <c r="Q33" s="10"/>
      <c r="R33" s="10"/>
    </row>
  </sheetData>
  <conditionalFormatting sqref="D5:D233">
    <cfRule type="expression" dxfId="4" priority="4">
      <formula>ISNUMBER(SEARCH("Crítica",D5))</formula>
    </cfRule>
    <cfRule type="expression" dxfId="3" priority="5">
      <formula>ISNUMBER(SEARCH("Maior",D5))</formula>
    </cfRule>
  </conditionalFormatting>
  <conditionalFormatting sqref="P5:P233">
    <cfRule type="expression" dxfId="2" priority="1">
      <formula>ISNUMBER(SEARCH("Alta",P5))</formula>
    </cfRule>
    <cfRule type="expression" dxfId="1" priority="2">
      <formula>ISNUMBER(SEARCH("Média",P5))</formula>
    </cfRule>
    <cfRule type="expression" dxfId="0" priority="3">
      <formula>ISNUMBER(SEARCH("Baixa",P5))</formula>
    </cfRule>
  </conditionalFormatting>
  <dataValidations count="2">
    <dataValidation type="list" allowBlank="1" showErrorMessage="1" errorTitle="Valor inválido" error="Valor fora da lista controlada (ver folha Listas)." sqref="B5:B233" xr:uid="{00000000-0002-0000-0300-000000000000}">
      <formula1>lst_Processo</formula1>
    </dataValidation>
    <dataValidation type="list" allowBlank="1" showErrorMessage="1" errorTitle="Valor inválido" error="Valor fora da lista controlada (ver folha Listas)." sqref="D5:D233" xr:uid="{00000000-0002-0000-0300-000001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3"/>
  <sheetViews>
    <sheetView showGridLines="0" workbookViewId="0"/>
  </sheetViews>
  <sheetFormatPr defaultRowHeight="14.4" x14ac:dyDescent="0.3"/>
  <cols>
    <col min="1" max="1" width="34" customWidth="1"/>
    <col min="2" max="2" width="16" customWidth="1"/>
    <col min="3" max="3" width="20" customWidth="1"/>
  </cols>
  <sheetData>
    <row r="1" spans="1:3" ht="17.399999999999999" x14ac:dyDescent="0.3">
      <c r="A1" s="1" t="s">
        <v>569</v>
      </c>
    </row>
    <row r="2" spans="1:3" x14ac:dyDescent="0.3">
      <c r="A2" s="2" t="s">
        <v>570</v>
      </c>
    </row>
    <row r="4" spans="1:3" ht="26.4" x14ac:dyDescent="0.3">
      <c r="A4" s="8" t="s">
        <v>571</v>
      </c>
      <c r="B4" s="8" t="s">
        <v>572</v>
      </c>
      <c r="C4" s="8" t="s">
        <v>573</v>
      </c>
    </row>
    <row r="5" spans="1:3" x14ac:dyDescent="0.3">
      <c r="A5" s="17" t="s">
        <v>121</v>
      </c>
      <c r="B5" s="14">
        <f>COUNTIF(tbl_riscos_q[Resultado_Eficacia],"Eficaz")</f>
        <v>3</v>
      </c>
      <c r="C5" s="14">
        <f>COUNTIF(tbl_oport_q[Resultado_Eficacia],"Eficaz")</f>
        <v>0</v>
      </c>
    </row>
    <row r="6" spans="1:3" x14ac:dyDescent="0.3">
      <c r="A6" s="17" t="s">
        <v>209</v>
      </c>
      <c r="B6" s="14">
        <f>COUNTIF(tbl_riscos_q[Resultado_Eficacia],"Parcial")</f>
        <v>4</v>
      </c>
      <c r="C6" s="14">
        <f>COUNTIF(tbl_oport_q[Resultado_Eficacia],"Parcial")</f>
        <v>1</v>
      </c>
    </row>
    <row r="7" spans="1:3" x14ac:dyDescent="0.3">
      <c r="A7" s="17" t="s">
        <v>131</v>
      </c>
      <c r="B7" s="14">
        <f>COUNTIF(tbl_riscos_q[Resultado_Eficacia],"Não eficaz")</f>
        <v>3</v>
      </c>
      <c r="C7" s="14">
        <f>COUNTIF(tbl_oport_q[Resultado_Eficacia],"Não eficaz")</f>
        <v>0</v>
      </c>
    </row>
    <row r="8" spans="1:3" x14ac:dyDescent="0.3">
      <c r="A8" s="17" t="s">
        <v>108</v>
      </c>
      <c r="B8" s="14">
        <f>COUNTIF(tbl_riscos_q[Resultado_Eficacia],"Por avaliar")</f>
        <v>17</v>
      </c>
      <c r="C8" s="14">
        <f>COUNTIF(tbl_oport_q[Resultado_Eficacia],"Por avaliar")</f>
        <v>10</v>
      </c>
    </row>
    <row r="9" spans="1:3" x14ac:dyDescent="0.3">
      <c r="A9" s="18" t="s">
        <v>574</v>
      </c>
      <c r="B9" s="19">
        <f>SUM(B5:B8)</f>
        <v>27</v>
      </c>
      <c r="C9" s="19">
        <f>SUM(C5:C8)</f>
        <v>11</v>
      </c>
    </row>
    <row r="11" spans="1:3" x14ac:dyDescent="0.3">
      <c r="A11" s="8" t="s">
        <v>575</v>
      </c>
      <c r="B11" s="8" t="s">
        <v>576</v>
      </c>
      <c r="C11" s="8" t="s">
        <v>577</v>
      </c>
    </row>
    <row r="12" spans="1:3" x14ac:dyDescent="0.3">
      <c r="A12" s="17" t="s">
        <v>219</v>
      </c>
      <c r="B12" s="14">
        <f>COUNTIF(tbl_riscos_q[Opcao_Tratamento],"Evitar o risco")</f>
        <v>2</v>
      </c>
      <c r="C12" s="14">
        <f>COUNTIFS(tbl_riscos_q[Opcao_Tratamento],"Evitar o risco",tbl_riscos_q[Disrupcao],"Sim")</f>
        <v>2</v>
      </c>
    </row>
    <row r="13" spans="1:3" ht="26.4" x14ac:dyDescent="0.3">
      <c r="A13" s="17" t="s">
        <v>326</v>
      </c>
      <c r="B13" s="14">
        <f>COUNTIF(tbl_riscos_q[Opcao_Tratamento],"Assumir o risco para perseguir uma oportunidade")</f>
        <v>1</v>
      </c>
      <c r="C13" s="14">
        <f>COUNTIFS(tbl_riscos_q[Opcao_Tratamento],"Assumir o risco para perseguir uma oportunidade",tbl_riscos_q[Disrupcao],"Sim")</f>
        <v>0</v>
      </c>
    </row>
    <row r="14" spans="1:3" x14ac:dyDescent="0.3">
      <c r="A14" s="17" t="s">
        <v>117</v>
      </c>
      <c r="B14" s="14">
        <f>COUNTIF(tbl_riscos_q[Opcao_Tratamento],"Eliminar a fonte de risco")</f>
        <v>3</v>
      </c>
      <c r="C14" s="14">
        <f>COUNTIFS(tbl_riscos_q[Opcao_Tratamento],"Eliminar a fonte de risco",tbl_riscos_q[Disrupcao],"Sim")</f>
        <v>0</v>
      </c>
    </row>
    <row r="15" spans="1:3" x14ac:dyDescent="0.3">
      <c r="A15" s="17" t="s">
        <v>103</v>
      </c>
      <c r="B15" s="14">
        <f>COUNTIF(tbl_riscos_q[Opcao_Tratamento],"Alterar a probabilidade")</f>
        <v>14</v>
      </c>
      <c r="C15" s="14">
        <f>COUNTIFS(tbl_riscos_q[Opcao_Tratamento],"Alterar a probabilidade",tbl_riscos_q[Disrupcao],"Sim")</f>
        <v>3</v>
      </c>
    </row>
    <row r="16" spans="1:3" x14ac:dyDescent="0.3">
      <c r="A16" s="17" t="s">
        <v>235</v>
      </c>
      <c r="B16" s="14">
        <f>COUNTIF(tbl_riscos_q[Opcao_Tratamento],"Alterar as consequências")</f>
        <v>5</v>
      </c>
      <c r="C16" s="14">
        <f>COUNTIFS(tbl_riscos_q[Opcao_Tratamento],"Alterar as consequências",tbl_riscos_q[Disrupcao],"Sim")</f>
        <v>5</v>
      </c>
    </row>
    <row r="17" spans="1:3" x14ac:dyDescent="0.3">
      <c r="A17" s="17" t="s">
        <v>195</v>
      </c>
      <c r="B17" s="14">
        <f>COUNTIF(tbl_riscos_q[Opcao_Tratamento],"Partilhar o risco")</f>
        <v>2</v>
      </c>
      <c r="C17" s="14">
        <f>COUNTIFS(tbl_riscos_q[Opcao_Tratamento],"Partilhar o risco",tbl_riscos_q[Disrupcao],"Sim")</f>
        <v>1</v>
      </c>
    </row>
    <row r="18" spans="1:3" x14ac:dyDescent="0.3">
      <c r="A18" s="17" t="s">
        <v>578</v>
      </c>
      <c r="B18" s="14">
        <f>COUNTIF(tbl_riscos_q[Opcao_Tratamento],"Manter o risco por decisão informada")</f>
        <v>0</v>
      </c>
      <c r="C18" s="14">
        <f>COUNTIFS(tbl_riscos_q[Opcao_Tratamento],"Manter o risco por decisão informada",tbl_riscos_q[Disrupcao],"Sim")</f>
        <v>0</v>
      </c>
    </row>
    <row r="20" spans="1:3" x14ac:dyDescent="0.3">
      <c r="A20" s="8" t="s">
        <v>579</v>
      </c>
      <c r="B20" s="8" t="s">
        <v>580</v>
      </c>
      <c r="C20" s="8" t="s">
        <v>581</v>
      </c>
    </row>
    <row r="21" spans="1:3" x14ac:dyDescent="0.3">
      <c r="A21" s="17" t="s">
        <v>582</v>
      </c>
      <c r="B21" s="14">
        <f>COUNTIF(tbl_pfmea[Prioridade_Acao],"Alta")</f>
        <v>14</v>
      </c>
      <c r="C21" s="14">
        <f>_xlfn.MAXIFS(tbl_pfmea[RPN],tbl_pfmea[Prioridade_Acao],"Alta")</f>
        <v>400</v>
      </c>
    </row>
    <row r="22" spans="1:3" x14ac:dyDescent="0.3">
      <c r="A22" s="17" t="s">
        <v>583</v>
      </c>
      <c r="B22" s="14">
        <f>COUNTIF(tbl_pfmea[Prioridade_Acao],"Média")</f>
        <v>5</v>
      </c>
      <c r="C22" s="14">
        <f>_xlfn.MAXIFS(tbl_pfmea[RPN],tbl_pfmea[Prioridade_Acao],"Média")</f>
        <v>126</v>
      </c>
    </row>
    <row r="23" spans="1:3" x14ac:dyDescent="0.3">
      <c r="A23" s="17" t="s">
        <v>584</v>
      </c>
      <c r="B23" s="14">
        <f>COUNTIF(tbl_pfmea[Prioridade_Acao],"Baixa")</f>
        <v>10</v>
      </c>
      <c r="C23" s="14">
        <f>_xlfn.MAXIFS(tbl_pfmea[RPN],tbl_pfmea[Prioridade_Acao],"Baixa")</f>
        <v>168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8" customWidth="1"/>
    <col min="4" max="6" width="16" customWidth="1"/>
  </cols>
  <sheetData>
    <row r="1" spans="1:6" x14ac:dyDescent="0.3">
      <c r="A1" s="20" t="s">
        <v>585</v>
      </c>
    </row>
    <row r="2" spans="1:6" x14ac:dyDescent="0.3">
      <c r="A2" s="21" t="s">
        <v>586</v>
      </c>
      <c r="B2" s="21" t="s">
        <v>587</v>
      </c>
      <c r="C2" s="21" t="s">
        <v>588</v>
      </c>
      <c r="D2" s="21" t="s">
        <v>434</v>
      </c>
      <c r="E2" s="21" t="s">
        <v>589</v>
      </c>
      <c r="F2" s="21" t="s">
        <v>436</v>
      </c>
    </row>
    <row r="3" spans="1:6" x14ac:dyDescent="0.3">
      <c r="A3" s="22">
        <v>46387</v>
      </c>
      <c r="B3" s="6" t="s">
        <v>127</v>
      </c>
      <c r="C3" s="6" t="s">
        <v>219</v>
      </c>
      <c r="D3" s="6" t="s">
        <v>308</v>
      </c>
      <c r="E3" s="6" t="s">
        <v>121</v>
      </c>
      <c r="F3" s="6" t="s">
        <v>451</v>
      </c>
    </row>
    <row r="4" spans="1:6" x14ac:dyDescent="0.3">
      <c r="B4" s="6" t="s">
        <v>102</v>
      </c>
      <c r="C4" s="6" t="s">
        <v>326</v>
      </c>
      <c r="D4" s="6" t="s">
        <v>278</v>
      </c>
      <c r="E4" s="6" t="s">
        <v>209</v>
      </c>
      <c r="F4" s="6" t="s">
        <v>463</v>
      </c>
    </row>
    <row r="5" spans="1:6" x14ac:dyDescent="0.3">
      <c r="C5" s="6" t="s">
        <v>117</v>
      </c>
      <c r="D5" s="6" t="s">
        <v>590</v>
      </c>
      <c r="E5" s="6" t="s">
        <v>131</v>
      </c>
      <c r="F5" s="6" t="s">
        <v>509</v>
      </c>
    </row>
    <row r="6" spans="1:6" x14ac:dyDescent="0.3">
      <c r="C6" s="6" t="s">
        <v>103</v>
      </c>
      <c r="D6" s="6" t="s">
        <v>206</v>
      </c>
      <c r="E6" s="6" t="s">
        <v>108</v>
      </c>
    </row>
    <row r="7" spans="1:6" x14ac:dyDescent="0.3">
      <c r="C7" s="6" t="s">
        <v>235</v>
      </c>
      <c r="D7" s="6" t="s">
        <v>178</v>
      </c>
    </row>
    <row r="8" spans="1:6" x14ac:dyDescent="0.3">
      <c r="C8" s="6" t="s">
        <v>195</v>
      </c>
      <c r="D8" s="6" t="s">
        <v>196</v>
      </c>
    </row>
    <row r="9" spans="1:6" x14ac:dyDescent="0.3">
      <c r="C9" s="6" t="s">
        <v>578</v>
      </c>
      <c r="D9" s="6" t="s">
        <v>591</v>
      </c>
    </row>
    <row r="10" spans="1:6" x14ac:dyDescent="0.3">
      <c r="D10" s="6" t="s">
        <v>138</v>
      </c>
    </row>
    <row r="11" spans="1:6" x14ac:dyDescent="0.3">
      <c r="D11" s="6" t="s">
        <v>104</v>
      </c>
    </row>
    <row r="12" spans="1:6" x14ac:dyDescent="0.3">
      <c r="D12" s="6" t="s">
        <v>153</v>
      </c>
    </row>
    <row r="13" spans="1:6" x14ac:dyDescent="0.3">
      <c r="D13" s="6" t="s">
        <v>170</v>
      </c>
    </row>
    <row r="14" spans="1:6" x14ac:dyDescent="0.3">
      <c r="D14" s="6" t="s">
        <v>245</v>
      </c>
    </row>
    <row r="15" spans="1:6" x14ac:dyDescent="0.3">
      <c r="D15" s="6" t="s">
        <v>289</v>
      </c>
    </row>
    <row r="16" spans="1:6" x14ac:dyDescent="0.3">
      <c r="D16" s="6" t="s">
        <v>118</v>
      </c>
    </row>
    <row r="17" spans="4:4" x14ac:dyDescent="0.3">
      <c r="D17" s="6" t="s">
        <v>592</v>
      </c>
    </row>
    <row r="18" spans="4:4" x14ac:dyDescent="0.3">
      <c r="D18" s="6" t="s">
        <v>187</v>
      </c>
    </row>
    <row r="19" spans="4:4" x14ac:dyDescent="0.3">
      <c r="D19" s="6" t="s">
        <v>262</v>
      </c>
    </row>
    <row r="20" spans="4:4" x14ac:dyDescent="0.3">
      <c r="D20" s="6" t="s">
        <v>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594</v>
      </c>
      <c r="B1" s="8" t="s">
        <v>595</v>
      </c>
      <c r="C1" s="8" t="s">
        <v>596</v>
      </c>
      <c r="D1" s="8" t="s">
        <v>597</v>
      </c>
      <c r="E1" s="8" t="s">
        <v>598</v>
      </c>
      <c r="F1" s="8" t="s">
        <v>73</v>
      </c>
      <c r="G1" s="8" t="s">
        <v>599</v>
      </c>
      <c r="H1" s="8" t="s">
        <v>600</v>
      </c>
      <c r="I1" s="8" t="s">
        <v>601</v>
      </c>
    </row>
    <row r="2" spans="1:9" ht="26.4" x14ac:dyDescent="0.3">
      <c r="A2" s="17" t="s">
        <v>37</v>
      </c>
      <c r="B2" s="17" t="s">
        <v>602</v>
      </c>
      <c r="C2" s="17" t="s">
        <v>71</v>
      </c>
      <c r="D2" s="17" t="s">
        <v>603</v>
      </c>
      <c r="E2" s="17" t="s">
        <v>604</v>
      </c>
      <c r="F2" s="17" t="s">
        <v>605</v>
      </c>
      <c r="G2" s="17"/>
      <c r="H2" s="17" t="s">
        <v>127</v>
      </c>
      <c r="I2" s="17" t="s">
        <v>606</v>
      </c>
    </row>
    <row r="3" spans="1:9" x14ac:dyDescent="0.3">
      <c r="A3" s="17" t="s">
        <v>37</v>
      </c>
      <c r="B3" s="17" t="s">
        <v>602</v>
      </c>
      <c r="C3" s="17" t="s">
        <v>72</v>
      </c>
      <c r="D3" s="17" t="s">
        <v>603</v>
      </c>
      <c r="E3" s="17" t="s">
        <v>604</v>
      </c>
      <c r="F3" s="17" t="s">
        <v>607</v>
      </c>
      <c r="G3" s="17"/>
      <c r="H3" s="17" t="s">
        <v>127</v>
      </c>
      <c r="I3" s="17"/>
    </row>
    <row r="4" spans="1:9" x14ac:dyDescent="0.3">
      <c r="A4" s="17" t="s">
        <v>37</v>
      </c>
      <c r="B4" s="17" t="s">
        <v>602</v>
      </c>
      <c r="C4" s="17" t="s">
        <v>73</v>
      </c>
      <c r="D4" s="17" t="s">
        <v>603</v>
      </c>
      <c r="E4" s="17" t="s">
        <v>604</v>
      </c>
      <c r="F4" s="17" t="s">
        <v>607</v>
      </c>
      <c r="G4" s="17"/>
      <c r="H4" s="17" t="s">
        <v>127</v>
      </c>
      <c r="I4" s="17"/>
    </row>
    <row r="5" spans="1:9" x14ac:dyDescent="0.3">
      <c r="A5" s="17" t="s">
        <v>37</v>
      </c>
      <c r="B5" s="17" t="s">
        <v>602</v>
      </c>
      <c r="C5" s="17" t="s">
        <v>74</v>
      </c>
      <c r="D5" s="17" t="s">
        <v>603</v>
      </c>
      <c r="E5" s="17" t="s">
        <v>604</v>
      </c>
      <c r="F5" s="17" t="s">
        <v>607</v>
      </c>
      <c r="G5" s="17"/>
      <c r="H5" s="17" t="s">
        <v>102</v>
      </c>
      <c r="I5" s="17"/>
    </row>
    <row r="6" spans="1:9" x14ac:dyDescent="0.3">
      <c r="A6" s="17" t="s">
        <v>37</v>
      </c>
      <c r="B6" s="17" t="s">
        <v>602</v>
      </c>
      <c r="C6" s="17" t="s">
        <v>75</v>
      </c>
      <c r="D6" s="17" t="s">
        <v>608</v>
      </c>
      <c r="E6" s="17" t="s">
        <v>604</v>
      </c>
      <c r="F6" s="17" t="s">
        <v>607</v>
      </c>
      <c r="G6" s="17"/>
      <c r="H6" s="17" t="s">
        <v>127</v>
      </c>
      <c r="I6" s="17"/>
    </row>
    <row r="7" spans="1:9" x14ac:dyDescent="0.3">
      <c r="A7" s="17" t="s">
        <v>37</v>
      </c>
      <c r="B7" s="17" t="s">
        <v>602</v>
      </c>
      <c r="C7" s="17" t="s">
        <v>76</v>
      </c>
      <c r="D7" s="17" t="s">
        <v>608</v>
      </c>
      <c r="E7" s="17" t="s">
        <v>604</v>
      </c>
      <c r="F7" s="17" t="s">
        <v>607</v>
      </c>
      <c r="G7" s="17"/>
      <c r="H7" s="17" t="s">
        <v>127</v>
      </c>
      <c r="I7" s="17"/>
    </row>
    <row r="8" spans="1:9" x14ac:dyDescent="0.3">
      <c r="A8" s="17" t="s">
        <v>37</v>
      </c>
      <c r="B8" s="17" t="s">
        <v>602</v>
      </c>
      <c r="C8" s="17" t="s">
        <v>77</v>
      </c>
      <c r="D8" s="17" t="s">
        <v>603</v>
      </c>
      <c r="E8" s="17" t="s">
        <v>604</v>
      </c>
      <c r="F8" s="17" t="s">
        <v>607</v>
      </c>
      <c r="G8" s="17"/>
      <c r="H8" s="17" t="s">
        <v>127</v>
      </c>
      <c r="I8" s="17"/>
    </row>
    <row r="9" spans="1:9" x14ac:dyDescent="0.3">
      <c r="A9" s="17" t="s">
        <v>37</v>
      </c>
      <c r="B9" s="17" t="s">
        <v>602</v>
      </c>
      <c r="C9" s="17" t="s">
        <v>78</v>
      </c>
      <c r="D9" s="17" t="s">
        <v>603</v>
      </c>
      <c r="E9" s="17" t="s">
        <v>604</v>
      </c>
      <c r="F9" s="17" t="s">
        <v>607</v>
      </c>
      <c r="G9" s="17"/>
      <c r="H9" s="17" t="s">
        <v>127</v>
      </c>
      <c r="I9" s="17"/>
    </row>
    <row r="10" spans="1:9" x14ac:dyDescent="0.3">
      <c r="A10" s="17" t="s">
        <v>37</v>
      </c>
      <c r="B10" s="17" t="s">
        <v>602</v>
      </c>
      <c r="C10" s="17" t="s">
        <v>79</v>
      </c>
      <c r="D10" s="17" t="s">
        <v>603</v>
      </c>
      <c r="E10" s="17" t="s">
        <v>604</v>
      </c>
      <c r="F10" s="17" t="s">
        <v>607</v>
      </c>
      <c r="G10" s="17"/>
      <c r="H10" s="17" t="s">
        <v>102</v>
      </c>
      <c r="I10" s="17"/>
    </row>
    <row r="11" spans="1:9" x14ac:dyDescent="0.3">
      <c r="A11" s="17" t="s">
        <v>37</v>
      </c>
      <c r="B11" s="17" t="s">
        <v>602</v>
      </c>
      <c r="C11" s="17" t="s">
        <v>80</v>
      </c>
      <c r="D11" s="17" t="s">
        <v>603</v>
      </c>
      <c r="E11" s="17" t="s">
        <v>604</v>
      </c>
      <c r="F11" s="17" t="s">
        <v>607</v>
      </c>
      <c r="G11" s="17"/>
      <c r="H11" s="17" t="s">
        <v>102</v>
      </c>
      <c r="I11" s="17"/>
    </row>
    <row r="12" spans="1:9" ht="26.4" x14ac:dyDescent="0.3">
      <c r="A12" s="17" t="s">
        <v>37</v>
      </c>
      <c r="B12" s="17" t="s">
        <v>602</v>
      </c>
      <c r="C12" s="17" t="s">
        <v>81</v>
      </c>
      <c r="D12" s="17" t="s">
        <v>603</v>
      </c>
      <c r="E12" s="17" t="s">
        <v>604</v>
      </c>
      <c r="F12" s="17" t="s">
        <v>609</v>
      </c>
      <c r="G12" s="17"/>
      <c r="H12" s="17" t="s">
        <v>127</v>
      </c>
      <c r="I12" s="17"/>
    </row>
    <row r="13" spans="1:9" ht="26.4" x14ac:dyDescent="0.3">
      <c r="A13" s="17" t="s">
        <v>37</v>
      </c>
      <c r="B13" s="17" t="s">
        <v>602</v>
      </c>
      <c r="C13" s="17" t="s">
        <v>82</v>
      </c>
      <c r="D13" s="17" t="s">
        <v>603</v>
      </c>
      <c r="E13" s="17" t="s">
        <v>604</v>
      </c>
      <c r="F13" s="17" t="s">
        <v>610</v>
      </c>
      <c r="G13" s="17" t="s">
        <v>611</v>
      </c>
      <c r="H13" s="17" t="s">
        <v>127</v>
      </c>
      <c r="I13" s="17"/>
    </row>
    <row r="14" spans="1:9" x14ac:dyDescent="0.3">
      <c r="A14" s="17" t="s">
        <v>37</v>
      </c>
      <c r="B14" s="17" t="s">
        <v>602</v>
      </c>
      <c r="C14" s="17" t="s">
        <v>83</v>
      </c>
      <c r="D14" s="17" t="s">
        <v>603</v>
      </c>
      <c r="E14" s="17" t="s">
        <v>604</v>
      </c>
      <c r="F14" s="17" t="s">
        <v>612</v>
      </c>
      <c r="G14" s="17" t="s">
        <v>613</v>
      </c>
      <c r="H14" s="17" t="s">
        <v>127</v>
      </c>
      <c r="I14" s="17"/>
    </row>
    <row r="15" spans="1:9" ht="26.4" x14ac:dyDescent="0.3">
      <c r="A15" s="17" t="s">
        <v>37</v>
      </c>
      <c r="B15" s="17" t="s">
        <v>602</v>
      </c>
      <c r="C15" s="17" t="s">
        <v>84</v>
      </c>
      <c r="D15" s="17" t="s">
        <v>603</v>
      </c>
      <c r="E15" s="17" t="s">
        <v>604</v>
      </c>
      <c r="F15" s="17" t="s">
        <v>614</v>
      </c>
      <c r="G15" s="17" t="s">
        <v>615</v>
      </c>
      <c r="H15" s="17" t="s">
        <v>127</v>
      </c>
      <c r="I15" s="17" t="s">
        <v>616</v>
      </c>
    </row>
    <row r="16" spans="1:9" x14ac:dyDescent="0.3">
      <c r="A16" s="17" t="s">
        <v>37</v>
      </c>
      <c r="B16" s="17" t="s">
        <v>602</v>
      </c>
      <c r="C16" s="17" t="s">
        <v>85</v>
      </c>
      <c r="D16" s="17" t="s">
        <v>603</v>
      </c>
      <c r="E16" s="17" t="s">
        <v>604</v>
      </c>
      <c r="F16" s="17" t="s">
        <v>617</v>
      </c>
      <c r="G16" s="17"/>
      <c r="H16" s="17" t="s">
        <v>127</v>
      </c>
      <c r="I16" s="17"/>
    </row>
    <row r="17" spans="1:9" x14ac:dyDescent="0.3">
      <c r="A17" s="17" t="s">
        <v>37</v>
      </c>
      <c r="B17" s="17" t="s">
        <v>602</v>
      </c>
      <c r="C17" s="17" t="s">
        <v>86</v>
      </c>
      <c r="D17" s="17" t="s">
        <v>603</v>
      </c>
      <c r="E17" s="17" t="s">
        <v>604</v>
      </c>
      <c r="F17" s="17" t="s">
        <v>618</v>
      </c>
      <c r="G17" s="17"/>
      <c r="H17" s="17" t="s">
        <v>127</v>
      </c>
      <c r="I17" s="17"/>
    </row>
    <row r="18" spans="1:9" ht="26.4" x14ac:dyDescent="0.3">
      <c r="A18" s="17" t="s">
        <v>37</v>
      </c>
      <c r="B18" s="17" t="s">
        <v>602</v>
      </c>
      <c r="C18" s="17" t="s">
        <v>87</v>
      </c>
      <c r="D18" s="17" t="s">
        <v>603</v>
      </c>
      <c r="E18" s="17" t="s">
        <v>604</v>
      </c>
      <c r="F18" s="17" t="s">
        <v>619</v>
      </c>
      <c r="G18" s="17"/>
      <c r="H18" s="17" t="s">
        <v>127</v>
      </c>
      <c r="I18" s="17" t="s">
        <v>620</v>
      </c>
    </row>
    <row r="19" spans="1:9" x14ac:dyDescent="0.3">
      <c r="A19" s="17" t="s">
        <v>37</v>
      </c>
      <c r="B19" s="17" t="s">
        <v>602</v>
      </c>
      <c r="C19" s="17" t="s">
        <v>88</v>
      </c>
      <c r="D19" s="17" t="s">
        <v>603</v>
      </c>
      <c r="E19" s="17" t="s">
        <v>604</v>
      </c>
      <c r="F19" s="17" t="s">
        <v>621</v>
      </c>
      <c r="G19" s="17" t="s">
        <v>622</v>
      </c>
      <c r="H19" s="17" t="s">
        <v>127</v>
      </c>
      <c r="I19" s="17"/>
    </row>
    <row r="20" spans="1:9" ht="26.4" x14ac:dyDescent="0.3">
      <c r="A20" s="17" t="s">
        <v>37</v>
      </c>
      <c r="B20" s="17" t="s">
        <v>602</v>
      </c>
      <c r="C20" s="17" t="s">
        <v>89</v>
      </c>
      <c r="D20" s="17" t="s">
        <v>623</v>
      </c>
      <c r="E20" s="17" t="s">
        <v>604</v>
      </c>
      <c r="F20" s="17" t="s">
        <v>624</v>
      </c>
      <c r="G20" s="17"/>
      <c r="H20" s="17" t="s">
        <v>102</v>
      </c>
      <c r="I20" s="17"/>
    </row>
    <row r="21" spans="1:9" x14ac:dyDescent="0.3">
      <c r="A21" s="17" t="s">
        <v>37</v>
      </c>
      <c r="B21" s="17" t="s">
        <v>602</v>
      </c>
      <c r="C21" s="17" t="s">
        <v>90</v>
      </c>
      <c r="D21" s="17" t="s">
        <v>603</v>
      </c>
      <c r="E21" s="17" t="s">
        <v>604</v>
      </c>
      <c r="F21" s="17" t="s">
        <v>625</v>
      </c>
      <c r="G21" s="17"/>
      <c r="H21" s="17" t="s">
        <v>102</v>
      </c>
      <c r="I21" s="17"/>
    </row>
    <row r="22" spans="1:9" ht="26.4" x14ac:dyDescent="0.3">
      <c r="A22" s="17" t="s">
        <v>37</v>
      </c>
      <c r="B22" s="17" t="s">
        <v>602</v>
      </c>
      <c r="C22" s="17" t="s">
        <v>91</v>
      </c>
      <c r="D22" s="17" t="s">
        <v>603</v>
      </c>
      <c r="E22" s="17" t="s">
        <v>626</v>
      </c>
      <c r="F22" s="17" t="s">
        <v>627</v>
      </c>
      <c r="G22" s="17"/>
      <c r="H22" s="17" t="s">
        <v>127</v>
      </c>
      <c r="I22" s="17"/>
    </row>
    <row r="23" spans="1:9" x14ac:dyDescent="0.3">
      <c r="A23" s="17" t="s">
        <v>37</v>
      </c>
      <c r="B23" s="17" t="s">
        <v>602</v>
      </c>
      <c r="C23" s="17" t="s">
        <v>92</v>
      </c>
      <c r="D23" s="17" t="s">
        <v>603</v>
      </c>
      <c r="E23" s="17" t="s">
        <v>626</v>
      </c>
      <c r="F23" s="17" t="s">
        <v>628</v>
      </c>
      <c r="G23" s="17"/>
      <c r="H23" s="17" t="s">
        <v>127</v>
      </c>
      <c r="I23" s="17"/>
    </row>
    <row r="24" spans="1:9" ht="26.4" x14ac:dyDescent="0.3">
      <c r="A24" s="17" t="s">
        <v>39</v>
      </c>
      <c r="B24" s="17" t="s">
        <v>629</v>
      </c>
      <c r="C24" s="17" t="s">
        <v>348</v>
      </c>
      <c r="D24" s="17" t="s">
        <v>603</v>
      </c>
      <c r="E24" s="17" t="s">
        <v>604</v>
      </c>
      <c r="F24" s="17" t="s">
        <v>605</v>
      </c>
      <c r="G24" s="17"/>
      <c r="H24" s="17" t="s">
        <v>127</v>
      </c>
      <c r="I24" s="17" t="s">
        <v>606</v>
      </c>
    </row>
    <row r="25" spans="1:9" ht="26.4" x14ac:dyDescent="0.3">
      <c r="A25" s="17" t="s">
        <v>39</v>
      </c>
      <c r="B25" s="17" t="s">
        <v>629</v>
      </c>
      <c r="C25" s="17" t="s">
        <v>72</v>
      </c>
      <c r="D25" s="17" t="s">
        <v>603</v>
      </c>
      <c r="E25" s="17" t="s">
        <v>604</v>
      </c>
      <c r="F25" s="17" t="s">
        <v>607</v>
      </c>
      <c r="G25" s="17"/>
      <c r="H25" s="17" t="s">
        <v>127</v>
      </c>
      <c r="I25" s="17"/>
    </row>
    <row r="26" spans="1:9" ht="26.4" x14ac:dyDescent="0.3">
      <c r="A26" s="17" t="s">
        <v>39</v>
      </c>
      <c r="B26" s="17" t="s">
        <v>629</v>
      </c>
      <c r="C26" s="17" t="s">
        <v>73</v>
      </c>
      <c r="D26" s="17" t="s">
        <v>603</v>
      </c>
      <c r="E26" s="17" t="s">
        <v>604</v>
      </c>
      <c r="F26" s="17" t="s">
        <v>607</v>
      </c>
      <c r="G26" s="17"/>
      <c r="H26" s="17" t="s">
        <v>127</v>
      </c>
      <c r="I26" s="17"/>
    </row>
    <row r="27" spans="1:9" ht="26.4" x14ac:dyDescent="0.3">
      <c r="A27" s="17" t="s">
        <v>39</v>
      </c>
      <c r="B27" s="17" t="s">
        <v>629</v>
      </c>
      <c r="C27" s="17" t="s">
        <v>349</v>
      </c>
      <c r="D27" s="17" t="s">
        <v>603</v>
      </c>
      <c r="E27" s="17" t="s">
        <v>604</v>
      </c>
      <c r="F27" s="17" t="s">
        <v>607</v>
      </c>
      <c r="G27" s="17"/>
      <c r="H27" s="17" t="s">
        <v>102</v>
      </c>
      <c r="I27" s="17"/>
    </row>
    <row r="28" spans="1:9" ht="26.4" x14ac:dyDescent="0.3">
      <c r="A28" s="17" t="s">
        <v>39</v>
      </c>
      <c r="B28" s="17" t="s">
        <v>629</v>
      </c>
      <c r="C28" s="17" t="s">
        <v>350</v>
      </c>
      <c r="D28" s="17" t="s">
        <v>608</v>
      </c>
      <c r="E28" s="17" t="s">
        <v>604</v>
      </c>
      <c r="F28" s="17" t="s">
        <v>607</v>
      </c>
      <c r="G28" s="17"/>
      <c r="H28" s="17" t="s">
        <v>127</v>
      </c>
      <c r="I28" s="17"/>
    </row>
    <row r="29" spans="1:9" ht="26.4" x14ac:dyDescent="0.3">
      <c r="A29" s="17" t="s">
        <v>39</v>
      </c>
      <c r="B29" s="17" t="s">
        <v>629</v>
      </c>
      <c r="C29" s="17" t="s">
        <v>351</v>
      </c>
      <c r="D29" s="17" t="s">
        <v>603</v>
      </c>
      <c r="E29" s="17" t="s">
        <v>604</v>
      </c>
      <c r="F29" s="17" t="s">
        <v>607</v>
      </c>
      <c r="G29" s="17"/>
      <c r="H29" s="17" t="s">
        <v>127</v>
      </c>
      <c r="I29" s="17"/>
    </row>
    <row r="30" spans="1:9" ht="26.4" x14ac:dyDescent="0.3">
      <c r="A30" s="17" t="s">
        <v>39</v>
      </c>
      <c r="B30" s="17" t="s">
        <v>629</v>
      </c>
      <c r="C30" s="17" t="s">
        <v>352</v>
      </c>
      <c r="D30" s="17" t="s">
        <v>603</v>
      </c>
      <c r="E30" s="17" t="s">
        <v>604</v>
      </c>
      <c r="F30" s="17" t="s">
        <v>607</v>
      </c>
      <c r="G30" s="17"/>
      <c r="H30" s="17" t="s">
        <v>102</v>
      </c>
      <c r="I30" s="17"/>
    </row>
    <row r="31" spans="1:9" ht="26.4" x14ac:dyDescent="0.3">
      <c r="A31" s="17" t="s">
        <v>39</v>
      </c>
      <c r="B31" s="17" t="s">
        <v>629</v>
      </c>
      <c r="C31" s="17" t="s">
        <v>78</v>
      </c>
      <c r="D31" s="17" t="s">
        <v>603</v>
      </c>
      <c r="E31" s="17" t="s">
        <v>604</v>
      </c>
      <c r="F31" s="17" t="s">
        <v>607</v>
      </c>
      <c r="G31" s="17"/>
      <c r="H31" s="17" t="s">
        <v>127</v>
      </c>
      <c r="I31" s="17"/>
    </row>
    <row r="32" spans="1:9" ht="26.4" x14ac:dyDescent="0.3">
      <c r="A32" s="17" t="s">
        <v>39</v>
      </c>
      <c r="B32" s="17" t="s">
        <v>629</v>
      </c>
      <c r="C32" s="17" t="s">
        <v>353</v>
      </c>
      <c r="D32" s="17" t="s">
        <v>603</v>
      </c>
      <c r="E32" s="17" t="s">
        <v>604</v>
      </c>
      <c r="F32" s="17" t="s">
        <v>630</v>
      </c>
      <c r="G32" s="17"/>
      <c r="H32" s="17" t="s">
        <v>127</v>
      </c>
      <c r="I32" s="17"/>
    </row>
    <row r="33" spans="1:9" ht="26.4" x14ac:dyDescent="0.3">
      <c r="A33" s="17" t="s">
        <v>39</v>
      </c>
      <c r="B33" s="17" t="s">
        <v>629</v>
      </c>
      <c r="C33" s="17" t="s">
        <v>84</v>
      </c>
      <c r="D33" s="17" t="s">
        <v>603</v>
      </c>
      <c r="E33" s="17" t="s">
        <v>604</v>
      </c>
      <c r="F33" s="17" t="s">
        <v>614</v>
      </c>
      <c r="G33" s="17" t="s">
        <v>615</v>
      </c>
      <c r="H33" s="17" t="s">
        <v>127</v>
      </c>
      <c r="I33" s="17"/>
    </row>
    <row r="34" spans="1:9" ht="26.4" x14ac:dyDescent="0.3">
      <c r="A34" s="17" t="s">
        <v>39</v>
      </c>
      <c r="B34" s="17" t="s">
        <v>629</v>
      </c>
      <c r="C34" s="17" t="s">
        <v>85</v>
      </c>
      <c r="D34" s="17" t="s">
        <v>603</v>
      </c>
      <c r="E34" s="17" t="s">
        <v>604</v>
      </c>
      <c r="F34" s="17" t="s">
        <v>631</v>
      </c>
      <c r="G34" s="17"/>
      <c r="H34" s="17" t="s">
        <v>127</v>
      </c>
      <c r="I34" s="17"/>
    </row>
    <row r="35" spans="1:9" ht="26.4" x14ac:dyDescent="0.3">
      <c r="A35" s="17" t="s">
        <v>39</v>
      </c>
      <c r="B35" s="17" t="s">
        <v>629</v>
      </c>
      <c r="C35" s="17" t="s">
        <v>86</v>
      </c>
      <c r="D35" s="17" t="s">
        <v>603</v>
      </c>
      <c r="E35" s="17" t="s">
        <v>604</v>
      </c>
      <c r="F35" s="17" t="s">
        <v>632</v>
      </c>
      <c r="G35" s="17"/>
      <c r="H35" s="17" t="s">
        <v>127</v>
      </c>
      <c r="I35" s="17"/>
    </row>
    <row r="36" spans="1:9" ht="26.4" x14ac:dyDescent="0.3">
      <c r="A36" s="17" t="s">
        <v>39</v>
      </c>
      <c r="B36" s="17" t="s">
        <v>629</v>
      </c>
      <c r="C36" s="17" t="s">
        <v>87</v>
      </c>
      <c r="D36" s="17" t="s">
        <v>603</v>
      </c>
      <c r="E36" s="17" t="s">
        <v>604</v>
      </c>
      <c r="F36" s="17" t="s">
        <v>619</v>
      </c>
      <c r="G36" s="17"/>
      <c r="H36" s="17" t="s">
        <v>127</v>
      </c>
      <c r="I36" s="17" t="s">
        <v>620</v>
      </c>
    </row>
    <row r="37" spans="1:9" ht="26.4" x14ac:dyDescent="0.3">
      <c r="A37" s="17" t="s">
        <v>39</v>
      </c>
      <c r="B37" s="17" t="s">
        <v>629</v>
      </c>
      <c r="C37" s="17" t="s">
        <v>88</v>
      </c>
      <c r="D37" s="17" t="s">
        <v>603</v>
      </c>
      <c r="E37" s="17" t="s">
        <v>604</v>
      </c>
      <c r="F37" s="17" t="s">
        <v>633</v>
      </c>
      <c r="G37" s="17" t="s">
        <v>622</v>
      </c>
      <c r="H37" s="17" t="s">
        <v>127</v>
      </c>
      <c r="I37" s="17"/>
    </row>
    <row r="38" spans="1:9" ht="26.4" x14ac:dyDescent="0.3">
      <c r="A38" s="17" t="s">
        <v>39</v>
      </c>
      <c r="B38" s="17" t="s">
        <v>629</v>
      </c>
      <c r="C38" s="17" t="s">
        <v>89</v>
      </c>
      <c r="D38" s="17" t="s">
        <v>623</v>
      </c>
      <c r="E38" s="17" t="s">
        <v>604</v>
      </c>
      <c r="F38" s="17" t="s">
        <v>634</v>
      </c>
      <c r="G38" s="17"/>
      <c r="H38" s="17" t="s">
        <v>102</v>
      </c>
      <c r="I38" s="17"/>
    </row>
    <row r="39" spans="1:9" ht="26.4" x14ac:dyDescent="0.3">
      <c r="A39" s="17" t="s">
        <v>39</v>
      </c>
      <c r="B39" s="17" t="s">
        <v>629</v>
      </c>
      <c r="C39" s="17" t="s">
        <v>90</v>
      </c>
      <c r="D39" s="17" t="s">
        <v>603</v>
      </c>
      <c r="E39" s="17" t="s">
        <v>604</v>
      </c>
      <c r="F39" s="17" t="s">
        <v>635</v>
      </c>
      <c r="G39" s="17"/>
      <c r="H39" s="17" t="s">
        <v>102</v>
      </c>
      <c r="I39" s="17"/>
    </row>
    <row r="40" spans="1:9" x14ac:dyDescent="0.3">
      <c r="A40" s="17" t="s">
        <v>41</v>
      </c>
      <c r="B40" s="17" t="s">
        <v>636</v>
      </c>
      <c r="C40" s="17" t="s">
        <v>433</v>
      </c>
      <c r="D40" s="17" t="s">
        <v>603</v>
      </c>
      <c r="E40" s="17" t="s">
        <v>604</v>
      </c>
      <c r="F40" s="17" t="s">
        <v>637</v>
      </c>
      <c r="G40" s="17"/>
      <c r="H40" s="17" t="s">
        <v>127</v>
      </c>
      <c r="I40" s="17" t="s">
        <v>638</v>
      </c>
    </row>
    <row r="41" spans="1:9" x14ac:dyDescent="0.3">
      <c r="A41" s="17" t="s">
        <v>41</v>
      </c>
      <c r="B41" s="17" t="s">
        <v>636</v>
      </c>
      <c r="C41" s="17" t="s">
        <v>434</v>
      </c>
      <c r="D41" s="17" t="s">
        <v>603</v>
      </c>
      <c r="E41" s="17" t="s">
        <v>604</v>
      </c>
      <c r="F41" s="17" t="s">
        <v>639</v>
      </c>
      <c r="G41" s="17" t="s">
        <v>615</v>
      </c>
      <c r="H41" s="17" t="s">
        <v>127</v>
      </c>
      <c r="I41" s="17"/>
    </row>
    <row r="42" spans="1:9" x14ac:dyDescent="0.3">
      <c r="A42" s="17" t="s">
        <v>41</v>
      </c>
      <c r="B42" s="17" t="s">
        <v>636</v>
      </c>
      <c r="C42" s="17" t="s">
        <v>435</v>
      </c>
      <c r="D42" s="17" t="s">
        <v>603</v>
      </c>
      <c r="E42" s="17" t="s">
        <v>604</v>
      </c>
      <c r="F42" s="17" t="s">
        <v>640</v>
      </c>
      <c r="G42" s="17"/>
      <c r="H42" s="17" t="s">
        <v>127</v>
      </c>
      <c r="I42" s="17"/>
    </row>
    <row r="43" spans="1:9" x14ac:dyDescent="0.3">
      <c r="A43" s="17" t="s">
        <v>41</v>
      </c>
      <c r="B43" s="17" t="s">
        <v>636</v>
      </c>
      <c r="C43" s="17" t="s">
        <v>436</v>
      </c>
      <c r="D43" s="17" t="s">
        <v>603</v>
      </c>
      <c r="E43" s="17" t="s">
        <v>604</v>
      </c>
      <c r="F43" s="17" t="s">
        <v>641</v>
      </c>
      <c r="G43" s="17" t="s">
        <v>642</v>
      </c>
      <c r="H43" s="17" t="s">
        <v>127</v>
      </c>
      <c r="I43" s="17"/>
    </row>
    <row r="44" spans="1:9" x14ac:dyDescent="0.3">
      <c r="A44" s="17" t="s">
        <v>41</v>
      </c>
      <c r="B44" s="17" t="s">
        <v>636</v>
      </c>
      <c r="C44" s="17" t="s">
        <v>437</v>
      </c>
      <c r="D44" s="17" t="s">
        <v>603</v>
      </c>
      <c r="E44" s="17" t="s">
        <v>604</v>
      </c>
      <c r="F44" s="17" t="s">
        <v>643</v>
      </c>
      <c r="G44" s="17"/>
      <c r="H44" s="17" t="s">
        <v>127</v>
      </c>
      <c r="I44" s="17"/>
    </row>
    <row r="45" spans="1:9" x14ac:dyDescent="0.3">
      <c r="A45" s="17" t="s">
        <v>41</v>
      </c>
      <c r="B45" s="17" t="s">
        <v>636</v>
      </c>
      <c r="C45" s="17" t="s">
        <v>438</v>
      </c>
      <c r="D45" s="17" t="s">
        <v>603</v>
      </c>
      <c r="E45" s="17" t="s">
        <v>604</v>
      </c>
      <c r="F45" s="17" t="s">
        <v>644</v>
      </c>
      <c r="G45" s="17"/>
      <c r="H45" s="17" t="s">
        <v>127</v>
      </c>
      <c r="I45" s="17"/>
    </row>
    <row r="46" spans="1:9" x14ac:dyDescent="0.3">
      <c r="A46" s="17" t="s">
        <v>41</v>
      </c>
      <c r="B46" s="17" t="s">
        <v>636</v>
      </c>
      <c r="C46" s="17" t="s">
        <v>439</v>
      </c>
      <c r="D46" s="17" t="s">
        <v>645</v>
      </c>
      <c r="E46" s="17" t="s">
        <v>604</v>
      </c>
      <c r="F46" s="17" t="s">
        <v>646</v>
      </c>
      <c r="G46" s="17"/>
      <c r="H46" s="17" t="s">
        <v>127</v>
      </c>
      <c r="I46" s="17"/>
    </row>
    <row r="47" spans="1:9" x14ac:dyDescent="0.3">
      <c r="A47" s="17" t="s">
        <v>41</v>
      </c>
      <c r="B47" s="17" t="s">
        <v>636</v>
      </c>
      <c r="C47" s="17" t="s">
        <v>74</v>
      </c>
      <c r="D47" s="17" t="s">
        <v>603</v>
      </c>
      <c r="E47" s="17" t="s">
        <v>604</v>
      </c>
      <c r="F47" s="17" t="s">
        <v>647</v>
      </c>
      <c r="G47" s="17"/>
      <c r="H47" s="17" t="s">
        <v>127</v>
      </c>
      <c r="I47" s="17"/>
    </row>
    <row r="48" spans="1:9" x14ac:dyDescent="0.3">
      <c r="A48" s="17" t="s">
        <v>41</v>
      </c>
      <c r="B48" s="17" t="s">
        <v>636</v>
      </c>
      <c r="C48" s="17" t="s">
        <v>440</v>
      </c>
      <c r="D48" s="17" t="s">
        <v>608</v>
      </c>
      <c r="E48" s="17" t="s">
        <v>604</v>
      </c>
      <c r="F48" s="17" t="s">
        <v>648</v>
      </c>
      <c r="G48" s="17"/>
      <c r="H48" s="17" t="s">
        <v>127</v>
      </c>
      <c r="I48" s="17"/>
    </row>
    <row r="49" spans="1:9" x14ac:dyDescent="0.3">
      <c r="A49" s="17" t="s">
        <v>41</v>
      </c>
      <c r="B49" s="17" t="s">
        <v>636</v>
      </c>
      <c r="C49" s="17" t="s">
        <v>441</v>
      </c>
      <c r="D49" s="17" t="s">
        <v>608</v>
      </c>
      <c r="E49" s="17" t="s">
        <v>604</v>
      </c>
      <c r="F49" s="17" t="s">
        <v>649</v>
      </c>
      <c r="G49" s="17"/>
      <c r="H49" s="17" t="s">
        <v>127</v>
      </c>
      <c r="I49" s="17"/>
    </row>
    <row r="50" spans="1:9" x14ac:dyDescent="0.3">
      <c r="A50" s="17" t="s">
        <v>41</v>
      </c>
      <c r="B50" s="17" t="s">
        <v>636</v>
      </c>
      <c r="C50" s="17" t="s">
        <v>442</v>
      </c>
      <c r="D50" s="17" t="s">
        <v>608</v>
      </c>
      <c r="E50" s="17" t="s">
        <v>626</v>
      </c>
      <c r="F50" s="17" t="s">
        <v>650</v>
      </c>
      <c r="G50" s="17"/>
      <c r="H50" s="17" t="s">
        <v>127</v>
      </c>
      <c r="I50" s="17"/>
    </row>
    <row r="51" spans="1:9" x14ac:dyDescent="0.3">
      <c r="A51" s="17" t="s">
        <v>41</v>
      </c>
      <c r="B51" s="17" t="s">
        <v>636</v>
      </c>
      <c r="C51" s="17" t="s">
        <v>443</v>
      </c>
      <c r="D51" s="17" t="s">
        <v>645</v>
      </c>
      <c r="E51" s="17" t="s">
        <v>626</v>
      </c>
      <c r="F51" s="17" t="s">
        <v>651</v>
      </c>
      <c r="G51" s="17"/>
      <c r="H51" s="17" t="s">
        <v>127</v>
      </c>
      <c r="I51" s="17"/>
    </row>
    <row r="52" spans="1:9" x14ac:dyDescent="0.3">
      <c r="A52" s="17" t="s">
        <v>41</v>
      </c>
      <c r="B52" s="17" t="s">
        <v>636</v>
      </c>
      <c r="C52" s="17" t="s">
        <v>444</v>
      </c>
      <c r="D52" s="17" t="s">
        <v>603</v>
      </c>
      <c r="E52" s="17" t="s">
        <v>604</v>
      </c>
      <c r="F52" s="17" t="s">
        <v>652</v>
      </c>
      <c r="G52" s="17"/>
      <c r="H52" s="17" t="s">
        <v>127</v>
      </c>
      <c r="I52" s="17"/>
    </row>
    <row r="53" spans="1:9" ht="26.4" x14ac:dyDescent="0.3">
      <c r="A53" s="17" t="s">
        <v>41</v>
      </c>
      <c r="B53" s="17" t="s">
        <v>636</v>
      </c>
      <c r="C53" s="17" t="s">
        <v>445</v>
      </c>
      <c r="D53" s="17" t="s">
        <v>645</v>
      </c>
      <c r="E53" s="17" t="s">
        <v>604</v>
      </c>
      <c r="F53" s="17" t="s">
        <v>653</v>
      </c>
      <c r="G53" s="17"/>
      <c r="H53" s="17" t="s">
        <v>127</v>
      </c>
      <c r="I53" s="17"/>
    </row>
    <row r="54" spans="1:9" x14ac:dyDescent="0.3">
      <c r="A54" s="17" t="s">
        <v>41</v>
      </c>
      <c r="B54" s="17" t="s">
        <v>636</v>
      </c>
      <c r="C54" s="17" t="s">
        <v>446</v>
      </c>
      <c r="D54" s="17" t="s">
        <v>645</v>
      </c>
      <c r="E54" s="17" t="s">
        <v>626</v>
      </c>
      <c r="F54" s="17" t="s">
        <v>654</v>
      </c>
      <c r="G54" s="17"/>
      <c r="H54" s="17" t="s">
        <v>127</v>
      </c>
      <c r="I54" s="17"/>
    </row>
    <row r="55" spans="1:9" ht="26.4" x14ac:dyDescent="0.3">
      <c r="A55" s="17" t="s">
        <v>41</v>
      </c>
      <c r="B55" s="17" t="s">
        <v>636</v>
      </c>
      <c r="C55" s="17" t="s">
        <v>447</v>
      </c>
      <c r="D55" s="17" t="s">
        <v>603</v>
      </c>
      <c r="E55" s="17" t="s">
        <v>626</v>
      </c>
      <c r="F55" s="17" t="s">
        <v>655</v>
      </c>
      <c r="G55" s="17"/>
      <c r="H55" s="17" t="s">
        <v>127</v>
      </c>
      <c r="I55" s="17"/>
    </row>
    <row r="56" spans="1:9" x14ac:dyDescent="0.3">
      <c r="A56" s="17" t="s">
        <v>41</v>
      </c>
      <c r="B56" s="17" t="s">
        <v>636</v>
      </c>
      <c r="C56" s="17" t="s">
        <v>448</v>
      </c>
      <c r="D56" s="17" t="s">
        <v>603</v>
      </c>
      <c r="E56" s="17" t="s">
        <v>604</v>
      </c>
      <c r="F56" s="17" t="s">
        <v>656</v>
      </c>
      <c r="G56" s="17"/>
      <c r="H56" s="17" t="s">
        <v>102</v>
      </c>
      <c r="I56" s="17"/>
    </row>
    <row r="57" spans="1:9" ht="26.4" x14ac:dyDescent="0.3">
      <c r="A57" s="17" t="s">
        <v>41</v>
      </c>
      <c r="B57" s="17" t="s">
        <v>636</v>
      </c>
      <c r="C57" s="17" t="s">
        <v>71</v>
      </c>
      <c r="D57" s="17" t="s">
        <v>603</v>
      </c>
      <c r="E57" s="17" t="s">
        <v>604</v>
      </c>
      <c r="F57" s="17" t="s">
        <v>657</v>
      </c>
      <c r="G57" s="17"/>
      <c r="H57" s="17" t="s">
        <v>102</v>
      </c>
      <c r="I57" s="17" t="s">
        <v>658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10</vt:i4>
      </vt:variant>
    </vt:vector>
  </HeadingPairs>
  <TitlesOfParts>
    <vt:vector size="17" baseType="lpstr">
      <vt:lpstr>00_LEIA-ME</vt:lpstr>
      <vt:lpstr>Riscos_Qualidade</vt:lpstr>
      <vt:lpstr>Oportunidades_Qualidade</vt:lpstr>
      <vt:lpstr>PFMEA_Processo</vt:lpstr>
      <vt:lpstr>Resumo_Riscos</vt:lpstr>
      <vt:lpstr>Listas</vt:lpstr>
      <vt:lpstr>Dicionario_Dados</vt:lpstr>
      <vt:lpstr>DataRef</vt:lpstr>
      <vt:lpstr>lst_Classe</vt:lpstr>
      <vt:lpstr>lst_DataReferencia</vt:lpstr>
      <vt:lpstr>lst_Eficacia</vt:lpstr>
      <vt:lpstr>lst_Opcao</vt:lpstr>
      <vt:lpstr>lst_Processo</vt:lpstr>
      <vt:lpstr>lst_SimNao</vt:lpstr>
      <vt:lpstr>Oportunidades_Qualidade!Títulos_de_Impressão</vt:lpstr>
      <vt:lpstr>PFMEA_Processo!Títulos_de_Impressão</vt:lpstr>
      <vt:lpstr>Riscos_Qualidade!Títulos_de_Impressão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RG-SGQ-04 Riscos e Oportunidades da Qualidade (vista do registo SGI) e PFMEA</dc:title>
  <dc:subject>SGQ NP EN ISO 9001:2026 — Plasticom</dc:subject>
  <dc:creator>Gerente da Qualidade</dc:creator>
  <cp:lastModifiedBy>Aline Meireles</cp:lastModifiedBy>
  <dcterms:created xsi:type="dcterms:W3CDTF">2026-09-30T16:46:43Z</dcterms:created>
  <dcterms:modified xsi:type="dcterms:W3CDTF">2026-09-30T16:47:11Z</dcterms:modified>
</cp:coreProperties>
</file>