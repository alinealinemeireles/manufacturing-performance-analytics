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13D0164D-73A8-4BD7-B9D4-085907281E5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Ficheiros" sheetId="2" r:id="rId2"/>
    <sheet name="Harmonizacao_Resumo" sheetId="3" r:id="rId3"/>
    <sheet name="Matriz_Harmonizacao_SGI" sheetId="4" r:id="rId4"/>
    <sheet name="Catalogo_Tabelas" sheetId="5" r:id="rId5"/>
    <sheet name="Integridade_Referencial" sheetId="6" r:id="rId6"/>
    <sheet name="Dim_Processo" sheetId="7" r:id="rId7"/>
    <sheet name="Dim_Funcao" sheetId="8" r:id="rId8"/>
    <sheet name="Dim_Clausula_ISO9001_2026" sheetId="9" r:id="rId9"/>
    <sheet name="Matriz_Fonte_Unica" sheetId="10" r:id="rId10"/>
    <sheet name="Matriz_ISO9001_2026" sheetId="11" r:id="rId11"/>
    <sheet name="Resumo_Prontidao" sheetId="12" r:id="rId12"/>
    <sheet name="Matriz_Mestra_Info_Doc" sheetId="13" r:id="rId13"/>
    <sheet name="Normas_Fontes" sheetId="14" r:id="rId14"/>
    <sheet name="Modelo_Dados" sheetId="15" r:id="rId15"/>
    <sheet name="Listas" sheetId="16" r:id="rId16"/>
    <sheet name="Dicionario_Dados" sheetId="17" r:id="rId17"/>
  </sheets>
  <definedNames>
    <definedName name="DataRef">Listas!$A$3</definedName>
    <definedName name="lst_Classe">Listas!$C$3:$C$5</definedName>
    <definedName name="lst_Correspondencia">Listas!$E$3:$E$6</definedName>
    <definedName name="lst_DataReferencia">Listas!$A$3:$A$3</definedName>
    <definedName name="lst_Estado">Listas!$B$3:$B$5</definedName>
    <definedName name="lst_SimNao">Listas!$D$3:$D$4</definedName>
    <definedName name="_xlnm.Print_Titles" localSheetId="4">Catalogo_Tabelas!$1:$1</definedName>
    <definedName name="_xlnm.Print_Titles" localSheetId="8">Dim_Clausula_ISO9001_2026!$1:$1</definedName>
    <definedName name="_xlnm.Print_Titles" localSheetId="7">Dim_Funcao!$1:$1</definedName>
    <definedName name="_xlnm.Print_Titles" localSheetId="6">Dim_Processo!$1:$1</definedName>
    <definedName name="_xlnm.Print_Titles" localSheetId="1">Ficheiros!$4:$4</definedName>
    <definedName name="_xlnm.Print_Titles" localSheetId="2">Harmonizacao_Resumo!$4:$4</definedName>
    <definedName name="_xlnm.Print_Titles" localSheetId="5">Integridade_Referencial!$1:$1</definedName>
    <definedName name="_xlnm.Print_Titles" localSheetId="9">Matriz_Fonte_Unica!$4:$4</definedName>
    <definedName name="_xlnm.Print_Titles" localSheetId="3">Matriz_Harmonizacao_SGI!$4:$4</definedName>
    <definedName name="_xlnm.Print_Titles" localSheetId="10">Matriz_ISO9001_2026!$4:$4</definedName>
    <definedName name="_xlnm.Print_Titles" localSheetId="12">Matriz_Mestra_Info_Doc!$4:$4</definedName>
    <definedName name="_xlnm.Print_Titles" localSheetId="13">Normas_Fontes!$4:$4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2" l="1"/>
  <c r="C13" i="12"/>
  <c r="L51" i="11"/>
  <c r="E51" i="11"/>
  <c r="C51" i="11"/>
  <c r="L50" i="11"/>
  <c r="E50" i="11"/>
  <c r="C50" i="11"/>
  <c r="L49" i="11"/>
  <c r="E49" i="11"/>
  <c r="C49" i="11"/>
  <c r="L48" i="11"/>
  <c r="E48" i="11"/>
  <c r="C48" i="11"/>
  <c r="L47" i="11"/>
  <c r="E47" i="11"/>
  <c r="C47" i="11"/>
  <c r="L46" i="11"/>
  <c r="E46" i="11"/>
  <c r="C46" i="11"/>
  <c r="L45" i="11"/>
  <c r="E45" i="11"/>
  <c r="C45" i="11"/>
  <c r="L44" i="11"/>
  <c r="E44" i="11"/>
  <c r="C44" i="11"/>
  <c r="L43" i="11"/>
  <c r="E43" i="11"/>
  <c r="C43" i="11"/>
  <c r="L42" i="11"/>
  <c r="E42" i="11"/>
  <c r="C42" i="11"/>
  <c r="L41" i="11"/>
  <c r="E41" i="11"/>
  <c r="C41" i="11"/>
  <c r="L40" i="11"/>
  <c r="E40" i="11"/>
  <c r="C40" i="11"/>
  <c r="L39" i="11"/>
  <c r="E39" i="11"/>
  <c r="C39" i="11"/>
  <c r="L38" i="11"/>
  <c r="E38" i="11"/>
  <c r="C38" i="11"/>
  <c r="L37" i="11"/>
  <c r="E37" i="11"/>
  <c r="C37" i="11"/>
  <c r="L36" i="11"/>
  <c r="E36" i="11"/>
  <c r="C36" i="11"/>
  <c r="L35" i="11"/>
  <c r="E35" i="11"/>
  <c r="C35" i="11"/>
  <c r="L34" i="11"/>
  <c r="E34" i="11"/>
  <c r="C34" i="11"/>
  <c r="L33" i="11"/>
  <c r="E33" i="11"/>
  <c r="C33" i="11"/>
  <c r="L32" i="11"/>
  <c r="E32" i="11"/>
  <c r="C32" i="11"/>
  <c r="L31" i="11"/>
  <c r="E31" i="11"/>
  <c r="C31" i="11"/>
  <c r="L30" i="11"/>
  <c r="E30" i="11"/>
  <c r="C30" i="11"/>
  <c r="L29" i="11"/>
  <c r="E29" i="11"/>
  <c r="C29" i="11"/>
  <c r="L28" i="11"/>
  <c r="E28" i="11"/>
  <c r="C28" i="11"/>
  <c r="L27" i="11"/>
  <c r="E27" i="11"/>
  <c r="C27" i="11"/>
  <c r="L26" i="11"/>
  <c r="E26" i="11"/>
  <c r="C26" i="11"/>
  <c r="L25" i="11"/>
  <c r="E25" i="11"/>
  <c r="C25" i="11"/>
  <c r="L24" i="11"/>
  <c r="E24" i="11"/>
  <c r="C24" i="11"/>
  <c r="L23" i="11"/>
  <c r="E23" i="11"/>
  <c r="C23" i="11"/>
  <c r="L22" i="11"/>
  <c r="E22" i="11"/>
  <c r="C22" i="11"/>
  <c r="L21" i="11"/>
  <c r="E21" i="11"/>
  <c r="C21" i="11"/>
  <c r="L20" i="11"/>
  <c r="E20" i="11"/>
  <c r="C20" i="11"/>
  <c r="L19" i="11"/>
  <c r="E19" i="11"/>
  <c r="C19" i="11"/>
  <c r="L18" i="11"/>
  <c r="E18" i="11"/>
  <c r="C18" i="11"/>
  <c r="L17" i="11"/>
  <c r="E17" i="11"/>
  <c r="C17" i="11"/>
  <c r="L16" i="11"/>
  <c r="E16" i="11"/>
  <c r="C16" i="11"/>
  <c r="L15" i="11"/>
  <c r="E15" i="11"/>
  <c r="C15" i="11"/>
  <c r="L14" i="11"/>
  <c r="E14" i="11"/>
  <c r="C14" i="11"/>
  <c r="L13" i="11"/>
  <c r="E13" i="11"/>
  <c r="C13" i="11"/>
  <c r="L12" i="11"/>
  <c r="E12" i="11"/>
  <c r="C12" i="11"/>
  <c r="L11" i="11"/>
  <c r="E11" i="11"/>
  <c r="C11" i="11"/>
  <c r="L10" i="11"/>
  <c r="E10" i="11"/>
  <c r="C10" i="11"/>
  <c r="L9" i="11"/>
  <c r="E9" i="11"/>
  <c r="C9" i="11"/>
  <c r="L8" i="11"/>
  <c r="E8" i="11"/>
  <c r="C8" i="11"/>
  <c r="L7" i="11"/>
  <c r="E7" i="11"/>
  <c r="C7" i="11"/>
  <c r="L6" i="11"/>
  <c r="E6" i="11"/>
  <c r="C6" i="11"/>
  <c r="L5" i="11"/>
  <c r="E5" i="11"/>
  <c r="C5" i="11"/>
  <c r="D10" i="12" s="1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M33" i="3"/>
  <c r="L33" i="3"/>
  <c r="K33" i="3"/>
  <c r="J33" i="3"/>
  <c r="N33" i="3" s="1"/>
  <c r="G33" i="3"/>
  <c r="M32" i="3"/>
  <c r="L32" i="3"/>
  <c r="K32" i="3"/>
  <c r="J32" i="3"/>
  <c r="N32" i="3" s="1"/>
  <c r="G32" i="3"/>
  <c r="M31" i="3"/>
  <c r="L31" i="3"/>
  <c r="K31" i="3"/>
  <c r="J31" i="3"/>
  <c r="N31" i="3" s="1"/>
  <c r="G31" i="3"/>
  <c r="M30" i="3"/>
  <c r="L30" i="3"/>
  <c r="K30" i="3"/>
  <c r="J30" i="3"/>
  <c r="G30" i="3"/>
  <c r="M29" i="3"/>
  <c r="L29" i="3"/>
  <c r="K29" i="3"/>
  <c r="J29" i="3"/>
  <c r="N29" i="3" s="1"/>
  <c r="G29" i="3"/>
  <c r="M28" i="3"/>
  <c r="L28" i="3"/>
  <c r="K28" i="3"/>
  <c r="J28" i="3"/>
  <c r="N28" i="3" s="1"/>
  <c r="G28" i="3"/>
  <c r="M27" i="3"/>
  <c r="L27" i="3"/>
  <c r="K27" i="3"/>
  <c r="J27" i="3"/>
  <c r="N27" i="3" s="1"/>
  <c r="G27" i="3"/>
  <c r="M26" i="3"/>
  <c r="L26" i="3"/>
  <c r="K26" i="3"/>
  <c r="J26" i="3"/>
  <c r="G26" i="3"/>
  <c r="M25" i="3"/>
  <c r="L25" i="3"/>
  <c r="K25" i="3"/>
  <c r="J25" i="3"/>
  <c r="N25" i="3" s="1"/>
  <c r="G25" i="3"/>
  <c r="M24" i="3"/>
  <c r="L24" i="3"/>
  <c r="K24" i="3"/>
  <c r="J24" i="3"/>
  <c r="G24" i="3"/>
  <c r="M23" i="3"/>
  <c r="L23" i="3"/>
  <c r="K23" i="3"/>
  <c r="J23" i="3"/>
  <c r="N23" i="3" s="1"/>
  <c r="G23" i="3"/>
  <c r="M22" i="3"/>
  <c r="L22" i="3"/>
  <c r="K22" i="3"/>
  <c r="J22" i="3"/>
  <c r="G22" i="3"/>
  <c r="M21" i="3"/>
  <c r="L21" i="3"/>
  <c r="K21" i="3"/>
  <c r="J21" i="3"/>
  <c r="N21" i="3" s="1"/>
  <c r="G21" i="3"/>
  <c r="M20" i="3"/>
  <c r="L20" i="3"/>
  <c r="K20" i="3"/>
  <c r="J20" i="3"/>
  <c r="G20" i="3"/>
  <c r="M19" i="3"/>
  <c r="L19" i="3"/>
  <c r="K19" i="3"/>
  <c r="J19" i="3"/>
  <c r="N19" i="3" s="1"/>
  <c r="G19" i="3"/>
  <c r="M18" i="3"/>
  <c r="L18" i="3"/>
  <c r="K18" i="3"/>
  <c r="J18" i="3"/>
  <c r="G18" i="3"/>
  <c r="M17" i="3"/>
  <c r="L17" i="3"/>
  <c r="K17" i="3"/>
  <c r="J17" i="3"/>
  <c r="N17" i="3" s="1"/>
  <c r="G17" i="3"/>
  <c r="M16" i="3"/>
  <c r="L16" i="3"/>
  <c r="K16" i="3"/>
  <c r="J16" i="3"/>
  <c r="G16" i="3"/>
  <c r="M15" i="3"/>
  <c r="L15" i="3"/>
  <c r="K15" i="3"/>
  <c r="J15" i="3"/>
  <c r="N15" i="3" s="1"/>
  <c r="G15" i="3"/>
  <c r="M14" i="3"/>
  <c r="L14" i="3"/>
  <c r="K14" i="3"/>
  <c r="J14" i="3"/>
  <c r="G14" i="3"/>
  <c r="M13" i="3"/>
  <c r="L13" i="3"/>
  <c r="K13" i="3"/>
  <c r="J13" i="3"/>
  <c r="N13" i="3" s="1"/>
  <c r="G13" i="3"/>
  <c r="M12" i="3"/>
  <c r="L12" i="3"/>
  <c r="K12" i="3"/>
  <c r="J12" i="3"/>
  <c r="G12" i="3"/>
  <c r="M11" i="3"/>
  <c r="L11" i="3"/>
  <c r="K11" i="3"/>
  <c r="J11" i="3"/>
  <c r="N11" i="3" s="1"/>
  <c r="G11" i="3"/>
  <c r="M10" i="3"/>
  <c r="L10" i="3"/>
  <c r="K10" i="3"/>
  <c r="J10" i="3"/>
  <c r="G10" i="3"/>
  <c r="M9" i="3"/>
  <c r="L9" i="3"/>
  <c r="K9" i="3"/>
  <c r="J9" i="3"/>
  <c r="N9" i="3" s="1"/>
  <c r="G9" i="3"/>
  <c r="M8" i="3"/>
  <c r="L8" i="3"/>
  <c r="K8" i="3"/>
  <c r="J8" i="3"/>
  <c r="G8" i="3"/>
  <c r="M7" i="3"/>
  <c r="L7" i="3"/>
  <c r="K7" i="3"/>
  <c r="J7" i="3"/>
  <c r="N7" i="3" s="1"/>
  <c r="G7" i="3"/>
  <c r="M6" i="3"/>
  <c r="L6" i="3"/>
  <c r="K6" i="3"/>
  <c r="J6" i="3"/>
  <c r="G6" i="3"/>
  <c r="M5" i="3"/>
  <c r="L5" i="3"/>
  <c r="K5" i="3"/>
  <c r="J5" i="3"/>
  <c r="N5" i="3" s="1"/>
  <c r="G5" i="3"/>
  <c r="N8" i="3" l="1"/>
  <c r="N12" i="3"/>
  <c r="N16" i="3"/>
  <c r="N20" i="3"/>
  <c r="N24" i="3"/>
  <c r="F10" i="12"/>
  <c r="N6" i="3"/>
  <c r="N10" i="3"/>
  <c r="N14" i="3"/>
  <c r="N18" i="3"/>
  <c r="N22" i="3"/>
  <c r="N26" i="3"/>
  <c r="N30" i="3"/>
  <c r="E4" i="12"/>
  <c r="C5" i="12"/>
  <c r="H5" i="12" s="1"/>
  <c r="G5" i="12"/>
  <c r="E6" i="12"/>
  <c r="C7" i="12"/>
  <c r="H7" i="12" s="1"/>
  <c r="G7" i="12"/>
  <c r="E8" i="12"/>
  <c r="C9" i="12"/>
  <c r="H9" i="12" s="1"/>
  <c r="G9" i="12"/>
  <c r="E10" i="12"/>
  <c r="C4" i="12"/>
  <c r="G4" i="12"/>
  <c r="E5" i="12"/>
  <c r="C6" i="12"/>
  <c r="H6" i="12" s="1"/>
  <c r="G6" i="12"/>
  <c r="E7" i="12"/>
  <c r="C8" i="12"/>
  <c r="H8" i="12" s="1"/>
  <c r="G8" i="12"/>
  <c r="E9" i="12"/>
  <c r="C10" i="12"/>
  <c r="H10" i="12" s="1"/>
  <c r="G10" i="12"/>
  <c r="F4" i="12"/>
  <c r="D5" i="12"/>
  <c r="F6" i="12"/>
  <c r="D7" i="12"/>
  <c r="F8" i="12"/>
  <c r="D9" i="12"/>
  <c r="D4" i="12"/>
  <c r="F5" i="12"/>
  <c r="D6" i="12"/>
  <c r="F7" i="12"/>
  <c r="D8" i="12"/>
  <c r="F9" i="12"/>
  <c r="G11" i="12" l="1"/>
  <c r="H4" i="12"/>
  <c r="C11" i="12"/>
  <c r="H11" i="12" s="1"/>
  <c r="D11" i="12"/>
  <c r="F11" i="12"/>
  <c r="E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Ficheiro.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do registo.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Conteúdo.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Utilização / atividades (lido do 00_LEIA-ME do registo).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Cláusulas ISO 9001:2026.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Par de tabelas SGQ ↔ SGA.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Assunto comum.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Registo do SGQ.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Tabela do SGQ.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Registo do SGA (padrão do SGI).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Tabela do SGA.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 tabela tem o mesmo nome nos dois sistemas?
[calculado]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Colunas da tabela do SGQ.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Colunas da tabela do SGA.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Colunas com o mesmo nome.
[calculado]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Mesmo significado, nome próprio da norma.
[calculado]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Colunas só do SGQ (ficam vazias no SGA ao consolidar).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Colunas só do SGA (ficam vazias no SGQ ao consolidar).
[calculado]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% das colunas do SGA que existem no SGQ (iguais + equivalentes).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Par.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Tabela do SGQ.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Coluna no SGQ.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Posição da coluna no SGQ.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Tabela do SGA.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Coluna correspondente no SGA.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Posição da coluna no SGA.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Igual · Equivalente (renomear na consolidação) · Só SGQ · Só SGA.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Nome a usar no template único do SGI (o do SGA quando existe).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Ficheiro.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Folha.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Tabela Excel.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Linha do cabeçalho.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Registos (1.ª coluna preenchida).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Colunas.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Primeira coluna.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Código para ler a tabela em Python.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Tabela com a chave estrangeira.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Coluna FK.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Tabela referenciada (SGQ ou SGA).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Referências verificadas.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Sem correspondência.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IDs em falta.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OK / Rever.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E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[Só SGQ] Dono do processo.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C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Processo / área da função (código de processo).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B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Único registo onde o assunto é escrito.</t>
        </r>
      </text>
    </comment>
    <comment ref="D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Onde aparece só por ID ou valor gerado.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B4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C4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Capítulo 4–10.
[calculado]</t>
        </r>
      </text>
    </comment>
    <comment ref="D4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Requisito (resumo).</t>
        </r>
      </text>
    </comment>
    <comment ref="E4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Novo/alterado na edição 2026 (assinalado no texto).
[calculado]</t>
        </r>
      </text>
    </comment>
    <comment ref="F4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O que a norma exige: 'disponível' / 'disponível como evidência' / não exigida.</t>
        </r>
      </text>
    </comment>
    <comment ref="G4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Documento controlado.</t>
        </r>
      </text>
    </comment>
    <comment ref="H4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Registo e tabelas com a evidência.</t>
        </r>
      </text>
    </comment>
    <comment ref="I4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Conforme · Parcial · Lacuna (verificação de 31/12/2026).</t>
        </r>
      </text>
    </comment>
    <comment ref="J4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Observação.</t>
        </r>
      </text>
    </comment>
    <comment ref="K4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Ação que trata a lacuna.</t>
        </r>
      </text>
    </comment>
    <comment ref="L4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1 · 0,5 · 0 (índice de prontidão).
[calculado]</t>
        </r>
      </text>
    </comment>
    <comment ref="M4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[Só SGQ] A documento obrigatório · B evidência obrigatória · C determinada pela organização.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Código na matriz mestra.</t>
        </r>
      </text>
    </comment>
    <comment ref="B4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Informação documentada.</t>
        </r>
      </text>
    </comment>
    <comment ref="C4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Documento / registo / registo de gestão.</t>
        </r>
      </text>
    </comment>
    <comment ref="D4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E4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Requisito ISO 9001:2026.</t>
        </r>
      </text>
    </comment>
    <comment ref="F4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A / B / C.</t>
        </r>
      </text>
    </comment>
    <comment ref="G4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O que demonstra.</t>
        </r>
      </text>
    </comment>
    <comment ref="H4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I4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Quem aprova.</t>
        </r>
      </text>
    </comment>
    <comment ref="J4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K4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Retenção.</t>
        </r>
      </text>
    </comment>
    <comment ref="L4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Formato.</t>
        </r>
      </text>
    </comment>
    <comment ref="M4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Registo e tabela.</t>
        </r>
      </text>
    </comment>
    <comment ref="N4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Correspondência no SGA (SGI).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B4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Norma / fonte.</t>
        </r>
      </text>
    </comment>
    <comment ref="C4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Localização / URL.</t>
        </r>
      </text>
    </comment>
    <comment ref="D4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Onde foi aplicada.</t>
        </r>
      </text>
    </comment>
    <comment ref="E4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Requisito / orientação / dados.</t>
        </r>
      </text>
    </comment>
  </commentList>
</comments>
</file>

<file path=xl/sharedStrings.xml><?xml version="1.0" encoding="utf-8"?>
<sst xmlns="http://schemas.openxmlformats.org/spreadsheetml/2006/main" count="6316" uniqueCount="1946">
  <si>
    <t>RG-SGQ-00 — Índice do SGQ, Matriz ISO 9001:2026 e Modelo de Dados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</si>
  <si>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</si>
  <si>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</si>
  <si>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</si>
  <si>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RG-SGQ-00</t>
  </si>
  <si>
    <t>Título</t>
  </si>
  <si>
    <t>Índice do SGQ, Matriz ISO 9001:2026 e Modelo de Dados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</si>
  <si>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</si>
  <si>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</si>
  <si>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</si>
  <si>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</si>
  <si>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</si>
  <si>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</si>
  <si>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</si>
  <si>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</si>
  <si>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</si>
  <si>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</si>
  <si>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</si>
  <si>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</si>
  <si>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</si>
  <si>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</si>
  <si>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</si>
  <si>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Catálogo dos 19 registos e das suas tabelas, verificação automática da integridade referencial (incluindo ligações ao SGA-01, SGA-02 e SGA-11), matriz requisito → documento → evidência → estado para a ISO 9001:2026 com índice de prontidão por capítulo, matriz mestra de informação documentada (A obrigatória / B evidência / C necessária à eficácia), fontes consultadas e matriz de fonte única SGQ ↔ SGA.</t>
  </si>
  <si>
    <t>Utilização / atividades</t>
  </si>
  <si>
    <t>Ponto de entrada do sistema de registos do SGQ: onde está cada requisito, que tabelas existem, como se ligam entre si e ao SGA, e o estado de prontidão para a ISO 9001:2026.</t>
  </si>
  <si>
    <t>Requisitos ISO 9001:2026</t>
  </si>
  <si>
    <t>7.5 Informação documentada (lista de registos e matriz mestra A/B/C); 4.4; 9.1.3 (dados para análise); transição para a ISO 9001:2026</t>
  </si>
  <si>
    <t>REFERÊNCIAS DE BOAS PRÁTICAS APLICADAS (orientação — não são requisitos auditáveis da ISO 9001)</t>
  </si>
  <si>
    <t>ISO 9001:2026 7.5.1 Nota e APG 'Documented information'</t>
  </si>
  <si>
    <t>A norma não exige manual nem um procedimento por requisito: a matriz separa o que é obrigatório (A, B) do que a Plasticom determinou necessário (C).</t>
  </si>
  <si>
    <t>Pesquisa ChatGPT fornecida (28/09/2026)</t>
  </si>
  <si>
    <t>Estrutura da matriz mestra (código, tipo, processo, requisito, obrigatoriedade, evidência, responsável, aprovação, frequência, retenção, formato) e relação com a ISO 14001.</t>
  </si>
  <si>
    <t>ESTRUTURA DO FICHEIRO</t>
  </si>
  <si>
    <t>Ficheiros</t>
  </si>
  <si>
    <t>Lista dos registos do SGQ.</t>
  </si>
  <si>
    <t>Matriz_ISO9001_2026</t>
  </si>
  <si>
    <t>Mapa requisito → informação documentada → evidência → estado para a ISO 9001:2026 (mesma estrutura do RG-SGA-00 Matriz_ISO14001_2026).</t>
  </si>
  <si>
    <t>Resumo_Prontidao</t>
  </si>
  <si>
    <t>Índice de prontidão para a ISO 9001:2026 por capítulo (calculado a partir da matriz).</t>
  </si>
  <si>
    <t>Matriz_Mestra_Info_Doc</t>
  </si>
  <si>
    <t>Matriz mestra de informação documentada da Plasticom: A obrigatória pela ISO, B evidência obrigatória, C necessária para a eficácia.</t>
  </si>
  <si>
    <t>Catalogo_Tabelas</t>
  </si>
  <si>
    <t>Catálogo de todas as tabelas de dados do SGQ (gerado automaticamente).</t>
  </si>
  <si>
    <t>Integridade_Referencial</t>
  </si>
  <si>
    <t>Verificação das ligações entre registos do SGQ e com o SGA (instantâneo da construção).</t>
  </si>
  <si>
    <t>Normas_Fontes</t>
  </si>
  <si>
    <t>Normas, orientações e fontes consultadas para construir o SGQ.</t>
  </si>
  <si>
    <t>Matriz_Fonte_Unica</t>
  </si>
  <si>
    <t>Matriz de fonte única do SGI (SGQ ↔ SGA): evita registar o mesmo assunto em dois ficheiros.</t>
  </si>
  <si>
    <t>Dim_Processo</t>
  </si>
  <si>
    <t>Dimensão processo do SGQ (códigos produtivos iguais aos do SGA).</t>
  </si>
  <si>
    <t>Dim_Funcao</t>
  </si>
  <si>
    <t>Dimensão função (mesmas colunas do RG-SGA-00).</t>
  </si>
  <si>
    <t>Dim_Clausula_ISO9001_2026</t>
  </si>
  <si>
    <t>Cláusulas da ISO 9001:2026 e alterações face à 2015.</t>
  </si>
  <si>
    <t>Harmonizacao_Resumo</t>
  </si>
  <si>
    <t>Resumo da normalização SGQ ↔ SGA por par de tabelas (base dos templates únicos para a gestão de topo).</t>
  </si>
  <si>
    <t>Matriz_Harmonizacao_SGI</t>
  </si>
  <si>
    <t>Correspondência coluna a coluna entre as tabelas do SGQ e do SGA (gerada automaticamente a partir dos ficheiros).</t>
  </si>
  <si>
    <t>Modelo_Dados</t>
  </si>
  <si>
    <t>Descrição do modelo de dados e convenções de IDs.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</si>
  <si>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</si>
  <si>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</si>
  <si>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</si>
  <si>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</si>
  <si>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</si>
  <si>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</si>
  <si>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</si>
  <si>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</si>
  <si>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</si>
  <si>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</si>
  <si>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</si>
  <si>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</si>
  <si>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</si>
  <si>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</si>
  <si>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</si>
  <si>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</si>
  <si>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</si>
  <si>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ÍNDICE DO SISTEMA DE REGISTOS DO SGQ — PLASTICOM (ISO 9001:2026)</t>
  </si>
  <si>
    <t>Pasta Registos_SGQ_Plasticom · 19 registos Excel + este índice · Gerados por _build/build_all.py a partir do dataset · Data de referência 31/12/2026</t>
  </si>
  <si>
    <t>Ficheiro</t>
  </si>
  <si>
    <t>Codigo</t>
  </si>
  <si>
    <t>Conteudo</t>
  </si>
  <si>
    <t>Atividades</t>
  </si>
  <si>
    <t>Clausulas</t>
  </si>
  <si>
    <t>SGQ-01_Contexto_SWOT_PESTEL.xlsx</t>
  </si>
  <si>
    <t>RG-SGQ-01</t>
  </si>
  <si>
    <t>Contexto com a MESMA estrutura do RG-SGA-01: PESTEL, SWOT, TOWS, 5 forças e partes interessadas (lente da qualidade); alterações climáticas, âmbito e aplicabilidade</t>
  </si>
  <si>
    <t>Determinar e rever as questões externas (PESTEL) e internas/externas (SWOT) pertinentes para o SGQ, incluindo alterações climáticas; cruzamento estratégico (TOWS) e forças competitivas; partes interessadas e os requisitos que o SGQ trata; âmbito e aplicabilidade.</t>
  </si>
  <si>
    <t>4.1; 4.2; 4.3</t>
  </si>
  <si>
    <t>SGQ-02_Processos_Infraestrutura_Ambiente.xlsx</t>
  </si>
  <si>
    <t>RG-SGQ-02</t>
  </si>
  <si>
    <t>Mapa de processos (tartaruga), matriz de interações, 22 máquinas (MTBF, OEE, rejeição), ambiente dos processos</t>
  </si>
  <si>
    <t>Caracterizar cada processo do SGQ (entradas, saídas, sequência, interação, critérios, KPI, recursos, responsáveis, riscos) e a infraestrutura e o ambiente de que dependem.</t>
  </si>
  <si>
    <t>4.4; 7.1.3; 7.1.4</t>
  </si>
  <si>
    <t>SGQ-03_Lideranca_Politica_Cultura.xlsx</t>
  </si>
  <si>
    <t>RG-SGQ-03</t>
  </si>
  <si>
    <t>Política da qualidade, liderança (5.1.1 a–l), RACI e autoridades, cultura ISO 10010, gemba walks, relatos de integridade</t>
  </si>
  <si>
    <t>Evidenciar a liderança e o compromisso da gestão de topo, a política da qualidade, as funções e autoridades e o estado da cultura da qualidade e do comportamento ético.</t>
  </si>
  <si>
    <t>5.1; 5.2; 5.3; 7.3 e)</t>
  </si>
  <si>
    <t>SGQ-04_Gestao_Riscos_Oportunidades.xlsx</t>
  </si>
  <si>
    <t>RG-SGQ-04</t>
  </si>
  <si>
    <t>Riscos (6.1.2) e oportunidades (6.1.3) da qualidade — vista do RG-SGA-02 — e PFMEA com ocorrência dos dados reais</t>
  </si>
  <si>
    <t>Determinar, analisar e avaliar riscos (6.1.2) e oportunidades (6.1.3) que afetam a conformidade dos produtos e a satisfação do cliente; planear ações proporcionais, integrá-las nos processos e avaliar a sua eficácia.</t>
  </si>
  <si>
    <t>6.1; 9.1.3 e) f)</t>
  </si>
  <si>
    <t>SGQ-05_Objetivos_Metas_KPI.xlsx</t>
  </si>
  <si>
    <t>RG-SGQ-05</t>
  </si>
  <si>
    <t>Base mensal do dataset, 14 KPI mensais por fórmula, painel com gráficos, objetivos SMART (6.2.2 a–e), plano de monitorização</t>
  </si>
  <si>
    <t>Estabelecer objetivos da qualidade mensuráveis e o planeamento para os atingir; definir o que se monitoriza, como, quando se mede e quando se analisa; acompanhar os KPI mensais.</t>
  </si>
  <si>
    <t>6.2; 9.1.1; 9.1.3</t>
  </si>
  <si>
    <t>SGQ-06_Planeamento_Alteracoes.xlsx</t>
  </si>
  <si>
    <t>RG-SGQ-06</t>
  </si>
  <si>
    <t>Pedidos de alteração (MOC) com análise 6.3 a–g, autorização, aprovação do cliente e checklist (ISO 10007)</t>
  </si>
  <si>
    <t>Planear, autorizar, implementar e rever as alterações ao SGQ, aos processos, produtos, equipamentos, fornecedores e requisitos do cliente.</t>
  </si>
  <si>
    <t>6.3; 8.5.6; 8.2.4; 8.3.6</t>
  </si>
  <si>
    <t>SGQ-07_Competencias_Consciencializacao.xlsx</t>
  </si>
  <si>
    <t>RG-SGQ-07</t>
  </si>
  <si>
    <t>Requisitos por função, matriz pessoa × competência, formação com eficácia em 4 níveis (ISO 10015), consciencialização, conhecimento</t>
  </si>
  <si>
    <t>Determinar a competência necessária por função, avaliar cada pessoa, planear e registar a formação com avaliação da eficácia, evidenciar a consciencialização (7.3 a–e) e gerir o conhecimento crítico.</t>
  </si>
  <si>
    <t>7.1.2; 7.1.6; 7.2; 7.3</t>
  </si>
  <si>
    <t>SGQ-08_Comunicacao_Controlo_Documental.xlsx</t>
  </si>
  <si>
    <t>RG-SGQ-08</t>
  </si>
  <si>
    <t>Lista mestra, documentos externos, retenção de registos, matriz de comunicação e comunicação com o cliente (contingência)</t>
  </si>
  <si>
    <t>Controlar documentos internos e externos, registos (retenção, proteção, eliminação) e planear a comunicação interna, externa e com o cliente.</t>
  </si>
  <si>
    <t>7.4; 7.5; 8.2.1</t>
  </si>
  <si>
    <t>SGQ-09_Metrologia_Calibracao_MSA.xlsx</t>
  </si>
  <si>
    <t>RG-SGQ-09</t>
  </si>
  <si>
    <t>Inventário de 39 equipamentos (ISO 10012:2026), calibrações com banda de guarda, fora de tolerância, Gage R&amp;R real por fórmulas</t>
  </si>
  <si>
    <t>Manter o inventário de equipamentos de monitorização e medição, planear e registar a calibração/verificação, decidir a conformidade metrológica, avaliar o impacto de equipamento fora de tolerância e demonstrar a adequação do sistema de medição (MSA).</t>
  </si>
  <si>
    <t>7.1.5</t>
  </si>
  <si>
    <t>SGQ-10_Requisitos_Cliente_Encomendas.xlsx</t>
  </si>
  <si>
    <t>RG-SGQ-10</t>
  </si>
  <si>
    <t>18 clientes e requisitos, requisitos de produto, revisão das 539 encomendas de ago/2026, propriedade do cliente, pós-entrega</t>
  </si>
  <si>
    <t>Determinar os requisitos dos produtos (incluindo legais), rever a capacidade de os cumprir antes de assumir o compromisso, registar alterações de requisitos, cuidar da propriedade dos clientes e definir as atividades pós-entrega.</t>
  </si>
  <si>
    <t>5.1.2; 8.2; 8.5.3; 8.5.5</t>
  </si>
  <si>
    <t>SGQ-11_Design_Desenvolvimento.xlsx</t>
  </si>
  <si>
    <t>RG-SGQ-11</t>
  </si>
  <si>
    <t>6 projetos D&amp;D (17 SKU alimentar/farma/potes): planeamento, entradas, stage-gate, saídas, alterações e FPY de lançamento</t>
  </si>
  <si>
    <t>Planear, controlar (revisão, verificação, validação), registar entradas e saídas e controlar alterações dos projetos de design e desenvolvimento.</t>
  </si>
  <si>
    <t>8.3</t>
  </si>
  <si>
    <t>SGQ-12_Fornecedores_Avaliacao.xlsx</t>
  </si>
  <si>
    <t>RG-SGQ-12</t>
  </si>
  <si>
    <t>Fornecedores e processos externos, desempenho mensal do dataset, reavaliação por scorecard (A–D), SCAR, requisitos 8.4.3, auditorias</t>
  </si>
  <si>
    <t>Determinar os controlos sobre fornecedores e processos externos, avaliar e selecionar, monitorizar o desempenho mensal, reavaliar semestralmente e gerir reclamações a fornecedores (SCAR).</t>
  </si>
  <si>
    <t>8.4; 9.1.3 g)</t>
  </si>
  <si>
    <t>SGQ-13_Producao_Rastreabilidade_Libertacao.xlsx</t>
  </si>
  <si>
    <t>RG-SGQ-13</t>
  </si>
  <si>
    <t>Plano de controlo consolidado, libertação dos 6 361 lotes, exercícios de rastreio reais, erro humano, validação de processos, preservação</t>
  </si>
  <si>
    <t>Controlar a produção em condições controladas (plano de controlo), validar processos especiais, prevenir o erro humano, libertar lotes com evidência de conformidade e de quem autorizou, e demonstrar rastreabilidade.</t>
  </si>
  <si>
    <t>8.1; 8.5.1; 8.5.2; 8.5.4; 8.6</t>
  </si>
  <si>
    <t>SGQ-14_Saidas_Nao_Conformes.xlsx</t>
  </si>
  <si>
    <t>RG-SGQ-14</t>
  </si>
  <si>
    <t>1 026 NC do dataset com tratamento 8.7.1 a–d, autoridade, clientes do lote e CAPA; 193 concessões com aprovação do cliente</t>
  </si>
  <si>
    <t>Identificar e controlar as saídas não conformes (produto, matéria-prima, após entrega), decidir o tratamento (a–d), registar a autoridade que decidiu e as concessões, e ligar à ação corretiva.</t>
  </si>
  <si>
    <t>8.7</t>
  </si>
  <si>
    <t>SGQ-15_Reclamacoes_Satisfacao_Cliente.xlsx</t>
  </si>
  <si>
    <t>RG-SGQ-15</t>
  </si>
  <si>
    <t>158 reclamações reais com ciclo ISO 10002; inquérito ISO 10004 (CSI, NPS, CES, importância × satisfação), Pareto</t>
  </si>
  <si>
    <t>Receber, acusar, avaliar, investigar, responder e fechar reclamações (ISO 10002); medir e analisar a satisfação por inquérito semestral e outras fontes (ISO 10004); usar a informação na revisão pela gestão.</t>
  </si>
  <si>
    <t>8.2.1 c); 9.1.2</t>
  </si>
  <si>
    <t>SGQ-16_Auditoria_Interna.xlsx</t>
  </si>
  <si>
    <t>RG-SGQ-16</t>
  </si>
  <si>
    <t>Auditores (competência/imparcialidade), programa baseado no risco, riscos do programa (ISO 19011:2026), checklist e constatações</t>
  </si>
  <si>
    <t>Planear o programa de auditoria com base no risco, qualificar auditores independentes, gerir os riscos do programa, executar auditorias com checklist, registar constatações e acompanhar as ações sem demora injustificada.</t>
  </si>
  <si>
    <t>9.2</t>
  </si>
  <si>
    <t>SGQ-17_Revisao_pela_Gestao.xlsx</t>
  </si>
  <si>
    <t>RG-SGQ-17</t>
  </si>
  <si>
    <t>Revisão pela gestão RPG-2026-01: entradas 9.3.2 a–h com dados, decisões 9.3.3, ações anteriores e ata</t>
  </si>
  <si>
    <t>Rever o SGQ a intervalos planeados para assegurar a sua adequação, suficiência, eficácia e alinhamento com a orientação estratégica; registar as entradas a)–h) e as decisões.</t>
  </si>
  <si>
    <t>9.3; 5.1.1 l)</t>
  </si>
  <si>
    <t>SGQ-18_Nao_Conformidades_CAPA.xlsx</t>
  </si>
  <si>
    <t>RG-SGQ-18</t>
  </si>
  <si>
    <t>622 CAPA do dataset (estado à data de referência), CAPA de sistema 10.2.1 a–f, 8D das reclamações críticas, 5 Porquês</t>
  </si>
  <si>
    <t>Reagir às não conformidades, avaliar a necessidade de eliminar as causas, determinar causas e NC semelhantes, implementar ações, rever a eficácia, atualizar riscos e alterar o SGQ quando necessário.</t>
  </si>
  <si>
    <t>10.2</t>
  </si>
  <si>
    <t>SGQ-19_Melhoria_Continua_Custo_Qualidade.xlsx</t>
  </si>
  <si>
    <t>RG-SGQ-19</t>
  </si>
  <si>
    <t>Carteira de projetos (DMAIC IM-002, PFMEA, SMED, TOC, visão), custo da qualidade PAF mensal, sugestões</t>
  </si>
  <si>
    <t>Determinar e tratar oportunidades de melhoria a partir dos dados e da revisão pela gestão; acompanhar projetos (DMAIC, Lean, TOC, Kaizen, inovação) e o custo da qualidade (PAF).</t>
  </si>
  <si>
    <t>10.1; 9.1.3</t>
  </si>
  <si>
    <t>HARMONIZAÇÃO SGQ ↔ SGA — RESUMO POR TABELA</t>
  </si>
  <si>
    <t>Padrão do SGI = registos do SGA · Consolidar: juntar as tabelas homónimas (pd.concat / Power BI Append) e renomear só as colunas 'Equivalentes' · Gerado automaticamente</t>
  </si>
  <si>
    <t>ID_Par</t>
  </si>
  <si>
    <t>Assunto</t>
  </si>
  <si>
    <t>Registo_SGQ</t>
  </si>
  <si>
    <t>Tabela_SGQ</t>
  </si>
  <si>
    <t>Registo_SGA</t>
  </si>
  <si>
    <t>Tabela_SGA</t>
  </si>
  <si>
    <t>Mesmo_Nome_Tabela</t>
  </si>
  <si>
    <t>N_Colunas_SGQ</t>
  </si>
  <si>
    <t>N_Colunas_SGA</t>
  </si>
  <si>
    <t>N_Iguais</t>
  </si>
  <si>
    <t>N_Equivalentes</t>
  </si>
  <si>
    <t>N_So_SGQ</t>
  </si>
  <si>
    <t>N_So_SGA</t>
  </si>
  <si>
    <t>Pct_Comum_SGA</t>
  </si>
  <si>
    <t>H-01</t>
  </si>
  <si>
    <t>Contexto — PESTEL</t>
  </si>
  <si>
    <t>tbl_pestel</t>
  </si>
  <si>
    <t>RG-SGA-01</t>
  </si>
  <si>
    <t>H-02</t>
  </si>
  <si>
    <t>Contexto — SWOT</t>
  </si>
  <si>
    <t>tbl_swot</t>
  </si>
  <si>
    <t>H-03</t>
  </si>
  <si>
    <t>Contexto — Matriz TOWS</t>
  </si>
  <si>
    <t>tbl_tows</t>
  </si>
  <si>
    <t>H-04</t>
  </si>
  <si>
    <t>Contexto — 5 forças de Porter</t>
  </si>
  <si>
    <t>tbl_cinco_forcas</t>
  </si>
  <si>
    <t>H-05</t>
  </si>
  <si>
    <t>Partes interessadas</t>
  </si>
  <si>
    <t>tbl_partes_interessadas</t>
  </si>
  <si>
    <t>H-06</t>
  </si>
  <si>
    <t>Catálogo de KPI</t>
  </si>
  <si>
    <t>tbl_kpi</t>
  </si>
  <si>
    <t>RG-SGA-05</t>
  </si>
  <si>
    <t>H-07</t>
  </si>
  <si>
    <t>Objetivos</t>
  </si>
  <si>
    <t>tbl_objetivos</t>
  </si>
  <si>
    <t>H-08</t>
  </si>
  <si>
    <t>Plano de monitorização e medição</t>
  </si>
  <si>
    <t>tbl_plano_monitorizacao</t>
  </si>
  <si>
    <t>RG-SGA-13</t>
  </si>
  <si>
    <t>H-09</t>
  </si>
  <si>
    <t>Planeamento de alterações</t>
  </si>
  <si>
    <t>tbl_alteracoes</t>
  </si>
  <si>
    <t>RG-SGA-18</t>
  </si>
  <si>
    <t>H-10</t>
  </si>
  <si>
    <t>Formação — catálogo/plano</t>
  </si>
  <si>
    <t>tbl_formacoes</t>
  </si>
  <si>
    <t>RG-SGA-08</t>
  </si>
  <si>
    <t>H-11</t>
  </si>
  <si>
    <t>Formação — registos individuais</t>
  </si>
  <si>
    <t>tbl_registo_formacao</t>
  </si>
  <si>
    <t>H-12</t>
  </si>
  <si>
    <t>Matriz RACI</t>
  </si>
  <si>
    <t>tbl_raci</t>
  </si>
  <si>
    <t>H-13</t>
  </si>
  <si>
    <t>Lista mestra de documentos</t>
  </si>
  <si>
    <t>tbl_lista_mestra</t>
  </si>
  <si>
    <t>RG-SGA-09</t>
  </si>
  <si>
    <t>H-14</t>
  </si>
  <si>
    <t>Matriz de comunicação</t>
  </si>
  <si>
    <t>tbl_comunicacao</t>
  </si>
  <si>
    <t>H-15</t>
  </si>
  <si>
    <t>Equipamentos de medição</t>
  </si>
  <si>
    <t>tbl_equipamentos</t>
  </si>
  <si>
    <t>H-16</t>
  </si>
  <si>
    <t>Fornecedores</t>
  </si>
  <si>
    <t>tbl_fornecedores</t>
  </si>
  <si>
    <t>RG-SGA-11</t>
  </si>
  <si>
    <t>H-17</t>
  </si>
  <si>
    <t>Não conformidades (produto)</t>
  </si>
  <si>
    <t>tbl_snc</t>
  </si>
  <si>
    <t>RG-SGA-07</t>
  </si>
  <si>
    <t>tbl_nc</t>
  </si>
  <si>
    <t>H-18</t>
  </si>
  <si>
    <t>Não conformidades de sistema / ação corretiva</t>
  </si>
  <si>
    <t>tbl_capa_sgq</t>
  </si>
  <si>
    <t>H-19</t>
  </si>
  <si>
    <t>5 Porquês</t>
  </si>
  <si>
    <t>tbl_5porques</t>
  </si>
  <si>
    <t>H-20</t>
  </si>
  <si>
    <t>Programa de auditorias</t>
  </si>
  <si>
    <t>tbl_programa_auditorias</t>
  </si>
  <si>
    <t>RG-SGA-14</t>
  </si>
  <si>
    <t>H-21</t>
  </si>
  <si>
    <t>Constatações de auditoria</t>
  </si>
  <si>
    <t>tbl_constatacoes</t>
  </si>
  <si>
    <t>H-22</t>
  </si>
  <si>
    <t>Revisão pela gestão — entradas / agenda</t>
  </si>
  <si>
    <t>tbl_entradas_rpg</t>
  </si>
  <si>
    <t>RG-SGA-15</t>
  </si>
  <si>
    <t>tbl_agenda</t>
  </si>
  <si>
    <t>H-23</t>
  </si>
  <si>
    <t>Revisão pela gestão — decisões</t>
  </si>
  <si>
    <t>tbl_decisoes</t>
  </si>
  <si>
    <t>H-24</t>
  </si>
  <si>
    <t>Melhoria — sugestões / kaizen</t>
  </si>
  <si>
    <t>tbl_sugestoes</t>
  </si>
  <si>
    <t>RG-SGA-16</t>
  </si>
  <si>
    <t>tbl_kaizen</t>
  </si>
  <si>
    <t>H-25</t>
  </si>
  <si>
    <t>Índice — ficheiros</t>
  </si>
  <si>
    <t>tbl_ficheiros</t>
  </si>
  <si>
    <t>RG-SGA-00</t>
  </si>
  <si>
    <t>H-26</t>
  </si>
  <si>
    <t>Índice — matriz de requisitos ISO</t>
  </si>
  <si>
    <t>tbl_matriz_iso</t>
  </si>
  <si>
    <t>H-27</t>
  </si>
  <si>
    <t>Índice — fonte única</t>
  </si>
  <si>
    <t>tbl_fonte_unica</t>
  </si>
  <si>
    <t>H-28</t>
  </si>
  <si>
    <t>Dimensão processo</t>
  </si>
  <si>
    <t>tbl_dim_processo</t>
  </si>
  <si>
    <t>H-29</t>
  </si>
  <si>
    <t>Dimensão função</t>
  </si>
  <si>
    <t>tbl_dim_funcao</t>
  </si>
  <si>
    <t>MATRIZ DE HARMONIZAÇÃO SGQ ↔ SGA — COLUNA A COLUNA</t>
  </si>
  <si>
    <t>Nome_Consolidado = nome da coluna no template único da gestão de topo · 'Só SGQ' / 'Só SGA' = coluna específica da norma (fica vazia no outro sistema)</t>
  </si>
  <si>
    <t>Coluna_SGQ</t>
  </si>
  <si>
    <t>Posicao_SGQ</t>
  </si>
  <si>
    <t>Coluna_SGA</t>
  </si>
  <si>
    <t>Posicao_SGA</t>
  </si>
  <si>
    <t>Correspondencia</t>
  </si>
  <si>
    <t>Nome_Consolidado</t>
  </si>
  <si>
    <t>ID_PESTEL</t>
  </si>
  <si>
    <t>Igual</t>
  </si>
  <si>
    <t>Dimensao</t>
  </si>
  <si>
    <t>Fator_Externo</t>
  </si>
  <si>
    <t>Descricao</t>
  </si>
  <si>
    <t>Condicao_Ambiental_ISO2026</t>
  </si>
  <si>
    <t>Direcao_Efeito</t>
  </si>
  <si>
    <t>Efeito_no_SGQ</t>
  </si>
  <si>
    <t>Efeito_no_SGA</t>
  </si>
  <si>
    <t>Equivalente (renomear na consolidação)</t>
  </si>
  <si>
    <t>Classificacao</t>
  </si>
  <si>
    <t>Tendencia</t>
  </si>
  <si>
    <t>Horizonte</t>
  </si>
  <si>
    <t>Probabilidade_1a3</t>
  </si>
  <si>
    <t>Impacto_1a3</t>
  </si>
  <si>
    <t>Score</t>
  </si>
  <si>
    <t>Prioridade</t>
  </si>
  <si>
    <t>Fonte_Monitorizacao</t>
  </si>
  <si>
    <t>Resposta_Estrategica</t>
  </si>
  <si>
    <t>ID_SWOT</t>
  </si>
  <si>
    <t>ID_RO</t>
  </si>
  <si>
    <t>Parte_Interessada</t>
  </si>
  <si>
    <t>Tema</t>
  </si>
  <si>
    <t>ESG</t>
  </si>
  <si>
    <t>Dono</t>
  </si>
  <si>
    <t>Data_Avaliacao</t>
  </si>
  <si>
    <t>Proxima_Revisao</t>
  </si>
  <si>
    <t>Ambito</t>
  </si>
  <si>
    <t>IDs_Risco_SGI</t>
  </si>
  <si>
    <t>ID_Contexto_SGI</t>
  </si>
  <si>
    <t>Só SGQ</t>
  </si>
  <si>
    <t>Quadrante</t>
  </si>
  <si>
    <t>Natureza</t>
  </si>
  <si>
    <t>Evidencia</t>
  </si>
  <si>
    <t>Implicacao_SGQ</t>
  </si>
  <si>
    <t>Implicacao_SGA</t>
  </si>
  <si>
    <t>Processo</t>
  </si>
  <si>
    <t>Converte_em</t>
  </si>
  <si>
    <t>Prioritario</t>
  </si>
  <si>
    <t>Selecionado_Atv_3_1</t>
  </si>
  <si>
    <t>Estrategia</t>
  </si>
  <si>
    <t>Indicador</t>
  </si>
  <si>
    <t>Chave_Vista</t>
  </si>
  <si>
    <t>ID_TOWS</t>
  </si>
  <si>
    <t>Cruzamento</t>
  </si>
  <si>
    <t>IDs_Origem</t>
  </si>
  <si>
    <t>ID_Objetivo</t>
  </si>
  <si>
    <t>Prazo</t>
  </si>
  <si>
    <t>KPI</t>
  </si>
  <si>
    <t>ID_Forca</t>
  </si>
  <si>
    <t>Forca_Competitiva</t>
  </si>
  <si>
    <t>Cenario_Evidencias</t>
  </si>
  <si>
    <t>Impacto_Organizacao</t>
  </si>
  <si>
    <t>Como_Monitorizar</t>
  </si>
  <si>
    <t>ID_PI</t>
  </si>
  <si>
    <t>Tipo</t>
  </si>
  <si>
    <t>Categoria</t>
  </si>
  <si>
    <t>Necessidades_Expectativas</t>
  </si>
  <si>
    <t>Condicao_Ambiental</t>
  </si>
  <si>
    <t>Relevante</t>
  </si>
  <si>
    <t>Tratado_pelo_SGQ</t>
  </si>
  <si>
    <t>Torna_se_Obrigacao</t>
  </si>
  <si>
    <t>Tipo_Obrigacao</t>
  </si>
  <si>
    <t>IDs_Legal</t>
  </si>
  <si>
    <t>Frequencia</t>
  </si>
  <si>
    <t>Influencia</t>
  </si>
  <si>
    <t>Interesse</t>
  </si>
  <si>
    <t>Data_Revisao</t>
  </si>
  <si>
    <t>Percepcao_Risco</t>
  </si>
  <si>
    <t>Fonte_Requisito</t>
  </si>
  <si>
    <t>Justificacao_Tratamento</t>
  </si>
  <si>
    <t>Registo_Evidencia</t>
  </si>
  <si>
    <t>ID_PI_SGI</t>
  </si>
  <si>
    <t>ID_KPI</t>
  </si>
  <si>
    <t>Nome</t>
  </si>
  <si>
    <t>Formula_Calculo</t>
  </si>
  <si>
    <t>Unidade</t>
  </si>
  <si>
    <t>Polaridade</t>
  </si>
  <si>
    <t>Fonte_Dados</t>
  </si>
  <si>
    <t>Responsavel</t>
  </si>
  <si>
    <t>Meta</t>
  </si>
  <si>
    <t>Baseline</t>
  </si>
  <si>
    <t>ID_OBJ</t>
  </si>
  <si>
    <t>ID_MED</t>
  </si>
  <si>
    <t>Coluna_Mensal</t>
  </si>
  <si>
    <t>Tipo_ISO14031</t>
  </si>
  <si>
    <t>Só SGA</t>
  </si>
  <si>
    <t>Compromisso_Politica</t>
  </si>
  <si>
    <t>ID_Politica</t>
  </si>
  <si>
    <t>Declaracao_Objetivo</t>
  </si>
  <si>
    <t>Indicador_KPI</t>
  </si>
  <si>
    <t>Meta_Numerica</t>
  </si>
  <si>
    <t>O_que_Fazer</t>
  </si>
  <si>
    <t>Acoes_PAM</t>
  </si>
  <si>
    <t>Recursos</t>
  </si>
  <si>
    <t>Valor_Atual</t>
  </si>
  <si>
    <t>Progresso</t>
  </si>
  <si>
    <t>Dias_ate_Prazo</t>
  </si>
  <si>
    <t>S_Especifico</t>
  </si>
  <si>
    <t>M_Mensuravel</t>
  </si>
  <si>
    <t>A_Atingivel</t>
  </si>
  <si>
    <t>R_Relevante</t>
  </si>
  <si>
    <t>T_Temporal</t>
  </si>
  <si>
    <t>Validacao_SMART</t>
  </si>
  <si>
    <t>Quando_Acompanhar</t>
  </si>
  <si>
    <t>Como_Avaliar</t>
  </si>
  <si>
    <t>Funcoes_Niveis</t>
  </si>
  <si>
    <t>Comunicado</t>
  </si>
  <si>
    <t>Origem_Tipo</t>
  </si>
  <si>
    <t>Origem_IDs</t>
  </si>
  <si>
    <t>Origem_Descricao</t>
  </si>
  <si>
    <t>Meta_Tipo</t>
  </si>
  <si>
    <t>Meta_Valor</t>
  </si>
  <si>
    <t>Recursos_Humanos</t>
  </si>
  <si>
    <t>Recursos_Materiais</t>
  </si>
  <si>
    <t>Recursos_Financeiros_EUR</t>
  </si>
  <si>
    <t>Data_Aprovacao</t>
  </si>
  <si>
    <t>O_Que_Medir</t>
  </si>
  <si>
    <t>Como_Medir</t>
  </si>
  <si>
    <t>Quando_Medir</t>
  </si>
  <si>
    <t>Quem_Mede</t>
  </si>
  <si>
    <t>Quando_Analisar</t>
  </si>
  <si>
    <t>Equipamentos</t>
  </si>
  <si>
    <t>Criterio_Meta</t>
  </si>
  <si>
    <t>IDs_Aspetos</t>
  </si>
  <si>
    <t>Estado_Equipamentos</t>
  </si>
  <si>
    <t>ID_Alteracao</t>
  </si>
  <si>
    <t>Data_Pedido</t>
  </si>
  <si>
    <t>Origem</t>
  </si>
  <si>
    <t>a_Proposito_Consequencias</t>
  </si>
  <si>
    <t>b_Integridade_SGQ</t>
  </si>
  <si>
    <t>c_Recursos_Informacao</t>
  </si>
  <si>
    <t>d_Responsabilidades</t>
  </si>
  <si>
    <t>e_Comunicacao</t>
  </si>
  <si>
    <t>f_Monitorizacao_Eficacia</t>
  </si>
  <si>
    <t>g_Revisao_Resultados</t>
  </si>
  <si>
    <t>Completude_Checklist</t>
  </si>
  <si>
    <t>Requer_Aprovacao_Cliente</t>
  </si>
  <si>
    <t>Data_Aprovacao_Cliente</t>
  </si>
  <si>
    <t>Validacao_Requerida</t>
  </si>
  <si>
    <t>Documentos_Afetados</t>
  </si>
  <si>
    <t>Aprovador</t>
  </si>
  <si>
    <t>Data_Implementacao</t>
  </si>
  <si>
    <t>Verificacao_Pos_Implementacao</t>
  </si>
  <si>
    <t>Data_Verificacao</t>
  </si>
  <si>
    <t>Dias_Pedido_Aprovacao</t>
  </si>
  <si>
    <t>Alerta</t>
  </si>
  <si>
    <t>Ligacao_SGA</t>
  </si>
  <si>
    <t>Motivo</t>
  </si>
  <si>
    <t>Requerente</t>
  </si>
  <si>
    <t>Aspetos_Ambientais</t>
  </si>
  <si>
    <t>Obrigacoes_Conformidade</t>
  </si>
  <si>
    <t>Riscos_Oportunidades</t>
  </si>
  <si>
    <t>Licenciamento_Comunicacao_Autoridade</t>
  </si>
  <si>
    <t>Competencias_Formacao</t>
  </si>
  <si>
    <t>Documentos_a_Atualizar</t>
  </si>
  <si>
    <t>Comunicacao_Partes_Interessadas</t>
  </si>
  <si>
    <t>Emergencia_e_Controlo_Operacional</t>
  </si>
  <si>
    <t>Fornecedores_Processos_Externos</t>
  </si>
  <si>
    <t>Recursos_e_Prazos</t>
  </si>
  <si>
    <t>N_Sim</t>
  </si>
  <si>
    <t>N_Nao</t>
  </si>
  <si>
    <t>Impacto_Ambiental_Previsto</t>
  </si>
  <si>
    <t>ID_Legal</t>
  </si>
  <si>
    <t>Recursos_EUR</t>
  </si>
  <si>
    <t>Licao_Aprendida</t>
  </si>
  <si>
    <t>ID_Formacao</t>
  </si>
  <si>
    <t>Formacao</t>
  </si>
  <si>
    <t>Duracao_h</t>
  </si>
  <si>
    <t>Publico</t>
  </si>
  <si>
    <t>ID_Competencia</t>
  </si>
  <si>
    <t>Data</t>
  </si>
  <si>
    <t>N_Registos</t>
  </si>
  <si>
    <t>Eficacia_Pct</t>
  </si>
  <si>
    <t>Entidade</t>
  </si>
  <si>
    <t>Obrigatoria_Legal</t>
  </si>
  <si>
    <t>Reciclagem_Meses</t>
  </si>
  <si>
    <t>ID_Registo</t>
  </si>
  <si>
    <t>Colaborador</t>
  </si>
  <si>
    <t>Data_Realizacao</t>
  </si>
  <si>
    <t>N1_Reacao</t>
  </si>
  <si>
    <t>N2_Aprendizagem_Pct</t>
  </si>
  <si>
    <t>N3_Comportamento_Posto</t>
  </si>
  <si>
    <t>N4_Resultado</t>
  </si>
  <si>
    <t>Eficaz</t>
  </si>
  <si>
    <t>Acao_Se_Nao_Eficaz</t>
  </si>
  <si>
    <t>Resultado</t>
  </si>
  <si>
    <t>Nota_Teste</t>
  </si>
  <si>
    <t>Nivel_Avaliado</t>
  </si>
  <si>
    <t>Validade</t>
  </si>
  <si>
    <t>Valida</t>
  </si>
  <si>
    <t>ID_Processo</t>
  </si>
  <si>
    <t>Processo_SGQ</t>
  </si>
  <si>
    <t>Processo_SGA</t>
  </si>
  <si>
    <t>Clausula</t>
  </si>
  <si>
    <t>Diretor_Geral</t>
  </si>
  <si>
    <t>Diretor_Industrial</t>
  </si>
  <si>
    <t>Gerente_Producao</t>
  </si>
  <si>
    <t>Gerente_Manutencao</t>
  </si>
  <si>
    <t>Gerente_Qualidade</t>
  </si>
  <si>
    <t>Resp_Armazem_Logistica</t>
  </si>
  <si>
    <t>Resp_Compras</t>
  </si>
  <si>
    <t>Resp_RD</t>
  </si>
  <si>
    <t>Resp_RH</t>
  </si>
  <si>
    <t>Chefes_Turno</t>
  </si>
  <si>
    <t>Operadores</t>
  </si>
  <si>
    <t>Diretor_Comercial</t>
  </si>
  <si>
    <t>Gestor_Cliente_KAM</t>
  </si>
  <si>
    <t>Planeador_Producao</t>
  </si>
  <si>
    <t>Gerente_Dados_TI</t>
  </si>
  <si>
    <t>Engenheiro_Processo</t>
  </si>
  <si>
    <t>Inspetores_Qualidade</t>
  </si>
  <si>
    <t>Tecnico_Metrologia</t>
  </si>
  <si>
    <t>Tecnico_Manutencao</t>
  </si>
  <si>
    <t>Auditor_Interno_SGQ</t>
  </si>
  <si>
    <t>Gestor_Documental</t>
  </si>
  <si>
    <t>N_Aprovadores</t>
  </si>
  <si>
    <t>Controlo_RACI</t>
  </si>
  <si>
    <t>Gestor_SGA</t>
  </si>
  <si>
    <t>Diretor_Financeiro</t>
  </si>
  <si>
    <t>Titulo</t>
  </si>
  <si>
    <t>Versao</t>
  </si>
  <si>
    <t>Localizacao</t>
  </si>
  <si>
    <t>Ponto_de_Uso</t>
  </si>
  <si>
    <t>Elaborado</t>
  </si>
  <si>
    <t>Periodicidade_Meses</t>
  </si>
  <si>
    <t>Exigido_ISO</t>
  </si>
  <si>
    <t>Substitui</t>
  </si>
  <si>
    <t>ID_Comunicacao</t>
  </si>
  <si>
    <t>O_Que_Mensagem</t>
  </si>
  <si>
    <t>A_Quem_Publico</t>
  </si>
  <si>
    <t>Quando_Momento</t>
  </si>
  <si>
    <t>Como_Canal</t>
  </si>
  <si>
    <t>Cenario</t>
  </si>
  <si>
    <t>Porque_Objetivo</t>
  </si>
  <si>
    <t>Participacao_Feedback</t>
  </si>
  <si>
    <t>Data_Prevista</t>
  </si>
  <si>
    <t>Data_Realizada</t>
  </si>
  <si>
    <t>Alcance_Previsto</t>
  </si>
  <si>
    <t>Alcance_Real</t>
  </si>
  <si>
    <t>Taxa_Alcance</t>
  </si>
  <si>
    <t>Selecionado_Atv_4_2</t>
  </si>
  <si>
    <t>ID_Equipamento</t>
  </si>
  <si>
    <t>Codigo_Interno</t>
  </si>
  <si>
    <t>Equipamento</t>
  </si>
  <si>
    <t>Tipo_Controlo</t>
  </si>
  <si>
    <t>Local</t>
  </si>
  <si>
    <t>Caracteristica</t>
  </si>
  <si>
    <t>Tolerancia_Mais_Menos</t>
  </si>
  <si>
    <t>Resolucao</t>
  </si>
  <si>
    <t>EMA</t>
  </si>
  <si>
    <t>Ultima_Calibracao</t>
  </si>
  <si>
    <t>Estado_Uso</t>
  </si>
  <si>
    <t>Proxima_Calibracao</t>
  </si>
  <si>
    <t>Ultimo_Resultado</t>
  </si>
  <si>
    <t>Rel_Tolerancia_EMA</t>
  </si>
  <si>
    <t>IDs_MED</t>
  </si>
  <si>
    <t>ID_Fornecedor</t>
  </si>
  <si>
    <t>Pais</t>
  </si>
  <si>
    <t>Materiais</t>
  </si>
  <si>
    <t>Controlo_841</t>
  </si>
  <si>
    <t>Extensao_Controlo</t>
  </si>
  <si>
    <t>Certificacao</t>
  </si>
  <si>
    <t>Tipo_Contrato</t>
  </si>
  <si>
    <t>Anos_Fornecedor</t>
  </si>
  <si>
    <t>Estado_Aprovacao</t>
  </si>
  <si>
    <t>Classe</t>
  </si>
  <si>
    <t>Decisao</t>
  </si>
  <si>
    <t>Coerencia</t>
  </si>
  <si>
    <t>Criticidade</t>
  </si>
  <si>
    <t>Distancia_km</t>
  </si>
  <si>
    <t>Modo_Transporte</t>
  </si>
  <si>
    <t>Volume_t_ano</t>
  </si>
  <si>
    <t>tCO2e_Transporte_Est</t>
  </si>
  <si>
    <t>Pontuacao</t>
  </si>
  <si>
    <t>Criterio_Mais_Fraco</t>
  </si>
  <si>
    <t>Proxima_Avaliacao</t>
  </si>
  <si>
    <t>ID_NC</t>
  </si>
  <si>
    <t>Data_Detecao</t>
  </si>
  <si>
    <t>Mes</t>
  </si>
  <si>
    <t>Severidade</t>
  </si>
  <si>
    <t>Registo_Relacionado</t>
  </si>
  <si>
    <t>Produto_Material</t>
  </si>
  <si>
    <t>Quantidade</t>
  </si>
  <si>
    <t>Tratamento</t>
  </si>
  <si>
    <t>Acao_Tomada</t>
  </si>
  <si>
    <t>Correcao_C1</t>
  </si>
  <si>
    <t>Autoridade</t>
  </si>
  <si>
    <t>ID_Concessao</t>
  </si>
  <si>
    <t>Reverificado</t>
  </si>
  <si>
    <t>Clientes_Lote</t>
  </si>
  <si>
    <t>ID_CAPA</t>
  </si>
  <si>
    <t>ID_PAM_C2</t>
  </si>
  <si>
    <t>Controlo_Qualidade</t>
  </si>
  <si>
    <t>ID_Origem</t>
  </si>
  <si>
    <t>Tipo_Registo</t>
  </si>
  <si>
    <t>Requisito_Violado</t>
  </si>
  <si>
    <t>Evidencia_Objetiva</t>
  </si>
  <si>
    <t>Impacte_Potencial</t>
  </si>
  <si>
    <t>Causa_Raiz</t>
  </si>
  <si>
    <t>Categoria_6M</t>
  </si>
  <si>
    <t>Metodo_Analise</t>
  </si>
  <si>
    <t>N_Porques</t>
  </si>
  <si>
    <t>ID_PAM_C1</t>
  </si>
  <si>
    <t>Data_Fecho</t>
  </si>
  <si>
    <t>Dias_Aberta</t>
  </si>
  <si>
    <t>No_Prazo</t>
  </si>
  <si>
    <t>Eficacia</t>
  </si>
  <si>
    <t>Data_Verif_Eficacia</t>
  </si>
  <si>
    <t>Recorrente</t>
  </si>
  <si>
    <t>Custo_EUR</t>
  </si>
  <si>
    <t>Reportado_Por</t>
  </si>
  <si>
    <t>a2_Consequencias</t>
  </si>
  <si>
    <t>b3_NC_Semelhantes</t>
  </si>
  <si>
    <t>c_Acao_Corretiva</t>
  </si>
  <si>
    <t>d_Metodo_Eficacia</t>
  </si>
  <si>
    <t>e_Riscos_Atualizados</t>
  </si>
  <si>
    <t>f_Alteracao_SGQ</t>
  </si>
  <si>
    <t>Nivel</t>
  </si>
  <si>
    <t>Pergunta_Porque</t>
  </si>
  <si>
    <t>Resposta</t>
  </si>
  <si>
    <t>E_Causa_Raiz</t>
  </si>
  <si>
    <t>Chave</t>
  </si>
  <si>
    <t>ID_Auditoria</t>
  </si>
  <si>
    <t>Objetivo</t>
  </si>
  <si>
    <t>Criterios</t>
  </si>
  <si>
    <t>Metodo</t>
  </si>
  <si>
    <t>Equipa_Auditora</t>
  </si>
  <si>
    <t>Data_Planeada</t>
  </si>
  <si>
    <t>Data_Inicio</t>
  </si>
  <si>
    <t>Data_Real</t>
  </si>
  <si>
    <t>Data_Fim</t>
  </si>
  <si>
    <t>N_Constatacoes</t>
  </si>
  <si>
    <t>N_NC</t>
  </si>
  <si>
    <t>Relatorio_Emitido</t>
  </si>
  <si>
    <t>Independencia</t>
  </si>
  <si>
    <t>N_Questoes</t>
  </si>
  <si>
    <t>N_OM</t>
  </si>
  <si>
    <t>ID_Constatacao</t>
  </si>
  <si>
    <t>Processo_Auditado</t>
  </si>
  <si>
    <t>Constatacao</t>
  </si>
  <si>
    <t>Requisito_Violado_ou_Melhoravel</t>
  </si>
  <si>
    <t>ID_PAM</t>
  </si>
  <si>
    <t>Area</t>
  </si>
  <si>
    <t>Questao_Auditoria</t>
  </si>
  <si>
    <t>Evidencia_Esperada</t>
  </si>
  <si>
    <t>Gravidade</t>
  </si>
  <si>
    <t>Justificacao</t>
  </si>
  <si>
    <t>Auditor</t>
  </si>
  <si>
    <t>Entrada_9_3_2</t>
  </si>
  <si>
    <t>Topico</t>
  </si>
  <si>
    <t>Resumo_Dados</t>
  </si>
  <si>
    <t>Apresentador</t>
  </si>
  <si>
    <t>ID_Reuniao</t>
  </si>
  <si>
    <t>Ponto</t>
  </si>
  <si>
    <t>Duracao_min</t>
  </si>
  <si>
    <t>Hora_Inicio</t>
  </si>
  <si>
    <t>N_Decisoes</t>
  </si>
  <si>
    <t>ID_Decisao</t>
  </si>
  <si>
    <t>Tipo_Saida_9_3_3</t>
  </si>
  <si>
    <t>Decisao_Tomada</t>
  </si>
  <si>
    <t>Ligacao</t>
  </si>
  <si>
    <t>IDs_PAM</t>
  </si>
  <si>
    <t>Ponto_Agenda</t>
  </si>
  <si>
    <t>Problema_Analise</t>
  </si>
  <si>
    <t>Recursos_Pessoas</t>
  </si>
  <si>
    <t>ID_Sugestao</t>
  </si>
  <si>
    <t>ID_KZ</t>
  </si>
  <si>
    <t>Proponente</t>
  </si>
  <si>
    <t>Sugestao</t>
  </si>
  <si>
    <t>Dias_Resposta</t>
  </si>
  <si>
    <t>Beneficio_Ambiental</t>
  </si>
  <si>
    <t>Beneficio_Economico</t>
  </si>
  <si>
    <t>Unidade_Poupanca</t>
  </si>
  <si>
    <t>Driver_Mensal</t>
  </si>
  <si>
    <t>Fator_Poupanca</t>
  </si>
  <si>
    <t>Custo_Unitario_EUR</t>
  </si>
  <si>
    <t>Custo_Implementacao_EUR</t>
  </si>
  <si>
    <t>Selecionado_Atv_6_2</t>
  </si>
  <si>
    <t>Pressupostos</t>
  </si>
  <si>
    <t>Poupanca_Anual_Qtd</t>
  </si>
  <si>
    <t>Poupanca_Anual_EUR</t>
  </si>
  <si>
    <t>Payback_Meses</t>
  </si>
  <si>
    <t>tCO2e_Evitadas_Ano</t>
  </si>
  <si>
    <t>Custo_Zero</t>
  </si>
  <si>
    <t>ID_Requisito</t>
  </si>
  <si>
    <t>Grupo</t>
  </si>
  <si>
    <t>Requisito</t>
  </si>
  <si>
    <t>Novo_ou_Alterado_2026</t>
  </si>
  <si>
    <t>Informacao_Documentada</t>
  </si>
  <si>
    <t>Documento</t>
  </si>
  <si>
    <t>Evidencia_Registo_Tabelas</t>
  </si>
  <si>
    <t>Observacao</t>
  </si>
  <si>
    <t>Acao</t>
  </si>
  <si>
    <t>Pontos</t>
  </si>
  <si>
    <t>Registo_Dono</t>
  </si>
  <si>
    <t>Tabelas_Donas</t>
  </si>
  <si>
    <t>So_Referenciado_Em</t>
  </si>
  <si>
    <t>Regra_Nota</t>
  </si>
  <si>
    <t>Maquinas_Dataset</t>
  </si>
  <si>
    <t>Fase_Ciclo_Vida</t>
  </si>
  <si>
    <t>ID_Funcao</t>
  </si>
  <si>
    <t>Funcao</t>
  </si>
  <si>
    <t>Folha</t>
  </si>
  <si>
    <t>Tabela</t>
  </si>
  <si>
    <t>Linha_Cabecalho</t>
  </si>
  <si>
    <t>N_Linhas</t>
  </si>
  <si>
    <t>N_Colunas</t>
  </si>
  <si>
    <t>Chave_Primaria</t>
  </si>
  <si>
    <t>Leitura_pandas</t>
  </si>
  <si>
    <t>PESTEL</t>
  </si>
  <si>
    <t>pd.read_excel("SGQ-01_Contexto_SWOT_PESTEL.xlsx", sheet_name="PESTEL", header=3)</t>
  </si>
  <si>
    <t>SWOT</t>
  </si>
  <si>
    <t>pd.read_excel("SGQ-01_Contexto_SWOT_PESTEL.xlsx", sheet_name="SWOT", header=3)</t>
  </si>
  <si>
    <t>Matriz_TOWS</t>
  </si>
  <si>
    <t>pd.read_excel("SGQ-01_Contexto_SWOT_PESTEL.xlsx", sheet_name="Matriz_TOWS", header=3)</t>
  </si>
  <si>
    <t>Cinco_Forcas</t>
  </si>
  <si>
    <t>pd.read_excel("SGQ-01_Contexto_SWOT_PESTEL.xlsx", sheet_name="Cinco_Forcas", header=3)</t>
  </si>
  <si>
    <t>Partes_Interessadas</t>
  </si>
  <si>
    <t>pd.read_excel("SGQ-01_Contexto_SWOT_PESTEL.xlsx", sheet_name="Partes_Interessadas", header=3)</t>
  </si>
  <si>
    <t>Alteracoes_Climaticas</t>
  </si>
  <si>
    <t>tbl_clima</t>
  </si>
  <si>
    <t>ID_Clima</t>
  </si>
  <si>
    <t>pd.read_excel("SGQ-01_Contexto_SWOT_PESTEL.xlsx", sheet_name="Alteracoes_Climaticas", header=3)</t>
  </si>
  <si>
    <t>Ambito_SGQ</t>
  </si>
  <si>
    <t>tbl_ambito</t>
  </si>
  <si>
    <t>Elemento</t>
  </si>
  <si>
    <t>pd.read_excel("SGQ-01_Contexto_SWOT_PESTEL.xlsx", sheet_name="Ambito_SGQ", header=3)</t>
  </si>
  <si>
    <t>Aplicabilidade</t>
  </si>
  <si>
    <t>tbl_aplicabilidade</t>
  </si>
  <si>
    <t>pd.read_excel("SGQ-01_Contexto_SWOT_PESTEL.xlsx", sheet_name="Aplicabilidade", header=0)</t>
  </si>
  <si>
    <t>tbl_dicionario</t>
  </si>
  <si>
    <t>pd.read_excel("SGQ-01_Contexto_SWOT_PESTEL.xlsx", sheet_name="Dicionario_Dados", header=0)</t>
  </si>
  <si>
    <t>Mapa_Processos</t>
  </si>
  <si>
    <t>tbl_processos</t>
  </si>
  <si>
    <t>pd.read_excel("SGQ-02_Processos_Infraestrutura_Ambiente.xlsx", sheet_name="Mapa_Processos", header=3)</t>
  </si>
  <si>
    <t>Interacoes</t>
  </si>
  <si>
    <t>tbl_interacoes</t>
  </si>
  <si>
    <t>ID_Interacao</t>
  </si>
  <si>
    <t>pd.read_excel("SGQ-02_Processos_Infraestrutura_Ambiente.xlsx", sheet_name="Interacoes", header=0)</t>
  </si>
  <si>
    <t>Infraestrutura_Maquinas</t>
  </si>
  <si>
    <t>tbl_maquinas</t>
  </si>
  <si>
    <t>ID_Maquina</t>
  </si>
  <si>
    <t>pd.read_excel("SGQ-02_Processos_Infraestrutura_Ambiente.xlsx", sheet_name="Infraestrutura_Maquinas", header=3)</t>
  </si>
  <si>
    <t>Ambiente_Operacao</t>
  </si>
  <si>
    <t>tbl_ambiente</t>
  </si>
  <si>
    <t>ID_Fator</t>
  </si>
  <si>
    <t>pd.read_excel("SGQ-02_Processos_Infraestrutura_Ambiente.xlsx", sheet_name="Ambiente_Operacao", header=3)</t>
  </si>
  <si>
    <t>pd.read_excel("SGQ-02_Processos_Infraestrutura_Ambiente.xlsx", sheet_name="Dicionario_Dados", header=0)</t>
  </si>
  <si>
    <t>Verificacao_Politica</t>
  </si>
  <si>
    <t>tbl_verif_politica</t>
  </si>
  <si>
    <t>pd.read_excel("SGQ-03_Lideranca_Politica_Cultura.xlsx", sheet_name="Verificacao_Politica", header=3)</t>
  </si>
  <si>
    <t>Lideranca_Compromisso</t>
  </si>
  <si>
    <t>tbl_lideranca</t>
  </si>
  <si>
    <t>ID</t>
  </si>
  <si>
    <t>pd.read_excel("SGQ-03_Lideranca_Politica_Cultura.xlsx", sheet_name="Lideranca_Compromisso", header=3)</t>
  </si>
  <si>
    <t>Funcoes_Autoridades</t>
  </si>
  <si>
    <t>tbl_autoridades</t>
  </si>
  <si>
    <t>pd.read_excel("SGQ-03_Lideranca_Politica_Cultura.xlsx", sheet_name="Funcoes_Autoridades", header=0)</t>
  </si>
  <si>
    <t>Matriz_RACI</t>
  </si>
  <si>
    <t>pd.read_excel("SGQ-03_Lideranca_Politica_Cultura.xlsx", sheet_name="Matriz_RACI", header=3)</t>
  </si>
  <si>
    <t>Cultura_Qualidade</t>
  </si>
  <si>
    <t>tbl_cultura</t>
  </si>
  <si>
    <t>ID_Dimensao</t>
  </si>
  <si>
    <t>pd.read_excel("SGQ-03_Lideranca_Politica_Cultura.xlsx", sheet_name="Cultura_Qualidade", header=3)</t>
  </si>
  <si>
    <t>Gemba_Walks</t>
  </si>
  <si>
    <t>tbl_gemba</t>
  </si>
  <si>
    <t>ID_Gemba</t>
  </si>
  <si>
    <t>pd.read_excel("SGQ-03_Lideranca_Politica_Cultura.xlsx", sheet_name="Gemba_Walks", header=0)</t>
  </si>
  <si>
    <t>Relatos_Integridade</t>
  </si>
  <si>
    <t>tbl_relatos_etica</t>
  </si>
  <si>
    <t>ID_Relato</t>
  </si>
  <si>
    <t>pd.read_excel("SGQ-03_Lideranca_Politica_Cultura.xlsx", sheet_name="Relatos_Integridade", header=3)</t>
  </si>
  <si>
    <t>pd.read_excel("SGQ-03_Lideranca_Politica_Cultura.xlsx", sheet_name="Dicionario_Dados", header=0)</t>
  </si>
  <si>
    <t>Riscos_Qualidade</t>
  </si>
  <si>
    <t>tbl_riscos_q</t>
  </si>
  <si>
    <t>ID_Risco</t>
  </si>
  <si>
    <t>pd.read_excel("SGQ-04_Gestao_Riscos_Oportunidades.xlsx", sheet_name="Riscos_Qualidade", header=3)</t>
  </si>
  <si>
    <t>Oportunidades_Qualidade</t>
  </si>
  <si>
    <t>tbl_oport_q</t>
  </si>
  <si>
    <t>ID_Oport</t>
  </si>
  <si>
    <t>pd.read_excel("SGQ-04_Gestao_Riscos_Oportunidades.xlsx", sheet_name="Oportunidades_Qualidade", header=3)</t>
  </si>
  <si>
    <t>PFMEA_Processo</t>
  </si>
  <si>
    <t>tbl_pfmea</t>
  </si>
  <si>
    <t>ID_FMEA</t>
  </si>
  <si>
    <t>pd.read_excel("SGQ-04_Gestao_Riscos_Oportunidades.xlsx", sheet_name="PFMEA_Processo", header=3)</t>
  </si>
  <si>
    <t>pd.read_excel("SGQ-04_Gestao_Riscos_Oportunidades.xlsx", sheet_name="Dicionario_Dados", header=0)</t>
  </si>
  <si>
    <t>Base_Mensal</t>
  </si>
  <si>
    <t>tbl_base_mensal</t>
  </si>
  <si>
    <t>pd.read_excel("SGQ-05_Objetivos_Metas_KPI.xlsx", sheet_name="Base_Mensal", header=3)</t>
  </si>
  <si>
    <t>KPI_Mensal</t>
  </si>
  <si>
    <t>tbl_kpi_mensal</t>
  </si>
  <si>
    <t>pd.read_excel("SGQ-05_Objetivos_Metas_KPI.xlsx", sheet_name="KPI_Mensal", header=3)</t>
  </si>
  <si>
    <t>Catalogo_KPI</t>
  </si>
  <si>
    <t>pd.read_excel("SGQ-05_Objetivos_Metas_KPI.xlsx", sheet_name="Catalogo_KPI", header=0)</t>
  </si>
  <si>
    <t>Objetivos_Qualidade</t>
  </si>
  <si>
    <t>pd.read_excel("SGQ-05_Objetivos_Metas_KPI.xlsx", sheet_name="Objetivos_Qualidade", header=3)</t>
  </si>
  <si>
    <t>Plano_Monitorizacao</t>
  </si>
  <si>
    <t>pd.read_excel("SGQ-05_Objetivos_Metas_KPI.xlsx", sheet_name="Plano_Monitorizacao", header=3)</t>
  </si>
  <si>
    <t>pd.read_excel("SGQ-05_Objetivos_Metas_KPI.xlsx", sheet_name="Dicionario_Dados", header=0)</t>
  </si>
  <si>
    <t>Registo_Alteracoes</t>
  </si>
  <si>
    <t>pd.read_excel("SGQ-06_Planeamento_Alteracoes.xlsx", sheet_name="Registo_Alteracoes", header=3)</t>
  </si>
  <si>
    <t>Checklist_Alteracoes</t>
  </si>
  <si>
    <t>tbl_checklist_alt</t>
  </si>
  <si>
    <t>pd.read_excel("SGQ-06_Planeamento_Alteracoes.xlsx", sheet_name="Checklist_Alteracoes", header=0)</t>
  </si>
  <si>
    <t>pd.read_excel("SGQ-06_Planeamento_Alteracoes.xlsx", sheet_name="Dicionario_Dados", header=0)</t>
  </si>
  <si>
    <t>Requisitos_Funcao</t>
  </si>
  <si>
    <t>tbl_requisitos_funcao</t>
  </si>
  <si>
    <t>ID_Req</t>
  </si>
  <si>
    <t>pd.read_excel("SGQ-07_Competencias_Consciencializacao.xlsx", sheet_name="Requisitos_Funcao", header=3)</t>
  </si>
  <si>
    <t>Competencias</t>
  </si>
  <si>
    <t>tbl_competencias</t>
  </si>
  <si>
    <t>pd.read_excel("SGQ-07_Competencias_Consciencializacao.xlsx", sheet_name="Competencias", header=0)</t>
  </si>
  <si>
    <t>Pessoas</t>
  </si>
  <si>
    <t>tbl_pessoas</t>
  </si>
  <si>
    <t>ID_Pessoa</t>
  </si>
  <si>
    <t>pd.read_excel("SGQ-07_Competencias_Consciencializacao.xlsx", sheet_name="Pessoas", header=0)</t>
  </si>
  <si>
    <t>Matriz_Competencias</t>
  </si>
  <si>
    <t>tbl_matriz</t>
  </si>
  <si>
    <t>pd.read_excel("SGQ-07_Competencias_Consciencializacao.xlsx", sheet_name="Matriz_Competencias", header=3)</t>
  </si>
  <si>
    <t>Plano_Formacao</t>
  </si>
  <si>
    <t>pd.read_excel("SGQ-07_Competencias_Consciencializacao.xlsx", sheet_name="Plano_Formacao", header=3)</t>
  </si>
  <si>
    <t>Registo_Formacao</t>
  </si>
  <si>
    <t>pd.read_excel("SGQ-07_Competencias_Consciencializacao.xlsx", sheet_name="Registo_Formacao", header=0)</t>
  </si>
  <si>
    <t>Consciencializacao</t>
  </si>
  <si>
    <t>tbl_consciencializacao</t>
  </si>
  <si>
    <t>ID_Sessao</t>
  </si>
  <si>
    <t>pd.read_excel("SGQ-07_Competencias_Consciencializacao.xlsx", sheet_name="Consciencializacao", header=3)</t>
  </si>
  <si>
    <t>Conhecimento_Organizacional</t>
  </si>
  <si>
    <t>tbl_conhecimento</t>
  </si>
  <si>
    <t>ID_Conhecimento</t>
  </si>
  <si>
    <t>pd.read_excel("SGQ-07_Competencias_Consciencializacao.xlsx", sheet_name="Conhecimento_Organizacional", header=3)</t>
  </si>
  <si>
    <t>pd.read_excel("SGQ-07_Competencias_Consciencializacao.xlsx", sheet_name="Dicionario_Dados", header=0)</t>
  </si>
  <si>
    <t>Lista_Mestra</t>
  </si>
  <si>
    <t>pd.read_excel("SGQ-08_Comunicacao_Controlo_Documental.xlsx", sheet_name="Lista_Mestra", header=3)</t>
  </si>
  <si>
    <t>Documentos_Externos</t>
  </si>
  <si>
    <t>tbl_doc_externos</t>
  </si>
  <si>
    <t>ID_Externo</t>
  </si>
  <si>
    <t>pd.read_excel("SGQ-08_Comunicacao_Controlo_Documental.xlsx", sheet_name="Documentos_Externos", header=3)</t>
  </si>
  <si>
    <t>Retencao_Registos</t>
  </si>
  <si>
    <t>tbl_retencao</t>
  </si>
  <si>
    <t>Registo</t>
  </si>
  <si>
    <t>pd.read_excel("SGQ-08_Comunicacao_Controlo_Documental.xlsx", sheet_name="Retencao_Registos", header=3)</t>
  </si>
  <si>
    <t>Matriz_Comunicacao</t>
  </si>
  <si>
    <t>pd.read_excel("SGQ-08_Comunicacao_Controlo_Documental.xlsx", sheet_name="Matriz_Comunicacao", header=3)</t>
  </si>
  <si>
    <t>Comunicacao_Cliente</t>
  </si>
  <si>
    <t>tbl_comunicacao_cliente</t>
  </si>
  <si>
    <t>pd.read_excel("SGQ-08_Comunicacao_Controlo_Documental.xlsx", sheet_name="Comunicacao_Cliente", header=3)</t>
  </si>
  <si>
    <t>pd.read_excel("SGQ-08_Comunicacao_Controlo_Documental.xlsx", sheet_name="Dicionario_Dados", header=0)</t>
  </si>
  <si>
    <t>Inventario_Equipamentos</t>
  </si>
  <si>
    <t>pd.read_excel("SGQ-09_Metrologia_Calibracao_MSA.xlsx", sheet_name="Inventario_Equipamentos", header=3)</t>
  </si>
  <si>
    <t>Calibracoes</t>
  </si>
  <si>
    <t>tbl_calibracoes</t>
  </si>
  <si>
    <t>ID_Calibracao</t>
  </si>
  <si>
    <t>pd.read_excel("SGQ-09_Metrologia_Calibracao_MSA.xlsx", sheet_name="Calibracoes", header=0)</t>
  </si>
  <si>
    <t>Fora_Tolerancia</t>
  </si>
  <si>
    <t>tbl_fora_tolerancia</t>
  </si>
  <si>
    <t>ID_OOT</t>
  </si>
  <si>
    <t>pd.read_excel("SGQ-09_Metrologia_Calibracao_MSA.xlsx", sheet_name="Fora_Tolerancia", header=3)</t>
  </si>
  <si>
    <t>GRR_Dados</t>
  </si>
  <si>
    <t>tbl_grr_dados</t>
  </si>
  <si>
    <t>ID_Medicao</t>
  </si>
  <si>
    <t>pd.read_excel("SGQ-09_Metrologia_Calibracao_MSA.xlsx", sheet_name="GRR_Dados", header=0)</t>
  </si>
  <si>
    <t>Estudos_MSA</t>
  </si>
  <si>
    <t>tbl_msa</t>
  </si>
  <si>
    <t>ID_Estudo</t>
  </si>
  <si>
    <t>pd.read_excel("SGQ-09_Metrologia_Calibracao_MSA.xlsx", sheet_name="Estudos_MSA", header=3)</t>
  </si>
  <si>
    <t>pd.read_excel("SGQ-09_Metrologia_Calibracao_MSA.xlsx", sheet_name="Dicionario_Dados", header=0)</t>
  </si>
  <si>
    <t>Clientes</t>
  </si>
  <si>
    <t>tbl_clientes</t>
  </si>
  <si>
    <t>ID_Cliente</t>
  </si>
  <si>
    <t>pd.read_excel("SGQ-10_Requisitos_Cliente_Encomendas.xlsx", sheet_name="Clientes", header=3)</t>
  </si>
  <si>
    <t>Requisitos_Produto</t>
  </si>
  <si>
    <t>tbl_requisitos_produto</t>
  </si>
  <si>
    <t>pd.read_excel("SGQ-10_Requisitos_Cliente_Encomendas.xlsx", sheet_name="Requisitos_Produto", header=3)</t>
  </si>
  <si>
    <t>Revisao_Encomendas</t>
  </si>
  <si>
    <t>tbl_revisao_encomendas</t>
  </si>
  <si>
    <t>ID_Encomenda</t>
  </si>
  <si>
    <t>pd.read_excel("SGQ-10_Requisitos_Cliente_Encomendas.xlsx", sheet_name="Revisao_Encomendas", header=3)</t>
  </si>
  <si>
    <t>Alteracoes_Requisitos</t>
  </si>
  <si>
    <t>tbl_alteracoes_requisitos</t>
  </si>
  <si>
    <t>ID_Alteracao_Req</t>
  </si>
  <si>
    <t>pd.read_excel("SGQ-10_Requisitos_Cliente_Encomendas.xlsx", sheet_name="Alteracoes_Requisitos", header=0)</t>
  </si>
  <si>
    <t>Propriedade_Cliente</t>
  </si>
  <si>
    <t>tbl_propriedade_cliente</t>
  </si>
  <si>
    <t>ID_Propriedade</t>
  </si>
  <si>
    <t>pd.read_excel("SGQ-10_Requisitos_Cliente_Encomendas.xlsx", sheet_name="Propriedade_Cliente", header=3)</t>
  </si>
  <si>
    <t>Pos_Entrega</t>
  </si>
  <si>
    <t>tbl_pos_entrega</t>
  </si>
  <si>
    <t>pd.read_excel("SGQ-10_Requisitos_Cliente_Encomendas.xlsx", sheet_name="Pos_Entrega", header=0)</t>
  </si>
  <si>
    <t>pd.read_excel("SGQ-10_Requisitos_Cliente_Encomendas.xlsx", sheet_name="Dicionario_Dados", header=0)</t>
  </si>
  <si>
    <t>Projetos_DD</t>
  </si>
  <si>
    <t>tbl_projetos_dd</t>
  </si>
  <si>
    <t>ID_Projeto</t>
  </si>
  <si>
    <t>pd.read_excel("SGQ-11_Design_Desenvolvimento.xlsx", sheet_name="Projetos_DD", header=3)</t>
  </si>
  <si>
    <t>Entradas_DD</t>
  </si>
  <si>
    <t>tbl_entradas_dd</t>
  </si>
  <si>
    <t>pd.read_excel("SGQ-11_Design_Desenvolvimento.xlsx", sheet_name="Entradas_DD", header=0)</t>
  </si>
  <si>
    <t>Etapas_Controlo</t>
  </si>
  <si>
    <t>tbl_etapas</t>
  </si>
  <si>
    <t>ID_Etapa</t>
  </si>
  <si>
    <t>pd.read_excel("SGQ-11_Design_Desenvolvimento.xlsx", sheet_name="Etapas_Controlo", header=3)</t>
  </si>
  <si>
    <t>Saidas_DD</t>
  </si>
  <si>
    <t>tbl_saidas_dd</t>
  </si>
  <si>
    <t>pd.read_excel("SGQ-11_Design_Desenvolvimento.xlsx", sheet_name="Saidas_DD", header=0)</t>
  </si>
  <si>
    <t>Alteracoes_Design</t>
  </si>
  <si>
    <t>tbl_alteracoes_dd</t>
  </si>
  <si>
    <t>pd.read_excel("SGQ-11_Design_Desenvolvimento.xlsx", sheet_name="Alteracoes_Design", header=3)</t>
  </si>
  <si>
    <t>pd.read_excel("SGQ-11_Design_Desenvolvimento.xlsx", sheet_name="Dicionario_Dados", header=0)</t>
  </si>
  <si>
    <t>pd.read_excel("SGQ-12_Fornecedores_Avaliacao.xlsx", sheet_name="Fornecedores", header=3)</t>
  </si>
  <si>
    <t>Desempenho_Mensal</t>
  </si>
  <si>
    <t>tbl_desempenho_forn</t>
  </si>
  <si>
    <t>pd.read_excel("SGQ-12_Fornecedores_Avaliacao.xlsx", sheet_name="Desempenho_Mensal", header=0)</t>
  </si>
  <si>
    <t>Reavaliacao_Semestral</t>
  </si>
  <si>
    <t>tbl_avaliacao</t>
  </si>
  <si>
    <t>pd.read_excel("SGQ-12_Fornecedores_Avaliacao.xlsx", sheet_name="Reavaliacao_Semestral", header=3)</t>
  </si>
  <si>
    <t>Reclamacoes_Fornecedor</t>
  </si>
  <si>
    <t>tbl_scar</t>
  </si>
  <si>
    <t>ID_SCAR</t>
  </si>
  <si>
    <t>pd.read_excel("SGQ-12_Fornecedores_Avaliacao.xlsx", sheet_name="Reclamacoes_Fornecedor", header=0)</t>
  </si>
  <si>
    <t>Informacao_Fornecedores</t>
  </si>
  <si>
    <t>tbl_info_fornecedores</t>
  </si>
  <si>
    <t>pd.read_excel("SGQ-12_Fornecedores_Avaliacao.xlsx", sheet_name="Informacao_Fornecedores", header=0)</t>
  </si>
  <si>
    <t>Auditorias_Fornecedores</t>
  </si>
  <si>
    <t>tbl_auditorias_forn</t>
  </si>
  <si>
    <t>pd.read_excel("SGQ-12_Fornecedores_Avaliacao.xlsx", sheet_name="Auditorias_Fornecedores", header=0)</t>
  </si>
  <si>
    <t>pd.read_excel("SGQ-12_Fornecedores_Avaliacao.xlsx", sheet_name="Dicionario_Dados", header=0)</t>
  </si>
  <si>
    <t>Plano_Controlo</t>
  </si>
  <si>
    <t>tbl_plano_controlo</t>
  </si>
  <si>
    <t>ID_Controlo</t>
  </si>
  <si>
    <t>pd.read_excel("SGQ-13_Producao_Rastreabilidade_Libertacao.xlsx", sheet_name="Plano_Controlo", header=3)</t>
  </si>
  <si>
    <t>Libertacao_Lotes</t>
  </si>
  <si>
    <t>tbl_libertacao</t>
  </si>
  <si>
    <t>Lote</t>
  </si>
  <si>
    <t>pd.read_excel("SGQ-13_Producao_Rastreabilidade_Libertacao.xlsx", sheet_name="Libertacao_Lotes", header=3)</t>
  </si>
  <si>
    <t>Exercicios_Rastreio</t>
  </si>
  <si>
    <t>tbl_rastreio</t>
  </si>
  <si>
    <t>ID_Rastreio</t>
  </si>
  <si>
    <t>pd.read_excel("SGQ-13_Producao_Rastreabilidade_Libertacao.xlsx", sheet_name="Exercicios_Rastreio", header=3)</t>
  </si>
  <si>
    <t>Prevencao_Erro_Humano</t>
  </si>
  <si>
    <t>tbl_erro_humano</t>
  </si>
  <si>
    <t>ID_Medida</t>
  </si>
  <si>
    <t>pd.read_excel("SGQ-13_Producao_Rastreabilidade_Libertacao.xlsx", sheet_name="Prevencao_Erro_Humano", header=3)</t>
  </si>
  <si>
    <t>Validacao_Processos</t>
  </si>
  <si>
    <t>tbl_validacao</t>
  </si>
  <si>
    <t>ID_Validacao</t>
  </si>
  <si>
    <t>pd.read_excel("SGQ-13_Producao_Rastreabilidade_Libertacao.xlsx", sheet_name="Validacao_Processos", header=3)</t>
  </si>
  <si>
    <t>Preservacao</t>
  </si>
  <si>
    <t>tbl_preservacao</t>
  </si>
  <si>
    <t>pd.read_excel("SGQ-13_Producao_Rastreabilidade_Libertacao.xlsx", sheet_name="Preservacao", header=0)</t>
  </si>
  <si>
    <t>pd.read_excel("SGQ-13_Producao_Rastreabilidade_Libertacao.xlsx", sheet_name="Dicionario_Dados", header=0)</t>
  </si>
  <si>
    <t>Registo_SNC</t>
  </si>
  <si>
    <t>pd.read_excel("SGQ-14_Saidas_Nao_Conformes.xlsx", sheet_name="Registo_SNC", header=3)</t>
  </si>
  <si>
    <t>Concessoes</t>
  </si>
  <si>
    <t>tbl_concessoes</t>
  </si>
  <si>
    <t>pd.read_excel("SGQ-14_Saidas_Nao_Conformes.xlsx", sheet_name="Concessoes", header=3)</t>
  </si>
  <si>
    <t>pd.read_excel("SGQ-14_Saidas_Nao_Conformes.xlsx", sheet_name="Dicionario_Dados", header=0)</t>
  </si>
  <si>
    <t>Reclamacoes</t>
  </si>
  <si>
    <t>tbl_reclamacoes</t>
  </si>
  <si>
    <t>ID_Reclamacao</t>
  </si>
  <si>
    <t>pd.read_excel("SGQ-15_Reclamacoes_Satisfacao_Cliente.xlsx", sheet_name="Reclamacoes", header=3)</t>
  </si>
  <si>
    <t>Inquerito_Respostas</t>
  </si>
  <si>
    <t>tbl_inquerito</t>
  </si>
  <si>
    <t>Onda</t>
  </si>
  <si>
    <t>pd.read_excel("SGQ-15_Reclamacoes_Satisfacao_Cliente.xlsx", sheet_name="Inquerito_Respostas", header=0)</t>
  </si>
  <si>
    <t>Atributos</t>
  </si>
  <si>
    <t>tbl_atributos</t>
  </si>
  <si>
    <t>ID_Atributo</t>
  </si>
  <si>
    <t>pd.read_excel("SGQ-15_Reclamacoes_Satisfacao_Cliente.xlsx", sheet_name="Atributos", header=3)</t>
  </si>
  <si>
    <t>NPS_CES</t>
  </si>
  <si>
    <t>tbl_nps</t>
  </si>
  <si>
    <t>pd.read_excel("SGQ-15_Reclamacoes_Satisfacao_Cliente.xlsx", sheet_name="NPS_CES", header=0)</t>
  </si>
  <si>
    <t>Fontes_Satisfacao</t>
  </si>
  <si>
    <t>tbl_fontes_satisfacao</t>
  </si>
  <si>
    <t>ID_Fonte</t>
  </si>
  <si>
    <t>pd.read_excel("SGQ-15_Reclamacoes_Satisfacao_Cliente.xlsx", sheet_name="Fontes_Satisfacao", header=0)</t>
  </si>
  <si>
    <t>pd.read_excel("SGQ-15_Reclamacoes_Satisfacao_Cliente.xlsx", sheet_name="Dicionario_Dados", header=0)</t>
  </si>
  <si>
    <t>Auditores</t>
  </si>
  <si>
    <t>tbl_auditores</t>
  </si>
  <si>
    <t>ID_Auditor</t>
  </si>
  <si>
    <t>pd.read_excel("SGQ-16_Auditoria_Interna.xlsx", sheet_name="Auditores", header=3)</t>
  </si>
  <si>
    <t>Priorizacao_Risco</t>
  </si>
  <si>
    <t>tbl_priorizacao</t>
  </si>
  <si>
    <t>pd.read_excel("SGQ-16_Auditoria_Interna.xlsx", sheet_name="Priorizacao_Risco", header=3)</t>
  </si>
  <si>
    <t>Programa_Auditorias</t>
  </si>
  <si>
    <t>pd.read_excel("SGQ-16_Auditoria_Interna.xlsx", sheet_name="Programa_Auditorias", header=3)</t>
  </si>
  <si>
    <t>Riscos_Programa</t>
  </si>
  <si>
    <t>tbl_riscos_programa</t>
  </si>
  <si>
    <t>pd.read_excel("SGQ-16_Auditoria_Interna.xlsx", sheet_name="Riscos_Programa", header=0)</t>
  </si>
  <si>
    <t>Checklist_Auditorias</t>
  </si>
  <si>
    <t>tbl_checklist_aud</t>
  </si>
  <si>
    <t>ID_Pergunta</t>
  </si>
  <si>
    <t>pd.read_excel("SGQ-16_Auditoria_Interna.xlsx", sheet_name="Checklist_Auditorias", header=0)</t>
  </si>
  <si>
    <t>Constatacoes</t>
  </si>
  <si>
    <t>pd.read_excel("SGQ-16_Auditoria_Interna.xlsx", sheet_name="Constatacoes", header=3)</t>
  </si>
  <si>
    <t>pd.read_excel("SGQ-16_Auditoria_Interna.xlsx", sheet_name="Dicionario_Dados", header=0)</t>
  </si>
  <si>
    <t>Entradas_9_3_2</t>
  </si>
  <si>
    <t>pd.read_excel("SGQ-17_Revisao_pela_Gestao.xlsx", sheet_name="Entradas_9_3_2", header=3)</t>
  </si>
  <si>
    <t>Decisoes_9_3_3</t>
  </si>
  <si>
    <t>pd.read_excel("SGQ-17_Revisao_pela_Gestao.xlsx", sheet_name="Decisoes_9_3_3", header=3)</t>
  </si>
  <si>
    <t>Acoes_Anteriores</t>
  </si>
  <si>
    <t>tbl_acoes_anteriores</t>
  </si>
  <si>
    <t>pd.read_excel("SGQ-17_Revisao_pela_Gestao.xlsx", sheet_name="Acoes_Anteriores", header=0)</t>
  </si>
  <si>
    <t>pd.read_excel("SGQ-17_Revisao_pela_Gestao.xlsx", sheet_name="Dicionario_Dados", header=0)</t>
  </si>
  <si>
    <t>CAPA_Operacionais</t>
  </si>
  <si>
    <t>tbl_capa</t>
  </si>
  <si>
    <t>pd.read_excel("SGQ-18_Nao_Conformidades_CAPA.xlsx", sheet_name="CAPA_Operacionais", header=3)</t>
  </si>
  <si>
    <t>CAPA_Sistema</t>
  </si>
  <si>
    <t>pd.read_excel("SGQ-18_Nao_Conformidades_CAPA.xlsx", sheet_name="CAPA_Sistema", header=3)</t>
  </si>
  <si>
    <t>Relatorios_8D</t>
  </si>
  <si>
    <t>tbl_8d</t>
  </si>
  <si>
    <t>ID_8D</t>
  </si>
  <si>
    <t>pd.read_excel("SGQ-18_Nao_Conformidades_CAPA.xlsx", sheet_name="Relatorios_8D", header=3)</t>
  </si>
  <si>
    <t>Cinco_Porques</t>
  </si>
  <si>
    <t>pd.read_excel("SGQ-18_Nao_Conformidades_CAPA.xlsx", sheet_name="Cinco_Porques", header=0)</t>
  </si>
  <si>
    <t>pd.read_excel("SGQ-18_Nao_Conformidades_CAPA.xlsx", sheet_name="Dicionario_Dados", header=0)</t>
  </si>
  <si>
    <t>Projetos_Melhoria</t>
  </si>
  <si>
    <t>tbl_projetos_melhoria</t>
  </si>
  <si>
    <t>pd.read_excel("SGQ-19_Melhoria_Continua_Custo_Qualidade.xlsx", sheet_name="Projetos_Melhoria", header=3)</t>
  </si>
  <si>
    <t>Parametros_COQ</t>
  </si>
  <si>
    <t>tbl_param_coq</t>
  </si>
  <si>
    <t>Parametro</t>
  </si>
  <si>
    <t>pd.read_excel("SGQ-19_Melhoria_Continua_Custo_Qualidade.xlsx", sheet_name="Parametros_COQ", header=3)</t>
  </si>
  <si>
    <t>COQ_Mensal</t>
  </si>
  <si>
    <t>tbl_coq</t>
  </si>
  <si>
    <t>pd.read_excel("SGQ-19_Melhoria_Continua_Custo_Qualidade.xlsx", sheet_name="COQ_Mensal", header=3)</t>
  </si>
  <si>
    <t>Sugestoes</t>
  </si>
  <si>
    <t>pd.read_excel("SGQ-19_Melhoria_Continua_Custo_Qualidade.xlsx", sheet_name="Sugestoes", header=0)</t>
  </si>
  <si>
    <t>pd.read_excel("SGQ-19_Melhoria_Continua_Custo_Qualidade.xlsx", sheet_name="Dicionario_Dados", header=0)</t>
  </si>
  <si>
    <t>Tabela_Origem</t>
  </si>
  <si>
    <t>Coluna</t>
  </si>
  <si>
    <t>Tabela_Destino</t>
  </si>
  <si>
    <t>N_Referencias</t>
  </si>
  <si>
    <t>N_Invalidas</t>
  </si>
  <si>
    <t>IDs_Invalidos</t>
  </si>
  <si>
    <t>OK</t>
  </si>
  <si>
    <t>tbl_riscos_q / tbl_oport_q</t>
  </si>
  <si>
    <t>SGA · tbRiscos / SGA · tbOportunidades</t>
  </si>
  <si>
    <t>SGA · tbl_pestel / SGA · tbl_swot</t>
  </si>
  <si>
    <t>tbl_pestel / tbl_swot</t>
  </si>
  <si>
    <t>SGA · tbl_partes_interessadas</t>
  </si>
  <si>
    <t>SGA · tbl_legal</t>
  </si>
  <si>
    <t>ID_Contexto</t>
  </si>
  <si>
    <t>KPIs</t>
  </si>
  <si>
    <t>De</t>
  </si>
  <si>
    <t>Para</t>
  </si>
  <si>
    <t>SGA · tbRiscos</t>
  </si>
  <si>
    <t>SGA · tbOportunidades</t>
  </si>
  <si>
    <t>ID_MOC</t>
  </si>
  <si>
    <t>SGA · tbl_fornecedores</t>
  </si>
  <si>
    <t>Riscos_Oport</t>
  </si>
  <si>
    <t>GES</t>
  </si>
  <si>
    <t>Gestão estratégica e revisão pela gestão</t>
  </si>
  <si>
    <t>Gestão</t>
  </si>
  <si>
    <t>—</t>
  </si>
  <si>
    <t>Diretor Geral (Gestão de Topo)</t>
  </si>
  <si>
    <t>QUA</t>
  </si>
  <si>
    <t>Gestão da qualidade (SGQ, auditorias, melhoria, CAPA)</t>
  </si>
  <si>
    <t>COM</t>
  </si>
  <si>
    <t>Comercial: requisitos do cliente, propostas, encomendas e satisfação</t>
  </si>
  <si>
    <t>Realização</t>
  </si>
  <si>
    <t>Diretor Comercial</t>
  </si>
  <si>
    <t>RD</t>
  </si>
  <si>
    <t>Design e desenvolvimento de produto (R&amp;D)</t>
  </si>
  <si>
    <t>Responsável de R&amp;D</t>
  </si>
  <si>
    <t>PCP</t>
  </si>
  <si>
    <t>Planeamento e controlo da produção</t>
  </si>
  <si>
    <t>Gerente de Produção</t>
  </si>
  <si>
    <t>CMP</t>
  </si>
  <si>
    <t>Compras e gestão de fornecedores</t>
  </si>
  <si>
    <t>Responsável de Compras</t>
  </si>
  <si>
    <t>REC</t>
  </si>
  <si>
    <t>Receção, inspeção de receção e armazenagem de matérias-primas</t>
  </si>
  <si>
    <t>Responsável de Armazém e Logística</t>
  </si>
  <si>
    <t>INJ</t>
  </si>
  <si>
    <t>Injeção de tampas e potes</t>
  </si>
  <si>
    <t>IM-001 a IM-009</t>
  </si>
  <si>
    <t>SOP</t>
  </si>
  <si>
    <t>Sopro de frascos (ISBM)</t>
  </si>
  <si>
    <t>ISBM-001 a ISBM-010</t>
  </si>
  <si>
    <t>SER</t>
  </si>
  <si>
    <t>Serigrafia (decoração)</t>
  </si>
  <si>
    <t>SS-001, SS-002</t>
  </si>
  <si>
    <t>HFS</t>
  </si>
  <si>
    <t>Hot foil stamping (decoração)</t>
  </si>
  <si>
    <t>HF-001, HF-002</t>
  </si>
  <si>
    <t>LAB</t>
  </si>
  <si>
    <t>Controlo da qualidade e laboratório (inspeção, ensaios, libertação)</t>
  </si>
  <si>
    <t>EXP</t>
  </si>
  <si>
    <t>Embalagem, armazém de produto acabado e expedição</t>
  </si>
  <si>
    <t>MAN</t>
  </si>
  <si>
    <t>Manutenção de máquinas e moldes</t>
  </si>
  <si>
    <t>Suporte</t>
  </si>
  <si>
    <t>Oficina e ferramentaria</t>
  </si>
  <si>
    <t>Gerente de Manutenção</t>
  </si>
  <si>
    <t>MET</t>
  </si>
  <si>
    <t>Metrologia (calibração, verificação e MSA)</t>
  </si>
  <si>
    <t>Laboratório</t>
  </si>
  <si>
    <t>RH</t>
  </si>
  <si>
    <t>Recursos humanos, competência e formação</t>
  </si>
  <si>
    <t>Responsável de Recursos Humanos</t>
  </si>
  <si>
    <t>TI</t>
  </si>
  <si>
    <t>Sistemas de informação e dados (ERP, MES, data warehouse)</t>
  </si>
  <si>
    <t>Gerente de Dados / TI</t>
  </si>
  <si>
    <t>DOC</t>
  </si>
  <si>
    <t>Controlo da informação documentada</t>
  </si>
  <si>
    <t>FQ-01</t>
  </si>
  <si>
    <t>FQ-02</t>
  </si>
  <si>
    <t>Diretor Industrial</t>
  </si>
  <si>
    <t>FQ-03</t>
  </si>
  <si>
    <t>FQ-04</t>
  </si>
  <si>
    <t>FQ-05</t>
  </si>
  <si>
    <t>FQ-06</t>
  </si>
  <si>
    <t>FQ-07</t>
  </si>
  <si>
    <t>FQ-08</t>
  </si>
  <si>
    <t>FQ-09</t>
  </si>
  <si>
    <t>FQ-10</t>
  </si>
  <si>
    <t>FQ-11</t>
  </si>
  <si>
    <t>FQ-12</t>
  </si>
  <si>
    <t>Técnico(a) da Qualidade / Inspetor(a)</t>
  </si>
  <si>
    <t>FQ-13</t>
  </si>
  <si>
    <t>Técnico(a) de Laboratório</t>
  </si>
  <si>
    <t>FQ-14</t>
  </si>
  <si>
    <t>Engenheiro(a) de Processo</t>
  </si>
  <si>
    <t>FQ-15</t>
  </si>
  <si>
    <t>Chefe de Turno</t>
  </si>
  <si>
    <t>FQ-16</t>
  </si>
  <si>
    <t>Operador(a) de Injeção</t>
  </si>
  <si>
    <t>FQ-17</t>
  </si>
  <si>
    <t>Operador(a) de Sopro (ISBM)</t>
  </si>
  <si>
    <t>FQ-18</t>
  </si>
  <si>
    <t>Operador(a) de Serigrafia</t>
  </si>
  <si>
    <t>FQ-19</t>
  </si>
  <si>
    <t>Operador(a) de Hot Foil</t>
  </si>
  <si>
    <t>FQ-20</t>
  </si>
  <si>
    <t>Técnico(a) de Manutenção</t>
  </si>
  <si>
    <t>FQ-21</t>
  </si>
  <si>
    <t>Técnico(a) de Metrologia</t>
  </si>
  <si>
    <t>FQ-22</t>
  </si>
  <si>
    <t>Auditor(a) Interno(a) do SGQ</t>
  </si>
  <si>
    <t>FQ-23</t>
  </si>
  <si>
    <t>Gestor(a) de Cliente (Key Account)</t>
  </si>
  <si>
    <t>FQ-24</t>
  </si>
  <si>
    <t>Planeador(a) de Produção</t>
  </si>
  <si>
    <t>FQ-25</t>
  </si>
  <si>
    <t>Operador(a) de Armazém / Empilhador</t>
  </si>
  <si>
    <t>FQ-26</t>
  </si>
  <si>
    <t>Gestor do SGA / EHS (Responsável Ambiental)</t>
  </si>
  <si>
    <t>Nota_Alteracao</t>
  </si>
  <si>
    <t>4.1</t>
  </si>
  <si>
    <t>Compreender a organização e o seu contexto</t>
  </si>
  <si>
    <t>Sim</t>
  </si>
  <si>
    <t>Determinar se as alterações climáticas são uma questão pertinente (Amd 1:2024 integrada); notas sobre contexto interno (valores, cultura, conhecimento)</t>
  </si>
  <si>
    <t>4.2</t>
  </si>
  <si>
    <t>Compreender as necessidades e expectativas das partes interessadas</t>
  </si>
  <si>
    <t>Nota: as partes interessadas podem ter requisitos relacionados com as alterações climáticas</t>
  </si>
  <si>
    <t>4.3</t>
  </si>
  <si>
    <t>Determinar o âmbito do SGQ</t>
  </si>
  <si>
    <t>Não</t>
  </si>
  <si>
    <t>4.4</t>
  </si>
  <si>
    <t>Sistema de gestão da qualidade e respetivos processos</t>
  </si>
  <si>
    <t>4.4.2 informação documentada 'disponível' (substitui manter/reter)</t>
  </si>
  <si>
    <t>5.1.1</t>
  </si>
  <si>
    <t>Liderança e compromisso — generalidades</t>
  </si>
  <si>
    <t>i) promover a cultura da qualidade e o comportamento ético; l) prestar contas da eficácia do SGQ</t>
  </si>
  <si>
    <t>5.1.2</t>
  </si>
  <si>
    <t>Foco no cliente</t>
  </si>
  <si>
    <t>5.2</t>
  </si>
  <si>
    <t>Política da qualidade</t>
  </si>
  <si>
    <t>Deve ter em conta o contexto e apoiar a orientação estratégica; 'disponível como informação documentada'</t>
  </si>
  <si>
    <t>5.3</t>
  </si>
  <si>
    <t>Funções, responsabilidades e autoridades</t>
  </si>
  <si>
    <t>f) manter a integridade do SGQ, incluindo quando se planeiam e implementam alterações</t>
  </si>
  <si>
    <t>6.1.1</t>
  </si>
  <si>
    <t>Determinação de riscos e oportunidades</t>
  </si>
  <si>
    <t>6.1 dividido em 6.1.1 / 6.1.2 / 6.1.3</t>
  </si>
  <si>
    <t>6.1.2</t>
  </si>
  <si>
    <t>Ações para tratar os riscos</t>
  </si>
  <si>
    <t>Determinar, analisar e avaliar riscos; ações proporcionais; Nota 1 disrupção; Nota 2 opções de tratamento</t>
  </si>
  <si>
    <t>6.1.3</t>
  </si>
  <si>
    <t>Ações para tratar as oportunidades</t>
  </si>
  <si>
    <t>Novo subcapítulo: determinar, analisar e avaliar oportunidades e avaliar a eficácia das ações</t>
  </si>
  <si>
    <t>6.2</t>
  </si>
  <si>
    <t>Objetivos da qualidade e planeamento para os atingir</t>
  </si>
  <si>
    <t>6.3</t>
  </si>
  <si>
    <t>Considerar também como monitorizar e avaliar a eficácia (f) e como rever os resultados (g)</t>
  </si>
  <si>
    <t>7.1.1</t>
  </si>
  <si>
    <t>Recursos — generalidades</t>
  </si>
  <si>
    <t>7.1.2</t>
  </si>
  <si>
    <t>7.1.3</t>
  </si>
  <si>
    <t>Infraestrutura</t>
  </si>
  <si>
    <t>Nota: trabalho presencial, remoto ou híbrido; TIC</t>
  </si>
  <si>
    <t>7.1.4</t>
  </si>
  <si>
    <t>Ambiente para a operação dos processos</t>
  </si>
  <si>
    <t>Fatores sociais, psicológicos e físicos; influência da cultura da qualidade e do comportamento ético</t>
  </si>
  <si>
    <t>7.1.5.1</t>
  </si>
  <si>
    <t>Recursos de monitorização e medição — generalidades</t>
  </si>
  <si>
    <t>7.1.5.2</t>
  </si>
  <si>
    <t>Rastreabilidade da medição</t>
  </si>
  <si>
    <t>7.1.6</t>
  </si>
  <si>
    <t>Conhecimento organizacional</t>
  </si>
  <si>
    <t>Nota com as formas do conhecimento (experiência, formação, métodos, sistemas digitais)</t>
  </si>
  <si>
    <t>7.2</t>
  </si>
  <si>
    <t>Competência</t>
  </si>
  <si>
    <t>7.3</t>
  </si>
  <si>
    <t>Consciencialização</t>
  </si>
  <si>
    <t>e) cultura da qualidade organizacional e comportamento ético</t>
  </si>
  <si>
    <t>7.4</t>
  </si>
  <si>
    <t>Comunicação</t>
  </si>
  <si>
    <t>7.5</t>
  </si>
  <si>
    <t>Informação documentada</t>
  </si>
  <si>
    <t>Terminologia única 'disponível' / 'disponível como evidência'</t>
  </si>
  <si>
    <t>8.1</t>
  </si>
  <si>
    <t>Planeamento e controlo operacional</t>
  </si>
  <si>
    <t>8.2.1</t>
  </si>
  <si>
    <t>Comunicação com o cliente</t>
  </si>
  <si>
    <t>e) informação sobre ações de contingência, incluindo disrupções no fornecimento</t>
  </si>
  <si>
    <t>8.2.2</t>
  </si>
  <si>
    <t>Determinação dos requisitos relativos a produtos e serviços</t>
  </si>
  <si>
    <t>8.2.3</t>
  </si>
  <si>
    <t>Revisão dos requisitos relativos a produtos e serviços</t>
  </si>
  <si>
    <t>8.2.4</t>
  </si>
  <si>
    <t>Alterações aos requisitos de produtos e serviços</t>
  </si>
  <si>
    <t>Design e desenvolvimento de produtos e serviços</t>
  </si>
  <si>
    <t>Notas sobre abordagem iterativa (ciclos de revisão, verificação, validação)</t>
  </si>
  <si>
    <t>8.4</t>
  </si>
  <si>
    <t>Controlo dos processos, produtos e serviços de fornecedores externos</t>
  </si>
  <si>
    <t>8.5.1</t>
  </si>
  <si>
    <t>Controlo da produção e da prestação do serviço</t>
  </si>
  <si>
    <t>g) ações para prevenir o erro humano</t>
  </si>
  <si>
    <t>8.5.2</t>
  </si>
  <si>
    <t>Identificação e rastreabilidade</t>
  </si>
  <si>
    <t>8.5.3</t>
  </si>
  <si>
    <t>Propriedade dos clientes ou de fornecedores externos</t>
  </si>
  <si>
    <t>8.5.4</t>
  </si>
  <si>
    <t>Preservação</t>
  </si>
  <si>
    <t>8.5.5</t>
  </si>
  <si>
    <t>Atividades pós-entrega</t>
  </si>
  <si>
    <t>8.5.6</t>
  </si>
  <si>
    <t>Controlo de alterações</t>
  </si>
  <si>
    <t>8.6</t>
  </si>
  <si>
    <t>Libertação de produtos e serviços</t>
  </si>
  <si>
    <t>Controlo de saídas não conformes</t>
  </si>
  <si>
    <t>9.1.1</t>
  </si>
  <si>
    <t>Monitorização, medição, análise e avaliação — generalidades</t>
  </si>
  <si>
    <t>9.1.2</t>
  </si>
  <si>
    <t>Satisfação do cliente</t>
  </si>
  <si>
    <t>9.1.3</t>
  </si>
  <si>
    <t>Análise e avaliação</t>
  </si>
  <si>
    <t>e) e f) eficácia das ações para riscos e, separadamente, para oportunidades</t>
  </si>
  <si>
    <t>Auditoria interna</t>
  </si>
  <si>
    <t>Referência à ISO 19011 (edição 2026)</t>
  </si>
  <si>
    <t>9.3</t>
  </si>
  <si>
    <t>Revisão pela gestão</t>
  </si>
  <si>
    <t>Entradas g) e h) separadas para riscos e oportunidades; alinhamento com a orientação estratégica</t>
  </si>
  <si>
    <t>10.1</t>
  </si>
  <si>
    <t>Melhoria contínua</t>
  </si>
  <si>
    <t>Integra a antiga 10.1 geral; mudança incremental ou disruptiva, inovação</t>
  </si>
  <si>
    <t>Não conformidade e ação corretiva</t>
  </si>
  <si>
    <t>Nota: as reclamações de clientes podem ser fonte de NC</t>
  </si>
  <si>
    <t>MATRIZ DE FONTE ÚNICA — SGQ ↔ SGA</t>
  </si>
  <si>
    <t>Contexto externo/interno (PESTEL, SWOT, TOWS, 5 forças) — ambiente e SGI</t>
  </si>
  <si>
    <t>tbl_pestel; tbl_swot; tbl_tows; tbl_cinco_forcas</t>
  </si>
  <si>
    <t>RG-SGQ-01 (ID_Contexto_SGI)</t>
  </si>
  <si>
    <t>Estrutura comum: as tabelas homónimas do RG-SGA-01 e do RG-SGQ-01 juntam-se num único contexto do SGI (coluna Ambito)</t>
  </si>
  <si>
    <t>Contexto externo/interno — lente da qualidade</t>
  </si>
  <si>
    <t>RG-SGQ-04 (ID_RO); RG-SGQ-17</t>
  </si>
  <si>
    <t>Cada fator da qualidade liga ao fator de origem no RG-SGA-01 (ID_Contexto_SGI) — não se duplica o texto</t>
  </si>
  <si>
    <t>Partes interessadas (lista geral do SGI)</t>
  </si>
  <si>
    <t>RG-SGQ-01 (ID_PI_SGI)</t>
  </si>
  <si>
    <t>Mesma estrutura no RG-SGQ-01: o SGQ regista os requisitos que trata (4.2 c) numa linha por requisito</t>
  </si>
  <si>
    <t>Riscos e oportunidades (pontuação, dono, estado)</t>
  </si>
  <si>
    <t>RG-SGA-02</t>
  </si>
  <si>
    <t>tbRiscos; tbOportunidades</t>
  </si>
  <si>
    <t>RG-SGQ-04 (vista gerada)</t>
  </si>
  <si>
    <t>Alterar só no RG-SGA-02 e regenerar o RG-SGQ-04</t>
  </si>
  <si>
    <t>Riscos: efeito na qualidade, opção de tratamento, eficácia (9001:2026)</t>
  </si>
  <si>
    <t>tbl_riscos_q; tbl_oport_q</t>
  </si>
  <si>
    <t>KPI e objetivos da qualidade</t>
  </si>
  <si>
    <t>tbl_kpi; tbl_objetivos; tbl_kpi_mensal</t>
  </si>
  <si>
    <t>RG-SGQ-02/04 (ID_KPI)</t>
  </si>
  <si>
    <t>Alterações (MOC)</t>
  </si>
  <si>
    <t>RG-SGQ-10/11 (ID_MOC); RG-SGA-18 (ambiente)</t>
  </si>
  <si>
    <t>A mesma alteração tem avaliação ambiental no RG-SGA-18</t>
  </si>
  <si>
    <t>Pessoas, competências e formação da qualidade</t>
  </si>
  <si>
    <t>tbl_pessoas; tbl_matriz; tbl_formacoes</t>
  </si>
  <si>
    <t>RG-SGQ-16 (auditores)</t>
  </si>
  <si>
    <t>Formação ambiental no RG-SGA-08</t>
  </si>
  <si>
    <t>Documentos do SGQ</t>
  </si>
  <si>
    <t>Todos</t>
  </si>
  <si>
    <t>Documentos do SGA no RG-SGA-09</t>
  </si>
  <si>
    <t>Equipamentos de medição da qualidade</t>
  </si>
  <si>
    <t>RG-SGQ-13 (plano de controlo)</t>
  </si>
  <si>
    <t>Equipamentos ambientais no RG-SGA-13</t>
  </si>
  <si>
    <t>Clientes e requisitos</t>
  </si>
  <si>
    <t>RG-SGQ-15 (ID_Cliente)</t>
  </si>
  <si>
    <t>Fornecedores (dados mestre)</t>
  </si>
  <si>
    <t>RG-SGQ-12 (mesmo ID_Fornecedor)</t>
  </si>
  <si>
    <t>Desempenho de qualidade só no RG-SGQ-12</t>
  </si>
  <si>
    <t>NC de produto e concessões</t>
  </si>
  <si>
    <t>tbl_snc; tbl_concessoes</t>
  </si>
  <si>
    <t>RG-SGQ-18 (ID_NC)</t>
  </si>
  <si>
    <t>NC ambientais no RG-SGA-07</t>
  </si>
  <si>
    <t>Reclamações de clientes</t>
  </si>
  <si>
    <t>RG-SGQ-18 (tbl_8d)</t>
  </si>
  <si>
    <t>Auditorias internas do SGQ</t>
  </si>
  <si>
    <t>tbl_programa_auditorias; tbl_constatacoes</t>
  </si>
  <si>
    <t>AUD-Q-26-03 foi integrada com o SGA (RG-SGA-14)</t>
  </si>
  <si>
    <t>Ações corretivas da qualidade</t>
  </si>
  <si>
    <t>tbl_capa; tbl_capa_sgq</t>
  </si>
  <si>
    <t>RG-SGQ-14/16</t>
  </si>
  <si>
    <t>Ações ambientais no PAM (RG-SGA-06)</t>
  </si>
  <si>
    <t>MATRIZ DE REQUISITOS ISO 9001:2026 — DOCUMENTO, EVIDÊNCIA E ESTADO</t>
  </si>
  <si>
    <t>Verificação de 31/12/2026 contra os registos do SGQ · Lacuna = NC maior de auditoria · Parcial = processo existe com falha de evidência ou eficácia</t>
  </si>
  <si>
    <t>RQ-01</t>
  </si>
  <si>
    <t>Questões externas e internas pertinentes; monitorizar e rever</t>
  </si>
  <si>
    <t>Não exigida (C)</t>
  </si>
  <si>
    <t>PR-SGQ-01</t>
  </si>
  <si>
    <t>RG-SGQ-01 tbl_pestel, tbl_swot, tbl_tows, tbl_cinco_forcas</t>
  </si>
  <si>
    <t>Conforme</t>
  </si>
  <si>
    <t>11 fatores PESTEL e 16 itens SWOT com efeito, evidência, monitorização e revisão; estrutura igual à do RG-SGA-01</t>
  </si>
  <si>
    <t>C</t>
  </si>
  <si>
    <t>RQ-02</t>
  </si>
  <si>
    <t>Determinar se as alterações climáticas são pertinentes (2026)</t>
  </si>
  <si>
    <t>RG-SGQ-01 tbl_clima</t>
  </si>
  <si>
    <t>Determinação e justificação registadas</t>
  </si>
  <si>
    <t>RQ-03</t>
  </si>
  <si>
    <t>Partes interessadas, requisitos pertinentes e quais são tratados pelo SGQ</t>
  </si>
  <si>
    <t>RG-SGQ-01 tbl_partes_interessadas</t>
  </si>
  <si>
    <t>4.2 c) decidido por requisito</t>
  </si>
  <si>
    <t>RQ-04</t>
  </si>
  <si>
    <t>Âmbito com tipos de produtos e justificação de não aplicabilidade</t>
  </si>
  <si>
    <t>Disponível</t>
  </si>
  <si>
    <t>AMB-SGQ-01</t>
  </si>
  <si>
    <t>RG-SGQ-01 tbl_ambito, tbl_aplicabilidade</t>
  </si>
  <si>
    <t>Nenhum requisito excluído</t>
  </si>
  <si>
    <t>A</t>
  </si>
  <si>
    <t>RQ-05</t>
  </si>
  <si>
    <t>Processos, entradas/saídas, sequência, critérios, KPI, recursos, responsabilidades, riscos</t>
  </si>
  <si>
    <t>Disponível na medida necessária (4.4.2)</t>
  </si>
  <si>
    <t>RG-SGQ-02 tbl_processos, tbl_interacoes</t>
  </si>
  <si>
    <t>18 processos com tartaruga completa</t>
  </si>
  <si>
    <t>RQ-06</t>
  </si>
  <si>
    <t>5.1.1 a)–h), j)–k)</t>
  </si>
  <si>
    <t>Liderança e compromisso da gestão de topo</t>
  </si>
  <si>
    <t>RG-SGQ-03 tbl_lideranca, tbl_gemba</t>
  </si>
  <si>
    <t>Evidências com responsável</t>
  </si>
  <si>
    <t>RQ-07</t>
  </si>
  <si>
    <t>5.1.1 i)</t>
  </si>
  <si>
    <t>Promover a cultura da qualidade e o comportamento ético (2026)</t>
  </si>
  <si>
    <t>RG-SGQ-03 tbl_cultura, tbl_relatos_etica</t>
  </si>
  <si>
    <t>Parcial</t>
  </si>
  <si>
    <t>Maturidade 'Definida'; 3 relatos confirmados</t>
  </si>
  <si>
    <t>RPG-2026-01-D10</t>
  </si>
  <si>
    <t>RQ-08</t>
  </si>
  <si>
    <t>5.1.1 l)</t>
  </si>
  <si>
    <t>Prestar contas pela eficácia do SGQ (2026)</t>
  </si>
  <si>
    <t>RG-SGQ-17 Ata</t>
  </si>
  <si>
    <t>Conclusão assinada pelo DG</t>
  </si>
  <si>
    <t>RQ-09</t>
  </si>
  <si>
    <t>RG-SGQ-03 LID-13 a 15</t>
  </si>
  <si>
    <t>RQ-10</t>
  </si>
  <si>
    <t>Política da qualidade estabelecida, comunicada, compreendida</t>
  </si>
  <si>
    <t>Disponível (5.2.2 a)</t>
  </si>
  <si>
    <t>POL-SGQ-01</t>
  </si>
  <si>
    <t>RG-SGQ-03 Politica_Qualidade; tbl_verif_politica</t>
  </si>
  <si>
    <t>Reverificado em nov/2026 (CON-26-06, quiz 81%); CON-Q-26-09 fechada</t>
  </si>
  <si>
    <t>CON-26-06</t>
  </si>
  <si>
    <t>RQ-11</t>
  </si>
  <si>
    <t>Funções, responsabilidades e autoridades (incl. f) integridade nas alterações)</t>
  </si>
  <si>
    <t>RG-SGQ-03 tbl_autoridades, tbl_raci</t>
  </si>
  <si>
    <t>RACI validada por fórmula</t>
  </si>
  <si>
    <t>RQ-12</t>
  </si>
  <si>
    <t>Determinar riscos e oportunidades considerando 4.1 e 4.2</t>
  </si>
  <si>
    <t>PR-SGQ-04</t>
  </si>
  <si>
    <t>RG-SGA-02; RG-SGQ-04</t>
  </si>
  <si>
    <t>Registo único do SGI</t>
  </si>
  <si>
    <t>RQ-13</t>
  </si>
  <si>
    <t>Analisar e avaliar riscos; ações proporcionais; avaliar a eficácia</t>
  </si>
  <si>
    <t>RG-SGQ-04 tbl_riscos_q</t>
  </si>
  <si>
    <t>17 de 27 riscos com eficácia por avaliar; 3 não eficazes</t>
  </si>
  <si>
    <t>RPG-2026-01</t>
  </si>
  <si>
    <t>RQ-14</t>
  </si>
  <si>
    <t>Analisar e avaliar oportunidades; avaliar a eficácia (2026)</t>
  </si>
  <si>
    <t>RG-SGQ-04 tbl_oport_q</t>
  </si>
  <si>
    <t>10 de 11 por avaliar</t>
  </si>
  <si>
    <t>RQ-15</t>
  </si>
  <si>
    <t>Objetivos mensuráveis e planeamento (a–e)</t>
  </si>
  <si>
    <t>Disponível (6.2.1 g)</t>
  </si>
  <si>
    <t>RG-SGQ-05 tbl_objetivos</t>
  </si>
  <si>
    <t>8 objetivos com plano completo</t>
  </si>
  <si>
    <t>RQ-16</t>
  </si>
  <si>
    <t>Alterações planeadas (a–g; f e g novos)</t>
  </si>
  <si>
    <t>PR-SGQ-03</t>
  </si>
  <si>
    <t>RG-SGQ-06 tbl_alteracoes</t>
  </si>
  <si>
    <t>CON-Q-26-05 fechada; MOC-Q-26-16/17 com planeamento a–g completo</t>
  </si>
  <si>
    <t>CAPA-Q-26-10</t>
  </si>
  <si>
    <t>RQ-17</t>
  </si>
  <si>
    <t>7.1.1–7.1.3</t>
  </si>
  <si>
    <t>Recursos, pessoas e infraestrutura</t>
  </si>
  <si>
    <t>PR-SGQ-15</t>
  </si>
  <si>
    <t>RG-SGQ-02 tbl_maquinas</t>
  </si>
  <si>
    <t>ISBM-005 com MTBF 8,4 h (R3)</t>
  </si>
  <si>
    <t>RQ-18</t>
  </si>
  <si>
    <t>Ambiente para a operação dos processos (social, psicológico, físico)</t>
  </si>
  <si>
    <t>RG-SGQ-02 tbl_ambiente</t>
  </si>
  <si>
    <t>RQ-19</t>
  </si>
  <si>
    <t>Recursos de monitorização e medição adequados</t>
  </si>
  <si>
    <t>Disponível como evidência</t>
  </si>
  <si>
    <t>PR-SGQ-16</t>
  </si>
  <si>
    <t>RG-SGQ-09 tbl_equipamentos, GRR_Calculo, tbl_msa</t>
  </si>
  <si>
    <t>GRR 3,5% da TV</t>
  </si>
  <si>
    <t>B</t>
  </si>
  <si>
    <t>RQ-20</t>
  </si>
  <si>
    <t>Calibração rastreável, identificação do estado, avaliação retrospetiva</t>
  </si>
  <si>
    <t>Disponível (base, quando não há padrão)</t>
  </si>
  <si>
    <t>RG-SGQ-09 tbl_calibracoes, tbl_fora_tolerancia</t>
  </si>
  <si>
    <t>EQM-022/031 recalibrados (set–out/2026); 0 vencidos em 31/12/2026</t>
  </si>
  <si>
    <t>CAPA-Q-26-09</t>
  </si>
  <si>
    <t>RQ-21</t>
  </si>
  <si>
    <t>RG-SGQ-07 tbl_conhecimento</t>
  </si>
  <si>
    <t>3 conhecimentos com risco de perda alto</t>
  </si>
  <si>
    <t>RQ-22</t>
  </si>
  <si>
    <t>PR-SGQ-17</t>
  </si>
  <si>
    <t>RG-SGQ-07 tbl_matriz, tbl_registo_formacao</t>
  </si>
  <si>
    <t>Eficácia da formação avaliada</t>
  </si>
  <si>
    <t>RQ-23</t>
  </si>
  <si>
    <t>Consciencialização (a–e; e cultura e ética)</t>
  </si>
  <si>
    <t>RG-SGQ-07 tbl_consciencializacao</t>
  </si>
  <si>
    <t>Sessão CON-26-06 (nov/2026) a todos os turnos</t>
  </si>
  <si>
    <t>RQ-24</t>
  </si>
  <si>
    <t>Comunicação interna e externa</t>
  </si>
  <si>
    <t>RG-SGQ-08 tbl_comunicacao</t>
  </si>
  <si>
    <t>RQ-25</t>
  </si>
  <si>
    <t>Informação documentada criada, atualizada e controlada</t>
  </si>
  <si>
    <t>— (requisitos de controlo)</t>
  </si>
  <si>
    <t>PR-SGQ-02</t>
  </si>
  <si>
    <t>RG-SGQ-08 tbl_lista_mestra, tbl_doc_externos, tbl_retencao</t>
  </si>
  <si>
    <t>3 documentos com revisão vencida</t>
  </si>
  <si>
    <t>RQ-26</t>
  </si>
  <si>
    <t>Planeamento e controlo operacional; confiança nos processos; alterações não previstas</t>
  </si>
  <si>
    <t>Disponível na medida necessária</t>
  </si>
  <si>
    <t>PR-SGQ-11; PC-*</t>
  </si>
  <si>
    <t>RG-SGQ-13 tbl_plano_controlo</t>
  </si>
  <si>
    <t>RQ-27</t>
  </si>
  <si>
    <t>Comunicação com o cliente (incl. e) contingência — 2026)</t>
  </si>
  <si>
    <t>PR-SGQ-08</t>
  </si>
  <si>
    <t>RG-SGQ-08 tbl_comunicacao_cliente</t>
  </si>
  <si>
    <t>RQ-28</t>
  </si>
  <si>
    <t>Requisitos dos produtos (incl. legais) e capacidade de cumprir declarações</t>
  </si>
  <si>
    <t>RG-SGQ-10 tbl_requisitos_produto</t>
  </si>
  <si>
    <t>PPWR parcial; Cpk ≥ 1,33 não demonstrado</t>
  </si>
  <si>
    <t>OBJ-Q-04</t>
  </si>
  <si>
    <t>RQ-29</t>
  </si>
  <si>
    <t>Revisão dos requisitos antes do compromisso</t>
  </si>
  <si>
    <t>Disponível como evidência (8.2.3.2)</t>
  </si>
  <si>
    <t>RG-SGQ-10 tbl_revisao_encomendas</t>
  </si>
  <si>
    <t>0 exceções em 40 encomendas de out/2026 (CON-Q-26-14)</t>
  </si>
  <si>
    <t>CAPA-Q-26-13</t>
  </si>
  <si>
    <t>RQ-30</t>
  </si>
  <si>
    <t>Alterações aos requisitos</t>
  </si>
  <si>
    <t>Documentação atualizada</t>
  </si>
  <si>
    <t>RG-SGQ-10 tbl_alteracoes_requisitos</t>
  </si>
  <si>
    <t>RQ-31</t>
  </si>
  <si>
    <t>8.3.2–8.3.5</t>
  </si>
  <si>
    <t>Planeamento, entradas, controlos e saídas do design</t>
  </si>
  <si>
    <t>Disponível como evidência (8.3.3, 8.3.4 f, 8.3.5)</t>
  </si>
  <si>
    <t>PR-SGQ-10</t>
  </si>
  <si>
    <t>RQ-32</t>
  </si>
  <si>
    <t>8.3.6</t>
  </si>
  <si>
    <t>Alterações do design (revisão, autorização, ações)</t>
  </si>
  <si>
    <t>RG-SGQ-11 tbl_alteracoes_dd</t>
  </si>
  <si>
    <t>DC-26-01 implementada; auditoria da configuração aos 17 SKU sem desvios</t>
  </si>
  <si>
    <t>CAPA-Q-26-11</t>
  </si>
  <si>
    <t>RQ-33</t>
  </si>
  <si>
    <t>Critérios de avaliação, seleção, monitorização e reavaliação de fornecedores</t>
  </si>
  <si>
    <t>Disponível como evidência (8.4.1)</t>
  </si>
  <si>
    <t>PR-SGQ-12</t>
  </si>
  <si>
    <t>SUP-004/006 aprovados com classe C (rever estado)</t>
  </si>
  <si>
    <t>RPG-2026-01-D06</t>
  </si>
  <si>
    <t>RQ-34</t>
  </si>
  <si>
    <t>Condições controladas (incl. f validação e g erro humano)</t>
  </si>
  <si>
    <t>Disponível (a — características, atividades, resultados)</t>
  </si>
  <si>
    <t>PR-SGQ-13; IT-*</t>
  </si>
  <si>
    <t>RG-SGQ-13 tbl_plano_controlo, tbl_validacao, tbl_erro_humano</t>
  </si>
  <si>
    <t>2 medidas de erro humano em implementação</t>
  </si>
  <si>
    <t>RQ-35</t>
  </si>
  <si>
    <t>Disponível como evidência (d)</t>
  </si>
  <si>
    <t>PR-SGQ-13</t>
  </si>
  <si>
    <t>RG-SGQ-13 tbl_rastreio</t>
  </si>
  <si>
    <t>Rastreio de resina por FIFO (CON-Q-26-08)</t>
  </si>
  <si>
    <t>RPG-2026-01-D07</t>
  </si>
  <si>
    <t>RQ-36</t>
  </si>
  <si>
    <t>Propriedade dos clientes ou fornecedores externos</t>
  </si>
  <si>
    <t>Disponível como evidência do que ocorreu</t>
  </si>
  <si>
    <t>RG-SGQ-10 tbl_propriedade_cliente</t>
  </si>
  <si>
    <t>RQ-37</t>
  </si>
  <si>
    <t>8.5.4–8.5.5</t>
  </si>
  <si>
    <t>Preservação e atividades pós-entrega</t>
  </si>
  <si>
    <t>RG-SGQ-13 tbl_preservacao; RG-SGQ-10 tbl_pos_entrega</t>
  </si>
  <si>
    <t>RQ-38</t>
  </si>
  <si>
    <t>Controlo de alterações na produção (revisão, quem autoriza, ações)</t>
  </si>
  <si>
    <t>CAPA-Q-26-10 fechada; alterações do 4.º trimestre autorizadas antes da implementação</t>
  </si>
  <si>
    <t>RQ-39</t>
  </si>
  <si>
    <t>Libertação com evidência de conformidade e de quem autorizou</t>
  </si>
  <si>
    <t>Disponível como evidência (a, b)</t>
  </si>
  <si>
    <t>RG-SGQ-13 tbl_libertacao</t>
  </si>
  <si>
    <t>6 361 lotes com inspetor e decisão</t>
  </si>
  <si>
    <t>RQ-40</t>
  </si>
  <si>
    <t>Controlo de saídas não conformes (a–d) e concessões</t>
  </si>
  <si>
    <t>Disponível como evidência (8.7.2 a–d)</t>
  </si>
  <si>
    <t>PR-SGQ-14</t>
  </si>
  <si>
    <t>RG-SGQ-14 tbl_snc, tbl_concessoes</t>
  </si>
  <si>
    <t>CON-Q-26-03 fechada: bloqueio no ERP desde 30/10/2026; eficácia por verificar (histórico do dataset mantém 10 concessões sem aprovação)</t>
  </si>
  <si>
    <t>CAPA-Q-26-08</t>
  </si>
  <si>
    <t>RQ-41</t>
  </si>
  <si>
    <t>Monitorização, medição, análise e avaliação; evidência dos resultados</t>
  </si>
  <si>
    <t>PR-SGQ-07</t>
  </si>
  <si>
    <t>RG-SGQ-05 tbl_kpi_mensal, tbl_plano_monitorizacao</t>
  </si>
  <si>
    <t>RQ-42</t>
  </si>
  <si>
    <t>Satisfação do cliente (métodos para obter, monitorizar e rever)</t>
  </si>
  <si>
    <t>PR-SGQ-09</t>
  </si>
  <si>
    <t>CSI 78,5% (meta 80%)</t>
  </si>
  <si>
    <t>RQ-43</t>
  </si>
  <si>
    <t>Análise e avaliação (a–h; e/f riscos e oportunidades)</t>
  </si>
  <si>
    <t>RG-SGQ-05 Painel_KPI; RG-SGQ-04</t>
  </si>
  <si>
    <t>RQ-44</t>
  </si>
  <si>
    <t>Programa de auditoria e resultados</t>
  </si>
  <si>
    <t>Disponível como evidência (9.2.2)</t>
  </si>
  <si>
    <t>PR-SGQ-05</t>
  </si>
  <si>
    <t>Programa baseado no risco; 100% cumprido</t>
  </si>
  <si>
    <t>RQ-45</t>
  </si>
  <si>
    <t>Revisão pela gestão (entradas a–h; saídas)</t>
  </si>
  <si>
    <t>Disponível como evidência (9.3.3)</t>
  </si>
  <si>
    <t>RQ-46</t>
  </si>
  <si>
    <t>8 projetos; COQ mensal</t>
  </si>
  <si>
    <t>RQ-47</t>
  </si>
  <si>
    <t>NC e ação corretiva (a–f); eficácia</t>
  </si>
  <si>
    <t>Disponível como evidência (10.2.2)</t>
  </si>
  <si>
    <t>PR-SGQ-06</t>
  </si>
  <si>
    <t>RG-SGQ-18; RG-SGQ-14</t>
  </si>
  <si>
    <t>Comité de CAPA: vencidas 49% → 31%; 17% das NC maiores de out–nov ainda sem CAPA (CON-Q-26-16)</t>
  </si>
  <si>
    <t>CAPA-Q-26-12</t>
  </si>
  <si>
    <t>PRONTIDÃO PARA A ISO 9001:2026 — RESUMO POR CAPÍTULO — calculado</t>
  </si>
  <si>
    <t>Índice = (Conforme + 0,5 × Parcial) ÷ requisitos</t>
  </si>
  <si>
    <t>Capítulo</t>
  </si>
  <si>
    <t>Requisitos</t>
  </si>
  <si>
    <t>Lacuna</t>
  </si>
  <si>
    <t>Novos 2026</t>
  </si>
  <si>
    <t>Índice de prontidão</t>
  </si>
  <si>
    <t>4</t>
  </si>
  <si>
    <t>Contexto</t>
  </si>
  <si>
    <t>5</t>
  </si>
  <si>
    <t>Liderança</t>
  </si>
  <si>
    <t>6</t>
  </si>
  <si>
    <t>Planeamento</t>
  </si>
  <si>
    <t>7</t>
  </si>
  <si>
    <t>8</t>
  </si>
  <si>
    <t>Operação</t>
  </si>
  <si>
    <t>9</t>
  </si>
  <si>
    <t>Avaliação do desempenho</t>
  </si>
  <si>
    <t>10</t>
  </si>
  <si>
    <t>Melhoria</t>
  </si>
  <si>
    <t>Total</t>
  </si>
  <si>
    <t>Informação documentada obrigatória (A) na matriz</t>
  </si>
  <si>
    <t>Evidência obrigatória (B) na matriz</t>
  </si>
  <si>
    <t>MATRIZ MESTRA DE INFORMAÇÃO DOCUMENTADA — ISO 9001:2026</t>
  </si>
  <si>
    <t>A = a norma exige que esteja 'disponível' · B = 'disponível como evidência' · C = a Plasticom determinou necessária (7.5.1 b) · Não há manual da qualidade (não exigido)</t>
  </si>
  <si>
    <t>Documento_Registo</t>
  </si>
  <si>
    <t>Obrigatoriedade</t>
  </si>
  <si>
    <t>Aprovacao</t>
  </si>
  <si>
    <t>Retencao</t>
  </si>
  <si>
    <t>Formato</t>
  </si>
  <si>
    <t>Onde_no_SGQ</t>
  </si>
  <si>
    <t>Relacao_ISO14001</t>
  </si>
  <si>
    <t>DOC-001</t>
  </si>
  <si>
    <t>Âmbito do SGQ</t>
  </si>
  <si>
    <t>Âmbito aprovado com tipos de produtos e aplicabilidade</t>
  </si>
  <si>
    <t>Anual</t>
  </si>
  <si>
    <t>Até substituição + 5 anos</t>
  </si>
  <si>
    <t>Excel / PDF</t>
  </si>
  <si>
    <t>RG-SGQ-01 tbl_ambito</t>
  </si>
  <si>
    <t>4.3 (âmbito do SGA — RG-SGA-01)</t>
  </si>
  <si>
    <t>DOC-002</t>
  </si>
  <si>
    <t>5.2.2 a)</t>
  </si>
  <si>
    <t>POL-SGQ-01 afixada e publicada</t>
  </si>
  <si>
    <t>PDF / afixação</t>
  </si>
  <si>
    <t>RG-SGQ-03 Politica_Qualidade</t>
  </si>
  <si>
    <t>5.2 (política ambiental)</t>
  </si>
  <si>
    <t>DOC-003</t>
  </si>
  <si>
    <t>Objetivos da qualidade</t>
  </si>
  <si>
    <t>6.2.1 g)</t>
  </si>
  <si>
    <t>Objetivos SMART com plano 6.2.2</t>
  </si>
  <si>
    <t>5 anos</t>
  </si>
  <si>
    <t>Excel / BI</t>
  </si>
  <si>
    <t>6.2 (RG-SGA-05)</t>
  </si>
  <si>
    <t>DOC-004</t>
  </si>
  <si>
    <t>Informação para operar os processos</t>
  </si>
  <si>
    <t>4.4.2 a); 8.5.1 a)</t>
  </si>
  <si>
    <t>Procedimentos, planos de controlo, instruções</t>
  </si>
  <si>
    <t>24 meses</t>
  </si>
  <si>
    <t>Eletrónico</t>
  </si>
  <si>
    <t>RG-SGQ-08 tbl_lista_mestra</t>
  </si>
  <si>
    <t>7.5 / 8.1</t>
  </si>
  <si>
    <t>REG-001</t>
  </si>
  <si>
    <t>Evidência de que os processos são realizados como planeado</t>
  </si>
  <si>
    <t>4.4.2 b); 8.1</t>
  </si>
  <si>
    <t>Registos de produção, autocontrolo, SPC</t>
  </si>
  <si>
    <t>Contínua</t>
  </si>
  <si>
    <t>MES / data warehouse</t>
  </si>
  <si>
    <t>RG-SGQ-05 tbl_base_mensal; RG-SGQ-13</t>
  </si>
  <si>
    <t>REG-002</t>
  </si>
  <si>
    <t>Adequação dos recursos de monitorização e medição</t>
  </si>
  <si>
    <t>Inventário, MSA</t>
  </si>
  <si>
    <t>Vida do equipamento + 5 anos</t>
  </si>
  <si>
    <t>Excel</t>
  </si>
  <si>
    <t>RG-SGQ-09 tbl_equipamentos, tbl_msa</t>
  </si>
  <si>
    <t>9.1.1 (RG-SGA-13)</t>
  </si>
  <si>
    <t>REG-003</t>
  </si>
  <si>
    <t>Base da calibração/verificação e estado</t>
  </si>
  <si>
    <t>7.1.5.2 a)</t>
  </si>
  <si>
    <t>Certificados, decisão com banda de guarda</t>
  </si>
  <si>
    <t>Por intervalo</t>
  </si>
  <si>
    <t>PDF + Excel</t>
  </si>
  <si>
    <t>RG-SGQ-09 tbl_calibracoes</t>
  </si>
  <si>
    <t>REG-004</t>
  </si>
  <si>
    <t>Evidência de competência</t>
  </si>
  <si>
    <t>Matriz, formação, validação no posto</t>
  </si>
  <si>
    <t>Por ação</t>
  </si>
  <si>
    <t>Contrato + 5 anos</t>
  </si>
  <si>
    <t>Excel + RH</t>
  </si>
  <si>
    <t>7.2 (RG-SGA-08)</t>
  </si>
  <si>
    <t>REG-005</t>
  </si>
  <si>
    <t>Resultados da revisão de requisitos e requisitos novos/alterados</t>
  </si>
  <si>
    <t>8.2.3.2</t>
  </si>
  <si>
    <t>Checklist por encomenda</t>
  </si>
  <si>
    <t>Por encomenda</t>
  </si>
  <si>
    <t>5 anos (farma 10)</t>
  </si>
  <si>
    <t>ERP + Excel</t>
  </si>
  <si>
    <t>REG-006</t>
  </si>
  <si>
    <t>Entradas, controlos, saídas e alterações do design</t>
  </si>
  <si>
    <t>8.3.3–8.3.6</t>
  </si>
  <si>
    <t>Stage-gate, V&amp;V, especificações</t>
  </si>
  <si>
    <t>Por projeto</t>
  </si>
  <si>
    <t>Vida do produto + 10 anos</t>
  </si>
  <si>
    <t>Repositório de projeto</t>
  </si>
  <si>
    <t>8.1 (perspetiva de ciclo de vida)</t>
  </si>
  <si>
    <t>REG-007</t>
  </si>
  <si>
    <t>Avaliação, seleção, monitorização e reavaliação de fornecedores</t>
  </si>
  <si>
    <t>8.4.1</t>
  </si>
  <si>
    <t>Scorecard, decisões, SCAR</t>
  </si>
  <si>
    <t>Mensal / semestral</t>
  </si>
  <si>
    <t>8.1 (RG-SGA-11 fornecedores)</t>
  </si>
  <si>
    <t>REG-008</t>
  </si>
  <si>
    <t>Rastreabilidade</t>
  </si>
  <si>
    <t>8.5.2 d)</t>
  </si>
  <si>
    <t>Lote → ordem → cliente; exercícios</t>
  </si>
  <si>
    <t>Por lote</t>
  </si>
  <si>
    <t>Validade + 1 ano (farma 10)</t>
  </si>
  <si>
    <t>MES/ERP</t>
  </si>
  <si>
    <t>RG-SGQ-13 tbl_libertacao, tbl_rastreio</t>
  </si>
  <si>
    <t>REG-009</t>
  </si>
  <si>
    <t>Propriedade do cliente (ocorrências)</t>
  </si>
  <si>
    <t>Perdas/danos comunicados</t>
  </si>
  <si>
    <t>Por ocorrência</t>
  </si>
  <si>
    <t>REG-010</t>
  </si>
  <si>
    <t>Revisão de alterações na produção</t>
  </si>
  <si>
    <t>MOC com autorização</t>
  </si>
  <si>
    <t>Por alteração</t>
  </si>
  <si>
    <t>Vida do produto + 5 anos</t>
  </si>
  <si>
    <t>6.3 (RG-SGA-18)</t>
  </si>
  <si>
    <t>REG-011</t>
  </si>
  <si>
    <t>Libertação do produto</t>
  </si>
  <si>
    <t>Decisão de lote + inspetor</t>
  </si>
  <si>
    <t>Validade + 1 ano (mín. 5)</t>
  </si>
  <si>
    <t>MES + Excel</t>
  </si>
  <si>
    <t>REG-012</t>
  </si>
  <si>
    <t>Saídas não conformes e concessões</t>
  </si>
  <si>
    <t>8.7.2</t>
  </si>
  <si>
    <t>Natureza, ação, concessão, autoridade</t>
  </si>
  <si>
    <t>Por NC</t>
  </si>
  <si>
    <t>Excel + MES</t>
  </si>
  <si>
    <t>10.2 (RG-SGA-07)</t>
  </si>
  <si>
    <t>REG-013</t>
  </si>
  <si>
    <t>Resultados de monitorização e medição</t>
  </si>
  <si>
    <t>KPI mensais</t>
  </si>
  <si>
    <t>Mensal</t>
  </si>
  <si>
    <t>RG-SGQ-05 tbl_kpi_mensal</t>
  </si>
  <si>
    <t>REG-014</t>
  </si>
  <si>
    <t>Programa e resultados de auditoria</t>
  </si>
  <si>
    <t>9.2.2</t>
  </si>
  <si>
    <t>Programa, checklist, constatações</t>
  </si>
  <si>
    <t>Programa anual</t>
  </si>
  <si>
    <t>2 ciclos de certificação</t>
  </si>
  <si>
    <t>9.2 (RG-SGA-14)</t>
  </si>
  <si>
    <t>REG-015</t>
  </si>
  <si>
    <t>Resultados da revisão pela gestão</t>
  </si>
  <si>
    <t>9.3.3</t>
  </si>
  <si>
    <t>Ata e decisões</t>
  </si>
  <si>
    <t>Semestral</t>
  </si>
  <si>
    <t>10 anos</t>
  </si>
  <si>
    <t>Excel + PDF</t>
  </si>
  <si>
    <t>9.3 (RG-SGA-15)</t>
  </si>
  <si>
    <t>REG-016</t>
  </si>
  <si>
    <t>NC e resultados das ações corretivas</t>
  </si>
  <si>
    <t>10.2.2</t>
  </si>
  <si>
    <t>CAPA, 8D, eficácia</t>
  </si>
  <si>
    <t>Excel + CAPA</t>
  </si>
  <si>
    <t>GES-001</t>
  </si>
  <si>
    <t>Contexto e partes interessadas</t>
  </si>
  <si>
    <t>Registo de gestão</t>
  </si>
  <si>
    <t>4.1; 4.2</t>
  </si>
  <si>
    <t>Questões e requisitos monitorizados</t>
  </si>
  <si>
    <t>4.1; 4.2 (RG-SGA-01)</t>
  </si>
  <si>
    <t>GES-002</t>
  </si>
  <si>
    <t>Mapa de processos e interações</t>
  </si>
  <si>
    <t>4.4.1</t>
  </si>
  <si>
    <t>Tartaruga e matriz</t>
  </si>
  <si>
    <t>GES-003</t>
  </si>
  <si>
    <t>Riscos e oportunidades</t>
  </si>
  <si>
    <t>6.1</t>
  </si>
  <si>
    <t>Registo SGI + vista SGQ + PFMEA</t>
  </si>
  <si>
    <t>Trimestral</t>
  </si>
  <si>
    <t>6.1 (RG-SGA-02)</t>
  </si>
  <si>
    <t>GES-004</t>
  </si>
  <si>
    <t>MOC a–g</t>
  </si>
  <si>
    <t>GES-005</t>
  </si>
  <si>
    <t>Cultura da qualidade e liderança</t>
  </si>
  <si>
    <t>ISO 10010, gemba, relatos</t>
  </si>
  <si>
    <t>5.1</t>
  </si>
  <si>
    <t>GES-006</t>
  </si>
  <si>
    <t>Satisfação do cliente e reclamações</t>
  </si>
  <si>
    <t>9.1.2; 8.2.1 c)</t>
  </si>
  <si>
    <t>ISO 10002 / 10004</t>
  </si>
  <si>
    <t>Excel + CRM</t>
  </si>
  <si>
    <t>7.4 (comunicação externa)</t>
  </si>
  <si>
    <t>GES-007</t>
  </si>
  <si>
    <t>Custo da qualidade e melhoria</t>
  </si>
  <si>
    <t>PAF e projetos</t>
  </si>
  <si>
    <t>10.1 (RG-SGA-16)</t>
  </si>
  <si>
    <t>NORMAS, ORIENTAÇÕES E FONTES USADAS</t>
  </si>
  <si>
    <t>As orientações do APG e das normas ISO 100xx não são requisitos auditáveis da ISO 9001 — foram usadas como boas práticas</t>
  </si>
  <si>
    <t>Referencia</t>
  </si>
  <si>
    <t>Onde</t>
  </si>
  <si>
    <t>Aplicada_em</t>
  </si>
  <si>
    <t>REF-01</t>
  </si>
  <si>
    <t>ISO 9001:2026 — requisitos (tradução oficial ES)</t>
  </si>
  <si>
    <t>Pasta ISO_9001_2026-...-Interpretação</t>
  </si>
  <si>
    <t>Todos os registos (cláusulas 4 a 10 lidas no original)</t>
  </si>
  <si>
    <t>Norma</t>
  </si>
  <si>
    <t>REF-02</t>
  </si>
  <si>
    <t>ISO/TC 176 — ISO 9001 Auditing Practices Group (APG)</t>
  </si>
  <si>
    <t>https://committee.iso.org/home/tc176/iso-9001-auditing-practices-group.html</t>
  </si>
  <si>
    <t>Contexto, alterações climáticas, processos, riscos, auditoria interna, fornecedores, NC; orientação, não requisitos</t>
  </si>
  <si>
    <t>Orientação</t>
  </si>
  <si>
    <t>REF-03</t>
  </si>
  <si>
    <t>APG — Guidance on Internal Audits</t>
  </si>
  <si>
    <t>committee.iso.org (PDF APG-InternalAudit)</t>
  </si>
  <si>
    <t>RG-SGQ-16: priorização por risco, competência e imparcialidade</t>
  </si>
  <si>
    <t>REF-04</t>
  </si>
  <si>
    <t>ISO 9001 Navigator Pro (iso9001help.co.uk)</t>
  </si>
  <si>
    <t>https://www.iso9001help.co.uk/iso-9001-navigator-pro.html</t>
  </si>
  <si>
    <t>Estrutura PDCA; procedimentos e registos por cláusula; preparação para 2026</t>
  </si>
  <si>
    <t>REF-05</t>
  </si>
  <si>
    <t>ISO 19011:2026 — auditorias de sistemas de gestão (4.ª ed., mai/2026)</t>
  </si>
  <si>
    <t>https://www.iso.org/standard/19011</t>
  </si>
  <si>
    <t>RG-SGQ-16: programa, riscos do programa, auditoria remota, competência</t>
  </si>
  <si>
    <t>Norma de orientação</t>
  </si>
  <si>
    <t>REF-06</t>
  </si>
  <si>
    <t>ISO 10002:2018 — tratamento de reclamações</t>
  </si>
  <si>
    <t>Pasta de interpretação (PDF)</t>
  </si>
  <si>
    <t>RG-SGQ-15 tbl_reclamacoes</t>
  </si>
  <si>
    <t>REF-07</t>
  </si>
  <si>
    <t>ISO 10004:2018 — monitorização e medição da satisfação</t>
  </si>
  <si>
    <t>iso.org/standard/71582</t>
  </si>
  <si>
    <t>RG-SGQ-15 inquérito, atributos, importância × satisfação</t>
  </si>
  <si>
    <t>REF-08</t>
  </si>
  <si>
    <t>ISO 10012:2026 — sistemas de gestão da medição (fev/2026)</t>
  </si>
  <si>
    <t>iso.org; Academy cap. 59</t>
  </si>
  <si>
    <t>RG-SGQ-09. NOTA: a ISO 10012 trata da medição, não da gestão de mudanças</t>
  </si>
  <si>
    <t>REF-09</t>
  </si>
  <si>
    <t>ISO 10007:2017 — gestão da configuração</t>
  </si>
  <si>
    <t>iso.org/standard/70400</t>
  </si>
  <si>
    <t>RG-SGQ-06 (gestão de mudanças) e RG-SGQ-11 (auditoria da configuração)</t>
  </si>
  <si>
    <t>REF-10</t>
  </si>
  <si>
    <t>ISO 10010:2022 — cultura da qualidade</t>
  </si>
  <si>
    <t>iso.org/standard/38457</t>
  </si>
  <si>
    <t>RG-SGQ-03 tbl_cultura</t>
  </si>
  <si>
    <t>REF-11</t>
  </si>
  <si>
    <t>ISO 10015:2019 — gestão de competências</t>
  </si>
  <si>
    <t>iso.org/standard/69459</t>
  </si>
  <si>
    <t>RG-SGQ-07 formação e eficácia</t>
  </si>
  <si>
    <t>REF-12</t>
  </si>
  <si>
    <t>ISO 10009:2024 — ferramentas da qualidade</t>
  </si>
  <si>
    <t>RG-SGQ-18 análise de causa</t>
  </si>
  <si>
    <t>REF-13</t>
  </si>
  <si>
    <t>ISO 31000:2018 / IEC 31010:2019</t>
  </si>
  <si>
    <t>Pasta gestao_de_riscos_ISO_31000</t>
  </si>
  <si>
    <t>RG-SGA-02 / RG-SGQ-04</t>
  </si>
  <si>
    <t>REF-14</t>
  </si>
  <si>
    <t>ICH Q9(R1) — gestão do risco da qualidade</t>
  </si>
  <si>
    <t>RG-SGQ-04 (produtos farmacêuticos)</t>
  </si>
  <si>
    <t>Orientação setorial</t>
  </si>
  <si>
    <t>REF-15</t>
  </si>
  <si>
    <t>ISO 2859-1:2026 / ISO 3951</t>
  </si>
  <si>
    <t>Academy cap. 63–64, 141–142</t>
  </si>
  <si>
    <t>RG-SGQ-13 amostragem e libertação</t>
  </si>
  <si>
    <t>REF-16</t>
  </si>
  <si>
    <t>Manual de Engenharia da Qualidade (ASQ CQE/CSSBB) — Quality Engineering Academy</t>
  </si>
  <si>
    <t>C:/Project Portfolios/quality-engineering-academy</t>
  </si>
  <si>
    <t>Cap. 7 COQ, 59 ISO 10012, 88–93 SGQ e auditoria, 99 fornecedores, 157 VoC, 160 8D/CAPA, 175 GRR</t>
  </si>
  <si>
    <t>Teoria (ASQ BoK)</t>
  </si>
  <si>
    <t>REF-17</t>
  </si>
  <si>
    <t>Curso ISO 9001:2026 — OA 1.1 a 3.7 (M&amp;T)</t>
  </si>
  <si>
    <t>Pasta de interpretação/M&amp;T</t>
  </si>
  <si>
    <t>Estrutura dos registos e atividades</t>
  </si>
  <si>
    <t>Formação</t>
  </si>
  <si>
    <t>REF-18</t>
  </si>
  <si>
    <t>Dataset do projeto (bronze/silver/dim) e notebook</t>
  </si>
  <si>
    <t>datasets/; manufacturing_performance_analytics.ipynb</t>
  </si>
  <si>
    <t>Todos os dados operacionais e de qualidade</t>
  </si>
  <si>
    <t>REF-19</t>
  </si>
  <si>
    <t>Pesquisa ChatGPT (fornecida pela utilizadora)</t>
  </si>
  <si>
    <t>Conversa de 28/09/2026</t>
  </si>
  <si>
    <t>Classificação A/B/C da informação documentada e matriz mestra (Matriz_Mestra_Info_Doc)</t>
  </si>
  <si>
    <t>Input</t>
  </si>
  <si>
    <t>MODELO DE DADOS DO SGQ</t>
  </si>
  <si>
    <t>Estrutura</t>
  </si>
  <si>
    <t>Modelo em estrela: factos (base mensal, KPI mensais, libertação de lotes, NC, CAPA, reclamações, receções de MP, calibrações, formação, encomendas) ligados a dimensões partilhadas (mês, processo, função, cláusula, cliente, fornecedor, máquina, produto, pessoa) e a registos de gestão (riscos, objetivos, MOC, auditorias, decisões) por IDs estáveis.</t>
  </si>
  <si>
    <t>Ligação ao dataset</t>
  </si>
  <si>
    <t>Os IDs de máquina (IM-/ISBM-/SS-/HF-), molde, produto, lote, ordem (WO-), encomenda (SO-), cliente (CUST-), fornecedor (SUP-), NC (NC-), CAPA (CAPA-), reclamação (CC-) e operador (OP-) são os do dataset — permite cruzar os registos do SGQ com o data warehouse, o notebook e o Power BI.</t>
  </si>
  <si>
    <t>Convenção de IDs do SGQ</t>
  </si>
  <si>
    <t>PESQ / SWTQ / TOWSQ / CFQ (contexto — equivalentes a PES / SWT / TOWS / CF do SGA) · PIQ (partes) · KPI-Q / OBJ-Q / PMM (desempenho) · MOC-Q (alterações) · CQ / FOR-Q / CON (competência) · EQM / CAL / OOT / GRR (metrologia) · RQC / ALR / PRC (cliente) · DD / DC (design) · CONC (concessões) · AUD-Q / CON-Q / CHK (auditoria) · RPG (revisão) · CAPA-Q / 8D (ação corretiva) · PRJ-Q / SUG (melhoria).</t>
  </si>
  <si>
    <t>Ligação ao SGA (SGI)</t>
  </si>
  <si>
    <t>Contexto (RG-SGA-01), riscos (RG-SGA-02), requisitos legais (RG-SGA-04) e fornecedores (RG-SGA-11) são lidos na construção (prefixo SGA: na integridade referencial). As tabelas do SGQ com assunto igual ao do SGA têm o MESMO nome e os mesmos nomes de coluna (ver Matriz_Harmonizacao_SGI) para a consolidação em templates únicos para a gestão de topo.</t>
  </si>
  <si>
    <t>Casos de análise / ML</t>
  </si>
  <si>
    <t>1) Previsão da rejeição mensal por máquina (séries temporais). 2) Classificação da probabilidade de rejeição de lote (tbl_libertacao) por máquina, turno, produto e mês. 3) Sobrevivência do tempo até fecho de CAPA/reclamação. 4) Scorecard preditivo de fornecedores. 5) Texto das NC/8D para agrupar causas.</t>
  </si>
  <si>
    <t>Atualização</t>
  </si>
  <si>
    <t>python _build/build_all.py reconstrói tudo a partir do dataset e recalcula no Excel; python _build/build_all.py 05 13 reconstrói só os registos indicados. Os registos podem ser editados no Excel; as colunas cinzentas recalculam-se sozinhas.</t>
  </si>
  <si>
    <t>Localização (Excel PT)</t>
  </si>
  <si>
    <t>As fórmulas evitam TEXT com códigos de data e critérios com casas decimais em texto (dependem do idioma do Excel); usam números de série e concatenação.</t>
  </si>
  <si>
    <t>LISTAS CONTROLADAS (domínios de validação de dados) — editar aqui para alterar opções</t>
  </si>
  <si>
    <t>DataReferencia</t>
  </si>
  <si>
    <t>SimNao</t>
  </si>
  <si>
    <t>Dominio_Unidade</t>
  </si>
  <si>
    <t>Obrigatorio</t>
  </si>
  <si>
    <t>Texto</t>
  </si>
  <si>
    <t>Entrada</t>
  </si>
  <si>
    <t>Ficheiro.</t>
  </si>
  <si>
    <t>Código do registo.</t>
  </si>
  <si>
    <t>PK</t>
  </si>
  <si>
    <t>Conteúdo.</t>
  </si>
  <si>
    <t>Utilização / atividades (lido do 00_LEIA-ME do registo).</t>
  </si>
  <si>
    <t>Cláusulas ISO 9001:2026.</t>
  </si>
  <si>
    <t>Requisito.</t>
  </si>
  <si>
    <t>Cláusula.</t>
  </si>
  <si>
    <t>Calculado (fórmula)</t>
  </si>
  <si>
    <t>Capítulo 4–10.</t>
  </si>
  <si>
    <t>Requisito (resumo).</t>
  </si>
  <si>
    <t>Novo/alterado na edição 2026 (assinalado no texto).</t>
  </si>
  <si>
    <t>O que a norma exige: 'disponível' / 'disponível como evidência' / não exigida.</t>
  </si>
  <si>
    <t>Documento controlado.</t>
  </si>
  <si>
    <t>Registo e tabelas com a evidência.</t>
  </si>
  <si>
    <t>Conforme · Parcial · Lacuna (verificação de 31/12/2026).</t>
  </si>
  <si>
    <t>Lista lst_Estado</t>
  </si>
  <si>
    <t>Observação.</t>
  </si>
  <si>
    <t>Ação que trata a lacuna.</t>
  </si>
  <si>
    <t>Decimal</t>
  </si>
  <si>
    <t>1 · 0,5 · 0 (índice de prontidão).</t>
  </si>
  <si>
    <t>[Só SGQ] A documento obrigatório · B evidência obrigatória · C determinada pela organização.</t>
  </si>
  <si>
    <t>Lista lst_Classe</t>
  </si>
  <si>
    <t>tbl_matriz_mestra</t>
  </si>
  <si>
    <t>Código na matriz mestra.</t>
  </si>
  <si>
    <t>Informação documentada.</t>
  </si>
  <si>
    <t>Documento / registo / registo de gestão.</t>
  </si>
  <si>
    <t>Processo.</t>
  </si>
  <si>
    <t>Requisito ISO 9001:2026.</t>
  </si>
  <si>
    <t>A / B / C.</t>
  </si>
  <si>
    <t>O que demonstra.</t>
  </si>
  <si>
    <t>Responsável.</t>
  </si>
  <si>
    <t>Quem aprova.</t>
  </si>
  <si>
    <t>Frequência.</t>
  </si>
  <si>
    <t>Retenção.</t>
  </si>
  <si>
    <t>Formato.</t>
  </si>
  <si>
    <t>Registo e tabela.</t>
  </si>
  <si>
    <t>Correspondência no SGA (SGI).</t>
  </si>
  <si>
    <t>tbl_catalogo</t>
  </si>
  <si>
    <t>Folha.</t>
  </si>
  <si>
    <t>Tabela Excel.</t>
  </si>
  <si>
    <t>Inteiro</t>
  </si>
  <si>
    <t>Linha do cabeçalho.</t>
  </si>
  <si>
    <t>Registos (1.ª coluna preenchida).</t>
  </si>
  <si>
    <t>Colunas.</t>
  </si>
  <si>
    <t>Primeira coluna.</t>
  </si>
  <si>
    <t>Código para ler a tabela em Python.</t>
  </si>
  <si>
    <t>tbl_integridade</t>
  </si>
  <si>
    <t>Tabela com a chave estrangeira.</t>
  </si>
  <si>
    <t>Coluna FK.</t>
  </si>
  <si>
    <t>Tabela referenciada (SGQ ou SGA).</t>
  </si>
  <si>
    <t>Referências verificadas.</t>
  </si>
  <si>
    <t>Sem correspondência.</t>
  </si>
  <si>
    <t>IDs em falta.</t>
  </si>
  <si>
    <t>OK / Rever.</t>
  </si>
  <si>
    <t>tbl_fontes</t>
  </si>
  <si>
    <t>Norma / fonte.</t>
  </si>
  <si>
    <t>Localização / URL.</t>
  </si>
  <si>
    <t>Onde foi aplicada.</t>
  </si>
  <si>
    <t>Requisito / orientação / dados.</t>
  </si>
  <si>
    <t>Único registo onde o assunto é escrito.</t>
  </si>
  <si>
    <t>Onde aparece só por ID ou valor gerado.</t>
  </si>
  <si>
    <t>[Só SGQ] Dono do processo.</t>
  </si>
  <si>
    <t>Processo / área da função (código de processo).</t>
  </si>
  <si>
    <t>tbl_dim_clausula</t>
  </si>
  <si>
    <t>Lista lst_SimNao</t>
  </si>
  <si>
    <t>tbl_harmonizacao_resumo</t>
  </si>
  <si>
    <t>Par de tabelas SGQ ↔ SGA.</t>
  </si>
  <si>
    <t>Assunto comum.</t>
  </si>
  <si>
    <t>Registo do SGQ.</t>
  </si>
  <si>
    <t>Tabela do SGQ.</t>
  </si>
  <si>
    <t>Registo do SGA (padrão do SGI).</t>
  </si>
  <si>
    <t>Tabela do SGA.</t>
  </si>
  <si>
    <t>A tabela tem o mesmo nome nos dois sistemas?</t>
  </si>
  <si>
    <t>Colunas da tabela do SGQ.</t>
  </si>
  <si>
    <t>Colunas da tabela do SGA.</t>
  </si>
  <si>
    <t>Colunas com o mesmo nome.</t>
  </si>
  <si>
    <t>Mesmo significado, nome próprio da norma.</t>
  </si>
  <si>
    <t>Colunas só do SGQ (ficam vazias no SGA ao consolidar).</t>
  </si>
  <si>
    <t>Colunas só do SGA (ficam vazias no SGQ ao consolidar).</t>
  </si>
  <si>
    <t>Percentagem (fração 0-1)</t>
  </si>
  <si>
    <t>% das colunas do SGA que existem no SGQ (iguais + equivalentes).</t>
  </si>
  <si>
    <t>tbl_harmonizacao</t>
  </si>
  <si>
    <t>Par.</t>
  </si>
  <si>
    <t>FK → tbl_harmonizacao_resumo</t>
  </si>
  <si>
    <t>Coluna no SGQ.</t>
  </si>
  <si>
    <t>Posição da coluna no SGQ.</t>
  </si>
  <si>
    <t>Coluna correspondente no SGA.</t>
  </si>
  <si>
    <t>Posição da coluna no SGA.</t>
  </si>
  <si>
    <t>Igual · Equivalente (renomear na consolidação) · Só SGQ · Só SGA.</t>
  </si>
  <si>
    <t>Lista lst_Correspondencia</t>
  </si>
  <si>
    <t>Nome a usar no template único do SGI (o do SGA quando existe).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</si>
</sst>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" fontId="4" fillId="0" borderId="0" xfId="0" applyNumberFormat="1" applyFont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9"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ill>
        <patternFill patternType="solid">
          <fgColor rgb="FFFCE4C4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icheiros" displayName="tbl_ficheiros" ref="A4:E23">
  <autoFilter ref="A4:E23" xr:uid="{00000000-0009-0000-0100-000001000000}"/>
  <tableColumns count="5">
    <tableColumn id="1" xr3:uid="{00000000-0010-0000-0000-000001000000}" name="Ficheiro"/>
    <tableColumn id="2" xr3:uid="{00000000-0010-0000-0000-000002000000}" name="Codigo"/>
    <tableColumn id="3" xr3:uid="{00000000-0010-0000-0000-000003000000}" name="Conteudo"/>
    <tableColumn id="4" xr3:uid="{00000000-0010-0000-0000-000004000000}" name="Atividades"/>
    <tableColumn id="5" xr3:uid="{00000000-0010-0000-0000-000005000000}" name="Clausul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harmonizacao_resumo" displayName="tbl_harmonizacao_resumo" ref="A4:N33">
  <autoFilter ref="A4:N33" xr:uid="{00000000-0009-0000-0100-000002000000}"/>
  <tableColumns count="14">
    <tableColumn id="1" xr3:uid="{00000000-0010-0000-0100-000001000000}" name="ID_Par"/>
    <tableColumn id="2" xr3:uid="{00000000-0010-0000-0100-000002000000}" name="Assunto"/>
    <tableColumn id="3" xr3:uid="{00000000-0010-0000-0100-000003000000}" name="Registo_SGQ"/>
    <tableColumn id="4" xr3:uid="{00000000-0010-0000-0100-000004000000}" name="Tabela_SGQ"/>
    <tableColumn id="5" xr3:uid="{00000000-0010-0000-0100-000005000000}" name="Registo_SGA"/>
    <tableColumn id="6" xr3:uid="{00000000-0010-0000-0100-000006000000}" name="Tabela_SGA"/>
    <tableColumn id="7" xr3:uid="{00000000-0010-0000-0100-000007000000}" name="Mesmo_Nome_Tabela"/>
    <tableColumn id="8" xr3:uid="{00000000-0010-0000-0100-000008000000}" name="N_Colunas_SGQ"/>
    <tableColumn id="9" xr3:uid="{00000000-0010-0000-0100-000009000000}" name="N_Colunas_SGA"/>
    <tableColumn id="10" xr3:uid="{00000000-0010-0000-0100-00000A000000}" name="N_Iguais"/>
    <tableColumn id="11" xr3:uid="{00000000-0010-0000-0100-00000B000000}" name="N_Equivalentes"/>
    <tableColumn id="12" xr3:uid="{00000000-0010-0000-0100-00000C000000}" name="N_So_SGQ"/>
    <tableColumn id="13" xr3:uid="{00000000-0010-0000-0100-00000D000000}" name="N_So_SGA"/>
    <tableColumn id="14" xr3:uid="{00000000-0010-0000-0100-00000E000000}" name="Pct_Comum_SG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harmonizacao" displayName="tbl_harmonizacao" ref="A4:I550">
  <autoFilter ref="A4:I550" xr:uid="{00000000-0009-0000-0100-000003000000}"/>
  <tableColumns count="9">
    <tableColumn id="1" xr3:uid="{00000000-0010-0000-0200-000001000000}" name="ID_Par"/>
    <tableColumn id="2" xr3:uid="{00000000-0010-0000-0200-000002000000}" name="Tabela_SGQ"/>
    <tableColumn id="3" xr3:uid="{00000000-0010-0000-0200-000003000000}" name="Coluna_SGQ"/>
    <tableColumn id="4" xr3:uid="{00000000-0010-0000-0200-000004000000}" name="Posicao_SGQ"/>
    <tableColumn id="5" xr3:uid="{00000000-0010-0000-0200-000005000000}" name="Tabela_SGA"/>
    <tableColumn id="6" xr3:uid="{00000000-0010-0000-0200-000006000000}" name="Coluna_SGA"/>
    <tableColumn id="7" xr3:uid="{00000000-0010-0000-0200-000007000000}" name="Posicao_SGA"/>
    <tableColumn id="8" xr3:uid="{00000000-0010-0000-0200-000008000000}" name="Correspondencia"/>
    <tableColumn id="9" xr3:uid="{00000000-0010-0000-0200-000009000000}" name="Nome_Consolidad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atalogo" displayName="tbl_catalogo" ref="A1:H114">
  <autoFilter ref="A1:H114" xr:uid="{00000000-0009-0000-0100-000004000000}"/>
  <tableColumns count="8">
    <tableColumn id="1" xr3:uid="{00000000-0010-0000-0300-000001000000}" name="Ficheiro"/>
    <tableColumn id="2" xr3:uid="{00000000-0010-0000-0300-000002000000}" name="Folha"/>
    <tableColumn id="3" xr3:uid="{00000000-0010-0000-0300-000003000000}" name="Tabela"/>
    <tableColumn id="4" xr3:uid="{00000000-0010-0000-0300-000004000000}" name="Linha_Cabecalho"/>
    <tableColumn id="5" xr3:uid="{00000000-0010-0000-0300-000005000000}" name="N_Linhas"/>
    <tableColumn id="6" xr3:uid="{00000000-0010-0000-0300-000006000000}" name="N_Colunas"/>
    <tableColumn id="7" xr3:uid="{00000000-0010-0000-0300-000007000000}" name="Chave_Primaria"/>
    <tableColumn id="8" xr3:uid="{00000000-0010-0000-0300-000008000000}" name="Leitura_panda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integridade" displayName="tbl_integridade" ref="A1:G65">
  <autoFilter ref="A1:G65" xr:uid="{00000000-0009-0000-0100-000005000000}"/>
  <tableColumns count="7">
    <tableColumn id="1" xr3:uid="{00000000-0010-0000-0400-000001000000}" name="Tabela_Origem"/>
    <tableColumn id="2" xr3:uid="{00000000-0010-0000-0400-000002000000}" name="Coluna"/>
    <tableColumn id="3" xr3:uid="{00000000-0010-0000-0400-000003000000}" name="Tabela_Destino"/>
    <tableColumn id="4" xr3:uid="{00000000-0010-0000-0400-000004000000}" name="N_Referencias"/>
    <tableColumn id="5" xr3:uid="{00000000-0010-0000-0400-000005000000}" name="N_Invalidas"/>
    <tableColumn id="6" xr3:uid="{00000000-0010-0000-0400-000006000000}" name="IDs_Invalidos"/>
    <tableColumn id="7" xr3:uid="{00000000-0010-0000-0400-000007000000}" name="Result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m_processo" displayName="tbl_dim_processo" ref="A1:E19">
  <autoFilter ref="A1:E19" xr:uid="{00000000-0009-0000-0100-000006000000}"/>
  <tableColumns count="5">
    <tableColumn id="1" xr3:uid="{00000000-0010-0000-0500-000001000000}" name="Codigo"/>
    <tableColumn id="2" xr3:uid="{00000000-0010-0000-0500-000002000000}" name="Processo"/>
    <tableColumn id="3" xr3:uid="{00000000-0010-0000-0500-000003000000}" name="Tipo"/>
    <tableColumn id="4" xr3:uid="{00000000-0010-0000-0500-000004000000}" name="Maquinas_Dataset"/>
    <tableColumn id="5" xr3:uid="{00000000-0010-0000-0500-000005000000}" name="Don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m_funcao" displayName="tbl_dim_funcao" ref="A1:C27">
  <autoFilter ref="A1:C27" xr:uid="{00000000-0009-0000-0100-000007000000}"/>
  <tableColumns count="3">
    <tableColumn id="1" xr3:uid="{00000000-0010-0000-0600-000001000000}" name="ID_Funcao"/>
    <tableColumn id="2" xr3:uid="{00000000-0010-0000-0600-000002000000}" name="Funcao"/>
    <tableColumn id="3" xr3:uid="{00000000-0010-0000-0600-000003000000}" name="Area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dim_clausula" displayName="tbl_dim_clausula" ref="A1:D47">
  <autoFilter ref="A1:D47" xr:uid="{00000000-0009-0000-0100-000008000000}"/>
  <tableColumns count="4">
    <tableColumn id="1" xr3:uid="{00000000-0010-0000-0700-000001000000}" name="Clausula"/>
    <tableColumn id="2" xr3:uid="{00000000-0010-0000-0700-000002000000}" name="Titulo"/>
    <tableColumn id="3" xr3:uid="{00000000-0010-0000-0700-000003000000}" name="Novo_ou_Alterado_2026"/>
    <tableColumn id="4" xr3:uid="{00000000-0010-0000-0700-000004000000}" name="Nota_Alteracao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fonte_unica" displayName="tbl_fonte_unica" ref="A4:E20">
  <autoFilter ref="A4:E20" xr:uid="{00000000-0009-0000-0100-000009000000}"/>
  <tableColumns count="5">
    <tableColumn id="1" xr3:uid="{00000000-0010-0000-0800-000001000000}" name="Assunto"/>
    <tableColumn id="2" xr3:uid="{00000000-0010-0000-0800-000002000000}" name="Registo_Dono"/>
    <tableColumn id="3" xr3:uid="{00000000-0010-0000-0800-000003000000}" name="Tabelas_Donas"/>
    <tableColumn id="4" xr3:uid="{00000000-0010-0000-0800-000004000000}" name="So_Referenciado_Em"/>
    <tableColumn id="5" xr3:uid="{00000000-0010-0000-0800-000005000000}" name="Regra_Nota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matriz_iso" displayName="tbl_matriz_iso" ref="A4:M51">
  <autoFilter ref="A4:M51" xr:uid="{00000000-0009-0000-0100-00000A000000}"/>
  <tableColumns count="13">
    <tableColumn id="1" xr3:uid="{00000000-0010-0000-0900-000001000000}" name="ID_Requisito"/>
    <tableColumn id="2" xr3:uid="{00000000-0010-0000-0900-000002000000}" name="Clausula"/>
    <tableColumn id="3" xr3:uid="{00000000-0010-0000-0900-000003000000}" name="Grupo"/>
    <tableColumn id="4" xr3:uid="{00000000-0010-0000-0900-000004000000}" name="Requisito"/>
    <tableColumn id="5" xr3:uid="{00000000-0010-0000-0900-000005000000}" name="Novo_ou_Alterado_2026"/>
    <tableColumn id="6" xr3:uid="{00000000-0010-0000-0900-000006000000}" name="Informacao_Documentada"/>
    <tableColumn id="7" xr3:uid="{00000000-0010-0000-0900-000007000000}" name="Documento"/>
    <tableColumn id="8" xr3:uid="{00000000-0010-0000-0900-000008000000}" name="Evidencia_Registo_Tabelas"/>
    <tableColumn id="9" xr3:uid="{00000000-0010-0000-0900-000009000000}" name="Estado"/>
    <tableColumn id="10" xr3:uid="{00000000-0010-0000-0900-00000A000000}" name="Observacao"/>
    <tableColumn id="11" xr3:uid="{00000000-0010-0000-0900-00000B000000}" name="Acao"/>
    <tableColumn id="12" xr3:uid="{00000000-0010-0000-0900-00000C000000}" name="Pontos"/>
    <tableColumn id="13" xr3:uid="{00000000-0010-0000-0900-00000D000000}" name="Class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matriz_mestra" displayName="tbl_matriz_mestra" ref="A4:N31">
  <autoFilter ref="A4:N31" xr:uid="{00000000-0009-0000-0100-00000B000000}"/>
  <tableColumns count="14">
    <tableColumn id="1" xr3:uid="{00000000-0010-0000-0A00-000001000000}" name="Codigo"/>
    <tableColumn id="2" xr3:uid="{00000000-0010-0000-0A00-000002000000}" name="Documento_Registo"/>
    <tableColumn id="3" xr3:uid="{00000000-0010-0000-0A00-000003000000}" name="Tipo"/>
    <tableColumn id="4" xr3:uid="{00000000-0010-0000-0A00-000004000000}" name="Processo"/>
    <tableColumn id="5" xr3:uid="{00000000-0010-0000-0A00-000005000000}" name="Requisito"/>
    <tableColumn id="6" xr3:uid="{00000000-0010-0000-0A00-000006000000}" name="Obrigatoriedade"/>
    <tableColumn id="7" xr3:uid="{00000000-0010-0000-0A00-000007000000}" name="Evidencia"/>
    <tableColumn id="8" xr3:uid="{00000000-0010-0000-0A00-000008000000}" name="Responsavel"/>
    <tableColumn id="9" xr3:uid="{00000000-0010-0000-0A00-000009000000}" name="Aprovacao"/>
    <tableColumn id="10" xr3:uid="{00000000-0010-0000-0A00-00000A000000}" name="Frequencia"/>
    <tableColumn id="11" xr3:uid="{00000000-0010-0000-0A00-00000B000000}" name="Retencao"/>
    <tableColumn id="12" xr3:uid="{00000000-0010-0000-0A00-00000C000000}" name="Formato"/>
    <tableColumn id="13" xr3:uid="{00000000-0010-0000-0A00-00000D000000}" name="Onde_no_SGQ"/>
    <tableColumn id="14" xr3:uid="{00000000-0010-0000-0A00-00000E000000}" name="Relacao_ISO1400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fontes" displayName="tbl_fontes" ref="A4:E23">
  <autoFilter ref="A4:E23" xr:uid="{00000000-0009-0000-0100-00000C000000}"/>
  <tableColumns count="5">
    <tableColumn id="1" xr3:uid="{00000000-0010-0000-0B00-000001000000}" name="ID"/>
    <tableColumn id="2" xr3:uid="{00000000-0010-0000-0B00-000002000000}" name="Referencia"/>
    <tableColumn id="3" xr3:uid="{00000000-0010-0000-0B00-000003000000}" name="Onde"/>
    <tableColumn id="4" xr3:uid="{00000000-0010-0000-0B00-000004000000}" name="Aplicada_em"/>
    <tableColumn id="5" xr3:uid="{00000000-0010-0000-0B00-000005000000}" name="Tipo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icionario" displayName="tbl_dicionario" ref="A1:I93">
  <autoFilter ref="A1:I93" xr:uid="{00000000-0009-0000-0100-00000D000000}"/>
  <tableColumns count="9">
    <tableColumn id="1" xr3:uid="{00000000-0010-0000-0C00-000001000000}" name="Folha"/>
    <tableColumn id="2" xr3:uid="{00000000-0010-0000-0C00-000002000000}" name="Tabela"/>
    <tableColumn id="3" xr3:uid="{00000000-0010-0000-0C00-000003000000}" name="Coluna"/>
    <tableColumn id="4" xr3:uid="{00000000-0010-0000-0C00-000004000000}" name="Tipo"/>
    <tableColumn id="5" xr3:uid="{00000000-0010-0000-0C00-000005000000}" name="Origem"/>
    <tableColumn id="6" xr3:uid="{00000000-0010-0000-0C00-000006000000}" name="Descricao"/>
    <tableColumn id="7" xr3:uid="{00000000-0010-0000-0C00-000007000000}" name="Dominio_Unidade"/>
    <tableColumn id="8" xr3:uid="{00000000-0010-0000-0C00-000008000000}" name="Obrigatorio"/>
    <tableColumn id="9" xr3:uid="{00000000-0010-0000-0C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8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4" spans="1:2" x14ac:dyDescent="0.3">
      <c r="A24" s="3" t="s">
        <v>32</v>
      </c>
      <c r="B24" s="4"/>
    </row>
    <row r="25" spans="1:2" x14ac:dyDescent="0.3">
      <c r="A25" s="5" t="s">
        <v>33</v>
      </c>
      <c r="B25" s="6" t="s">
        <v>34</v>
      </c>
    </row>
    <row r="26" spans="1:2" ht="26.4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ht="26.4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6" spans="1:2" x14ac:dyDescent="0.3">
      <c r="A36" s="5" t="s">
        <v>55</v>
      </c>
      <c r="B36" s="6" t="s">
        <v>56</v>
      </c>
    </row>
    <row r="37" spans="1:2" x14ac:dyDescent="0.3">
      <c r="A37" s="5" t="s">
        <v>57</v>
      </c>
      <c r="B37" s="6" t="s">
        <v>58</v>
      </c>
    </row>
    <row r="38" spans="1:2" x14ac:dyDescent="0.3">
      <c r="A38" s="5" t="s">
        <v>59</v>
      </c>
      <c r="B38" s="6" t="s">
        <v>60</v>
      </c>
    </row>
    <row r="39" spans="1:2" x14ac:dyDescent="0.3">
      <c r="A39" s="5" t="s">
        <v>61</v>
      </c>
      <c r="B39" s="6" t="s">
        <v>62</v>
      </c>
    </row>
    <row r="40" spans="1:2" x14ac:dyDescent="0.3">
      <c r="A40" s="5" t="s">
        <v>63</v>
      </c>
      <c r="B40" s="6" t="s">
        <v>64</v>
      </c>
    </row>
    <row r="42" spans="1:2" x14ac:dyDescent="0.3">
      <c r="A42" s="3" t="s">
        <v>65</v>
      </c>
      <c r="B42" s="4"/>
    </row>
    <row r="43" spans="1:2" ht="26.4" x14ac:dyDescent="0.3">
      <c r="A43" s="5" t="s">
        <v>66</v>
      </c>
      <c r="B43" s="6" t="s">
        <v>67</v>
      </c>
    </row>
    <row r="44" spans="1:2" x14ac:dyDescent="0.3">
      <c r="A44" s="5" t="s">
        <v>68</v>
      </c>
      <c r="B44" s="6" t="s">
        <v>69</v>
      </c>
    </row>
    <row r="45" spans="1:2" x14ac:dyDescent="0.3">
      <c r="A45" s="5" t="s">
        <v>70</v>
      </c>
      <c r="B45" s="6" t="s">
        <v>71</v>
      </c>
    </row>
    <row r="46" spans="1:2" ht="26.4" x14ac:dyDescent="0.3">
      <c r="A46" s="5" t="s">
        <v>72</v>
      </c>
      <c r="B46" s="6" t="s">
        <v>73</v>
      </c>
    </row>
    <row r="47" spans="1:2" ht="26.4" x14ac:dyDescent="0.3">
      <c r="A47" s="5" t="s">
        <v>74</v>
      </c>
      <c r="B47" s="6" t="s">
        <v>75</v>
      </c>
    </row>
    <row r="48" spans="1:2" ht="39.6" x14ac:dyDescent="0.3">
      <c r="A48" s="5" t="s">
        <v>76</v>
      </c>
      <c r="B48" s="6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5F"/>
    <pageSetUpPr fitToPage="1"/>
  </sheetPr>
  <dimension ref="A1:E2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8" customWidth="1"/>
    <col min="2" max="2" width="10" customWidth="1"/>
    <col min="3" max="3" width="90" customWidth="1"/>
    <col min="4" max="4" width="60" customWidth="1"/>
    <col min="5" max="5" width="20" customWidth="1"/>
  </cols>
  <sheetData>
    <row r="1" spans="1:5" ht="17.399999999999999" x14ac:dyDescent="0.3">
      <c r="A1" s="1" t="s">
        <v>78</v>
      </c>
    </row>
    <row r="2" spans="1:5" x14ac:dyDescent="0.3">
      <c r="A2" s="2" t="s">
        <v>79</v>
      </c>
    </row>
    <row r="4" spans="1:5" x14ac:dyDescent="0.3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</row>
    <row r="5" spans="1:5" ht="30" customHeight="1" x14ac:dyDescent="0.3">
      <c r="A5" s="9" t="s">
        <v>85</v>
      </c>
      <c r="B5" s="9" t="s">
        <v>86</v>
      </c>
      <c r="C5" s="9" t="s">
        <v>87</v>
      </c>
      <c r="D5" s="9" t="s">
        <v>88</v>
      </c>
      <c r="E5" s="9" t="s">
        <v>89</v>
      </c>
    </row>
    <row r="6" spans="1:5" ht="30" customHeight="1" x14ac:dyDescent="0.3">
      <c r="A6" s="9" t="s">
        <v>90</v>
      </c>
      <c r="B6" s="9" t="s">
        <v>91</v>
      </c>
      <c r="C6" s="9" t="s">
        <v>92</v>
      </c>
      <c r="D6" s="9" t="s">
        <v>93</v>
      </c>
      <c r="E6" s="9" t="s">
        <v>94</v>
      </c>
    </row>
    <row r="7" spans="1:5" ht="30" customHeight="1" x14ac:dyDescent="0.3">
      <c r="A7" s="9" t="s">
        <v>95</v>
      </c>
      <c r="B7" s="9" t="s">
        <v>96</v>
      </c>
      <c r="C7" s="9" t="s">
        <v>97</v>
      </c>
      <c r="D7" s="9" t="s">
        <v>98</v>
      </c>
      <c r="E7" s="9" t="s">
        <v>99</v>
      </c>
    </row>
    <row r="8" spans="1:5" ht="30" customHeight="1" x14ac:dyDescent="0.3">
      <c r="A8" s="9" t="s">
        <v>100</v>
      </c>
      <c r="B8" s="9" t="s">
        <v>101</v>
      </c>
      <c r="C8" s="9" t="s">
        <v>102</v>
      </c>
      <c r="D8" s="9" t="s">
        <v>103</v>
      </c>
      <c r="E8" s="9" t="s">
        <v>104</v>
      </c>
    </row>
    <row r="9" spans="1:5" ht="30" customHeight="1" x14ac:dyDescent="0.3">
      <c r="A9" s="9" t="s">
        <v>105</v>
      </c>
      <c r="B9" s="9" t="s">
        <v>106</v>
      </c>
      <c r="C9" s="9" t="s">
        <v>107</v>
      </c>
      <c r="D9" s="9" t="s">
        <v>108</v>
      </c>
      <c r="E9" s="9" t="s">
        <v>109</v>
      </c>
    </row>
    <row r="10" spans="1:5" ht="30" customHeight="1" x14ac:dyDescent="0.3">
      <c r="A10" s="9" t="s">
        <v>110</v>
      </c>
      <c r="B10" s="9" t="s">
        <v>111</v>
      </c>
      <c r="C10" s="9" t="s">
        <v>112</v>
      </c>
      <c r="D10" s="9" t="s">
        <v>113</v>
      </c>
      <c r="E10" s="9" t="s">
        <v>114</v>
      </c>
    </row>
    <row r="11" spans="1:5" ht="30" customHeight="1" x14ac:dyDescent="0.3">
      <c r="A11" s="9" t="s">
        <v>115</v>
      </c>
      <c r="B11" s="9" t="s">
        <v>116</v>
      </c>
      <c r="C11" s="9" t="s">
        <v>117</v>
      </c>
      <c r="D11" s="9" t="s">
        <v>118</v>
      </c>
      <c r="E11" s="9" t="s">
        <v>119</v>
      </c>
    </row>
    <row r="12" spans="1:5" ht="30" customHeight="1" x14ac:dyDescent="0.3">
      <c r="A12" s="9" t="s">
        <v>120</v>
      </c>
      <c r="B12" s="9" t="s">
        <v>121</v>
      </c>
      <c r="C12" s="9" t="s">
        <v>122</v>
      </c>
      <c r="D12" s="9" t="s">
        <v>123</v>
      </c>
      <c r="E12" s="9" t="s">
        <v>124</v>
      </c>
    </row>
    <row r="13" spans="1:5" ht="30" customHeight="1" x14ac:dyDescent="0.3">
      <c r="A13" s="9" t="s">
        <v>125</v>
      </c>
      <c r="B13" s="9" t="s">
        <v>126</v>
      </c>
      <c r="C13" s="9" t="s">
        <v>127</v>
      </c>
      <c r="D13" s="9" t="s">
        <v>128</v>
      </c>
      <c r="E13" s="9" t="s">
        <v>129</v>
      </c>
    </row>
    <row r="14" spans="1:5" ht="30" customHeight="1" x14ac:dyDescent="0.3">
      <c r="A14" s="9" t="s">
        <v>130</v>
      </c>
      <c r="B14" s="9" t="s">
        <v>131</v>
      </c>
      <c r="C14" s="9" t="s">
        <v>132</v>
      </c>
      <c r="D14" s="9" t="s">
        <v>133</v>
      </c>
      <c r="E14" s="9" t="s">
        <v>134</v>
      </c>
    </row>
    <row r="15" spans="1:5" ht="30" customHeight="1" x14ac:dyDescent="0.3">
      <c r="A15" s="9" t="s">
        <v>135</v>
      </c>
      <c r="B15" s="9" t="s">
        <v>136</v>
      </c>
      <c r="C15" s="9" t="s">
        <v>137</v>
      </c>
      <c r="D15" s="9" t="s">
        <v>138</v>
      </c>
      <c r="E15" s="9" t="s">
        <v>139</v>
      </c>
    </row>
    <row r="16" spans="1:5" ht="30" customHeight="1" x14ac:dyDescent="0.3">
      <c r="A16" s="9" t="s">
        <v>140</v>
      </c>
      <c r="B16" s="9" t="s">
        <v>141</v>
      </c>
      <c r="C16" s="9" t="s">
        <v>142</v>
      </c>
      <c r="D16" s="9" t="s">
        <v>143</v>
      </c>
      <c r="E16" s="9" t="s">
        <v>144</v>
      </c>
    </row>
    <row r="17" spans="1:5" ht="30" customHeight="1" x14ac:dyDescent="0.3">
      <c r="A17" s="9" t="s">
        <v>145</v>
      </c>
      <c r="B17" s="9" t="s">
        <v>146</v>
      </c>
      <c r="C17" s="9" t="s">
        <v>147</v>
      </c>
      <c r="D17" s="9" t="s">
        <v>148</v>
      </c>
      <c r="E17" s="9" t="s">
        <v>149</v>
      </c>
    </row>
    <row r="18" spans="1:5" ht="30" customHeight="1" x14ac:dyDescent="0.3">
      <c r="A18" s="9" t="s">
        <v>150</v>
      </c>
      <c r="B18" s="9" t="s">
        <v>151</v>
      </c>
      <c r="C18" s="9" t="s">
        <v>152</v>
      </c>
      <c r="D18" s="9" t="s">
        <v>153</v>
      </c>
      <c r="E18" s="9" t="s">
        <v>154</v>
      </c>
    </row>
    <row r="19" spans="1:5" ht="30" customHeight="1" x14ac:dyDescent="0.3">
      <c r="A19" s="9" t="s">
        <v>155</v>
      </c>
      <c r="B19" s="9" t="s">
        <v>156</v>
      </c>
      <c r="C19" s="9" t="s">
        <v>157</v>
      </c>
      <c r="D19" s="9" t="s">
        <v>158</v>
      </c>
      <c r="E19" s="9" t="s">
        <v>159</v>
      </c>
    </row>
    <row r="20" spans="1:5" ht="30" customHeight="1" x14ac:dyDescent="0.3">
      <c r="A20" s="9" t="s">
        <v>160</v>
      </c>
      <c r="B20" s="9" t="s">
        <v>161</v>
      </c>
      <c r="C20" s="9" t="s">
        <v>162</v>
      </c>
      <c r="D20" s="9" t="s">
        <v>163</v>
      </c>
      <c r="E20" s="9" t="s">
        <v>164</v>
      </c>
    </row>
    <row r="21" spans="1:5" ht="30" customHeight="1" x14ac:dyDescent="0.3">
      <c r="A21" s="9" t="s">
        <v>165</v>
      </c>
      <c r="B21" s="9" t="s">
        <v>166</v>
      </c>
      <c r="C21" s="9" t="s">
        <v>167</v>
      </c>
      <c r="D21" s="9" t="s">
        <v>168</v>
      </c>
      <c r="E21" s="9" t="s">
        <v>169</v>
      </c>
    </row>
    <row r="22" spans="1:5" ht="30" customHeight="1" x14ac:dyDescent="0.3">
      <c r="A22" s="9" t="s">
        <v>170</v>
      </c>
      <c r="B22" s="9" t="s">
        <v>171</v>
      </c>
      <c r="C22" s="9" t="s">
        <v>172</v>
      </c>
      <c r="D22" s="9" t="s">
        <v>173</v>
      </c>
      <c r="E22" s="9" t="s">
        <v>174</v>
      </c>
    </row>
    <row r="23" spans="1:5" ht="30" customHeight="1" x14ac:dyDescent="0.3">
      <c r="A23" s="9" t="s">
        <v>175</v>
      </c>
      <c r="B23" s="9" t="s">
        <v>176</v>
      </c>
      <c r="C23" s="9" t="s">
        <v>177</v>
      </c>
      <c r="D23" s="9" t="s">
        <v>178</v>
      </c>
      <c r="E23" s="9" t="s">
        <v>179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4" customWidth="1"/>
    <col min="3" max="3" width="10" customWidth="1"/>
    <col min="4" max="4" width="22" customWidth="1"/>
    <col min="5" max="5" width="10" customWidth="1"/>
    <col min="6" max="6" width="22" customWidth="1"/>
    <col min="7" max="7" width="9" customWidth="1"/>
    <col min="8" max="10" width="8" customWidth="1"/>
    <col min="11" max="11" width="9" customWidth="1"/>
    <col min="12" max="13" width="8" customWidth="1"/>
    <col min="14" max="14" width="9" customWidth="1"/>
  </cols>
  <sheetData>
    <row r="1" spans="1:14" ht="17.399999999999999" x14ac:dyDescent="0.3">
      <c r="A1" s="1" t="s">
        <v>180</v>
      </c>
    </row>
    <row r="2" spans="1:14" x14ac:dyDescent="0.3">
      <c r="A2" s="2" t="s">
        <v>181</v>
      </c>
    </row>
    <row r="4" spans="1:14" ht="39.6" x14ac:dyDescent="0.3">
      <c r="A4" s="8" t="s">
        <v>182</v>
      </c>
      <c r="B4" s="8" t="s">
        <v>183</v>
      </c>
      <c r="C4" s="8" t="s">
        <v>184</v>
      </c>
      <c r="D4" s="8" t="s">
        <v>185</v>
      </c>
      <c r="E4" s="8" t="s">
        <v>186</v>
      </c>
      <c r="F4" s="8" t="s">
        <v>187</v>
      </c>
      <c r="G4" s="10" t="s">
        <v>188</v>
      </c>
      <c r="H4" s="8" t="s">
        <v>189</v>
      </c>
      <c r="I4" s="8" t="s">
        <v>190</v>
      </c>
      <c r="J4" s="10" t="s">
        <v>191</v>
      </c>
      <c r="K4" s="10" t="s">
        <v>192</v>
      </c>
      <c r="L4" s="10" t="s">
        <v>193</v>
      </c>
      <c r="M4" s="10" t="s">
        <v>194</v>
      </c>
      <c r="N4" s="10" t="s">
        <v>195</v>
      </c>
    </row>
    <row r="5" spans="1:14" ht="18" customHeight="1" x14ac:dyDescent="0.3">
      <c r="A5" s="9" t="s">
        <v>196</v>
      </c>
      <c r="B5" s="9" t="s">
        <v>197</v>
      </c>
      <c r="C5" s="9" t="s">
        <v>86</v>
      </c>
      <c r="D5" s="9" t="s">
        <v>198</v>
      </c>
      <c r="E5" s="9" t="s">
        <v>199</v>
      </c>
      <c r="F5" s="9" t="s">
        <v>198</v>
      </c>
      <c r="G5" s="11" t="str">
        <f t="shared" ref="G5:G33" si="0">IF(A5="","",IF(D5=F5,"Sim","Não"))</f>
        <v>Sim</v>
      </c>
      <c r="H5" s="12">
        <v>27</v>
      </c>
      <c r="I5" s="12">
        <v>26</v>
      </c>
      <c r="J5" s="13">
        <f>COUNTIFS(tbl_harmonizacao[ID_Par],A5,tbl_harmonizacao[Correspondencia],"Igual")</f>
        <v>25</v>
      </c>
      <c r="K5" s="13">
        <f>COUNTIFS(tbl_harmonizacao[ID_Par],A5,tbl_harmonizacao[Correspondencia],"Equivalente*")</f>
        <v>1</v>
      </c>
      <c r="L5" s="13">
        <f>COUNTIFS(tbl_harmonizacao[ID_Par],A5,tbl_harmonizacao[Correspondencia],"Só SGQ")</f>
        <v>1</v>
      </c>
      <c r="M5" s="13">
        <f>COUNTIFS(tbl_harmonizacao[ID_Par],A5,tbl_harmonizacao[Correspondencia],"Só SGA")</f>
        <v>0</v>
      </c>
      <c r="N5" s="14">
        <f t="shared" ref="N5:N33" si="1">IF(A5="","",IFERROR((J5+K5)/I5,""))</f>
        <v>1</v>
      </c>
    </row>
    <row r="6" spans="1:14" ht="18" customHeight="1" x14ac:dyDescent="0.3">
      <c r="A6" s="9" t="s">
        <v>200</v>
      </c>
      <c r="B6" s="9" t="s">
        <v>201</v>
      </c>
      <c r="C6" s="9" t="s">
        <v>86</v>
      </c>
      <c r="D6" s="9" t="s">
        <v>202</v>
      </c>
      <c r="E6" s="9" t="s">
        <v>199</v>
      </c>
      <c r="F6" s="9" t="s">
        <v>202</v>
      </c>
      <c r="G6" s="11" t="str">
        <f t="shared" si="0"/>
        <v>Sim</v>
      </c>
      <c r="H6" s="12">
        <v>19</v>
      </c>
      <c r="I6" s="12">
        <v>18</v>
      </c>
      <c r="J6" s="13">
        <f>COUNTIFS(tbl_harmonizacao[ID_Par],A6,tbl_harmonizacao[Correspondencia],"Igual")</f>
        <v>16</v>
      </c>
      <c r="K6" s="13">
        <f>COUNTIFS(tbl_harmonizacao[ID_Par],A6,tbl_harmonizacao[Correspondencia],"Equivalente*")</f>
        <v>2</v>
      </c>
      <c r="L6" s="13">
        <f>COUNTIFS(tbl_harmonizacao[ID_Par],A6,tbl_harmonizacao[Correspondencia],"Só SGQ")</f>
        <v>1</v>
      </c>
      <c r="M6" s="13">
        <f>COUNTIFS(tbl_harmonizacao[ID_Par],A6,tbl_harmonizacao[Correspondencia],"Só SGA")</f>
        <v>0</v>
      </c>
      <c r="N6" s="14">
        <f t="shared" si="1"/>
        <v>1</v>
      </c>
    </row>
    <row r="7" spans="1:14" ht="18" customHeight="1" x14ac:dyDescent="0.3">
      <c r="A7" s="9" t="s">
        <v>203</v>
      </c>
      <c r="B7" s="9" t="s">
        <v>204</v>
      </c>
      <c r="C7" s="9" t="s">
        <v>86</v>
      </c>
      <c r="D7" s="9" t="s">
        <v>205</v>
      </c>
      <c r="E7" s="9" t="s">
        <v>199</v>
      </c>
      <c r="F7" s="9" t="s">
        <v>205</v>
      </c>
      <c r="G7" s="11" t="str">
        <f t="shared" si="0"/>
        <v>Sim</v>
      </c>
      <c r="H7" s="12">
        <v>9</v>
      </c>
      <c r="I7" s="12">
        <v>9</v>
      </c>
      <c r="J7" s="13">
        <f>COUNTIFS(tbl_harmonizacao[ID_Par],A7,tbl_harmonizacao[Correspondencia],"Igual")</f>
        <v>9</v>
      </c>
      <c r="K7" s="13">
        <f>COUNTIFS(tbl_harmonizacao[ID_Par],A7,tbl_harmonizacao[Correspondencia],"Equivalente*")</f>
        <v>0</v>
      </c>
      <c r="L7" s="13">
        <f>COUNTIFS(tbl_harmonizacao[ID_Par],A7,tbl_harmonizacao[Correspondencia],"Só SGQ")</f>
        <v>0</v>
      </c>
      <c r="M7" s="13">
        <f>COUNTIFS(tbl_harmonizacao[ID_Par],A7,tbl_harmonizacao[Correspondencia],"Só SGA")</f>
        <v>0</v>
      </c>
      <c r="N7" s="14">
        <f t="shared" si="1"/>
        <v>1</v>
      </c>
    </row>
    <row r="8" spans="1:14" ht="18" customHeight="1" x14ac:dyDescent="0.3">
      <c r="A8" s="9" t="s">
        <v>206</v>
      </c>
      <c r="B8" s="9" t="s">
        <v>207</v>
      </c>
      <c r="C8" s="9" t="s">
        <v>86</v>
      </c>
      <c r="D8" s="9" t="s">
        <v>208</v>
      </c>
      <c r="E8" s="9" t="s">
        <v>199</v>
      </c>
      <c r="F8" s="9" t="s">
        <v>208</v>
      </c>
      <c r="G8" s="11" t="str">
        <f t="shared" si="0"/>
        <v>Sim</v>
      </c>
      <c r="H8" s="12">
        <v>9</v>
      </c>
      <c r="I8" s="12">
        <v>9</v>
      </c>
      <c r="J8" s="13">
        <f>COUNTIFS(tbl_harmonizacao[ID_Par],A8,tbl_harmonizacao[Correspondencia],"Igual")</f>
        <v>9</v>
      </c>
      <c r="K8" s="13">
        <f>COUNTIFS(tbl_harmonizacao[ID_Par],A8,tbl_harmonizacao[Correspondencia],"Equivalente*")</f>
        <v>0</v>
      </c>
      <c r="L8" s="13">
        <f>COUNTIFS(tbl_harmonizacao[ID_Par],A8,tbl_harmonizacao[Correspondencia],"Só SGQ")</f>
        <v>0</v>
      </c>
      <c r="M8" s="13">
        <f>COUNTIFS(tbl_harmonizacao[ID_Par],A8,tbl_harmonizacao[Correspondencia],"Só SGA")</f>
        <v>0</v>
      </c>
      <c r="N8" s="14">
        <f t="shared" si="1"/>
        <v>1</v>
      </c>
    </row>
    <row r="9" spans="1:14" ht="18" customHeight="1" x14ac:dyDescent="0.3">
      <c r="A9" s="9" t="s">
        <v>209</v>
      </c>
      <c r="B9" s="9" t="s">
        <v>210</v>
      </c>
      <c r="C9" s="9" t="s">
        <v>86</v>
      </c>
      <c r="D9" s="9" t="s">
        <v>211</v>
      </c>
      <c r="E9" s="9" t="s">
        <v>199</v>
      </c>
      <c r="F9" s="9" t="s">
        <v>211</v>
      </c>
      <c r="G9" s="11" t="str">
        <f t="shared" si="0"/>
        <v>Sim</v>
      </c>
      <c r="H9" s="12">
        <v>24</v>
      </c>
      <c r="I9" s="12">
        <v>20</v>
      </c>
      <c r="J9" s="13">
        <f>COUNTIFS(tbl_harmonizacao[ID_Par],A9,tbl_harmonizacao[Correspondencia],"Igual")</f>
        <v>19</v>
      </c>
      <c r="K9" s="13">
        <f>COUNTIFS(tbl_harmonizacao[ID_Par],A9,tbl_harmonizacao[Correspondencia],"Equivalente*")</f>
        <v>1</v>
      </c>
      <c r="L9" s="13">
        <f>COUNTIFS(tbl_harmonizacao[ID_Par],A9,tbl_harmonizacao[Correspondencia],"Só SGQ")</f>
        <v>4</v>
      </c>
      <c r="M9" s="13">
        <f>COUNTIFS(tbl_harmonizacao[ID_Par],A9,tbl_harmonizacao[Correspondencia],"Só SGA")</f>
        <v>0</v>
      </c>
      <c r="N9" s="14">
        <f t="shared" si="1"/>
        <v>1</v>
      </c>
    </row>
    <row r="10" spans="1:14" ht="18" customHeight="1" x14ac:dyDescent="0.3">
      <c r="A10" s="9" t="s">
        <v>212</v>
      </c>
      <c r="B10" s="9" t="s">
        <v>213</v>
      </c>
      <c r="C10" s="9" t="s">
        <v>106</v>
      </c>
      <c r="D10" s="9" t="s">
        <v>214</v>
      </c>
      <c r="E10" s="9" t="s">
        <v>215</v>
      </c>
      <c r="F10" s="9" t="s">
        <v>214</v>
      </c>
      <c r="G10" s="11" t="str">
        <f t="shared" si="0"/>
        <v>Sim</v>
      </c>
      <c r="H10" s="12">
        <v>14</v>
      </c>
      <c r="I10" s="12">
        <v>12</v>
      </c>
      <c r="J10" s="13">
        <f>COUNTIFS(tbl_harmonizacao[ID_Par],A10,tbl_harmonizacao[Correspondencia],"Igual")</f>
        <v>11</v>
      </c>
      <c r="K10" s="13">
        <f>COUNTIFS(tbl_harmonizacao[ID_Par],A10,tbl_harmonizacao[Correspondencia],"Equivalente*")</f>
        <v>0</v>
      </c>
      <c r="L10" s="13">
        <f>COUNTIFS(tbl_harmonizacao[ID_Par],A10,tbl_harmonizacao[Correspondencia],"Só SGQ")</f>
        <v>3</v>
      </c>
      <c r="M10" s="13">
        <f>COUNTIFS(tbl_harmonizacao[ID_Par],A10,tbl_harmonizacao[Correspondencia],"Só SGA")</f>
        <v>1</v>
      </c>
      <c r="N10" s="14">
        <f t="shared" si="1"/>
        <v>0.91666666666666663</v>
      </c>
    </row>
    <row r="11" spans="1:14" ht="18" customHeight="1" x14ac:dyDescent="0.3">
      <c r="A11" s="9" t="s">
        <v>216</v>
      </c>
      <c r="B11" s="9" t="s">
        <v>217</v>
      </c>
      <c r="C11" s="9" t="s">
        <v>106</v>
      </c>
      <c r="D11" s="9" t="s">
        <v>218</v>
      </c>
      <c r="E11" s="9" t="s">
        <v>215</v>
      </c>
      <c r="F11" s="9" t="s">
        <v>218</v>
      </c>
      <c r="G11" s="11" t="str">
        <f t="shared" si="0"/>
        <v>Sim</v>
      </c>
      <c r="H11" s="12">
        <v>28</v>
      </c>
      <c r="I11" s="12">
        <v>29</v>
      </c>
      <c r="J11" s="13">
        <f>COUNTIFS(tbl_harmonizacao[ID_Par],A11,tbl_harmonizacao[Correspondencia],"Igual")</f>
        <v>18</v>
      </c>
      <c r="K11" s="13">
        <f>COUNTIFS(tbl_harmonizacao[ID_Par],A11,tbl_harmonizacao[Correspondencia],"Equivalente*")</f>
        <v>2</v>
      </c>
      <c r="L11" s="13">
        <f>COUNTIFS(tbl_harmonizacao[ID_Par],A11,tbl_harmonizacao[Correspondencia],"Só SGQ")</f>
        <v>8</v>
      </c>
      <c r="M11" s="13">
        <f>COUNTIFS(tbl_harmonizacao[ID_Par],A11,tbl_harmonizacao[Correspondencia],"Só SGA")</f>
        <v>9</v>
      </c>
      <c r="N11" s="14">
        <f t="shared" si="1"/>
        <v>0.68965517241379315</v>
      </c>
    </row>
    <row r="12" spans="1:14" ht="18" customHeight="1" x14ac:dyDescent="0.3">
      <c r="A12" s="9" t="s">
        <v>219</v>
      </c>
      <c r="B12" s="9" t="s">
        <v>220</v>
      </c>
      <c r="C12" s="9" t="s">
        <v>106</v>
      </c>
      <c r="D12" s="9" t="s">
        <v>221</v>
      </c>
      <c r="E12" s="9" t="s">
        <v>222</v>
      </c>
      <c r="F12" s="9" t="s">
        <v>221</v>
      </c>
      <c r="G12" s="11" t="str">
        <f t="shared" si="0"/>
        <v>Sim</v>
      </c>
      <c r="H12" s="12">
        <v>8</v>
      </c>
      <c r="I12" s="12">
        <v>12</v>
      </c>
      <c r="J12" s="13">
        <f>COUNTIFS(tbl_harmonizacao[ID_Par],A12,tbl_harmonizacao[Correspondencia],"Igual")</f>
        <v>6</v>
      </c>
      <c r="K12" s="13">
        <f>COUNTIFS(tbl_harmonizacao[ID_Par],A12,tbl_harmonizacao[Correspondencia],"Equivalente*")</f>
        <v>0</v>
      </c>
      <c r="L12" s="13">
        <f>COUNTIFS(tbl_harmonizacao[ID_Par],A12,tbl_harmonizacao[Correspondencia],"Só SGQ")</f>
        <v>2</v>
      </c>
      <c r="M12" s="13">
        <f>COUNTIFS(tbl_harmonizacao[ID_Par],A12,tbl_harmonizacao[Correspondencia],"Só SGA")</f>
        <v>6</v>
      </c>
      <c r="N12" s="14">
        <f t="shared" si="1"/>
        <v>0.5</v>
      </c>
    </row>
    <row r="13" spans="1:14" ht="18" customHeight="1" x14ac:dyDescent="0.3">
      <c r="A13" s="9" t="s">
        <v>223</v>
      </c>
      <c r="B13" s="9" t="s">
        <v>224</v>
      </c>
      <c r="C13" s="9" t="s">
        <v>111</v>
      </c>
      <c r="D13" s="9" t="s">
        <v>225</v>
      </c>
      <c r="E13" s="9" t="s">
        <v>226</v>
      </c>
      <c r="F13" s="9" t="s">
        <v>225</v>
      </c>
      <c r="G13" s="11" t="str">
        <f t="shared" si="0"/>
        <v>Sim</v>
      </c>
      <c r="H13" s="12">
        <v>29</v>
      </c>
      <c r="I13" s="12">
        <v>34</v>
      </c>
      <c r="J13" s="13">
        <f>COUNTIFS(tbl_harmonizacao[ID_Par],A13,tbl_harmonizacao[Correspondencia],"Igual")</f>
        <v>14</v>
      </c>
      <c r="K13" s="13">
        <f>COUNTIFS(tbl_harmonizacao[ID_Par],A13,tbl_harmonizacao[Correspondencia],"Equivalente*")</f>
        <v>1</v>
      </c>
      <c r="L13" s="13">
        <f>COUNTIFS(tbl_harmonizacao[ID_Par],A13,tbl_harmonizacao[Correspondencia],"Só SGQ")</f>
        <v>14</v>
      </c>
      <c r="M13" s="13">
        <f>COUNTIFS(tbl_harmonizacao[ID_Par],A13,tbl_harmonizacao[Correspondencia],"Só SGA")</f>
        <v>19</v>
      </c>
      <c r="N13" s="14">
        <f t="shared" si="1"/>
        <v>0.44117647058823528</v>
      </c>
    </row>
    <row r="14" spans="1:14" ht="18" customHeight="1" x14ac:dyDescent="0.3">
      <c r="A14" s="9" t="s">
        <v>227</v>
      </c>
      <c r="B14" s="9" t="s">
        <v>228</v>
      </c>
      <c r="C14" s="9" t="s">
        <v>116</v>
      </c>
      <c r="D14" s="9" t="s">
        <v>229</v>
      </c>
      <c r="E14" s="9" t="s">
        <v>230</v>
      </c>
      <c r="F14" s="9" t="s">
        <v>229</v>
      </c>
      <c r="G14" s="11" t="str">
        <f t="shared" si="0"/>
        <v>Sim</v>
      </c>
      <c r="H14" s="12">
        <v>10</v>
      </c>
      <c r="I14" s="12">
        <v>7</v>
      </c>
      <c r="J14" s="13">
        <f>COUNTIFS(tbl_harmonizacao[ID_Par],A14,tbl_harmonizacao[Correspondencia],"Igual")</f>
        <v>4</v>
      </c>
      <c r="K14" s="13">
        <f>COUNTIFS(tbl_harmonizacao[ID_Par],A14,tbl_harmonizacao[Correspondencia],"Equivalente*")</f>
        <v>0</v>
      </c>
      <c r="L14" s="13">
        <f>COUNTIFS(tbl_harmonizacao[ID_Par],A14,tbl_harmonizacao[Correspondencia],"Só SGQ")</f>
        <v>6</v>
      </c>
      <c r="M14" s="13">
        <f>COUNTIFS(tbl_harmonizacao[ID_Par],A14,tbl_harmonizacao[Correspondencia],"Só SGA")</f>
        <v>3</v>
      </c>
      <c r="N14" s="14">
        <f t="shared" si="1"/>
        <v>0.5714285714285714</v>
      </c>
    </row>
    <row r="15" spans="1:14" ht="18" customHeight="1" x14ac:dyDescent="0.3">
      <c r="A15" s="9" t="s">
        <v>231</v>
      </c>
      <c r="B15" s="9" t="s">
        <v>232</v>
      </c>
      <c r="C15" s="9" t="s">
        <v>116</v>
      </c>
      <c r="D15" s="9" t="s">
        <v>233</v>
      </c>
      <c r="E15" s="9" t="s">
        <v>230</v>
      </c>
      <c r="F15" s="9" t="s">
        <v>233</v>
      </c>
      <c r="G15" s="11" t="str">
        <f t="shared" si="0"/>
        <v>Sim</v>
      </c>
      <c r="H15" s="12">
        <v>12</v>
      </c>
      <c r="I15" s="12">
        <v>12</v>
      </c>
      <c r="J15" s="13">
        <f>COUNTIFS(tbl_harmonizacao[ID_Par],A15,tbl_harmonizacao[Correspondencia],"Igual")</f>
        <v>5</v>
      </c>
      <c r="K15" s="13">
        <f>COUNTIFS(tbl_harmonizacao[ID_Par],A15,tbl_harmonizacao[Correspondencia],"Equivalente*")</f>
        <v>0</v>
      </c>
      <c r="L15" s="13">
        <f>COUNTIFS(tbl_harmonizacao[ID_Par],A15,tbl_harmonizacao[Correspondencia],"Só SGQ")</f>
        <v>7</v>
      </c>
      <c r="M15" s="13">
        <f>COUNTIFS(tbl_harmonizacao[ID_Par],A15,tbl_harmonizacao[Correspondencia],"Só SGA")</f>
        <v>7</v>
      </c>
      <c r="N15" s="14">
        <f t="shared" si="1"/>
        <v>0.41666666666666669</v>
      </c>
    </row>
    <row r="16" spans="1:14" ht="18" customHeight="1" x14ac:dyDescent="0.3">
      <c r="A16" s="9" t="s">
        <v>234</v>
      </c>
      <c r="B16" s="9" t="s">
        <v>235</v>
      </c>
      <c r="C16" s="9" t="s">
        <v>96</v>
      </c>
      <c r="D16" s="9" t="s">
        <v>236</v>
      </c>
      <c r="E16" s="9" t="s">
        <v>230</v>
      </c>
      <c r="F16" s="9" t="s">
        <v>236</v>
      </c>
      <c r="G16" s="11" t="str">
        <f t="shared" si="0"/>
        <v>Sim</v>
      </c>
      <c r="H16" s="12">
        <v>26</v>
      </c>
      <c r="I16" s="12">
        <v>18</v>
      </c>
      <c r="J16" s="13">
        <f>COUNTIFS(tbl_harmonizacao[ID_Par],A16,tbl_harmonizacao[Correspondencia],"Igual")</f>
        <v>15</v>
      </c>
      <c r="K16" s="13">
        <f>COUNTIFS(tbl_harmonizacao[ID_Par],A16,tbl_harmonizacao[Correspondencia],"Equivalente*")</f>
        <v>1</v>
      </c>
      <c r="L16" s="13">
        <f>COUNTIFS(tbl_harmonizacao[ID_Par],A16,tbl_harmonizacao[Correspondencia],"Só SGQ")</f>
        <v>10</v>
      </c>
      <c r="M16" s="13">
        <f>COUNTIFS(tbl_harmonizacao[ID_Par],A16,tbl_harmonizacao[Correspondencia],"Só SGA")</f>
        <v>2</v>
      </c>
      <c r="N16" s="14">
        <f t="shared" si="1"/>
        <v>0.88888888888888884</v>
      </c>
    </row>
    <row r="17" spans="1:14" ht="18" customHeight="1" x14ac:dyDescent="0.3">
      <c r="A17" s="9" t="s">
        <v>237</v>
      </c>
      <c r="B17" s="9" t="s">
        <v>238</v>
      </c>
      <c r="C17" s="9" t="s">
        <v>121</v>
      </c>
      <c r="D17" s="9" t="s">
        <v>239</v>
      </c>
      <c r="E17" s="9" t="s">
        <v>240</v>
      </c>
      <c r="F17" s="9" t="s">
        <v>239</v>
      </c>
      <c r="G17" s="11" t="str">
        <f t="shared" si="0"/>
        <v>Sim</v>
      </c>
      <c r="H17" s="12">
        <v>15</v>
      </c>
      <c r="I17" s="12">
        <v>13</v>
      </c>
      <c r="J17" s="13">
        <f>COUNTIFS(tbl_harmonizacao[ID_Par],A17,tbl_harmonizacao[Correspondencia],"Igual")</f>
        <v>11</v>
      </c>
      <c r="K17" s="13">
        <f>COUNTIFS(tbl_harmonizacao[ID_Par],A17,tbl_harmonizacao[Correspondencia],"Equivalente*")</f>
        <v>0</v>
      </c>
      <c r="L17" s="13">
        <f>COUNTIFS(tbl_harmonizacao[ID_Par],A17,tbl_harmonizacao[Correspondencia],"Só SGQ")</f>
        <v>4</v>
      </c>
      <c r="M17" s="13">
        <f>COUNTIFS(tbl_harmonizacao[ID_Par],A17,tbl_harmonizacao[Correspondencia],"Só SGA")</f>
        <v>2</v>
      </c>
      <c r="N17" s="14">
        <f t="shared" si="1"/>
        <v>0.84615384615384615</v>
      </c>
    </row>
    <row r="18" spans="1:14" ht="18" customHeight="1" x14ac:dyDescent="0.3">
      <c r="A18" s="9" t="s">
        <v>241</v>
      </c>
      <c r="B18" s="9" t="s">
        <v>242</v>
      </c>
      <c r="C18" s="9" t="s">
        <v>121</v>
      </c>
      <c r="D18" s="9" t="s">
        <v>243</v>
      </c>
      <c r="E18" s="9" t="s">
        <v>240</v>
      </c>
      <c r="F18" s="9" t="s">
        <v>243</v>
      </c>
      <c r="G18" s="11" t="str">
        <f t="shared" si="0"/>
        <v>Sim</v>
      </c>
      <c r="H18" s="12">
        <v>7</v>
      </c>
      <c r="I18" s="12">
        <v>19</v>
      </c>
      <c r="J18" s="13">
        <f>COUNTIFS(tbl_harmonizacao[ID_Par],A18,tbl_harmonizacao[Correspondencia],"Igual")</f>
        <v>7</v>
      </c>
      <c r="K18" s="13">
        <f>COUNTIFS(tbl_harmonizacao[ID_Par],A18,tbl_harmonizacao[Correspondencia],"Equivalente*")</f>
        <v>0</v>
      </c>
      <c r="L18" s="13">
        <f>COUNTIFS(tbl_harmonizacao[ID_Par],A18,tbl_harmonizacao[Correspondencia],"Só SGQ")</f>
        <v>0</v>
      </c>
      <c r="M18" s="13">
        <f>COUNTIFS(tbl_harmonizacao[ID_Par],A18,tbl_harmonizacao[Correspondencia],"Só SGA")</f>
        <v>12</v>
      </c>
      <c r="N18" s="14">
        <f t="shared" si="1"/>
        <v>0.36842105263157893</v>
      </c>
    </row>
    <row r="19" spans="1:14" ht="18" customHeight="1" x14ac:dyDescent="0.3">
      <c r="A19" s="9" t="s">
        <v>244</v>
      </c>
      <c r="B19" s="9" t="s">
        <v>245</v>
      </c>
      <c r="C19" s="9" t="s">
        <v>126</v>
      </c>
      <c r="D19" s="9" t="s">
        <v>246</v>
      </c>
      <c r="E19" s="9" t="s">
        <v>222</v>
      </c>
      <c r="F19" s="9" t="s">
        <v>246</v>
      </c>
      <c r="G19" s="11" t="str">
        <f t="shared" si="0"/>
        <v>Sim</v>
      </c>
      <c r="H19" s="12">
        <v>19</v>
      </c>
      <c r="I19" s="12">
        <v>10</v>
      </c>
      <c r="J19" s="13">
        <f>COUNTIFS(tbl_harmonizacao[ID_Par],A19,tbl_harmonizacao[Correspondencia],"Igual")</f>
        <v>8</v>
      </c>
      <c r="K19" s="13">
        <f>COUNTIFS(tbl_harmonizacao[ID_Par],A19,tbl_harmonizacao[Correspondencia],"Equivalente*")</f>
        <v>0</v>
      </c>
      <c r="L19" s="13">
        <f>COUNTIFS(tbl_harmonizacao[ID_Par],A19,tbl_harmonizacao[Correspondencia],"Só SGQ")</f>
        <v>11</v>
      </c>
      <c r="M19" s="13">
        <f>COUNTIFS(tbl_harmonizacao[ID_Par],A19,tbl_harmonizacao[Correspondencia],"Só SGA")</f>
        <v>2</v>
      </c>
      <c r="N19" s="14">
        <f t="shared" si="1"/>
        <v>0.8</v>
      </c>
    </row>
    <row r="20" spans="1:14" ht="18" customHeight="1" x14ac:dyDescent="0.3">
      <c r="A20" s="9" t="s">
        <v>247</v>
      </c>
      <c r="B20" s="9" t="s">
        <v>248</v>
      </c>
      <c r="C20" s="9" t="s">
        <v>141</v>
      </c>
      <c r="D20" s="9" t="s">
        <v>249</v>
      </c>
      <c r="E20" s="9" t="s">
        <v>250</v>
      </c>
      <c r="F20" s="9" t="s">
        <v>249</v>
      </c>
      <c r="G20" s="11" t="str">
        <f t="shared" si="0"/>
        <v>Sim</v>
      </c>
      <c r="H20" s="12">
        <v>16</v>
      </c>
      <c r="I20" s="12">
        <v>21</v>
      </c>
      <c r="J20" s="13">
        <f>COUNTIFS(tbl_harmonizacao[ID_Par],A20,tbl_harmonizacao[Correspondencia],"Igual")</f>
        <v>11</v>
      </c>
      <c r="K20" s="13">
        <f>COUNTIFS(tbl_harmonizacao[ID_Par],A20,tbl_harmonizacao[Correspondencia],"Equivalente*")</f>
        <v>1</v>
      </c>
      <c r="L20" s="13">
        <f>COUNTIFS(tbl_harmonizacao[ID_Par],A20,tbl_harmonizacao[Correspondencia],"Só SGQ")</f>
        <v>4</v>
      </c>
      <c r="M20" s="13">
        <f>COUNTIFS(tbl_harmonizacao[ID_Par],A20,tbl_harmonizacao[Correspondencia],"Só SGA")</f>
        <v>9</v>
      </c>
      <c r="N20" s="14">
        <f t="shared" si="1"/>
        <v>0.5714285714285714</v>
      </c>
    </row>
    <row r="21" spans="1:14" ht="18" customHeight="1" x14ac:dyDescent="0.3">
      <c r="A21" s="9" t="s">
        <v>251</v>
      </c>
      <c r="B21" s="9" t="s">
        <v>252</v>
      </c>
      <c r="C21" s="9" t="s">
        <v>151</v>
      </c>
      <c r="D21" s="9" t="s">
        <v>253</v>
      </c>
      <c r="E21" s="9" t="s">
        <v>254</v>
      </c>
      <c r="F21" s="9" t="s">
        <v>255</v>
      </c>
      <c r="G21" s="11" t="str">
        <f t="shared" si="0"/>
        <v>Não</v>
      </c>
      <c r="H21" s="12">
        <v>21</v>
      </c>
      <c r="I21" s="12">
        <v>32</v>
      </c>
      <c r="J21" s="13">
        <f>COUNTIFS(tbl_harmonizacao[ID_Par],A21,tbl_harmonizacao[Correspondencia],"Igual")</f>
        <v>8</v>
      </c>
      <c r="K21" s="13">
        <f>COUNTIFS(tbl_harmonizacao[ID_Par],A21,tbl_harmonizacao[Correspondencia],"Equivalente*")</f>
        <v>3</v>
      </c>
      <c r="L21" s="13">
        <f>COUNTIFS(tbl_harmonizacao[ID_Par],A21,tbl_harmonizacao[Correspondencia],"Só SGQ")</f>
        <v>10</v>
      </c>
      <c r="M21" s="13">
        <f>COUNTIFS(tbl_harmonizacao[ID_Par],A21,tbl_harmonizacao[Correspondencia],"Só SGA")</f>
        <v>21</v>
      </c>
      <c r="N21" s="14">
        <f t="shared" si="1"/>
        <v>0.34375</v>
      </c>
    </row>
    <row r="22" spans="1:14" ht="18" customHeight="1" x14ac:dyDescent="0.3">
      <c r="A22" s="9" t="s">
        <v>256</v>
      </c>
      <c r="B22" s="9" t="s">
        <v>257</v>
      </c>
      <c r="C22" s="9" t="s">
        <v>171</v>
      </c>
      <c r="D22" s="9" t="s">
        <v>258</v>
      </c>
      <c r="E22" s="9" t="s">
        <v>254</v>
      </c>
      <c r="F22" s="9" t="s">
        <v>255</v>
      </c>
      <c r="G22" s="11" t="str">
        <f t="shared" si="0"/>
        <v>Não</v>
      </c>
      <c r="H22" s="12">
        <v>23</v>
      </c>
      <c r="I22" s="12">
        <v>32</v>
      </c>
      <c r="J22" s="13">
        <f>COUNTIFS(tbl_harmonizacao[ID_Par],A22,tbl_harmonizacao[Correspondencia],"Igual")</f>
        <v>16</v>
      </c>
      <c r="K22" s="13">
        <f>COUNTIFS(tbl_harmonizacao[ID_Par],A22,tbl_harmonizacao[Correspondencia],"Equivalente*")</f>
        <v>1</v>
      </c>
      <c r="L22" s="13">
        <f>COUNTIFS(tbl_harmonizacao[ID_Par],A22,tbl_harmonizacao[Correspondencia],"Só SGQ")</f>
        <v>6</v>
      </c>
      <c r="M22" s="13">
        <f>COUNTIFS(tbl_harmonizacao[ID_Par],A22,tbl_harmonizacao[Correspondencia],"Só SGA")</f>
        <v>15</v>
      </c>
      <c r="N22" s="14">
        <f t="shared" si="1"/>
        <v>0.53125</v>
      </c>
    </row>
    <row r="23" spans="1:14" ht="18" customHeight="1" x14ac:dyDescent="0.3">
      <c r="A23" s="9" t="s">
        <v>259</v>
      </c>
      <c r="B23" s="9" t="s">
        <v>260</v>
      </c>
      <c r="C23" s="9" t="s">
        <v>171</v>
      </c>
      <c r="D23" s="9" t="s">
        <v>261</v>
      </c>
      <c r="E23" s="9" t="s">
        <v>254</v>
      </c>
      <c r="F23" s="9" t="s">
        <v>261</v>
      </c>
      <c r="G23" s="11" t="str">
        <f t="shared" si="0"/>
        <v>Sim</v>
      </c>
      <c r="H23" s="12">
        <v>6</v>
      </c>
      <c r="I23" s="12">
        <v>7</v>
      </c>
      <c r="J23" s="13">
        <f>COUNTIFS(tbl_harmonizacao[ID_Par],A23,tbl_harmonizacao[Correspondencia],"Igual")</f>
        <v>5</v>
      </c>
      <c r="K23" s="13">
        <f>COUNTIFS(tbl_harmonizacao[ID_Par],A23,tbl_harmonizacao[Correspondencia],"Equivalente*")</f>
        <v>1</v>
      </c>
      <c r="L23" s="13">
        <f>COUNTIFS(tbl_harmonizacao[ID_Par],A23,tbl_harmonizacao[Correspondencia],"Só SGQ")</f>
        <v>0</v>
      </c>
      <c r="M23" s="13">
        <f>COUNTIFS(tbl_harmonizacao[ID_Par],A23,tbl_harmonizacao[Correspondencia],"Só SGA")</f>
        <v>1</v>
      </c>
      <c r="N23" s="14">
        <f t="shared" si="1"/>
        <v>0.8571428571428571</v>
      </c>
    </row>
    <row r="24" spans="1:14" ht="18" customHeight="1" x14ac:dyDescent="0.3">
      <c r="A24" s="9" t="s">
        <v>262</v>
      </c>
      <c r="B24" s="9" t="s">
        <v>263</v>
      </c>
      <c r="C24" s="9" t="s">
        <v>161</v>
      </c>
      <c r="D24" s="9" t="s">
        <v>264</v>
      </c>
      <c r="E24" s="9" t="s">
        <v>265</v>
      </c>
      <c r="F24" s="9" t="s">
        <v>264</v>
      </c>
      <c r="G24" s="11" t="str">
        <f t="shared" si="0"/>
        <v>Sim</v>
      </c>
      <c r="H24" s="12">
        <v>12</v>
      </c>
      <c r="I24" s="12">
        <v>13</v>
      </c>
      <c r="J24" s="13">
        <f>COUNTIFS(tbl_harmonizacao[ID_Par],A24,tbl_harmonizacao[Correspondencia],"Igual")</f>
        <v>7</v>
      </c>
      <c r="K24" s="13">
        <f>COUNTIFS(tbl_harmonizacao[ID_Par],A24,tbl_harmonizacao[Correspondencia],"Equivalente*")</f>
        <v>2</v>
      </c>
      <c r="L24" s="13">
        <f>COUNTIFS(tbl_harmonizacao[ID_Par],A24,tbl_harmonizacao[Correspondencia],"Só SGQ")</f>
        <v>3</v>
      </c>
      <c r="M24" s="13">
        <f>COUNTIFS(tbl_harmonizacao[ID_Par],A24,tbl_harmonizacao[Correspondencia],"Só SGA")</f>
        <v>4</v>
      </c>
      <c r="N24" s="14">
        <f t="shared" si="1"/>
        <v>0.69230769230769229</v>
      </c>
    </row>
    <row r="25" spans="1:14" ht="18" customHeight="1" x14ac:dyDescent="0.3">
      <c r="A25" s="9" t="s">
        <v>266</v>
      </c>
      <c r="B25" s="9" t="s">
        <v>267</v>
      </c>
      <c r="C25" s="9" t="s">
        <v>161</v>
      </c>
      <c r="D25" s="9" t="s">
        <v>268</v>
      </c>
      <c r="E25" s="9" t="s">
        <v>265</v>
      </c>
      <c r="F25" s="9" t="s">
        <v>268</v>
      </c>
      <c r="G25" s="11" t="str">
        <f t="shared" si="0"/>
        <v>Sim</v>
      </c>
      <c r="H25" s="12">
        <v>12</v>
      </c>
      <c r="I25" s="12">
        <v>16</v>
      </c>
      <c r="J25" s="13">
        <f>COUNTIFS(tbl_harmonizacao[ID_Par],A25,tbl_harmonizacao[Correspondencia],"Igual")</f>
        <v>7</v>
      </c>
      <c r="K25" s="13">
        <f>COUNTIFS(tbl_harmonizacao[ID_Par],A25,tbl_harmonizacao[Correspondencia],"Equivalente*")</f>
        <v>2</v>
      </c>
      <c r="L25" s="13">
        <f>COUNTIFS(tbl_harmonizacao[ID_Par],A25,tbl_harmonizacao[Correspondencia],"Só SGQ")</f>
        <v>3</v>
      </c>
      <c r="M25" s="13">
        <f>COUNTIFS(tbl_harmonizacao[ID_Par],A25,tbl_harmonizacao[Correspondencia],"Só SGA")</f>
        <v>7</v>
      </c>
      <c r="N25" s="14">
        <f t="shared" si="1"/>
        <v>0.5625</v>
      </c>
    </row>
    <row r="26" spans="1:14" ht="18" customHeight="1" x14ac:dyDescent="0.3">
      <c r="A26" s="9" t="s">
        <v>269</v>
      </c>
      <c r="B26" s="9" t="s">
        <v>270</v>
      </c>
      <c r="C26" s="9" t="s">
        <v>166</v>
      </c>
      <c r="D26" s="9" t="s">
        <v>271</v>
      </c>
      <c r="E26" s="9" t="s">
        <v>272</v>
      </c>
      <c r="F26" s="9" t="s">
        <v>273</v>
      </c>
      <c r="G26" s="11" t="str">
        <f t="shared" si="0"/>
        <v>Não</v>
      </c>
      <c r="H26" s="12">
        <v>6</v>
      </c>
      <c r="I26" s="12">
        <v>9</v>
      </c>
      <c r="J26" s="13">
        <f>COUNTIFS(tbl_harmonizacao[ID_Par],A26,tbl_harmonizacao[Correspondencia],"Igual")</f>
        <v>4</v>
      </c>
      <c r="K26" s="13">
        <f>COUNTIFS(tbl_harmonizacao[ID_Par],A26,tbl_harmonizacao[Correspondencia],"Equivalente*")</f>
        <v>0</v>
      </c>
      <c r="L26" s="13">
        <f>COUNTIFS(tbl_harmonizacao[ID_Par],A26,tbl_harmonizacao[Correspondencia],"Só SGQ")</f>
        <v>2</v>
      </c>
      <c r="M26" s="13">
        <f>COUNTIFS(tbl_harmonizacao[ID_Par],A26,tbl_harmonizacao[Correspondencia],"Só SGA")</f>
        <v>5</v>
      </c>
      <c r="N26" s="14">
        <f t="shared" si="1"/>
        <v>0.44444444444444442</v>
      </c>
    </row>
    <row r="27" spans="1:14" ht="18" customHeight="1" x14ac:dyDescent="0.3">
      <c r="A27" s="9" t="s">
        <v>274</v>
      </c>
      <c r="B27" s="9" t="s">
        <v>275</v>
      </c>
      <c r="C27" s="9" t="s">
        <v>166</v>
      </c>
      <c r="D27" s="9" t="s">
        <v>276</v>
      </c>
      <c r="E27" s="9" t="s">
        <v>272</v>
      </c>
      <c r="F27" s="9" t="s">
        <v>276</v>
      </c>
      <c r="G27" s="11" t="str">
        <f t="shared" si="0"/>
        <v>Sim</v>
      </c>
      <c r="H27" s="12">
        <v>9</v>
      </c>
      <c r="I27" s="12">
        <v>11</v>
      </c>
      <c r="J27" s="13">
        <f>COUNTIFS(tbl_harmonizacao[ID_Par],A27,tbl_harmonizacao[Correspondencia],"Igual")</f>
        <v>6</v>
      </c>
      <c r="K27" s="13">
        <f>COUNTIFS(tbl_harmonizacao[ID_Par],A27,tbl_harmonizacao[Correspondencia],"Equivalente*")</f>
        <v>1</v>
      </c>
      <c r="L27" s="13">
        <f>COUNTIFS(tbl_harmonizacao[ID_Par],A27,tbl_harmonizacao[Correspondencia],"Só SGQ")</f>
        <v>2</v>
      </c>
      <c r="M27" s="13">
        <f>COUNTIFS(tbl_harmonizacao[ID_Par],A27,tbl_harmonizacao[Correspondencia],"Só SGA")</f>
        <v>4</v>
      </c>
      <c r="N27" s="14">
        <f t="shared" si="1"/>
        <v>0.63636363636363635</v>
      </c>
    </row>
    <row r="28" spans="1:14" ht="18" customHeight="1" x14ac:dyDescent="0.3">
      <c r="A28" s="9" t="s">
        <v>277</v>
      </c>
      <c r="B28" s="9" t="s">
        <v>278</v>
      </c>
      <c r="C28" s="9" t="s">
        <v>176</v>
      </c>
      <c r="D28" s="9" t="s">
        <v>279</v>
      </c>
      <c r="E28" s="9" t="s">
        <v>280</v>
      </c>
      <c r="F28" s="9" t="s">
        <v>281</v>
      </c>
      <c r="G28" s="11" t="str">
        <f t="shared" si="0"/>
        <v>Não</v>
      </c>
      <c r="H28" s="12">
        <v>8</v>
      </c>
      <c r="I28" s="12">
        <v>22</v>
      </c>
      <c r="J28" s="13">
        <f>COUNTIFS(tbl_harmonizacao[ID_Par],A28,tbl_harmonizacao[Correspondencia],"Igual")</f>
        <v>3</v>
      </c>
      <c r="K28" s="13">
        <f>COUNTIFS(tbl_harmonizacao[ID_Par],A28,tbl_harmonizacao[Correspondencia],"Equivalente*")</f>
        <v>3</v>
      </c>
      <c r="L28" s="13">
        <f>COUNTIFS(tbl_harmonizacao[ID_Par],A28,tbl_harmonizacao[Correspondencia],"Só SGQ")</f>
        <v>2</v>
      </c>
      <c r="M28" s="13">
        <f>COUNTIFS(tbl_harmonizacao[ID_Par],A28,tbl_harmonizacao[Correspondencia],"Só SGA")</f>
        <v>16</v>
      </c>
      <c r="N28" s="14">
        <f t="shared" si="1"/>
        <v>0.27272727272727271</v>
      </c>
    </row>
    <row r="29" spans="1:14" ht="18" customHeight="1" x14ac:dyDescent="0.3">
      <c r="A29" s="9" t="s">
        <v>282</v>
      </c>
      <c r="B29" s="9" t="s">
        <v>283</v>
      </c>
      <c r="C29" s="9" t="s">
        <v>4</v>
      </c>
      <c r="D29" s="9" t="s">
        <v>284</v>
      </c>
      <c r="E29" s="9" t="s">
        <v>285</v>
      </c>
      <c r="F29" s="9" t="s">
        <v>284</v>
      </c>
      <c r="G29" s="11" t="str">
        <f t="shared" si="0"/>
        <v>Sim</v>
      </c>
      <c r="H29" s="12">
        <v>5</v>
      </c>
      <c r="I29" s="12">
        <v>5</v>
      </c>
      <c r="J29" s="13">
        <f>COUNTIFS(tbl_harmonizacao[ID_Par],A29,tbl_harmonizacao[Correspondencia],"Igual")</f>
        <v>5</v>
      </c>
      <c r="K29" s="13">
        <f>COUNTIFS(tbl_harmonizacao[ID_Par],A29,tbl_harmonizacao[Correspondencia],"Equivalente*")</f>
        <v>0</v>
      </c>
      <c r="L29" s="13">
        <f>COUNTIFS(tbl_harmonizacao[ID_Par],A29,tbl_harmonizacao[Correspondencia],"Só SGQ")</f>
        <v>0</v>
      </c>
      <c r="M29" s="13">
        <f>COUNTIFS(tbl_harmonizacao[ID_Par],A29,tbl_harmonizacao[Correspondencia],"Só SGA")</f>
        <v>0</v>
      </c>
      <c r="N29" s="14">
        <f t="shared" si="1"/>
        <v>1</v>
      </c>
    </row>
    <row r="30" spans="1:14" ht="18" customHeight="1" x14ac:dyDescent="0.3">
      <c r="A30" s="9" t="s">
        <v>286</v>
      </c>
      <c r="B30" s="9" t="s">
        <v>287</v>
      </c>
      <c r="C30" s="9" t="s">
        <v>4</v>
      </c>
      <c r="D30" s="9" t="s">
        <v>288</v>
      </c>
      <c r="E30" s="9" t="s">
        <v>285</v>
      </c>
      <c r="F30" s="9" t="s">
        <v>288</v>
      </c>
      <c r="G30" s="11" t="str">
        <f t="shared" si="0"/>
        <v>Sim</v>
      </c>
      <c r="H30" s="12">
        <v>13</v>
      </c>
      <c r="I30" s="12">
        <v>12</v>
      </c>
      <c r="J30" s="13">
        <f>COUNTIFS(tbl_harmonizacao[ID_Par],A30,tbl_harmonizacao[Correspondencia],"Igual")</f>
        <v>12</v>
      </c>
      <c r="K30" s="13">
        <f>COUNTIFS(tbl_harmonizacao[ID_Par],A30,tbl_harmonizacao[Correspondencia],"Equivalente*")</f>
        <v>0</v>
      </c>
      <c r="L30" s="13">
        <f>COUNTIFS(tbl_harmonizacao[ID_Par],A30,tbl_harmonizacao[Correspondencia],"Só SGQ")</f>
        <v>1</v>
      </c>
      <c r="M30" s="13">
        <f>COUNTIFS(tbl_harmonizacao[ID_Par],A30,tbl_harmonizacao[Correspondencia],"Só SGA")</f>
        <v>0</v>
      </c>
      <c r="N30" s="14">
        <f t="shared" si="1"/>
        <v>1</v>
      </c>
    </row>
    <row r="31" spans="1:14" ht="18" customHeight="1" x14ac:dyDescent="0.3">
      <c r="A31" s="9" t="s">
        <v>289</v>
      </c>
      <c r="B31" s="9" t="s">
        <v>290</v>
      </c>
      <c r="C31" s="9" t="s">
        <v>4</v>
      </c>
      <c r="D31" s="9" t="s">
        <v>291</v>
      </c>
      <c r="E31" s="9" t="s">
        <v>285</v>
      </c>
      <c r="F31" s="9" t="s">
        <v>291</v>
      </c>
      <c r="G31" s="11" t="str">
        <f t="shared" si="0"/>
        <v>Sim</v>
      </c>
      <c r="H31" s="12">
        <v>5</v>
      </c>
      <c r="I31" s="12">
        <v>5</v>
      </c>
      <c r="J31" s="13">
        <f>COUNTIFS(tbl_harmonizacao[ID_Par],A31,tbl_harmonizacao[Correspondencia],"Igual")</f>
        <v>5</v>
      </c>
      <c r="K31" s="13">
        <f>COUNTIFS(tbl_harmonizacao[ID_Par],A31,tbl_harmonizacao[Correspondencia],"Equivalente*")</f>
        <v>0</v>
      </c>
      <c r="L31" s="13">
        <f>COUNTIFS(tbl_harmonizacao[ID_Par],A31,tbl_harmonizacao[Correspondencia],"Só SGQ")</f>
        <v>0</v>
      </c>
      <c r="M31" s="13">
        <f>COUNTIFS(tbl_harmonizacao[ID_Par],A31,tbl_harmonizacao[Correspondencia],"Só SGA")</f>
        <v>0</v>
      </c>
      <c r="N31" s="14">
        <f t="shared" si="1"/>
        <v>1</v>
      </c>
    </row>
    <row r="32" spans="1:14" ht="18" customHeight="1" x14ac:dyDescent="0.3">
      <c r="A32" s="9" t="s">
        <v>292</v>
      </c>
      <c r="B32" s="9" t="s">
        <v>293</v>
      </c>
      <c r="C32" s="9" t="s">
        <v>4</v>
      </c>
      <c r="D32" s="9" t="s">
        <v>294</v>
      </c>
      <c r="E32" s="9" t="s">
        <v>285</v>
      </c>
      <c r="F32" s="9" t="s">
        <v>294</v>
      </c>
      <c r="G32" s="11" t="str">
        <f t="shared" si="0"/>
        <v>Sim</v>
      </c>
      <c r="H32" s="12">
        <v>5</v>
      </c>
      <c r="I32" s="12">
        <v>5</v>
      </c>
      <c r="J32" s="13">
        <f>COUNTIFS(tbl_harmonizacao[ID_Par],A32,tbl_harmonizacao[Correspondencia],"Igual")</f>
        <v>4</v>
      </c>
      <c r="K32" s="13">
        <f>COUNTIFS(tbl_harmonizacao[ID_Par],A32,tbl_harmonizacao[Correspondencia],"Equivalente*")</f>
        <v>0</v>
      </c>
      <c r="L32" s="13">
        <f>COUNTIFS(tbl_harmonizacao[ID_Par],A32,tbl_harmonizacao[Correspondencia],"Só SGQ")</f>
        <v>1</v>
      </c>
      <c r="M32" s="13">
        <f>COUNTIFS(tbl_harmonizacao[ID_Par],A32,tbl_harmonizacao[Correspondencia],"Só SGA")</f>
        <v>1</v>
      </c>
      <c r="N32" s="14">
        <f t="shared" si="1"/>
        <v>0.8</v>
      </c>
    </row>
    <row r="33" spans="1:14" ht="18" customHeight="1" x14ac:dyDescent="0.3">
      <c r="A33" s="9" t="s">
        <v>295</v>
      </c>
      <c r="B33" s="9" t="s">
        <v>296</v>
      </c>
      <c r="C33" s="9" t="s">
        <v>4</v>
      </c>
      <c r="D33" s="9" t="s">
        <v>297</v>
      </c>
      <c r="E33" s="9" t="s">
        <v>285</v>
      </c>
      <c r="F33" s="9" t="s">
        <v>297</v>
      </c>
      <c r="G33" s="11" t="str">
        <f t="shared" si="0"/>
        <v>Sim</v>
      </c>
      <c r="H33" s="12">
        <v>3</v>
      </c>
      <c r="I33" s="12">
        <v>3</v>
      </c>
      <c r="J33" s="13">
        <f>COUNTIFS(tbl_harmonizacao[ID_Par],A33,tbl_harmonizacao[Correspondencia],"Igual")</f>
        <v>3</v>
      </c>
      <c r="K33" s="13">
        <f>COUNTIFS(tbl_harmonizacao[ID_Par],A33,tbl_harmonizacao[Correspondencia],"Equivalente*")</f>
        <v>0</v>
      </c>
      <c r="L33" s="13">
        <f>COUNTIFS(tbl_harmonizacao[ID_Par],A33,tbl_harmonizacao[Correspondencia],"Só SGQ")</f>
        <v>0</v>
      </c>
      <c r="M33" s="13">
        <f>COUNTIFS(tbl_harmonizacao[ID_Par],A33,tbl_harmonizacao[Correspondencia],"Só SGA")</f>
        <v>0</v>
      </c>
      <c r="N33" s="14">
        <f t="shared" si="1"/>
        <v>1</v>
      </c>
    </row>
  </sheetData>
  <conditionalFormatting sqref="G5:G233">
    <cfRule type="expression" dxfId="18" priority="1">
      <formula>ISNUMBER(SEARCH("Sim",G5))</formula>
    </cfRule>
    <cfRule type="expression" dxfId="17" priority="2">
      <formula>ISNUMBER(SEARCH("Não",G5))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50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2" customWidth="1"/>
    <col min="3" max="3" width="26" customWidth="1"/>
    <col min="4" max="4" width="7" customWidth="1"/>
    <col min="5" max="5" width="22" customWidth="1"/>
    <col min="6" max="6" width="26" customWidth="1"/>
    <col min="7" max="7" width="7" customWidth="1"/>
    <col min="8" max="8" width="22" customWidth="1"/>
    <col min="9" max="9" width="26" customWidth="1"/>
  </cols>
  <sheetData>
    <row r="1" spans="1:9" ht="17.399999999999999" x14ac:dyDescent="0.3">
      <c r="A1" s="1" t="s">
        <v>298</v>
      </c>
    </row>
    <row r="2" spans="1:9" x14ac:dyDescent="0.3">
      <c r="A2" s="2" t="s">
        <v>299</v>
      </c>
    </row>
    <row r="4" spans="1:9" ht="39.6" x14ac:dyDescent="0.3">
      <c r="A4" s="8" t="s">
        <v>182</v>
      </c>
      <c r="B4" s="8" t="s">
        <v>185</v>
      </c>
      <c r="C4" s="8" t="s">
        <v>300</v>
      </c>
      <c r="D4" s="8" t="s">
        <v>301</v>
      </c>
      <c r="E4" s="8" t="s">
        <v>187</v>
      </c>
      <c r="F4" s="8" t="s">
        <v>302</v>
      </c>
      <c r="G4" s="8" t="s">
        <v>303</v>
      </c>
      <c r="H4" s="8" t="s">
        <v>304</v>
      </c>
      <c r="I4" s="10" t="s">
        <v>305</v>
      </c>
    </row>
    <row r="5" spans="1:9" ht="15" customHeight="1" x14ac:dyDescent="0.3">
      <c r="A5" s="9" t="s">
        <v>196</v>
      </c>
      <c r="B5" s="9" t="s">
        <v>198</v>
      </c>
      <c r="C5" s="9" t="s">
        <v>306</v>
      </c>
      <c r="D5" s="12">
        <v>1</v>
      </c>
      <c r="E5" s="9" t="s">
        <v>198</v>
      </c>
      <c r="F5" s="9" t="s">
        <v>306</v>
      </c>
      <c r="G5" s="12">
        <v>1</v>
      </c>
      <c r="H5" s="9" t="s">
        <v>307</v>
      </c>
      <c r="I5" s="11" t="str">
        <f t="shared" ref="I5:I68" si="0">IF(A5="","",IF(F5&lt;&gt;"",F5,C5))</f>
        <v>ID_PESTEL</v>
      </c>
    </row>
    <row r="6" spans="1:9" ht="15" customHeight="1" x14ac:dyDescent="0.3">
      <c r="A6" s="9" t="s">
        <v>196</v>
      </c>
      <c r="B6" s="9" t="s">
        <v>198</v>
      </c>
      <c r="C6" s="9" t="s">
        <v>308</v>
      </c>
      <c r="D6" s="12">
        <v>2</v>
      </c>
      <c r="E6" s="9" t="s">
        <v>198</v>
      </c>
      <c r="F6" s="9" t="s">
        <v>308</v>
      </c>
      <c r="G6" s="12">
        <v>2</v>
      </c>
      <c r="H6" s="9" t="s">
        <v>307</v>
      </c>
      <c r="I6" s="11" t="str">
        <f t="shared" si="0"/>
        <v>Dimensao</v>
      </c>
    </row>
    <row r="7" spans="1:9" ht="15" customHeight="1" x14ac:dyDescent="0.3">
      <c r="A7" s="9" t="s">
        <v>196</v>
      </c>
      <c r="B7" s="9" t="s">
        <v>198</v>
      </c>
      <c r="C7" s="9" t="s">
        <v>309</v>
      </c>
      <c r="D7" s="12">
        <v>3</v>
      </c>
      <c r="E7" s="9" t="s">
        <v>198</v>
      </c>
      <c r="F7" s="9" t="s">
        <v>309</v>
      </c>
      <c r="G7" s="12">
        <v>3</v>
      </c>
      <c r="H7" s="9" t="s">
        <v>307</v>
      </c>
      <c r="I7" s="11" t="str">
        <f t="shared" si="0"/>
        <v>Fator_Externo</v>
      </c>
    </row>
    <row r="8" spans="1:9" ht="15" customHeight="1" x14ac:dyDescent="0.3">
      <c r="A8" s="9" t="s">
        <v>196</v>
      </c>
      <c r="B8" s="9" t="s">
        <v>198</v>
      </c>
      <c r="C8" s="9" t="s">
        <v>310</v>
      </c>
      <c r="D8" s="12">
        <v>4</v>
      </c>
      <c r="E8" s="9" t="s">
        <v>198</v>
      </c>
      <c r="F8" s="9" t="s">
        <v>310</v>
      </c>
      <c r="G8" s="12">
        <v>4</v>
      </c>
      <c r="H8" s="9" t="s">
        <v>307</v>
      </c>
      <c r="I8" s="11" t="str">
        <f t="shared" si="0"/>
        <v>Descricao</v>
      </c>
    </row>
    <row r="9" spans="1:9" ht="15" customHeight="1" x14ac:dyDescent="0.3">
      <c r="A9" s="9" t="s">
        <v>196</v>
      </c>
      <c r="B9" s="9" t="s">
        <v>198</v>
      </c>
      <c r="C9" s="9" t="s">
        <v>311</v>
      </c>
      <c r="D9" s="12">
        <v>5</v>
      </c>
      <c r="E9" s="9" t="s">
        <v>198</v>
      </c>
      <c r="F9" s="9" t="s">
        <v>311</v>
      </c>
      <c r="G9" s="12">
        <v>5</v>
      </c>
      <c r="H9" s="9" t="s">
        <v>307</v>
      </c>
      <c r="I9" s="11" t="str">
        <f t="shared" si="0"/>
        <v>Condicao_Ambiental_ISO2026</v>
      </c>
    </row>
    <row r="10" spans="1:9" ht="15" customHeight="1" x14ac:dyDescent="0.3">
      <c r="A10" s="9" t="s">
        <v>196</v>
      </c>
      <c r="B10" s="9" t="s">
        <v>198</v>
      </c>
      <c r="C10" s="9" t="s">
        <v>312</v>
      </c>
      <c r="D10" s="12">
        <v>6</v>
      </c>
      <c r="E10" s="9" t="s">
        <v>198</v>
      </c>
      <c r="F10" s="9" t="s">
        <v>312</v>
      </c>
      <c r="G10" s="12">
        <v>6</v>
      </c>
      <c r="H10" s="9" t="s">
        <v>307</v>
      </c>
      <c r="I10" s="11" t="str">
        <f t="shared" si="0"/>
        <v>Direcao_Efeito</v>
      </c>
    </row>
    <row r="11" spans="1:9" ht="15" customHeight="1" x14ac:dyDescent="0.3">
      <c r="A11" s="9" t="s">
        <v>196</v>
      </c>
      <c r="B11" s="9" t="s">
        <v>198</v>
      </c>
      <c r="C11" s="9" t="s">
        <v>313</v>
      </c>
      <c r="D11" s="12">
        <v>7</v>
      </c>
      <c r="E11" s="9" t="s">
        <v>198</v>
      </c>
      <c r="F11" s="9" t="s">
        <v>314</v>
      </c>
      <c r="G11" s="12">
        <v>7</v>
      </c>
      <c r="H11" s="9" t="s">
        <v>315</v>
      </c>
      <c r="I11" s="11" t="str">
        <f t="shared" si="0"/>
        <v>Efeito_no_SGA</v>
      </c>
    </row>
    <row r="12" spans="1:9" ht="15" customHeight="1" x14ac:dyDescent="0.3">
      <c r="A12" s="9" t="s">
        <v>196</v>
      </c>
      <c r="B12" s="9" t="s">
        <v>198</v>
      </c>
      <c r="C12" s="9" t="s">
        <v>316</v>
      </c>
      <c r="D12" s="12">
        <v>8</v>
      </c>
      <c r="E12" s="9" t="s">
        <v>198</v>
      </c>
      <c r="F12" s="9" t="s">
        <v>316</v>
      </c>
      <c r="G12" s="12">
        <v>8</v>
      </c>
      <c r="H12" s="9" t="s">
        <v>307</v>
      </c>
      <c r="I12" s="11" t="str">
        <f t="shared" si="0"/>
        <v>Classificacao</v>
      </c>
    </row>
    <row r="13" spans="1:9" ht="15" customHeight="1" x14ac:dyDescent="0.3">
      <c r="A13" s="9" t="s">
        <v>196</v>
      </c>
      <c r="B13" s="9" t="s">
        <v>198</v>
      </c>
      <c r="C13" s="9" t="s">
        <v>317</v>
      </c>
      <c r="D13" s="12">
        <v>9</v>
      </c>
      <c r="E13" s="9" t="s">
        <v>198</v>
      </c>
      <c r="F13" s="9" t="s">
        <v>317</v>
      </c>
      <c r="G13" s="12">
        <v>9</v>
      </c>
      <c r="H13" s="9" t="s">
        <v>307</v>
      </c>
      <c r="I13" s="11" t="str">
        <f t="shared" si="0"/>
        <v>Tendencia</v>
      </c>
    </row>
    <row r="14" spans="1:9" ht="15" customHeight="1" x14ac:dyDescent="0.3">
      <c r="A14" s="9" t="s">
        <v>196</v>
      </c>
      <c r="B14" s="9" t="s">
        <v>198</v>
      </c>
      <c r="C14" s="9" t="s">
        <v>318</v>
      </c>
      <c r="D14" s="12">
        <v>10</v>
      </c>
      <c r="E14" s="9" t="s">
        <v>198</v>
      </c>
      <c r="F14" s="9" t="s">
        <v>318</v>
      </c>
      <c r="G14" s="12">
        <v>10</v>
      </c>
      <c r="H14" s="9" t="s">
        <v>307</v>
      </c>
      <c r="I14" s="11" t="str">
        <f t="shared" si="0"/>
        <v>Horizonte</v>
      </c>
    </row>
    <row r="15" spans="1:9" ht="15" customHeight="1" x14ac:dyDescent="0.3">
      <c r="A15" s="9" t="s">
        <v>196</v>
      </c>
      <c r="B15" s="9" t="s">
        <v>198</v>
      </c>
      <c r="C15" s="9" t="s">
        <v>319</v>
      </c>
      <c r="D15" s="12">
        <v>11</v>
      </c>
      <c r="E15" s="9" t="s">
        <v>198</v>
      </c>
      <c r="F15" s="9" t="s">
        <v>319</v>
      </c>
      <c r="G15" s="12">
        <v>11</v>
      </c>
      <c r="H15" s="9" t="s">
        <v>307</v>
      </c>
      <c r="I15" s="11" t="str">
        <f t="shared" si="0"/>
        <v>Probabilidade_1a3</v>
      </c>
    </row>
    <row r="16" spans="1:9" ht="15" customHeight="1" x14ac:dyDescent="0.3">
      <c r="A16" s="9" t="s">
        <v>196</v>
      </c>
      <c r="B16" s="9" t="s">
        <v>198</v>
      </c>
      <c r="C16" s="9" t="s">
        <v>320</v>
      </c>
      <c r="D16" s="12">
        <v>12</v>
      </c>
      <c r="E16" s="9" t="s">
        <v>198</v>
      </c>
      <c r="F16" s="9" t="s">
        <v>320</v>
      </c>
      <c r="G16" s="12">
        <v>12</v>
      </c>
      <c r="H16" s="9" t="s">
        <v>307</v>
      </c>
      <c r="I16" s="11" t="str">
        <f t="shared" si="0"/>
        <v>Impacto_1a3</v>
      </c>
    </row>
    <row r="17" spans="1:9" ht="15" customHeight="1" x14ac:dyDescent="0.3">
      <c r="A17" s="9" t="s">
        <v>196</v>
      </c>
      <c r="B17" s="9" t="s">
        <v>198</v>
      </c>
      <c r="C17" s="9" t="s">
        <v>321</v>
      </c>
      <c r="D17" s="12">
        <v>13</v>
      </c>
      <c r="E17" s="9" t="s">
        <v>198</v>
      </c>
      <c r="F17" s="9" t="s">
        <v>321</v>
      </c>
      <c r="G17" s="12">
        <v>13</v>
      </c>
      <c r="H17" s="9" t="s">
        <v>307</v>
      </c>
      <c r="I17" s="11" t="str">
        <f t="shared" si="0"/>
        <v>Score</v>
      </c>
    </row>
    <row r="18" spans="1:9" ht="15" customHeight="1" x14ac:dyDescent="0.3">
      <c r="A18" s="9" t="s">
        <v>196</v>
      </c>
      <c r="B18" s="9" t="s">
        <v>198</v>
      </c>
      <c r="C18" s="9" t="s">
        <v>322</v>
      </c>
      <c r="D18" s="12">
        <v>14</v>
      </c>
      <c r="E18" s="9" t="s">
        <v>198</v>
      </c>
      <c r="F18" s="9" t="s">
        <v>322</v>
      </c>
      <c r="G18" s="12">
        <v>14</v>
      </c>
      <c r="H18" s="9" t="s">
        <v>307</v>
      </c>
      <c r="I18" s="11" t="str">
        <f t="shared" si="0"/>
        <v>Prioridade</v>
      </c>
    </row>
    <row r="19" spans="1:9" ht="15" customHeight="1" x14ac:dyDescent="0.3">
      <c r="A19" s="9" t="s">
        <v>196</v>
      </c>
      <c r="B19" s="9" t="s">
        <v>198</v>
      </c>
      <c r="C19" s="9" t="s">
        <v>323</v>
      </c>
      <c r="D19" s="12">
        <v>15</v>
      </c>
      <c r="E19" s="9" t="s">
        <v>198</v>
      </c>
      <c r="F19" s="9" t="s">
        <v>323</v>
      </c>
      <c r="G19" s="12">
        <v>15</v>
      </c>
      <c r="H19" s="9" t="s">
        <v>307</v>
      </c>
      <c r="I19" s="11" t="str">
        <f t="shared" si="0"/>
        <v>Fonte_Monitorizacao</v>
      </c>
    </row>
    <row r="20" spans="1:9" ht="15" customHeight="1" x14ac:dyDescent="0.3">
      <c r="A20" s="9" t="s">
        <v>196</v>
      </c>
      <c r="B20" s="9" t="s">
        <v>198</v>
      </c>
      <c r="C20" s="9" t="s">
        <v>324</v>
      </c>
      <c r="D20" s="12">
        <v>16</v>
      </c>
      <c r="E20" s="9" t="s">
        <v>198</v>
      </c>
      <c r="F20" s="9" t="s">
        <v>324</v>
      </c>
      <c r="G20" s="12">
        <v>16</v>
      </c>
      <c r="H20" s="9" t="s">
        <v>307</v>
      </c>
      <c r="I20" s="11" t="str">
        <f t="shared" si="0"/>
        <v>Resposta_Estrategica</v>
      </c>
    </row>
    <row r="21" spans="1:9" ht="15" customHeight="1" x14ac:dyDescent="0.3">
      <c r="A21" s="9" t="s">
        <v>196</v>
      </c>
      <c r="B21" s="9" t="s">
        <v>198</v>
      </c>
      <c r="C21" s="9" t="s">
        <v>325</v>
      </c>
      <c r="D21" s="12">
        <v>17</v>
      </c>
      <c r="E21" s="9" t="s">
        <v>198</v>
      </c>
      <c r="F21" s="9" t="s">
        <v>325</v>
      </c>
      <c r="G21" s="12">
        <v>17</v>
      </c>
      <c r="H21" s="9" t="s">
        <v>307</v>
      </c>
      <c r="I21" s="11" t="str">
        <f t="shared" si="0"/>
        <v>ID_SWOT</v>
      </c>
    </row>
    <row r="22" spans="1:9" ht="15" customHeight="1" x14ac:dyDescent="0.3">
      <c r="A22" s="9" t="s">
        <v>196</v>
      </c>
      <c r="B22" s="9" t="s">
        <v>198</v>
      </c>
      <c r="C22" s="9" t="s">
        <v>326</v>
      </c>
      <c r="D22" s="12">
        <v>18</v>
      </c>
      <c r="E22" s="9" t="s">
        <v>198</v>
      </c>
      <c r="F22" s="9" t="s">
        <v>326</v>
      </c>
      <c r="G22" s="12">
        <v>18</v>
      </c>
      <c r="H22" s="9" t="s">
        <v>307</v>
      </c>
      <c r="I22" s="11" t="str">
        <f t="shared" si="0"/>
        <v>ID_RO</v>
      </c>
    </row>
    <row r="23" spans="1:9" ht="15" customHeight="1" x14ac:dyDescent="0.3">
      <c r="A23" s="9" t="s">
        <v>196</v>
      </c>
      <c r="B23" s="9" t="s">
        <v>198</v>
      </c>
      <c r="C23" s="9" t="s">
        <v>327</v>
      </c>
      <c r="D23" s="12">
        <v>19</v>
      </c>
      <c r="E23" s="9" t="s">
        <v>198</v>
      </c>
      <c r="F23" s="9" t="s">
        <v>327</v>
      </c>
      <c r="G23" s="12">
        <v>19</v>
      </c>
      <c r="H23" s="9" t="s">
        <v>307</v>
      </c>
      <c r="I23" s="11" t="str">
        <f t="shared" si="0"/>
        <v>Parte_Interessada</v>
      </c>
    </row>
    <row r="24" spans="1:9" ht="15" customHeight="1" x14ac:dyDescent="0.3">
      <c r="A24" s="9" t="s">
        <v>196</v>
      </c>
      <c r="B24" s="9" t="s">
        <v>198</v>
      </c>
      <c r="C24" s="9" t="s">
        <v>328</v>
      </c>
      <c r="D24" s="12">
        <v>20</v>
      </c>
      <c r="E24" s="9" t="s">
        <v>198</v>
      </c>
      <c r="F24" s="9" t="s">
        <v>328</v>
      </c>
      <c r="G24" s="12">
        <v>20</v>
      </c>
      <c r="H24" s="9" t="s">
        <v>307</v>
      </c>
      <c r="I24" s="11" t="str">
        <f t="shared" si="0"/>
        <v>Tema</v>
      </c>
    </row>
    <row r="25" spans="1:9" ht="15" customHeight="1" x14ac:dyDescent="0.3">
      <c r="A25" s="9" t="s">
        <v>196</v>
      </c>
      <c r="B25" s="9" t="s">
        <v>198</v>
      </c>
      <c r="C25" s="9" t="s">
        <v>329</v>
      </c>
      <c r="D25" s="12">
        <v>21</v>
      </c>
      <c r="E25" s="9" t="s">
        <v>198</v>
      </c>
      <c r="F25" s="9" t="s">
        <v>329</v>
      </c>
      <c r="G25" s="12">
        <v>21</v>
      </c>
      <c r="H25" s="9" t="s">
        <v>307</v>
      </c>
      <c r="I25" s="11" t="str">
        <f t="shared" si="0"/>
        <v>ESG</v>
      </c>
    </row>
    <row r="26" spans="1:9" ht="15" customHeight="1" x14ac:dyDescent="0.3">
      <c r="A26" s="9" t="s">
        <v>196</v>
      </c>
      <c r="B26" s="9" t="s">
        <v>198</v>
      </c>
      <c r="C26" s="9" t="s">
        <v>330</v>
      </c>
      <c r="D26" s="12">
        <v>22</v>
      </c>
      <c r="E26" s="9" t="s">
        <v>198</v>
      </c>
      <c r="F26" s="9" t="s">
        <v>330</v>
      </c>
      <c r="G26" s="12">
        <v>22</v>
      </c>
      <c r="H26" s="9" t="s">
        <v>307</v>
      </c>
      <c r="I26" s="11" t="str">
        <f t="shared" si="0"/>
        <v>Dono</v>
      </c>
    </row>
    <row r="27" spans="1:9" ht="15" customHeight="1" x14ac:dyDescent="0.3">
      <c r="A27" s="9" t="s">
        <v>196</v>
      </c>
      <c r="B27" s="9" t="s">
        <v>198</v>
      </c>
      <c r="C27" s="9" t="s">
        <v>331</v>
      </c>
      <c r="D27" s="12">
        <v>23</v>
      </c>
      <c r="E27" s="9" t="s">
        <v>198</v>
      </c>
      <c r="F27" s="9" t="s">
        <v>331</v>
      </c>
      <c r="G27" s="12">
        <v>23</v>
      </c>
      <c r="H27" s="9" t="s">
        <v>307</v>
      </c>
      <c r="I27" s="11" t="str">
        <f t="shared" si="0"/>
        <v>Data_Avaliacao</v>
      </c>
    </row>
    <row r="28" spans="1:9" ht="15" customHeight="1" x14ac:dyDescent="0.3">
      <c r="A28" s="9" t="s">
        <v>196</v>
      </c>
      <c r="B28" s="9" t="s">
        <v>198</v>
      </c>
      <c r="C28" s="9" t="s">
        <v>332</v>
      </c>
      <c r="D28" s="12">
        <v>24</v>
      </c>
      <c r="E28" s="9" t="s">
        <v>198</v>
      </c>
      <c r="F28" s="9" t="s">
        <v>332</v>
      </c>
      <c r="G28" s="12">
        <v>24</v>
      </c>
      <c r="H28" s="9" t="s">
        <v>307</v>
      </c>
      <c r="I28" s="11" t="str">
        <f t="shared" si="0"/>
        <v>Proxima_Revisao</v>
      </c>
    </row>
    <row r="29" spans="1:9" ht="15" customHeight="1" x14ac:dyDescent="0.3">
      <c r="A29" s="9" t="s">
        <v>196</v>
      </c>
      <c r="B29" s="9" t="s">
        <v>198</v>
      </c>
      <c r="C29" s="9" t="s">
        <v>333</v>
      </c>
      <c r="D29" s="12">
        <v>25</v>
      </c>
      <c r="E29" s="9" t="s">
        <v>198</v>
      </c>
      <c r="F29" s="9" t="s">
        <v>333</v>
      </c>
      <c r="G29" s="12">
        <v>25</v>
      </c>
      <c r="H29" s="9" t="s">
        <v>307</v>
      </c>
      <c r="I29" s="11" t="str">
        <f t="shared" si="0"/>
        <v>Ambito</v>
      </c>
    </row>
    <row r="30" spans="1:9" ht="15" customHeight="1" x14ac:dyDescent="0.3">
      <c r="A30" s="9" t="s">
        <v>196</v>
      </c>
      <c r="B30" s="9" t="s">
        <v>198</v>
      </c>
      <c r="C30" s="9" t="s">
        <v>334</v>
      </c>
      <c r="D30" s="12">
        <v>26</v>
      </c>
      <c r="E30" s="9" t="s">
        <v>198</v>
      </c>
      <c r="F30" s="9" t="s">
        <v>334</v>
      </c>
      <c r="G30" s="12">
        <v>26</v>
      </c>
      <c r="H30" s="9" t="s">
        <v>307</v>
      </c>
      <c r="I30" s="11" t="str">
        <f t="shared" si="0"/>
        <v>IDs_Risco_SGI</v>
      </c>
    </row>
    <row r="31" spans="1:9" ht="15" customHeight="1" x14ac:dyDescent="0.3">
      <c r="A31" s="9" t="s">
        <v>196</v>
      </c>
      <c r="B31" s="9" t="s">
        <v>198</v>
      </c>
      <c r="C31" s="9" t="s">
        <v>335</v>
      </c>
      <c r="D31" s="12">
        <v>27</v>
      </c>
      <c r="E31" s="9" t="s">
        <v>198</v>
      </c>
      <c r="F31" s="9"/>
      <c r="G31" s="12"/>
      <c r="H31" s="9" t="s">
        <v>336</v>
      </c>
      <c r="I31" s="11" t="str">
        <f t="shared" si="0"/>
        <v>ID_Contexto_SGI</v>
      </c>
    </row>
    <row r="32" spans="1:9" ht="15" customHeight="1" x14ac:dyDescent="0.3">
      <c r="A32" s="9" t="s">
        <v>200</v>
      </c>
      <c r="B32" s="9" t="s">
        <v>202</v>
      </c>
      <c r="C32" s="9" t="s">
        <v>325</v>
      </c>
      <c r="D32" s="12">
        <v>1</v>
      </c>
      <c r="E32" s="9" t="s">
        <v>202</v>
      </c>
      <c r="F32" s="9" t="s">
        <v>325</v>
      </c>
      <c r="G32" s="12">
        <v>1</v>
      </c>
      <c r="H32" s="9" t="s">
        <v>307</v>
      </c>
      <c r="I32" s="11" t="str">
        <f t="shared" si="0"/>
        <v>ID_SWOT</v>
      </c>
    </row>
    <row r="33" spans="1:9" ht="15" customHeight="1" x14ac:dyDescent="0.3">
      <c r="A33" s="9" t="s">
        <v>200</v>
      </c>
      <c r="B33" s="9" t="s">
        <v>202</v>
      </c>
      <c r="C33" s="9" t="s">
        <v>337</v>
      </c>
      <c r="D33" s="12">
        <v>2</v>
      </c>
      <c r="E33" s="9" t="s">
        <v>202</v>
      </c>
      <c r="F33" s="9" t="s">
        <v>337</v>
      </c>
      <c r="G33" s="12">
        <v>2</v>
      </c>
      <c r="H33" s="9" t="s">
        <v>307</v>
      </c>
      <c r="I33" s="11" t="str">
        <f t="shared" si="0"/>
        <v>Quadrante</v>
      </c>
    </row>
    <row r="34" spans="1:9" ht="15" customHeight="1" x14ac:dyDescent="0.3">
      <c r="A34" s="9" t="s">
        <v>200</v>
      </c>
      <c r="B34" s="9" t="s">
        <v>202</v>
      </c>
      <c r="C34" s="9" t="s">
        <v>338</v>
      </c>
      <c r="D34" s="12">
        <v>3</v>
      </c>
      <c r="E34" s="9" t="s">
        <v>202</v>
      </c>
      <c r="F34" s="9" t="s">
        <v>338</v>
      </c>
      <c r="G34" s="12">
        <v>3</v>
      </c>
      <c r="H34" s="9" t="s">
        <v>307</v>
      </c>
      <c r="I34" s="11" t="str">
        <f t="shared" si="0"/>
        <v>Natureza</v>
      </c>
    </row>
    <row r="35" spans="1:9" ht="15" customHeight="1" x14ac:dyDescent="0.3">
      <c r="A35" s="9" t="s">
        <v>200</v>
      </c>
      <c r="B35" s="9" t="s">
        <v>202</v>
      </c>
      <c r="C35" s="9" t="s">
        <v>310</v>
      </c>
      <c r="D35" s="12">
        <v>4</v>
      </c>
      <c r="E35" s="9" t="s">
        <v>202</v>
      </c>
      <c r="F35" s="9" t="s">
        <v>310</v>
      </c>
      <c r="G35" s="12">
        <v>4</v>
      </c>
      <c r="H35" s="9" t="s">
        <v>307</v>
      </c>
      <c r="I35" s="11" t="str">
        <f t="shared" si="0"/>
        <v>Descricao</v>
      </c>
    </row>
    <row r="36" spans="1:9" ht="15" customHeight="1" x14ac:dyDescent="0.3">
      <c r="A36" s="9" t="s">
        <v>200</v>
      </c>
      <c r="B36" s="9" t="s">
        <v>202</v>
      </c>
      <c r="C36" s="9" t="s">
        <v>339</v>
      </c>
      <c r="D36" s="12">
        <v>5</v>
      </c>
      <c r="E36" s="9" t="s">
        <v>202</v>
      </c>
      <c r="F36" s="9" t="s">
        <v>339</v>
      </c>
      <c r="G36" s="12">
        <v>5</v>
      </c>
      <c r="H36" s="9" t="s">
        <v>307</v>
      </c>
      <c r="I36" s="11" t="str">
        <f t="shared" si="0"/>
        <v>Evidencia</v>
      </c>
    </row>
    <row r="37" spans="1:9" ht="15" customHeight="1" x14ac:dyDescent="0.3">
      <c r="A37" s="9" t="s">
        <v>200</v>
      </c>
      <c r="B37" s="9" t="s">
        <v>202</v>
      </c>
      <c r="C37" s="9" t="s">
        <v>340</v>
      </c>
      <c r="D37" s="12">
        <v>6</v>
      </c>
      <c r="E37" s="9" t="s">
        <v>202</v>
      </c>
      <c r="F37" s="9" t="s">
        <v>341</v>
      </c>
      <c r="G37" s="12">
        <v>6</v>
      </c>
      <c r="H37" s="9" t="s">
        <v>315</v>
      </c>
      <c r="I37" s="11" t="str">
        <f t="shared" si="0"/>
        <v>Implicacao_SGA</v>
      </c>
    </row>
    <row r="38" spans="1:9" ht="15" customHeight="1" x14ac:dyDescent="0.3">
      <c r="A38" s="9" t="s">
        <v>200</v>
      </c>
      <c r="B38" s="9" t="s">
        <v>202</v>
      </c>
      <c r="C38" s="9" t="s">
        <v>342</v>
      </c>
      <c r="D38" s="12">
        <v>7</v>
      </c>
      <c r="E38" s="9" t="s">
        <v>202</v>
      </c>
      <c r="F38" s="9" t="s">
        <v>342</v>
      </c>
      <c r="G38" s="12">
        <v>7</v>
      </c>
      <c r="H38" s="9" t="s">
        <v>307</v>
      </c>
      <c r="I38" s="11" t="str">
        <f t="shared" si="0"/>
        <v>Processo</v>
      </c>
    </row>
    <row r="39" spans="1:9" ht="15" customHeight="1" x14ac:dyDescent="0.3">
      <c r="A39" s="9" t="s">
        <v>200</v>
      </c>
      <c r="B39" s="9" t="s">
        <v>202</v>
      </c>
      <c r="C39" s="9" t="s">
        <v>328</v>
      </c>
      <c r="D39" s="12">
        <v>8</v>
      </c>
      <c r="E39" s="9" t="s">
        <v>202</v>
      </c>
      <c r="F39" s="9" t="s">
        <v>328</v>
      </c>
      <c r="G39" s="12">
        <v>8</v>
      </c>
      <c r="H39" s="9" t="s">
        <v>307</v>
      </c>
      <c r="I39" s="11" t="str">
        <f t="shared" si="0"/>
        <v>Tema</v>
      </c>
    </row>
    <row r="40" spans="1:9" ht="15" customHeight="1" x14ac:dyDescent="0.3">
      <c r="A40" s="9" t="s">
        <v>200</v>
      </c>
      <c r="B40" s="9" t="s">
        <v>202</v>
      </c>
      <c r="C40" s="9" t="s">
        <v>306</v>
      </c>
      <c r="D40" s="12">
        <v>9</v>
      </c>
      <c r="E40" s="9" t="s">
        <v>202</v>
      </c>
      <c r="F40" s="9" t="s">
        <v>306</v>
      </c>
      <c r="G40" s="12">
        <v>9</v>
      </c>
      <c r="H40" s="9" t="s">
        <v>307</v>
      </c>
      <c r="I40" s="11" t="str">
        <f t="shared" si="0"/>
        <v>ID_PESTEL</v>
      </c>
    </row>
    <row r="41" spans="1:9" ht="15" customHeight="1" x14ac:dyDescent="0.3">
      <c r="A41" s="9" t="s">
        <v>200</v>
      </c>
      <c r="B41" s="9" t="s">
        <v>202</v>
      </c>
      <c r="C41" s="9" t="s">
        <v>343</v>
      </c>
      <c r="D41" s="12">
        <v>10</v>
      </c>
      <c r="E41" s="9" t="s">
        <v>202</v>
      </c>
      <c r="F41" s="9" t="s">
        <v>343</v>
      </c>
      <c r="G41" s="12">
        <v>10</v>
      </c>
      <c r="H41" s="9" t="s">
        <v>307</v>
      </c>
      <c r="I41" s="11" t="str">
        <f t="shared" si="0"/>
        <v>Converte_em</v>
      </c>
    </row>
    <row r="42" spans="1:9" ht="15" customHeight="1" x14ac:dyDescent="0.3">
      <c r="A42" s="9" t="s">
        <v>200</v>
      </c>
      <c r="B42" s="9" t="s">
        <v>202</v>
      </c>
      <c r="C42" s="9" t="s">
        <v>326</v>
      </c>
      <c r="D42" s="12">
        <v>11</v>
      </c>
      <c r="E42" s="9" t="s">
        <v>202</v>
      </c>
      <c r="F42" s="9" t="s">
        <v>326</v>
      </c>
      <c r="G42" s="12">
        <v>11</v>
      </c>
      <c r="H42" s="9" t="s">
        <v>307</v>
      </c>
      <c r="I42" s="11" t="str">
        <f t="shared" si="0"/>
        <v>ID_RO</v>
      </c>
    </row>
    <row r="43" spans="1:9" ht="15" customHeight="1" x14ac:dyDescent="0.3">
      <c r="A43" s="9" t="s">
        <v>200</v>
      </c>
      <c r="B43" s="9" t="s">
        <v>202</v>
      </c>
      <c r="C43" s="9" t="s">
        <v>344</v>
      </c>
      <c r="D43" s="12">
        <v>12</v>
      </c>
      <c r="E43" s="9" t="s">
        <v>202</v>
      </c>
      <c r="F43" s="9" t="s">
        <v>345</v>
      </c>
      <c r="G43" s="12">
        <v>12</v>
      </c>
      <c r="H43" s="9" t="s">
        <v>315</v>
      </c>
      <c r="I43" s="11" t="str">
        <f t="shared" si="0"/>
        <v>Selecionado_Atv_3_1</v>
      </c>
    </row>
    <row r="44" spans="1:9" ht="15" customHeight="1" x14ac:dyDescent="0.3">
      <c r="A44" s="9" t="s">
        <v>200</v>
      </c>
      <c r="B44" s="9" t="s">
        <v>202</v>
      </c>
      <c r="C44" s="9" t="s">
        <v>346</v>
      </c>
      <c r="D44" s="12">
        <v>13</v>
      </c>
      <c r="E44" s="9" t="s">
        <v>202</v>
      </c>
      <c r="F44" s="9" t="s">
        <v>346</v>
      </c>
      <c r="G44" s="12">
        <v>13</v>
      </c>
      <c r="H44" s="9" t="s">
        <v>307</v>
      </c>
      <c r="I44" s="11" t="str">
        <f t="shared" si="0"/>
        <v>Estrategia</v>
      </c>
    </row>
    <row r="45" spans="1:9" ht="15" customHeight="1" x14ac:dyDescent="0.3">
      <c r="A45" s="9" t="s">
        <v>200</v>
      </c>
      <c r="B45" s="9" t="s">
        <v>202</v>
      </c>
      <c r="C45" s="9" t="s">
        <v>347</v>
      </c>
      <c r="D45" s="12">
        <v>14</v>
      </c>
      <c r="E45" s="9" t="s">
        <v>202</v>
      </c>
      <c r="F45" s="9" t="s">
        <v>347</v>
      </c>
      <c r="G45" s="12">
        <v>14</v>
      </c>
      <c r="H45" s="9" t="s">
        <v>307</v>
      </c>
      <c r="I45" s="11" t="str">
        <f t="shared" si="0"/>
        <v>Indicador</v>
      </c>
    </row>
    <row r="46" spans="1:9" ht="15" customHeight="1" x14ac:dyDescent="0.3">
      <c r="A46" s="9" t="s">
        <v>200</v>
      </c>
      <c r="B46" s="9" t="s">
        <v>202</v>
      </c>
      <c r="C46" s="9" t="s">
        <v>331</v>
      </c>
      <c r="D46" s="12">
        <v>15</v>
      </c>
      <c r="E46" s="9" t="s">
        <v>202</v>
      </c>
      <c r="F46" s="9" t="s">
        <v>331</v>
      </c>
      <c r="G46" s="12">
        <v>15</v>
      </c>
      <c r="H46" s="9" t="s">
        <v>307</v>
      </c>
      <c r="I46" s="11" t="str">
        <f t="shared" si="0"/>
        <v>Data_Avaliacao</v>
      </c>
    </row>
    <row r="47" spans="1:9" ht="15" customHeight="1" x14ac:dyDescent="0.3">
      <c r="A47" s="9" t="s">
        <v>200</v>
      </c>
      <c r="B47" s="9" t="s">
        <v>202</v>
      </c>
      <c r="C47" s="9" t="s">
        <v>348</v>
      </c>
      <c r="D47" s="12">
        <v>16</v>
      </c>
      <c r="E47" s="9" t="s">
        <v>202</v>
      </c>
      <c r="F47" s="9" t="s">
        <v>348</v>
      </c>
      <c r="G47" s="12">
        <v>16</v>
      </c>
      <c r="H47" s="9" t="s">
        <v>307</v>
      </c>
      <c r="I47" s="11" t="str">
        <f t="shared" si="0"/>
        <v>Chave_Vista</v>
      </c>
    </row>
    <row r="48" spans="1:9" ht="15" customHeight="1" x14ac:dyDescent="0.3">
      <c r="A48" s="9" t="s">
        <v>200</v>
      </c>
      <c r="B48" s="9" t="s">
        <v>202</v>
      </c>
      <c r="C48" s="9" t="s">
        <v>333</v>
      </c>
      <c r="D48" s="12">
        <v>17</v>
      </c>
      <c r="E48" s="9" t="s">
        <v>202</v>
      </c>
      <c r="F48" s="9" t="s">
        <v>333</v>
      </c>
      <c r="G48" s="12">
        <v>17</v>
      </c>
      <c r="H48" s="9" t="s">
        <v>307</v>
      </c>
      <c r="I48" s="11" t="str">
        <f t="shared" si="0"/>
        <v>Ambito</v>
      </c>
    </row>
    <row r="49" spans="1:9" ht="15" customHeight="1" x14ac:dyDescent="0.3">
      <c r="A49" s="9" t="s">
        <v>200</v>
      </c>
      <c r="B49" s="9" t="s">
        <v>202</v>
      </c>
      <c r="C49" s="9" t="s">
        <v>334</v>
      </c>
      <c r="D49" s="12">
        <v>18</v>
      </c>
      <c r="E49" s="9" t="s">
        <v>202</v>
      </c>
      <c r="F49" s="9" t="s">
        <v>334</v>
      </c>
      <c r="G49" s="12">
        <v>18</v>
      </c>
      <c r="H49" s="9" t="s">
        <v>307</v>
      </c>
      <c r="I49" s="11" t="str">
        <f t="shared" si="0"/>
        <v>IDs_Risco_SGI</v>
      </c>
    </row>
    <row r="50" spans="1:9" ht="15" customHeight="1" x14ac:dyDescent="0.3">
      <c r="A50" s="9" t="s">
        <v>200</v>
      </c>
      <c r="B50" s="9" t="s">
        <v>202</v>
      </c>
      <c r="C50" s="9" t="s">
        <v>335</v>
      </c>
      <c r="D50" s="12">
        <v>19</v>
      </c>
      <c r="E50" s="9" t="s">
        <v>202</v>
      </c>
      <c r="F50" s="9"/>
      <c r="G50" s="12"/>
      <c r="H50" s="9" t="s">
        <v>336</v>
      </c>
      <c r="I50" s="11" t="str">
        <f t="shared" si="0"/>
        <v>ID_Contexto_SGI</v>
      </c>
    </row>
    <row r="51" spans="1:9" ht="15" customHeight="1" x14ac:dyDescent="0.3">
      <c r="A51" s="9" t="s">
        <v>203</v>
      </c>
      <c r="B51" s="9" t="s">
        <v>205</v>
      </c>
      <c r="C51" s="9" t="s">
        <v>349</v>
      </c>
      <c r="D51" s="12">
        <v>1</v>
      </c>
      <c r="E51" s="9" t="s">
        <v>205</v>
      </c>
      <c r="F51" s="9" t="s">
        <v>349</v>
      </c>
      <c r="G51" s="12">
        <v>1</v>
      </c>
      <c r="H51" s="9" t="s">
        <v>307</v>
      </c>
      <c r="I51" s="11" t="str">
        <f t="shared" si="0"/>
        <v>ID_TOWS</v>
      </c>
    </row>
    <row r="52" spans="1:9" ht="15" customHeight="1" x14ac:dyDescent="0.3">
      <c r="A52" s="9" t="s">
        <v>203</v>
      </c>
      <c r="B52" s="9" t="s">
        <v>205</v>
      </c>
      <c r="C52" s="9" t="s">
        <v>350</v>
      </c>
      <c r="D52" s="12">
        <v>2</v>
      </c>
      <c r="E52" s="9" t="s">
        <v>205</v>
      </c>
      <c r="F52" s="9" t="s">
        <v>350</v>
      </c>
      <c r="G52" s="12">
        <v>2</v>
      </c>
      <c r="H52" s="9" t="s">
        <v>307</v>
      </c>
      <c r="I52" s="11" t="str">
        <f t="shared" si="0"/>
        <v>Cruzamento</v>
      </c>
    </row>
    <row r="53" spans="1:9" ht="15" customHeight="1" x14ac:dyDescent="0.3">
      <c r="A53" s="9" t="s">
        <v>203</v>
      </c>
      <c r="B53" s="9" t="s">
        <v>205</v>
      </c>
      <c r="C53" s="9" t="s">
        <v>351</v>
      </c>
      <c r="D53" s="12">
        <v>3</v>
      </c>
      <c r="E53" s="9" t="s">
        <v>205</v>
      </c>
      <c r="F53" s="9" t="s">
        <v>351</v>
      </c>
      <c r="G53" s="12">
        <v>3</v>
      </c>
      <c r="H53" s="9" t="s">
        <v>307</v>
      </c>
      <c r="I53" s="11" t="str">
        <f t="shared" si="0"/>
        <v>IDs_Origem</v>
      </c>
    </row>
    <row r="54" spans="1:9" ht="15" customHeight="1" x14ac:dyDescent="0.3">
      <c r="A54" s="9" t="s">
        <v>203</v>
      </c>
      <c r="B54" s="9" t="s">
        <v>205</v>
      </c>
      <c r="C54" s="9" t="s">
        <v>346</v>
      </c>
      <c r="D54" s="12">
        <v>4</v>
      </c>
      <c r="E54" s="9" t="s">
        <v>205</v>
      </c>
      <c r="F54" s="9" t="s">
        <v>346</v>
      </c>
      <c r="G54" s="12">
        <v>4</v>
      </c>
      <c r="H54" s="9" t="s">
        <v>307</v>
      </c>
      <c r="I54" s="11" t="str">
        <f t="shared" si="0"/>
        <v>Estrategia</v>
      </c>
    </row>
    <row r="55" spans="1:9" ht="15" customHeight="1" x14ac:dyDescent="0.3">
      <c r="A55" s="9" t="s">
        <v>203</v>
      </c>
      <c r="B55" s="9" t="s">
        <v>205</v>
      </c>
      <c r="C55" s="9" t="s">
        <v>352</v>
      </c>
      <c r="D55" s="12">
        <v>5</v>
      </c>
      <c r="E55" s="9" t="s">
        <v>205</v>
      </c>
      <c r="F55" s="9" t="s">
        <v>352</v>
      </c>
      <c r="G55" s="12">
        <v>5</v>
      </c>
      <c r="H55" s="9" t="s">
        <v>307</v>
      </c>
      <c r="I55" s="11" t="str">
        <f t="shared" si="0"/>
        <v>ID_Objetivo</v>
      </c>
    </row>
    <row r="56" spans="1:9" ht="15" customHeight="1" x14ac:dyDescent="0.3">
      <c r="A56" s="9" t="s">
        <v>203</v>
      </c>
      <c r="B56" s="9" t="s">
        <v>205</v>
      </c>
      <c r="C56" s="9" t="s">
        <v>353</v>
      </c>
      <c r="D56" s="12">
        <v>6</v>
      </c>
      <c r="E56" s="9" t="s">
        <v>205</v>
      </c>
      <c r="F56" s="9" t="s">
        <v>353</v>
      </c>
      <c r="G56" s="12">
        <v>6</v>
      </c>
      <c r="H56" s="9" t="s">
        <v>307</v>
      </c>
      <c r="I56" s="11" t="str">
        <f t="shared" si="0"/>
        <v>Prazo</v>
      </c>
    </row>
    <row r="57" spans="1:9" ht="15" customHeight="1" x14ac:dyDescent="0.3">
      <c r="A57" s="9" t="s">
        <v>203</v>
      </c>
      <c r="B57" s="9" t="s">
        <v>205</v>
      </c>
      <c r="C57" s="9" t="s">
        <v>330</v>
      </c>
      <c r="D57" s="12">
        <v>7</v>
      </c>
      <c r="E57" s="9" t="s">
        <v>205</v>
      </c>
      <c r="F57" s="9" t="s">
        <v>330</v>
      </c>
      <c r="G57" s="12">
        <v>7</v>
      </c>
      <c r="H57" s="9" t="s">
        <v>307</v>
      </c>
      <c r="I57" s="11" t="str">
        <f t="shared" si="0"/>
        <v>Dono</v>
      </c>
    </row>
    <row r="58" spans="1:9" ht="15" customHeight="1" x14ac:dyDescent="0.3">
      <c r="A58" s="9" t="s">
        <v>203</v>
      </c>
      <c r="B58" s="9" t="s">
        <v>205</v>
      </c>
      <c r="C58" s="9" t="s">
        <v>354</v>
      </c>
      <c r="D58" s="12">
        <v>8</v>
      </c>
      <c r="E58" s="9" t="s">
        <v>205</v>
      </c>
      <c r="F58" s="9" t="s">
        <v>354</v>
      </c>
      <c r="G58" s="12">
        <v>8</v>
      </c>
      <c r="H58" s="9" t="s">
        <v>307</v>
      </c>
      <c r="I58" s="11" t="str">
        <f t="shared" si="0"/>
        <v>KPI</v>
      </c>
    </row>
    <row r="59" spans="1:9" ht="15" customHeight="1" x14ac:dyDescent="0.3">
      <c r="A59" s="9" t="s">
        <v>203</v>
      </c>
      <c r="B59" s="9" t="s">
        <v>205</v>
      </c>
      <c r="C59" s="9" t="s">
        <v>334</v>
      </c>
      <c r="D59" s="12">
        <v>9</v>
      </c>
      <c r="E59" s="9" t="s">
        <v>205</v>
      </c>
      <c r="F59" s="9" t="s">
        <v>334</v>
      </c>
      <c r="G59" s="12">
        <v>9</v>
      </c>
      <c r="H59" s="9" t="s">
        <v>307</v>
      </c>
      <c r="I59" s="11" t="str">
        <f t="shared" si="0"/>
        <v>IDs_Risco_SGI</v>
      </c>
    </row>
    <row r="60" spans="1:9" ht="15" customHeight="1" x14ac:dyDescent="0.3">
      <c r="A60" s="9" t="s">
        <v>206</v>
      </c>
      <c r="B60" s="9" t="s">
        <v>208</v>
      </c>
      <c r="C60" s="9" t="s">
        <v>355</v>
      </c>
      <c r="D60" s="12">
        <v>1</v>
      </c>
      <c r="E60" s="9" t="s">
        <v>208</v>
      </c>
      <c r="F60" s="9" t="s">
        <v>355</v>
      </c>
      <c r="G60" s="12">
        <v>1</v>
      </c>
      <c r="H60" s="9" t="s">
        <v>307</v>
      </c>
      <c r="I60" s="11" t="str">
        <f t="shared" si="0"/>
        <v>ID_Forca</v>
      </c>
    </row>
    <row r="61" spans="1:9" ht="15" customHeight="1" x14ac:dyDescent="0.3">
      <c r="A61" s="9" t="s">
        <v>206</v>
      </c>
      <c r="B61" s="9" t="s">
        <v>208</v>
      </c>
      <c r="C61" s="9" t="s">
        <v>356</v>
      </c>
      <c r="D61" s="12">
        <v>2</v>
      </c>
      <c r="E61" s="9" t="s">
        <v>208</v>
      </c>
      <c r="F61" s="9" t="s">
        <v>356</v>
      </c>
      <c r="G61" s="12">
        <v>2</v>
      </c>
      <c r="H61" s="9" t="s">
        <v>307</v>
      </c>
      <c r="I61" s="11" t="str">
        <f t="shared" si="0"/>
        <v>Forca_Competitiva</v>
      </c>
    </row>
    <row r="62" spans="1:9" ht="15" customHeight="1" x14ac:dyDescent="0.3">
      <c r="A62" s="9" t="s">
        <v>206</v>
      </c>
      <c r="B62" s="9" t="s">
        <v>208</v>
      </c>
      <c r="C62" s="9" t="s">
        <v>357</v>
      </c>
      <c r="D62" s="12">
        <v>3</v>
      </c>
      <c r="E62" s="9" t="s">
        <v>208</v>
      </c>
      <c r="F62" s="9" t="s">
        <v>357</v>
      </c>
      <c r="G62" s="12">
        <v>3</v>
      </c>
      <c r="H62" s="9" t="s">
        <v>307</v>
      </c>
      <c r="I62" s="11" t="str">
        <f t="shared" si="0"/>
        <v>Cenario_Evidencias</v>
      </c>
    </row>
    <row r="63" spans="1:9" ht="15" customHeight="1" x14ac:dyDescent="0.3">
      <c r="A63" s="9" t="s">
        <v>206</v>
      </c>
      <c r="B63" s="9" t="s">
        <v>208</v>
      </c>
      <c r="C63" s="9" t="s">
        <v>317</v>
      </c>
      <c r="D63" s="12">
        <v>4</v>
      </c>
      <c r="E63" s="9" t="s">
        <v>208</v>
      </c>
      <c r="F63" s="9" t="s">
        <v>317</v>
      </c>
      <c r="G63" s="12">
        <v>4</v>
      </c>
      <c r="H63" s="9" t="s">
        <v>307</v>
      </c>
      <c r="I63" s="11" t="str">
        <f t="shared" si="0"/>
        <v>Tendencia</v>
      </c>
    </row>
    <row r="64" spans="1:9" ht="15" customHeight="1" x14ac:dyDescent="0.3">
      <c r="A64" s="9" t="s">
        <v>206</v>
      </c>
      <c r="B64" s="9" t="s">
        <v>208</v>
      </c>
      <c r="C64" s="9" t="s">
        <v>358</v>
      </c>
      <c r="D64" s="12">
        <v>5</v>
      </c>
      <c r="E64" s="9" t="s">
        <v>208</v>
      </c>
      <c r="F64" s="9" t="s">
        <v>358</v>
      </c>
      <c r="G64" s="12">
        <v>5</v>
      </c>
      <c r="H64" s="9" t="s">
        <v>307</v>
      </c>
      <c r="I64" s="11" t="str">
        <f t="shared" si="0"/>
        <v>Impacto_Organizacao</v>
      </c>
    </row>
    <row r="65" spans="1:9" ht="15" customHeight="1" x14ac:dyDescent="0.3">
      <c r="A65" s="9" t="s">
        <v>206</v>
      </c>
      <c r="B65" s="9" t="s">
        <v>208</v>
      </c>
      <c r="C65" s="9" t="s">
        <v>316</v>
      </c>
      <c r="D65" s="12">
        <v>6</v>
      </c>
      <c r="E65" s="9" t="s">
        <v>208</v>
      </c>
      <c r="F65" s="9" t="s">
        <v>316</v>
      </c>
      <c r="G65" s="12">
        <v>6</v>
      </c>
      <c r="H65" s="9" t="s">
        <v>307</v>
      </c>
      <c r="I65" s="11" t="str">
        <f t="shared" si="0"/>
        <v>Classificacao</v>
      </c>
    </row>
    <row r="66" spans="1:9" ht="15" customHeight="1" x14ac:dyDescent="0.3">
      <c r="A66" s="9" t="s">
        <v>206</v>
      </c>
      <c r="B66" s="9" t="s">
        <v>208</v>
      </c>
      <c r="C66" s="9" t="s">
        <v>334</v>
      </c>
      <c r="D66" s="12">
        <v>7</v>
      </c>
      <c r="E66" s="9" t="s">
        <v>208</v>
      </c>
      <c r="F66" s="9" t="s">
        <v>334</v>
      </c>
      <c r="G66" s="12">
        <v>7</v>
      </c>
      <c r="H66" s="9" t="s">
        <v>307</v>
      </c>
      <c r="I66" s="11" t="str">
        <f t="shared" si="0"/>
        <v>IDs_Risco_SGI</v>
      </c>
    </row>
    <row r="67" spans="1:9" ht="15" customHeight="1" x14ac:dyDescent="0.3">
      <c r="A67" s="9" t="s">
        <v>206</v>
      </c>
      <c r="B67" s="9" t="s">
        <v>208</v>
      </c>
      <c r="C67" s="9" t="s">
        <v>359</v>
      </c>
      <c r="D67" s="12">
        <v>8</v>
      </c>
      <c r="E67" s="9" t="s">
        <v>208</v>
      </c>
      <c r="F67" s="9" t="s">
        <v>359</v>
      </c>
      <c r="G67" s="12">
        <v>8</v>
      </c>
      <c r="H67" s="9" t="s">
        <v>307</v>
      </c>
      <c r="I67" s="11" t="str">
        <f t="shared" si="0"/>
        <v>Como_Monitorizar</v>
      </c>
    </row>
    <row r="68" spans="1:9" ht="15" customHeight="1" x14ac:dyDescent="0.3">
      <c r="A68" s="9" t="s">
        <v>206</v>
      </c>
      <c r="B68" s="9" t="s">
        <v>208</v>
      </c>
      <c r="C68" s="9" t="s">
        <v>331</v>
      </c>
      <c r="D68" s="12">
        <v>9</v>
      </c>
      <c r="E68" s="9" t="s">
        <v>208</v>
      </c>
      <c r="F68" s="9" t="s">
        <v>331</v>
      </c>
      <c r="G68" s="12">
        <v>9</v>
      </c>
      <c r="H68" s="9" t="s">
        <v>307</v>
      </c>
      <c r="I68" s="11" t="str">
        <f t="shared" si="0"/>
        <v>Data_Avaliacao</v>
      </c>
    </row>
    <row r="69" spans="1:9" ht="15" customHeight="1" x14ac:dyDescent="0.3">
      <c r="A69" s="9" t="s">
        <v>209</v>
      </c>
      <c r="B69" s="9" t="s">
        <v>211</v>
      </c>
      <c r="C69" s="9" t="s">
        <v>360</v>
      </c>
      <c r="D69" s="12">
        <v>1</v>
      </c>
      <c r="E69" s="9" t="s">
        <v>211</v>
      </c>
      <c r="F69" s="9" t="s">
        <v>360</v>
      </c>
      <c r="G69" s="12">
        <v>1</v>
      </c>
      <c r="H69" s="9" t="s">
        <v>307</v>
      </c>
      <c r="I69" s="11" t="str">
        <f t="shared" ref="I69:I132" si="1">IF(A69="","",IF(F69&lt;&gt;"",F69,C69))</f>
        <v>ID_PI</v>
      </c>
    </row>
    <row r="70" spans="1:9" ht="15" customHeight="1" x14ac:dyDescent="0.3">
      <c r="A70" s="9" t="s">
        <v>209</v>
      </c>
      <c r="B70" s="9" t="s">
        <v>211</v>
      </c>
      <c r="C70" s="9" t="s">
        <v>327</v>
      </c>
      <c r="D70" s="12">
        <v>2</v>
      </c>
      <c r="E70" s="9" t="s">
        <v>211</v>
      </c>
      <c r="F70" s="9" t="s">
        <v>327</v>
      </c>
      <c r="G70" s="12">
        <v>2</v>
      </c>
      <c r="H70" s="9" t="s">
        <v>307</v>
      </c>
      <c r="I70" s="11" t="str">
        <f t="shared" si="1"/>
        <v>Parte_Interessada</v>
      </c>
    </row>
    <row r="71" spans="1:9" ht="15" customHeight="1" x14ac:dyDescent="0.3">
      <c r="A71" s="9" t="s">
        <v>209</v>
      </c>
      <c r="B71" s="9" t="s">
        <v>211</v>
      </c>
      <c r="C71" s="9" t="s">
        <v>361</v>
      </c>
      <c r="D71" s="12">
        <v>3</v>
      </c>
      <c r="E71" s="9" t="s">
        <v>211</v>
      </c>
      <c r="F71" s="9" t="s">
        <v>361</v>
      </c>
      <c r="G71" s="12">
        <v>3</v>
      </c>
      <c r="H71" s="9" t="s">
        <v>307</v>
      </c>
      <c r="I71" s="11" t="str">
        <f t="shared" si="1"/>
        <v>Tipo</v>
      </c>
    </row>
    <row r="72" spans="1:9" ht="15" customHeight="1" x14ac:dyDescent="0.3">
      <c r="A72" s="9" t="s">
        <v>209</v>
      </c>
      <c r="B72" s="9" t="s">
        <v>211</v>
      </c>
      <c r="C72" s="9" t="s">
        <v>362</v>
      </c>
      <c r="D72" s="12">
        <v>4</v>
      </c>
      <c r="E72" s="9" t="s">
        <v>211</v>
      </c>
      <c r="F72" s="9" t="s">
        <v>362</v>
      </c>
      <c r="G72" s="12">
        <v>4</v>
      </c>
      <c r="H72" s="9" t="s">
        <v>307</v>
      </c>
      <c r="I72" s="11" t="str">
        <f t="shared" si="1"/>
        <v>Categoria</v>
      </c>
    </row>
    <row r="73" spans="1:9" ht="15" customHeight="1" x14ac:dyDescent="0.3">
      <c r="A73" s="9" t="s">
        <v>209</v>
      </c>
      <c r="B73" s="9" t="s">
        <v>211</v>
      </c>
      <c r="C73" s="9" t="s">
        <v>363</v>
      </c>
      <c r="D73" s="12">
        <v>5</v>
      </c>
      <c r="E73" s="9" t="s">
        <v>211</v>
      </c>
      <c r="F73" s="9" t="s">
        <v>363</v>
      </c>
      <c r="G73" s="12">
        <v>5</v>
      </c>
      <c r="H73" s="9" t="s">
        <v>307</v>
      </c>
      <c r="I73" s="11" t="str">
        <f t="shared" si="1"/>
        <v>Necessidades_Expectativas</v>
      </c>
    </row>
    <row r="74" spans="1:9" ht="15" customHeight="1" x14ac:dyDescent="0.3">
      <c r="A74" s="9" t="s">
        <v>209</v>
      </c>
      <c r="B74" s="9" t="s">
        <v>211</v>
      </c>
      <c r="C74" s="9" t="s">
        <v>364</v>
      </c>
      <c r="D74" s="12">
        <v>6</v>
      </c>
      <c r="E74" s="9" t="s">
        <v>211</v>
      </c>
      <c r="F74" s="9" t="s">
        <v>364</v>
      </c>
      <c r="G74" s="12">
        <v>6</v>
      </c>
      <c r="H74" s="9" t="s">
        <v>307</v>
      </c>
      <c r="I74" s="11" t="str">
        <f t="shared" si="1"/>
        <v>Condicao_Ambiental</v>
      </c>
    </row>
    <row r="75" spans="1:9" ht="15" customHeight="1" x14ac:dyDescent="0.3">
      <c r="A75" s="9" t="s">
        <v>209</v>
      </c>
      <c r="B75" s="9" t="s">
        <v>211</v>
      </c>
      <c r="C75" s="9" t="s">
        <v>365</v>
      </c>
      <c r="D75" s="12">
        <v>7</v>
      </c>
      <c r="E75" s="9" t="s">
        <v>211</v>
      </c>
      <c r="F75" s="9" t="s">
        <v>365</v>
      </c>
      <c r="G75" s="12">
        <v>7</v>
      </c>
      <c r="H75" s="9" t="s">
        <v>307</v>
      </c>
      <c r="I75" s="11" t="str">
        <f t="shared" si="1"/>
        <v>Relevante</v>
      </c>
    </row>
    <row r="76" spans="1:9" ht="15" customHeight="1" x14ac:dyDescent="0.3">
      <c r="A76" s="9" t="s">
        <v>209</v>
      </c>
      <c r="B76" s="9" t="s">
        <v>211</v>
      </c>
      <c r="C76" s="9" t="s">
        <v>366</v>
      </c>
      <c r="D76" s="12">
        <v>8</v>
      </c>
      <c r="E76" s="9" t="s">
        <v>211</v>
      </c>
      <c r="F76" s="9" t="s">
        <v>367</v>
      </c>
      <c r="G76" s="12">
        <v>8</v>
      </c>
      <c r="H76" s="9" t="s">
        <v>315</v>
      </c>
      <c r="I76" s="11" t="str">
        <f t="shared" si="1"/>
        <v>Torna_se_Obrigacao</v>
      </c>
    </row>
    <row r="77" spans="1:9" ht="15" customHeight="1" x14ac:dyDescent="0.3">
      <c r="A77" s="9" t="s">
        <v>209</v>
      </c>
      <c r="B77" s="9" t="s">
        <v>211</v>
      </c>
      <c r="C77" s="9" t="s">
        <v>368</v>
      </c>
      <c r="D77" s="12">
        <v>9</v>
      </c>
      <c r="E77" s="9" t="s">
        <v>211</v>
      </c>
      <c r="F77" s="9" t="s">
        <v>368</v>
      </c>
      <c r="G77" s="12">
        <v>9</v>
      </c>
      <c r="H77" s="9" t="s">
        <v>307</v>
      </c>
      <c r="I77" s="11" t="str">
        <f t="shared" si="1"/>
        <v>Tipo_Obrigacao</v>
      </c>
    </row>
    <row r="78" spans="1:9" ht="15" customHeight="1" x14ac:dyDescent="0.3">
      <c r="A78" s="9" t="s">
        <v>209</v>
      </c>
      <c r="B78" s="9" t="s">
        <v>211</v>
      </c>
      <c r="C78" s="9" t="s">
        <v>369</v>
      </c>
      <c r="D78" s="12">
        <v>10</v>
      </c>
      <c r="E78" s="9" t="s">
        <v>211</v>
      </c>
      <c r="F78" s="9" t="s">
        <v>369</v>
      </c>
      <c r="G78" s="12">
        <v>10</v>
      </c>
      <c r="H78" s="9" t="s">
        <v>307</v>
      </c>
      <c r="I78" s="11" t="str">
        <f t="shared" si="1"/>
        <v>IDs_Legal</v>
      </c>
    </row>
    <row r="79" spans="1:9" ht="15" customHeight="1" x14ac:dyDescent="0.3">
      <c r="A79" s="9" t="s">
        <v>209</v>
      </c>
      <c r="B79" s="9" t="s">
        <v>211</v>
      </c>
      <c r="C79" s="9" t="s">
        <v>359</v>
      </c>
      <c r="D79" s="12">
        <v>11</v>
      </c>
      <c r="E79" s="9" t="s">
        <v>211</v>
      </c>
      <c r="F79" s="9" t="s">
        <v>359</v>
      </c>
      <c r="G79" s="12">
        <v>11</v>
      </c>
      <c r="H79" s="9" t="s">
        <v>307</v>
      </c>
      <c r="I79" s="11" t="str">
        <f t="shared" si="1"/>
        <v>Como_Monitorizar</v>
      </c>
    </row>
    <row r="80" spans="1:9" ht="15" customHeight="1" x14ac:dyDescent="0.3">
      <c r="A80" s="9" t="s">
        <v>209</v>
      </c>
      <c r="B80" s="9" t="s">
        <v>211</v>
      </c>
      <c r="C80" s="9" t="s">
        <v>370</v>
      </c>
      <c r="D80" s="12">
        <v>12</v>
      </c>
      <c r="E80" s="9" t="s">
        <v>211</v>
      </c>
      <c r="F80" s="9" t="s">
        <v>370</v>
      </c>
      <c r="G80" s="12">
        <v>12</v>
      </c>
      <c r="H80" s="9" t="s">
        <v>307</v>
      </c>
      <c r="I80" s="11" t="str">
        <f t="shared" si="1"/>
        <v>Frequencia</v>
      </c>
    </row>
    <row r="81" spans="1:9" ht="15" customHeight="1" x14ac:dyDescent="0.3">
      <c r="A81" s="9" t="s">
        <v>209</v>
      </c>
      <c r="B81" s="9" t="s">
        <v>211</v>
      </c>
      <c r="C81" s="9" t="s">
        <v>371</v>
      </c>
      <c r="D81" s="12">
        <v>13</v>
      </c>
      <c r="E81" s="9" t="s">
        <v>211</v>
      </c>
      <c r="F81" s="9" t="s">
        <v>371</v>
      </c>
      <c r="G81" s="12">
        <v>13</v>
      </c>
      <c r="H81" s="9" t="s">
        <v>307</v>
      </c>
      <c r="I81" s="11" t="str">
        <f t="shared" si="1"/>
        <v>Influencia</v>
      </c>
    </row>
    <row r="82" spans="1:9" ht="15" customHeight="1" x14ac:dyDescent="0.3">
      <c r="A82" s="9" t="s">
        <v>209</v>
      </c>
      <c r="B82" s="9" t="s">
        <v>211</v>
      </c>
      <c r="C82" s="9" t="s">
        <v>372</v>
      </c>
      <c r="D82" s="12">
        <v>14</v>
      </c>
      <c r="E82" s="9" t="s">
        <v>211</v>
      </c>
      <c r="F82" s="9" t="s">
        <v>372</v>
      </c>
      <c r="G82" s="12">
        <v>14</v>
      </c>
      <c r="H82" s="9" t="s">
        <v>307</v>
      </c>
      <c r="I82" s="11" t="str">
        <f t="shared" si="1"/>
        <v>Interesse</v>
      </c>
    </row>
    <row r="83" spans="1:9" ht="15" customHeight="1" x14ac:dyDescent="0.3">
      <c r="A83" s="9" t="s">
        <v>209</v>
      </c>
      <c r="B83" s="9" t="s">
        <v>211</v>
      </c>
      <c r="C83" s="9" t="s">
        <v>346</v>
      </c>
      <c r="D83" s="12">
        <v>15</v>
      </c>
      <c r="E83" s="9" t="s">
        <v>211</v>
      </c>
      <c r="F83" s="9" t="s">
        <v>346</v>
      </c>
      <c r="G83" s="12">
        <v>15</v>
      </c>
      <c r="H83" s="9" t="s">
        <v>307</v>
      </c>
      <c r="I83" s="11" t="str">
        <f t="shared" si="1"/>
        <v>Estrategia</v>
      </c>
    </row>
    <row r="84" spans="1:9" ht="15" customHeight="1" x14ac:dyDescent="0.3">
      <c r="A84" s="9" t="s">
        <v>209</v>
      </c>
      <c r="B84" s="9" t="s">
        <v>211</v>
      </c>
      <c r="C84" s="9" t="s">
        <v>326</v>
      </c>
      <c r="D84" s="12">
        <v>16</v>
      </c>
      <c r="E84" s="9" t="s">
        <v>211</v>
      </c>
      <c r="F84" s="9" t="s">
        <v>326</v>
      </c>
      <c r="G84" s="12">
        <v>16</v>
      </c>
      <c r="H84" s="9" t="s">
        <v>307</v>
      </c>
      <c r="I84" s="11" t="str">
        <f t="shared" si="1"/>
        <v>ID_RO</v>
      </c>
    </row>
    <row r="85" spans="1:9" ht="15" customHeight="1" x14ac:dyDescent="0.3">
      <c r="A85" s="9" t="s">
        <v>209</v>
      </c>
      <c r="B85" s="9" t="s">
        <v>211</v>
      </c>
      <c r="C85" s="9" t="s">
        <v>330</v>
      </c>
      <c r="D85" s="12">
        <v>17</v>
      </c>
      <c r="E85" s="9" t="s">
        <v>211</v>
      </c>
      <c r="F85" s="9" t="s">
        <v>330</v>
      </c>
      <c r="G85" s="12">
        <v>17</v>
      </c>
      <c r="H85" s="9" t="s">
        <v>307</v>
      </c>
      <c r="I85" s="11" t="str">
        <f t="shared" si="1"/>
        <v>Dono</v>
      </c>
    </row>
    <row r="86" spans="1:9" ht="15" customHeight="1" x14ac:dyDescent="0.3">
      <c r="A86" s="9" t="s">
        <v>209</v>
      </c>
      <c r="B86" s="9" t="s">
        <v>211</v>
      </c>
      <c r="C86" s="9" t="s">
        <v>373</v>
      </c>
      <c r="D86" s="12">
        <v>18</v>
      </c>
      <c r="E86" s="9" t="s">
        <v>211</v>
      </c>
      <c r="F86" s="9" t="s">
        <v>373</v>
      </c>
      <c r="G86" s="12">
        <v>18</v>
      </c>
      <c r="H86" s="9" t="s">
        <v>307</v>
      </c>
      <c r="I86" s="11" t="str">
        <f t="shared" si="1"/>
        <v>Data_Revisao</v>
      </c>
    </row>
    <row r="87" spans="1:9" ht="15" customHeight="1" x14ac:dyDescent="0.3">
      <c r="A87" s="9" t="s">
        <v>209</v>
      </c>
      <c r="B87" s="9" t="s">
        <v>211</v>
      </c>
      <c r="C87" s="9" t="s">
        <v>334</v>
      </c>
      <c r="D87" s="12">
        <v>19</v>
      </c>
      <c r="E87" s="9" t="s">
        <v>211</v>
      </c>
      <c r="F87" s="9" t="s">
        <v>334</v>
      </c>
      <c r="G87" s="12">
        <v>19</v>
      </c>
      <c r="H87" s="9" t="s">
        <v>307</v>
      </c>
      <c r="I87" s="11" t="str">
        <f t="shared" si="1"/>
        <v>IDs_Risco_SGI</v>
      </c>
    </row>
    <row r="88" spans="1:9" ht="15" customHeight="1" x14ac:dyDescent="0.3">
      <c r="A88" s="9" t="s">
        <v>209</v>
      </c>
      <c r="B88" s="9" t="s">
        <v>211</v>
      </c>
      <c r="C88" s="9" t="s">
        <v>374</v>
      </c>
      <c r="D88" s="12">
        <v>20</v>
      </c>
      <c r="E88" s="9" t="s">
        <v>211</v>
      </c>
      <c r="F88" s="9" t="s">
        <v>374</v>
      </c>
      <c r="G88" s="12">
        <v>20</v>
      </c>
      <c r="H88" s="9" t="s">
        <v>307</v>
      </c>
      <c r="I88" s="11" t="str">
        <f t="shared" si="1"/>
        <v>Percepcao_Risco</v>
      </c>
    </row>
    <row r="89" spans="1:9" ht="15" customHeight="1" x14ac:dyDescent="0.3">
      <c r="A89" s="9" t="s">
        <v>209</v>
      </c>
      <c r="B89" s="9" t="s">
        <v>211</v>
      </c>
      <c r="C89" s="9" t="s">
        <v>375</v>
      </c>
      <c r="D89" s="12">
        <v>21</v>
      </c>
      <c r="E89" s="9" t="s">
        <v>211</v>
      </c>
      <c r="F89" s="9"/>
      <c r="G89" s="12"/>
      <c r="H89" s="9" t="s">
        <v>336</v>
      </c>
      <c r="I89" s="11" t="str">
        <f t="shared" si="1"/>
        <v>Fonte_Requisito</v>
      </c>
    </row>
    <row r="90" spans="1:9" ht="15" customHeight="1" x14ac:dyDescent="0.3">
      <c r="A90" s="9" t="s">
        <v>209</v>
      </c>
      <c r="B90" s="9" t="s">
        <v>211</v>
      </c>
      <c r="C90" s="9" t="s">
        <v>376</v>
      </c>
      <c r="D90" s="12">
        <v>22</v>
      </c>
      <c r="E90" s="9" t="s">
        <v>211</v>
      </c>
      <c r="F90" s="9"/>
      <c r="G90" s="12"/>
      <c r="H90" s="9" t="s">
        <v>336</v>
      </c>
      <c r="I90" s="11" t="str">
        <f t="shared" si="1"/>
        <v>Justificacao_Tratamento</v>
      </c>
    </row>
    <row r="91" spans="1:9" ht="15" customHeight="1" x14ac:dyDescent="0.3">
      <c r="A91" s="9" t="s">
        <v>209</v>
      </c>
      <c r="B91" s="9" t="s">
        <v>211</v>
      </c>
      <c r="C91" s="9" t="s">
        <v>377</v>
      </c>
      <c r="D91" s="12">
        <v>23</v>
      </c>
      <c r="E91" s="9" t="s">
        <v>211</v>
      </c>
      <c r="F91" s="9"/>
      <c r="G91" s="12"/>
      <c r="H91" s="9" t="s">
        <v>336</v>
      </c>
      <c r="I91" s="11" t="str">
        <f t="shared" si="1"/>
        <v>Registo_Evidencia</v>
      </c>
    </row>
    <row r="92" spans="1:9" ht="15" customHeight="1" x14ac:dyDescent="0.3">
      <c r="A92" s="9" t="s">
        <v>209</v>
      </c>
      <c r="B92" s="9" t="s">
        <v>211</v>
      </c>
      <c r="C92" s="9" t="s">
        <v>378</v>
      </c>
      <c r="D92" s="12">
        <v>24</v>
      </c>
      <c r="E92" s="9" t="s">
        <v>211</v>
      </c>
      <c r="F92" s="9"/>
      <c r="G92" s="12"/>
      <c r="H92" s="9" t="s">
        <v>336</v>
      </c>
      <c r="I92" s="11" t="str">
        <f t="shared" si="1"/>
        <v>ID_PI_SGI</v>
      </c>
    </row>
    <row r="93" spans="1:9" ht="15" customHeight="1" x14ac:dyDescent="0.3">
      <c r="A93" s="9" t="s">
        <v>212</v>
      </c>
      <c r="B93" s="9" t="s">
        <v>214</v>
      </c>
      <c r="C93" s="9" t="s">
        <v>379</v>
      </c>
      <c r="D93" s="12">
        <v>1</v>
      </c>
      <c r="E93" s="9" t="s">
        <v>214</v>
      </c>
      <c r="F93" s="9" t="s">
        <v>379</v>
      </c>
      <c r="G93" s="12">
        <v>1</v>
      </c>
      <c r="H93" s="9" t="s">
        <v>307</v>
      </c>
      <c r="I93" s="11" t="str">
        <f t="shared" si="1"/>
        <v>ID_KPI</v>
      </c>
    </row>
    <row r="94" spans="1:9" ht="15" customHeight="1" x14ac:dyDescent="0.3">
      <c r="A94" s="9" t="s">
        <v>212</v>
      </c>
      <c r="B94" s="9" t="s">
        <v>214</v>
      </c>
      <c r="C94" s="9" t="s">
        <v>380</v>
      </c>
      <c r="D94" s="12">
        <v>2</v>
      </c>
      <c r="E94" s="9" t="s">
        <v>214</v>
      </c>
      <c r="F94" s="9" t="s">
        <v>380</v>
      </c>
      <c r="G94" s="12">
        <v>2</v>
      </c>
      <c r="H94" s="9" t="s">
        <v>307</v>
      </c>
      <c r="I94" s="11" t="str">
        <f t="shared" si="1"/>
        <v>Nome</v>
      </c>
    </row>
    <row r="95" spans="1:9" ht="15" customHeight="1" x14ac:dyDescent="0.3">
      <c r="A95" s="9" t="s">
        <v>212</v>
      </c>
      <c r="B95" s="9" t="s">
        <v>214</v>
      </c>
      <c r="C95" s="9" t="s">
        <v>381</v>
      </c>
      <c r="D95" s="12">
        <v>3</v>
      </c>
      <c r="E95" s="9" t="s">
        <v>214</v>
      </c>
      <c r="F95" s="9" t="s">
        <v>381</v>
      </c>
      <c r="G95" s="12">
        <v>3</v>
      </c>
      <c r="H95" s="9" t="s">
        <v>307</v>
      </c>
      <c r="I95" s="11" t="str">
        <f t="shared" si="1"/>
        <v>Formula_Calculo</v>
      </c>
    </row>
    <row r="96" spans="1:9" ht="15" customHeight="1" x14ac:dyDescent="0.3">
      <c r="A96" s="9" t="s">
        <v>212</v>
      </c>
      <c r="B96" s="9" t="s">
        <v>214</v>
      </c>
      <c r="C96" s="9" t="s">
        <v>382</v>
      </c>
      <c r="D96" s="12">
        <v>4</v>
      </c>
      <c r="E96" s="9" t="s">
        <v>214</v>
      </c>
      <c r="F96" s="9" t="s">
        <v>382</v>
      </c>
      <c r="G96" s="12">
        <v>4</v>
      </c>
      <c r="H96" s="9" t="s">
        <v>307</v>
      </c>
      <c r="I96" s="11" t="str">
        <f t="shared" si="1"/>
        <v>Unidade</v>
      </c>
    </row>
    <row r="97" spans="1:9" ht="15" customHeight="1" x14ac:dyDescent="0.3">
      <c r="A97" s="9" t="s">
        <v>212</v>
      </c>
      <c r="B97" s="9" t="s">
        <v>214</v>
      </c>
      <c r="C97" s="9" t="s">
        <v>383</v>
      </c>
      <c r="D97" s="12">
        <v>5</v>
      </c>
      <c r="E97" s="9" t="s">
        <v>214</v>
      </c>
      <c r="F97" s="9" t="s">
        <v>383</v>
      </c>
      <c r="G97" s="12">
        <v>5</v>
      </c>
      <c r="H97" s="9" t="s">
        <v>307</v>
      </c>
      <c r="I97" s="11" t="str">
        <f t="shared" si="1"/>
        <v>Polaridade</v>
      </c>
    </row>
    <row r="98" spans="1:9" ht="15" customHeight="1" x14ac:dyDescent="0.3">
      <c r="A98" s="9" t="s">
        <v>212</v>
      </c>
      <c r="B98" s="9" t="s">
        <v>214</v>
      </c>
      <c r="C98" s="9" t="s">
        <v>370</v>
      </c>
      <c r="D98" s="12">
        <v>6</v>
      </c>
      <c r="E98" s="9" t="s">
        <v>214</v>
      </c>
      <c r="F98" s="9" t="s">
        <v>370</v>
      </c>
      <c r="G98" s="12">
        <v>7</v>
      </c>
      <c r="H98" s="9" t="s">
        <v>307</v>
      </c>
      <c r="I98" s="11" t="str">
        <f t="shared" si="1"/>
        <v>Frequencia</v>
      </c>
    </row>
    <row r="99" spans="1:9" ht="15" customHeight="1" x14ac:dyDescent="0.3">
      <c r="A99" s="9" t="s">
        <v>212</v>
      </c>
      <c r="B99" s="9" t="s">
        <v>214</v>
      </c>
      <c r="C99" s="9" t="s">
        <v>384</v>
      </c>
      <c r="D99" s="12">
        <v>7</v>
      </c>
      <c r="E99" s="9" t="s">
        <v>214</v>
      </c>
      <c r="F99" s="9" t="s">
        <v>384</v>
      </c>
      <c r="G99" s="12">
        <v>8</v>
      </c>
      <c r="H99" s="9" t="s">
        <v>307</v>
      </c>
      <c r="I99" s="11" t="str">
        <f t="shared" si="1"/>
        <v>Fonte_Dados</v>
      </c>
    </row>
    <row r="100" spans="1:9" ht="15" customHeight="1" x14ac:dyDescent="0.3">
      <c r="A100" s="9" t="s">
        <v>212</v>
      </c>
      <c r="B100" s="9" t="s">
        <v>214</v>
      </c>
      <c r="C100" s="9" t="s">
        <v>385</v>
      </c>
      <c r="D100" s="12">
        <v>8</v>
      </c>
      <c r="E100" s="9" t="s">
        <v>214</v>
      </c>
      <c r="F100" s="9" t="s">
        <v>385</v>
      </c>
      <c r="G100" s="12">
        <v>9</v>
      </c>
      <c r="H100" s="9" t="s">
        <v>307</v>
      </c>
      <c r="I100" s="11" t="str">
        <f t="shared" si="1"/>
        <v>Responsavel</v>
      </c>
    </row>
    <row r="101" spans="1:9" ht="15" customHeight="1" x14ac:dyDescent="0.3">
      <c r="A101" s="9" t="s">
        <v>212</v>
      </c>
      <c r="B101" s="9" t="s">
        <v>214</v>
      </c>
      <c r="C101" s="9" t="s">
        <v>386</v>
      </c>
      <c r="D101" s="12">
        <v>9</v>
      </c>
      <c r="E101" s="9" t="s">
        <v>214</v>
      </c>
      <c r="F101" s="9"/>
      <c r="G101" s="12"/>
      <c r="H101" s="9" t="s">
        <v>336</v>
      </c>
      <c r="I101" s="11" t="str">
        <f t="shared" si="1"/>
        <v>Meta</v>
      </c>
    </row>
    <row r="102" spans="1:9" ht="15" customHeight="1" x14ac:dyDescent="0.3">
      <c r="A102" s="9" t="s">
        <v>212</v>
      </c>
      <c r="B102" s="9" t="s">
        <v>214</v>
      </c>
      <c r="C102" s="9" t="s">
        <v>387</v>
      </c>
      <c r="D102" s="12">
        <v>10</v>
      </c>
      <c r="E102" s="9" t="s">
        <v>214</v>
      </c>
      <c r="F102" s="9" t="s">
        <v>387</v>
      </c>
      <c r="G102" s="12">
        <v>10</v>
      </c>
      <c r="H102" s="9" t="s">
        <v>307</v>
      </c>
      <c r="I102" s="11" t="str">
        <f t="shared" si="1"/>
        <v>Baseline</v>
      </c>
    </row>
    <row r="103" spans="1:9" ht="15" customHeight="1" x14ac:dyDescent="0.3">
      <c r="A103" s="9" t="s">
        <v>212</v>
      </c>
      <c r="B103" s="9" t="s">
        <v>214</v>
      </c>
      <c r="C103" s="9" t="s">
        <v>388</v>
      </c>
      <c r="D103" s="12">
        <v>11</v>
      </c>
      <c r="E103" s="9" t="s">
        <v>214</v>
      </c>
      <c r="F103" s="9" t="s">
        <v>388</v>
      </c>
      <c r="G103" s="12">
        <v>11</v>
      </c>
      <c r="H103" s="9" t="s">
        <v>307</v>
      </c>
      <c r="I103" s="11" t="str">
        <f t="shared" si="1"/>
        <v>ID_OBJ</v>
      </c>
    </row>
    <row r="104" spans="1:9" ht="15" customHeight="1" x14ac:dyDescent="0.3">
      <c r="A104" s="9" t="s">
        <v>212</v>
      </c>
      <c r="B104" s="9" t="s">
        <v>214</v>
      </c>
      <c r="C104" s="9" t="s">
        <v>389</v>
      </c>
      <c r="D104" s="12">
        <v>12</v>
      </c>
      <c r="E104" s="9" t="s">
        <v>214</v>
      </c>
      <c r="F104" s="9" t="s">
        <v>389</v>
      </c>
      <c r="G104" s="12">
        <v>12</v>
      </c>
      <c r="H104" s="9" t="s">
        <v>307</v>
      </c>
      <c r="I104" s="11" t="str">
        <f t="shared" si="1"/>
        <v>ID_MED</v>
      </c>
    </row>
    <row r="105" spans="1:9" ht="15" customHeight="1" x14ac:dyDescent="0.3">
      <c r="A105" s="9" t="s">
        <v>212</v>
      </c>
      <c r="B105" s="9" t="s">
        <v>214</v>
      </c>
      <c r="C105" s="9" t="s">
        <v>342</v>
      </c>
      <c r="D105" s="12">
        <v>13</v>
      </c>
      <c r="E105" s="9" t="s">
        <v>214</v>
      </c>
      <c r="F105" s="9"/>
      <c r="G105" s="12"/>
      <c r="H105" s="9" t="s">
        <v>336</v>
      </c>
      <c r="I105" s="11" t="str">
        <f t="shared" si="1"/>
        <v>Processo</v>
      </c>
    </row>
    <row r="106" spans="1:9" ht="15" customHeight="1" x14ac:dyDescent="0.3">
      <c r="A106" s="9" t="s">
        <v>212</v>
      </c>
      <c r="B106" s="9" t="s">
        <v>214</v>
      </c>
      <c r="C106" s="9" t="s">
        <v>390</v>
      </c>
      <c r="D106" s="12">
        <v>14</v>
      </c>
      <c r="E106" s="9" t="s">
        <v>214</v>
      </c>
      <c r="F106" s="9"/>
      <c r="G106" s="12"/>
      <c r="H106" s="9" t="s">
        <v>336</v>
      </c>
      <c r="I106" s="11" t="str">
        <f t="shared" si="1"/>
        <v>Coluna_Mensal</v>
      </c>
    </row>
    <row r="107" spans="1:9" ht="15" customHeight="1" x14ac:dyDescent="0.3">
      <c r="A107" s="9" t="s">
        <v>212</v>
      </c>
      <c r="B107" s="9" t="s">
        <v>214</v>
      </c>
      <c r="C107" s="9"/>
      <c r="D107" s="12"/>
      <c r="E107" s="9" t="s">
        <v>214</v>
      </c>
      <c r="F107" s="9" t="s">
        <v>391</v>
      </c>
      <c r="G107" s="12">
        <v>6</v>
      </c>
      <c r="H107" s="9" t="s">
        <v>392</v>
      </c>
      <c r="I107" s="11" t="str">
        <f t="shared" si="1"/>
        <v>Tipo_ISO14031</v>
      </c>
    </row>
    <row r="108" spans="1:9" ht="15" customHeight="1" x14ac:dyDescent="0.3">
      <c r="A108" s="9" t="s">
        <v>216</v>
      </c>
      <c r="B108" s="9" t="s">
        <v>218</v>
      </c>
      <c r="C108" s="9" t="s">
        <v>388</v>
      </c>
      <c r="D108" s="12">
        <v>1</v>
      </c>
      <c r="E108" s="9" t="s">
        <v>218</v>
      </c>
      <c r="F108" s="9" t="s">
        <v>388</v>
      </c>
      <c r="G108" s="12">
        <v>1</v>
      </c>
      <c r="H108" s="9" t="s">
        <v>307</v>
      </c>
      <c r="I108" s="11" t="str">
        <f t="shared" si="1"/>
        <v>ID_OBJ</v>
      </c>
    </row>
    <row r="109" spans="1:9" ht="15" customHeight="1" x14ac:dyDescent="0.3">
      <c r="A109" s="9" t="s">
        <v>216</v>
      </c>
      <c r="B109" s="9" t="s">
        <v>218</v>
      </c>
      <c r="C109" s="9" t="s">
        <v>393</v>
      </c>
      <c r="D109" s="12">
        <v>2</v>
      </c>
      <c r="E109" s="9" t="s">
        <v>218</v>
      </c>
      <c r="F109" s="9" t="s">
        <v>394</v>
      </c>
      <c r="G109" s="12">
        <v>2</v>
      </c>
      <c r="H109" s="9" t="s">
        <v>315</v>
      </c>
      <c r="I109" s="11" t="str">
        <f t="shared" si="1"/>
        <v>ID_Politica</v>
      </c>
    </row>
    <row r="110" spans="1:9" ht="15" customHeight="1" x14ac:dyDescent="0.3">
      <c r="A110" s="9" t="s">
        <v>216</v>
      </c>
      <c r="B110" s="9" t="s">
        <v>218</v>
      </c>
      <c r="C110" s="9" t="s">
        <v>395</v>
      </c>
      <c r="D110" s="12">
        <v>3</v>
      </c>
      <c r="E110" s="9" t="s">
        <v>218</v>
      </c>
      <c r="F110" s="9" t="s">
        <v>395</v>
      </c>
      <c r="G110" s="12">
        <v>6</v>
      </c>
      <c r="H110" s="9" t="s">
        <v>307</v>
      </c>
      <c r="I110" s="11" t="str">
        <f t="shared" si="1"/>
        <v>Declaracao_Objetivo</v>
      </c>
    </row>
    <row r="111" spans="1:9" ht="15" customHeight="1" x14ac:dyDescent="0.3">
      <c r="A111" s="9" t="s">
        <v>216</v>
      </c>
      <c r="B111" s="9" t="s">
        <v>218</v>
      </c>
      <c r="C111" s="9" t="s">
        <v>379</v>
      </c>
      <c r="D111" s="12">
        <v>4</v>
      </c>
      <c r="E111" s="9" t="s">
        <v>218</v>
      </c>
      <c r="F111" s="9" t="s">
        <v>379</v>
      </c>
      <c r="G111" s="12">
        <v>7</v>
      </c>
      <c r="H111" s="9" t="s">
        <v>307</v>
      </c>
      <c r="I111" s="11" t="str">
        <f t="shared" si="1"/>
        <v>ID_KPI</v>
      </c>
    </row>
    <row r="112" spans="1:9" ht="15" customHeight="1" x14ac:dyDescent="0.3">
      <c r="A112" s="9" t="s">
        <v>216</v>
      </c>
      <c r="B112" s="9" t="s">
        <v>218</v>
      </c>
      <c r="C112" s="9" t="s">
        <v>396</v>
      </c>
      <c r="D112" s="12">
        <v>5</v>
      </c>
      <c r="E112" s="9" t="s">
        <v>218</v>
      </c>
      <c r="F112" s="9" t="s">
        <v>396</v>
      </c>
      <c r="G112" s="12">
        <v>8</v>
      </c>
      <c r="H112" s="9" t="s">
        <v>307</v>
      </c>
      <c r="I112" s="11" t="str">
        <f t="shared" si="1"/>
        <v>Indicador_KPI</v>
      </c>
    </row>
    <row r="113" spans="1:9" ht="15" customHeight="1" x14ac:dyDescent="0.3">
      <c r="A113" s="9" t="s">
        <v>216</v>
      </c>
      <c r="B113" s="9" t="s">
        <v>218</v>
      </c>
      <c r="C113" s="9" t="s">
        <v>387</v>
      </c>
      <c r="D113" s="12">
        <v>6</v>
      </c>
      <c r="E113" s="9" t="s">
        <v>218</v>
      </c>
      <c r="F113" s="9" t="s">
        <v>387</v>
      </c>
      <c r="G113" s="12">
        <v>9</v>
      </c>
      <c r="H113" s="9" t="s">
        <v>307</v>
      </c>
      <c r="I113" s="11" t="str">
        <f t="shared" si="1"/>
        <v>Baseline</v>
      </c>
    </row>
    <row r="114" spans="1:9" ht="15" customHeight="1" x14ac:dyDescent="0.3">
      <c r="A114" s="9" t="s">
        <v>216</v>
      </c>
      <c r="B114" s="9" t="s">
        <v>218</v>
      </c>
      <c r="C114" s="9" t="s">
        <v>397</v>
      </c>
      <c r="D114" s="12">
        <v>7</v>
      </c>
      <c r="E114" s="9" t="s">
        <v>218</v>
      </c>
      <c r="F114" s="9" t="s">
        <v>397</v>
      </c>
      <c r="G114" s="12">
        <v>12</v>
      </c>
      <c r="H114" s="9" t="s">
        <v>307</v>
      </c>
      <c r="I114" s="11" t="str">
        <f t="shared" si="1"/>
        <v>Meta_Numerica</v>
      </c>
    </row>
    <row r="115" spans="1:9" ht="15" customHeight="1" x14ac:dyDescent="0.3">
      <c r="A115" s="9" t="s">
        <v>216</v>
      </c>
      <c r="B115" s="9" t="s">
        <v>218</v>
      </c>
      <c r="C115" s="9" t="s">
        <v>353</v>
      </c>
      <c r="D115" s="12">
        <v>8</v>
      </c>
      <c r="E115" s="9" t="s">
        <v>218</v>
      </c>
      <c r="F115" s="9" t="s">
        <v>353</v>
      </c>
      <c r="G115" s="12">
        <v>13</v>
      </c>
      <c r="H115" s="9" t="s">
        <v>307</v>
      </c>
      <c r="I115" s="11" t="str">
        <f t="shared" si="1"/>
        <v>Prazo</v>
      </c>
    </row>
    <row r="116" spans="1:9" ht="15" customHeight="1" x14ac:dyDescent="0.3">
      <c r="A116" s="9" t="s">
        <v>216</v>
      </c>
      <c r="B116" s="9" t="s">
        <v>218</v>
      </c>
      <c r="C116" s="9" t="s">
        <v>398</v>
      </c>
      <c r="D116" s="12">
        <v>9</v>
      </c>
      <c r="E116" s="9" t="s">
        <v>218</v>
      </c>
      <c r="F116" s="9" t="s">
        <v>399</v>
      </c>
      <c r="G116" s="12">
        <v>18</v>
      </c>
      <c r="H116" s="9" t="s">
        <v>315</v>
      </c>
      <c r="I116" s="11" t="str">
        <f t="shared" si="1"/>
        <v>Acoes_PAM</v>
      </c>
    </row>
    <row r="117" spans="1:9" ht="15" customHeight="1" x14ac:dyDescent="0.3">
      <c r="A117" s="9" t="s">
        <v>216</v>
      </c>
      <c r="B117" s="9" t="s">
        <v>218</v>
      </c>
      <c r="C117" s="9" t="s">
        <v>400</v>
      </c>
      <c r="D117" s="12">
        <v>10</v>
      </c>
      <c r="E117" s="9" t="s">
        <v>218</v>
      </c>
      <c r="F117" s="9"/>
      <c r="G117" s="12"/>
      <c r="H117" s="9" t="s">
        <v>336</v>
      </c>
      <c r="I117" s="11" t="str">
        <f t="shared" si="1"/>
        <v>Recursos</v>
      </c>
    </row>
    <row r="118" spans="1:9" ht="15" customHeight="1" x14ac:dyDescent="0.3">
      <c r="A118" s="9" t="s">
        <v>216</v>
      </c>
      <c r="B118" s="9" t="s">
        <v>218</v>
      </c>
      <c r="C118" s="9" t="s">
        <v>385</v>
      </c>
      <c r="D118" s="12">
        <v>11</v>
      </c>
      <c r="E118" s="9" t="s">
        <v>218</v>
      </c>
      <c r="F118" s="9" t="s">
        <v>385</v>
      </c>
      <c r="G118" s="12">
        <v>17</v>
      </c>
      <c r="H118" s="9" t="s">
        <v>307</v>
      </c>
      <c r="I118" s="11" t="str">
        <f t="shared" si="1"/>
        <v>Responsavel</v>
      </c>
    </row>
    <row r="119" spans="1:9" ht="15" customHeight="1" x14ac:dyDescent="0.3">
      <c r="A119" s="9" t="s">
        <v>216</v>
      </c>
      <c r="B119" s="9" t="s">
        <v>218</v>
      </c>
      <c r="C119" s="9" t="s">
        <v>14</v>
      </c>
      <c r="D119" s="12">
        <v>12</v>
      </c>
      <c r="E119" s="9" t="s">
        <v>218</v>
      </c>
      <c r="F119" s="9" t="s">
        <v>14</v>
      </c>
      <c r="G119" s="12">
        <v>19</v>
      </c>
      <c r="H119" s="9" t="s">
        <v>307</v>
      </c>
      <c r="I119" s="11" t="str">
        <f t="shared" si="1"/>
        <v>Estado</v>
      </c>
    </row>
    <row r="120" spans="1:9" ht="15" customHeight="1" x14ac:dyDescent="0.3">
      <c r="A120" s="9" t="s">
        <v>216</v>
      </c>
      <c r="B120" s="9" t="s">
        <v>218</v>
      </c>
      <c r="C120" s="9" t="s">
        <v>401</v>
      </c>
      <c r="D120" s="12">
        <v>13</v>
      </c>
      <c r="E120" s="9" t="s">
        <v>218</v>
      </c>
      <c r="F120" s="9" t="s">
        <v>401</v>
      </c>
      <c r="G120" s="12">
        <v>20</v>
      </c>
      <c r="H120" s="9" t="s">
        <v>307</v>
      </c>
      <c r="I120" s="11" t="str">
        <f t="shared" si="1"/>
        <v>Valor_Atual</v>
      </c>
    </row>
    <row r="121" spans="1:9" ht="15" customHeight="1" x14ac:dyDescent="0.3">
      <c r="A121" s="9" t="s">
        <v>216</v>
      </c>
      <c r="B121" s="9" t="s">
        <v>218</v>
      </c>
      <c r="C121" s="9" t="s">
        <v>402</v>
      </c>
      <c r="D121" s="12">
        <v>14</v>
      </c>
      <c r="E121" s="9" t="s">
        <v>218</v>
      </c>
      <c r="F121" s="9" t="s">
        <v>402</v>
      </c>
      <c r="G121" s="12">
        <v>21</v>
      </c>
      <c r="H121" s="9" t="s">
        <v>307</v>
      </c>
      <c r="I121" s="11" t="str">
        <f t="shared" si="1"/>
        <v>Progresso</v>
      </c>
    </row>
    <row r="122" spans="1:9" ht="15" customHeight="1" x14ac:dyDescent="0.3">
      <c r="A122" s="9" t="s">
        <v>216</v>
      </c>
      <c r="B122" s="9" t="s">
        <v>218</v>
      </c>
      <c r="C122" s="9" t="s">
        <v>403</v>
      </c>
      <c r="D122" s="12">
        <v>15</v>
      </c>
      <c r="E122" s="9" t="s">
        <v>218</v>
      </c>
      <c r="F122" s="9" t="s">
        <v>403</v>
      </c>
      <c r="G122" s="12">
        <v>22</v>
      </c>
      <c r="H122" s="9" t="s">
        <v>307</v>
      </c>
      <c r="I122" s="11" t="str">
        <f t="shared" si="1"/>
        <v>Dias_ate_Prazo</v>
      </c>
    </row>
    <row r="123" spans="1:9" ht="15" customHeight="1" x14ac:dyDescent="0.3">
      <c r="A123" s="9" t="s">
        <v>216</v>
      </c>
      <c r="B123" s="9" t="s">
        <v>218</v>
      </c>
      <c r="C123" s="9" t="s">
        <v>404</v>
      </c>
      <c r="D123" s="12">
        <v>16</v>
      </c>
      <c r="E123" s="9" t="s">
        <v>218</v>
      </c>
      <c r="F123" s="9" t="s">
        <v>404</v>
      </c>
      <c r="G123" s="12">
        <v>23</v>
      </c>
      <c r="H123" s="9" t="s">
        <v>307</v>
      </c>
      <c r="I123" s="11" t="str">
        <f t="shared" si="1"/>
        <v>S_Especifico</v>
      </c>
    </row>
    <row r="124" spans="1:9" ht="15" customHeight="1" x14ac:dyDescent="0.3">
      <c r="A124" s="9" t="s">
        <v>216</v>
      </c>
      <c r="B124" s="9" t="s">
        <v>218</v>
      </c>
      <c r="C124" s="9" t="s">
        <v>405</v>
      </c>
      <c r="D124" s="12">
        <v>17</v>
      </c>
      <c r="E124" s="9" t="s">
        <v>218</v>
      </c>
      <c r="F124" s="9" t="s">
        <v>405</v>
      </c>
      <c r="G124" s="12">
        <v>24</v>
      </c>
      <c r="H124" s="9" t="s">
        <v>307</v>
      </c>
      <c r="I124" s="11" t="str">
        <f t="shared" si="1"/>
        <v>M_Mensuravel</v>
      </c>
    </row>
    <row r="125" spans="1:9" ht="15" customHeight="1" x14ac:dyDescent="0.3">
      <c r="A125" s="9" t="s">
        <v>216</v>
      </c>
      <c r="B125" s="9" t="s">
        <v>218</v>
      </c>
      <c r="C125" s="9" t="s">
        <v>406</v>
      </c>
      <c r="D125" s="12">
        <v>18</v>
      </c>
      <c r="E125" s="9" t="s">
        <v>218</v>
      </c>
      <c r="F125" s="9" t="s">
        <v>406</v>
      </c>
      <c r="G125" s="12">
        <v>25</v>
      </c>
      <c r="H125" s="9" t="s">
        <v>307</v>
      </c>
      <c r="I125" s="11" t="str">
        <f t="shared" si="1"/>
        <v>A_Atingivel</v>
      </c>
    </row>
    <row r="126" spans="1:9" ht="15" customHeight="1" x14ac:dyDescent="0.3">
      <c r="A126" s="9" t="s">
        <v>216</v>
      </c>
      <c r="B126" s="9" t="s">
        <v>218</v>
      </c>
      <c r="C126" s="9" t="s">
        <v>407</v>
      </c>
      <c r="D126" s="12">
        <v>19</v>
      </c>
      <c r="E126" s="9" t="s">
        <v>218</v>
      </c>
      <c r="F126" s="9" t="s">
        <v>407</v>
      </c>
      <c r="G126" s="12">
        <v>26</v>
      </c>
      <c r="H126" s="9" t="s">
        <v>307</v>
      </c>
      <c r="I126" s="11" t="str">
        <f t="shared" si="1"/>
        <v>R_Relevante</v>
      </c>
    </row>
    <row r="127" spans="1:9" ht="15" customHeight="1" x14ac:dyDescent="0.3">
      <c r="A127" s="9" t="s">
        <v>216</v>
      </c>
      <c r="B127" s="9" t="s">
        <v>218</v>
      </c>
      <c r="C127" s="9" t="s">
        <v>408</v>
      </c>
      <c r="D127" s="12">
        <v>20</v>
      </c>
      <c r="E127" s="9" t="s">
        <v>218</v>
      </c>
      <c r="F127" s="9" t="s">
        <v>408</v>
      </c>
      <c r="G127" s="12">
        <v>27</v>
      </c>
      <c r="H127" s="9" t="s">
        <v>307</v>
      </c>
      <c r="I127" s="11" t="str">
        <f t="shared" si="1"/>
        <v>T_Temporal</v>
      </c>
    </row>
    <row r="128" spans="1:9" ht="15" customHeight="1" x14ac:dyDescent="0.3">
      <c r="A128" s="9" t="s">
        <v>216</v>
      </c>
      <c r="B128" s="9" t="s">
        <v>218</v>
      </c>
      <c r="C128" s="9" t="s">
        <v>409</v>
      </c>
      <c r="D128" s="12">
        <v>21</v>
      </c>
      <c r="E128" s="9" t="s">
        <v>218</v>
      </c>
      <c r="F128" s="9" t="s">
        <v>409</v>
      </c>
      <c r="G128" s="12">
        <v>28</v>
      </c>
      <c r="H128" s="9" t="s">
        <v>307</v>
      </c>
      <c r="I128" s="11" t="str">
        <f t="shared" si="1"/>
        <v>Validacao_SMART</v>
      </c>
    </row>
    <row r="129" spans="1:9" ht="15" customHeight="1" x14ac:dyDescent="0.3">
      <c r="A129" s="9" t="s">
        <v>216</v>
      </c>
      <c r="B129" s="9" t="s">
        <v>218</v>
      </c>
      <c r="C129" s="9" t="s">
        <v>410</v>
      </c>
      <c r="D129" s="12">
        <v>22</v>
      </c>
      <c r="E129" s="9" t="s">
        <v>218</v>
      </c>
      <c r="F129" s="9"/>
      <c r="G129" s="12"/>
      <c r="H129" s="9" t="s">
        <v>336</v>
      </c>
      <c r="I129" s="11" t="str">
        <f t="shared" si="1"/>
        <v>Quando_Acompanhar</v>
      </c>
    </row>
    <row r="130" spans="1:9" ht="15" customHeight="1" x14ac:dyDescent="0.3">
      <c r="A130" s="9" t="s">
        <v>216</v>
      </c>
      <c r="B130" s="9" t="s">
        <v>218</v>
      </c>
      <c r="C130" s="9" t="s">
        <v>411</v>
      </c>
      <c r="D130" s="12">
        <v>23</v>
      </c>
      <c r="E130" s="9" t="s">
        <v>218</v>
      </c>
      <c r="F130" s="9"/>
      <c r="G130" s="12"/>
      <c r="H130" s="9" t="s">
        <v>336</v>
      </c>
      <c r="I130" s="11" t="str">
        <f t="shared" si="1"/>
        <v>Como_Avaliar</v>
      </c>
    </row>
    <row r="131" spans="1:9" ht="15" customHeight="1" x14ac:dyDescent="0.3">
      <c r="A131" s="9" t="s">
        <v>216</v>
      </c>
      <c r="B131" s="9" t="s">
        <v>218</v>
      </c>
      <c r="C131" s="9" t="s">
        <v>342</v>
      </c>
      <c r="D131" s="12">
        <v>24</v>
      </c>
      <c r="E131" s="9" t="s">
        <v>218</v>
      </c>
      <c r="F131" s="9"/>
      <c r="G131" s="12"/>
      <c r="H131" s="9" t="s">
        <v>336</v>
      </c>
      <c r="I131" s="11" t="str">
        <f t="shared" si="1"/>
        <v>Processo</v>
      </c>
    </row>
    <row r="132" spans="1:9" ht="15" customHeight="1" x14ac:dyDescent="0.3">
      <c r="A132" s="9" t="s">
        <v>216</v>
      </c>
      <c r="B132" s="9" t="s">
        <v>218</v>
      </c>
      <c r="C132" s="9" t="s">
        <v>412</v>
      </c>
      <c r="D132" s="12">
        <v>25</v>
      </c>
      <c r="E132" s="9" t="s">
        <v>218</v>
      </c>
      <c r="F132" s="9"/>
      <c r="G132" s="12"/>
      <c r="H132" s="9" t="s">
        <v>336</v>
      </c>
      <c r="I132" s="11" t="str">
        <f t="shared" si="1"/>
        <v>Funcoes_Niveis</v>
      </c>
    </row>
    <row r="133" spans="1:9" ht="15" customHeight="1" x14ac:dyDescent="0.3">
      <c r="A133" s="9" t="s">
        <v>216</v>
      </c>
      <c r="B133" s="9" t="s">
        <v>218</v>
      </c>
      <c r="C133" s="9" t="s">
        <v>383</v>
      </c>
      <c r="D133" s="12">
        <v>26</v>
      </c>
      <c r="E133" s="9" t="s">
        <v>218</v>
      </c>
      <c r="F133" s="9"/>
      <c r="G133" s="12"/>
      <c r="H133" s="9" t="s">
        <v>336</v>
      </c>
      <c r="I133" s="11" t="str">
        <f t="shared" ref="I133:I196" si="2">IF(A133="","",IF(F133&lt;&gt;"",F133,C133))</f>
        <v>Polaridade</v>
      </c>
    </row>
    <row r="134" spans="1:9" ht="15" customHeight="1" x14ac:dyDescent="0.3">
      <c r="A134" s="9" t="s">
        <v>216</v>
      </c>
      <c r="B134" s="9" t="s">
        <v>218</v>
      </c>
      <c r="C134" s="9" t="s">
        <v>413</v>
      </c>
      <c r="D134" s="12">
        <v>27</v>
      </c>
      <c r="E134" s="9" t="s">
        <v>218</v>
      </c>
      <c r="F134" s="9"/>
      <c r="G134" s="12"/>
      <c r="H134" s="9" t="s">
        <v>336</v>
      </c>
      <c r="I134" s="11" t="str">
        <f t="shared" si="2"/>
        <v>Comunicado</v>
      </c>
    </row>
    <row r="135" spans="1:9" ht="15" customHeight="1" x14ac:dyDescent="0.3">
      <c r="A135" s="9" t="s">
        <v>216</v>
      </c>
      <c r="B135" s="9" t="s">
        <v>218</v>
      </c>
      <c r="C135" s="9" t="s">
        <v>373</v>
      </c>
      <c r="D135" s="12">
        <v>28</v>
      </c>
      <c r="E135" s="9" t="s">
        <v>218</v>
      </c>
      <c r="F135" s="9"/>
      <c r="G135" s="12"/>
      <c r="H135" s="9" t="s">
        <v>336</v>
      </c>
      <c r="I135" s="11" t="str">
        <f t="shared" si="2"/>
        <v>Data_Revisao</v>
      </c>
    </row>
    <row r="136" spans="1:9" ht="15" customHeight="1" x14ac:dyDescent="0.3">
      <c r="A136" s="9" t="s">
        <v>216</v>
      </c>
      <c r="B136" s="9" t="s">
        <v>218</v>
      </c>
      <c r="C136" s="9"/>
      <c r="D136" s="12"/>
      <c r="E136" s="9" t="s">
        <v>218</v>
      </c>
      <c r="F136" s="9" t="s">
        <v>414</v>
      </c>
      <c r="G136" s="12">
        <v>3</v>
      </c>
      <c r="H136" s="9" t="s">
        <v>392</v>
      </c>
      <c r="I136" s="11" t="str">
        <f t="shared" si="2"/>
        <v>Origem_Tipo</v>
      </c>
    </row>
    <row r="137" spans="1:9" ht="15" customHeight="1" x14ac:dyDescent="0.3">
      <c r="A137" s="9" t="s">
        <v>216</v>
      </c>
      <c r="B137" s="9" t="s">
        <v>218</v>
      </c>
      <c r="C137" s="9"/>
      <c r="D137" s="12"/>
      <c r="E137" s="9" t="s">
        <v>218</v>
      </c>
      <c r="F137" s="9" t="s">
        <v>415</v>
      </c>
      <c r="G137" s="12">
        <v>4</v>
      </c>
      <c r="H137" s="9" t="s">
        <v>392</v>
      </c>
      <c r="I137" s="11" t="str">
        <f t="shared" si="2"/>
        <v>Origem_IDs</v>
      </c>
    </row>
    <row r="138" spans="1:9" ht="15" customHeight="1" x14ac:dyDescent="0.3">
      <c r="A138" s="9" t="s">
        <v>216</v>
      </c>
      <c r="B138" s="9" t="s">
        <v>218</v>
      </c>
      <c r="C138" s="9"/>
      <c r="D138" s="12"/>
      <c r="E138" s="9" t="s">
        <v>218</v>
      </c>
      <c r="F138" s="9" t="s">
        <v>416</v>
      </c>
      <c r="G138" s="12">
        <v>5</v>
      </c>
      <c r="H138" s="9" t="s">
        <v>392</v>
      </c>
      <c r="I138" s="11" t="str">
        <f t="shared" si="2"/>
        <v>Origem_Descricao</v>
      </c>
    </row>
    <row r="139" spans="1:9" ht="15" customHeight="1" x14ac:dyDescent="0.3">
      <c r="A139" s="9" t="s">
        <v>216</v>
      </c>
      <c r="B139" s="9" t="s">
        <v>218</v>
      </c>
      <c r="C139" s="9"/>
      <c r="D139" s="12"/>
      <c r="E139" s="9" t="s">
        <v>218</v>
      </c>
      <c r="F139" s="9" t="s">
        <v>417</v>
      </c>
      <c r="G139" s="12">
        <v>10</v>
      </c>
      <c r="H139" s="9" t="s">
        <v>392</v>
      </c>
      <c r="I139" s="11" t="str">
        <f t="shared" si="2"/>
        <v>Meta_Tipo</v>
      </c>
    </row>
    <row r="140" spans="1:9" ht="15" customHeight="1" x14ac:dyDescent="0.3">
      <c r="A140" s="9" t="s">
        <v>216</v>
      </c>
      <c r="B140" s="9" t="s">
        <v>218</v>
      </c>
      <c r="C140" s="9"/>
      <c r="D140" s="12"/>
      <c r="E140" s="9" t="s">
        <v>218</v>
      </c>
      <c r="F140" s="9" t="s">
        <v>418</v>
      </c>
      <c r="G140" s="12">
        <v>11</v>
      </c>
      <c r="H140" s="9" t="s">
        <v>392</v>
      </c>
      <c r="I140" s="11" t="str">
        <f t="shared" si="2"/>
        <v>Meta_Valor</v>
      </c>
    </row>
    <row r="141" spans="1:9" ht="15" customHeight="1" x14ac:dyDescent="0.3">
      <c r="A141" s="9" t="s">
        <v>216</v>
      </c>
      <c r="B141" s="9" t="s">
        <v>218</v>
      </c>
      <c r="C141" s="9"/>
      <c r="D141" s="12"/>
      <c r="E141" s="9" t="s">
        <v>218</v>
      </c>
      <c r="F141" s="9" t="s">
        <v>419</v>
      </c>
      <c r="G141" s="12">
        <v>14</v>
      </c>
      <c r="H141" s="9" t="s">
        <v>392</v>
      </c>
      <c r="I141" s="11" t="str">
        <f t="shared" si="2"/>
        <v>Recursos_Humanos</v>
      </c>
    </row>
    <row r="142" spans="1:9" ht="15" customHeight="1" x14ac:dyDescent="0.3">
      <c r="A142" s="9" t="s">
        <v>216</v>
      </c>
      <c r="B142" s="9" t="s">
        <v>218</v>
      </c>
      <c r="C142" s="9"/>
      <c r="D142" s="12"/>
      <c r="E142" s="9" t="s">
        <v>218</v>
      </c>
      <c r="F142" s="9" t="s">
        <v>420</v>
      </c>
      <c r="G142" s="12">
        <v>15</v>
      </c>
      <c r="H142" s="9" t="s">
        <v>392</v>
      </c>
      <c r="I142" s="11" t="str">
        <f t="shared" si="2"/>
        <v>Recursos_Materiais</v>
      </c>
    </row>
    <row r="143" spans="1:9" ht="15" customHeight="1" x14ac:dyDescent="0.3">
      <c r="A143" s="9" t="s">
        <v>216</v>
      </c>
      <c r="B143" s="9" t="s">
        <v>218</v>
      </c>
      <c r="C143" s="9"/>
      <c r="D143" s="12"/>
      <c r="E143" s="9" t="s">
        <v>218</v>
      </c>
      <c r="F143" s="9" t="s">
        <v>421</v>
      </c>
      <c r="G143" s="12">
        <v>16</v>
      </c>
      <c r="H143" s="9" t="s">
        <v>392</v>
      </c>
      <c r="I143" s="11" t="str">
        <f t="shared" si="2"/>
        <v>Recursos_Financeiros_EUR</v>
      </c>
    </row>
    <row r="144" spans="1:9" ht="15" customHeight="1" x14ac:dyDescent="0.3">
      <c r="A144" s="9" t="s">
        <v>216</v>
      </c>
      <c r="B144" s="9" t="s">
        <v>218</v>
      </c>
      <c r="C144" s="9"/>
      <c r="D144" s="12"/>
      <c r="E144" s="9" t="s">
        <v>218</v>
      </c>
      <c r="F144" s="9" t="s">
        <v>422</v>
      </c>
      <c r="G144" s="12">
        <v>29</v>
      </c>
      <c r="H144" s="9" t="s">
        <v>392</v>
      </c>
      <c r="I144" s="11" t="str">
        <f t="shared" si="2"/>
        <v>Data_Aprovacao</v>
      </c>
    </row>
    <row r="145" spans="1:9" ht="15" customHeight="1" x14ac:dyDescent="0.3">
      <c r="A145" s="9" t="s">
        <v>219</v>
      </c>
      <c r="B145" s="9" t="s">
        <v>221</v>
      </c>
      <c r="C145" s="9" t="s">
        <v>389</v>
      </c>
      <c r="D145" s="12">
        <v>1</v>
      </c>
      <c r="E145" s="9" t="s">
        <v>221</v>
      </c>
      <c r="F145" s="9" t="s">
        <v>389</v>
      </c>
      <c r="G145" s="12">
        <v>1</v>
      </c>
      <c r="H145" s="9" t="s">
        <v>307</v>
      </c>
      <c r="I145" s="11" t="str">
        <f t="shared" si="2"/>
        <v>ID_MED</v>
      </c>
    </row>
    <row r="146" spans="1:9" ht="15" customHeight="1" x14ac:dyDescent="0.3">
      <c r="A146" s="9" t="s">
        <v>219</v>
      </c>
      <c r="B146" s="9" t="s">
        <v>221</v>
      </c>
      <c r="C146" s="9" t="s">
        <v>423</v>
      </c>
      <c r="D146" s="12">
        <v>2</v>
      </c>
      <c r="E146" s="9" t="s">
        <v>221</v>
      </c>
      <c r="F146" s="9" t="s">
        <v>423</v>
      </c>
      <c r="G146" s="12">
        <v>2</v>
      </c>
      <c r="H146" s="9" t="s">
        <v>307</v>
      </c>
      <c r="I146" s="11" t="str">
        <f t="shared" si="2"/>
        <v>O_Que_Medir</v>
      </c>
    </row>
    <row r="147" spans="1:9" ht="15" customHeight="1" x14ac:dyDescent="0.3">
      <c r="A147" s="9" t="s">
        <v>219</v>
      </c>
      <c r="B147" s="9" t="s">
        <v>221</v>
      </c>
      <c r="C147" s="9" t="s">
        <v>424</v>
      </c>
      <c r="D147" s="12">
        <v>3</v>
      </c>
      <c r="E147" s="9" t="s">
        <v>221</v>
      </c>
      <c r="F147" s="9" t="s">
        <v>424</v>
      </c>
      <c r="G147" s="12">
        <v>5</v>
      </c>
      <c r="H147" s="9" t="s">
        <v>307</v>
      </c>
      <c r="I147" s="11" t="str">
        <f t="shared" si="2"/>
        <v>Como_Medir</v>
      </c>
    </row>
    <row r="148" spans="1:9" ht="15" customHeight="1" x14ac:dyDescent="0.3">
      <c r="A148" s="9" t="s">
        <v>219</v>
      </c>
      <c r="B148" s="9" t="s">
        <v>221</v>
      </c>
      <c r="C148" s="9" t="s">
        <v>425</v>
      </c>
      <c r="D148" s="12">
        <v>4</v>
      </c>
      <c r="E148" s="9" t="s">
        <v>221</v>
      </c>
      <c r="F148" s="9" t="s">
        <v>425</v>
      </c>
      <c r="G148" s="12">
        <v>7</v>
      </c>
      <c r="H148" s="9" t="s">
        <v>307</v>
      </c>
      <c r="I148" s="11" t="str">
        <f t="shared" si="2"/>
        <v>Quando_Medir</v>
      </c>
    </row>
    <row r="149" spans="1:9" ht="15" customHeight="1" x14ac:dyDescent="0.3">
      <c r="A149" s="9" t="s">
        <v>219</v>
      </c>
      <c r="B149" s="9" t="s">
        <v>221</v>
      </c>
      <c r="C149" s="9" t="s">
        <v>426</v>
      </c>
      <c r="D149" s="12">
        <v>5</v>
      </c>
      <c r="E149" s="9" t="s">
        <v>221</v>
      </c>
      <c r="F149" s="9" t="s">
        <v>426</v>
      </c>
      <c r="G149" s="12">
        <v>8</v>
      </c>
      <c r="H149" s="9" t="s">
        <v>307</v>
      </c>
      <c r="I149" s="11" t="str">
        <f t="shared" si="2"/>
        <v>Quem_Mede</v>
      </c>
    </row>
    <row r="150" spans="1:9" ht="15" customHeight="1" x14ac:dyDescent="0.3">
      <c r="A150" s="9" t="s">
        <v>219</v>
      </c>
      <c r="B150" s="9" t="s">
        <v>221</v>
      </c>
      <c r="C150" s="9" t="s">
        <v>379</v>
      </c>
      <c r="D150" s="12">
        <v>6</v>
      </c>
      <c r="E150" s="9" t="s">
        <v>221</v>
      </c>
      <c r="F150" s="9" t="s">
        <v>379</v>
      </c>
      <c r="G150" s="12">
        <v>9</v>
      </c>
      <c r="H150" s="9" t="s">
        <v>307</v>
      </c>
      <c r="I150" s="11" t="str">
        <f t="shared" si="2"/>
        <v>ID_KPI</v>
      </c>
    </row>
    <row r="151" spans="1:9" ht="15" customHeight="1" x14ac:dyDescent="0.3">
      <c r="A151" s="9" t="s">
        <v>219</v>
      </c>
      <c r="B151" s="9" t="s">
        <v>221</v>
      </c>
      <c r="C151" s="9" t="s">
        <v>427</v>
      </c>
      <c r="D151" s="12">
        <v>7</v>
      </c>
      <c r="E151" s="9" t="s">
        <v>221</v>
      </c>
      <c r="F151" s="9"/>
      <c r="G151" s="12"/>
      <c r="H151" s="9" t="s">
        <v>336</v>
      </c>
      <c r="I151" s="11" t="str">
        <f t="shared" si="2"/>
        <v>Quando_Analisar</v>
      </c>
    </row>
    <row r="152" spans="1:9" ht="15" customHeight="1" x14ac:dyDescent="0.3">
      <c r="A152" s="9" t="s">
        <v>219</v>
      </c>
      <c r="B152" s="9" t="s">
        <v>221</v>
      </c>
      <c r="C152" s="9" t="s">
        <v>377</v>
      </c>
      <c r="D152" s="12">
        <v>8</v>
      </c>
      <c r="E152" s="9" t="s">
        <v>221</v>
      </c>
      <c r="F152" s="9"/>
      <c r="G152" s="12"/>
      <c r="H152" s="9" t="s">
        <v>336</v>
      </c>
      <c r="I152" s="11" t="str">
        <f t="shared" si="2"/>
        <v>Registo_Evidencia</v>
      </c>
    </row>
    <row r="153" spans="1:9" ht="15" customHeight="1" x14ac:dyDescent="0.3">
      <c r="A153" s="9" t="s">
        <v>219</v>
      </c>
      <c r="B153" s="9" t="s">
        <v>221</v>
      </c>
      <c r="C153" s="9"/>
      <c r="D153" s="12"/>
      <c r="E153" s="9" t="s">
        <v>221</v>
      </c>
      <c r="F153" s="9" t="s">
        <v>382</v>
      </c>
      <c r="G153" s="12">
        <v>3</v>
      </c>
      <c r="H153" s="9" t="s">
        <v>392</v>
      </c>
      <c r="I153" s="11" t="str">
        <f t="shared" si="2"/>
        <v>Unidade</v>
      </c>
    </row>
    <row r="154" spans="1:9" ht="15" customHeight="1" x14ac:dyDescent="0.3">
      <c r="A154" s="9" t="s">
        <v>219</v>
      </c>
      <c r="B154" s="9" t="s">
        <v>221</v>
      </c>
      <c r="C154" s="9"/>
      <c r="D154" s="12"/>
      <c r="E154" s="9" t="s">
        <v>221</v>
      </c>
      <c r="F154" s="9" t="s">
        <v>361</v>
      </c>
      <c r="G154" s="12">
        <v>4</v>
      </c>
      <c r="H154" s="9" t="s">
        <v>392</v>
      </c>
      <c r="I154" s="11" t="str">
        <f t="shared" si="2"/>
        <v>Tipo</v>
      </c>
    </row>
    <row r="155" spans="1:9" ht="15" customHeight="1" x14ac:dyDescent="0.3">
      <c r="A155" s="9" t="s">
        <v>219</v>
      </c>
      <c r="B155" s="9" t="s">
        <v>221</v>
      </c>
      <c r="C155" s="9"/>
      <c r="D155" s="12"/>
      <c r="E155" s="9" t="s">
        <v>221</v>
      </c>
      <c r="F155" s="9" t="s">
        <v>428</v>
      </c>
      <c r="G155" s="12">
        <v>6</v>
      </c>
      <c r="H155" s="9" t="s">
        <v>392</v>
      </c>
      <c r="I155" s="11" t="str">
        <f t="shared" si="2"/>
        <v>Equipamentos</v>
      </c>
    </row>
    <row r="156" spans="1:9" ht="15" customHeight="1" x14ac:dyDescent="0.3">
      <c r="A156" s="9" t="s">
        <v>219</v>
      </c>
      <c r="B156" s="9" t="s">
        <v>221</v>
      </c>
      <c r="C156" s="9"/>
      <c r="D156" s="12"/>
      <c r="E156" s="9" t="s">
        <v>221</v>
      </c>
      <c r="F156" s="9" t="s">
        <v>429</v>
      </c>
      <c r="G156" s="12">
        <v>10</v>
      </c>
      <c r="H156" s="9" t="s">
        <v>392</v>
      </c>
      <c r="I156" s="11" t="str">
        <f t="shared" si="2"/>
        <v>Criterio_Meta</v>
      </c>
    </row>
    <row r="157" spans="1:9" ht="15" customHeight="1" x14ac:dyDescent="0.3">
      <c r="A157" s="9" t="s">
        <v>219</v>
      </c>
      <c r="B157" s="9" t="s">
        <v>221</v>
      </c>
      <c r="C157" s="9"/>
      <c r="D157" s="12"/>
      <c r="E157" s="9" t="s">
        <v>221</v>
      </c>
      <c r="F157" s="9" t="s">
        <v>430</v>
      </c>
      <c r="G157" s="12">
        <v>11</v>
      </c>
      <c r="H157" s="9" t="s">
        <v>392</v>
      </c>
      <c r="I157" s="11" t="str">
        <f t="shared" si="2"/>
        <v>IDs_Aspetos</v>
      </c>
    </row>
    <row r="158" spans="1:9" ht="15" customHeight="1" x14ac:dyDescent="0.3">
      <c r="A158" s="9" t="s">
        <v>219</v>
      </c>
      <c r="B158" s="9" t="s">
        <v>221</v>
      </c>
      <c r="C158" s="9"/>
      <c r="D158" s="12"/>
      <c r="E158" s="9" t="s">
        <v>221</v>
      </c>
      <c r="F158" s="9" t="s">
        <v>431</v>
      </c>
      <c r="G158" s="12">
        <v>12</v>
      </c>
      <c r="H158" s="9" t="s">
        <v>392</v>
      </c>
      <c r="I158" s="11" t="str">
        <f t="shared" si="2"/>
        <v>Estado_Equipamentos</v>
      </c>
    </row>
    <row r="159" spans="1:9" ht="15" customHeight="1" x14ac:dyDescent="0.3">
      <c r="A159" s="9" t="s">
        <v>223</v>
      </c>
      <c r="B159" s="9" t="s">
        <v>225</v>
      </c>
      <c r="C159" s="9" t="s">
        <v>432</v>
      </c>
      <c r="D159" s="12">
        <v>1</v>
      </c>
      <c r="E159" s="9" t="s">
        <v>225</v>
      </c>
      <c r="F159" s="9" t="s">
        <v>432</v>
      </c>
      <c r="G159" s="12">
        <v>1</v>
      </c>
      <c r="H159" s="9" t="s">
        <v>307</v>
      </c>
      <c r="I159" s="11" t="str">
        <f t="shared" si="2"/>
        <v>ID_Alteracao</v>
      </c>
    </row>
    <row r="160" spans="1:9" ht="15" customHeight="1" x14ac:dyDescent="0.3">
      <c r="A160" s="9" t="s">
        <v>223</v>
      </c>
      <c r="B160" s="9" t="s">
        <v>225</v>
      </c>
      <c r="C160" s="9" t="s">
        <v>433</v>
      </c>
      <c r="D160" s="12">
        <v>2</v>
      </c>
      <c r="E160" s="9" t="s">
        <v>225</v>
      </c>
      <c r="F160" s="9" t="s">
        <v>433</v>
      </c>
      <c r="G160" s="12">
        <v>2</v>
      </c>
      <c r="H160" s="9" t="s">
        <v>307</v>
      </c>
      <c r="I160" s="11" t="str">
        <f t="shared" si="2"/>
        <v>Data_Pedido</v>
      </c>
    </row>
    <row r="161" spans="1:9" ht="15" customHeight="1" x14ac:dyDescent="0.3">
      <c r="A161" s="9" t="s">
        <v>223</v>
      </c>
      <c r="B161" s="9" t="s">
        <v>225</v>
      </c>
      <c r="C161" s="9" t="s">
        <v>434</v>
      </c>
      <c r="D161" s="12">
        <v>3</v>
      </c>
      <c r="E161" s="9" t="s">
        <v>225</v>
      </c>
      <c r="F161" s="9" t="s">
        <v>434</v>
      </c>
      <c r="G161" s="12">
        <v>3</v>
      </c>
      <c r="H161" s="9" t="s">
        <v>307</v>
      </c>
      <c r="I161" s="11" t="str">
        <f t="shared" si="2"/>
        <v>Origem</v>
      </c>
    </row>
    <row r="162" spans="1:9" ht="15" customHeight="1" x14ac:dyDescent="0.3">
      <c r="A162" s="9" t="s">
        <v>223</v>
      </c>
      <c r="B162" s="9" t="s">
        <v>225</v>
      </c>
      <c r="C162" s="9" t="s">
        <v>361</v>
      </c>
      <c r="D162" s="12">
        <v>4</v>
      </c>
      <c r="E162" s="9" t="s">
        <v>225</v>
      </c>
      <c r="F162" s="9" t="s">
        <v>361</v>
      </c>
      <c r="G162" s="12">
        <v>4</v>
      </c>
      <c r="H162" s="9" t="s">
        <v>307</v>
      </c>
      <c r="I162" s="11" t="str">
        <f t="shared" si="2"/>
        <v>Tipo</v>
      </c>
    </row>
    <row r="163" spans="1:9" ht="15" customHeight="1" x14ac:dyDescent="0.3">
      <c r="A163" s="9" t="s">
        <v>223</v>
      </c>
      <c r="B163" s="9" t="s">
        <v>225</v>
      </c>
      <c r="C163" s="9" t="s">
        <v>310</v>
      </c>
      <c r="D163" s="12">
        <v>5</v>
      </c>
      <c r="E163" s="9" t="s">
        <v>225</v>
      </c>
      <c r="F163" s="9" t="s">
        <v>310</v>
      </c>
      <c r="G163" s="12">
        <v>5</v>
      </c>
      <c r="H163" s="9" t="s">
        <v>307</v>
      </c>
      <c r="I163" s="11" t="str">
        <f t="shared" si="2"/>
        <v>Descricao</v>
      </c>
    </row>
    <row r="164" spans="1:9" ht="15" customHeight="1" x14ac:dyDescent="0.3">
      <c r="A164" s="9" t="s">
        <v>223</v>
      </c>
      <c r="B164" s="9" t="s">
        <v>225</v>
      </c>
      <c r="C164" s="9" t="s">
        <v>338</v>
      </c>
      <c r="D164" s="12">
        <v>6</v>
      </c>
      <c r="E164" s="9" t="s">
        <v>225</v>
      </c>
      <c r="F164" s="9"/>
      <c r="G164" s="12"/>
      <c r="H164" s="9" t="s">
        <v>336</v>
      </c>
      <c r="I164" s="11" t="str">
        <f t="shared" si="2"/>
        <v>Natureza</v>
      </c>
    </row>
    <row r="165" spans="1:9" ht="15" customHeight="1" x14ac:dyDescent="0.3">
      <c r="A165" s="9" t="s">
        <v>223</v>
      </c>
      <c r="B165" s="9" t="s">
        <v>225</v>
      </c>
      <c r="C165" s="9" t="s">
        <v>435</v>
      </c>
      <c r="D165" s="12">
        <v>7</v>
      </c>
      <c r="E165" s="9" t="s">
        <v>225</v>
      </c>
      <c r="F165" s="9"/>
      <c r="G165" s="12"/>
      <c r="H165" s="9" t="s">
        <v>336</v>
      </c>
      <c r="I165" s="11" t="str">
        <f t="shared" si="2"/>
        <v>a_Proposito_Consequencias</v>
      </c>
    </row>
    <row r="166" spans="1:9" ht="15" customHeight="1" x14ac:dyDescent="0.3">
      <c r="A166" s="9" t="s">
        <v>223</v>
      </c>
      <c r="B166" s="9" t="s">
        <v>225</v>
      </c>
      <c r="C166" s="9" t="s">
        <v>436</v>
      </c>
      <c r="D166" s="12">
        <v>8</v>
      </c>
      <c r="E166" s="9" t="s">
        <v>225</v>
      </c>
      <c r="F166" s="9"/>
      <c r="G166" s="12"/>
      <c r="H166" s="9" t="s">
        <v>336</v>
      </c>
      <c r="I166" s="11" t="str">
        <f t="shared" si="2"/>
        <v>b_Integridade_SGQ</v>
      </c>
    </row>
    <row r="167" spans="1:9" ht="15" customHeight="1" x14ac:dyDescent="0.3">
      <c r="A167" s="9" t="s">
        <v>223</v>
      </c>
      <c r="B167" s="9" t="s">
        <v>225</v>
      </c>
      <c r="C167" s="9" t="s">
        <v>437</v>
      </c>
      <c r="D167" s="12">
        <v>9</v>
      </c>
      <c r="E167" s="9" t="s">
        <v>225</v>
      </c>
      <c r="F167" s="9"/>
      <c r="G167" s="12"/>
      <c r="H167" s="9" t="s">
        <v>336</v>
      </c>
      <c r="I167" s="11" t="str">
        <f t="shared" si="2"/>
        <v>c_Recursos_Informacao</v>
      </c>
    </row>
    <row r="168" spans="1:9" ht="15" customHeight="1" x14ac:dyDescent="0.3">
      <c r="A168" s="9" t="s">
        <v>223</v>
      </c>
      <c r="B168" s="9" t="s">
        <v>225</v>
      </c>
      <c r="C168" s="9" t="s">
        <v>438</v>
      </c>
      <c r="D168" s="12">
        <v>10</v>
      </c>
      <c r="E168" s="9" t="s">
        <v>225</v>
      </c>
      <c r="F168" s="9"/>
      <c r="G168" s="12"/>
      <c r="H168" s="9" t="s">
        <v>336</v>
      </c>
      <c r="I168" s="11" t="str">
        <f t="shared" si="2"/>
        <v>d_Responsabilidades</v>
      </c>
    </row>
    <row r="169" spans="1:9" ht="15" customHeight="1" x14ac:dyDescent="0.3">
      <c r="A169" s="9" t="s">
        <v>223</v>
      </c>
      <c r="B169" s="9" t="s">
        <v>225</v>
      </c>
      <c r="C169" s="9" t="s">
        <v>439</v>
      </c>
      <c r="D169" s="12">
        <v>11</v>
      </c>
      <c r="E169" s="9" t="s">
        <v>225</v>
      </c>
      <c r="F169" s="9"/>
      <c r="G169" s="12"/>
      <c r="H169" s="9" t="s">
        <v>336</v>
      </c>
      <c r="I169" s="11" t="str">
        <f t="shared" si="2"/>
        <v>e_Comunicacao</v>
      </c>
    </row>
    <row r="170" spans="1:9" ht="15" customHeight="1" x14ac:dyDescent="0.3">
      <c r="A170" s="9" t="s">
        <v>223</v>
      </c>
      <c r="B170" s="9" t="s">
        <v>225</v>
      </c>
      <c r="C170" s="9" t="s">
        <v>440</v>
      </c>
      <c r="D170" s="12">
        <v>12</v>
      </c>
      <c r="E170" s="9" t="s">
        <v>225</v>
      </c>
      <c r="F170" s="9"/>
      <c r="G170" s="12"/>
      <c r="H170" s="9" t="s">
        <v>336</v>
      </c>
      <c r="I170" s="11" t="str">
        <f t="shared" si="2"/>
        <v>f_Monitorizacao_Eficacia</v>
      </c>
    </row>
    <row r="171" spans="1:9" ht="15" customHeight="1" x14ac:dyDescent="0.3">
      <c r="A171" s="9" t="s">
        <v>223</v>
      </c>
      <c r="B171" s="9" t="s">
        <v>225</v>
      </c>
      <c r="C171" s="9" t="s">
        <v>441</v>
      </c>
      <c r="D171" s="12">
        <v>13</v>
      </c>
      <c r="E171" s="9" t="s">
        <v>225</v>
      </c>
      <c r="F171" s="9"/>
      <c r="G171" s="12"/>
      <c r="H171" s="9" t="s">
        <v>336</v>
      </c>
      <c r="I171" s="11" t="str">
        <f t="shared" si="2"/>
        <v>g_Revisao_Resultados</v>
      </c>
    </row>
    <row r="172" spans="1:9" ht="15" customHeight="1" x14ac:dyDescent="0.3">
      <c r="A172" s="9" t="s">
        <v>223</v>
      </c>
      <c r="B172" s="9" t="s">
        <v>225</v>
      </c>
      <c r="C172" s="9" t="s">
        <v>442</v>
      </c>
      <c r="D172" s="12">
        <v>14</v>
      </c>
      <c r="E172" s="9" t="s">
        <v>225</v>
      </c>
      <c r="F172" s="9" t="s">
        <v>442</v>
      </c>
      <c r="G172" s="12">
        <v>20</v>
      </c>
      <c r="H172" s="9" t="s">
        <v>307</v>
      </c>
      <c r="I172" s="11" t="str">
        <f t="shared" si="2"/>
        <v>Completude_Checklist</v>
      </c>
    </row>
    <row r="173" spans="1:9" ht="15" customHeight="1" x14ac:dyDescent="0.3">
      <c r="A173" s="9" t="s">
        <v>223</v>
      </c>
      <c r="B173" s="9" t="s">
        <v>225</v>
      </c>
      <c r="C173" s="9" t="s">
        <v>84</v>
      </c>
      <c r="D173" s="12">
        <v>15</v>
      </c>
      <c r="E173" s="9" t="s">
        <v>225</v>
      </c>
      <c r="F173" s="9"/>
      <c r="G173" s="12"/>
      <c r="H173" s="9" t="s">
        <v>336</v>
      </c>
      <c r="I173" s="11" t="str">
        <f t="shared" si="2"/>
        <v>Clausulas</v>
      </c>
    </row>
    <row r="174" spans="1:9" ht="15" customHeight="1" x14ac:dyDescent="0.3">
      <c r="A174" s="9" t="s">
        <v>223</v>
      </c>
      <c r="B174" s="9" t="s">
        <v>225</v>
      </c>
      <c r="C174" s="9" t="s">
        <v>443</v>
      </c>
      <c r="D174" s="12">
        <v>16</v>
      </c>
      <c r="E174" s="9" t="s">
        <v>225</v>
      </c>
      <c r="F174" s="9"/>
      <c r="G174" s="12"/>
      <c r="H174" s="9" t="s">
        <v>336</v>
      </c>
      <c r="I174" s="11" t="str">
        <f t="shared" si="2"/>
        <v>Requer_Aprovacao_Cliente</v>
      </c>
    </row>
    <row r="175" spans="1:9" ht="15" customHeight="1" x14ac:dyDescent="0.3">
      <c r="A175" s="9" t="s">
        <v>223</v>
      </c>
      <c r="B175" s="9" t="s">
        <v>225</v>
      </c>
      <c r="C175" s="9" t="s">
        <v>444</v>
      </c>
      <c r="D175" s="12">
        <v>17</v>
      </c>
      <c r="E175" s="9" t="s">
        <v>225</v>
      </c>
      <c r="F175" s="9"/>
      <c r="G175" s="12"/>
      <c r="H175" s="9" t="s">
        <v>336</v>
      </c>
      <c r="I175" s="11" t="str">
        <f t="shared" si="2"/>
        <v>Data_Aprovacao_Cliente</v>
      </c>
    </row>
    <row r="176" spans="1:9" ht="15" customHeight="1" x14ac:dyDescent="0.3">
      <c r="A176" s="9" t="s">
        <v>223</v>
      </c>
      <c r="B176" s="9" t="s">
        <v>225</v>
      </c>
      <c r="C176" s="9" t="s">
        <v>445</v>
      </c>
      <c r="D176" s="12">
        <v>18</v>
      </c>
      <c r="E176" s="9" t="s">
        <v>225</v>
      </c>
      <c r="F176" s="9"/>
      <c r="G176" s="12"/>
      <c r="H176" s="9" t="s">
        <v>336</v>
      </c>
      <c r="I176" s="11" t="str">
        <f t="shared" si="2"/>
        <v>Validacao_Requerida</v>
      </c>
    </row>
    <row r="177" spans="1:9" ht="15" customHeight="1" x14ac:dyDescent="0.3">
      <c r="A177" s="9" t="s">
        <v>223</v>
      </c>
      <c r="B177" s="9" t="s">
        <v>225</v>
      </c>
      <c r="C177" s="9" t="s">
        <v>334</v>
      </c>
      <c r="D177" s="12">
        <v>19</v>
      </c>
      <c r="E177" s="9" t="s">
        <v>225</v>
      </c>
      <c r="F177" s="9" t="s">
        <v>326</v>
      </c>
      <c r="G177" s="12">
        <v>24</v>
      </c>
      <c r="H177" s="9" t="s">
        <v>315</v>
      </c>
      <c r="I177" s="11" t="str">
        <f t="shared" si="2"/>
        <v>ID_RO</v>
      </c>
    </row>
    <row r="178" spans="1:9" ht="15" customHeight="1" x14ac:dyDescent="0.3">
      <c r="A178" s="9" t="s">
        <v>223</v>
      </c>
      <c r="B178" s="9" t="s">
        <v>225</v>
      </c>
      <c r="C178" s="9" t="s">
        <v>446</v>
      </c>
      <c r="D178" s="12">
        <v>20</v>
      </c>
      <c r="E178" s="9" t="s">
        <v>225</v>
      </c>
      <c r="F178" s="9"/>
      <c r="G178" s="12"/>
      <c r="H178" s="9" t="s">
        <v>336</v>
      </c>
      <c r="I178" s="11" t="str">
        <f t="shared" si="2"/>
        <v>Documentos_Afetados</v>
      </c>
    </row>
    <row r="179" spans="1:9" ht="15" customHeight="1" x14ac:dyDescent="0.3">
      <c r="A179" s="9" t="s">
        <v>223</v>
      </c>
      <c r="B179" s="9" t="s">
        <v>225</v>
      </c>
      <c r="C179" s="9" t="s">
        <v>447</v>
      </c>
      <c r="D179" s="12">
        <v>21</v>
      </c>
      <c r="E179" s="9" t="s">
        <v>225</v>
      </c>
      <c r="F179" s="9" t="s">
        <v>447</v>
      </c>
      <c r="G179" s="12">
        <v>26</v>
      </c>
      <c r="H179" s="9" t="s">
        <v>307</v>
      </c>
      <c r="I179" s="11" t="str">
        <f t="shared" si="2"/>
        <v>Aprovador</v>
      </c>
    </row>
    <row r="180" spans="1:9" ht="15" customHeight="1" x14ac:dyDescent="0.3">
      <c r="A180" s="9" t="s">
        <v>223</v>
      </c>
      <c r="B180" s="9" t="s">
        <v>225</v>
      </c>
      <c r="C180" s="9" t="s">
        <v>422</v>
      </c>
      <c r="D180" s="12">
        <v>22</v>
      </c>
      <c r="E180" s="9" t="s">
        <v>225</v>
      </c>
      <c r="F180" s="9" t="s">
        <v>422</v>
      </c>
      <c r="G180" s="12">
        <v>27</v>
      </c>
      <c r="H180" s="9" t="s">
        <v>307</v>
      </c>
      <c r="I180" s="11" t="str">
        <f t="shared" si="2"/>
        <v>Data_Aprovacao</v>
      </c>
    </row>
    <row r="181" spans="1:9" ht="15" customHeight="1" x14ac:dyDescent="0.3">
      <c r="A181" s="9" t="s">
        <v>223</v>
      </c>
      <c r="B181" s="9" t="s">
        <v>225</v>
      </c>
      <c r="C181" s="9" t="s">
        <v>448</v>
      </c>
      <c r="D181" s="12">
        <v>23</v>
      </c>
      <c r="E181" s="9" t="s">
        <v>225</v>
      </c>
      <c r="F181" s="9" t="s">
        <v>448</v>
      </c>
      <c r="G181" s="12">
        <v>28</v>
      </c>
      <c r="H181" s="9" t="s">
        <v>307</v>
      </c>
      <c r="I181" s="11" t="str">
        <f t="shared" si="2"/>
        <v>Data_Implementacao</v>
      </c>
    </row>
    <row r="182" spans="1:9" ht="15" customHeight="1" x14ac:dyDescent="0.3">
      <c r="A182" s="9" t="s">
        <v>223</v>
      </c>
      <c r="B182" s="9" t="s">
        <v>225</v>
      </c>
      <c r="C182" s="9" t="s">
        <v>449</v>
      </c>
      <c r="D182" s="12">
        <v>24</v>
      </c>
      <c r="E182" s="9" t="s">
        <v>225</v>
      </c>
      <c r="F182" s="9" t="s">
        <v>449</v>
      </c>
      <c r="G182" s="12">
        <v>29</v>
      </c>
      <c r="H182" s="9" t="s">
        <v>307</v>
      </c>
      <c r="I182" s="11" t="str">
        <f t="shared" si="2"/>
        <v>Verificacao_Pos_Implementacao</v>
      </c>
    </row>
    <row r="183" spans="1:9" ht="15" customHeight="1" x14ac:dyDescent="0.3">
      <c r="A183" s="9" t="s">
        <v>223</v>
      </c>
      <c r="B183" s="9" t="s">
        <v>225</v>
      </c>
      <c r="C183" s="9" t="s">
        <v>450</v>
      </c>
      <c r="D183" s="12">
        <v>25</v>
      </c>
      <c r="E183" s="9" t="s">
        <v>225</v>
      </c>
      <c r="F183" s="9" t="s">
        <v>450</v>
      </c>
      <c r="G183" s="12">
        <v>30</v>
      </c>
      <c r="H183" s="9" t="s">
        <v>307</v>
      </c>
      <c r="I183" s="11" t="str">
        <f t="shared" si="2"/>
        <v>Data_Verificacao</v>
      </c>
    </row>
    <row r="184" spans="1:9" ht="15" customHeight="1" x14ac:dyDescent="0.3">
      <c r="A184" s="9" t="s">
        <v>223</v>
      </c>
      <c r="B184" s="9" t="s">
        <v>225</v>
      </c>
      <c r="C184" s="9" t="s">
        <v>14</v>
      </c>
      <c r="D184" s="12">
        <v>26</v>
      </c>
      <c r="E184" s="9" t="s">
        <v>225</v>
      </c>
      <c r="F184" s="9" t="s">
        <v>14</v>
      </c>
      <c r="G184" s="12">
        <v>31</v>
      </c>
      <c r="H184" s="9" t="s">
        <v>307</v>
      </c>
      <c r="I184" s="11" t="str">
        <f t="shared" si="2"/>
        <v>Estado</v>
      </c>
    </row>
    <row r="185" spans="1:9" ht="15" customHeight="1" x14ac:dyDescent="0.3">
      <c r="A185" s="9" t="s">
        <v>223</v>
      </c>
      <c r="B185" s="9" t="s">
        <v>225</v>
      </c>
      <c r="C185" s="9" t="s">
        <v>451</v>
      </c>
      <c r="D185" s="12">
        <v>27</v>
      </c>
      <c r="E185" s="9" t="s">
        <v>225</v>
      </c>
      <c r="F185" s="9" t="s">
        <v>451</v>
      </c>
      <c r="G185" s="12">
        <v>33</v>
      </c>
      <c r="H185" s="9" t="s">
        <v>307</v>
      </c>
      <c r="I185" s="11" t="str">
        <f t="shared" si="2"/>
        <v>Dias_Pedido_Aprovacao</v>
      </c>
    </row>
    <row r="186" spans="1:9" ht="15" customHeight="1" x14ac:dyDescent="0.3">
      <c r="A186" s="9" t="s">
        <v>223</v>
      </c>
      <c r="B186" s="9" t="s">
        <v>225</v>
      </c>
      <c r="C186" s="9" t="s">
        <v>452</v>
      </c>
      <c r="D186" s="12">
        <v>28</v>
      </c>
      <c r="E186" s="9" t="s">
        <v>225</v>
      </c>
      <c r="F186" s="9" t="s">
        <v>452</v>
      </c>
      <c r="G186" s="12">
        <v>34</v>
      </c>
      <c r="H186" s="9" t="s">
        <v>307</v>
      </c>
      <c r="I186" s="11" t="str">
        <f t="shared" si="2"/>
        <v>Alerta</v>
      </c>
    </row>
    <row r="187" spans="1:9" ht="15" customHeight="1" x14ac:dyDescent="0.3">
      <c r="A187" s="9" t="s">
        <v>223</v>
      </c>
      <c r="B187" s="9" t="s">
        <v>225</v>
      </c>
      <c r="C187" s="9" t="s">
        <v>453</v>
      </c>
      <c r="D187" s="12">
        <v>29</v>
      </c>
      <c r="E187" s="9" t="s">
        <v>225</v>
      </c>
      <c r="F187" s="9"/>
      <c r="G187" s="12"/>
      <c r="H187" s="9" t="s">
        <v>336</v>
      </c>
      <c r="I187" s="11" t="str">
        <f t="shared" si="2"/>
        <v>Ligacao_SGA</v>
      </c>
    </row>
    <row r="188" spans="1:9" ht="15" customHeight="1" x14ac:dyDescent="0.3">
      <c r="A188" s="9" t="s">
        <v>223</v>
      </c>
      <c r="B188" s="9" t="s">
        <v>225</v>
      </c>
      <c r="C188" s="9"/>
      <c r="D188" s="12"/>
      <c r="E188" s="9" t="s">
        <v>225</v>
      </c>
      <c r="F188" s="9" t="s">
        <v>454</v>
      </c>
      <c r="G188" s="12">
        <v>6</v>
      </c>
      <c r="H188" s="9" t="s">
        <v>392</v>
      </c>
      <c r="I188" s="11" t="str">
        <f t="shared" si="2"/>
        <v>Motivo</v>
      </c>
    </row>
    <row r="189" spans="1:9" ht="15" customHeight="1" x14ac:dyDescent="0.3">
      <c r="A189" s="9" t="s">
        <v>223</v>
      </c>
      <c r="B189" s="9" t="s">
        <v>225</v>
      </c>
      <c r="C189" s="9"/>
      <c r="D189" s="12"/>
      <c r="E189" s="9" t="s">
        <v>225</v>
      </c>
      <c r="F189" s="9" t="s">
        <v>455</v>
      </c>
      <c r="G189" s="12">
        <v>7</v>
      </c>
      <c r="H189" s="9" t="s">
        <v>392</v>
      </c>
      <c r="I189" s="11" t="str">
        <f t="shared" si="2"/>
        <v>Requerente</v>
      </c>
    </row>
    <row r="190" spans="1:9" ht="15" customHeight="1" x14ac:dyDescent="0.3">
      <c r="A190" s="9" t="s">
        <v>223</v>
      </c>
      <c r="B190" s="9" t="s">
        <v>225</v>
      </c>
      <c r="C190" s="9"/>
      <c r="D190" s="12"/>
      <c r="E190" s="9" t="s">
        <v>225</v>
      </c>
      <c r="F190" s="9" t="s">
        <v>456</v>
      </c>
      <c r="G190" s="12">
        <v>8</v>
      </c>
      <c r="H190" s="9" t="s">
        <v>392</v>
      </c>
      <c r="I190" s="11" t="str">
        <f t="shared" si="2"/>
        <v>Aspetos_Ambientais</v>
      </c>
    </row>
    <row r="191" spans="1:9" ht="15" customHeight="1" x14ac:dyDescent="0.3">
      <c r="A191" s="9" t="s">
        <v>223</v>
      </c>
      <c r="B191" s="9" t="s">
        <v>225</v>
      </c>
      <c r="C191" s="9"/>
      <c r="D191" s="12"/>
      <c r="E191" s="9" t="s">
        <v>225</v>
      </c>
      <c r="F191" s="9" t="s">
        <v>457</v>
      </c>
      <c r="G191" s="12">
        <v>9</v>
      </c>
      <c r="H191" s="9" t="s">
        <v>392</v>
      </c>
      <c r="I191" s="11" t="str">
        <f t="shared" si="2"/>
        <v>Obrigacoes_Conformidade</v>
      </c>
    </row>
    <row r="192" spans="1:9" ht="15" customHeight="1" x14ac:dyDescent="0.3">
      <c r="A192" s="9" t="s">
        <v>223</v>
      </c>
      <c r="B192" s="9" t="s">
        <v>225</v>
      </c>
      <c r="C192" s="9"/>
      <c r="D192" s="12"/>
      <c r="E192" s="9" t="s">
        <v>225</v>
      </c>
      <c r="F192" s="9" t="s">
        <v>458</v>
      </c>
      <c r="G192" s="12">
        <v>10</v>
      </c>
      <c r="H192" s="9" t="s">
        <v>392</v>
      </c>
      <c r="I192" s="11" t="str">
        <f t="shared" si="2"/>
        <v>Riscos_Oportunidades</v>
      </c>
    </row>
    <row r="193" spans="1:9" ht="15" customHeight="1" x14ac:dyDescent="0.3">
      <c r="A193" s="9" t="s">
        <v>223</v>
      </c>
      <c r="B193" s="9" t="s">
        <v>225</v>
      </c>
      <c r="C193" s="9"/>
      <c r="D193" s="12"/>
      <c r="E193" s="9" t="s">
        <v>225</v>
      </c>
      <c r="F193" s="9" t="s">
        <v>459</v>
      </c>
      <c r="G193" s="12">
        <v>11</v>
      </c>
      <c r="H193" s="9" t="s">
        <v>392</v>
      </c>
      <c r="I193" s="11" t="str">
        <f t="shared" si="2"/>
        <v>Licenciamento_Comunicacao_Autoridade</v>
      </c>
    </row>
    <row r="194" spans="1:9" ht="15" customHeight="1" x14ac:dyDescent="0.3">
      <c r="A194" s="9" t="s">
        <v>223</v>
      </c>
      <c r="B194" s="9" t="s">
        <v>225</v>
      </c>
      <c r="C194" s="9"/>
      <c r="D194" s="12"/>
      <c r="E194" s="9" t="s">
        <v>225</v>
      </c>
      <c r="F194" s="9" t="s">
        <v>460</v>
      </c>
      <c r="G194" s="12">
        <v>12</v>
      </c>
      <c r="H194" s="9" t="s">
        <v>392</v>
      </c>
      <c r="I194" s="11" t="str">
        <f t="shared" si="2"/>
        <v>Competencias_Formacao</v>
      </c>
    </row>
    <row r="195" spans="1:9" ht="15" customHeight="1" x14ac:dyDescent="0.3">
      <c r="A195" s="9" t="s">
        <v>223</v>
      </c>
      <c r="B195" s="9" t="s">
        <v>225</v>
      </c>
      <c r="C195" s="9"/>
      <c r="D195" s="12"/>
      <c r="E195" s="9" t="s">
        <v>225</v>
      </c>
      <c r="F195" s="9" t="s">
        <v>461</v>
      </c>
      <c r="G195" s="12">
        <v>13</v>
      </c>
      <c r="H195" s="9" t="s">
        <v>392</v>
      </c>
      <c r="I195" s="11" t="str">
        <f t="shared" si="2"/>
        <v>Documentos_a_Atualizar</v>
      </c>
    </row>
    <row r="196" spans="1:9" ht="15" customHeight="1" x14ac:dyDescent="0.3">
      <c r="A196" s="9" t="s">
        <v>223</v>
      </c>
      <c r="B196" s="9" t="s">
        <v>225</v>
      </c>
      <c r="C196" s="9"/>
      <c r="D196" s="12"/>
      <c r="E196" s="9" t="s">
        <v>225</v>
      </c>
      <c r="F196" s="9" t="s">
        <v>462</v>
      </c>
      <c r="G196" s="12">
        <v>14</v>
      </c>
      <c r="H196" s="9" t="s">
        <v>392</v>
      </c>
      <c r="I196" s="11" t="str">
        <f t="shared" si="2"/>
        <v>Comunicacao_Partes_Interessadas</v>
      </c>
    </row>
    <row r="197" spans="1:9" ht="15" customHeight="1" x14ac:dyDescent="0.3">
      <c r="A197" s="9" t="s">
        <v>223</v>
      </c>
      <c r="B197" s="9" t="s">
        <v>225</v>
      </c>
      <c r="C197" s="9"/>
      <c r="D197" s="12"/>
      <c r="E197" s="9" t="s">
        <v>225</v>
      </c>
      <c r="F197" s="9" t="s">
        <v>463</v>
      </c>
      <c r="G197" s="12">
        <v>15</v>
      </c>
      <c r="H197" s="9" t="s">
        <v>392</v>
      </c>
      <c r="I197" s="11" t="str">
        <f t="shared" ref="I197:I260" si="3">IF(A197="","",IF(F197&lt;&gt;"",F197,C197))</f>
        <v>Emergencia_e_Controlo_Operacional</v>
      </c>
    </row>
    <row r="198" spans="1:9" ht="15" customHeight="1" x14ac:dyDescent="0.3">
      <c r="A198" s="9" t="s">
        <v>223</v>
      </c>
      <c r="B198" s="9" t="s">
        <v>225</v>
      </c>
      <c r="C198" s="9"/>
      <c r="D198" s="12"/>
      <c r="E198" s="9" t="s">
        <v>225</v>
      </c>
      <c r="F198" s="9" t="s">
        <v>464</v>
      </c>
      <c r="G198" s="12">
        <v>16</v>
      </c>
      <c r="H198" s="9" t="s">
        <v>392</v>
      </c>
      <c r="I198" s="11" t="str">
        <f t="shared" si="3"/>
        <v>Fornecedores_Processos_Externos</v>
      </c>
    </row>
    <row r="199" spans="1:9" ht="15" customHeight="1" x14ac:dyDescent="0.3">
      <c r="A199" s="9" t="s">
        <v>223</v>
      </c>
      <c r="B199" s="9" t="s">
        <v>225</v>
      </c>
      <c r="C199" s="9"/>
      <c r="D199" s="12"/>
      <c r="E199" s="9" t="s">
        <v>225</v>
      </c>
      <c r="F199" s="9" t="s">
        <v>465</v>
      </c>
      <c r="G199" s="12">
        <v>17</v>
      </c>
      <c r="H199" s="9" t="s">
        <v>392</v>
      </c>
      <c r="I199" s="11" t="str">
        <f t="shared" si="3"/>
        <v>Recursos_e_Prazos</v>
      </c>
    </row>
    <row r="200" spans="1:9" ht="15" customHeight="1" x14ac:dyDescent="0.3">
      <c r="A200" s="9" t="s">
        <v>223</v>
      </c>
      <c r="B200" s="9" t="s">
        <v>225</v>
      </c>
      <c r="C200" s="9"/>
      <c r="D200" s="12"/>
      <c r="E200" s="9" t="s">
        <v>225</v>
      </c>
      <c r="F200" s="9" t="s">
        <v>466</v>
      </c>
      <c r="G200" s="12">
        <v>18</v>
      </c>
      <c r="H200" s="9" t="s">
        <v>392</v>
      </c>
      <c r="I200" s="11" t="str">
        <f t="shared" si="3"/>
        <v>N_Sim</v>
      </c>
    </row>
    <row r="201" spans="1:9" ht="15" customHeight="1" x14ac:dyDescent="0.3">
      <c r="A201" s="9" t="s">
        <v>223</v>
      </c>
      <c r="B201" s="9" t="s">
        <v>225</v>
      </c>
      <c r="C201" s="9"/>
      <c r="D201" s="12"/>
      <c r="E201" s="9" t="s">
        <v>225</v>
      </c>
      <c r="F201" s="9" t="s">
        <v>467</v>
      </c>
      <c r="G201" s="12">
        <v>19</v>
      </c>
      <c r="H201" s="9" t="s">
        <v>392</v>
      </c>
      <c r="I201" s="11" t="str">
        <f t="shared" si="3"/>
        <v>N_Nao</v>
      </c>
    </row>
    <row r="202" spans="1:9" ht="15" customHeight="1" x14ac:dyDescent="0.3">
      <c r="A202" s="9" t="s">
        <v>223</v>
      </c>
      <c r="B202" s="9" t="s">
        <v>225</v>
      </c>
      <c r="C202" s="9"/>
      <c r="D202" s="12"/>
      <c r="E202" s="9" t="s">
        <v>225</v>
      </c>
      <c r="F202" s="9" t="s">
        <v>468</v>
      </c>
      <c r="G202" s="12">
        <v>21</v>
      </c>
      <c r="H202" s="9" t="s">
        <v>392</v>
      </c>
      <c r="I202" s="11" t="str">
        <f t="shared" si="3"/>
        <v>Impacto_Ambiental_Previsto</v>
      </c>
    </row>
    <row r="203" spans="1:9" ht="15" customHeight="1" x14ac:dyDescent="0.3">
      <c r="A203" s="9" t="s">
        <v>223</v>
      </c>
      <c r="B203" s="9" t="s">
        <v>225</v>
      </c>
      <c r="C203" s="9"/>
      <c r="D203" s="12"/>
      <c r="E203" s="9" t="s">
        <v>225</v>
      </c>
      <c r="F203" s="9" t="s">
        <v>430</v>
      </c>
      <c r="G203" s="12">
        <v>22</v>
      </c>
      <c r="H203" s="9" t="s">
        <v>392</v>
      </c>
      <c r="I203" s="11" t="str">
        <f t="shared" si="3"/>
        <v>IDs_Aspetos</v>
      </c>
    </row>
    <row r="204" spans="1:9" ht="15" customHeight="1" x14ac:dyDescent="0.3">
      <c r="A204" s="9" t="s">
        <v>223</v>
      </c>
      <c r="B204" s="9" t="s">
        <v>225</v>
      </c>
      <c r="C204" s="9"/>
      <c r="D204" s="12"/>
      <c r="E204" s="9" t="s">
        <v>225</v>
      </c>
      <c r="F204" s="9" t="s">
        <v>469</v>
      </c>
      <c r="G204" s="12">
        <v>23</v>
      </c>
      <c r="H204" s="9" t="s">
        <v>392</v>
      </c>
      <c r="I204" s="11" t="str">
        <f t="shared" si="3"/>
        <v>ID_Legal</v>
      </c>
    </row>
    <row r="205" spans="1:9" ht="15" customHeight="1" x14ac:dyDescent="0.3">
      <c r="A205" s="9" t="s">
        <v>223</v>
      </c>
      <c r="B205" s="9" t="s">
        <v>225</v>
      </c>
      <c r="C205" s="9"/>
      <c r="D205" s="12"/>
      <c r="E205" s="9" t="s">
        <v>225</v>
      </c>
      <c r="F205" s="9" t="s">
        <v>470</v>
      </c>
      <c r="G205" s="12">
        <v>25</v>
      </c>
      <c r="H205" s="9" t="s">
        <v>392</v>
      </c>
      <c r="I205" s="11" t="str">
        <f t="shared" si="3"/>
        <v>Recursos_EUR</v>
      </c>
    </row>
    <row r="206" spans="1:9" ht="15" customHeight="1" x14ac:dyDescent="0.3">
      <c r="A206" s="9" t="s">
        <v>223</v>
      </c>
      <c r="B206" s="9" t="s">
        <v>225</v>
      </c>
      <c r="C206" s="9"/>
      <c r="D206" s="12"/>
      <c r="E206" s="9" t="s">
        <v>225</v>
      </c>
      <c r="F206" s="9" t="s">
        <v>471</v>
      </c>
      <c r="G206" s="12">
        <v>32</v>
      </c>
      <c r="H206" s="9" t="s">
        <v>392</v>
      </c>
      <c r="I206" s="11" t="str">
        <f t="shared" si="3"/>
        <v>Licao_Aprendida</v>
      </c>
    </row>
    <row r="207" spans="1:9" ht="15" customHeight="1" x14ac:dyDescent="0.3">
      <c r="A207" s="9" t="s">
        <v>227</v>
      </c>
      <c r="B207" s="9" t="s">
        <v>229</v>
      </c>
      <c r="C207" s="9" t="s">
        <v>472</v>
      </c>
      <c r="D207" s="12">
        <v>1</v>
      </c>
      <c r="E207" s="9" t="s">
        <v>229</v>
      </c>
      <c r="F207" s="9" t="s">
        <v>472</v>
      </c>
      <c r="G207" s="12">
        <v>1</v>
      </c>
      <c r="H207" s="9" t="s">
        <v>307</v>
      </c>
      <c r="I207" s="11" t="str">
        <f t="shared" si="3"/>
        <v>ID_Formacao</v>
      </c>
    </row>
    <row r="208" spans="1:9" ht="15" customHeight="1" x14ac:dyDescent="0.3">
      <c r="A208" s="9" t="s">
        <v>227</v>
      </c>
      <c r="B208" s="9" t="s">
        <v>229</v>
      </c>
      <c r="C208" s="9" t="s">
        <v>473</v>
      </c>
      <c r="D208" s="12">
        <v>2</v>
      </c>
      <c r="E208" s="9" t="s">
        <v>229</v>
      </c>
      <c r="F208" s="9" t="s">
        <v>473</v>
      </c>
      <c r="G208" s="12">
        <v>2</v>
      </c>
      <c r="H208" s="9" t="s">
        <v>307</v>
      </c>
      <c r="I208" s="11" t="str">
        <f t="shared" si="3"/>
        <v>Formacao</v>
      </c>
    </row>
    <row r="209" spans="1:9" ht="15" customHeight="1" x14ac:dyDescent="0.3">
      <c r="A209" s="9" t="s">
        <v>227</v>
      </c>
      <c r="B209" s="9" t="s">
        <v>229</v>
      </c>
      <c r="C209" s="9" t="s">
        <v>474</v>
      </c>
      <c r="D209" s="12">
        <v>3</v>
      </c>
      <c r="E209" s="9" t="s">
        <v>229</v>
      </c>
      <c r="F209" s="9" t="s">
        <v>474</v>
      </c>
      <c r="G209" s="12">
        <v>3</v>
      </c>
      <c r="H209" s="9" t="s">
        <v>307</v>
      </c>
      <c r="I209" s="11" t="str">
        <f t="shared" si="3"/>
        <v>Duracao_h</v>
      </c>
    </row>
    <row r="210" spans="1:9" ht="15" customHeight="1" x14ac:dyDescent="0.3">
      <c r="A210" s="9" t="s">
        <v>227</v>
      </c>
      <c r="B210" s="9" t="s">
        <v>229</v>
      </c>
      <c r="C210" s="9" t="s">
        <v>475</v>
      </c>
      <c r="D210" s="12">
        <v>4</v>
      </c>
      <c r="E210" s="9" t="s">
        <v>229</v>
      </c>
      <c r="F210" s="9"/>
      <c r="G210" s="12"/>
      <c r="H210" s="9" t="s">
        <v>336</v>
      </c>
      <c r="I210" s="11" t="str">
        <f t="shared" si="3"/>
        <v>Publico</v>
      </c>
    </row>
    <row r="211" spans="1:9" ht="15" customHeight="1" x14ac:dyDescent="0.3">
      <c r="A211" s="9" t="s">
        <v>227</v>
      </c>
      <c r="B211" s="9" t="s">
        <v>229</v>
      </c>
      <c r="C211" s="9" t="s">
        <v>476</v>
      </c>
      <c r="D211" s="12">
        <v>5</v>
      </c>
      <c r="E211" s="9" t="s">
        <v>229</v>
      </c>
      <c r="F211" s="9"/>
      <c r="G211" s="12"/>
      <c r="H211" s="9" t="s">
        <v>336</v>
      </c>
      <c r="I211" s="11" t="str">
        <f t="shared" si="3"/>
        <v>ID_Competencia</v>
      </c>
    </row>
    <row r="212" spans="1:9" ht="15" customHeight="1" x14ac:dyDescent="0.3">
      <c r="A212" s="9" t="s">
        <v>227</v>
      </c>
      <c r="B212" s="9" t="s">
        <v>229</v>
      </c>
      <c r="C212" s="9" t="s">
        <v>477</v>
      </c>
      <c r="D212" s="12">
        <v>6</v>
      </c>
      <c r="E212" s="9" t="s">
        <v>229</v>
      </c>
      <c r="F212" s="9"/>
      <c r="G212" s="12"/>
      <c r="H212" s="9" t="s">
        <v>336</v>
      </c>
      <c r="I212" s="11" t="str">
        <f t="shared" si="3"/>
        <v>Data</v>
      </c>
    </row>
    <row r="213" spans="1:9" ht="15" customHeight="1" x14ac:dyDescent="0.3">
      <c r="A213" s="9" t="s">
        <v>227</v>
      </c>
      <c r="B213" s="9" t="s">
        <v>229</v>
      </c>
      <c r="C213" s="9" t="s">
        <v>361</v>
      </c>
      <c r="D213" s="12">
        <v>7</v>
      </c>
      <c r="E213" s="9" t="s">
        <v>229</v>
      </c>
      <c r="F213" s="9"/>
      <c r="G213" s="12"/>
      <c r="H213" s="9" t="s">
        <v>336</v>
      </c>
      <c r="I213" s="11" t="str">
        <f t="shared" si="3"/>
        <v>Tipo</v>
      </c>
    </row>
    <row r="214" spans="1:9" ht="15" customHeight="1" x14ac:dyDescent="0.3">
      <c r="A214" s="9" t="s">
        <v>227</v>
      </c>
      <c r="B214" s="9" t="s">
        <v>229</v>
      </c>
      <c r="C214" s="9" t="s">
        <v>14</v>
      </c>
      <c r="D214" s="12">
        <v>8</v>
      </c>
      <c r="E214" s="9" t="s">
        <v>229</v>
      </c>
      <c r="F214" s="9"/>
      <c r="G214" s="12"/>
      <c r="H214" s="9" t="s">
        <v>336</v>
      </c>
      <c r="I214" s="11" t="str">
        <f t="shared" si="3"/>
        <v>Estado</v>
      </c>
    </row>
    <row r="215" spans="1:9" ht="15" customHeight="1" x14ac:dyDescent="0.3">
      <c r="A215" s="9" t="s">
        <v>227</v>
      </c>
      <c r="B215" s="9" t="s">
        <v>229</v>
      </c>
      <c r="C215" s="9" t="s">
        <v>478</v>
      </c>
      <c r="D215" s="12">
        <v>9</v>
      </c>
      <c r="E215" s="9" t="s">
        <v>229</v>
      </c>
      <c r="F215" s="9" t="s">
        <v>478</v>
      </c>
      <c r="G215" s="12">
        <v>7</v>
      </c>
      <c r="H215" s="9" t="s">
        <v>307</v>
      </c>
      <c r="I215" s="11" t="str">
        <f t="shared" si="3"/>
        <v>N_Registos</v>
      </c>
    </row>
    <row r="216" spans="1:9" ht="15" customHeight="1" x14ac:dyDescent="0.3">
      <c r="A216" s="9" t="s">
        <v>227</v>
      </c>
      <c r="B216" s="9" t="s">
        <v>229</v>
      </c>
      <c r="C216" s="9" t="s">
        <v>479</v>
      </c>
      <c r="D216" s="12">
        <v>10</v>
      </c>
      <c r="E216" s="9" t="s">
        <v>229</v>
      </c>
      <c r="F216" s="9"/>
      <c r="G216" s="12"/>
      <c r="H216" s="9" t="s">
        <v>336</v>
      </c>
      <c r="I216" s="11" t="str">
        <f t="shared" si="3"/>
        <v>Eficacia_Pct</v>
      </c>
    </row>
    <row r="217" spans="1:9" ht="15" customHeight="1" x14ac:dyDescent="0.3">
      <c r="A217" s="9" t="s">
        <v>227</v>
      </c>
      <c r="B217" s="9" t="s">
        <v>229</v>
      </c>
      <c r="C217" s="9"/>
      <c r="D217" s="12"/>
      <c r="E217" s="9" t="s">
        <v>229</v>
      </c>
      <c r="F217" s="9" t="s">
        <v>480</v>
      </c>
      <c r="G217" s="12">
        <v>4</v>
      </c>
      <c r="H217" s="9" t="s">
        <v>392</v>
      </c>
      <c r="I217" s="11" t="str">
        <f t="shared" si="3"/>
        <v>Entidade</v>
      </c>
    </row>
    <row r="218" spans="1:9" ht="15" customHeight="1" x14ac:dyDescent="0.3">
      <c r="A218" s="9" t="s">
        <v>227</v>
      </c>
      <c r="B218" s="9" t="s">
        <v>229</v>
      </c>
      <c r="C218" s="9"/>
      <c r="D218" s="12"/>
      <c r="E218" s="9" t="s">
        <v>229</v>
      </c>
      <c r="F218" s="9" t="s">
        <v>481</v>
      </c>
      <c r="G218" s="12">
        <v>5</v>
      </c>
      <c r="H218" s="9" t="s">
        <v>392</v>
      </c>
      <c r="I218" s="11" t="str">
        <f t="shared" si="3"/>
        <v>Obrigatoria_Legal</v>
      </c>
    </row>
    <row r="219" spans="1:9" ht="15" customHeight="1" x14ac:dyDescent="0.3">
      <c r="A219" s="9" t="s">
        <v>227</v>
      </c>
      <c r="B219" s="9" t="s">
        <v>229</v>
      </c>
      <c r="C219" s="9"/>
      <c r="D219" s="12"/>
      <c r="E219" s="9" t="s">
        <v>229</v>
      </c>
      <c r="F219" s="9" t="s">
        <v>482</v>
      </c>
      <c r="G219" s="12">
        <v>6</v>
      </c>
      <c r="H219" s="9" t="s">
        <v>392</v>
      </c>
      <c r="I219" s="11" t="str">
        <f t="shared" si="3"/>
        <v>Reciclagem_Meses</v>
      </c>
    </row>
    <row r="220" spans="1:9" ht="15" customHeight="1" x14ac:dyDescent="0.3">
      <c r="A220" s="9" t="s">
        <v>231</v>
      </c>
      <c r="B220" s="9" t="s">
        <v>233</v>
      </c>
      <c r="C220" s="9" t="s">
        <v>483</v>
      </c>
      <c r="D220" s="12">
        <v>1</v>
      </c>
      <c r="E220" s="9" t="s">
        <v>233</v>
      </c>
      <c r="F220" s="9" t="s">
        <v>483</v>
      </c>
      <c r="G220" s="12">
        <v>1</v>
      </c>
      <c r="H220" s="9" t="s">
        <v>307</v>
      </c>
      <c r="I220" s="11" t="str">
        <f t="shared" si="3"/>
        <v>ID_Registo</v>
      </c>
    </row>
    <row r="221" spans="1:9" ht="15" customHeight="1" x14ac:dyDescent="0.3">
      <c r="A221" s="9" t="s">
        <v>231</v>
      </c>
      <c r="B221" s="9" t="s">
        <v>233</v>
      </c>
      <c r="C221" s="9" t="s">
        <v>484</v>
      </c>
      <c r="D221" s="12">
        <v>2</v>
      </c>
      <c r="E221" s="9" t="s">
        <v>233</v>
      </c>
      <c r="F221" s="9" t="s">
        <v>484</v>
      </c>
      <c r="G221" s="12">
        <v>2</v>
      </c>
      <c r="H221" s="9" t="s">
        <v>307</v>
      </c>
      <c r="I221" s="11" t="str">
        <f t="shared" si="3"/>
        <v>Colaborador</v>
      </c>
    </row>
    <row r="222" spans="1:9" ht="15" customHeight="1" x14ac:dyDescent="0.3">
      <c r="A222" s="9" t="s">
        <v>231</v>
      </c>
      <c r="B222" s="9" t="s">
        <v>233</v>
      </c>
      <c r="C222" s="9" t="s">
        <v>380</v>
      </c>
      <c r="D222" s="12">
        <v>3</v>
      </c>
      <c r="E222" s="9" t="s">
        <v>233</v>
      </c>
      <c r="F222" s="9"/>
      <c r="G222" s="12"/>
      <c r="H222" s="9" t="s">
        <v>336</v>
      </c>
      <c r="I222" s="11" t="str">
        <f t="shared" si="3"/>
        <v>Nome</v>
      </c>
    </row>
    <row r="223" spans="1:9" ht="15" customHeight="1" x14ac:dyDescent="0.3">
      <c r="A223" s="9" t="s">
        <v>231</v>
      </c>
      <c r="B223" s="9" t="s">
        <v>233</v>
      </c>
      <c r="C223" s="9" t="s">
        <v>472</v>
      </c>
      <c r="D223" s="12">
        <v>4</v>
      </c>
      <c r="E223" s="9" t="s">
        <v>233</v>
      </c>
      <c r="F223" s="9" t="s">
        <v>472</v>
      </c>
      <c r="G223" s="12">
        <v>4</v>
      </c>
      <c r="H223" s="9" t="s">
        <v>307</v>
      </c>
      <c r="I223" s="11" t="str">
        <f t="shared" si="3"/>
        <v>ID_Formacao</v>
      </c>
    </row>
    <row r="224" spans="1:9" ht="15" customHeight="1" x14ac:dyDescent="0.3">
      <c r="A224" s="9" t="s">
        <v>231</v>
      </c>
      <c r="B224" s="9" t="s">
        <v>233</v>
      </c>
      <c r="C224" s="9" t="s">
        <v>485</v>
      </c>
      <c r="D224" s="12">
        <v>5</v>
      </c>
      <c r="E224" s="9" t="s">
        <v>233</v>
      </c>
      <c r="F224" s="9" t="s">
        <v>485</v>
      </c>
      <c r="G224" s="12">
        <v>5</v>
      </c>
      <c r="H224" s="9" t="s">
        <v>307</v>
      </c>
      <c r="I224" s="11" t="str">
        <f t="shared" si="3"/>
        <v>Data_Realizacao</v>
      </c>
    </row>
    <row r="225" spans="1:9" ht="15" customHeight="1" x14ac:dyDescent="0.3">
      <c r="A225" s="9" t="s">
        <v>231</v>
      </c>
      <c r="B225" s="9" t="s">
        <v>233</v>
      </c>
      <c r="C225" s="9" t="s">
        <v>474</v>
      </c>
      <c r="D225" s="12">
        <v>6</v>
      </c>
      <c r="E225" s="9" t="s">
        <v>233</v>
      </c>
      <c r="F225" s="9" t="s">
        <v>474</v>
      </c>
      <c r="G225" s="12">
        <v>6</v>
      </c>
      <c r="H225" s="9" t="s">
        <v>307</v>
      </c>
      <c r="I225" s="11" t="str">
        <f t="shared" si="3"/>
        <v>Duracao_h</v>
      </c>
    </row>
    <row r="226" spans="1:9" ht="15" customHeight="1" x14ac:dyDescent="0.3">
      <c r="A226" s="9" t="s">
        <v>231</v>
      </c>
      <c r="B226" s="9" t="s">
        <v>233</v>
      </c>
      <c r="C226" s="9" t="s">
        <v>486</v>
      </c>
      <c r="D226" s="12">
        <v>7</v>
      </c>
      <c r="E226" s="9" t="s">
        <v>233</v>
      </c>
      <c r="F226" s="9"/>
      <c r="G226" s="12"/>
      <c r="H226" s="9" t="s">
        <v>336</v>
      </c>
      <c r="I226" s="11" t="str">
        <f t="shared" si="3"/>
        <v>N1_Reacao</v>
      </c>
    </row>
    <row r="227" spans="1:9" ht="15" customHeight="1" x14ac:dyDescent="0.3">
      <c r="A227" s="9" t="s">
        <v>231</v>
      </c>
      <c r="B227" s="9" t="s">
        <v>233</v>
      </c>
      <c r="C227" s="9" t="s">
        <v>487</v>
      </c>
      <c r="D227" s="12">
        <v>8</v>
      </c>
      <c r="E227" s="9" t="s">
        <v>233</v>
      </c>
      <c r="F227" s="9"/>
      <c r="G227" s="12"/>
      <c r="H227" s="9" t="s">
        <v>336</v>
      </c>
      <c r="I227" s="11" t="str">
        <f t="shared" si="3"/>
        <v>N2_Aprendizagem_Pct</v>
      </c>
    </row>
    <row r="228" spans="1:9" ht="15" customHeight="1" x14ac:dyDescent="0.3">
      <c r="A228" s="9" t="s">
        <v>231</v>
      </c>
      <c r="B228" s="9" t="s">
        <v>233</v>
      </c>
      <c r="C228" s="9" t="s">
        <v>488</v>
      </c>
      <c r="D228" s="12">
        <v>9</v>
      </c>
      <c r="E228" s="9" t="s">
        <v>233</v>
      </c>
      <c r="F228" s="9"/>
      <c r="G228" s="12"/>
      <c r="H228" s="9" t="s">
        <v>336</v>
      </c>
      <c r="I228" s="11" t="str">
        <f t="shared" si="3"/>
        <v>N3_Comportamento_Posto</v>
      </c>
    </row>
    <row r="229" spans="1:9" ht="15" customHeight="1" x14ac:dyDescent="0.3">
      <c r="A229" s="9" t="s">
        <v>231</v>
      </c>
      <c r="B229" s="9" t="s">
        <v>233</v>
      </c>
      <c r="C229" s="9" t="s">
        <v>489</v>
      </c>
      <c r="D229" s="12">
        <v>10</v>
      </c>
      <c r="E229" s="9" t="s">
        <v>233</v>
      </c>
      <c r="F229" s="9"/>
      <c r="G229" s="12"/>
      <c r="H229" s="9" t="s">
        <v>336</v>
      </c>
      <c r="I229" s="11" t="str">
        <f t="shared" si="3"/>
        <v>N4_Resultado</v>
      </c>
    </row>
    <row r="230" spans="1:9" ht="15" customHeight="1" x14ac:dyDescent="0.3">
      <c r="A230" s="9" t="s">
        <v>231</v>
      </c>
      <c r="B230" s="9" t="s">
        <v>233</v>
      </c>
      <c r="C230" s="9" t="s">
        <v>490</v>
      </c>
      <c r="D230" s="12">
        <v>11</v>
      </c>
      <c r="E230" s="9" t="s">
        <v>233</v>
      </c>
      <c r="F230" s="9"/>
      <c r="G230" s="12"/>
      <c r="H230" s="9" t="s">
        <v>336</v>
      </c>
      <c r="I230" s="11" t="str">
        <f t="shared" si="3"/>
        <v>Eficaz</v>
      </c>
    </row>
    <row r="231" spans="1:9" ht="15" customHeight="1" x14ac:dyDescent="0.3">
      <c r="A231" s="9" t="s">
        <v>231</v>
      </c>
      <c r="B231" s="9" t="s">
        <v>233</v>
      </c>
      <c r="C231" s="9" t="s">
        <v>491</v>
      </c>
      <c r="D231" s="12">
        <v>12</v>
      </c>
      <c r="E231" s="9" t="s">
        <v>233</v>
      </c>
      <c r="F231" s="9"/>
      <c r="G231" s="12"/>
      <c r="H231" s="9" t="s">
        <v>336</v>
      </c>
      <c r="I231" s="11" t="str">
        <f t="shared" si="3"/>
        <v>Acao_Se_Nao_Eficaz</v>
      </c>
    </row>
    <row r="232" spans="1:9" ht="15" customHeight="1" x14ac:dyDescent="0.3">
      <c r="A232" s="9" t="s">
        <v>231</v>
      </c>
      <c r="B232" s="9" t="s">
        <v>233</v>
      </c>
      <c r="C232" s="9"/>
      <c r="D232" s="12"/>
      <c r="E232" s="9" t="s">
        <v>233</v>
      </c>
      <c r="F232" s="9" t="s">
        <v>476</v>
      </c>
      <c r="G232" s="12">
        <v>3</v>
      </c>
      <c r="H232" s="9" t="s">
        <v>392</v>
      </c>
      <c r="I232" s="11" t="str">
        <f t="shared" si="3"/>
        <v>ID_Competencia</v>
      </c>
    </row>
    <row r="233" spans="1:9" ht="15" customHeight="1" x14ac:dyDescent="0.3">
      <c r="A233" s="9" t="s">
        <v>231</v>
      </c>
      <c r="B233" s="9" t="s">
        <v>233</v>
      </c>
      <c r="C233" s="9"/>
      <c r="D233" s="12"/>
      <c r="E233" s="9" t="s">
        <v>233</v>
      </c>
      <c r="F233" s="9" t="s">
        <v>492</v>
      </c>
      <c r="G233" s="12">
        <v>7</v>
      </c>
      <c r="H233" s="9" t="s">
        <v>392</v>
      </c>
      <c r="I233" s="11" t="str">
        <f t="shared" si="3"/>
        <v>Resultado</v>
      </c>
    </row>
    <row r="234" spans="1:9" ht="15" customHeight="1" x14ac:dyDescent="0.3">
      <c r="A234" s="9" t="s">
        <v>231</v>
      </c>
      <c r="B234" s="9" t="s">
        <v>233</v>
      </c>
      <c r="C234" s="9"/>
      <c r="D234" s="12"/>
      <c r="E234" s="9" t="s">
        <v>233</v>
      </c>
      <c r="F234" s="9" t="s">
        <v>493</v>
      </c>
      <c r="G234" s="12">
        <v>8</v>
      </c>
      <c r="H234" s="9" t="s">
        <v>392</v>
      </c>
      <c r="I234" s="11" t="str">
        <f t="shared" si="3"/>
        <v>Nota_Teste</v>
      </c>
    </row>
    <row r="235" spans="1:9" ht="15" customHeight="1" x14ac:dyDescent="0.3">
      <c r="A235" s="9" t="s">
        <v>231</v>
      </c>
      <c r="B235" s="9" t="s">
        <v>233</v>
      </c>
      <c r="C235" s="9"/>
      <c r="D235" s="12"/>
      <c r="E235" s="9" t="s">
        <v>233</v>
      </c>
      <c r="F235" s="9" t="s">
        <v>494</v>
      </c>
      <c r="G235" s="12">
        <v>9</v>
      </c>
      <c r="H235" s="9" t="s">
        <v>392</v>
      </c>
      <c r="I235" s="11" t="str">
        <f t="shared" si="3"/>
        <v>Nivel_Avaliado</v>
      </c>
    </row>
    <row r="236" spans="1:9" ht="15" customHeight="1" x14ac:dyDescent="0.3">
      <c r="A236" s="9" t="s">
        <v>231</v>
      </c>
      <c r="B236" s="9" t="s">
        <v>233</v>
      </c>
      <c r="C236" s="9"/>
      <c r="D236" s="12"/>
      <c r="E236" s="9" t="s">
        <v>233</v>
      </c>
      <c r="F236" s="9" t="s">
        <v>482</v>
      </c>
      <c r="G236" s="12">
        <v>10</v>
      </c>
      <c r="H236" s="9" t="s">
        <v>392</v>
      </c>
      <c r="I236" s="11" t="str">
        <f t="shared" si="3"/>
        <v>Reciclagem_Meses</v>
      </c>
    </row>
    <row r="237" spans="1:9" ht="15" customHeight="1" x14ac:dyDescent="0.3">
      <c r="A237" s="9" t="s">
        <v>231</v>
      </c>
      <c r="B237" s="9" t="s">
        <v>233</v>
      </c>
      <c r="C237" s="9"/>
      <c r="D237" s="12"/>
      <c r="E237" s="9" t="s">
        <v>233</v>
      </c>
      <c r="F237" s="9" t="s">
        <v>495</v>
      </c>
      <c r="G237" s="12">
        <v>11</v>
      </c>
      <c r="H237" s="9" t="s">
        <v>392</v>
      </c>
      <c r="I237" s="11" t="str">
        <f t="shared" si="3"/>
        <v>Validade</v>
      </c>
    </row>
    <row r="238" spans="1:9" ht="15" customHeight="1" x14ac:dyDescent="0.3">
      <c r="A238" s="9" t="s">
        <v>231</v>
      </c>
      <c r="B238" s="9" t="s">
        <v>233</v>
      </c>
      <c r="C238" s="9"/>
      <c r="D238" s="12"/>
      <c r="E238" s="9" t="s">
        <v>233</v>
      </c>
      <c r="F238" s="9" t="s">
        <v>496</v>
      </c>
      <c r="G238" s="12">
        <v>12</v>
      </c>
      <c r="H238" s="9" t="s">
        <v>392</v>
      </c>
      <c r="I238" s="11" t="str">
        <f t="shared" si="3"/>
        <v>Valida</v>
      </c>
    </row>
    <row r="239" spans="1:9" ht="15" customHeight="1" x14ac:dyDescent="0.3">
      <c r="A239" s="9" t="s">
        <v>234</v>
      </c>
      <c r="B239" s="9" t="s">
        <v>236</v>
      </c>
      <c r="C239" s="9" t="s">
        <v>497</v>
      </c>
      <c r="D239" s="12">
        <v>1</v>
      </c>
      <c r="E239" s="9" t="s">
        <v>236</v>
      </c>
      <c r="F239" s="9" t="s">
        <v>497</v>
      </c>
      <c r="G239" s="12">
        <v>1</v>
      </c>
      <c r="H239" s="9" t="s">
        <v>307</v>
      </c>
      <c r="I239" s="11" t="str">
        <f t="shared" si="3"/>
        <v>ID_Processo</v>
      </c>
    </row>
    <row r="240" spans="1:9" ht="15" customHeight="1" x14ac:dyDescent="0.3">
      <c r="A240" s="9" t="s">
        <v>234</v>
      </c>
      <c r="B240" s="9" t="s">
        <v>236</v>
      </c>
      <c r="C240" s="9" t="s">
        <v>498</v>
      </c>
      <c r="D240" s="12">
        <v>2</v>
      </c>
      <c r="E240" s="9" t="s">
        <v>236</v>
      </c>
      <c r="F240" s="9" t="s">
        <v>499</v>
      </c>
      <c r="G240" s="12">
        <v>2</v>
      </c>
      <c r="H240" s="9" t="s">
        <v>315</v>
      </c>
      <c r="I240" s="11" t="str">
        <f t="shared" si="3"/>
        <v>Processo_SGA</v>
      </c>
    </row>
    <row r="241" spans="1:9" ht="15" customHeight="1" x14ac:dyDescent="0.3">
      <c r="A241" s="9" t="s">
        <v>234</v>
      </c>
      <c r="B241" s="9" t="s">
        <v>236</v>
      </c>
      <c r="C241" s="9" t="s">
        <v>500</v>
      </c>
      <c r="D241" s="12">
        <v>3</v>
      </c>
      <c r="E241" s="9" t="s">
        <v>236</v>
      </c>
      <c r="F241" s="9" t="s">
        <v>500</v>
      </c>
      <c r="G241" s="12">
        <v>3</v>
      </c>
      <c r="H241" s="9" t="s">
        <v>307</v>
      </c>
      <c r="I241" s="11" t="str">
        <f t="shared" si="3"/>
        <v>Clausula</v>
      </c>
    </row>
    <row r="242" spans="1:9" ht="15" customHeight="1" x14ac:dyDescent="0.3">
      <c r="A242" s="9" t="s">
        <v>234</v>
      </c>
      <c r="B242" s="9" t="s">
        <v>236</v>
      </c>
      <c r="C242" s="9" t="s">
        <v>501</v>
      </c>
      <c r="D242" s="12">
        <v>4</v>
      </c>
      <c r="E242" s="9" t="s">
        <v>236</v>
      </c>
      <c r="F242" s="9" t="s">
        <v>501</v>
      </c>
      <c r="G242" s="12">
        <v>4</v>
      </c>
      <c r="H242" s="9" t="s">
        <v>307</v>
      </c>
      <c r="I242" s="11" t="str">
        <f t="shared" si="3"/>
        <v>Diretor_Geral</v>
      </c>
    </row>
    <row r="243" spans="1:9" ht="15" customHeight="1" x14ac:dyDescent="0.3">
      <c r="A243" s="9" t="s">
        <v>234</v>
      </c>
      <c r="B243" s="9" t="s">
        <v>236</v>
      </c>
      <c r="C243" s="9" t="s">
        <v>502</v>
      </c>
      <c r="D243" s="12">
        <v>5</v>
      </c>
      <c r="E243" s="9" t="s">
        <v>236</v>
      </c>
      <c r="F243" s="9" t="s">
        <v>502</v>
      </c>
      <c r="G243" s="12">
        <v>5</v>
      </c>
      <c r="H243" s="9" t="s">
        <v>307</v>
      </c>
      <c r="I243" s="11" t="str">
        <f t="shared" si="3"/>
        <v>Diretor_Industrial</v>
      </c>
    </row>
    <row r="244" spans="1:9" ht="15" customHeight="1" x14ac:dyDescent="0.3">
      <c r="A244" s="9" t="s">
        <v>234</v>
      </c>
      <c r="B244" s="9" t="s">
        <v>236</v>
      </c>
      <c r="C244" s="9" t="s">
        <v>503</v>
      </c>
      <c r="D244" s="12">
        <v>6</v>
      </c>
      <c r="E244" s="9" t="s">
        <v>236</v>
      </c>
      <c r="F244" s="9" t="s">
        <v>503</v>
      </c>
      <c r="G244" s="12">
        <v>7</v>
      </c>
      <c r="H244" s="9" t="s">
        <v>307</v>
      </c>
      <c r="I244" s="11" t="str">
        <f t="shared" si="3"/>
        <v>Gerente_Producao</v>
      </c>
    </row>
    <row r="245" spans="1:9" ht="15" customHeight="1" x14ac:dyDescent="0.3">
      <c r="A245" s="9" t="s">
        <v>234</v>
      </c>
      <c r="B245" s="9" t="s">
        <v>236</v>
      </c>
      <c r="C245" s="9" t="s">
        <v>504</v>
      </c>
      <c r="D245" s="12">
        <v>7</v>
      </c>
      <c r="E245" s="9" t="s">
        <v>236</v>
      </c>
      <c r="F245" s="9" t="s">
        <v>504</v>
      </c>
      <c r="G245" s="12">
        <v>8</v>
      </c>
      <c r="H245" s="9" t="s">
        <v>307</v>
      </c>
      <c r="I245" s="11" t="str">
        <f t="shared" si="3"/>
        <v>Gerente_Manutencao</v>
      </c>
    </row>
    <row r="246" spans="1:9" ht="15" customHeight="1" x14ac:dyDescent="0.3">
      <c r="A246" s="9" t="s">
        <v>234</v>
      </c>
      <c r="B246" s="9" t="s">
        <v>236</v>
      </c>
      <c r="C246" s="9" t="s">
        <v>505</v>
      </c>
      <c r="D246" s="12">
        <v>8</v>
      </c>
      <c r="E246" s="9" t="s">
        <v>236</v>
      </c>
      <c r="F246" s="9" t="s">
        <v>505</v>
      </c>
      <c r="G246" s="12">
        <v>9</v>
      </c>
      <c r="H246" s="9" t="s">
        <v>307</v>
      </c>
      <c r="I246" s="11" t="str">
        <f t="shared" si="3"/>
        <v>Gerente_Qualidade</v>
      </c>
    </row>
    <row r="247" spans="1:9" ht="15" customHeight="1" x14ac:dyDescent="0.3">
      <c r="A247" s="9" t="s">
        <v>234</v>
      </c>
      <c r="B247" s="9" t="s">
        <v>236</v>
      </c>
      <c r="C247" s="9" t="s">
        <v>506</v>
      </c>
      <c r="D247" s="12">
        <v>9</v>
      </c>
      <c r="E247" s="9" t="s">
        <v>236</v>
      </c>
      <c r="F247" s="9" t="s">
        <v>506</v>
      </c>
      <c r="G247" s="12">
        <v>10</v>
      </c>
      <c r="H247" s="9" t="s">
        <v>307</v>
      </c>
      <c r="I247" s="11" t="str">
        <f t="shared" si="3"/>
        <v>Resp_Armazem_Logistica</v>
      </c>
    </row>
    <row r="248" spans="1:9" ht="15" customHeight="1" x14ac:dyDescent="0.3">
      <c r="A248" s="9" t="s">
        <v>234</v>
      </c>
      <c r="B248" s="9" t="s">
        <v>236</v>
      </c>
      <c r="C248" s="9" t="s">
        <v>507</v>
      </c>
      <c r="D248" s="12">
        <v>10</v>
      </c>
      <c r="E248" s="9" t="s">
        <v>236</v>
      </c>
      <c r="F248" s="9" t="s">
        <v>507</v>
      </c>
      <c r="G248" s="12">
        <v>11</v>
      </c>
      <c r="H248" s="9" t="s">
        <v>307</v>
      </c>
      <c r="I248" s="11" t="str">
        <f t="shared" si="3"/>
        <v>Resp_Compras</v>
      </c>
    </row>
    <row r="249" spans="1:9" ht="15" customHeight="1" x14ac:dyDescent="0.3">
      <c r="A249" s="9" t="s">
        <v>234</v>
      </c>
      <c r="B249" s="9" t="s">
        <v>236</v>
      </c>
      <c r="C249" s="9" t="s">
        <v>508</v>
      </c>
      <c r="D249" s="12">
        <v>11</v>
      </c>
      <c r="E249" s="9" t="s">
        <v>236</v>
      </c>
      <c r="F249" s="9" t="s">
        <v>508</v>
      </c>
      <c r="G249" s="12">
        <v>12</v>
      </c>
      <c r="H249" s="9" t="s">
        <v>307</v>
      </c>
      <c r="I249" s="11" t="str">
        <f t="shared" si="3"/>
        <v>Resp_RD</v>
      </c>
    </row>
    <row r="250" spans="1:9" ht="15" customHeight="1" x14ac:dyDescent="0.3">
      <c r="A250" s="9" t="s">
        <v>234</v>
      </c>
      <c r="B250" s="9" t="s">
        <v>236</v>
      </c>
      <c r="C250" s="9" t="s">
        <v>509</v>
      </c>
      <c r="D250" s="12">
        <v>12</v>
      </c>
      <c r="E250" s="9" t="s">
        <v>236</v>
      </c>
      <c r="F250" s="9" t="s">
        <v>509</v>
      </c>
      <c r="G250" s="12">
        <v>13</v>
      </c>
      <c r="H250" s="9" t="s">
        <v>307</v>
      </c>
      <c r="I250" s="11" t="str">
        <f t="shared" si="3"/>
        <v>Resp_RH</v>
      </c>
    </row>
    <row r="251" spans="1:9" ht="15" customHeight="1" x14ac:dyDescent="0.3">
      <c r="A251" s="9" t="s">
        <v>234</v>
      </c>
      <c r="B251" s="9" t="s">
        <v>236</v>
      </c>
      <c r="C251" s="9" t="s">
        <v>510</v>
      </c>
      <c r="D251" s="12">
        <v>13</v>
      </c>
      <c r="E251" s="9" t="s">
        <v>236</v>
      </c>
      <c r="F251" s="9" t="s">
        <v>510</v>
      </c>
      <c r="G251" s="12">
        <v>15</v>
      </c>
      <c r="H251" s="9" t="s">
        <v>307</v>
      </c>
      <c r="I251" s="11" t="str">
        <f t="shared" si="3"/>
        <v>Chefes_Turno</v>
      </c>
    </row>
    <row r="252" spans="1:9" ht="15" customHeight="1" x14ac:dyDescent="0.3">
      <c r="A252" s="9" t="s">
        <v>234</v>
      </c>
      <c r="B252" s="9" t="s">
        <v>236</v>
      </c>
      <c r="C252" s="9" t="s">
        <v>511</v>
      </c>
      <c r="D252" s="12">
        <v>14</v>
      </c>
      <c r="E252" s="9" t="s">
        <v>236</v>
      </c>
      <c r="F252" s="9" t="s">
        <v>511</v>
      </c>
      <c r="G252" s="12">
        <v>16</v>
      </c>
      <c r="H252" s="9" t="s">
        <v>307</v>
      </c>
      <c r="I252" s="11" t="str">
        <f t="shared" si="3"/>
        <v>Operadores</v>
      </c>
    </row>
    <row r="253" spans="1:9" ht="15" customHeight="1" x14ac:dyDescent="0.3">
      <c r="A253" s="9" t="s">
        <v>234</v>
      </c>
      <c r="B253" s="9" t="s">
        <v>236</v>
      </c>
      <c r="C253" s="9" t="s">
        <v>512</v>
      </c>
      <c r="D253" s="12">
        <v>15</v>
      </c>
      <c r="E253" s="9" t="s">
        <v>236</v>
      </c>
      <c r="F253" s="9"/>
      <c r="G253" s="12"/>
      <c r="H253" s="9" t="s">
        <v>336</v>
      </c>
      <c r="I253" s="11" t="str">
        <f t="shared" si="3"/>
        <v>Diretor_Comercial</v>
      </c>
    </row>
    <row r="254" spans="1:9" ht="15" customHeight="1" x14ac:dyDescent="0.3">
      <c r="A254" s="9" t="s">
        <v>234</v>
      </c>
      <c r="B254" s="9" t="s">
        <v>236</v>
      </c>
      <c r="C254" s="9" t="s">
        <v>513</v>
      </c>
      <c r="D254" s="12">
        <v>16</v>
      </c>
      <c r="E254" s="9" t="s">
        <v>236</v>
      </c>
      <c r="F254" s="9"/>
      <c r="G254" s="12"/>
      <c r="H254" s="9" t="s">
        <v>336</v>
      </c>
      <c r="I254" s="11" t="str">
        <f t="shared" si="3"/>
        <v>Gestor_Cliente_KAM</v>
      </c>
    </row>
    <row r="255" spans="1:9" ht="15" customHeight="1" x14ac:dyDescent="0.3">
      <c r="A255" s="9" t="s">
        <v>234</v>
      </c>
      <c r="B255" s="9" t="s">
        <v>236</v>
      </c>
      <c r="C255" s="9" t="s">
        <v>514</v>
      </c>
      <c r="D255" s="12">
        <v>17</v>
      </c>
      <c r="E255" s="9" t="s">
        <v>236</v>
      </c>
      <c r="F255" s="9"/>
      <c r="G255" s="12"/>
      <c r="H255" s="9" t="s">
        <v>336</v>
      </c>
      <c r="I255" s="11" t="str">
        <f t="shared" si="3"/>
        <v>Planeador_Producao</v>
      </c>
    </row>
    <row r="256" spans="1:9" ht="15" customHeight="1" x14ac:dyDescent="0.3">
      <c r="A256" s="9" t="s">
        <v>234</v>
      </c>
      <c r="B256" s="9" t="s">
        <v>236</v>
      </c>
      <c r="C256" s="9" t="s">
        <v>515</v>
      </c>
      <c r="D256" s="12">
        <v>18</v>
      </c>
      <c r="E256" s="9" t="s">
        <v>236</v>
      </c>
      <c r="F256" s="9"/>
      <c r="G256" s="12"/>
      <c r="H256" s="9" t="s">
        <v>336</v>
      </c>
      <c r="I256" s="11" t="str">
        <f t="shared" si="3"/>
        <v>Gerente_Dados_TI</v>
      </c>
    </row>
    <row r="257" spans="1:9" ht="15" customHeight="1" x14ac:dyDescent="0.3">
      <c r="A257" s="9" t="s">
        <v>234</v>
      </c>
      <c r="B257" s="9" t="s">
        <v>236</v>
      </c>
      <c r="C257" s="9" t="s">
        <v>516</v>
      </c>
      <c r="D257" s="12">
        <v>19</v>
      </c>
      <c r="E257" s="9" t="s">
        <v>236</v>
      </c>
      <c r="F257" s="9"/>
      <c r="G257" s="12"/>
      <c r="H257" s="9" t="s">
        <v>336</v>
      </c>
      <c r="I257" s="11" t="str">
        <f t="shared" si="3"/>
        <v>Engenheiro_Processo</v>
      </c>
    </row>
    <row r="258" spans="1:9" ht="15" customHeight="1" x14ac:dyDescent="0.3">
      <c r="A258" s="9" t="s">
        <v>234</v>
      </c>
      <c r="B258" s="9" t="s">
        <v>236</v>
      </c>
      <c r="C258" s="9" t="s">
        <v>517</v>
      </c>
      <c r="D258" s="12">
        <v>20</v>
      </c>
      <c r="E258" s="9" t="s">
        <v>236</v>
      </c>
      <c r="F258" s="9"/>
      <c r="G258" s="12"/>
      <c r="H258" s="9" t="s">
        <v>336</v>
      </c>
      <c r="I258" s="11" t="str">
        <f t="shared" si="3"/>
        <v>Inspetores_Qualidade</v>
      </c>
    </row>
    <row r="259" spans="1:9" ht="15" customHeight="1" x14ac:dyDescent="0.3">
      <c r="A259" s="9" t="s">
        <v>234</v>
      </c>
      <c r="B259" s="9" t="s">
        <v>236</v>
      </c>
      <c r="C259" s="9" t="s">
        <v>518</v>
      </c>
      <c r="D259" s="12">
        <v>21</v>
      </c>
      <c r="E259" s="9" t="s">
        <v>236</v>
      </c>
      <c r="F259" s="9"/>
      <c r="G259" s="12"/>
      <c r="H259" s="9" t="s">
        <v>336</v>
      </c>
      <c r="I259" s="11" t="str">
        <f t="shared" si="3"/>
        <v>Tecnico_Metrologia</v>
      </c>
    </row>
    <row r="260" spans="1:9" ht="15" customHeight="1" x14ac:dyDescent="0.3">
      <c r="A260" s="9" t="s">
        <v>234</v>
      </c>
      <c r="B260" s="9" t="s">
        <v>236</v>
      </c>
      <c r="C260" s="9" t="s">
        <v>519</v>
      </c>
      <c r="D260" s="12">
        <v>22</v>
      </c>
      <c r="E260" s="9" t="s">
        <v>236</v>
      </c>
      <c r="F260" s="9"/>
      <c r="G260" s="12"/>
      <c r="H260" s="9" t="s">
        <v>336</v>
      </c>
      <c r="I260" s="11" t="str">
        <f t="shared" si="3"/>
        <v>Tecnico_Manutencao</v>
      </c>
    </row>
    <row r="261" spans="1:9" ht="15" customHeight="1" x14ac:dyDescent="0.3">
      <c r="A261" s="9" t="s">
        <v>234</v>
      </c>
      <c r="B261" s="9" t="s">
        <v>236</v>
      </c>
      <c r="C261" s="9" t="s">
        <v>520</v>
      </c>
      <c r="D261" s="12">
        <v>23</v>
      </c>
      <c r="E261" s="9" t="s">
        <v>236</v>
      </c>
      <c r="F261" s="9"/>
      <c r="G261" s="12"/>
      <c r="H261" s="9" t="s">
        <v>336</v>
      </c>
      <c r="I261" s="11" t="str">
        <f t="shared" ref="I261:I324" si="4">IF(A261="","",IF(F261&lt;&gt;"",F261,C261))</f>
        <v>Auditor_Interno_SGQ</v>
      </c>
    </row>
    <row r="262" spans="1:9" ht="15" customHeight="1" x14ac:dyDescent="0.3">
      <c r="A262" s="9" t="s">
        <v>234</v>
      </c>
      <c r="B262" s="9" t="s">
        <v>236</v>
      </c>
      <c r="C262" s="9" t="s">
        <v>521</v>
      </c>
      <c r="D262" s="12">
        <v>24</v>
      </c>
      <c r="E262" s="9" t="s">
        <v>236</v>
      </c>
      <c r="F262" s="9"/>
      <c r="G262" s="12"/>
      <c r="H262" s="9" t="s">
        <v>336</v>
      </c>
      <c r="I262" s="11" t="str">
        <f t="shared" si="4"/>
        <v>Gestor_Documental</v>
      </c>
    </row>
    <row r="263" spans="1:9" ht="15" customHeight="1" x14ac:dyDescent="0.3">
      <c r="A263" s="9" t="s">
        <v>234</v>
      </c>
      <c r="B263" s="9" t="s">
        <v>236</v>
      </c>
      <c r="C263" s="9" t="s">
        <v>522</v>
      </c>
      <c r="D263" s="12">
        <v>25</v>
      </c>
      <c r="E263" s="9" t="s">
        <v>236</v>
      </c>
      <c r="F263" s="9" t="s">
        <v>522</v>
      </c>
      <c r="G263" s="12">
        <v>17</v>
      </c>
      <c r="H263" s="9" t="s">
        <v>307</v>
      </c>
      <c r="I263" s="11" t="str">
        <f t="shared" si="4"/>
        <v>N_Aprovadores</v>
      </c>
    </row>
    <row r="264" spans="1:9" ht="15" customHeight="1" x14ac:dyDescent="0.3">
      <c r="A264" s="9" t="s">
        <v>234</v>
      </c>
      <c r="B264" s="9" t="s">
        <v>236</v>
      </c>
      <c r="C264" s="9" t="s">
        <v>523</v>
      </c>
      <c r="D264" s="12">
        <v>26</v>
      </c>
      <c r="E264" s="9" t="s">
        <v>236</v>
      </c>
      <c r="F264" s="9" t="s">
        <v>523</v>
      </c>
      <c r="G264" s="12">
        <v>18</v>
      </c>
      <c r="H264" s="9" t="s">
        <v>307</v>
      </c>
      <c r="I264" s="11" t="str">
        <f t="shared" si="4"/>
        <v>Controlo_RACI</v>
      </c>
    </row>
    <row r="265" spans="1:9" ht="15" customHeight="1" x14ac:dyDescent="0.3">
      <c r="A265" s="9" t="s">
        <v>234</v>
      </c>
      <c r="B265" s="9" t="s">
        <v>236</v>
      </c>
      <c r="C265" s="9"/>
      <c r="D265" s="12"/>
      <c r="E265" s="9" t="s">
        <v>236</v>
      </c>
      <c r="F265" s="9" t="s">
        <v>524</v>
      </c>
      <c r="G265" s="12">
        <v>6</v>
      </c>
      <c r="H265" s="9" t="s">
        <v>392</v>
      </c>
      <c r="I265" s="11" t="str">
        <f t="shared" si="4"/>
        <v>Gestor_SGA</v>
      </c>
    </row>
    <row r="266" spans="1:9" ht="15" customHeight="1" x14ac:dyDescent="0.3">
      <c r="A266" s="9" t="s">
        <v>234</v>
      </c>
      <c r="B266" s="9" t="s">
        <v>236</v>
      </c>
      <c r="C266" s="9"/>
      <c r="D266" s="12"/>
      <c r="E266" s="9" t="s">
        <v>236</v>
      </c>
      <c r="F266" s="9" t="s">
        <v>525</v>
      </c>
      <c r="G266" s="12">
        <v>14</v>
      </c>
      <c r="H266" s="9" t="s">
        <v>392</v>
      </c>
      <c r="I266" s="11" t="str">
        <f t="shared" si="4"/>
        <v>Diretor_Financeiro</v>
      </c>
    </row>
    <row r="267" spans="1:9" ht="15" customHeight="1" x14ac:dyDescent="0.3">
      <c r="A267" s="9" t="s">
        <v>237</v>
      </c>
      <c r="B267" s="9" t="s">
        <v>239</v>
      </c>
      <c r="C267" s="9" t="s">
        <v>81</v>
      </c>
      <c r="D267" s="12">
        <v>1</v>
      </c>
      <c r="E267" s="9" t="s">
        <v>239</v>
      </c>
      <c r="F267" s="9" t="s">
        <v>81</v>
      </c>
      <c r="G267" s="12">
        <v>1</v>
      </c>
      <c r="H267" s="9" t="s">
        <v>307</v>
      </c>
      <c r="I267" s="11" t="str">
        <f t="shared" si="4"/>
        <v>Codigo</v>
      </c>
    </row>
    <row r="268" spans="1:9" ht="15" customHeight="1" x14ac:dyDescent="0.3">
      <c r="A268" s="9" t="s">
        <v>237</v>
      </c>
      <c r="B268" s="9" t="s">
        <v>239</v>
      </c>
      <c r="C268" s="9" t="s">
        <v>526</v>
      </c>
      <c r="D268" s="12">
        <v>2</v>
      </c>
      <c r="E268" s="9" t="s">
        <v>239</v>
      </c>
      <c r="F268" s="9" t="s">
        <v>526</v>
      </c>
      <c r="G268" s="12">
        <v>2</v>
      </c>
      <c r="H268" s="9" t="s">
        <v>307</v>
      </c>
      <c r="I268" s="11" t="str">
        <f t="shared" si="4"/>
        <v>Titulo</v>
      </c>
    </row>
    <row r="269" spans="1:9" ht="15" customHeight="1" x14ac:dyDescent="0.3">
      <c r="A269" s="9" t="s">
        <v>237</v>
      </c>
      <c r="B269" s="9" t="s">
        <v>239</v>
      </c>
      <c r="C269" s="9" t="s">
        <v>361</v>
      </c>
      <c r="D269" s="12">
        <v>3</v>
      </c>
      <c r="E269" s="9" t="s">
        <v>239</v>
      </c>
      <c r="F269" s="9" t="s">
        <v>361</v>
      </c>
      <c r="G269" s="12">
        <v>3</v>
      </c>
      <c r="H269" s="9" t="s">
        <v>307</v>
      </c>
      <c r="I269" s="11" t="str">
        <f t="shared" si="4"/>
        <v>Tipo</v>
      </c>
    </row>
    <row r="270" spans="1:9" ht="15" customHeight="1" x14ac:dyDescent="0.3">
      <c r="A270" s="9" t="s">
        <v>237</v>
      </c>
      <c r="B270" s="9" t="s">
        <v>239</v>
      </c>
      <c r="C270" s="9" t="s">
        <v>527</v>
      </c>
      <c r="D270" s="12">
        <v>4</v>
      </c>
      <c r="E270" s="9" t="s">
        <v>239</v>
      </c>
      <c r="F270" s="9" t="s">
        <v>527</v>
      </c>
      <c r="G270" s="12">
        <v>4</v>
      </c>
      <c r="H270" s="9" t="s">
        <v>307</v>
      </c>
      <c r="I270" s="11" t="str">
        <f t="shared" si="4"/>
        <v>Versao</v>
      </c>
    </row>
    <row r="271" spans="1:9" ht="15" customHeight="1" x14ac:dyDescent="0.3">
      <c r="A271" s="9" t="s">
        <v>237</v>
      </c>
      <c r="B271" s="9" t="s">
        <v>239</v>
      </c>
      <c r="C271" s="9" t="s">
        <v>422</v>
      </c>
      <c r="D271" s="12">
        <v>5</v>
      </c>
      <c r="E271" s="9" t="s">
        <v>239</v>
      </c>
      <c r="F271" s="9" t="s">
        <v>422</v>
      </c>
      <c r="G271" s="12">
        <v>5</v>
      </c>
      <c r="H271" s="9" t="s">
        <v>307</v>
      </c>
      <c r="I271" s="11" t="str">
        <f t="shared" si="4"/>
        <v>Data_Aprovacao</v>
      </c>
    </row>
    <row r="272" spans="1:9" ht="15" customHeight="1" x14ac:dyDescent="0.3">
      <c r="A272" s="9" t="s">
        <v>237</v>
      </c>
      <c r="B272" s="9" t="s">
        <v>239</v>
      </c>
      <c r="C272" s="9" t="s">
        <v>447</v>
      </c>
      <c r="D272" s="12">
        <v>6</v>
      </c>
      <c r="E272" s="9" t="s">
        <v>239</v>
      </c>
      <c r="F272" s="9" t="s">
        <v>447</v>
      </c>
      <c r="G272" s="12">
        <v>6</v>
      </c>
      <c r="H272" s="9" t="s">
        <v>307</v>
      </c>
      <c r="I272" s="11" t="str">
        <f t="shared" si="4"/>
        <v>Aprovador</v>
      </c>
    </row>
    <row r="273" spans="1:9" ht="15" customHeight="1" x14ac:dyDescent="0.3">
      <c r="A273" s="9" t="s">
        <v>237</v>
      </c>
      <c r="B273" s="9" t="s">
        <v>239</v>
      </c>
      <c r="C273" s="9" t="s">
        <v>14</v>
      </c>
      <c r="D273" s="12">
        <v>7</v>
      </c>
      <c r="E273" s="9" t="s">
        <v>239</v>
      </c>
      <c r="F273" s="9" t="s">
        <v>14</v>
      </c>
      <c r="G273" s="12">
        <v>7</v>
      </c>
      <c r="H273" s="9" t="s">
        <v>307</v>
      </c>
      <c r="I273" s="11" t="str">
        <f t="shared" si="4"/>
        <v>Estado</v>
      </c>
    </row>
    <row r="274" spans="1:9" ht="15" customHeight="1" x14ac:dyDescent="0.3">
      <c r="A274" s="9" t="s">
        <v>237</v>
      </c>
      <c r="B274" s="9" t="s">
        <v>239</v>
      </c>
      <c r="C274" s="9" t="s">
        <v>528</v>
      </c>
      <c r="D274" s="12">
        <v>8</v>
      </c>
      <c r="E274" s="9" t="s">
        <v>239</v>
      </c>
      <c r="F274" s="9" t="s">
        <v>528</v>
      </c>
      <c r="G274" s="12">
        <v>9</v>
      </c>
      <c r="H274" s="9" t="s">
        <v>307</v>
      </c>
      <c r="I274" s="11" t="str">
        <f t="shared" si="4"/>
        <v>Localizacao</v>
      </c>
    </row>
    <row r="275" spans="1:9" ht="15" customHeight="1" x14ac:dyDescent="0.3">
      <c r="A275" s="9" t="s">
        <v>237</v>
      </c>
      <c r="B275" s="9" t="s">
        <v>239</v>
      </c>
      <c r="C275" s="9" t="s">
        <v>529</v>
      </c>
      <c r="D275" s="12">
        <v>9</v>
      </c>
      <c r="E275" s="9" t="s">
        <v>239</v>
      </c>
      <c r="F275" s="9" t="s">
        <v>529</v>
      </c>
      <c r="G275" s="12">
        <v>10</v>
      </c>
      <c r="H275" s="9" t="s">
        <v>307</v>
      </c>
      <c r="I275" s="11" t="str">
        <f t="shared" si="4"/>
        <v>Ponto_de_Uso</v>
      </c>
    </row>
    <row r="276" spans="1:9" ht="15" customHeight="1" x14ac:dyDescent="0.3">
      <c r="A276" s="9" t="s">
        <v>237</v>
      </c>
      <c r="B276" s="9" t="s">
        <v>239</v>
      </c>
      <c r="C276" s="9" t="s">
        <v>332</v>
      </c>
      <c r="D276" s="12">
        <v>10</v>
      </c>
      <c r="E276" s="9" t="s">
        <v>239</v>
      </c>
      <c r="F276" s="9" t="s">
        <v>332</v>
      </c>
      <c r="G276" s="12">
        <v>12</v>
      </c>
      <c r="H276" s="9" t="s">
        <v>307</v>
      </c>
      <c r="I276" s="11" t="str">
        <f t="shared" si="4"/>
        <v>Proxima_Revisao</v>
      </c>
    </row>
    <row r="277" spans="1:9" ht="15" customHeight="1" x14ac:dyDescent="0.3">
      <c r="A277" s="9" t="s">
        <v>237</v>
      </c>
      <c r="B277" s="9" t="s">
        <v>239</v>
      </c>
      <c r="C277" s="9" t="s">
        <v>452</v>
      </c>
      <c r="D277" s="12">
        <v>11</v>
      </c>
      <c r="E277" s="9" t="s">
        <v>239</v>
      </c>
      <c r="F277" s="9" t="s">
        <v>452</v>
      </c>
      <c r="G277" s="12">
        <v>13</v>
      </c>
      <c r="H277" s="9" t="s">
        <v>307</v>
      </c>
      <c r="I277" s="11" t="str">
        <f t="shared" si="4"/>
        <v>Alerta</v>
      </c>
    </row>
    <row r="278" spans="1:9" ht="15" customHeight="1" x14ac:dyDescent="0.3">
      <c r="A278" s="9" t="s">
        <v>237</v>
      </c>
      <c r="B278" s="9" t="s">
        <v>239</v>
      </c>
      <c r="C278" s="9" t="s">
        <v>342</v>
      </c>
      <c r="D278" s="12">
        <v>12</v>
      </c>
      <c r="E278" s="9" t="s">
        <v>239</v>
      </c>
      <c r="F278" s="9"/>
      <c r="G278" s="12"/>
      <c r="H278" s="9" t="s">
        <v>336</v>
      </c>
      <c r="I278" s="11" t="str">
        <f t="shared" si="4"/>
        <v>Processo</v>
      </c>
    </row>
    <row r="279" spans="1:9" ht="15" customHeight="1" x14ac:dyDescent="0.3">
      <c r="A279" s="9" t="s">
        <v>237</v>
      </c>
      <c r="B279" s="9" t="s">
        <v>239</v>
      </c>
      <c r="C279" s="9" t="s">
        <v>530</v>
      </c>
      <c r="D279" s="12">
        <v>13</v>
      </c>
      <c r="E279" s="9" t="s">
        <v>239</v>
      </c>
      <c r="F279" s="9"/>
      <c r="G279" s="12"/>
      <c r="H279" s="9" t="s">
        <v>336</v>
      </c>
      <c r="I279" s="11" t="str">
        <f t="shared" si="4"/>
        <v>Elaborado</v>
      </c>
    </row>
    <row r="280" spans="1:9" ht="15" customHeight="1" x14ac:dyDescent="0.3">
      <c r="A280" s="9" t="s">
        <v>237</v>
      </c>
      <c r="B280" s="9" t="s">
        <v>239</v>
      </c>
      <c r="C280" s="9" t="s">
        <v>531</v>
      </c>
      <c r="D280" s="12">
        <v>14</v>
      </c>
      <c r="E280" s="9" t="s">
        <v>239</v>
      </c>
      <c r="F280" s="9"/>
      <c r="G280" s="12"/>
      <c r="H280" s="9" t="s">
        <v>336</v>
      </c>
      <c r="I280" s="11" t="str">
        <f t="shared" si="4"/>
        <v>Periodicidade_Meses</v>
      </c>
    </row>
    <row r="281" spans="1:9" ht="15" customHeight="1" x14ac:dyDescent="0.3">
      <c r="A281" s="9" t="s">
        <v>237</v>
      </c>
      <c r="B281" s="9" t="s">
        <v>239</v>
      </c>
      <c r="C281" s="9" t="s">
        <v>532</v>
      </c>
      <c r="D281" s="12">
        <v>15</v>
      </c>
      <c r="E281" s="9" t="s">
        <v>239</v>
      </c>
      <c r="F281" s="9"/>
      <c r="G281" s="12"/>
      <c r="H281" s="9" t="s">
        <v>336</v>
      </c>
      <c r="I281" s="11" t="str">
        <f t="shared" si="4"/>
        <v>Exigido_ISO</v>
      </c>
    </row>
    <row r="282" spans="1:9" ht="15" customHeight="1" x14ac:dyDescent="0.3">
      <c r="A282" s="9" t="s">
        <v>237</v>
      </c>
      <c r="B282" s="9" t="s">
        <v>239</v>
      </c>
      <c r="C282" s="9"/>
      <c r="D282" s="12"/>
      <c r="E282" s="9" t="s">
        <v>239</v>
      </c>
      <c r="F282" s="9" t="s">
        <v>533</v>
      </c>
      <c r="G282" s="12">
        <v>8</v>
      </c>
      <c r="H282" s="9" t="s">
        <v>392</v>
      </c>
      <c r="I282" s="11" t="str">
        <f t="shared" si="4"/>
        <v>Substitui</v>
      </c>
    </row>
    <row r="283" spans="1:9" ht="15" customHeight="1" x14ac:dyDescent="0.3">
      <c r="A283" s="9" t="s">
        <v>237</v>
      </c>
      <c r="B283" s="9" t="s">
        <v>239</v>
      </c>
      <c r="C283" s="9"/>
      <c r="D283" s="12"/>
      <c r="E283" s="9" t="s">
        <v>239</v>
      </c>
      <c r="F283" s="9" t="s">
        <v>500</v>
      </c>
      <c r="G283" s="12">
        <v>11</v>
      </c>
      <c r="H283" s="9" t="s">
        <v>392</v>
      </c>
      <c r="I283" s="11" t="str">
        <f t="shared" si="4"/>
        <v>Clausula</v>
      </c>
    </row>
    <row r="284" spans="1:9" ht="15" customHeight="1" x14ac:dyDescent="0.3">
      <c r="A284" s="9" t="s">
        <v>241</v>
      </c>
      <c r="B284" s="9" t="s">
        <v>243</v>
      </c>
      <c r="C284" s="9" t="s">
        <v>534</v>
      </c>
      <c r="D284" s="12">
        <v>1</v>
      </c>
      <c r="E284" s="9" t="s">
        <v>243</v>
      </c>
      <c r="F284" s="9" t="s">
        <v>534</v>
      </c>
      <c r="G284" s="12">
        <v>1</v>
      </c>
      <c r="H284" s="9" t="s">
        <v>307</v>
      </c>
      <c r="I284" s="11" t="str">
        <f t="shared" si="4"/>
        <v>ID_Comunicacao</v>
      </c>
    </row>
    <row r="285" spans="1:9" ht="15" customHeight="1" x14ac:dyDescent="0.3">
      <c r="A285" s="9" t="s">
        <v>241</v>
      </c>
      <c r="B285" s="9" t="s">
        <v>243</v>
      </c>
      <c r="C285" s="9" t="s">
        <v>361</v>
      </c>
      <c r="D285" s="12">
        <v>2</v>
      </c>
      <c r="E285" s="9" t="s">
        <v>243</v>
      </c>
      <c r="F285" s="9" t="s">
        <v>361</v>
      </c>
      <c r="G285" s="12">
        <v>2</v>
      </c>
      <c r="H285" s="9" t="s">
        <v>307</v>
      </c>
      <c r="I285" s="11" t="str">
        <f t="shared" si="4"/>
        <v>Tipo</v>
      </c>
    </row>
    <row r="286" spans="1:9" ht="15" customHeight="1" x14ac:dyDescent="0.3">
      <c r="A286" s="9" t="s">
        <v>241</v>
      </c>
      <c r="B286" s="9" t="s">
        <v>243</v>
      </c>
      <c r="C286" s="9" t="s">
        <v>535</v>
      </c>
      <c r="D286" s="12">
        <v>3</v>
      </c>
      <c r="E286" s="9" t="s">
        <v>243</v>
      </c>
      <c r="F286" s="9" t="s">
        <v>535</v>
      </c>
      <c r="G286" s="12">
        <v>4</v>
      </c>
      <c r="H286" s="9" t="s">
        <v>307</v>
      </c>
      <c r="I286" s="11" t="str">
        <f t="shared" si="4"/>
        <v>O_Que_Mensagem</v>
      </c>
    </row>
    <row r="287" spans="1:9" ht="15" customHeight="1" x14ac:dyDescent="0.3">
      <c r="A287" s="9" t="s">
        <v>241</v>
      </c>
      <c r="B287" s="9" t="s">
        <v>243</v>
      </c>
      <c r="C287" s="9" t="s">
        <v>536</v>
      </c>
      <c r="D287" s="12">
        <v>4</v>
      </c>
      <c r="E287" s="9" t="s">
        <v>243</v>
      </c>
      <c r="F287" s="9" t="s">
        <v>536</v>
      </c>
      <c r="G287" s="12">
        <v>5</v>
      </c>
      <c r="H287" s="9" t="s">
        <v>307</v>
      </c>
      <c r="I287" s="11" t="str">
        <f t="shared" si="4"/>
        <v>A_Quem_Publico</v>
      </c>
    </row>
    <row r="288" spans="1:9" ht="15" customHeight="1" x14ac:dyDescent="0.3">
      <c r="A288" s="9" t="s">
        <v>241</v>
      </c>
      <c r="B288" s="9" t="s">
        <v>243</v>
      </c>
      <c r="C288" s="9" t="s">
        <v>537</v>
      </c>
      <c r="D288" s="12">
        <v>5</v>
      </c>
      <c r="E288" s="9" t="s">
        <v>243</v>
      </c>
      <c r="F288" s="9" t="s">
        <v>537</v>
      </c>
      <c r="G288" s="12">
        <v>6</v>
      </c>
      <c r="H288" s="9" t="s">
        <v>307</v>
      </c>
      <c r="I288" s="11" t="str">
        <f t="shared" si="4"/>
        <v>Quando_Momento</v>
      </c>
    </row>
    <row r="289" spans="1:9" ht="15" customHeight="1" x14ac:dyDescent="0.3">
      <c r="A289" s="9" t="s">
        <v>241</v>
      </c>
      <c r="B289" s="9" t="s">
        <v>243</v>
      </c>
      <c r="C289" s="9" t="s">
        <v>538</v>
      </c>
      <c r="D289" s="12">
        <v>6</v>
      </c>
      <c r="E289" s="9" t="s">
        <v>243</v>
      </c>
      <c r="F289" s="9" t="s">
        <v>538</v>
      </c>
      <c r="G289" s="12">
        <v>7</v>
      </c>
      <c r="H289" s="9" t="s">
        <v>307</v>
      </c>
      <c r="I289" s="11" t="str">
        <f t="shared" si="4"/>
        <v>Como_Canal</v>
      </c>
    </row>
    <row r="290" spans="1:9" ht="15" customHeight="1" x14ac:dyDescent="0.3">
      <c r="A290" s="9" t="s">
        <v>241</v>
      </c>
      <c r="B290" s="9" t="s">
        <v>243</v>
      </c>
      <c r="C290" s="9" t="s">
        <v>385</v>
      </c>
      <c r="D290" s="12">
        <v>7</v>
      </c>
      <c r="E290" s="9" t="s">
        <v>243</v>
      </c>
      <c r="F290" s="9" t="s">
        <v>385</v>
      </c>
      <c r="G290" s="12">
        <v>9</v>
      </c>
      <c r="H290" s="9" t="s">
        <v>307</v>
      </c>
      <c r="I290" s="11" t="str">
        <f t="shared" si="4"/>
        <v>Responsavel</v>
      </c>
    </row>
    <row r="291" spans="1:9" ht="15" customHeight="1" x14ac:dyDescent="0.3">
      <c r="A291" s="9" t="s">
        <v>241</v>
      </c>
      <c r="B291" s="9" t="s">
        <v>243</v>
      </c>
      <c r="C291" s="9"/>
      <c r="D291" s="12"/>
      <c r="E291" s="9" t="s">
        <v>243</v>
      </c>
      <c r="F291" s="9" t="s">
        <v>539</v>
      </c>
      <c r="G291" s="12">
        <v>3</v>
      </c>
      <c r="H291" s="9" t="s">
        <v>392</v>
      </c>
      <c r="I291" s="11" t="str">
        <f t="shared" si="4"/>
        <v>Cenario</v>
      </c>
    </row>
    <row r="292" spans="1:9" ht="15" customHeight="1" x14ac:dyDescent="0.3">
      <c r="A292" s="9" t="s">
        <v>241</v>
      </c>
      <c r="B292" s="9" t="s">
        <v>243</v>
      </c>
      <c r="C292" s="9"/>
      <c r="D292" s="12"/>
      <c r="E292" s="9" t="s">
        <v>243</v>
      </c>
      <c r="F292" s="9" t="s">
        <v>540</v>
      </c>
      <c r="G292" s="12">
        <v>8</v>
      </c>
      <c r="H292" s="9" t="s">
        <v>392</v>
      </c>
      <c r="I292" s="11" t="str">
        <f t="shared" si="4"/>
        <v>Porque_Objetivo</v>
      </c>
    </row>
    <row r="293" spans="1:9" ht="15" customHeight="1" x14ac:dyDescent="0.3">
      <c r="A293" s="9" t="s">
        <v>241</v>
      </c>
      <c r="B293" s="9" t="s">
        <v>243</v>
      </c>
      <c r="C293" s="9"/>
      <c r="D293" s="12"/>
      <c r="E293" s="9" t="s">
        <v>243</v>
      </c>
      <c r="F293" s="9" t="s">
        <v>500</v>
      </c>
      <c r="G293" s="12">
        <v>10</v>
      </c>
      <c r="H293" s="9" t="s">
        <v>392</v>
      </c>
      <c r="I293" s="11" t="str">
        <f t="shared" si="4"/>
        <v>Clausula</v>
      </c>
    </row>
    <row r="294" spans="1:9" ht="15" customHeight="1" x14ac:dyDescent="0.3">
      <c r="A294" s="9" t="s">
        <v>241</v>
      </c>
      <c r="B294" s="9" t="s">
        <v>243</v>
      </c>
      <c r="C294" s="9"/>
      <c r="D294" s="12"/>
      <c r="E294" s="9" t="s">
        <v>243</v>
      </c>
      <c r="F294" s="9" t="s">
        <v>541</v>
      </c>
      <c r="G294" s="12">
        <v>11</v>
      </c>
      <c r="H294" s="9" t="s">
        <v>392</v>
      </c>
      <c r="I294" s="11" t="str">
        <f t="shared" si="4"/>
        <v>Participacao_Feedback</v>
      </c>
    </row>
    <row r="295" spans="1:9" ht="15" customHeight="1" x14ac:dyDescent="0.3">
      <c r="A295" s="9" t="s">
        <v>241</v>
      </c>
      <c r="B295" s="9" t="s">
        <v>243</v>
      </c>
      <c r="C295" s="9"/>
      <c r="D295" s="12"/>
      <c r="E295" s="9" t="s">
        <v>243</v>
      </c>
      <c r="F295" s="9" t="s">
        <v>339</v>
      </c>
      <c r="G295" s="12">
        <v>12</v>
      </c>
      <c r="H295" s="9" t="s">
        <v>392</v>
      </c>
      <c r="I295" s="11" t="str">
        <f t="shared" si="4"/>
        <v>Evidencia</v>
      </c>
    </row>
    <row r="296" spans="1:9" ht="15" customHeight="1" x14ac:dyDescent="0.3">
      <c r="A296" s="9" t="s">
        <v>241</v>
      </c>
      <c r="B296" s="9" t="s">
        <v>243</v>
      </c>
      <c r="C296" s="9"/>
      <c r="D296" s="12"/>
      <c r="E296" s="9" t="s">
        <v>243</v>
      </c>
      <c r="F296" s="9" t="s">
        <v>542</v>
      </c>
      <c r="G296" s="12">
        <v>13</v>
      </c>
      <c r="H296" s="9" t="s">
        <v>392</v>
      </c>
      <c r="I296" s="11" t="str">
        <f t="shared" si="4"/>
        <v>Data_Prevista</v>
      </c>
    </row>
    <row r="297" spans="1:9" ht="15" customHeight="1" x14ac:dyDescent="0.3">
      <c r="A297" s="9" t="s">
        <v>241</v>
      </c>
      <c r="B297" s="9" t="s">
        <v>243</v>
      </c>
      <c r="C297" s="9"/>
      <c r="D297" s="12"/>
      <c r="E297" s="9" t="s">
        <v>243</v>
      </c>
      <c r="F297" s="9" t="s">
        <v>543</v>
      </c>
      <c r="G297" s="12">
        <v>14</v>
      </c>
      <c r="H297" s="9" t="s">
        <v>392</v>
      </c>
      <c r="I297" s="11" t="str">
        <f t="shared" si="4"/>
        <v>Data_Realizada</v>
      </c>
    </row>
    <row r="298" spans="1:9" ht="15" customHeight="1" x14ac:dyDescent="0.3">
      <c r="A298" s="9" t="s">
        <v>241</v>
      </c>
      <c r="B298" s="9" t="s">
        <v>243</v>
      </c>
      <c r="C298" s="9"/>
      <c r="D298" s="12"/>
      <c r="E298" s="9" t="s">
        <v>243</v>
      </c>
      <c r="F298" s="9" t="s">
        <v>544</v>
      </c>
      <c r="G298" s="12">
        <v>15</v>
      </c>
      <c r="H298" s="9" t="s">
        <v>392</v>
      </c>
      <c r="I298" s="11" t="str">
        <f t="shared" si="4"/>
        <v>Alcance_Previsto</v>
      </c>
    </row>
    <row r="299" spans="1:9" ht="15" customHeight="1" x14ac:dyDescent="0.3">
      <c r="A299" s="9" t="s">
        <v>241</v>
      </c>
      <c r="B299" s="9" t="s">
        <v>243</v>
      </c>
      <c r="C299" s="9"/>
      <c r="D299" s="12"/>
      <c r="E299" s="9" t="s">
        <v>243</v>
      </c>
      <c r="F299" s="9" t="s">
        <v>545</v>
      </c>
      <c r="G299" s="12">
        <v>16</v>
      </c>
      <c r="H299" s="9" t="s">
        <v>392</v>
      </c>
      <c r="I299" s="11" t="str">
        <f t="shared" si="4"/>
        <v>Alcance_Real</v>
      </c>
    </row>
    <row r="300" spans="1:9" ht="15" customHeight="1" x14ac:dyDescent="0.3">
      <c r="A300" s="9" t="s">
        <v>241</v>
      </c>
      <c r="B300" s="9" t="s">
        <v>243</v>
      </c>
      <c r="C300" s="9"/>
      <c r="D300" s="12"/>
      <c r="E300" s="9" t="s">
        <v>243</v>
      </c>
      <c r="F300" s="9" t="s">
        <v>546</v>
      </c>
      <c r="G300" s="12">
        <v>17</v>
      </c>
      <c r="H300" s="9" t="s">
        <v>392</v>
      </c>
      <c r="I300" s="11" t="str">
        <f t="shared" si="4"/>
        <v>Taxa_Alcance</v>
      </c>
    </row>
    <row r="301" spans="1:9" ht="15" customHeight="1" x14ac:dyDescent="0.3">
      <c r="A301" s="9" t="s">
        <v>241</v>
      </c>
      <c r="B301" s="9" t="s">
        <v>243</v>
      </c>
      <c r="C301" s="9"/>
      <c r="D301" s="12"/>
      <c r="E301" s="9" t="s">
        <v>243</v>
      </c>
      <c r="F301" s="9" t="s">
        <v>14</v>
      </c>
      <c r="G301" s="12">
        <v>18</v>
      </c>
      <c r="H301" s="9" t="s">
        <v>392</v>
      </c>
      <c r="I301" s="11" t="str">
        <f t="shared" si="4"/>
        <v>Estado</v>
      </c>
    </row>
    <row r="302" spans="1:9" ht="15" customHeight="1" x14ac:dyDescent="0.3">
      <c r="A302" s="9" t="s">
        <v>241</v>
      </c>
      <c r="B302" s="9" t="s">
        <v>243</v>
      </c>
      <c r="C302" s="9"/>
      <c r="D302" s="12"/>
      <c r="E302" s="9" t="s">
        <v>243</v>
      </c>
      <c r="F302" s="9" t="s">
        <v>547</v>
      </c>
      <c r="G302" s="12">
        <v>19</v>
      </c>
      <c r="H302" s="9" t="s">
        <v>392</v>
      </c>
      <c r="I302" s="11" t="str">
        <f t="shared" si="4"/>
        <v>Selecionado_Atv_4_2</v>
      </c>
    </row>
    <row r="303" spans="1:9" ht="15" customHeight="1" x14ac:dyDescent="0.3">
      <c r="A303" s="9" t="s">
        <v>244</v>
      </c>
      <c r="B303" s="9" t="s">
        <v>246</v>
      </c>
      <c r="C303" s="9" t="s">
        <v>548</v>
      </c>
      <c r="D303" s="12">
        <v>1</v>
      </c>
      <c r="E303" s="9" t="s">
        <v>246</v>
      </c>
      <c r="F303" s="9" t="s">
        <v>548</v>
      </c>
      <c r="G303" s="12">
        <v>1</v>
      </c>
      <c r="H303" s="9" t="s">
        <v>307</v>
      </c>
      <c r="I303" s="11" t="str">
        <f t="shared" si="4"/>
        <v>ID_Equipamento</v>
      </c>
    </row>
    <row r="304" spans="1:9" ht="15" customHeight="1" x14ac:dyDescent="0.3">
      <c r="A304" s="9" t="s">
        <v>244</v>
      </c>
      <c r="B304" s="9" t="s">
        <v>246</v>
      </c>
      <c r="C304" s="9" t="s">
        <v>549</v>
      </c>
      <c r="D304" s="12">
        <v>2</v>
      </c>
      <c r="E304" s="9" t="s">
        <v>246</v>
      </c>
      <c r="F304" s="9"/>
      <c r="G304" s="12"/>
      <c r="H304" s="9" t="s">
        <v>336</v>
      </c>
      <c r="I304" s="11" t="str">
        <f t="shared" si="4"/>
        <v>Codigo_Interno</v>
      </c>
    </row>
    <row r="305" spans="1:9" ht="15" customHeight="1" x14ac:dyDescent="0.3">
      <c r="A305" s="9" t="s">
        <v>244</v>
      </c>
      <c r="B305" s="9" t="s">
        <v>246</v>
      </c>
      <c r="C305" s="9" t="s">
        <v>550</v>
      </c>
      <c r="D305" s="12">
        <v>3</v>
      </c>
      <c r="E305" s="9" t="s">
        <v>246</v>
      </c>
      <c r="F305" s="9" t="s">
        <v>550</v>
      </c>
      <c r="G305" s="12">
        <v>2</v>
      </c>
      <c r="H305" s="9" t="s">
        <v>307</v>
      </c>
      <c r="I305" s="11" t="str">
        <f t="shared" si="4"/>
        <v>Equipamento</v>
      </c>
    </row>
    <row r="306" spans="1:9" ht="15" customHeight="1" x14ac:dyDescent="0.3">
      <c r="A306" s="9" t="s">
        <v>244</v>
      </c>
      <c r="B306" s="9" t="s">
        <v>246</v>
      </c>
      <c r="C306" s="9" t="s">
        <v>551</v>
      </c>
      <c r="D306" s="12">
        <v>4</v>
      </c>
      <c r="E306" s="9" t="s">
        <v>246</v>
      </c>
      <c r="F306" s="9" t="s">
        <v>551</v>
      </c>
      <c r="G306" s="12">
        <v>4</v>
      </c>
      <c r="H306" s="9" t="s">
        <v>307</v>
      </c>
      <c r="I306" s="11" t="str">
        <f t="shared" si="4"/>
        <v>Tipo_Controlo</v>
      </c>
    </row>
    <row r="307" spans="1:9" ht="15" customHeight="1" x14ac:dyDescent="0.3">
      <c r="A307" s="9" t="s">
        <v>244</v>
      </c>
      <c r="B307" s="9" t="s">
        <v>246</v>
      </c>
      <c r="C307" s="9" t="s">
        <v>552</v>
      </c>
      <c r="D307" s="12">
        <v>5</v>
      </c>
      <c r="E307" s="9" t="s">
        <v>246</v>
      </c>
      <c r="F307" s="9"/>
      <c r="G307" s="12"/>
      <c r="H307" s="9" t="s">
        <v>336</v>
      </c>
      <c r="I307" s="11" t="str">
        <f t="shared" si="4"/>
        <v>Local</v>
      </c>
    </row>
    <row r="308" spans="1:9" ht="15" customHeight="1" x14ac:dyDescent="0.3">
      <c r="A308" s="9" t="s">
        <v>244</v>
      </c>
      <c r="B308" s="9" t="s">
        <v>246</v>
      </c>
      <c r="C308" s="9" t="s">
        <v>342</v>
      </c>
      <c r="D308" s="12">
        <v>6</v>
      </c>
      <c r="E308" s="9" t="s">
        <v>246</v>
      </c>
      <c r="F308" s="9"/>
      <c r="G308" s="12"/>
      <c r="H308" s="9" t="s">
        <v>336</v>
      </c>
      <c r="I308" s="11" t="str">
        <f t="shared" si="4"/>
        <v>Processo</v>
      </c>
    </row>
    <row r="309" spans="1:9" ht="15" customHeight="1" x14ac:dyDescent="0.3">
      <c r="A309" s="9" t="s">
        <v>244</v>
      </c>
      <c r="B309" s="9" t="s">
        <v>246</v>
      </c>
      <c r="C309" s="9" t="s">
        <v>553</v>
      </c>
      <c r="D309" s="12">
        <v>7</v>
      </c>
      <c r="E309" s="9" t="s">
        <v>246</v>
      </c>
      <c r="F309" s="9"/>
      <c r="G309" s="12"/>
      <c r="H309" s="9" t="s">
        <v>336</v>
      </c>
      <c r="I309" s="11" t="str">
        <f t="shared" si="4"/>
        <v>Caracteristica</v>
      </c>
    </row>
    <row r="310" spans="1:9" ht="15" customHeight="1" x14ac:dyDescent="0.3">
      <c r="A310" s="9" t="s">
        <v>244</v>
      </c>
      <c r="B310" s="9" t="s">
        <v>246</v>
      </c>
      <c r="C310" s="9" t="s">
        <v>554</v>
      </c>
      <c r="D310" s="12">
        <v>8</v>
      </c>
      <c r="E310" s="9" t="s">
        <v>246</v>
      </c>
      <c r="F310" s="9"/>
      <c r="G310" s="12"/>
      <c r="H310" s="9" t="s">
        <v>336</v>
      </c>
      <c r="I310" s="11" t="str">
        <f t="shared" si="4"/>
        <v>Tolerancia_Mais_Menos</v>
      </c>
    </row>
    <row r="311" spans="1:9" ht="15" customHeight="1" x14ac:dyDescent="0.3">
      <c r="A311" s="9" t="s">
        <v>244</v>
      </c>
      <c r="B311" s="9" t="s">
        <v>246</v>
      </c>
      <c r="C311" s="9" t="s">
        <v>382</v>
      </c>
      <c r="D311" s="12">
        <v>9</v>
      </c>
      <c r="E311" s="9" t="s">
        <v>246</v>
      </c>
      <c r="F311" s="9"/>
      <c r="G311" s="12"/>
      <c r="H311" s="9" t="s">
        <v>336</v>
      </c>
      <c r="I311" s="11" t="str">
        <f t="shared" si="4"/>
        <v>Unidade</v>
      </c>
    </row>
    <row r="312" spans="1:9" ht="15" customHeight="1" x14ac:dyDescent="0.3">
      <c r="A312" s="9" t="s">
        <v>244</v>
      </c>
      <c r="B312" s="9" t="s">
        <v>246</v>
      </c>
      <c r="C312" s="9" t="s">
        <v>555</v>
      </c>
      <c r="D312" s="12">
        <v>10</v>
      </c>
      <c r="E312" s="9" t="s">
        <v>246</v>
      </c>
      <c r="F312" s="9"/>
      <c r="G312" s="12"/>
      <c r="H312" s="9" t="s">
        <v>336</v>
      </c>
      <c r="I312" s="11" t="str">
        <f t="shared" si="4"/>
        <v>Resolucao</v>
      </c>
    </row>
    <row r="313" spans="1:9" ht="15" customHeight="1" x14ac:dyDescent="0.3">
      <c r="A313" s="9" t="s">
        <v>244</v>
      </c>
      <c r="B313" s="9" t="s">
        <v>246</v>
      </c>
      <c r="C313" s="9" t="s">
        <v>556</v>
      </c>
      <c r="D313" s="12">
        <v>11</v>
      </c>
      <c r="E313" s="9" t="s">
        <v>246</v>
      </c>
      <c r="F313" s="9"/>
      <c r="G313" s="12"/>
      <c r="H313" s="9" t="s">
        <v>336</v>
      </c>
      <c r="I313" s="11" t="str">
        <f t="shared" si="4"/>
        <v>EMA</v>
      </c>
    </row>
    <row r="314" spans="1:9" ht="15" customHeight="1" x14ac:dyDescent="0.3">
      <c r="A314" s="9" t="s">
        <v>244</v>
      </c>
      <c r="B314" s="9" t="s">
        <v>246</v>
      </c>
      <c r="C314" s="9" t="s">
        <v>531</v>
      </c>
      <c r="D314" s="12">
        <v>12</v>
      </c>
      <c r="E314" s="9" t="s">
        <v>246</v>
      </c>
      <c r="F314" s="9" t="s">
        <v>531</v>
      </c>
      <c r="G314" s="12">
        <v>6</v>
      </c>
      <c r="H314" s="9" t="s">
        <v>307</v>
      </c>
      <c r="I314" s="11" t="str">
        <f t="shared" si="4"/>
        <v>Periodicidade_Meses</v>
      </c>
    </row>
    <row r="315" spans="1:9" ht="15" customHeight="1" x14ac:dyDescent="0.3">
      <c r="A315" s="9" t="s">
        <v>244</v>
      </c>
      <c r="B315" s="9" t="s">
        <v>246</v>
      </c>
      <c r="C315" s="9" t="s">
        <v>557</v>
      </c>
      <c r="D315" s="12">
        <v>13</v>
      </c>
      <c r="E315" s="9" t="s">
        <v>246</v>
      </c>
      <c r="F315" s="9" t="s">
        <v>557</v>
      </c>
      <c r="G315" s="12">
        <v>5</v>
      </c>
      <c r="H315" s="9" t="s">
        <v>307</v>
      </c>
      <c r="I315" s="11" t="str">
        <f t="shared" si="4"/>
        <v>Ultima_Calibracao</v>
      </c>
    </row>
    <row r="316" spans="1:9" ht="15" customHeight="1" x14ac:dyDescent="0.3">
      <c r="A316" s="9" t="s">
        <v>244</v>
      </c>
      <c r="B316" s="9" t="s">
        <v>246</v>
      </c>
      <c r="C316" s="9" t="s">
        <v>480</v>
      </c>
      <c r="D316" s="12">
        <v>14</v>
      </c>
      <c r="E316" s="9" t="s">
        <v>246</v>
      </c>
      <c r="F316" s="9" t="s">
        <v>480</v>
      </c>
      <c r="G316" s="12">
        <v>7</v>
      </c>
      <c r="H316" s="9" t="s">
        <v>307</v>
      </c>
      <c r="I316" s="11" t="str">
        <f t="shared" si="4"/>
        <v>Entidade</v>
      </c>
    </row>
    <row r="317" spans="1:9" ht="15" customHeight="1" x14ac:dyDescent="0.3">
      <c r="A317" s="9" t="s">
        <v>244</v>
      </c>
      <c r="B317" s="9" t="s">
        <v>246</v>
      </c>
      <c r="C317" s="9" t="s">
        <v>558</v>
      </c>
      <c r="D317" s="12">
        <v>15</v>
      </c>
      <c r="E317" s="9" t="s">
        <v>246</v>
      </c>
      <c r="F317" s="9"/>
      <c r="G317" s="12"/>
      <c r="H317" s="9" t="s">
        <v>336</v>
      </c>
      <c r="I317" s="11" t="str">
        <f t="shared" si="4"/>
        <v>Estado_Uso</v>
      </c>
    </row>
    <row r="318" spans="1:9" ht="15" customHeight="1" x14ac:dyDescent="0.3">
      <c r="A318" s="9" t="s">
        <v>244</v>
      </c>
      <c r="B318" s="9" t="s">
        <v>246</v>
      </c>
      <c r="C318" s="9" t="s">
        <v>559</v>
      </c>
      <c r="D318" s="12">
        <v>16</v>
      </c>
      <c r="E318" s="9" t="s">
        <v>246</v>
      </c>
      <c r="F318" s="9" t="s">
        <v>559</v>
      </c>
      <c r="G318" s="12">
        <v>9</v>
      </c>
      <c r="H318" s="9" t="s">
        <v>307</v>
      </c>
      <c r="I318" s="11" t="str">
        <f t="shared" si="4"/>
        <v>Proxima_Calibracao</v>
      </c>
    </row>
    <row r="319" spans="1:9" ht="15" customHeight="1" x14ac:dyDescent="0.3">
      <c r="A319" s="9" t="s">
        <v>244</v>
      </c>
      <c r="B319" s="9" t="s">
        <v>246</v>
      </c>
      <c r="C319" s="9" t="s">
        <v>560</v>
      </c>
      <c r="D319" s="12">
        <v>17</v>
      </c>
      <c r="E319" s="9" t="s">
        <v>246</v>
      </c>
      <c r="F319" s="9"/>
      <c r="G319" s="12"/>
      <c r="H319" s="9" t="s">
        <v>336</v>
      </c>
      <c r="I319" s="11" t="str">
        <f t="shared" si="4"/>
        <v>Ultimo_Resultado</v>
      </c>
    </row>
    <row r="320" spans="1:9" ht="15" customHeight="1" x14ac:dyDescent="0.3">
      <c r="A320" s="9" t="s">
        <v>244</v>
      </c>
      <c r="B320" s="9" t="s">
        <v>246</v>
      </c>
      <c r="C320" s="9" t="s">
        <v>14</v>
      </c>
      <c r="D320" s="12">
        <v>18</v>
      </c>
      <c r="E320" s="9" t="s">
        <v>246</v>
      </c>
      <c r="F320" s="9" t="s">
        <v>14</v>
      </c>
      <c r="G320" s="12">
        <v>10</v>
      </c>
      <c r="H320" s="9" t="s">
        <v>307</v>
      </c>
      <c r="I320" s="11" t="str">
        <f t="shared" si="4"/>
        <v>Estado</v>
      </c>
    </row>
    <row r="321" spans="1:9" ht="15" customHeight="1" x14ac:dyDescent="0.3">
      <c r="A321" s="9" t="s">
        <v>244</v>
      </c>
      <c r="B321" s="9" t="s">
        <v>246</v>
      </c>
      <c r="C321" s="9" t="s">
        <v>561</v>
      </c>
      <c r="D321" s="12">
        <v>19</v>
      </c>
      <c r="E321" s="9" t="s">
        <v>246</v>
      </c>
      <c r="F321" s="9"/>
      <c r="G321" s="12"/>
      <c r="H321" s="9" t="s">
        <v>336</v>
      </c>
      <c r="I321" s="11" t="str">
        <f t="shared" si="4"/>
        <v>Rel_Tolerancia_EMA</v>
      </c>
    </row>
    <row r="322" spans="1:9" ht="15" customHeight="1" x14ac:dyDescent="0.3">
      <c r="A322" s="9" t="s">
        <v>244</v>
      </c>
      <c r="B322" s="9" t="s">
        <v>246</v>
      </c>
      <c r="C322" s="9"/>
      <c r="D322" s="12"/>
      <c r="E322" s="9" t="s">
        <v>246</v>
      </c>
      <c r="F322" s="9" t="s">
        <v>562</v>
      </c>
      <c r="G322" s="12">
        <v>3</v>
      </c>
      <c r="H322" s="9" t="s">
        <v>392</v>
      </c>
      <c r="I322" s="11" t="str">
        <f t="shared" si="4"/>
        <v>IDs_MED</v>
      </c>
    </row>
    <row r="323" spans="1:9" ht="15" customHeight="1" x14ac:dyDescent="0.3">
      <c r="A323" s="9" t="s">
        <v>244</v>
      </c>
      <c r="B323" s="9" t="s">
        <v>246</v>
      </c>
      <c r="C323" s="9"/>
      <c r="D323" s="12"/>
      <c r="E323" s="9" t="s">
        <v>246</v>
      </c>
      <c r="F323" s="9" t="s">
        <v>339</v>
      </c>
      <c r="G323" s="12">
        <v>8</v>
      </c>
      <c r="H323" s="9" t="s">
        <v>392</v>
      </c>
      <c r="I323" s="11" t="str">
        <f t="shared" si="4"/>
        <v>Evidencia</v>
      </c>
    </row>
    <row r="324" spans="1:9" ht="15" customHeight="1" x14ac:dyDescent="0.3">
      <c r="A324" s="9" t="s">
        <v>247</v>
      </c>
      <c r="B324" s="9" t="s">
        <v>249</v>
      </c>
      <c r="C324" s="9" t="s">
        <v>563</v>
      </c>
      <c r="D324" s="12">
        <v>1</v>
      </c>
      <c r="E324" s="9" t="s">
        <v>249</v>
      </c>
      <c r="F324" s="9" t="s">
        <v>563</v>
      </c>
      <c r="G324" s="12">
        <v>1</v>
      </c>
      <c r="H324" s="9" t="s">
        <v>307</v>
      </c>
      <c r="I324" s="11" t="str">
        <f t="shared" si="4"/>
        <v>ID_Fornecedor</v>
      </c>
    </row>
    <row r="325" spans="1:9" ht="15" customHeight="1" x14ac:dyDescent="0.3">
      <c r="A325" s="9" t="s">
        <v>247</v>
      </c>
      <c r="B325" s="9" t="s">
        <v>249</v>
      </c>
      <c r="C325" s="9" t="s">
        <v>380</v>
      </c>
      <c r="D325" s="12">
        <v>2</v>
      </c>
      <c r="E325" s="9" t="s">
        <v>249</v>
      </c>
      <c r="F325" s="9" t="s">
        <v>380</v>
      </c>
      <c r="G325" s="12">
        <v>2</v>
      </c>
      <c r="H325" s="9" t="s">
        <v>307</v>
      </c>
      <c r="I325" s="11" t="str">
        <f t="shared" ref="I325:I388" si="5">IF(A325="","",IF(F325&lt;&gt;"",F325,C325))</f>
        <v>Nome</v>
      </c>
    </row>
    <row r="326" spans="1:9" ht="15" customHeight="1" x14ac:dyDescent="0.3">
      <c r="A326" s="9" t="s">
        <v>247</v>
      </c>
      <c r="B326" s="9" t="s">
        <v>249</v>
      </c>
      <c r="C326" s="9" t="s">
        <v>564</v>
      </c>
      <c r="D326" s="12">
        <v>3</v>
      </c>
      <c r="E326" s="9" t="s">
        <v>249</v>
      </c>
      <c r="F326" s="9" t="s">
        <v>564</v>
      </c>
      <c r="G326" s="12">
        <v>3</v>
      </c>
      <c r="H326" s="9" t="s">
        <v>307</v>
      </c>
      <c r="I326" s="11" t="str">
        <f t="shared" si="5"/>
        <v>Pais</v>
      </c>
    </row>
    <row r="327" spans="1:9" ht="15" customHeight="1" x14ac:dyDescent="0.3">
      <c r="A327" s="9" t="s">
        <v>247</v>
      </c>
      <c r="B327" s="9" t="s">
        <v>249</v>
      </c>
      <c r="C327" s="9" t="s">
        <v>565</v>
      </c>
      <c r="D327" s="12">
        <v>4</v>
      </c>
      <c r="E327" s="9" t="s">
        <v>249</v>
      </c>
      <c r="F327" s="9" t="s">
        <v>565</v>
      </c>
      <c r="G327" s="12">
        <v>4</v>
      </c>
      <c r="H327" s="9" t="s">
        <v>307</v>
      </c>
      <c r="I327" s="11" t="str">
        <f t="shared" si="5"/>
        <v>Materiais</v>
      </c>
    </row>
    <row r="328" spans="1:9" ht="15" customHeight="1" x14ac:dyDescent="0.3">
      <c r="A328" s="9" t="s">
        <v>247</v>
      </c>
      <c r="B328" s="9" t="s">
        <v>249</v>
      </c>
      <c r="C328" s="9" t="s">
        <v>361</v>
      </c>
      <c r="D328" s="12">
        <v>5</v>
      </c>
      <c r="E328" s="9" t="s">
        <v>249</v>
      </c>
      <c r="F328" s="9" t="s">
        <v>361</v>
      </c>
      <c r="G328" s="12">
        <v>5</v>
      </c>
      <c r="H328" s="9" t="s">
        <v>307</v>
      </c>
      <c r="I328" s="11" t="str">
        <f t="shared" si="5"/>
        <v>Tipo</v>
      </c>
    </row>
    <row r="329" spans="1:9" ht="15" customHeight="1" x14ac:dyDescent="0.3">
      <c r="A329" s="9" t="s">
        <v>247</v>
      </c>
      <c r="B329" s="9" t="s">
        <v>249</v>
      </c>
      <c r="C329" s="9" t="s">
        <v>566</v>
      </c>
      <c r="D329" s="12">
        <v>6</v>
      </c>
      <c r="E329" s="9" t="s">
        <v>249</v>
      </c>
      <c r="F329" s="9"/>
      <c r="G329" s="12"/>
      <c r="H329" s="9" t="s">
        <v>336</v>
      </c>
      <c r="I329" s="11" t="str">
        <f t="shared" si="5"/>
        <v>Controlo_841</v>
      </c>
    </row>
    <row r="330" spans="1:9" ht="15" customHeight="1" x14ac:dyDescent="0.3">
      <c r="A330" s="9" t="s">
        <v>247</v>
      </c>
      <c r="B330" s="9" t="s">
        <v>249</v>
      </c>
      <c r="C330" s="9" t="s">
        <v>551</v>
      </c>
      <c r="D330" s="12">
        <v>7</v>
      </c>
      <c r="E330" s="9" t="s">
        <v>249</v>
      </c>
      <c r="F330" s="9" t="s">
        <v>551</v>
      </c>
      <c r="G330" s="12">
        <v>20</v>
      </c>
      <c r="H330" s="9" t="s">
        <v>307</v>
      </c>
      <c r="I330" s="11" t="str">
        <f t="shared" si="5"/>
        <v>Tipo_Controlo</v>
      </c>
    </row>
    <row r="331" spans="1:9" ht="15" customHeight="1" x14ac:dyDescent="0.3">
      <c r="A331" s="9" t="s">
        <v>247</v>
      </c>
      <c r="B331" s="9" t="s">
        <v>249</v>
      </c>
      <c r="C331" s="9" t="s">
        <v>567</v>
      </c>
      <c r="D331" s="12">
        <v>8</v>
      </c>
      <c r="E331" s="9" t="s">
        <v>249</v>
      </c>
      <c r="F331" s="9" t="s">
        <v>567</v>
      </c>
      <c r="G331" s="12">
        <v>21</v>
      </c>
      <c r="H331" s="9" t="s">
        <v>307</v>
      </c>
      <c r="I331" s="11" t="str">
        <f t="shared" si="5"/>
        <v>Extensao_Controlo</v>
      </c>
    </row>
    <row r="332" spans="1:9" ht="15" customHeight="1" x14ac:dyDescent="0.3">
      <c r="A332" s="9" t="s">
        <v>247</v>
      </c>
      <c r="B332" s="9" t="s">
        <v>249</v>
      </c>
      <c r="C332" s="9" t="s">
        <v>568</v>
      </c>
      <c r="D332" s="12">
        <v>9</v>
      </c>
      <c r="E332" s="9" t="s">
        <v>249</v>
      </c>
      <c r="F332" s="9"/>
      <c r="G332" s="12"/>
      <c r="H332" s="9" t="s">
        <v>336</v>
      </c>
      <c r="I332" s="11" t="str">
        <f t="shared" si="5"/>
        <v>Certificacao</v>
      </c>
    </row>
    <row r="333" spans="1:9" ht="15" customHeight="1" x14ac:dyDescent="0.3">
      <c r="A333" s="9" t="s">
        <v>247</v>
      </c>
      <c r="B333" s="9" t="s">
        <v>249</v>
      </c>
      <c r="C333" s="9" t="s">
        <v>569</v>
      </c>
      <c r="D333" s="12">
        <v>10</v>
      </c>
      <c r="E333" s="9" t="s">
        <v>249</v>
      </c>
      <c r="F333" s="9" t="s">
        <v>569</v>
      </c>
      <c r="G333" s="12">
        <v>6</v>
      </c>
      <c r="H333" s="9" t="s">
        <v>307</v>
      </c>
      <c r="I333" s="11" t="str">
        <f t="shared" si="5"/>
        <v>Tipo_Contrato</v>
      </c>
    </row>
    <row r="334" spans="1:9" ht="15" customHeight="1" x14ac:dyDescent="0.3">
      <c r="A334" s="9" t="s">
        <v>247</v>
      </c>
      <c r="B334" s="9" t="s">
        <v>249</v>
      </c>
      <c r="C334" s="9" t="s">
        <v>570</v>
      </c>
      <c r="D334" s="12">
        <v>11</v>
      </c>
      <c r="E334" s="9" t="s">
        <v>249</v>
      </c>
      <c r="F334" s="9" t="s">
        <v>570</v>
      </c>
      <c r="G334" s="12">
        <v>7</v>
      </c>
      <c r="H334" s="9" t="s">
        <v>307</v>
      </c>
      <c r="I334" s="11" t="str">
        <f t="shared" si="5"/>
        <v>Anos_Fornecedor</v>
      </c>
    </row>
    <row r="335" spans="1:9" ht="15" customHeight="1" x14ac:dyDescent="0.3">
      <c r="A335" s="9" t="s">
        <v>247</v>
      </c>
      <c r="B335" s="9" t="s">
        <v>249</v>
      </c>
      <c r="C335" s="9" t="s">
        <v>571</v>
      </c>
      <c r="D335" s="12">
        <v>12</v>
      </c>
      <c r="E335" s="9" t="s">
        <v>249</v>
      </c>
      <c r="F335" s="9"/>
      <c r="G335" s="12"/>
      <c r="H335" s="9" t="s">
        <v>336</v>
      </c>
      <c r="I335" s="11" t="str">
        <f t="shared" si="5"/>
        <v>Estado_Aprovacao</v>
      </c>
    </row>
    <row r="336" spans="1:9" ht="15" customHeight="1" x14ac:dyDescent="0.3">
      <c r="A336" s="9" t="s">
        <v>247</v>
      </c>
      <c r="B336" s="9" t="s">
        <v>249</v>
      </c>
      <c r="C336" s="9" t="s">
        <v>422</v>
      </c>
      <c r="D336" s="12">
        <v>13</v>
      </c>
      <c r="E336" s="9" t="s">
        <v>249</v>
      </c>
      <c r="F336" s="9" t="s">
        <v>331</v>
      </c>
      <c r="G336" s="12">
        <v>17</v>
      </c>
      <c r="H336" s="9" t="s">
        <v>315</v>
      </c>
      <c r="I336" s="11" t="str">
        <f t="shared" si="5"/>
        <v>Data_Avaliacao</v>
      </c>
    </row>
    <row r="337" spans="1:9" ht="15" customHeight="1" x14ac:dyDescent="0.3">
      <c r="A337" s="9" t="s">
        <v>247</v>
      </c>
      <c r="B337" s="9" t="s">
        <v>249</v>
      </c>
      <c r="C337" s="9" t="s">
        <v>572</v>
      </c>
      <c r="D337" s="12">
        <v>14</v>
      </c>
      <c r="E337" s="9" t="s">
        <v>249</v>
      </c>
      <c r="F337" s="9" t="s">
        <v>572</v>
      </c>
      <c r="G337" s="12">
        <v>14</v>
      </c>
      <c r="H337" s="9" t="s">
        <v>307</v>
      </c>
      <c r="I337" s="11" t="str">
        <f t="shared" si="5"/>
        <v>Classe</v>
      </c>
    </row>
    <row r="338" spans="1:9" ht="15" customHeight="1" x14ac:dyDescent="0.3">
      <c r="A338" s="9" t="s">
        <v>247</v>
      </c>
      <c r="B338" s="9" t="s">
        <v>249</v>
      </c>
      <c r="C338" s="9" t="s">
        <v>573</v>
      </c>
      <c r="D338" s="12">
        <v>15</v>
      </c>
      <c r="E338" s="9" t="s">
        <v>249</v>
      </c>
      <c r="F338" s="9" t="s">
        <v>573</v>
      </c>
      <c r="G338" s="12">
        <v>15</v>
      </c>
      <c r="H338" s="9" t="s">
        <v>307</v>
      </c>
      <c r="I338" s="11" t="str">
        <f t="shared" si="5"/>
        <v>Decisao</v>
      </c>
    </row>
    <row r="339" spans="1:9" ht="15" customHeight="1" x14ac:dyDescent="0.3">
      <c r="A339" s="9" t="s">
        <v>247</v>
      </c>
      <c r="B339" s="9" t="s">
        <v>249</v>
      </c>
      <c r="C339" s="9" t="s">
        <v>574</v>
      </c>
      <c r="D339" s="12">
        <v>16</v>
      </c>
      <c r="E339" s="9" t="s">
        <v>249</v>
      </c>
      <c r="F339" s="9"/>
      <c r="G339" s="12"/>
      <c r="H339" s="9" t="s">
        <v>336</v>
      </c>
      <c r="I339" s="11" t="str">
        <f t="shared" si="5"/>
        <v>Coerencia</v>
      </c>
    </row>
    <row r="340" spans="1:9" ht="15" customHeight="1" x14ac:dyDescent="0.3">
      <c r="A340" s="9" t="s">
        <v>247</v>
      </c>
      <c r="B340" s="9" t="s">
        <v>249</v>
      </c>
      <c r="C340" s="9"/>
      <c r="D340" s="12"/>
      <c r="E340" s="9" t="s">
        <v>249</v>
      </c>
      <c r="F340" s="9" t="s">
        <v>575</v>
      </c>
      <c r="G340" s="12">
        <v>8</v>
      </c>
      <c r="H340" s="9" t="s">
        <v>392</v>
      </c>
      <c r="I340" s="11" t="str">
        <f t="shared" si="5"/>
        <v>Criticidade</v>
      </c>
    </row>
    <row r="341" spans="1:9" ht="15" customHeight="1" x14ac:dyDescent="0.3">
      <c r="A341" s="9" t="s">
        <v>247</v>
      </c>
      <c r="B341" s="9" t="s">
        <v>249</v>
      </c>
      <c r="C341" s="9"/>
      <c r="D341" s="12"/>
      <c r="E341" s="9" t="s">
        <v>249</v>
      </c>
      <c r="F341" s="9" t="s">
        <v>576</v>
      </c>
      <c r="G341" s="12">
        <v>9</v>
      </c>
      <c r="H341" s="9" t="s">
        <v>392</v>
      </c>
      <c r="I341" s="11" t="str">
        <f t="shared" si="5"/>
        <v>Distancia_km</v>
      </c>
    </row>
    <row r="342" spans="1:9" ht="15" customHeight="1" x14ac:dyDescent="0.3">
      <c r="A342" s="9" t="s">
        <v>247</v>
      </c>
      <c r="B342" s="9" t="s">
        <v>249</v>
      </c>
      <c r="C342" s="9"/>
      <c r="D342" s="12"/>
      <c r="E342" s="9" t="s">
        <v>249</v>
      </c>
      <c r="F342" s="9" t="s">
        <v>577</v>
      </c>
      <c r="G342" s="12">
        <v>10</v>
      </c>
      <c r="H342" s="9" t="s">
        <v>392</v>
      </c>
      <c r="I342" s="11" t="str">
        <f t="shared" si="5"/>
        <v>Modo_Transporte</v>
      </c>
    </row>
    <row r="343" spans="1:9" ht="15" customHeight="1" x14ac:dyDescent="0.3">
      <c r="A343" s="9" t="s">
        <v>247</v>
      </c>
      <c r="B343" s="9" t="s">
        <v>249</v>
      </c>
      <c r="C343" s="9"/>
      <c r="D343" s="12"/>
      <c r="E343" s="9" t="s">
        <v>249</v>
      </c>
      <c r="F343" s="9" t="s">
        <v>578</v>
      </c>
      <c r="G343" s="12">
        <v>11</v>
      </c>
      <c r="H343" s="9" t="s">
        <v>392</v>
      </c>
      <c r="I343" s="11" t="str">
        <f t="shared" si="5"/>
        <v>Volume_t_ano</v>
      </c>
    </row>
    <row r="344" spans="1:9" ht="15" customHeight="1" x14ac:dyDescent="0.3">
      <c r="A344" s="9" t="s">
        <v>247</v>
      </c>
      <c r="B344" s="9" t="s">
        <v>249</v>
      </c>
      <c r="C344" s="9"/>
      <c r="D344" s="12"/>
      <c r="E344" s="9" t="s">
        <v>249</v>
      </c>
      <c r="F344" s="9" t="s">
        <v>579</v>
      </c>
      <c r="G344" s="12">
        <v>12</v>
      </c>
      <c r="H344" s="9" t="s">
        <v>392</v>
      </c>
      <c r="I344" s="11" t="str">
        <f t="shared" si="5"/>
        <v>tCO2e_Transporte_Est</v>
      </c>
    </row>
    <row r="345" spans="1:9" ht="15" customHeight="1" x14ac:dyDescent="0.3">
      <c r="A345" s="9" t="s">
        <v>247</v>
      </c>
      <c r="B345" s="9" t="s">
        <v>249</v>
      </c>
      <c r="C345" s="9"/>
      <c r="D345" s="12"/>
      <c r="E345" s="9" t="s">
        <v>249</v>
      </c>
      <c r="F345" s="9" t="s">
        <v>580</v>
      </c>
      <c r="G345" s="12">
        <v>13</v>
      </c>
      <c r="H345" s="9" t="s">
        <v>392</v>
      </c>
      <c r="I345" s="11" t="str">
        <f t="shared" si="5"/>
        <v>Pontuacao</v>
      </c>
    </row>
    <row r="346" spans="1:9" ht="15" customHeight="1" x14ac:dyDescent="0.3">
      <c r="A346" s="9" t="s">
        <v>247</v>
      </c>
      <c r="B346" s="9" t="s">
        <v>249</v>
      </c>
      <c r="C346" s="9"/>
      <c r="D346" s="12"/>
      <c r="E346" s="9" t="s">
        <v>249</v>
      </c>
      <c r="F346" s="9" t="s">
        <v>581</v>
      </c>
      <c r="G346" s="12">
        <v>16</v>
      </c>
      <c r="H346" s="9" t="s">
        <v>392</v>
      </c>
      <c r="I346" s="11" t="str">
        <f t="shared" si="5"/>
        <v>Criterio_Mais_Fraco</v>
      </c>
    </row>
    <row r="347" spans="1:9" ht="15" customHeight="1" x14ac:dyDescent="0.3">
      <c r="A347" s="9" t="s">
        <v>247</v>
      </c>
      <c r="B347" s="9" t="s">
        <v>249</v>
      </c>
      <c r="C347" s="9"/>
      <c r="D347" s="12"/>
      <c r="E347" s="9" t="s">
        <v>249</v>
      </c>
      <c r="F347" s="9" t="s">
        <v>582</v>
      </c>
      <c r="G347" s="12">
        <v>18</v>
      </c>
      <c r="H347" s="9" t="s">
        <v>392</v>
      </c>
      <c r="I347" s="11" t="str">
        <f t="shared" si="5"/>
        <v>Proxima_Avaliacao</v>
      </c>
    </row>
    <row r="348" spans="1:9" ht="15" customHeight="1" x14ac:dyDescent="0.3">
      <c r="A348" s="9" t="s">
        <v>247</v>
      </c>
      <c r="B348" s="9" t="s">
        <v>249</v>
      </c>
      <c r="C348" s="9"/>
      <c r="D348" s="12"/>
      <c r="E348" s="9" t="s">
        <v>249</v>
      </c>
      <c r="F348" s="9" t="s">
        <v>430</v>
      </c>
      <c r="G348" s="12">
        <v>19</v>
      </c>
      <c r="H348" s="9" t="s">
        <v>392</v>
      </c>
      <c r="I348" s="11" t="str">
        <f t="shared" si="5"/>
        <v>IDs_Aspetos</v>
      </c>
    </row>
    <row r="349" spans="1:9" ht="15" customHeight="1" x14ac:dyDescent="0.3">
      <c r="A349" s="9" t="s">
        <v>251</v>
      </c>
      <c r="B349" s="9" t="s">
        <v>253</v>
      </c>
      <c r="C349" s="9" t="s">
        <v>583</v>
      </c>
      <c r="D349" s="12">
        <v>1</v>
      </c>
      <c r="E349" s="9" t="s">
        <v>255</v>
      </c>
      <c r="F349" s="9" t="s">
        <v>583</v>
      </c>
      <c r="G349" s="12">
        <v>1</v>
      </c>
      <c r="H349" s="9" t="s">
        <v>307</v>
      </c>
      <c r="I349" s="11" t="str">
        <f t="shared" si="5"/>
        <v>ID_NC</v>
      </c>
    </row>
    <row r="350" spans="1:9" ht="15" customHeight="1" x14ac:dyDescent="0.3">
      <c r="A350" s="9" t="s">
        <v>251</v>
      </c>
      <c r="B350" s="9" t="s">
        <v>253</v>
      </c>
      <c r="C350" s="9" t="s">
        <v>584</v>
      </c>
      <c r="D350" s="12">
        <v>2</v>
      </c>
      <c r="E350" s="9" t="s">
        <v>255</v>
      </c>
      <c r="F350" s="9" t="s">
        <v>584</v>
      </c>
      <c r="G350" s="12">
        <v>2</v>
      </c>
      <c r="H350" s="9" t="s">
        <v>307</v>
      </c>
      <c r="I350" s="11" t="str">
        <f t="shared" si="5"/>
        <v>Data_Detecao</v>
      </c>
    </row>
    <row r="351" spans="1:9" ht="15" customHeight="1" x14ac:dyDescent="0.3">
      <c r="A351" s="9" t="s">
        <v>251</v>
      </c>
      <c r="B351" s="9" t="s">
        <v>253</v>
      </c>
      <c r="C351" s="9" t="s">
        <v>585</v>
      </c>
      <c r="D351" s="12">
        <v>3</v>
      </c>
      <c r="E351" s="9" t="s">
        <v>255</v>
      </c>
      <c r="F351" s="9"/>
      <c r="G351" s="12"/>
      <c r="H351" s="9" t="s">
        <v>336</v>
      </c>
      <c r="I351" s="11" t="str">
        <f t="shared" si="5"/>
        <v>Mes</v>
      </c>
    </row>
    <row r="352" spans="1:9" ht="15" customHeight="1" x14ac:dyDescent="0.3">
      <c r="A352" s="9" t="s">
        <v>251</v>
      </c>
      <c r="B352" s="9" t="s">
        <v>253</v>
      </c>
      <c r="C352" s="9" t="s">
        <v>361</v>
      </c>
      <c r="D352" s="12">
        <v>4</v>
      </c>
      <c r="E352" s="9" t="s">
        <v>255</v>
      </c>
      <c r="F352" s="9"/>
      <c r="G352" s="12"/>
      <c r="H352" s="9" t="s">
        <v>336</v>
      </c>
      <c r="I352" s="11" t="str">
        <f t="shared" si="5"/>
        <v>Tipo</v>
      </c>
    </row>
    <row r="353" spans="1:9" ht="15" customHeight="1" x14ac:dyDescent="0.3">
      <c r="A353" s="9" t="s">
        <v>251</v>
      </c>
      <c r="B353" s="9" t="s">
        <v>253</v>
      </c>
      <c r="C353" s="9" t="s">
        <v>434</v>
      </c>
      <c r="D353" s="12">
        <v>5</v>
      </c>
      <c r="E353" s="9" t="s">
        <v>255</v>
      </c>
      <c r="F353" s="9" t="s">
        <v>434</v>
      </c>
      <c r="G353" s="12">
        <v>3</v>
      </c>
      <c r="H353" s="9" t="s">
        <v>307</v>
      </c>
      <c r="I353" s="11" t="str">
        <f t="shared" si="5"/>
        <v>Origem</v>
      </c>
    </row>
    <row r="354" spans="1:9" ht="15" customHeight="1" x14ac:dyDescent="0.3">
      <c r="A354" s="9" t="s">
        <v>251</v>
      </c>
      <c r="B354" s="9" t="s">
        <v>253</v>
      </c>
      <c r="C354" s="9" t="s">
        <v>552</v>
      </c>
      <c r="D354" s="12">
        <v>6</v>
      </c>
      <c r="E354" s="9" t="s">
        <v>255</v>
      </c>
      <c r="F354" s="9" t="s">
        <v>552</v>
      </c>
      <c r="G354" s="12">
        <v>6</v>
      </c>
      <c r="H354" s="9" t="s">
        <v>307</v>
      </c>
      <c r="I354" s="11" t="str">
        <f t="shared" si="5"/>
        <v>Local</v>
      </c>
    </row>
    <row r="355" spans="1:9" ht="15" customHeight="1" x14ac:dyDescent="0.3">
      <c r="A355" s="9" t="s">
        <v>251</v>
      </c>
      <c r="B355" s="9" t="s">
        <v>253</v>
      </c>
      <c r="C355" s="9" t="s">
        <v>342</v>
      </c>
      <c r="D355" s="12">
        <v>7</v>
      </c>
      <c r="E355" s="9" t="s">
        <v>255</v>
      </c>
      <c r="F355" s="9" t="s">
        <v>342</v>
      </c>
      <c r="G355" s="12">
        <v>5</v>
      </c>
      <c r="H355" s="9" t="s">
        <v>307</v>
      </c>
      <c r="I355" s="11" t="str">
        <f t="shared" si="5"/>
        <v>Processo</v>
      </c>
    </row>
    <row r="356" spans="1:9" ht="15" customHeight="1" x14ac:dyDescent="0.3">
      <c r="A356" s="9" t="s">
        <v>251</v>
      </c>
      <c r="B356" s="9" t="s">
        <v>253</v>
      </c>
      <c r="C356" s="9" t="s">
        <v>362</v>
      </c>
      <c r="D356" s="12">
        <v>8</v>
      </c>
      <c r="E356" s="9" t="s">
        <v>255</v>
      </c>
      <c r="F356" s="9"/>
      <c r="G356" s="12"/>
      <c r="H356" s="9" t="s">
        <v>336</v>
      </c>
      <c r="I356" s="11" t="str">
        <f t="shared" si="5"/>
        <v>Categoria</v>
      </c>
    </row>
    <row r="357" spans="1:9" ht="15" customHeight="1" x14ac:dyDescent="0.3">
      <c r="A357" s="9" t="s">
        <v>251</v>
      </c>
      <c r="B357" s="9" t="s">
        <v>253</v>
      </c>
      <c r="C357" s="9" t="s">
        <v>586</v>
      </c>
      <c r="D357" s="12">
        <v>9</v>
      </c>
      <c r="E357" s="9" t="s">
        <v>255</v>
      </c>
      <c r="F357" s="9" t="s">
        <v>586</v>
      </c>
      <c r="G357" s="12">
        <v>13</v>
      </c>
      <c r="H357" s="9" t="s">
        <v>307</v>
      </c>
      <c r="I357" s="11" t="str">
        <f t="shared" si="5"/>
        <v>Severidade</v>
      </c>
    </row>
    <row r="358" spans="1:9" ht="15" customHeight="1" x14ac:dyDescent="0.3">
      <c r="A358" s="9" t="s">
        <v>251</v>
      </c>
      <c r="B358" s="9" t="s">
        <v>253</v>
      </c>
      <c r="C358" s="9" t="s">
        <v>587</v>
      </c>
      <c r="D358" s="12">
        <v>10</v>
      </c>
      <c r="E358" s="9" t="s">
        <v>255</v>
      </c>
      <c r="F358" s="9"/>
      <c r="G358" s="12"/>
      <c r="H358" s="9" t="s">
        <v>336</v>
      </c>
      <c r="I358" s="11" t="str">
        <f t="shared" si="5"/>
        <v>Registo_Relacionado</v>
      </c>
    </row>
    <row r="359" spans="1:9" ht="15" customHeight="1" x14ac:dyDescent="0.3">
      <c r="A359" s="9" t="s">
        <v>251</v>
      </c>
      <c r="B359" s="9" t="s">
        <v>253</v>
      </c>
      <c r="C359" s="9" t="s">
        <v>588</v>
      </c>
      <c r="D359" s="12">
        <v>11</v>
      </c>
      <c r="E359" s="9" t="s">
        <v>255</v>
      </c>
      <c r="F359" s="9"/>
      <c r="G359" s="12"/>
      <c r="H359" s="9" t="s">
        <v>336</v>
      </c>
      <c r="I359" s="11" t="str">
        <f t="shared" si="5"/>
        <v>Produto_Material</v>
      </c>
    </row>
    <row r="360" spans="1:9" ht="15" customHeight="1" x14ac:dyDescent="0.3">
      <c r="A360" s="9" t="s">
        <v>251</v>
      </c>
      <c r="B360" s="9" t="s">
        <v>253</v>
      </c>
      <c r="C360" s="9" t="s">
        <v>589</v>
      </c>
      <c r="D360" s="12">
        <v>12</v>
      </c>
      <c r="E360" s="9" t="s">
        <v>255</v>
      </c>
      <c r="F360" s="9"/>
      <c r="G360" s="12"/>
      <c r="H360" s="9" t="s">
        <v>336</v>
      </c>
      <c r="I360" s="11" t="str">
        <f t="shared" si="5"/>
        <v>Quantidade</v>
      </c>
    </row>
    <row r="361" spans="1:9" ht="15" customHeight="1" x14ac:dyDescent="0.3">
      <c r="A361" s="9" t="s">
        <v>251</v>
      </c>
      <c r="B361" s="9" t="s">
        <v>253</v>
      </c>
      <c r="C361" s="9" t="s">
        <v>310</v>
      </c>
      <c r="D361" s="12">
        <v>13</v>
      </c>
      <c r="E361" s="9" t="s">
        <v>255</v>
      </c>
      <c r="F361" s="9" t="s">
        <v>310</v>
      </c>
      <c r="G361" s="12">
        <v>10</v>
      </c>
      <c r="H361" s="9" t="s">
        <v>307</v>
      </c>
      <c r="I361" s="11" t="str">
        <f t="shared" si="5"/>
        <v>Descricao</v>
      </c>
    </row>
    <row r="362" spans="1:9" ht="15" customHeight="1" x14ac:dyDescent="0.3">
      <c r="A362" s="9" t="s">
        <v>251</v>
      </c>
      <c r="B362" s="9" t="s">
        <v>253</v>
      </c>
      <c r="C362" s="9" t="s">
        <v>590</v>
      </c>
      <c r="D362" s="12">
        <v>14</v>
      </c>
      <c r="E362" s="9" t="s">
        <v>255</v>
      </c>
      <c r="F362" s="9"/>
      <c r="G362" s="12"/>
      <c r="H362" s="9" t="s">
        <v>336</v>
      </c>
      <c r="I362" s="11" t="str">
        <f t="shared" si="5"/>
        <v>Tratamento</v>
      </c>
    </row>
    <row r="363" spans="1:9" ht="15" customHeight="1" x14ac:dyDescent="0.3">
      <c r="A363" s="9" t="s">
        <v>251</v>
      </c>
      <c r="B363" s="9" t="s">
        <v>253</v>
      </c>
      <c r="C363" s="9" t="s">
        <v>591</v>
      </c>
      <c r="D363" s="12">
        <v>15</v>
      </c>
      <c r="E363" s="9" t="s">
        <v>255</v>
      </c>
      <c r="F363" s="9" t="s">
        <v>592</v>
      </c>
      <c r="G363" s="12">
        <v>14</v>
      </c>
      <c r="H363" s="9" t="s">
        <v>315</v>
      </c>
      <c r="I363" s="11" t="str">
        <f t="shared" si="5"/>
        <v>Correcao_C1</v>
      </c>
    </row>
    <row r="364" spans="1:9" ht="15" customHeight="1" x14ac:dyDescent="0.3">
      <c r="A364" s="9" t="s">
        <v>251</v>
      </c>
      <c r="B364" s="9" t="s">
        <v>253</v>
      </c>
      <c r="C364" s="9" t="s">
        <v>593</v>
      </c>
      <c r="D364" s="12">
        <v>16</v>
      </c>
      <c r="E364" s="9" t="s">
        <v>255</v>
      </c>
      <c r="F364" s="9" t="s">
        <v>385</v>
      </c>
      <c r="G364" s="12">
        <v>21</v>
      </c>
      <c r="H364" s="9" t="s">
        <v>315</v>
      </c>
      <c r="I364" s="11" t="str">
        <f t="shared" si="5"/>
        <v>Responsavel</v>
      </c>
    </row>
    <row r="365" spans="1:9" ht="15" customHeight="1" x14ac:dyDescent="0.3">
      <c r="A365" s="9" t="s">
        <v>251</v>
      </c>
      <c r="B365" s="9" t="s">
        <v>253</v>
      </c>
      <c r="C365" s="9" t="s">
        <v>594</v>
      </c>
      <c r="D365" s="12">
        <v>17</v>
      </c>
      <c r="E365" s="9" t="s">
        <v>255</v>
      </c>
      <c r="F365" s="9"/>
      <c r="G365" s="12"/>
      <c r="H365" s="9" t="s">
        <v>336</v>
      </c>
      <c r="I365" s="11" t="str">
        <f t="shared" si="5"/>
        <v>ID_Concessao</v>
      </c>
    </row>
    <row r="366" spans="1:9" ht="15" customHeight="1" x14ac:dyDescent="0.3">
      <c r="A366" s="9" t="s">
        <v>251</v>
      </c>
      <c r="B366" s="9" t="s">
        <v>253</v>
      </c>
      <c r="C366" s="9" t="s">
        <v>595</v>
      </c>
      <c r="D366" s="12">
        <v>18</v>
      </c>
      <c r="E366" s="9" t="s">
        <v>255</v>
      </c>
      <c r="F366" s="9"/>
      <c r="G366" s="12"/>
      <c r="H366" s="9" t="s">
        <v>336</v>
      </c>
      <c r="I366" s="11" t="str">
        <f t="shared" si="5"/>
        <v>Reverificado</v>
      </c>
    </row>
    <row r="367" spans="1:9" ht="15" customHeight="1" x14ac:dyDescent="0.3">
      <c r="A367" s="9" t="s">
        <v>251</v>
      </c>
      <c r="B367" s="9" t="s">
        <v>253</v>
      </c>
      <c r="C367" s="9" t="s">
        <v>596</v>
      </c>
      <c r="D367" s="12">
        <v>19</v>
      </c>
      <c r="E367" s="9" t="s">
        <v>255</v>
      </c>
      <c r="F367" s="9"/>
      <c r="G367" s="12"/>
      <c r="H367" s="9" t="s">
        <v>336</v>
      </c>
      <c r="I367" s="11" t="str">
        <f t="shared" si="5"/>
        <v>Clientes_Lote</v>
      </c>
    </row>
    <row r="368" spans="1:9" ht="15" customHeight="1" x14ac:dyDescent="0.3">
      <c r="A368" s="9" t="s">
        <v>251</v>
      </c>
      <c r="B368" s="9" t="s">
        <v>253</v>
      </c>
      <c r="C368" s="9" t="s">
        <v>597</v>
      </c>
      <c r="D368" s="12">
        <v>20</v>
      </c>
      <c r="E368" s="9" t="s">
        <v>255</v>
      </c>
      <c r="F368" s="9" t="s">
        <v>598</v>
      </c>
      <c r="G368" s="12">
        <v>20</v>
      </c>
      <c r="H368" s="9" t="s">
        <v>315</v>
      </c>
      <c r="I368" s="11" t="str">
        <f t="shared" si="5"/>
        <v>ID_PAM_C2</v>
      </c>
    </row>
    <row r="369" spans="1:9" ht="15" customHeight="1" x14ac:dyDescent="0.3">
      <c r="A369" s="9" t="s">
        <v>251</v>
      </c>
      <c r="B369" s="9" t="s">
        <v>253</v>
      </c>
      <c r="C369" s="9" t="s">
        <v>599</v>
      </c>
      <c r="D369" s="12">
        <v>21</v>
      </c>
      <c r="E369" s="9" t="s">
        <v>255</v>
      </c>
      <c r="F369" s="9" t="s">
        <v>599</v>
      </c>
      <c r="G369" s="12">
        <v>32</v>
      </c>
      <c r="H369" s="9" t="s">
        <v>307</v>
      </c>
      <c r="I369" s="11" t="str">
        <f t="shared" si="5"/>
        <v>Controlo_Qualidade</v>
      </c>
    </row>
    <row r="370" spans="1:9" ht="15" customHeight="1" x14ac:dyDescent="0.3">
      <c r="A370" s="9" t="s">
        <v>251</v>
      </c>
      <c r="B370" s="9" t="s">
        <v>253</v>
      </c>
      <c r="C370" s="9"/>
      <c r="D370" s="12"/>
      <c r="E370" s="9" t="s">
        <v>255</v>
      </c>
      <c r="F370" s="9" t="s">
        <v>600</v>
      </c>
      <c r="G370" s="12">
        <v>4</v>
      </c>
      <c r="H370" s="9" t="s">
        <v>392</v>
      </c>
      <c r="I370" s="11" t="str">
        <f t="shared" si="5"/>
        <v>ID_Origem</v>
      </c>
    </row>
    <row r="371" spans="1:9" ht="15" customHeight="1" x14ac:dyDescent="0.3">
      <c r="A371" s="9" t="s">
        <v>251</v>
      </c>
      <c r="B371" s="9" t="s">
        <v>253</v>
      </c>
      <c r="C371" s="9"/>
      <c r="D371" s="12"/>
      <c r="E371" s="9" t="s">
        <v>255</v>
      </c>
      <c r="F371" s="9" t="s">
        <v>601</v>
      </c>
      <c r="G371" s="12">
        <v>7</v>
      </c>
      <c r="H371" s="9" t="s">
        <v>392</v>
      </c>
      <c r="I371" s="11" t="str">
        <f t="shared" si="5"/>
        <v>Tipo_Registo</v>
      </c>
    </row>
    <row r="372" spans="1:9" ht="15" customHeight="1" x14ac:dyDescent="0.3">
      <c r="A372" s="9" t="s">
        <v>251</v>
      </c>
      <c r="B372" s="9" t="s">
        <v>253</v>
      </c>
      <c r="C372" s="9"/>
      <c r="D372" s="12"/>
      <c r="E372" s="9" t="s">
        <v>255</v>
      </c>
      <c r="F372" s="9" t="s">
        <v>316</v>
      </c>
      <c r="G372" s="12">
        <v>8</v>
      </c>
      <c r="H372" s="9" t="s">
        <v>392</v>
      </c>
      <c r="I372" s="11" t="str">
        <f t="shared" si="5"/>
        <v>Classificacao</v>
      </c>
    </row>
    <row r="373" spans="1:9" ht="15" customHeight="1" x14ac:dyDescent="0.3">
      <c r="A373" s="9" t="s">
        <v>251</v>
      </c>
      <c r="B373" s="9" t="s">
        <v>253</v>
      </c>
      <c r="C373" s="9"/>
      <c r="D373" s="12"/>
      <c r="E373" s="9" t="s">
        <v>255</v>
      </c>
      <c r="F373" s="9" t="s">
        <v>602</v>
      </c>
      <c r="G373" s="12">
        <v>9</v>
      </c>
      <c r="H373" s="9" t="s">
        <v>392</v>
      </c>
      <c r="I373" s="11" t="str">
        <f t="shared" si="5"/>
        <v>Requisito_Violado</v>
      </c>
    </row>
    <row r="374" spans="1:9" ht="15" customHeight="1" x14ac:dyDescent="0.3">
      <c r="A374" s="9" t="s">
        <v>251</v>
      </c>
      <c r="B374" s="9" t="s">
        <v>253</v>
      </c>
      <c r="C374" s="9"/>
      <c r="D374" s="12"/>
      <c r="E374" s="9" t="s">
        <v>255</v>
      </c>
      <c r="F374" s="9" t="s">
        <v>603</v>
      </c>
      <c r="G374" s="12">
        <v>11</v>
      </c>
      <c r="H374" s="9" t="s">
        <v>392</v>
      </c>
      <c r="I374" s="11" t="str">
        <f t="shared" si="5"/>
        <v>Evidencia_Objetiva</v>
      </c>
    </row>
    <row r="375" spans="1:9" ht="15" customHeight="1" x14ac:dyDescent="0.3">
      <c r="A375" s="9" t="s">
        <v>251</v>
      </c>
      <c r="B375" s="9" t="s">
        <v>253</v>
      </c>
      <c r="C375" s="9"/>
      <c r="D375" s="12"/>
      <c r="E375" s="9" t="s">
        <v>255</v>
      </c>
      <c r="F375" s="9" t="s">
        <v>604</v>
      </c>
      <c r="G375" s="12">
        <v>12</v>
      </c>
      <c r="H375" s="9" t="s">
        <v>392</v>
      </c>
      <c r="I375" s="11" t="str">
        <f t="shared" si="5"/>
        <v>Impacte_Potencial</v>
      </c>
    </row>
    <row r="376" spans="1:9" ht="15" customHeight="1" x14ac:dyDescent="0.3">
      <c r="A376" s="9" t="s">
        <v>251</v>
      </c>
      <c r="B376" s="9" t="s">
        <v>253</v>
      </c>
      <c r="C376" s="9"/>
      <c r="D376" s="12"/>
      <c r="E376" s="9" t="s">
        <v>255</v>
      </c>
      <c r="F376" s="9" t="s">
        <v>605</v>
      </c>
      <c r="G376" s="12">
        <v>15</v>
      </c>
      <c r="H376" s="9" t="s">
        <v>392</v>
      </c>
      <c r="I376" s="11" t="str">
        <f t="shared" si="5"/>
        <v>Causa_Raiz</v>
      </c>
    </row>
    <row r="377" spans="1:9" ht="15" customHeight="1" x14ac:dyDescent="0.3">
      <c r="A377" s="9" t="s">
        <v>251</v>
      </c>
      <c r="B377" s="9" t="s">
        <v>253</v>
      </c>
      <c r="C377" s="9"/>
      <c r="D377" s="12"/>
      <c r="E377" s="9" t="s">
        <v>255</v>
      </c>
      <c r="F377" s="9" t="s">
        <v>606</v>
      </c>
      <c r="G377" s="12">
        <v>16</v>
      </c>
      <c r="H377" s="9" t="s">
        <v>392</v>
      </c>
      <c r="I377" s="11" t="str">
        <f t="shared" si="5"/>
        <v>Categoria_6M</v>
      </c>
    </row>
    <row r="378" spans="1:9" ht="15" customHeight="1" x14ac:dyDescent="0.3">
      <c r="A378" s="9" t="s">
        <v>251</v>
      </c>
      <c r="B378" s="9" t="s">
        <v>253</v>
      </c>
      <c r="C378" s="9"/>
      <c r="D378" s="12"/>
      <c r="E378" s="9" t="s">
        <v>255</v>
      </c>
      <c r="F378" s="9" t="s">
        <v>607</v>
      </c>
      <c r="G378" s="12">
        <v>17</v>
      </c>
      <c r="H378" s="9" t="s">
        <v>392</v>
      </c>
      <c r="I378" s="11" t="str">
        <f t="shared" si="5"/>
        <v>Metodo_Analise</v>
      </c>
    </row>
    <row r="379" spans="1:9" ht="15" customHeight="1" x14ac:dyDescent="0.3">
      <c r="A379" s="9" t="s">
        <v>251</v>
      </c>
      <c r="B379" s="9" t="s">
        <v>253</v>
      </c>
      <c r="C379" s="9"/>
      <c r="D379" s="12"/>
      <c r="E379" s="9" t="s">
        <v>255</v>
      </c>
      <c r="F379" s="9" t="s">
        <v>608</v>
      </c>
      <c r="G379" s="12">
        <v>18</v>
      </c>
      <c r="H379" s="9" t="s">
        <v>392</v>
      </c>
      <c r="I379" s="11" t="str">
        <f t="shared" si="5"/>
        <v>N_Porques</v>
      </c>
    </row>
    <row r="380" spans="1:9" ht="15" customHeight="1" x14ac:dyDescent="0.3">
      <c r="A380" s="9" t="s">
        <v>251</v>
      </c>
      <c r="B380" s="9" t="s">
        <v>253</v>
      </c>
      <c r="C380" s="9"/>
      <c r="D380" s="12"/>
      <c r="E380" s="9" t="s">
        <v>255</v>
      </c>
      <c r="F380" s="9" t="s">
        <v>609</v>
      </c>
      <c r="G380" s="12">
        <v>19</v>
      </c>
      <c r="H380" s="9" t="s">
        <v>392</v>
      </c>
      <c r="I380" s="11" t="str">
        <f t="shared" si="5"/>
        <v>ID_PAM_C1</v>
      </c>
    </row>
    <row r="381" spans="1:9" ht="15" customHeight="1" x14ac:dyDescent="0.3">
      <c r="A381" s="9" t="s">
        <v>251</v>
      </c>
      <c r="B381" s="9" t="s">
        <v>253</v>
      </c>
      <c r="C381" s="9"/>
      <c r="D381" s="12"/>
      <c r="E381" s="9" t="s">
        <v>255</v>
      </c>
      <c r="F381" s="9" t="s">
        <v>353</v>
      </c>
      <c r="G381" s="12">
        <v>22</v>
      </c>
      <c r="H381" s="9" t="s">
        <v>392</v>
      </c>
      <c r="I381" s="11" t="str">
        <f t="shared" si="5"/>
        <v>Prazo</v>
      </c>
    </row>
    <row r="382" spans="1:9" ht="15" customHeight="1" x14ac:dyDescent="0.3">
      <c r="A382" s="9" t="s">
        <v>251</v>
      </c>
      <c r="B382" s="9" t="s">
        <v>253</v>
      </c>
      <c r="C382" s="9"/>
      <c r="D382" s="12"/>
      <c r="E382" s="9" t="s">
        <v>255</v>
      </c>
      <c r="F382" s="9" t="s">
        <v>14</v>
      </c>
      <c r="G382" s="12">
        <v>23</v>
      </c>
      <c r="H382" s="9" t="s">
        <v>392</v>
      </c>
      <c r="I382" s="11" t="str">
        <f t="shared" si="5"/>
        <v>Estado</v>
      </c>
    </row>
    <row r="383" spans="1:9" ht="15" customHeight="1" x14ac:dyDescent="0.3">
      <c r="A383" s="9" t="s">
        <v>251</v>
      </c>
      <c r="B383" s="9" t="s">
        <v>253</v>
      </c>
      <c r="C383" s="9"/>
      <c r="D383" s="12"/>
      <c r="E383" s="9" t="s">
        <v>255</v>
      </c>
      <c r="F383" s="9" t="s">
        <v>610</v>
      </c>
      <c r="G383" s="12">
        <v>24</v>
      </c>
      <c r="H383" s="9" t="s">
        <v>392</v>
      </c>
      <c r="I383" s="11" t="str">
        <f t="shared" si="5"/>
        <v>Data_Fecho</v>
      </c>
    </row>
    <row r="384" spans="1:9" ht="15" customHeight="1" x14ac:dyDescent="0.3">
      <c r="A384" s="9" t="s">
        <v>251</v>
      </c>
      <c r="B384" s="9" t="s">
        <v>253</v>
      </c>
      <c r="C384" s="9"/>
      <c r="D384" s="12"/>
      <c r="E384" s="9" t="s">
        <v>255</v>
      </c>
      <c r="F384" s="9" t="s">
        <v>611</v>
      </c>
      <c r="G384" s="12">
        <v>25</v>
      </c>
      <c r="H384" s="9" t="s">
        <v>392</v>
      </c>
      <c r="I384" s="11" t="str">
        <f t="shared" si="5"/>
        <v>Dias_Aberta</v>
      </c>
    </row>
    <row r="385" spans="1:9" ht="15" customHeight="1" x14ac:dyDescent="0.3">
      <c r="A385" s="9" t="s">
        <v>251</v>
      </c>
      <c r="B385" s="9" t="s">
        <v>253</v>
      </c>
      <c r="C385" s="9"/>
      <c r="D385" s="12"/>
      <c r="E385" s="9" t="s">
        <v>255</v>
      </c>
      <c r="F385" s="9" t="s">
        <v>612</v>
      </c>
      <c r="G385" s="12">
        <v>26</v>
      </c>
      <c r="H385" s="9" t="s">
        <v>392</v>
      </c>
      <c r="I385" s="11" t="str">
        <f t="shared" si="5"/>
        <v>No_Prazo</v>
      </c>
    </row>
    <row r="386" spans="1:9" ht="15" customHeight="1" x14ac:dyDescent="0.3">
      <c r="A386" s="9" t="s">
        <v>251</v>
      </c>
      <c r="B386" s="9" t="s">
        <v>253</v>
      </c>
      <c r="C386" s="9"/>
      <c r="D386" s="12"/>
      <c r="E386" s="9" t="s">
        <v>255</v>
      </c>
      <c r="F386" s="9" t="s">
        <v>613</v>
      </c>
      <c r="G386" s="12">
        <v>27</v>
      </c>
      <c r="H386" s="9" t="s">
        <v>392</v>
      </c>
      <c r="I386" s="11" t="str">
        <f t="shared" si="5"/>
        <v>Eficacia</v>
      </c>
    </row>
    <row r="387" spans="1:9" ht="15" customHeight="1" x14ac:dyDescent="0.3">
      <c r="A387" s="9" t="s">
        <v>251</v>
      </c>
      <c r="B387" s="9" t="s">
        <v>253</v>
      </c>
      <c r="C387" s="9"/>
      <c r="D387" s="12"/>
      <c r="E387" s="9" t="s">
        <v>255</v>
      </c>
      <c r="F387" s="9" t="s">
        <v>614</v>
      </c>
      <c r="G387" s="12">
        <v>28</v>
      </c>
      <c r="H387" s="9" t="s">
        <v>392</v>
      </c>
      <c r="I387" s="11" t="str">
        <f t="shared" si="5"/>
        <v>Data_Verif_Eficacia</v>
      </c>
    </row>
    <row r="388" spans="1:9" ht="15" customHeight="1" x14ac:dyDescent="0.3">
      <c r="A388" s="9" t="s">
        <v>251</v>
      </c>
      <c r="B388" s="9" t="s">
        <v>253</v>
      </c>
      <c r="C388" s="9"/>
      <c r="D388" s="12"/>
      <c r="E388" s="9" t="s">
        <v>255</v>
      </c>
      <c r="F388" s="9" t="s">
        <v>615</v>
      </c>
      <c r="G388" s="12">
        <v>29</v>
      </c>
      <c r="H388" s="9" t="s">
        <v>392</v>
      </c>
      <c r="I388" s="11" t="str">
        <f t="shared" si="5"/>
        <v>Recorrente</v>
      </c>
    </row>
    <row r="389" spans="1:9" ht="15" customHeight="1" x14ac:dyDescent="0.3">
      <c r="A389" s="9" t="s">
        <v>251</v>
      </c>
      <c r="B389" s="9" t="s">
        <v>253</v>
      </c>
      <c r="C389" s="9"/>
      <c r="D389" s="12"/>
      <c r="E389" s="9" t="s">
        <v>255</v>
      </c>
      <c r="F389" s="9" t="s">
        <v>616</v>
      </c>
      <c r="G389" s="12">
        <v>30</v>
      </c>
      <c r="H389" s="9" t="s">
        <v>392</v>
      </c>
      <c r="I389" s="11" t="str">
        <f t="shared" ref="I389:I452" si="6">IF(A389="","",IF(F389&lt;&gt;"",F389,C389))</f>
        <v>Custo_EUR</v>
      </c>
    </row>
    <row r="390" spans="1:9" ht="15" customHeight="1" x14ac:dyDescent="0.3">
      <c r="A390" s="9" t="s">
        <v>251</v>
      </c>
      <c r="B390" s="9" t="s">
        <v>253</v>
      </c>
      <c r="C390" s="9"/>
      <c r="D390" s="12"/>
      <c r="E390" s="9" t="s">
        <v>255</v>
      </c>
      <c r="F390" s="9" t="s">
        <v>617</v>
      </c>
      <c r="G390" s="12">
        <v>31</v>
      </c>
      <c r="H390" s="9" t="s">
        <v>392</v>
      </c>
      <c r="I390" s="11" t="str">
        <f t="shared" si="6"/>
        <v>Reportado_Por</v>
      </c>
    </row>
    <row r="391" spans="1:9" ht="15" customHeight="1" x14ac:dyDescent="0.3">
      <c r="A391" s="9" t="s">
        <v>256</v>
      </c>
      <c r="B391" s="9" t="s">
        <v>258</v>
      </c>
      <c r="C391" s="9" t="s">
        <v>597</v>
      </c>
      <c r="D391" s="12">
        <v>1</v>
      </c>
      <c r="E391" s="9" t="s">
        <v>255</v>
      </c>
      <c r="F391" s="9" t="s">
        <v>583</v>
      </c>
      <c r="G391" s="12">
        <v>1</v>
      </c>
      <c r="H391" s="9" t="s">
        <v>315</v>
      </c>
      <c r="I391" s="11" t="str">
        <f t="shared" si="6"/>
        <v>ID_NC</v>
      </c>
    </row>
    <row r="392" spans="1:9" ht="15" customHeight="1" x14ac:dyDescent="0.3">
      <c r="A392" s="9" t="s">
        <v>256</v>
      </c>
      <c r="B392" s="9" t="s">
        <v>258</v>
      </c>
      <c r="C392" s="9" t="s">
        <v>584</v>
      </c>
      <c r="D392" s="12">
        <v>2</v>
      </c>
      <c r="E392" s="9" t="s">
        <v>255</v>
      </c>
      <c r="F392" s="9" t="s">
        <v>584</v>
      </c>
      <c r="G392" s="12">
        <v>2</v>
      </c>
      <c r="H392" s="9" t="s">
        <v>307</v>
      </c>
      <c r="I392" s="11" t="str">
        <f t="shared" si="6"/>
        <v>Data_Detecao</v>
      </c>
    </row>
    <row r="393" spans="1:9" ht="15" customHeight="1" x14ac:dyDescent="0.3">
      <c r="A393" s="9" t="s">
        <v>256</v>
      </c>
      <c r="B393" s="9" t="s">
        <v>258</v>
      </c>
      <c r="C393" s="9" t="s">
        <v>434</v>
      </c>
      <c r="D393" s="12">
        <v>3</v>
      </c>
      <c r="E393" s="9" t="s">
        <v>255</v>
      </c>
      <c r="F393" s="9" t="s">
        <v>434</v>
      </c>
      <c r="G393" s="12">
        <v>3</v>
      </c>
      <c r="H393" s="9" t="s">
        <v>307</v>
      </c>
      <c r="I393" s="11" t="str">
        <f t="shared" si="6"/>
        <v>Origem</v>
      </c>
    </row>
    <row r="394" spans="1:9" ht="15" customHeight="1" x14ac:dyDescent="0.3">
      <c r="A394" s="9" t="s">
        <v>256</v>
      </c>
      <c r="B394" s="9" t="s">
        <v>258</v>
      </c>
      <c r="C394" s="9" t="s">
        <v>600</v>
      </c>
      <c r="D394" s="12">
        <v>4</v>
      </c>
      <c r="E394" s="9" t="s">
        <v>255</v>
      </c>
      <c r="F394" s="9" t="s">
        <v>600</v>
      </c>
      <c r="G394" s="12">
        <v>4</v>
      </c>
      <c r="H394" s="9" t="s">
        <v>307</v>
      </c>
      <c r="I394" s="11" t="str">
        <f t="shared" si="6"/>
        <v>ID_Origem</v>
      </c>
    </row>
    <row r="395" spans="1:9" ht="15" customHeight="1" x14ac:dyDescent="0.3">
      <c r="A395" s="9" t="s">
        <v>256</v>
      </c>
      <c r="B395" s="9" t="s">
        <v>258</v>
      </c>
      <c r="C395" s="9" t="s">
        <v>342</v>
      </c>
      <c r="D395" s="12">
        <v>5</v>
      </c>
      <c r="E395" s="9" t="s">
        <v>255</v>
      </c>
      <c r="F395" s="9" t="s">
        <v>342</v>
      </c>
      <c r="G395" s="12">
        <v>5</v>
      </c>
      <c r="H395" s="9" t="s">
        <v>307</v>
      </c>
      <c r="I395" s="11" t="str">
        <f t="shared" si="6"/>
        <v>Processo</v>
      </c>
    </row>
    <row r="396" spans="1:9" ht="15" customHeight="1" x14ac:dyDescent="0.3">
      <c r="A396" s="9" t="s">
        <v>256</v>
      </c>
      <c r="B396" s="9" t="s">
        <v>258</v>
      </c>
      <c r="C396" s="9" t="s">
        <v>310</v>
      </c>
      <c r="D396" s="12">
        <v>6</v>
      </c>
      <c r="E396" s="9" t="s">
        <v>255</v>
      </c>
      <c r="F396" s="9" t="s">
        <v>310</v>
      </c>
      <c r="G396" s="12">
        <v>10</v>
      </c>
      <c r="H396" s="9" t="s">
        <v>307</v>
      </c>
      <c r="I396" s="11" t="str">
        <f t="shared" si="6"/>
        <v>Descricao</v>
      </c>
    </row>
    <row r="397" spans="1:9" ht="15" customHeight="1" x14ac:dyDescent="0.3">
      <c r="A397" s="9" t="s">
        <v>256</v>
      </c>
      <c r="B397" s="9" t="s">
        <v>258</v>
      </c>
      <c r="C397" s="9" t="s">
        <v>592</v>
      </c>
      <c r="D397" s="12">
        <v>7</v>
      </c>
      <c r="E397" s="9" t="s">
        <v>255</v>
      </c>
      <c r="F397" s="9" t="s">
        <v>592</v>
      </c>
      <c r="G397" s="12">
        <v>14</v>
      </c>
      <c r="H397" s="9" t="s">
        <v>307</v>
      </c>
      <c r="I397" s="11" t="str">
        <f t="shared" si="6"/>
        <v>Correcao_C1</v>
      </c>
    </row>
    <row r="398" spans="1:9" ht="15" customHeight="1" x14ac:dyDescent="0.3">
      <c r="A398" s="9" t="s">
        <v>256</v>
      </c>
      <c r="B398" s="9" t="s">
        <v>258</v>
      </c>
      <c r="C398" s="9" t="s">
        <v>618</v>
      </c>
      <c r="D398" s="12">
        <v>8</v>
      </c>
      <c r="E398" s="9" t="s">
        <v>255</v>
      </c>
      <c r="F398" s="9"/>
      <c r="G398" s="12"/>
      <c r="H398" s="9" t="s">
        <v>336</v>
      </c>
      <c r="I398" s="11" t="str">
        <f t="shared" si="6"/>
        <v>a2_Consequencias</v>
      </c>
    </row>
    <row r="399" spans="1:9" ht="15" customHeight="1" x14ac:dyDescent="0.3">
      <c r="A399" s="9" t="s">
        <v>256</v>
      </c>
      <c r="B399" s="9" t="s">
        <v>258</v>
      </c>
      <c r="C399" s="9" t="s">
        <v>605</v>
      </c>
      <c r="D399" s="12">
        <v>9</v>
      </c>
      <c r="E399" s="9" t="s">
        <v>255</v>
      </c>
      <c r="F399" s="9" t="s">
        <v>605</v>
      </c>
      <c r="G399" s="12">
        <v>15</v>
      </c>
      <c r="H399" s="9" t="s">
        <v>307</v>
      </c>
      <c r="I399" s="11" t="str">
        <f t="shared" si="6"/>
        <v>Causa_Raiz</v>
      </c>
    </row>
    <row r="400" spans="1:9" ht="15" customHeight="1" x14ac:dyDescent="0.3">
      <c r="A400" s="9" t="s">
        <v>256</v>
      </c>
      <c r="B400" s="9" t="s">
        <v>258</v>
      </c>
      <c r="C400" s="9" t="s">
        <v>606</v>
      </c>
      <c r="D400" s="12">
        <v>10</v>
      </c>
      <c r="E400" s="9" t="s">
        <v>255</v>
      </c>
      <c r="F400" s="9" t="s">
        <v>606</v>
      </c>
      <c r="G400" s="12">
        <v>16</v>
      </c>
      <c r="H400" s="9" t="s">
        <v>307</v>
      </c>
      <c r="I400" s="11" t="str">
        <f t="shared" si="6"/>
        <v>Categoria_6M</v>
      </c>
    </row>
    <row r="401" spans="1:9" ht="15" customHeight="1" x14ac:dyDescent="0.3">
      <c r="A401" s="9" t="s">
        <v>256</v>
      </c>
      <c r="B401" s="9" t="s">
        <v>258</v>
      </c>
      <c r="C401" s="9" t="s">
        <v>607</v>
      </c>
      <c r="D401" s="12">
        <v>11</v>
      </c>
      <c r="E401" s="9" t="s">
        <v>255</v>
      </c>
      <c r="F401" s="9" t="s">
        <v>607</v>
      </c>
      <c r="G401" s="12">
        <v>17</v>
      </c>
      <c r="H401" s="9" t="s">
        <v>307</v>
      </c>
      <c r="I401" s="11" t="str">
        <f t="shared" si="6"/>
        <v>Metodo_Analise</v>
      </c>
    </row>
    <row r="402" spans="1:9" ht="15" customHeight="1" x14ac:dyDescent="0.3">
      <c r="A402" s="9" t="s">
        <v>256</v>
      </c>
      <c r="B402" s="9" t="s">
        <v>258</v>
      </c>
      <c r="C402" s="9" t="s">
        <v>619</v>
      </c>
      <c r="D402" s="12">
        <v>12</v>
      </c>
      <c r="E402" s="9" t="s">
        <v>255</v>
      </c>
      <c r="F402" s="9"/>
      <c r="G402" s="12"/>
      <c r="H402" s="9" t="s">
        <v>336</v>
      </c>
      <c r="I402" s="11" t="str">
        <f t="shared" si="6"/>
        <v>b3_NC_Semelhantes</v>
      </c>
    </row>
    <row r="403" spans="1:9" ht="15" customHeight="1" x14ac:dyDescent="0.3">
      <c r="A403" s="9" t="s">
        <v>256</v>
      </c>
      <c r="B403" s="9" t="s">
        <v>258</v>
      </c>
      <c r="C403" s="9" t="s">
        <v>620</v>
      </c>
      <c r="D403" s="12">
        <v>13</v>
      </c>
      <c r="E403" s="9" t="s">
        <v>255</v>
      </c>
      <c r="F403" s="9"/>
      <c r="G403" s="12"/>
      <c r="H403" s="9" t="s">
        <v>336</v>
      </c>
      <c r="I403" s="11" t="str">
        <f t="shared" si="6"/>
        <v>c_Acao_Corretiva</v>
      </c>
    </row>
    <row r="404" spans="1:9" ht="15" customHeight="1" x14ac:dyDescent="0.3">
      <c r="A404" s="9" t="s">
        <v>256</v>
      </c>
      <c r="B404" s="9" t="s">
        <v>258</v>
      </c>
      <c r="C404" s="9" t="s">
        <v>385</v>
      </c>
      <c r="D404" s="12">
        <v>14</v>
      </c>
      <c r="E404" s="9" t="s">
        <v>255</v>
      </c>
      <c r="F404" s="9" t="s">
        <v>385</v>
      </c>
      <c r="G404" s="12">
        <v>21</v>
      </c>
      <c r="H404" s="9" t="s">
        <v>307</v>
      </c>
      <c r="I404" s="11" t="str">
        <f t="shared" si="6"/>
        <v>Responsavel</v>
      </c>
    </row>
    <row r="405" spans="1:9" ht="15" customHeight="1" x14ac:dyDescent="0.3">
      <c r="A405" s="9" t="s">
        <v>256</v>
      </c>
      <c r="B405" s="9" t="s">
        <v>258</v>
      </c>
      <c r="C405" s="9" t="s">
        <v>353</v>
      </c>
      <c r="D405" s="12">
        <v>15</v>
      </c>
      <c r="E405" s="9" t="s">
        <v>255</v>
      </c>
      <c r="F405" s="9" t="s">
        <v>353</v>
      </c>
      <c r="G405" s="12">
        <v>22</v>
      </c>
      <c r="H405" s="9" t="s">
        <v>307</v>
      </c>
      <c r="I405" s="11" t="str">
        <f t="shared" si="6"/>
        <v>Prazo</v>
      </c>
    </row>
    <row r="406" spans="1:9" ht="15" customHeight="1" x14ac:dyDescent="0.3">
      <c r="A406" s="9" t="s">
        <v>256</v>
      </c>
      <c r="B406" s="9" t="s">
        <v>258</v>
      </c>
      <c r="C406" s="9" t="s">
        <v>14</v>
      </c>
      <c r="D406" s="12">
        <v>16</v>
      </c>
      <c r="E406" s="9" t="s">
        <v>255</v>
      </c>
      <c r="F406" s="9" t="s">
        <v>14</v>
      </c>
      <c r="G406" s="12">
        <v>23</v>
      </c>
      <c r="H406" s="9" t="s">
        <v>307</v>
      </c>
      <c r="I406" s="11" t="str">
        <f t="shared" si="6"/>
        <v>Estado</v>
      </c>
    </row>
    <row r="407" spans="1:9" ht="15" customHeight="1" x14ac:dyDescent="0.3">
      <c r="A407" s="9" t="s">
        <v>256</v>
      </c>
      <c r="B407" s="9" t="s">
        <v>258</v>
      </c>
      <c r="C407" s="9" t="s">
        <v>610</v>
      </c>
      <c r="D407" s="12">
        <v>17</v>
      </c>
      <c r="E407" s="9" t="s">
        <v>255</v>
      </c>
      <c r="F407" s="9" t="s">
        <v>610</v>
      </c>
      <c r="G407" s="12">
        <v>24</v>
      </c>
      <c r="H407" s="9" t="s">
        <v>307</v>
      </c>
      <c r="I407" s="11" t="str">
        <f t="shared" si="6"/>
        <v>Data_Fecho</v>
      </c>
    </row>
    <row r="408" spans="1:9" ht="15" customHeight="1" x14ac:dyDescent="0.3">
      <c r="A408" s="9" t="s">
        <v>256</v>
      </c>
      <c r="B408" s="9" t="s">
        <v>258</v>
      </c>
      <c r="C408" s="9" t="s">
        <v>621</v>
      </c>
      <c r="D408" s="12">
        <v>18</v>
      </c>
      <c r="E408" s="9" t="s">
        <v>255</v>
      </c>
      <c r="F408" s="9"/>
      <c r="G408" s="12"/>
      <c r="H408" s="9" t="s">
        <v>336</v>
      </c>
      <c r="I408" s="11" t="str">
        <f t="shared" si="6"/>
        <v>d_Metodo_Eficacia</v>
      </c>
    </row>
    <row r="409" spans="1:9" ht="15" customHeight="1" x14ac:dyDescent="0.3">
      <c r="A409" s="9" t="s">
        <v>256</v>
      </c>
      <c r="B409" s="9" t="s">
        <v>258</v>
      </c>
      <c r="C409" s="9" t="s">
        <v>614</v>
      </c>
      <c r="D409" s="12">
        <v>19</v>
      </c>
      <c r="E409" s="9" t="s">
        <v>255</v>
      </c>
      <c r="F409" s="9" t="s">
        <v>614</v>
      </c>
      <c r="G409" s="12">
        <v>28</v>
      </c>
      <c r="H409" s="9" t="s">
        <v>307</v>
      </c>
      <c r="I409" s="11" t="str">
        <f t="shared" si="6"/>
        <v>Data_Verif_Eficacia</v>
      </c>
    </row>
    <row r="410" spans="1:9" ht="15" customHeight="1" x14ac:dyDescent="0.3">
      <c r="A410" s="9" t="s">
        <v>256</v>
      </c>
      <c r="B410" s="9" t="s">
        <v>258</v>
      </c>
      <c r="C410" s="9" t="s">
        <v>613</v>
      </c>
      <c r="D410" s="12">
        <v>20</v>
      </c>
      <c r="E410" s="9" t="s">
        <v>255</v>
      </c>
      <c r="F410" s="9" t="s">
        <v>613</v>
      </c>
      <c r="G410" s="12">
        <v>27</v>
      </c>
      <c r="H410" s="9" t="s">
        <v>307</v>
      </c>
      <c r="I410" s="11" t="str">
        <f t="shared" si="6"/>
        <v>Eficacia</v>
      </c>
    </row>
    <row r="411" spans="1:9" ht="15" customHeight="1" x14ac:dyDescent="0.3">
      <c r="A411" s="9" t="s">
        <v>256</v>
      </c>
      <c r="B411" s="9" t="s">
        <v>258</v>
      </c>
      <c r="C411" s="9" t="s">
        <v>622</v>
      </c>
      <c r="D411" s="12">
        <v>21</v>
      </c>
      <c r="E411" s="9" t="s">
        <v>255</v>
      </c>
      <c r="F411" s="9"/>
      <c r="G411" s="12"/>
      <c r="H411" s="9" t="s">
        <v>336</v>
      </c>
      <c r="I411" s="11" t="str">
        <f t="shared" si="6"/>
        <v>e_Riscos_Atualizados</v>
      </c>
    </row>
    <row r="412" spans="1:9" ht="15" customHeight="1" x14ac:dyDescent="0.3">
      <c r="A412" s="9" t="s">
        <v>256</v>
      </c>
      <c r="B412" s="9" t="s">
        <v>258</v>
      </c>
      <c r="C412" s="9" t="s">
        <v>623</v>
      </c>
      <c r="D412" s="12">
        <v>22</v>
      </c>
      <c r="E412" s="9" t="s">
        <v>255</v>
      </c>
      <c r="F412" s="9"/>
      <c r="G412" s="12"/>
      <c r="H412" s="9" t="s">
        <v>336</v>
      </c>
      <c r="I412" s="11" t="str">
        <f t="shared" si="6"/>
        <v>f_Alteracao_SGQ</v>
      </c>
    </row>
    <row r="413" spans="1:9" ht="15" customHeight="1" x14ac:dyDescent="0.3">
      <c r="A413" s="9" t="s">
        <v>256</v>
      </c>
      <c r="B413" s="9" t="s">
        <v>258</v>
      </c>
      <c r="C413" s="9" t="s">
        <v>599</v>
      </c>
      <c r="D413" s="12">
        <v>23</v>
      </c>
      <c r="E413" s="9" t="s">
        <v>255</v>
      </c>
      <c r="F413" s="9" t="s">
        <v>599</v>
      </c>
      <c r="G413" s="12">
        <v>32</v>
      </c>
      <c r="H413" s="9" t="s">
        <v>307</v>
      </c>
      <c r="I413" s="11" t="str">
        <f t="shared" si="6"/>
        <v>Controlo_Qualidade</v>
      </c>
    </row>
    <row r="414" spans="1:9" ht="15" customHeight="1" x14ac:dyDescent="0.3">
      <c r="A414" s="9" t="s">
        <v>256</v>
      </c>
      <c r="B414" s="9" t="s">
        <v>258</v>
      </c>
      <c r="C414" s="9"/>
      <c r="D414" s="12"/>
      <c r="E414" s="9" t="s">
        <v>255</v>
      </c>
      <c r="F414" s="9" t="s">
        <v>552</v>
      </c>
      <c r="G414" s="12">
        <v>6</v>
      </c>
      <c r="H414" s="9" t="s">
        <v>392</v>
      </c>
      <c r="I414" s="11" t="str">
        <f t="shared" si="6"/>
        <v>Local</v>
      </c>
    </row>
    <row r="415" spans="1:9" ht="15" customHeight="1" x14ac:dyDescent="0.3">
      <c r="A415" s="9" t="s">
        <v>256</v>
      </c>
      <c r="B415" s="9" t="s">
        <v>258</v>
      </c>
      <c r="C415" s="9"/>
      <c r="D415" s="12"/>
      <c r="E415" s="9" t="s">
        <v>255</v>
      </c>
      <c r="F415" s="9" t="s">
        <v>601</v>
      </c>
      <c r="G415" s="12">
        <v>7</v>
      </c>
      <c r="H415" s="9" t="s">
        <v>392</v>
      </c>
      <c r="I415" s="11" t="str">
        <f t="shared" si="6"/>
        <v>Tipo_Registo</v>
      </c>
    </row>
    <row r="416" spans="1:9" ht="15" customHeight="1" x14ac:dyDescent="0.3">
      <c r="A416" s="9" t="s">
        <v>256</v>
      </c>
      <c r="B416" s="9" t="s">
        <v>258</v>
      </c>
      <c r="C416" s="9"/>
      <c r="D416" s="12"/>
      <c r="E416" s="9" t="s">
        <v>255</v>
      </c>
      <c r="F416" s="9" t="s">
        <v>316</v>
      </c>
      <c r="G416" s="12">
        <v>8</v>
      </c>
      <c r="H416" s="9" t="s">
        <v>392</v>
      </c>
      <c r="I416" s="11" t="str">
        <f t="shared" si="6"/>
        <v>Classificacao</v>
      </c>
    </row>
    <row r="417" spans="1:9" ht="15" customHeight="1" x14ac:dyDescent="0.3">
      <c r="A417" s="9" t="s">
        <v>256</v>
      </c>
      <c r="B417" s="9" t="s">
        <v>258</v>
      </c>
      <c r="C417" s="9"/>
      <c r="D417" s="12"/>
      <c r="E417" s="9" t="s">
        <v>255</v>
      </c>
      <c r="F417" s="9" t="s">
        <v>602</v>
      </c>
      <c r="G417" s="12">
        <v>9</v>
      </c>
      <c r="H417" s="9" t="s">
        <v>392</v>
      </c>
      <c r="I417" s="11" t="str">
        <f t="shared" si="6"/>
        <v>Requisito_Violado</v>
      </c>
    </row>
    <row r="418" spans="1:9" ht="15" customHeight="1" x14ac:dyDescent="0.3">
      <c r="A418" s="9" t="s">
        <v>256</v>
      </c>
      <c r="B418" s="9" t="s">
        <v>258</v>
      </c>
      <c r="C418" s="9"/>
      <c r="D418" s="12"/>
      <c r="E418" s="9" t="s">
        <v>255</v>
      </c>
      <c r="F418" s="9" t="s">
        <v>603</v>
      </c>
      <c r="G418" s="12">
        <v>11</v>
      </c>
      <c r="H418" s="9" t="s">
        <v>392</v>
      </c>
      <c r="I418" s="11" t="str">
        <f t="shared" si="6"/>
        <v>Evidencia_Objetiva</v>
      </c>
    </row>
    <row r="419" spans="1:9" ht="15" customHeight="1" x14ac:dyDescent="0.3">
      <c r="A419" s="9" t="s">
        <v>256</v>
      </c>
      <c r="B419" s="9" t="s">
        <v>258</v>
      </c>
      <c r="C419" s="9"/>
      <c r="D419" s="12"/>
      <c r="E419" s="9" t="s">
        <v>255</v>
      </c>
      <c r="F419" s="9" t="s">
        <v>604</v>
      </c>
      <c r="G419" s="12">
        <v>12</v>
      </c>
      <c r="H419" s="9" t="s">
        <v>392</v>
      </c>
      <c r="I419" s="11" t="str">
        <f t="shared" si="6"/>
        <v>Impacte_Potencial</v>
      </c>
    </row>
    <row r="420" spans="1:9" ht="15" customHeight="1" x14ac:dyDescent="0.3">
      <c r="A420" s="9" t="s">
        <v>256</v>
      </c>
      <c r="B420" s="9" t="s">
        <v>258</v>
      </c>
      <c r="C420" s="9"/>
      <c r="D420" s="12"/>
      <c r="E420" s="9" t="s">
        <v>255</v>
      </c>
      <c r="F420" s="9" t="s">
        <v>586</v>
      </c>
      <c r="G420" s="12">
        <v>13</v>
      </c>
      <c r="H420" s="9" t="s">
        <v>392</v>
      </c>
      <c r="I420" s="11" t="str">
        <f t="shared" si="6"/>
        <v>Severidade</v>
      </c>
    </row>
    <row r="421" spans="1:9" ht="15" customHeight="1" x14ac:dyDescent="0.3">
      <c r="A421" s="9" t="s">
        <v>256</v>
      </c>
      <c r="B421" s="9" t="s">
        <v>258</v>
      </c>
      <c r="C421" s="9"/>
      <c r="D421" s="12"/>
      <c r="E421" s="9" t="s">
        <v>255</v>
      </c>
      <c r="F421" s="9" t="s">
        <v>608</v>
      </c>
      <c r="G421" s="12">
        <v>18</v>
      </c>
      <c r="H421" s="9" t="s">
        <v>392</v>
      </c>
      <c r="I421" s="11" t="str">
        <f t="shared" si="6"/>
        <v>N_Porques</v>
      </c>
    </row>
    <row r="422" spans="1:9" ht="15" customHeight="1" x14ac:dyDescent="0.3">
      <c r="A422" s="9" t="s">
        <v>256</v>
      </c>
      <c r="B422" s="9" t="s">
        <v>258</v>
      </c>
      <c r="C422" s="9"/>
      <c r="D422" s="12"/>
      <c r="E422" s="9" t="s">
        <v>255</v>
      </c>
      <c r="F422" s="9" t="s">
        <v>609</v>
      </c>
      <c r="G422" s="12">
        <v>19</v>
      </c>
      <c r="H422" s="9" t="s">
        <v>392</v>
      </c>
      <c r="I422" s="11" t="str">
        <f t="shared" si="6"/>
        <v>ID_PAM_C1</v>
      </c>
    </row>
    <row r="423" spans="1:9" ht="15" customHeight="1" x14ac:dyDescent="0.3">
      <c r="A423" s="9" t="s">
        <v>256</v>
      </c>
      <c r="B423" s="9" t="s">
        <v>258</v>
      </c>
      <c r="C423" s="9"/>
      <c r="D423" s="12"/>
      <c r="E423" s="9" t="s">
        <v>255</v>
      </c>
      <c r="F423" s="9" t="s">
        <v>598</v>
      </c>
      <c r="G423" s="12">
        <v>20</v>
      </c>
      <c r="H423" s="9" t="s">
        <v>392</v>
      </c>
      <c r="I423" s="11" t="str">
        <f t="shared" si="6"/>
        <v>ID_PAM_C2</v>
      </c>
    </row>
    <row r="424" spans="1:9" ht="15" customHeight="1" x14ac:dyDescent="0.3">
      <c r="A424" s="9" t="s">
        <v>256</v>
      </c>
      <c r="B424" s="9" t="s">
        <v>258</v>
      </c>
      <c r="C424" s="9"/>
      <c r="D424" s="12"/>
      <c r="E424" s="9" t="s">
        <v>255</v>
      </c>
      <c r="F424" s="9" t="s">
        <v>611</v>
      </c>
      <c r="G424" s="12">
        <v>25</v>
      </c>
      <c r="H424" s="9" t="s">
        <v>392</v>
      </c>
      <c r="I424" s="11" t="str">
        <f t="shared" si="6"/>
        <v>Dias_Aberta</v>
      </c>
    </row>
    <row r="425" spans="1:9" ht="15" customHeight="1" x14ac:dyDescent="0.3">
      <c r="A425" s="9" t="s">
        <v>256</v>
      </c>
      <c r="B425" s="9" t="s">
        <v>258</v>
      </c>
      <c r="C425" s="9"/>
      <c r="D425" s="12"/>
      <c r="E425" s="9" t="s">
        <v>255</v>
      </c>
      <c r="F425" s="9" t="s">
        <v>612</v>
      </c>
      <c r="G425" s="12">
        <v>26</v>
      </c>
      <c r="H425" s="9" t="s">
        <v>392</v>
      </c>
      <c r="I425" s="11" t="str">
        <f t="shared" si="6"/>
        <v>No_Prazo</v>
      </c>
    </row>
    <row r="426" spans="1:9" ht="15" customHeight="1" x14ac:dyDescent="0.3">
      <c r="A426" s="9" t="s">
        <v>256</v>
      </c>
      <c r="B426" s="9" t="s">
        <v>258</v>
      </c>
      <c r="C426" s="9"/>
      <c r="D426" s="12"/>
      <c r="E426" s="9" t="s">
        <v>255</v>
      </c>
      <c r="F426" s="9" t="s">
        <v>615</v>
      </c>
      <c r="G426" s="12">
        <v>29</v>
      </c>
      <c r="H426" s="9" t="s">
        <v>392</v>
      </c>
      <c r="I426" s="11" t="str">
        <f t="shared" si="6"/>
        <v>Recorrente</v>
      </c>
    </row>
    <row r="427" spans="1:9" ht="15" customHeight="1" x14ac:dyDescent="0.3">
      <c r="A427" s="9" t="s">
        <v>256</v>
      </c>
      <c r="B427" s="9" t="s">
        <v>258</v>
      </c>
      <c r="C427" s="9"/>
      <c r="D427" s="12"/>
      <c r="E427" s="9" t="s">
        <v>255</v>
      </c>
      <c r="F427" s="9" t="s">
        <v>616</v>
      </c>
      <c r="G427" s="12">
        <v>30</v>
      </c>
      <c r="H427" s="9" t="s">
        <v>392</v>
      </c>
      <c r="I427" s="11" t="str">
        <f t="shared" si="6"/>
        <v>Custo_EUR</v>
      </c>
    </row>
    <row r="428" spans="1:9" ht="15" customHeight="1" x14ac:dyDescent="0.3">
      <c r="A428" s="9" t="s">
        <v>256</v>
      </c>
      <c r="B428" s="9" t="s">
        <v>258</v>
      </c>
      <c r="C428" s="9"/>
      <c r="D428" s="12"/>
      <c r="E428" s="9" t="s">
        <v>255</v>
      </c>
      <c r="F428" s="9" t="s">
        <v>617</v>
      </c>
      <c r="G428" s="12">
        <v>31</v>
      </c>
      <c r="H428" s="9" t="s">
        <v>392</v>
      </c>
      <c r="I428" s="11" t="str">
        <f t="shared" si="6"/>
        <v>Reportado_Por</v>
      </c>
    </row>
    <row r="429" spans="1:9" ht="15" customHeight="1" x14ac:dyDescent="0.3">
      <c r="A429" s="9" t="s">
        <v>259</v>
      </c>
      <c r="B429" s="9" t="s">
        <v>261</v>
      </c>
      <c r="C429" s="9" t="s">
        <v>597</v>
      </c>
      <c r="D429" s="12">
        <v>1</v>
      </c>
      <c r="E429" s="9" t="s">
        <v>261</v>
      </c>
      <c r="F429" s="9" t="s">
        <v>583</v>
      </c>
      <c r="G429" s="12">
        <v>1</v>
      </c>
      <c r="H429" s="9" t="s">
        <v>315</v>
      </c>
      <c r="I429" s="11" t="str">
        <f t="shared" si="6"/>
        <v>ID_NC</v>
      </c>
    </row>
    <row r="430" spans="1:9" ht="15" customHeight="1" x14ac:dyDescent="0.3">
      <c r="A430" s="9" t="s">
        <v>259</v>
      </c>
      <c r="B430" s="9" t="s">
        <v>261</v>
      </c>
      <c r="C430" s="9" t="s">
        <v>624</v>
      </c>
      <c r="D430" s="12">
        <v>2</v>
      </c>
      <c r="E430" s="9" t="s">
        <v>261</v>
      </c>
      <c r="F430" s="9" t="s">
        <v>624</v>
      </c>
      <c r="G430" s="12">
        <v>2</v>
      </c>
      <c r="H430" s="9" t="s">
        <v>307</v>
      </c>
      <c r="I430" s="11" t="str">
        <f t="shared" si="6"/>
        <v>Nivel</v>
      </c>
    </row>
    <row r="431" spans="1:9" ht="15" customHeight="1" x14ac:dyDescent="0.3">
      <c r="A431" s="9" t="s">
        <v>259</v>
      </c>
      <c r="B431" s="9" t="s">
        <v>261</v>
      </c>
      <c r="C431" s="9" t="s">
        <v>625</v>
      </c>
      <c r="D431" s="12">
        <v>3</v>
      </c>
      <c r="E431" s="9" t="s">
        <v>261</v>
      </c>
      <c r="F431" s="9" t="s">
        <v>625</v>
      </c>
      <c r="G431" s="12">
        <v>4</v>
      </c>
      <c r="H431" s="9" t="s">
        <v>307</v>
      </c>
      <c r="I431" s="11" t="str">
        <f t="shared" si="6"/>
        <v>Pergunta_Porque</v>
      </c>
    </row>
    <row r="432" spans="1:9" ht="15" customHeight="1" x14ac:dyDescent="0.3">
      <c r="A432" s="9" t="s">
        <v>259</v>
      </c>
      <c r="B432" s="9" t="s">
        <v>261</v>
      </c>
      <c r="C432" s="9" t="s">
        <v>626</v>
      </c>
      <c r="D432" s="12">
        <v>4</v>
      </c>
      <c r="E432" s="9" t="s">
        <v>261</v>
      </c>
      <c r="F432" s="9" t="s">
        <v>626</v>
      </c>
      <c r="G432" s="12">
        <v>5</v>
      </c>
      <c r="H432" s="9" t="s">
        <v>307</v>
      </c>
      <c r="I432" s="11" t="str">
        <f t="shared" si="6"/>
        <v>Resposta</v>
      </c>
    </row>
    <row r="433" spans="1:9" ht="15" customHeight="1" x14ac:dyDescent="0.3">
      <c r="A433" s="9" t="s">
        <v>259</v>
      </c>
      <c r="B433" s="9" t="s">
        <v>261</v>
      </c>
      <c r="C433" s="9" t="s">
        <v>339</v>
      </c>
      <c r="D433" s="12">
        <v>5</v>
      </c>
      <c r="E433" s="9" t="s">
        <v>261</v>
      </c>
      <c r="F433" s="9" t="s">
        <v>339</v>
      </c>
      <c r="G433" s="12">
        <v>6</v>
      </c>
      <c r="H433" s="9" t="s">
        <v>307</v>
      </c>
      <c r="I433" s="11" t="str">
        <f t="shared" si="6"/>
        <v>Evidencia</v>
      </c>
    </row>
    <row r="434" spans="1:9" ht="15" customHeight="1" x14ac:dyDescent="0.3">
      <c r="A434" s="9" t="s">
        <v>259</v>
      </c>
      <c r="B434" s="9" t="s">
        <v>261</v>
      </c>
      <c r="C434" s="9" t="s">
        <v>627</v>
      </c>
      <c r="D434" s="12">
        <v>6</v>
      </c>
      <c r="E434" s="9" t="s">
        <v>261</v>
      </c>
      <c r="F434" s="9" t="s">
        <v>627</v>
      </c>
      <c r="G434" s="12">
        <v>7</v>
      </c>
      <c r="H434" s="9" t="s">
        <v>307</v>
      </c>
      <c r="I434" s="11" t="str">
        <f t="shared" si="6"/>
        <v>E_Causa_Raiz</v>
      </c>
    </row>
    <row r="435" spans="1:9" ht="15" customHeight="1" x14ac:dyDescent="0.3">
      <c r="A435" s="9" t="s">
        <v>259</v>
      </c>
      <c r="B435" s="9" t="s">
        <v>261</v>
      </c>
      <c r="C435" s="9"/>
      <c r="D435" s="12"/>
      <c r="E435" s="9" t="s">
        <v>261</v>
      </c>
      <c r="F435" s="9" t="s">
        <v>628</v>
      </c>
      <c r="G435" s="12">
        <v>3</v>
      </c>
      <c r="H435" s="9" t="s">
        <v>392</v>
      </c>
      <c r="I435" s="11" t="str">
        <f t="shared" si="6"/>
        <v>Chave</v>
      </c>
    </row>
    <row r="436" spans="1:9" ht="15" customHeight="1" x14ac:dyDescent="0.3">
      <c r="A436" s="9" t="s">
        <v>262</v>
      </c>
      <c r="B436" s="9" t="s">
        <v>264</v>
      </c>
      <c r="C436" s="9" t="s">
        <v>629</v>
      </c>
      <c r="D436" s="12">
        <v>1</v>
      </c>
      <c r="E436" s="9" t="s">
        <v>264</v>
      </c>
      <c r="F436" s="9" t="s">
        <v>629</v>
      </c>
      <c r="G436" s="12">
        <v>1</v>
      </c>
      <c r="H436" s="9" t="s">
        <v>307</v>
      </c>
      <c r="I436" s="11" t="str">
        <f t="shared" si="6"/>
        <v>ID_Auditoria</v>
      </c>
    </row>
    <row r="437" spans="1:9" ht="15" customHeight="1" x14ac:dyDescent="0.3">
      <c r="A437" s="9" t="s">
        <v>262</v>
      </c>
      <c r="B437" s="9" t="s">
        <v>264</v>
      </c>
      <c r="C437" s="9" t="s">
        <v>333</v>
      </c>
      <c r="D437" s="12">
        <v>2</v>
      </c>
      <c r="E437" s="9" t="s">
        <v>264</v>
      </c>
      <c r="F437" s="9" t="s">
        <v>333</v>
      </c>
      <c r="G437" s="12">
        <v>4</v>
      </c>
      <c r="H437" s="9" t="s">
        <v>307</v>
      </c>
      <c r="I437" s="11" t="str">
        <f t="shared" si="6"/>
        <v>Ambito</v>
      </c>
    </row>
    <row r="438" spans="1:9" ht="15" customHeight="1" x14ac:dyDescent="0.3">
      <c r="A438" s="9" t="s">
        <v>262</v>
      </c>
      <c r="B438" s="9" t="s">
        <v>264</v>
      </c>
      <c r="C438" s="9" t="s">
        <v>630</v>
      </c>
      <c r="D438" s="12">
        <v>3</v>
      </c>
      <c r="E438" s="9" t="s">
        <v>264</v>
      </c>
      <c r="F438" s="9" t="s">
        <v>630</v>
      </c>
      <c r="G438" s="12">
        <v>3</v>
      </c>
      <c r="H438" s="9" t="s">
        <v>307</v>
      </c>
      <c r="I438" s="11" t="str">
        <f t="shared" si="6"/>
        <v>Objetivo</v>
      </c>
    </row>
    <row r="439" spans="1:9" ht="15" customHeight="1" x14ac:dyDescent="0.3">
      <c r="A439" s="9" t="s">
        <v>262</v>
      </c>
      <c r="B439" s="9" t="s">
        <v>264</v>
      </c>
      <c r="C439" s="9" t="s">
        <v>631</v>
      </c>
      <c r="D439" s="12">
        <v>4</v>
      </c>
      <c r="E439" s="9" t="s">
        <v>264</v>
      </c>
      <c r="F439" s="9" t="s">
        <v>631</v>
      </c>
      <c r="G439" s="12">
        <v>5</v>
      </c>
      <c r="H439" s="9" t="s">
        <v>307</v>
      </c>
      <c r="I439" s="11" t="str">
        <f t="shared" si="6"/>
        <v>Criterios</v>
      </c>
    </row>
    <row r="440" spans="1:9" ht="15" customHeight="1" x14ac:dyDescent="0.3">
      <c r="A440" s="9" t="s">
        <v>262</v>
      </c>
      <c r="B440" s="9" t="s">
        <v>264</v>
      </c>
      <c r="C440" s="9" t="s">
        <v>632</v>
      </c>
      <c r="D440" s="12">
        <v>5</v>
      </c>
      <c r="E440" s="9" t="s">
        <v>264</v>
      </c>
      <c r="F440" s="9"/>
      <c r="G440" s="12"/>
      <c r="H440" s="9" t="s">
        <v>336</v>
      </c>
      <c r="I440" s="11" t="str">
        <f t="shared" si="6"/>
        <v>Metodo</v>
      </c>
    </row>
    <row r="441" spans="1:9" ht="15" customHeight="1" x14ac:dyDescent="0.3">
      <c r="A441" s="9" t="s">
        <v>262</v>
      </c>
      <c r="B441" s="9" t="s">
        <v>264</v>
      </c>
      <c r="C441" s="9" t="s">
        <v>633</v>
      </c>
      <c r="D441" s="12">
        <v>6</v>
      </c>
      <c r="E441" s="9" t="s">
        <v>264</v>
      </c>
      <c r="F441" s="9" t="s">
        <v>633</v>
      </c>
      <c r="G441" s="12">
        <v>8</v>
      </c>
      <c r="H441" s="9" t="s">
        <v>307</v>
      </c>
      <c r="I441" s="11" t="str">
        <f t="shared" si="6"/>
        <v>Equipa_Auditora</v>
      </c>
    </row>
    <row r="442" spans="1:9" ht="15" customHeight="1" x14ac:dyDescent="0.3">
      <c r="A442" s="9" t="s">
        <v>262</v>
      </c>
      <c r="B442" s="9" t="s">
        <v>264</v>
      </c>
      <c r="C442" s="9" t="s">
        <v>634</v>
      </c>
      <c r="D442" s="12">
        <v>7</v>
      </c>
      <c r="E442" s="9" t="s">
        <v>264</v>
      </c>
      <c r="F442" s="9" t="s">
        <v>635</v>
      </c>
      <c r="G442" s="12">
        <v>6</v>
      </c>
      <c r="H442" s="9" t="s">
        <v>315</v>
      </c>
      <c r="I442" s="11" t="str">
        <f t="shared" si="6"/>
        <v>Data_Inicio</v>
      </c>
    </row>
    <row r="443" spans="1:9" ht="15" customHeight="1" x14ac:dyDescent="0.3">
      <c r="A443" s="9" t="s">
        <v>262</v>
      </c>
      <c r="B443" s="9" t="s">
        <v>264</v>
      </c>
      <c r="C443" s="9" t="s">
        <v>636</v>
      </c>
      <c r="D443" s="12">
        <v>8</v>
      </c>
      <c r="E443" s="9" t="s">
        <v>264</v>
      </c>
      <c r="F443" s="9" t="s">
        <v>637</v>
      </c>
      <c r="G443" s="12">
        <v>7</v>
      </c>
      <c r="H443" s="9" t="s">
        <v>315</v>
      </c>
      <c r="I443" s="11" t="str">
        <f t="shared" si="6"/>
        <v>Data_Fim</v>
      </c>
    </row>
    <row r="444" spans="1:9" ht="15" customHeight="1" x14ac:dyDescent="0.3">
      <c r="A444" s="9" t="s">
        <v>262</v>
      </c>
      <c r="B444" s="9" t="s">
        <v>264</v>
      </c>
      <c r="C444" s="9" t="s">
        <v>14</v>
      </c>
      <c r="D444" s="12">
        <v>9</v>
      </c>
      <c r="E444" s="9" t="s">
        <v>264</v>
      </c>
      <c r="F444" s="9" t="s">
        <v>14</v>
      </c>
      <c r="G444" s="12">
        <v>10</v>
      </c>
      <c r="H444" s="9" t="s">
        <v>307</v>
      </c>
      <c r="I444" s="11" t="str">
        <f t="shared" si="6"/>
        <v>Estado</v>
      </c>
    </row>
    <row r="445" spans="1:9" ht="15" customHeight="1" x14ac:dyDescent="0.3">
      <c r="A445" s="9" t="s">
        <v>262</v>
      </c>
      <c r="B445" s="9" t="s">
        <v>264</v>
      </c>
      <c r="C445" s="9" t="s">
        <v>638</v>
      </c>
      <c r="D445" s="12">
        <v>10</v>
      </c>
      <c r="E445" s="9" t="s">
        <v>264</v>
      </c>
      <c r="F445" s="9"/>
      <c r="G445" s="12"/>
      <c r="H445" s="9" t="s">
        <v>336</v>
      </c>
      <c r="I445" s="11" t="str">
        <f t="shared" si="6"/>
        <v>N_Constatacoes</v>
      </c>
    </row>
    <row r="446" spans="1:9" ht="15" customHeight="1" x14ac:dyDescent="0.3">
      <c r="A446" s="9" t="s">
        <v>262</v>
      </c>
      <c r="B446" s="9" t="s">
        <v>264</v>
      </c>
      <c r="C446" s="9" t="s">
        <v>639</v>
      </c>
      <c r="D446" s="12">
        <v>11</v>
      </c>
      <c r="E446" s="9" t="s">
        <v>264</v>
      </c>
      <c r="F446" s="9" t="s">
        <v>639</v>
      </c>
      <c r="G446" s="12">
        <v>12</v>
      </c>
      <c r="H446" s="9" t="s">
        <v>307</v>
      </c>
      <c r="I446" s="11" t="str">
        <f t="shared" si="6"/>
        <v>N_NC</v>
      </c>
    </row>
    <row r="447" spans="1:9" ht="15" customHeight="1" x14ac:dyDescent="0.3">
      <c r="A447" s="9" t="s">
        <v>262</v>
      </c>
      <c r="B447" s="9" t="s">
        <v>264</v>
      </c>
      <c r="C447" s="9" t="s">
        <v>640</v>
      </c>
      <c r="D447" s="12">
        <v>12</v>
      </c>
      <c r="E447" s="9" t="s">
        <v>264</v>
      </c>
      <c r="F447" s="9"/>
      <c r="G447" s="12"/>
      <c r="H447" s="9" t="s">
        <v>336</v>
      </c>
      <c r="I447" s="11" t="str">
        <f t="shared" si="6"/>
        <v>Relatorio_Emitido</v>
      </c>
    </row>
    <row r="448" spans="1:9" ht="15" customHeight="1" x14ac:dyDescent="0.3">
      <c r="A448" s="9" t="s">
        <v>262</v>
      </c>
      <c r="B448" s="9" t="s">
        <v>264</v>
      </c>
      <c r="C448" s="9"/>
      <c r="D448" s="12"/>
      <c r="E448" s="9" t="s">
        <v>264</v>
      </c>
      <c r="F448" s="9" t="s">
        <v>328</v>
      </c>
      <c r="G448" s="12">
        <v>2</v>
      </c>
      <c r="H448" s="9" t="s">
        <v>392</v>
      </c>
      <c r="I448" s="11" t="str">
        <f t="shared" si="6"/>
        <v>Tema</v>
      </c>
    </row>
    <row r="449" spans="1:9" ht="15" customHeight="1" x14ac:dyDescent="0.3">
      <c r="A449" s="9" t="s">
        <v>262</v>
      </c>
      <c r="B449" s="9" t="s">
        <v>264</v>
      </c>
      <c r="C449" s="9"/>
      <c r="D449" s="12"/>
      <c r="E449" s="9" t="s">
        <v>264</v>
      </c>
      <c r="F449" s="9" t="s">
        <v>641</v>
      </c>
      <c r="G449" s="12">
        <v>9</v>
      </c>
      <c r="H449" s="9" t="s">
        <v>392</v>
      </c>
      <c r="I449" s="11" t="str">
        <f t="shared" si="6"/>
        <v>Independencia</v>
      </c>
    </row>
    <row r="450" spans="1:9" ht="15" customHeight="1" x14ac:dyDescent="0.3">
      <c r="A450" s="9" t="s">
        <v>262</v>
      </c>
      <c r="B450" s="9" t="s">
        <v>264</v>
      </c>
      <c r="C450" s="9"/>
      <c r="D450" s="12"/>
      <c r="E450" s="9" t="s">
        <v>264</v>
      </c>
      <c r="F450" s="9" t="s">
        <v>642</v>
      </c>
      <c r="G450" s="12">
        <v>11</v>
      </c>
      <c r="H450" s="9" t="s">
        <v>392</v>
      </c>
      <c r="I450" s="11" t="str">
        <f t="shared" si="6"/>
        <v>N_Questoes</v>
      </c>
    </row>
    <row r="451" spans="1:9" ht="15" customHeight="1" x14ac:dyDescent="0.3">
      <c r="A451" s="9" t="s">
        <v>262</v>
      </c>
      <c r="B451" s="9" t="s">
        <v>264</v>
      </c>
      <c r="C451" s="9"/>
      <c r="D451" s="12"/>
      <c r="E451" s="9" t="s">
        <v>264</v>
      </c>
      <c r="F451" s="9" t="s">
        <v>643</v>
      </c>
      <c r="G451" s="12">
        <v>13</v>
      </c>
      <c r="H451" s="9" t="s">
        <v>392</v>
      </c>
      <c r="I451" s="11" t="str">
        <f t="shared" si="6"/>
        <v>N_OM</v>
      </c>
    </row>
    <row r="452" spans="1:9" ht="15" customHeight="1" x14ac:dyDescent="0.3">
      <c r="A452" s="9" t="s">
        <v>266</v>
      </c>
      <c r="B452" s="9" t="s">
        <v>268</v>
      </c>
      <c r="C452" s="9" t="s">
        <v>644</v>
      </c>
      <c r="D452" s="12">
        <v>1</v>
      </c>
      <c r="E452" s="9" t="s">
        <v>268</v>
      </c>
      <c r="F452" s="9" t="s">
        <v>644</v>
      </c>
      <c r="G452" s="12">
        <v>1</v>
      </c>
      <c r="H452" s="9" t="s">
        <v>307</v>
      </c>
      <c r="I452" s="11" t="str">
        <f t="shared" si="6"/>
        <v>ID_Constatacao</v>
      </c>
    </row>
    <row r="453" spans="1:9" ht="15" customHeight="1" x14ac:dyDescent="0.3">
      <c r="A453" s="9" t="s">
        <v>266</v>
      </c>
      <c r="B453" s="9" t="s">
        <v>268</v>
      </c>
      <c r="C453" s="9" t="s">
        <v>629</v>
      </c>
      <c r="D453" s="12">
        <v>2</v>
      </c>
      <c r="E453" s="9" t="s">
        <v>268</v>
      </c>
      <c r="F453" s="9" t="s">
        <v>629</v>
      </c>
      <c r="G453" s="12">
        <v>2</v>
      </c>
      <c r="H453" s="9" t="s">
        <v>307</v>
      </c>
      <c r="I453" s="11" t="str">
        <f t="shared" ref="I453:I516" si="7">IF(A453="","",IF(F453&lt;&gt;"",F453,C453))</f>
        <v>ID_Auditoria</v>
      </c>
    </row>
    <row r="454" spans="1:9" ht="15" customHeight="1" x14ac:dyDescent="0.3">
      <c r="A454" s="9" t="s">
        <v>266</v>
      </c>
      <c r="B454" s="9" t="s">
        <v>268</v>
      </c>
      <c r="C454" s="9" t="s">
        <v>500</v>
      </c>
      <c r="D454" s="12">
        <v>3</v>
      </c>
      <c r="E454" s="9" t="s">
        <v>268</v>
      </c>
      <c r="F454" s="9" t="s">
        <v>500</v>
      </c>
      <c r="G454" s="12">
        <v>5</v>
      </c>
      <c r="H454" s="9" t="s">
        <v>307</v>
      </c>
      <c r="I454" s="11" t="str">
        <f t="shared" si="7"/>
        <v>Clausula</v>
      </c>
    </row>
    <row r="455" spans="1:9" ht="15" customHeight="1" x14ac:dyDescent="0.3">
      <c r="A455" s="9" t="s">
        <v>266</v>
      </c>
      <c r="B455" s="9" t="s">
        <v>268</v>
      </c>
      <c r="C455" s="9" t="s">
        <v>316</v>
      </c>
      <c r="D455" s="12">
        <v>4</v>
      </c>
      <c r="E455" s="9" t="s">
        <v>268</v>
      </c>
      <c r="F455" s="9" t="s">
        <v>316</v>
      </c>
      <c r="G455" s="12">
        <v>9</v>
      </c>
      <c r="H455" s="9" t="s">
        <v>307</v>
      </c>
      <c r="I455" s="11" t="str">
        <f t="shared" si="7"/>
        <v>Classificacao</v>
      </c>
    </row>
    <row r="456" spans="1:9" ht="15" customHeight="1" x14ac:dyDescent="0.3">
      <c r="A456" s="9" t="s">
        <v>266</v>
      </c>
      <c r="B456" s="9" t="s">
        <v>268</v>
      </c>
      <c r="C456" s="9" t="s">
        <v>645</v>
      </c>
      <c r="D456" s="12">
        <v>5</v>
      </c>
      <c r="E456" s="9" t="s">
        <v>268</v>
      </c>
      <c r="F456" s="9" t="s">
        <v>645</v>
      </c>
      <c r="G456" s="12">
        <v>3</v>
      </c>
      <c r="H456" s="9" t="s">
        <v>307</v>
      </c>
      <c r="I456" s="11" t="str">
        <f t="shared" si="7"/>
        <v>Processo_Auditado</v>
      </c>
    </row>
    <row r="457" spans="1:9" ht="15" customHeight="1" x14ac:dyDescent="0.3">
      <c r="A457" s="9" t="s">
        <v>266</v>
      </c>
      <c r="B457" s="9" t="s">
        <v>268</v>
      </c>
      <c r="C457" s="9" t="s">
        <v>646</v>
      </c>
      <c r="D457" s="12">
        <v>6</v>
      </c>
      <c r="E457" s="9" t="s">
        <v>268</v>
      </c>
      <c r="F457" s="9" t="s">
        <v>647</v>
      </c>
      <c r="G457" s="12">
        <v>11</v>
      </c>
      <c r="H457" s="9" t="s">
        <v>315</v>
      </c>
      <c r="I457" s="11" t="str">
        <f t="shared" si="7"/>
        <v>Requisito_Violado_ou_Melhoravel</v>
      </c>
    </row>
    <row r="458" spans="1:9" ht="15" customHeight="1" x14ac:dyDescent="0.3">
      <c r="A458" s="9" t="s">
        <v>266</v>
      </c>
      <c r="B458" s="9" t="s">
        <v>268</v>
      </c>
      <c r="C458" s="9" t="s">
        <v>603</v>
      </c>
      <c r="D458" s="12">
        <v>7</v>
      </c>
      <c r="E458" s="9" t="s">
        <v>268</v>
      </c>
      <c r="F458" s="9" t="s">
        <v>603</v>
      </c>
      <c r="G458" s="12">
        <v>8</v>
      </c>
      <c r="H458" s="9" t="s">
        <v>307</v>
      </c>
      <c r="I458" s="11" t="str">
        <f t="shared" si="7"/>
        <v>Evidencia_Objetiva</v>
      </c>
    </row>
    <row r="459" spans="1:9" ht="15" customHeight="1" x14ac:dyDescent="0.3">
      <c r="A459" s="9" t="s">
        <v>266</v>
      </c>
      <c r="B459" s="9" t="s">
        <v>268</v>
      </c>
      <c r="C459" s="9" t="s">
        <v>597</v>
      </c>
      <c r="D459" s="12">
        <v>8</v>
      </c>
      <c r="E459" s="9" t="s">
        <v>268</v>
      </c>
      <c r="F459" s="9" t="s">
        <v>648</v>
      </c>
      <c r="G459" s="12">
        <v>14</v>
      </c>
      <c r="H459" s="9" t="s">
        <v>315</v>
      </c>
      <c r="I459" s="11" t="str">
        <f t="shared" si="7"/>
        <v>ID_PAM</v>
      </c>
    </row>
    <row r="460" spans="1:9" ht="15" customHeight="1" x14ac:dyDescent="0.3">
      <c r="A460" s="9" t="s">
        <v>266</v>
      </c>
      <c r="B460" s="9" t="s">
        <v>268</v>
      </c>
      <c r="C460" s="9" t="s">
        <v>353</v>
      </c>
      <c r="D460" s="12">
        <v>9</v>
      </c>
      <c r="E460" s="9" t="s">
        <v>268</v>
      </c>
      <c r="F460" s="9"/>
      <c r="G460" s="12"/>
      <c r="H460" s="9" t="s">
        <v>336</v>
      </c>
      <c r="I460" s="11" t="str">
        <f t="shared" si="7"/>
        <v>Prazo</v>
      </c>
    </row>
    <row r="461" spans="1:9" ht="15" customHeight="1" x14ac:dyDescent="0.3">
      <c r="A461" s="9" t="s">
        <v>266</v>
      </c>
      <c r="B461" s="9" t="s">
        <v>268</v>
      </c>
      <c r="C461" s="9" t="s">
        <v>14</v>
      </c>
      <c r="D461" s="12">
        <v>10</v>
      </c>
      <c r="E461" s="9" t="s">
        <v>268</v>
      </c>
      <c r="F461" s="9"/>
      <c r="G461" s="12"/>
      <c r="H461" s="9" t="s">
        <v>336</v>
      </c>
      <c r="I461" s="11" t="str">
        <f t="shared" si="7"/>
        <v>Estado</v>
      </c>
    </row>
    <row r="462" spans="1:9" ht="15" customHeight="1" x14ac:dyDescent="0.3">
      <c r="A462" s="9" t="s">
        <v>266</v>
      </c>
      <c r="B462" s="9" t="s">
        <v>268</v>
      </c>
      <c r="C462" s="9" t="s">
        <v>610</v>
      </c>
      <c r="D462" s="12">
        <v>11</v>
      </c>
      <c r="E462" s="9" t="s">
        <v>268</v>
      </c>
      <c r="F462" s="9"/>
      <c r="G462" s="12"/>
      <c r="H462" s="9" t="s">
        <v>336</v>
      </c>
      <c r="I462" s="11" t="str">
        <f t="shared" si="7"/>
        <v>Data_Fecho</v>
      </c>
    </row>
    <row r="463" spans="1:9" ht="15" customHeight="1" x14ac:dyDescent="0.3">
      <c r="A463" s="9" t="s">
        <v>266</v>
      </c>
      <c r="B463" s="9" t="s">
        <v>268</v>
      </c>
      <c r="C463" s="9" t="s">
        <v>599</v>
      </c>
      <c r="D463" s="12">
        <v>12</v>
      </c>
      <c r="E463" s="9" t="s">
        <v>268</v>
      </c>
      <c r="F463" s="9" t="s">
        <v>599</v>
      </c>
      <c r="G463" s="12">
        <v>16</v>
      </c>
      <c r="H463" s="9" t="s">
        <v>307</v>
      </c>
      <c r="I463" s="11" t="str">
        <f t="shared" si="7"/>
        <v>Controlo_Qualidade</v>
      </c>
    </row>
    <row r="464" spans="1:9" ht="15" customHeight="1" x14ac:dyDescent="0.3">
      <c r="A464" s="9" t="s">
        <v>266</v>
      </c>
      <c r="B464" s="9" t="s">
        <v>268</v>
      </c>
      <c r="C464" s="9"/>
      <c r="D464" s="12"/>
      <c r="E464" s="9" t="s">
        <v>268</v>
      </c>
      <c r="F464" s="9" t="s">
        <v>649</v>
      </c>
      <c r="G464" s="12">
        <v>4</v>
      </c>
      <c r="H464" s="9" t="s">
        <v>392</v>
      </c>
      <c r="I464" s="11" t="str">
        <f t="shared" si="7"/>
        <v>Area</v>
      </c>
    </row>
    <row r="465" spans="1:9" ht="15" customHeight="1" x14ac:dyDescent="0.3">
      <c r="A465" s="9" t="s">
        <v>266</v>
      </c>
      <c r="B465" s="9" t="s">
        <v>268</v>
      </c>
      <c r="C465" s="9"/>
      <c r="D465" s="12"/>
      <c r="E465" s="9" t="s">
        <v>268</v>
      </c>
      <c r="F465" s="9" t="s">
        <v>650</v>
      </c>
      <c r="G465" s="12">
        <v>6</v>
      </c>
      <c r="H465" s="9" t="s">
        <v>392</v>
      </c>
      <c r="I465" s="11" t="str">
        <f t="shared" si="7"/>
        <v>Questao_Auditoria</v>
      </c>
    </row>
    <row r="466" spans="1:9" ht="15" customHeight="1" x14ac:dyDescent="0.3">
      <c r="A466" s="9" t="s">
        <v>266</v>
      </c>
      <c r="B466" s="9" t="s">
        <v>268</v>
      </c>
      <c r="C466" s="9"/>
      <c r="D466" s="12"/>
      <c r="E466" s="9" t="s">
        <v>268</v>
      </c>
      <c r="F466" s="9" t="s">
        <v>651</v>
      </c>
      <c r="G466" s="12">
        <v>7</v>
      </c>
      <c r="H466" s="9" t="s">
        <v>392</v>
      </c>
      <c r="I466" s="11" t="str">
        <f t="shared" si="7"/>
        <v>Evidencia_Esperada</v>
      </c>
    </row>
    <row r="467" spans="1:9" ht="15" customHeight="1" x14ac:dyDescent="0.3">
      <c r="A467" s="9" t="s">
        <v>266</v>
      </c>
      <c r="B467" s="9" t="s">
        <v>268</v>
      </c>
      <c r="C467" s="9"/>
      <c r="D467" s="12"/>
      <c r="E467" s="9" t="s">
        <v>268</v>
      </c>
      <c r="F467" s="9" t="s">
        <v>652</v>
      </c>
      <c r="G467" s="12">
        <v>10</v>
      </c>
      <c r="H467" s="9" t="s">
        <v>392</v>
      </c>
      <c r="I467" s="11" t="str">
        <f t="shared" si="7"/>
        <v>Gravidade</v>
      </c>
    </row>
    <row r="468" spans="1:9" ht="15" customHeight="1" x14ac:dyDescent="0.3">
      <c r="A468" s="9" t="s">
        <v>266</v>
      </c>
      <c r="B468" s="9" t="s">
        <v>268</v>
      </c>
      <c r="C468" s="9"/>
      <c r="D468" s="12"/>
      <c r="E468" s="9" t="s">
        <v>268</v>
      </c>
      <c r="F468" s="9" t="s">
        <v>653</v>
      </c>
      <c r="G468" s="12">
        <v>12</v>
      </c>
      <c r="H468" s="9" t="s">
        <v>392</v>
      </c>
      <c r="I468" s="11" t="str">
        <f t="shared" si="7"/>
        <v>Justificacao</v>
      </c>
    </row>
    <row r="469" spans="1:9" ht="15" customHeight="1" x14ac:dyDescent="0.3">
      <c r="A469" s="9" t="s">
        <v>266</v>
      </c>
      <c r="B469" s="9" t="s">
        <v>268</v>
      </c>
      <c r="C469" s="9"/>
      <c r="D469" s="12"/>
      <c r="E469" s="9" t="s">
        <v>268</v>
      </c>
      <c r="F469" s="9" t="s">
        <v>583</v>
      </c>
      <c r="G469" s="12">
        <v>13</v>
      </c>
      <c r="H469" s="9" t="s">
        <v>392</v>
      </c>
      <c r="I469" s="11" t="str">
        <f t="shared" si="7"/>
        <v>ID_NC</v>
      </c>
    </row>
    <row r="470" spans="1:9" ht="15" customHeight="1" x14ac:dyDescent="0.3">
      <c r="A470" s="9" t="s">
        <v>266</v>
      </c>
      <c r="B470" s="9" t="s">
        <v>268</v>
      </c>
      <c r="C470" s="9"/>
      <c r="D470" s="12"/>
      <c r="E470" s="9" t="s">
        <v>268</v>
      </c>
      <c r="F470" s="9" t="s">
        <v>654</v>
      </c>
      <c r="G470" s="12">
        <v>15</v>
      </c>
      <c r="H470" s="9" t="s">
        <v>392</v>
      </c>
      <c r="I470" s="11" t="str">
        <f t="shared" si="7"/>
        <v>Auditor</v>
      </c>
    </row>
    <row r="471" spans="1:9" ht="15" customHeight="1" x14ac:dyDescent="0.3">
      <c r="A471" s="9" t="s">
        <v>269</v>
      </c>
      <c r="B471" s="9" t="s">
        <v>271</v>
      </c>
      <c r="C471" s="9" t="s">
        <v>655</v>
      </c>
      <c r="D471" s="12">
        <v>1</v>
      </c>
      <c r="E471" s="9" t="s">
        <v>273</v>
      </c>
      <c r="F471" s="9" t="s">
        <v>655</v>
      </c>
      <c r="G471" s="12">
        <v>3</v>
      </c>
      <c r="H471" s="9" t="s">
        <v>307</v>
      </c>
      <c r="I471" s="11" t="str">
        <f t="shared" si="7"/>
        <v>Entrada_9_3_2</v>
      </c>
    </row>
    <row r="472" spans="1:9" ht="15" customHeight="1" x14ac:dyDescent="0.3">
      <c r="A472" s="9" t="s">
        <v>269</v>
      </c>
      <c r="B472" s="9" t="s">
        <v>271</v>
      </c>
      <c r="C472" s="9" t="s">
        <v>656</v>
      </c>
      <c r="D472" s="12">
        <v>2</v>
      </c>
      <c r="E472" s="9" t="s">
        <v>273</v>
      </c>
      <c r="F472" s="9" t="s">
        <v>656</v>
      </c>
      <c r="G472" s="12">
        <v>4</v>
      </c>
      <c r="H472" s="9" t="s">
        <v>307</v>
      </c>
      <c r="I472" s="11" t="str">
        <f t="shared" si="7"/>
        <v>Topico</v>
      </c>
    </row>
    <row r="473" spans="1:9" ht="15" customHeight="1" x14ac:dyDescent="0.3">
      <c r="A473" s="9" t="s">
        <v>269</v>
      </c>
      <c r="B473" s="9" t="s">
        <v>271</v>
      </c>
      <c r="C473" s="9" t="s">
        <v>657</v>
      </c>
      <c r="D473" s="12">
        <v>3</v>
      </c>
      <c r="E473" s="9" t="s">
        <v>273</v>
      </c>
      <c r="F473" s="9"/>
      <c r="G473" s="12"/>
      <c r="H473" s="9" t="s">
        <v>336</v>
      </c>
      <c r="I473" s="11" t="str">
        <f t="shared" si="7"/>
        <v>Resumo_Dados</v>
      </c>
    </row>
    <row r="474" spans="1:9" ht="15" customHeight="1" x14ac:dyDescent="0.3">
      <c r="A474" s="9" t="s">
        <v>269</v>
      </c>
      <c r="B474" s="9" t="s">
        <v>271</v>
      </c>
      <c r="C474" s="9" t="s">
        <v>317</v>
      </c>
      <c r="D474" s="12">
        <v>4</v>
      </c>
      <c r="E474" s="9" t="s">
        <v>273</v>
      </c>
      <c r="F474" s="9"/>
      <c r="G474" s="12"/>
      <c r="H474" s="9" t="s">
        <v>336</v>
      </c>
      <c r="I474" s="11" t="str">
        <f t="shared" si="7"/>
        <v>Tendencia</v>
      </c>
    </row>
    <row r="475" spans="1:9" ht="15" customHeight="1" x14ac:dyDescent="0.3">
      <c r="A475" s="9" t="s">
        <v>269</v>
      </c>
      <c r="B475" s="9" t="s">
        <v>271</v>
      </c>
      <c r="C475" s="9" t="s">
        <v>384</v>
      </c>
      <c r="D475" s="12">
        <v>5</v>
      </c>
      <c r="E475" s="9" t="s">
        <v>273</v>
      </c>
      <c r="F475" s="9" t="s">
        <v>384</v>
      </c>
      <c r="G475" s="12">
        <v>5</v>
      </c>
      <c r="H475" s="9" t="s">
        <v>307</v>
      </c>
      <c r="I475" s="11" t="str">
        <f t="shared" si="7"/>
        <v>Fonte_Dados</v>
      </c>
    </row>
    <row r="476" spans="1:9" ht="15" customHeight="1" x14ac:dyDescent="0.3">
      <c r="A476" s="9" t="s">
        <v>269</v>
      </c>
      <c r="B476" s="9" t="s">
        <v>271</v>
      </c>
      <c r="C476" s="9" t="s">
        <v>658</v>
      </c>
      <c r="D476" s="12">
        <v>6</v>
      </c>
      <c r="E476" s="9" t="s">
        <v>273</v>
      </c>
      <c r="F476" s="9" t="s">
        <v>658</v>
      </c>
      <c r="G476" s="12">
        <v>6</v>
      </c>
      <c r="H476" s="9" t="s">
        <v>307</v>
      </c>
      <c r="I476" s="11" t="str">
        <f t="shared" si="7"/>
        <v>Apresentador</v>
      </c>
    </row>
    <row r="477" spans="1:9" ht="15" customHeight="1" x14ac:dyDescent="0.3">
      <c r="A477" s="9" t="s">
        <v>269</v>
      </c>
      <c r="B477" s="9" t="s">
        <v>271</v>
      </c>
      <c r="C477" s="9"/>
      <c r="D477" s="12"/>
      <c r="E477" s="9" t="s">
        <v>273</v>
      </c>
      <c r="F477" s="9" t="s">
        <v>659</v>
      </c>
      <c r="G477" s="12">
        <v>1</v>
      </c>
      <c r="H477" s="9" t="s">
        <v>392</v>
      </c>
      <c r="I477" s="11" t="str">
        <f t="shared" si="7"/>
        <v>ID_Reuniao</v>
      </c>
    </row>
    <row r="478" spans="1:9" ht="15" customHeight="1" x14ac:dyDescent="0.3">
      <c r="A478" s="9" t="s">
        <v>269</v>
      </c>
      <c r="B478" s="9" t="s">
        <v>271</v>
      </c>
      <c r="C478" s="9"/>
      <c r="D478" s="12"/>
      <c r="E478" s="9" t="s">
        <v>273</v>
      </c>
      <c r="F478" s="9" t="s">
        <v>660</v>
      </c>
      <c r="G478" s="12">
        <v>2</v>
      </c>
      <c r="H478" s="9" t="s">
        <v>392</v>
      </c>
      <c r="I478" s="11" t="str">
        <f t="shared" si="7"/>
        <v>Ponto</v>
      </c>
    </row>
    <row r="479" spans="1:9" ht="15" customHeight="1" x14ac:dyDescent="0.3">
      <c r="A479" s="9" t="s">
        <v>269</v>
      </c>
      <c r="B479" s="9" t="s">
        <v>271</v>
      </c>
      <c r="C479" s="9"/>
      <c r="D479" s="12"/>
      <c r="E479" s="9" t="s">
        <v>273</v>
      </c>
      <c r="F479" s="9" t="s">
        <v>661</v>
      </c>
      <c r="G479" s="12">
        <v>7</v>
      </c>
      <c r="H479" s="9" t="s">
        <v>392</v>
      </c>
      <c r="I479" s="11" t="str">
        <f t="shared" si="7"/>
        <v>Duracao_min</v>
      </c>
    </row>
    <row r="480" spans="1:9" ht="15" customHeight="1" x14ac:dyDescent="0.3">
      <c r="A480" s="9" t="s">
        <v>269</v>
      </c>
      <c r="B480" s="9" t="s">
        <v>271</v>
      </c>
      <c r="C480" s="9"/>
      <c r="D480" s="12"/>
      <c r="E480" s="9" t="s">
        <v>273</v>
      </c>
      <c r="F480" s="9" t="s">
        <v>662</v>
      </c>
      <c r="G480" s="12">
        <v>8</v>
      </c>
      <c r="H480" s="9" t="s">
        <v>392</v>
      </c>
      <c r="I480" s="11" t="str">
        <f t="shared" si="7"/>
        <v>Hora_Inicio</v>
      </c>
    </row>
    <row r="481" spans="1:9" ht="15" customHeight="1" x14ac:dyDescent="0.3">
      <c r="A481" s="9" t="s">
        <v>269</v>
      </c>
      <c r="B481" s="9" t="s">
        <v>271</v>
      </c>
      <c r="C481" s="9"/>
      <c r="D481" s="12"/>
      <c r="E481" s="9" t="s">
        <v>273</v>
      </c>
      <c r="F481" s="9" t="s">
        <v>663</v>
      </c>
      <c r="G481" s="12">
        <v>9</v>
      </c>
      <c r="H481" s="9" t="s">
        <v>392</v>
      </c>
      <c r="I481" s="11" t="str">
        <f t="shared" si="7"/>
        <v>N_Decisoes</v>
      </c>
    </row>
    <row r="482" spans="1:9" ht="15" customHeight="1" x14ac:dyDescent="0.3">
      <c r="A482" s="9" t="s">
        <v>274</v>
      </c>
      <c r="B482" s="9" t="s">
        <v>276</v>
      </c>
      <c r="C482" s="9" t="s">
        <v>664</v>
      </c>
      <c r="D482" s="12">
        <v>1</v>
      </c>
      <c r="E482" s="9" t="s">
        <v>276</v>
      </c>
      <c r="F482" s="9" t="s">
        <v>664</v>
      </c>
      <c r="G482" s="12">
        <v>1</v>
      </c>
      <c r="H482" s="9" t="s">
        <v>307</v>
      </c>
      <c r="I482" s="11" t="str">
        <f t="shared" si="7"/>
        <v>ID_Decisao</v>
      </c>
    </row>
    <row r="483" spans="1:9" ht="15" customHeight="1" x14ac:dyDescent="0.3">
      <c r="A483" s="9" t="s">
        <v>274</v>
      </c>
      <c r="B483" s="9" t="s">
        <v>276</v>
      </c>
      <c r="C483" s="9" t="s">
        <v>665</v>
      </c>
      <c r="D483" s="12">
        <v>2</v>
      </c>
      <c r="E483" s="9" t="s">
        <v>276</v>
      </c>
      <c r="F483" s="9" t="s">
        <v>665</v>
      </c>
      <c r="G483" s="12">
        <v>3</v>
      </c>
      <c r="H483" s="9" t="s">
        <v>307</v>
      </c>
      <c r="I483" s="11" t="str">
        <f t="shared" si="7"/>
        <v>Tipo_Saida_9_3_3</v>
      </c>
    </row>
    <row r="484" spans="1:9" ht="15" customHeight="1" x14ac:dyDescent="0.3">
      <c r="A484" s="9" t="s">
        <v>274</v>
      </c>
      <c r="B484" s="9" t="s">
        <v>276</v>
      </c>
      <c r="C484" s="9" t="s">
        <v>666</v>
      </c>
      <c r="D484" s="12">
        <v>3</v>
      </c>
      <c r="E484" s="9" t="s">
        <v>276</v>
      </c>
      <c r="F484" s="9" t="s">
        <v>666</v>
      </c>
      <c r="G484" s="12">
        <v>5</v>
      </c>
      <c r="H484" s="9" t="s">
        <v>307</v>
      </c>
      <c r="I484" s="11" t="str">
        <f t="shared" si="7"/>
        <v>Decisao_Tomada</v>
      </c>
    </row>
    <row r="485" spans="1:9" ht="15" customHeight="1" x14ac:dyDescent="0.3">
      <c r="A485" s="9" t="s">
        <v>274</v>
      </c>
      <c r="B485" s="9" t="s">
        <v>276</v>
      </c>
      <c r="C485" s="9" t="s">
        <v>385</v>
      </c>
      <c r="D485" s="12">
        <v>4</v>
      </c>
      <c r="E485" s="9" t="s">
        <v>276</v>
      </c>
      <c r="F485" s="9" t="s">
        <v>385</v>
      </c>
      <c r="G485" s="12">
        <v>8</v>
      </c>
      <c r="H485" s="9" t="s">
        <v>307</v>
      </c>
      <c r="I485" s="11" t="str">
        <f t="shared" si="7"/>
        <v>Responsavel</v>
      </c>
    </row>
    <row r="486" spans="1:9" ht="15" customHeight="1" x14ac:dyDescent="0.3">
      <c r="A486" s="9" t="s">
        <v>274</v>
      </c>
      <c r="B486" s="9" t="s">
        <v>276</v>
      </c>
      <c r="C486" s="9" t="s">
        <v>353</v>
      </c>
      <c r="D486" s="12">
        <v>5</v>
      </c>
      <c r="E486" s="9" t="s">
        <v>276</v>
      </c>
      <c r="F486" s="9" t="s">
        <v>353</v>
      </c>
      <c r="G486" s="12">
        <v>9</v>
      </c>
      <c r="H486" s="9" t="s">
        <v>307</v>
      </c>
      <c r="I486" s="11" t="str">
        <f t="shared" si="7"/>
        <v>Prazo</v>
      </c>
    </row>
    <row r="487" spans="1:9" ht="15" customHeight="1" x14ac:dyDescent="0.3">
      <c r="A487" s="9" t="s">
        <v>274</v>
      </c>
      <c r="B487" s="9" t="s">
        <v>276</v>
      </c>
      <c r="C487" s="9" t="s">
        <v>470</v>
      </c>
      <c r="D487" s="12">
        <v>6</v>
      </c>
      <c r="E487" s="9" t="s">
        <v>276</v>
      </c>
      <c r="F487" s="9" t="s">
        <v>470</v>
      </c>
      <c r="G487" s="12">
        <v>6</v>
      </c>
      <c r="H487" s="9" t="s">
        <v>307</v>
      </c>
      <c r="I487" s="11" t="str">
        <f t="shared" si="7"/>
        <v>Recursos_EUR</v>
      </c>
    </row>
    <row r="488" spans="1:9" ht="15" customHeight="1" x14ac:dyDescent="0.3">
      <c r="A488" s="9" t="s">
        <v>274</v>
      </c>
      <c r="B488" s="9" t="s">
        <v>276</v>
      </c>
      <c r="C488" s="9" t="s">
        <v>667</v>
      </c>
      <c r="D488" s="12">
        <v>7</v>
      </c>
      <c r="E488" s="9" t="s">
        <v>276</v>
      </c>
      <c r="F488" s="9" t="s">
        <v>668</v>
      </c>
      <c r="G488" s="12">
        <v>10</v>
      </c>
      <c r="H488" s="9" t="s">
        <v>315</v>
      </c>
      <c r="I488" s="11" t="str">
        <f t="shared" si="7"/>
        <v>IDs_PAM</v>
      </c>
    </row>
    <row r="489" spans="1:9" ht="15" customHeight="1" x14ac:dyDescent="0.3">
      <c r="A489" s="9" t="s">
        <v>274</v>
      </c>
      <c r="B489" s="9" t="s">
        <v>276</v>
      </c>
      <c r="C489" s="9" t="s">
        <v>14</v>
      </c>
      <c r="D489" s="12">
        <v>8</v>
      </c>
      <c r="E489" s="9" t="s">
        <v>276</v>
      </c>
      <c r="F489" s="9"/>
      <c r="G489" s="12"/>
      <c r="H489" s="9" t="s">
        <v>336</v>
      </c>
      <c r="I489" s="11" t="str">
        <f t="shared" si="7"/>
        <v>Estado</v>
      </c>
    </row>
    <row r="490" spans="1:9" ht="15" customHeight="1" x14ac:dyDescent="0.3">
      <c r="A490" s="9" t="s">
        <v>274</v>
      </c>
      <c r="B490" s="9" t="s">
        <v>276</v>
      </c>
      <c r="C490" s="9" t="s">
        <v>452</v>
      </c>
      <c r="D490" s="12">
        <v>9</v>
      </c>
      <c r="E490" s="9" t="s">
        <v>276</v>
      </c>
      <c r="F490" s="9"/>
      <c r="G490" s="12"/>
      <c r="H490" s="9" t="s">
        <v>336</v>
      </c>
      <c r="I490" s="11" t="str">
        <f t="shared" si="7"/>
        <v>Alerta</v>
      </c>
    </row>
    <row r="491" spans="1:9" ht="15" customHeight="1" x14ac:dyDescent="0.3">
      <c r="A491" s="9" t="s">
        <v>274</v>
      </c>
      <c r="B491" s="9" t="s">
        <v>276</v>
      </c>
      <c r="C491" s="9"/>
      <c r="D491" s="12"/>
      <c r="E491" s="9" t="s">
        <v>276</v>
      </c>
      <c r="F491" s="9" t="s">
        <v>669</v>
      </c>
      <c r="G491" s="12">
        <v>2</v>
      </c>
      <c r="H491" s="9" t="s">
        <v>392</v>
      </c>
      <c r="I491" s="11" t="str">
        <f t="shared" si="7"/>
        <v>Ponto_Agenda</v>
      </c>
    </row>
    <row r="492" spans="1:9" ht="15" customHeight="1" x14ac:dyDescent="0.3">
      <c r="A492" s="9" t="s">
        <v>274</v>
      </c>
      <c r="B492" s="9" t="s">
        <v>276</v>
      </c>
      <c r="C492" s="9"/>
      <c r="D492" s="12"/>
      <c r="E492" s="9" t="s">
        <v>276</v>
      </c>
      <c r="F492" s="9" t="s">
        <v>670</v>
      </c>
      <c r="G492" s="12">
        <v>4</v>
      </c>
      <c r="H492" s="9" t="s">
        <v>392</v>
      </c>
      <c r="I492" s="11" t="str">
        <f t="shared" si="7"/>
        <v>Problema_Analise</v>
      </c>
    </row>
    <row r="493" spans="1:9" ht="15" customHeight="1" x14ac:dyDescent="0.3">
      <c r="A493" s="9" t="s">
        <v>274</v>
      </c>
      <c r="B493" s="9" t="s">
        <v>276</v>
      </c>
      <c r="C493" s="9"/>
      <c r="D493" s="12"/>
      <c r="E493" s="9" t="s">
        <v>276</v>
      </c>
      <c r="F493" s="9" t="s">
        <v>671</v>
      </c>
      <c r="G493" s="12">
        <v>7</v>
      </c>
      <c r="H493" s="9" t="s">
        <v>392</v>
      </c>
      <c r="I493" s="11" t="str">
        <f t="shared" si="7"/>
        <v>Recursos_Pessoas</v>
      </c>
    </row>
    <row r="494" spans="1:9" ht="15" customHeight="1" x14ac:dyDescent="0.3">
      <c r="A494" s="9" t="s">
        <v>274</v>
      </c>
      <c r="B494" s="9" t="s">
        <v>276</v>
      </c>
      <c r="C494" s="9"/>
      <c r="D494" s="12"/>
      <c r="E494" s="9" t="s">
        <v>276</v>
      </c>
      <c r="F494" s="9" t="s">
        <v>403</v>
      </c>
      <c r="G494" s="12">
        <v>11</v>
      </c>
      <c r="H494" s="9" t="s">
        <v>392</v>
      </c>
      <c r="I494" s="11" t="str">
        <f t="shared" si="7"/>
        <v>Dias_ate_Prazo</v>
      </c>
    </row>
    <row r="495" spans="1:9" ht="15" customHeight="1" x14ac:dyDescent="0.3">
      <c r="A495" s="9" t="s">
        <v>277</v>
      </c>
      <c r="B495" s="9" t="s">
        <v>279</v>
      </c>
      <c r="C495" s="9" t="s">
        <v>672</v>
      </c>
      <c r="D495" s="12">
        <v>1</v>
      </c>
      <c r="E495" s="9" t="s">
        <v>281</v>
      </c>
      <c r="F495" s="9" t="s">
        <v>673</v>
      </c>
      <c r="G495" s="12">
        <v>1</v>
      </c>
      <c r="H495" s="9" t="s">
        <v>315</v>
      </c>
      <c r="I495" s="11" t="str">
        <f t="shared" si="7"/>
        <v>ID_KZ</v>
      </c>
    </row>
    <row r="496" spans="1:9" ht="15" customHeight="1" x14ac:dyDescent="0.3">
      <c r="A496" s="9" t="s">
        <v>277</v>
      </c>
      <c r="B496" s="9" t="s">
        <v>279</v>
      </c>
      <c r="C496" s="9" t="s">
        <v>477</v>
      </c>
      <c r="D496" s="12">
        <v>2</v>
      </c>
      <c r="E496" s="9" t="s">
        <v>281</v>
      </c>
      <c r="F496" s="9" t="s">
        <v>477</v>
      </c>
      <c r="G496" s="12">
        <v>2</v>
      </c>
      <c r="H496" s="9" t="s">
        <v>307</v>
      </c>
      <c r="I496" s="11" t="str">
        <f t="shared" si="7"/>
        <v>Data</v>
      </c>
    </row>
    <row r="497" spans="1:9" ht="15" customHeight="1" x14ac:dyDescent="0.3">
      <c r="A497" s="9" t="s">
        <v>277</v>
      </c>
      <c r="B497" s="9" t="s">
        <v>279</v>
      </c>
      <c r="C497" s="9" t="s">
        <v>674</v>
      </c>
      <c r="D497" s="12">
        <v>3</v>
      </c>
      <c r="E497" s="9" t="s">
        <v>281</v>
      </c>
      <c r="F497" s="9" t="s">
        <v>674</v>
      </c>
      <c r="G497" s="12">
        <v>3</v>
      </c>
      <c r="H497" s="9" t="s">
        <v>307</v>
      </c>
      <c r="I497" s="11" t="str">
        <f t="shared" si="7"/>
        <v>Proponente</v>
      </c>
    </row>
    <row r="498" spans="1:9" ht="15" customHeight="1" x14ac:dyDescent="0.3">
      <c r="A498" s="9" t="s">
        <v>277</v>
      </c>
      <c r="B498" s="9" t="s">
        <v>279</v>
      </c>
      <c r="C498" s="9" t="s">
        <v>342</v>
      </c>
      <c r="D498" s="12">
        <v>4</v>
      </c>
      <c r="E498" s="9" t="s">
        <v>281</v>
      </c>
      <c r="F498" s="9" t="s">
        <v>649</v>
      </c>
      <c r="G498" s="12">
        <v>4</v>
      </c>
      <c r="H498" s="9" t="s">
        <v>315</v>
      </c>
      <c r="I498" s="11" t="str">
        <f t="shared" si="7"/>
        <v>Area</v>
      </c>
    </row>
    <row r="499" spans="1:9" ht="15" customHeight="1" x14ac:dyDescent="0.3">
      <c r="A499" s="9" t="s">
        <v>277</v>
      </c>
      <c r="B499" s="9" t="s">
        <v>279</v>
      </c>
      <c r="C499" s="9" t="s">
        <v>675</v>
      </c>
      <c r="D499" s="12">
        <v>5</v>
      </c>
      <c r="E499" s="9" t="s">
        <v>281</v>
      </c>
      <c r="F499" s="9" t="s">
        <v>310</v>
      </c>
      <c r="G499" s="12">
        <v>6</v>
      </c>
      <c r="H499" s="9" t="s">
        <v>315</v>
      </c>
      <c r="I499" s="11" t="str">
        <f t="shared" si="7"/>
        <v>Descricao</v>
      </c>
    </row>
    <row r="500" spans="1:9" ht="15" customHeight="1" x14ac:dyDescent="0.3">
      <c r="A500" s="9" t="s">
        <v>277</v>
      </c>
      <c r="B500" s="9" t="s">
        <v>279</v>
      </c>
      <c r="C500" s="9" t="s">
        <v>14</v>
      </c>
      <c r="D500" s="12">
        <v>6</v>
      </c>
      <c r="E500" s="9" t="s">
        <v>281</v>
      </c>
      <c r="F500" s="9" t="s">
        <v>14</v>
      </c>
      <c r="G500" s="12">
        <v>14</v>
      </c>
      <c r="H500" s="9" t="s">
        <v>307</v>
      </c>
      <c r="I500" s="11" t="str">
        <f t="shared" si="7"/>
        <v>Estado</v>
      </c>
    </row>
    <row r="501" spans="1:9" ht="15" customHeight="1" x14ac:dyDescent="0.3">
      <c r="A501" s="9" t="s">
        <v>277</v>
      </c>
      <c r="B501" s="9" t="s">
        <v>279</v>
      </c>
      <c r="C501" s="9" t="s">
        <v>667</v>
      </c>
      <c r="D501" s="12">
        <v>7</v>
      </c>
      <c r="E501" s="9" t="s">
        <v>281</v>
      </c>
      <c r="F501" s="9"/>
      <c r="G501" s="12"/>
      <c r="H501" s="9" t="s">
        <v>336</v>
      </c>
      <c r="I501" s="11" t="str">
        <f t="shared" si="7"/>
        <v>Ligacao</v>
      </c>
    </row>
    <row r="502" spans="1:9" ht="15" customHeight="1" x14ac:dyDescent="0.3">
      <c r="A502" s="9" t="s">
        <v>277</v>
      </c>
      <c r="B502" s="9" t="s">
        <v>279</v>
      </c>
      <c r="C502" s="9" t="s">
        <v>676</v>
      </c>
      <c r="D502" s="12">
        <v>8</v>
      </c>
      <c r="E502" s="9" t="s">
        <v>281</v>
      </c>
      <c r="F502" s="9"/>
      <c r="G502" s="12"/>
      <c r="H502" s="9" t="s">
        <v>336</v>
      </c>
      <c r="I502" s="11" t="str">
        <f t="shared" si="7"/>
        <v>Dias_Resposta</v>
      </c>
    </row>
    <row r="503" spans="1:9" ht="15" customHeight="1" x14ac:dyDescent="0.3">
      <c r="A503" s="9" t="s">
        <v>277</v>
      </c>
      <c r="B503" s="9" t="s">
        <v>279</v>
      </c>
      <c r="C503" s="9"/>
      <c r="D503" s="12"/>
      <c r="E503" s="9" t="s">
        <v>281</v>
      </c>
      <c r="F503" s="9" t="s">
        <v>526</v>
      </c>
      <c r="G503" s="12">
        <v>5</v>
      </c>
      <c r="H503" s="9" t="s">
        <v>392</v>
      </c>
      <c r="I503" s="11" t="str">
        <f t="shared" si="7"/>
        <v>Titulo</v>
      </c>
    </row>
    <row r="504" spans="1:9" ht="15" customHeight="1" x14ac:dyDescent="0.3">
      <c r="A504" s="9" t="s">
        <v>277</v>
      </c>
      <c r="B504" s="9" t="s">
        <v>279</v>
      </c>
      <c r="C504" s="9"/>
      <c r="D504" s="12"/>
      <c r="E504" s="9" t="s">
        <v>281</v>
      </c>
      <c r="F504" s="9" t="s">
        <v>677</v>
      </c>
      <c r="G504" s="12">
        <v>7</v>
      </c>
      <c r="H504" s="9" t="s">
        <v>392</v>
      </c>
      <c r="I504" s="11" t="str">
        <f t="shared" si="7"/>
        <v>Beneficio_Ambiental</v>
      </c>
    </row>
    <row r="505" spans="1:9" ht="15" customHeight="1" x14ac:dyDescent="0.3">
      <c r="A505" s="9" t="s">
        <v>277</v>
      </c>
      <c r="B505" s="9" t="s">
        <v>279</v>
      </c>
      <c r="C505" s="9"/>
      <c r="D505" s="12"/>
      <c r="E505" s="9" t="s">
        <v>281</v>
      </c>
      <c r="F505" s="9" t="s">
        <v>678</v>
      </c>
      <c r="G505" s="12">
        <v>8</v>
      </c>
      <c r="H505" s="9" t="s">
        <v>392</v>
      </c>
      <c r="I505" s="11" t="str">
        <f t="shared" si="7"/>
        <v>Beneficio_Economico</v>
      </c>
    </row>
    <row r="506" spans="1:9" ht="15" customHeight="1" x14ac:dyDescent="0.3">
      <c r="A506" s="9" t="s">
        <v>277</v>
      </c>
      <c r="B506" s="9" t="s">
        <v>279</v>
      </c>
      <c r="C506" s="9"/>
      <c r="D506" s="12"/>
      <c r="E506" s="9" t="s">
        <v>281</v>
      </c>
      <c r="F506" s="9" t="s">
        <v>679</v>
      </c>
      <c r="G506" s="12">
        <v>9</v>
      </c>
      <c r="H506" s="9" t="s">
        <v>392</v>
      </c>
      <c r="I506" s="11" t="str">
        <f t="shared" si="7"/>
        <v>Unidade_Poupanca</v>
      </c>
    </row>
    <row r="507" spans="1:9" ht="15" customHeight="1" x14ac:dyDescent="0.3">
      <c r="A507" s="9" t="s">
        <v>277</v>
      </c>
      <c r="B507" s="9" t="s">
        <v>279</v>
      </c>
      <c r="C507" s="9"/>
      <c r="D507" s="12"/>
      <c r="E507" s="9" t="s">
        <v>281</v>
      </c>
      <c r="F507" s="9" t="s">
        <v>680</v>
      </c>
      <c r="G507" s="12">
        <v>10</v>
      </c>
      <c r="H507" s="9" t="s">
        <v>392</v>
      </c>
      <c r="I507" s="11" t="str">
        <f t="shared" si="7"/>
        <v>Driver_Mensal</v>
      </c>
    </row>
    <row r="508" spans="1:9" ht="15" customHeight="1" x14ac:dyDescent="0.3">
      <c r="A508" s="9" t="s">
        <v>277</v>
      </c>
      <c r="B508" s="9" t="s">
        <v>279</v>
      </c>
      <c r="C508" s="9"/>
      <c r="D508" s="12"/>
      <c r="E508" s="9" t="s">
        <v>281</v>
      </c>
      <c r="F508" s="9" t="s">
        <v>681</v>
      </c>
      <c r="G508" s="12">
        <v>11</v>
      </c>
      <c r="H508" s="9" t="s">
        <v>392</v>
      </c>
      <c r="I508" s="11" t="str">
        <f t="shared" si="7"/>
        <v>Fator_Poupanca</v>
      </c>
    </row>
    <row r="509" spans="1:9" ht="15" customHeight="1" x14ac:dyDescent="0.3">
      <c r="A509" s="9" t="s">
        <v>277</v>
      </c>
      <c r="B509" s="9" t="s">
        <v>279</v>
      </c>
      <c r="C509" s="9"/>
      <c r="D509" s="12"/>
      <c r="E509" s="9" t="s">
        <v>281</v>
      </c>
      <c r="F509" s="9" t="s">
        <v>682</v>
      </c>
      <c r="G509" s="12">
        <v>12</v>
      </c>
      <c r="H509" s="9" t="s">
        <v>392</v>
      </c>
      <c r="I509" s="11" t="str">
        <f t="shared" si="7"/>
        <v>Custo_Unitario_EUR</v>
      </c>
    </row>
    <row r="510" spans="1:9" ht="15" customHeight="1" x14ac:dyDescent="0.3">
      <c r="A510" s="9" t="s">
        <v>277</v>
      </c>
      <c r="B510" s="9" t="s">
        <v>279</v>
      </c>
      <c r="C510" s="9"/>
      <c r="D510" s="12"/>
      <c r="E510" s="9" t="s">
        <v>281</v>
      </c>
      <c r="F510" s="9" t="s">
        <v>683</v>
      </c>
      <c r="G510" s="12">
        <v>13</v>
      </c>
      <c r="H510" s="9" t="s">
        <v>392</v>
      </c>
      <c r="I510" s="11" t="str">
        <f t="shared" si="7"/>
        <v>Custo_Implementacao_EUR</v>
      </c>
    </row>
    <row r="511" spans="1:9" ht="15" customHeight="1" x14ac:dyDescent="0.3">
      <c r="A511" s="9" t="s">
        <v>277</v>
      </c>
      <c r="B511" s="9" t="s">
        <v>279</v>
      </c>
      <c r="C511" s="9"/>
      <c r="D511" s="12"/>
      <c r="E511" s="9" t="s">
        <v>281</v>
      </c>
      <c r="F511" s="9" t="s">
        <v>648</v>
      </c>
      <c r="G511" s="12">
        <v>15</v>
      </c>
      <c r="H511" s="9" t="s">
        <v>392</v>
      </c>
      <c r="I511" s="11" t="str">
        <f t="shared" si="7"/>
        <v>ID_PAM</v>
      </c>
    </row>
    <row r="512" spans="1:9" ht="15" customHeight="1" x14ac:dyDescent="0.3">
      <c r="A512" s="9" t="s">
        <v>277</v>
      </c>
      <c r="B512" s="9" t="s">
        <v>279</v>
      </c>
      <c r="C512" s="9"/>
      <c r="D512" s="12"/>
      <c r="E512" s="9" t="s">
        <v>281</v>
      </c>
      <c r="F512" s="9" t="s">
        <v>684</v>
      </c>
      <c r="G512" s="12">
        <v>16</v>
      </c>
      <c r="H512" s="9" t="s">
        <v>392</v>
      </c>
      <c r="I512" s="11" t="str">
        <f t="shared" si="7"/>
        <v>Selecionado_Atv_6_2</v>
      </c>
    </row>
    <row r="513" spans="1:9" ht="15" customHeight="1" x14ac:dyDescent="0.3">
      <c r="A513" s="9" t="s">
        <v>277</v>
      </c>
      <c r="B513" s="9" t="s">
        <v>279</v>
      </c>
      <c r="C513" s="9"/>
      <c r="D513" s="12"/>
      <c r="E513" s="9" t="s">
        <v>281</v>
      </c>
      <c r="F513" s="9" t="s">
        <v>685</v>
      </c>
      <c r="G513" s="12">
        <v>17</v>
      </c>
      <c r="H513" s="9" t="s">
        <v>392</v>
      </c>
      <c r="I513" s="11" t="str">
        <f t="shared" si="7"/>
        <v>Pressupostos</v>
      </c>
    </row>
    <row r="514" spans="1:9" ht="15" customHeight="1" x14ac:dyDescent="0.3">
      <c r="A514" s="9" t="s">
        <v>277</v>
      </c>
      <c r="B514" s="9" t="s">
        <v>279</v>
      </c>
      <c r="C514" s="9"/>
      <c r="D514" s="12"/>
      <c r="E514" s="9" t="s">
        <v>281</v>
      </c>
      <c r="F514" s="9" t="s">
        <v>686</v>
      </c>
      <c r="G514" s="12">
        <v>18</v>
      </c>
      <c r="H514" s="9" t="s">
        <v>392</v>
      </c>
      <c r="I514" s="11" t="str">
        <f t="shared" si="7"/>
        <v>Poupanca_Anual_Qtd</v>
      </c>
    </row>
    <row r="515" spans="1:9" ht="15" customHeight="1" x14ac:dyDescent="0.3">
      <c r="A515" s="9" t="s">
        <v>277</v>
      </c>
      <c r="B515" s="9" t="s">
        <v>279</v>
      </c>
      <c r="C515" s="9"/>
      <c r="D515" s="12"/>
      <c r="E515" s="9" t="s">
        <v>281</v>
      </c>
      <c r="F515" s="9" t="s">
        <v>687</v>
      </c>
      <c r="G515" s="12">
        <v>19</v>
      </c>
      <c r="H515" s="9" t="s">
        <v>392</v>
      </c>
      <c r="I515" s="11" t="str">
        <f t="shared" si="7"/>
        <v>Poupanca_Anual_EUR</v>
      </c>
    </row>
    <row r="516" spans="1:9" ht="15" customHeight="1" x14ac:dyDescent="0.3">
      <c r="A516" s="9" t="s">
        <v>277</v>
      </c>
      <c r="B516" s="9" t="s">
        <v>279</v>
      </c>
      <c r="C516" s="9"/>
      <c r="D516" s="12"/>
      <c r="E516" s="9" t="s">
        <v>281</v>
      </c>
      <c r="F516" s="9" t="s">
        <v>688</v>
      </c>
      <c r="G516" s="12">
        <v>20</v>
      </c>
      <c r="H516" s="9" t="s">
        <v>392</v>
      </c>
      <c r="I516" s="11" t="str">
        <f t="shared" si="7"/>
        <v>Payback_Meses</v>
      </c>
    </row>
    <row r="517" spans="1:9" ht="15" customHeight="1" x14ac:dyDescent="0.3">
      <c r="A517" s="9" t="s">
        <v>277</v>
      </c>
      <c r="B517" s="9" t="s">
        <v>279</v>
      </c>
      <c r="C517" s="9"/>
      <c r="D517" s="12"/>
      <c r="E517" s="9" t="s">
        <v>281</v>
      </c>
      <c r="F517" s="9" t="s">
        <v>689</v>
      </c>
      <c r="G517" s="12">
        <v>21</v>
      </c>
      <c r="H517" s="9" t="s">
        <v>392</v>
      </c>
      <c r="I517" s="11" t="str">
        <f t="shared" ref="I517:I550" si="8">IF(A517="","",IF(F517&lt;&gt;"",F517,C517))</f>
        <v>tCO2e_Evitadas_Ano</v>
      </c>
    </row>
    <row r="518" spans="1:9" ht="15" customHeight="1" x14ac:dyDescent="0.3">
      <c r="A518" s="9" t="s">
        <v>277</v>
      </c>
      <c r="B518" s="9" t="s">
        <v>279</v>
      </c>
      <c r="C518" s="9"/>
      <c r="D518" s="12"/>
      <c r="E518" s="9" t="s">
        <v>281</v>
      </c>
      <c r="F518" s="9" t="s">
        <v>690</v>
      </c>
      <c r="G518" s="12">
        <v>22</v>
      </c>
      <c r="H518" s="9" t="s">
        <v>392</v>
      </c>
      <c r="I518" s="11" t="str">
        <f t="shared" si="8"/>
        <v>Custo_Zero</v>
      </c>
    </row>
    <row r="519" spans="1:9" ht="15" customHeight="1" x14ac:dyDescent="0.3">
      <c r="A519" s="9" t="s">
        <v>282</v>
      </c>
      <c r="B519" s="9" t="s">
        <v>284</v>
      </c>
      <c r="C519" s="9" t="s">
        <v>80</v>
      </c>
      <c r="D519" s="12">
        <v>1</v>
      </c>
      <c r="E519" s="9" t="s">
        <v>284</v>
      </c>
      <c r="F519" s="9" t="s">
        <v>80</v>
      </c>
      <c r="G519" s="12">
        <v>1</v>
      </c>
      <c r="H519" s="9" t="s">
        <v>307</v>
      </c>
      <c r="I519" s="11" t="str">
        <f t="shared" si="8"/>
        <v>Ficheiro</v>
      </c>
    </row>
    <row r="520" spans="1:9" ht="15" customHeight="1" x14ac:dyDescent="0.3">
      <c r="A520" s="9" t="s">
        <v>282</v>
      </c>
      <c r="B520" s="9" t="s">
        <v>284</v>
      </c>
      <c r="C520" s="9" t="s">
        <v>81</v>
      </c>
      <c r="D520" s="12">
        <v>2</v>
      </c>
      <c r="E520" s="9" t="s">
        <v>284</v>
      </c>
      <c r="F520" s="9" t="s">
        <v>81</v>
      </c>
      <c r="G520" s="12">
        <v>2</v>
      </c>
      <c r="H520" s="9" t="s">
        <v>307</v>
      </c>
      <c r="I520" s="11" t="str">
        <f t="shared" si="8"/>
        <v>Codigo</v>
      </c>
    </row>
    <row r="521" spans="1:9" ht="15" customHeight="1" x14ac:dyDescent="0.3">
      <c r="A521" s="9" t="s">
        <v>282</v>
      </c>
      <c r="B521" s="9" t="s">
        <v>284</v>
      </c>
      <c r="C521" s="9" t="s">
        <v>82</v>
      </c>
      <c r="D521" s="12">
        <v>3</v>
      </c>
      <c r="E521" s="9" t="s">
        <v>284</v>
      </c>
      <c r="F521" s="9" t="s">
        <v>82</v>
      </c>
      <c r="G521" s="12">
        <v>3</v>
      </c>
      <c r="H521" s="9" t="s">
        <v>307</v>
      </c>
      <c r="I521" s="11" t="str">
        <f t="shared" si="8"/>
        <v>Conteudo</v>
      </c>
    </row>
    <row r="522" spans="1:9" ht="15" customHeight="1" x14ac:dyDescent="0.3">
      <c r="A522" s="9" t="s">
        <v>282</v>
      </c>
      <c r="B522" s="9" t="s">
        <v>284</v>
      </c>
      <c r="C522" s="9" t="s">
        <v>83</v>
      </c>
      <c r="D522" s="12">
        <v>4</v>
      </c>
      <c r="E522" s="9" t="s">
        <v>284</v>
      </c>
      <c r="F522" s="9" t="s">
        <v>83</v>
      </c>
      <c r="G522" s="12">
        <v>4</v>
      </c>
      <c r="H522" s="9" t="s">
        <v>307</v>
      </c>
      <c r="I522" s="11" t="str">
        <f t="shared" si="8"/>
        <v>Atividades</v>
      </c>
    </row>
    <row r="523" spans="1:9" ht="15" customHeight="1" x14ac:dyDescent="0.3">
      <c r="A523" s="9" t="s">
        <v>282</v>
      </c>
      <c r="B523" s="9" t="s">
        <v>284</v>
      </c>
      <c r="C523" s="9" t="s">
        <v>84</v>
      </c>
      <c r="D523" s="12">
        <v>5</v>
      </c>
      <c r="E523" s="9" t="s">
        <v>284</v>
      </c>
      <c r="F523" s="9" t="s">
        <v>84</v>
      </c>
      <c r="G523" s="12">
        <v>5</v>
      </c>
      <c r="H523" s="9" t="s">
        <v>307</v>
      </c>
      <c r="I523" s="11" t="str">
        <f t="shared" si="8"/>
        <v>Clausulas</v>
      </c>
    </row>
    <row r="524" spans="1:9" ht="15" customHeight="1" x14ac:dyDescent="0.3">
      <c r="A524" s="9" t="s">
        <v>286</v>
      </c>
      <c r="B524" s="9" t="s">
        <v>288</v>
      </c>
      <c r="C524" s="9" t="s">
        <v>691</v>
      </c>
      <c r="D524" s="12">
        <v>1</v>
      </c>
      <c r="E524" s="9" t="s">
        <v>288</v>
      </c>
      <c r="F524" s="9" t="s">
        <v>691</v>
      </c>
      <c r="G524" s="12">
        <v>1</v>
      </c>
      <c r="H524" s="9" t="s">
        <v>307</v>
      </c>
      <c r="I524" s="11" t="str">
        <f t="shared" si="8"/>
        <v>ID_Requisito</v>
      </c>
    </row>
    <row r="525" spans="1:9" ht="15" customHeight="1" x14ac:dyDescent="0.3">
      <c r="A525" s="9" t="s">
        <v>286</v>
      </c>
      <c r="B525" s="9" t="s">
        <v>288</v>
      </c>
      <c r="C525" s="9" t="s">
        <v>500</v>
      </c>
      <c r="D525" s="12">
        <v>2</v>
      </c>
      <c r="E525" s="9" t="s">
        <v>288</v>
      </c>
      <c r="F525" s="9" t="s">
        <v>500</v>
      </c>
      <c r="G525" s="12">
        <v>2</v>
      </c>
      <c r="H525" s="9" t="s">
        <v>307</v>
      </c>
      <c r="I525" s="11" t="str">
        <f t="shared" si="8"/>
        <v>Clausula</v>
      </c>
    </row>
    <row r="526" spans="1:9" ht="15" customHeight="1" x14ac:dyDescent="0.3">
      <c r="A526" s="9" t="s">
        <v>286</v>
      </c>
      <c r="B526" s="9" t="s">
        <v>288</v>
      </c>
      <c r="C526" s="9" t="s">
        <v>692</v>
      </c>
      <c r="D526" s="12">
        <v>3</v>
      </c>
      <c r="E526" s="9" t="s">
        <v>288</v>
      </c>
      <c r="F526" s="9" t="s">
        <v>692</v>
      </c>
      <c r="G526" s="12">
        <v>3</v>
      </c>
      <c r="H526" s="9" t="s">
        <v>307</v>
      </c>
      <c r="I526" s="11" t="str">
        <f t="shared" si="8"/>
        <v>Grupo</v>
      </c>
    </row>
    <row r="527" spans="1:9" ht="15" customHeight="1" x14ac:dyDescent="0.3">
      <c r="A527" s="9" t="s">
        <v>286</v>
      </c>
      <c r="B527" s="9" t="s">
        <v>288</v>
      </c>
      <c r="C527" s="9" t="s">
        <v>693</v>
      </c>
      <c r="D527" s="12">
        <v>4</v>
      </c>
      <c r="E527" s="9" t="s">
        <v>288</v>
      </c>
      <c r="F527" s="9" t="s">
        <v>693</v>
      </c>
      <c r="G527" s="12">
        <v>4</v>
      </c>
      <c r="H527" s="9" t="s">
        <v>307</v>
      </c>
      <c r="I527" s="11" t="str">
        <f t="shared" si="8"/>
        <v>Requisito</v>
      </c>
    </row>
    <row r="528" spans="1:9" ht="15" customHeight="1" x14ac:dyDescent="0.3">
      <c r="A528" s="9" t="s">
        <v>286</v>
      </c>
      <c r="B528" s="9" t="s">
        <v>288</v>
      </c>
      <c r="C528" s="9" t="s">
        <v>694</v>
      </c>
      <c r="D528" s="12">
        <v>5</v>
      </c>
      <c r="E528" s="9" t="s">
        <v>288</v>
      </c>
      <c r="F528" s="9" t="s">
        <v>694</v>
      </c>
      <c r="G528" s="12">
        <v>5</v>
      </c>
      <c r="H528" s="9" t="s">
        <v>307</v>
      </c>
      <c r="I528" s="11" t="str">
        <f t="shared" si="8"/>
        <v>Novo_ou_Alterado_2026</v>
      </c>
    </row>
    <row r="529" spans="1:9" ht="15" customHeight="1" x14ac:dyDescent="0.3">
      <c r="A529" s="9" t="s">
        <v>286</v>
      </c>
      <c r="B529" s="9" t="s">
        <v>288</v>
      </c>
      <c r="C529" s="9" t="s">
        <v>695</v>
      </c>
      <c r="D529" s="12">
        <v>6</v>
      </c>
      <c r="E529" s="9" t="s">
        <v>288</v>
      </c>
      <c r="F529" s="9" t="s">
        <v>695</v>
      </c>
      <c r="G529" s="12">
        <v>6</v>
      </c>
      <c r="H529" s="9" t="s">
        <v>307</v>
      </c>
      <c r="I529" s="11" t="str">
        <f t="shared" si="8"/>
        <v>Informacao_Documentada</v>
      </c>
    </row>
    <row r="530" spans="1:9" ht="15" customHeight="1" x14ac:dyDescent="0.3">
      <c r="A530" s="9" t="s">
        <v>286</v>
      </c>
      <c r="B530" s="9" t="s">
        <v>288</v>
      </c>
      <c r="C530" s="9" t="s">
        <v>696</v>
      </c>
      <c r="D530" s="12">
        <v>7</v>
      </c>
      <c r="E530" s="9" t="s">
        <v>288</v>
      </c>
      <c r="F530" s="9" t="s">
        <v>696</v>
      </c>
      <c r="G530" s="12">
        <v>7</v>
      </c>
      <c r="H530" s="9" t="s">
        <v>307</v>
      </c>
      <c r="I530" s="11" t="str">
        <f t="shared" si="8"/>
        <v>Documento</v>
      </c>
    </row>
    <row r="531" spans="1:9" ht="15" customHeight="1" x14ac:dyDescent="0.3">
      <c r="A531" s="9" t="s">
        <v>286</v>
      </c>
      <c r="B531" s="9" t="s">
        <v>288</v>
      </c>
      <c r="C531" s="9" t="s">
        <v>697</v>
      </c>
      <c r="D531" s="12">
        <v>8</v>
      </c>
      <c r="E531" s="9" t="s">
        <v>288</v>
      </c>
      <c r="F531" s="9" t="s">
        <v>697</v>
      </c>
      <c r="G531" s="12">
        <v>8</v>
      </c>
      <c r="H531" s="9" t="s">
        <v>307</v>
      </c>
      <c r="I531" s="11" t="str">
        <f t="shared" si="8"/>
        <v>Evidencia_Registo_Tabelas</v>
      </c>
    </row>
    <row r="532" spans="1:9" ht="15" customHeight="1" x14ac:dyDescent="0.3">
      <c r="A532" s="9" t="s">
        <v>286</v>
      </c>
      <c r="B532" s="9" t="s">
        <v>288</v>
      </c>
      <c r="C532" s="9" t="s">
        <v>14</v>
      </c>
      <c r="D532" s="12">
        <v>9</v>
      </c>
      <c r="E532" s="9" t="s">
        <v>288</v>
      </c>
      <c r="F532" s="9" t="s">
        <v>14</v>
      </c>
      <c r="G532" s="12">
        <v>9</v>
      </c>
      <c r="H532" s="9" t="s">
        <v>307</v>
      </c>
      <c r="I532" s="11" t="str">
        <f t="shared" si="8"/>
        <v>Estado</v>
      </c>
    </row>
    <row r="533" spans="1:9" ht="15" customHeight="1" x14ac:dyDescent="0.3">
      <c r="A533" s="9" t="s">
        <v>286</v>
      </c>
      <c r="B533" s="9" t="s">
        <v>288</v>
      </c>
      <c r="C533" s="9" t="s">
        <v>698</v>
      </c>
      <c r="D533" s="12">
        <v>10</v>
      </c>
      <c r="E533" s="9" t="s">
        <v>288</v>
      </c>
      <c r="F533" s="9" t="s">
        <v>698</v>
      </c>
      <c r="G533" s="12">
        <v>10</v>
      </c>
      <c r="H533" s="9" t="s">
        <v>307</v>
      </c>
      <c r="I533" s="11" t="str">
        <f t="shared" si="8"/>
        <v>Observacao</v>
      </c>
    </row>
    <row r="534" spans="1:9" ht="15" customHeight="1" x14ac:dyDescent="0.3">
      <c r="A534" s="9" t="s">
        <v>286</v>
      </c>
      <c r="B534" s="9" t="s">
        <v>288</v>
      </c>
      <c r="C534" s="9" t="s">
        <v>699</v>
      </c>
      <c r="D534" s="12">
        <v>11</v>
      </c>
      <c r="E534" s="9" t="s">
        <v>288</v>
      </c>
      <c r="F534" s="9" t="s">
        <v>699</v>
      </c>
      <c r="G534" s="12">
        <v>11</v>
      </c>
      <c r="H534" s="9" t="s">
        <v>307</v>
      </c>
      <c r="I534" s="11" t="str">
        <f t="shared" si="8"/>
        <v>Acao</v>
      </c>
    </row>
    <row r="535" spans="1:9" ht="15" customHeight="1" x14ac:dyDescent="0.3">
      <c r="A535" s="9" t="s">
        <v>286</v>
      </c>
      <c r="B535" s="9" t="s">
        <v>288</v>
      </c>
      <c r="C535" s="9" t="s">
        <v>700</v>
      </c>
      <c r="D535" s="12">
        <v>12</v>
      </c>
      <c r="E535" s="9" t="s">
        <v>288</v>
      </c>
      <c r="F535" s="9" t="s">
        <v>700</v>
      </c>
      <c r="G535" s="12">
        <v>12</v>
      </c>
      <c r="H535" s="9" t="s">
        <v>307</v>
      </c>
      <c r="I535" s="11" t="str">
        <f t="shared" si="8"/>
        <v>Pontos</v>
      </c>
    </row>
    <row r="536" spans="1:9" ht="15" customHeight="1" x14ac:dyDescent="0.3">
      <c r="A536" s="9" t="s">
        <v>286</v>
      </c>
      <c r="B536" s="9" t="s">
        <v>288</v>
      </c>
      <c r="C536" s="9" t="s">
        <v>572</v>
      </c>
      <c r="D536" s="12">
        <v>13</v>
      </c>
      <c r="E536" s="9" t="s">
        <v>288</v>
      </c>
      <c r="F536" s="9"/>
      <c r="G536" s="12"/>
      <c r="H536" s="9" t="s">
        <v>336</v>
      </c>
      <c r="I536" s="11" t="str">
        <f t="shared" si="8"/>
        <v>Classe</v>
      </c>
    </row>
    <row r="537" spans="1:9" ht="15" customHeight="1" x14ac:dyDescent="0.3">
      <c r="A537" s="9" t="s">
        <v>289</v>
      </c>
      <c r="B537" s="9" t="s">
        <v>291</v>
      </c>
      <c r="C537" s="9" t="s">
        <v>183</v>
      </c>
      <c r="D537" s="12">
        <v>1</v>
      </c>
      <c r="E537" s="9" t="s">
        <v>291</v>
      </c>
      <c r="F537" s="9" t="s">
        <v>183</v>
      </c>
      <c r="G537" s="12">
        <v>1</v>
      </c>
      <c r="H537" s="9" t="s">
        <v>307</v>
      </c>
      <c r="I537" s="11" t="str">
        <f t="shared" si="8"/>
        <v>Assunto</v>
      </c>
    </row>
    <row r="538" spans="1:9" ht="15" customHeight="1" x14ac:dyDescent="0.3">
      <c r="A538" s="9" t="s">
        <v>289</v>
      </c>
      <c r="B538" s="9" t="s">
        <v>291</v>
      </c>
      <c r="C538" s="9" t="s">
        <v>701</v>
      </c>
      <c r="D538" s="12">
        <v>2</v>
      </c>
      <c r="E538" s="9" t="s">
        <v>291</v>
      </c>
      <c r="F538" s="9" t="s">
        <v>701</v>
      </c>
      <c r="G538" s="12">
        <v>2</v>
      </c>
      <c r="H538" s="9" t="s">
        <v>307</v>
      </c>
      <c r="I538" s="11" t="str">
        <f t="shared" si="8"/>
        <v>Registo_Dono</v>
      </c>
    </row>
    <row r="539" spans="1:9" ht="15" customHeight="1" x14ac:dyDescent="0.3">
      <c r="A539" s="9" t="s">
        <v>289</v>
      </c>
      <c r="B539" s="9" t="s">
        <v>291</v>
      </c>
      <c r="C539" s="9" t="s">
        <v>702</v>
      </c>
      <c r="D539" s="12">
        <v>3</v>
      </c>
      <c r="E539" s="9" t="s">
        <v>291</v>
      </c>
      <c r="F539" s="9" t="s">
        <v>702</v>
      </c>
      <c r="G539" s="12">
        <v>3</v>
      </c>
      <c r="H539" s="9" t="s">
        <v>307</v>
      </c>
      <c r="I539" s="11" t="str">
        <f t="shared" si="8"/>
        <v>Tabelas_Donas</v>
      </c>
    </row>
    <row r="540" spans="1:9" ht="15" customHeight="1" x14ac:dyDescent="0.3">
      <c r="A540" s="9" t="s">
        <v>289</v>
      </c>
      <c r="B540" s="9" t="s">
        <v>291</v>
      </c>
      <c r="C540" s="9" t="s">
        <v>703</v>
      </c>
      <c r="D540" s="12">
        <v>4</v>
      </c>
      <c r="E540" s="9" t="s">
        <v>291</v>
      </c>
      <c r="F540" s="9" t="s">
        <v>703</v>
      </c>
      <c r="G540" s="12">
        <v>4</v>
      </c>
      <c r="H540" s="9" t="s">
        <v>307</v>
      </c>
      <c r="I540" s="11" t="str">
        <f t="shared" si="8"/>
        <v>So_Referenciado_Em</v>
      </c>
    </row>
    <row r="541" spans="1:9" ht="15" customHeight="1" x14ac:dyDescent="0.3">
      <c r="A541" s="9" t="s">
        <v>289</v>
      </c>
      <c r="B541" s="9" t="s">
        <v>291</v>
      </c>
      <c r="C541" s="9" t="s">
        <v>704</v>
      </c>
      <c r="D541" s="12">
        <v>5</v>
      </c>
      <c r="E541" s="9" t="s">
        <v>291</v>
      </c>
      <c r="F541" s="9" t="s">
        <v>704</v>
      </c>
      <c r="G541" s="12">
        <v>5</v>
      </c>
      <c r="H541" s="9" t="s">
        <v>307</v>
      </c>
      <c r="I541" s="11" t="str">
        <f t="shared" si="8"/>
        <v>Regra_Nota</v>
      </c>
    </row>
    <row r="542" spans="1:9" ht="15" customHeight="1" x14ac:dyDescent="0.3">
      <c r="A542" s="9" t="s">
        <v>292</v>
      </c>
      <c r="B542" s="9" t="s">
        <v>294</v>
      </c>
      <c r="C542" s="9" t="s">
        <v>81</v>
      </c>
      <c r="D542" s="12">
        <v>1</v>
      </c>
      <c r="E542" s="9" t="s">
        <v>294</v>
      </c>
      <c r="F542" s="9" t="s">
        <v>81</v>
      </c>
      <c r="G542" s="12">
        <v>1</v>
      </c>
      <c r="H542" s="9" t="s">
        <v>307</v>
      </c>
      <c r="I542" s="11" t="str">
        <f t="shared" si="8"/>
        <v>Codigo</v>
      </c>
    </row>
    <row r="543" spans="1:9" ht="15" customHeight="1" x14ac:dyDescent="0.3">
      <c r="A543" s="9" t="s">
        <v>292</v>
      </c>
      <c r="B543" s="9" t="s">
        <v>294</v>
      </c>
      <c r="C543" s="9" t="s">
        <v>342</v>
      </c>
      <c r="D543" s="12">
        <v>2</v>
      </c>
      <c r="E543" s="9" t="s">
        <v>294</v>
      </c>
      <c r="F543" s="9" t="s">
        <v>342</v>
      </c>
      <c r="G543" s="12">
        <v>2</v>
      </c>
      <c r="H543" s="9" t="s">
        <v>307</v>
      </c>
      <c r="I543" s="11" t="str">
        <f t="shared" si="8"/>
        <v>Processo</v>
      </c>
    </row>
    <row r="544" spans="1:9" ht="15" customHeight="1" x14ac:dyDescent="0.3">
      <c r="A544" s="9" t="s">
        <v>292</v>
      </c>
      <c r="B544" s="9" t="s">
        <v>294</v>
      </c>
      <c r="C544" s="9" t="s">
        <v>361</v>
      </c>
      <c r="D544" s="12">
        <v>3</v>
      </c>
      <c r="E544" s="9" t="s">
        <v>294</v>
      </c>
      <c r="F544" s="9" t="s">
        <v>361</v>
      </c>
      <c r="G544" s="12">
        <v>3</v>
      </c>
      <c r="H544" s="9" t="s">
        <v>307</v>
      </c>
      <c r="I544" s="11" t="str">
        <f t="shared" si="8"/>
        <v>Tipo</v>
      </c>
    </row>
    <row r="545" spans="1:9" ht="15" customHeight="1" x14ac:dyDescent="0.3">
      <c r="A545" s="9" t="s">
        <v>292</v>
      </c>
      <c r="B545" s="9" t="s">
        <v>294</v>
      </c>
      <c r="C545" s="9" t="s">
        <v>705</v>
      </c>
      <c r="D545" s="12">
        <v>4</v>
      </c>
      <c r="E545" s="9" t="s">
        <v>294</v>
      </c>
      <c r="F545" s="9" t="s">
        <v>705</v>
      </c>
      <c r="G545" s="12">
        <v>4</v>
      </c>
      <c r="H545" s="9" t="s">
        <v>307</v>
      </c>
      <c r="I545" s="11" t="str">
        <f t="shared" si="8"/>
        <v>Maquinas_Dataset</v>
      </c>
    </row>
    <row r="546" spans="1:9" ht="15" customHeight="1" x14ac:dyDescent="0.3">
      <c r="A546" s="9" t="s">
        <v>292</v>
      </c>
      <c r="B546" s="9" t="s">
        <v>294</v>
      </c>
      <c r="C546" s="9" t="s">
        <v>330</v>
      </c>
      <c r="D546" s="12">
        <v>5</v>
      </c>
      <c r="E546" s="9" t="s">
        <v>294</v>
      </c>
      <c r="F546" s="9"/>
      <c r="G546" s="12"/>
      <c r="H546" s="9" t="s">
        <v>336</v>
      </c>
      <c r="I546" s="11" t="str">
        <f t="shared" si="8"/>
        <v>Dono</v>
      </c>
    </row>
    <row r="547" spans="1:9" ht="15" customHeight="1" x14ac:dyDescent="0.3">
      <c r="A547" s="9" t="s">
        <v>292</v>
      </c>
      <c r="B547" s="9" t="s">
        <v>294</v>
      </c>
      <c r="C547" s="9"/>
      <c r="D547" s="12"/>
      <c r="E547" s="9" t="s">
        <v>294</v>
      </c>
      <c r="F547" s="9" t="s">
        <v>706</v>
      </c>
      <c r="G547" s="12">
        <v>5</v>
      </c>
      <c r="H547" s="9" t="s">
        <v>392</v>
      </c>
      <c r="I547" s="11" t="str">
        <f t="shared" si="8"/>
        <v>Fase_Ciclo_Vida</v>
      </c>
    </row>
    <row r="548" spans="1:9" ht="15" customHeight="1" x14ac:dyDescent="0.3">
      <c r="A548" s="9" t="s">
        <v>295</v>
      </c>
      <c r="B548" s="9" t="s">
        <v>297</v>
      </c>
      <c r="C548" s="9" t="s">
        <v>707</v>
      </c>
      <c r="D548" s="12">
        <v>1</v>
      </c>
      <c r="E548" s="9" t="s">
        <v>297</v>
      </c>
      <c r="F548" s="9" t="s">
        <v>707</v>
      </c>
      <c r="G548" s="12">
        <v>1</v>
      </c>
      <c r="H548" s="9" t="s">
        <v>307</v>
      </c>
      <c r="I548" s="11" t="str">
        <f t="shared" si="8"/>
        <v>ID_Funcao</v>
      </c>
    </row>
    <row r="549" spans="1:9" ht="15" customHeight="1" x14ac:dyDescent="0.3">
      <c r="A549" s="9" t="s">
        <v>295</v>
      </c>
      <c r="B549" s="9" t="s">
        <v>297</v>
      </c>
      <c r="C549" s="9" t="s">
        <v>708</v>
      </c>
      <c r="D549" s="12">
        <v>2</v>
      </c>
      <c r="E549" s="9" t="s">
        <v>297</v>
      </c>
      <c r="F549" s="9" t="s">
        <v>708</v>
      </c>
      <c r="G549" s="12">
        <v>2</v>
      </c>
      <c r="H549" s="9" t="s">
        <v>307</v>
      </c>
      <c r="I549" s="11" t="str">
        <f t="shared" si="8"/>
        <v>Funcao</v>
      </c>
    </row>
    <row r="550" spans="1:9" ht="15" customHeight="1" x14ac:dyDescent="0.3">
      <c r="A550" s="9" t="s">
        <v>295</v>
      </c>
      <c r="B550" s="9" t="s">
        <v>297</v>
      </c>
      <c r="C550" s="9" t="s">
        <v>649</v>
      </c>
      <c r="D550" s="12">
        <v>3</v>
      </c>
      <c r="E550" s="9" t="s">
        <v>297</v>
      </c>
      <c r="F550" s="9" t="s">
        <v>649</v>
      </c>
      <c r="G550" s="12">
        <v>3</v>
      </c>
      <c r="H550" s="9" t="s">
        <v>307</v>
      </c>
      <c r="I550" s="11" t="str">
        <f t="shared" si="8"/>
        <v>Area</v>
      </c>
    </row>
  </sheetData>
  <conditionalFormatting sqref="H5:H750">
    <cfRule type="expression" dxfId="16" priority="1">
      <formula>ISNUMBER(SEARCH("Igual",H5))</formula>
    </cfRule>
    <cfRule type="expression" dxfId="15" priority="2">
      <formula>ISNUMBER(SEARCH("Equivalente",H5))</formula>
    </cfRule>
    <cfRule type="expression" dxfId="14" priority="3">
      <formula>ISNUMBER(SEARCH("Só SGQ",H5))</formula>
    </cfRule>
    <cfRule type="expression" dxfId="13" priority="4">
      <formula>ISNUMBER(SEARCH("Só SGA",H5))</formula>
    </cfRule>
  </conditionalFormatting>
  <dataValidations count="1">
    <dataValidation type="list" allowBlank="1" showErrorMessage="1" errorTitle="Valor inválido" error="Valor fora da lista controlada (ver folha Listas)." sqref="H5:H750" xr:uid="{00000000-0002-0000-0300-000000000000}">
      <formula1>lst_Correspondencia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1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4" customWidth="1"/>
    <col min="2" max="2" width="26" customWidth="1"/>
    <col min="3" max="3" width="24" customWidth="1"/>
    <col min="4" max="6" width="8" customWidth="1"/>
    <col min="7" max="7" width="18" customWidth="1"/>
    <col min="8" max="8" width="80" customWidth="1"/>
  </cols>
  <sheetData>
    <row r="1" spans="1:8" ht="39.6" x14ac:dyDescent="0.3">
      <c r="A1" s="8" t="s">
        <v>80</v>
      </c>
      <c r="B1" s="8" t="s">
        <v>709</v>
      </c>
      <c r="C1" s="8" t="s">
        <v>710</v>
      </c>
      <c r="D1" s="8" t="s">
        <v>711</v>
      </c>
      <c r="E1" s="8" t="s">
        <v>712</v>
      </c>
      <c r="F1" s="8" t="s">
        <v>713</v>
      </c>
      <c r="G1" s="8" t="s">
        <v>714</v>
      </c>
      <c r="H1" s="8" t="s">
        <v>715</v>
      </c>
    </row>
    <row r="2" spans="1:8" x14ac:dyDescent="0.3">
      <c r="A2" s="9" t="s">
        <v>85</v>
      </c>
      <c r="B2" s="9" t="s">
        <v>716</v>
      </c>
      <c r="C2" s="9" t="s">
        <v>198</v>
      </c>
      <c r="D2" s="12">
        <v>4</v>
      </c>
      <c r="E2" s="12">
        <v>11</v>
      </c>
      <c r="F2" s="12">
        <v>27</v>
      </c>
      <c r="G2" s="9" t="s">
        <v>306</v>
      </c>
      <c r="H2" s="9" t="s">
        <v>717</v>
      </c>
    </row>
    <row r="3" spans="1:8" x14ac:dyDescent="0.3">
      <c r="A3" s="9" t="s">
        <v>85</v>
      </c>
      <c r="B3" s="9" t="s">
        <v>718</v>
      </c>
      <c r="C3" s="9" t="s">
        <v>202</v>
      </c>
      <c r="D3" s="12">
        <v>4</v>
      </c>
      <c r="E3" s="12">
        <v>16</v>
      </c>
      <c r="F3" s="12">
        <v>19</v>
      </c>
      <c r="G3" s="9" t="s">
        <v>325</v>
      </c>
      <c r="H3" s="9" t="s">
        <v>719</v>
      </c>
    </row>
    <row r="4" spans="1:8" ht="26.4" x14ac:dyDescent="0.3">
      <c r="A4" s="9" t="s">
        <v>85</v>
      </c>
      <c r="B4" s="9" t="s">
        <v>720</v>
      </c>
      <c r="C4" s="9" t="s">
        <v>205</v>
      </c>
      <c r="D4" s="12">
        <v>4</v>
      </c>
      <c r="E4" s="12">
        <v>6</v>
      </c>
      <c r="F4" s="12">
        <v>9</v>
      </c>
      <c r="G4" s="9" t="s">
        <v>349</v>
      </c>
      <c r="H4" s="9" t="s">
        <v>721</v>
      </c>
    </row>
    <row r="5" spans="1:8" ht="26.4" x14ac:dyDescent="0.3">
      <c r="A5" s="9" t="s">
        <v>85</v>
      </c>
      <c r="B5" s="9" t="s">
        <v>722</v>
      </c>
      <c r="C5" s="9" t="s">
        <v>208</v>
      </c>
      <c r="D5" s="12">
        <v>4</v>
      </c>
      <c r="E5" s="12">
        <v>5</v>
      </c>
      <c r="F5" s="12">
        <v>9</v>
      </c>
      <c r="G5" s="9" t="s">
        <v>355</v>
      </c>
      <c r="H5" s="9" t="s">
        <v>723</v>
      </c>
    </row>
    <row r="6" spans="1:8" ht="26.4" x14ac:dyDescent="0.3">
      <c r="A6" s="9" t="s">
        <v>85</v>
      </c>
      <c r="B6" s="9" t="s">
        <v>724</v>
      </c>
      <c r="C6" s="9" t="s">
        <v>211</v>
      </c>
      <c r="D6" s="12">
        <v>4</v>
      </c>
      <c r="E6" s="12">
        <v>14</v>
      </c>
      <c r="F6" s="12">
        <v>24</v>
      </c>
      <c r="G6" s="9" t="s">
        <v>360</v>
      </c>
      <c r="H6" s="9" t="s">
        <v>725</v>
      </c>
    </row>
    <row r="7" spans="1:8" ht="26.4" x14ac:dyDescent="0.3">
      <c r="A7" s="9" t="s">
        <v>85</v>
      </c>
      <c r="B7" s="9" t="s">
        <v>726</v>
      </c>
      <c r="C7" s="9" t="s">
        <v>727</v>
      </c>
      <c r="D7" s="12">
        <v>4</v>
      </c>
      <c r="E7" s="12">
        <v>6</v>
      </c>
      <c r="F7" s="12">
        <v>5</v>
      </c>
      <c r="G7" s="9" t="s">
        <v>728</v>
      </c>
      <c r="H7" s="9" t="s">
        <v>729</v>
      </c>
    </row>
    <row r="8" spans="1:8" ht="26.4" x14ac:dyDescent="0.3">
      <c r="A8" s="9" t="s">
        <v>85</v>
      </c>
      <c r="B8" s="9" t="s">
        <v>730</v>
      </c>
      <c r="C8" s="9" t="s">
        <v>731</v>
      </c>
      <c r="D8" s="12">
        <v>4</v>
      </c>
      <c r="E8" s="12">
        <v>11</v>
      </c>
      <c r="F8" s="12">
        <v>2</v>
      </c>
      <c r="G8" s="9" t="s">
        <v>732</v>
      </c>
      <c r="H8" s="9" t="s">
        <v>733</v>
      </c>
    </row>
    <row r="9" spans="1:8" ht="26.4" x14ac:dyDescent="0.3">
      <c r="A9" s="9" t="s">
        <v>85</v>
      </c>
      <c r="B9" s="9" t="s">
        <v>734</v>
      </c>
      <c r="C9" s="9" t="s">
        <v>735</v>
      </c>
      <c r="D9" s="12">
        <v>1</v>
      </c>
      <c r="E9" s="12">
        <v>5</v>
      </c>
      <c r="F9" s="12">
        <v>4</v>
      </c>
      <c r="G9" s="9" t="s">
        <v>500</v>
      </c>
      <c r="H9" s="9" t="s">
        <v>736</v>
      </c>
    </row>
    <row r="10" spans="1:8" ht="26.4" x14ac:dyDescent="0.3">
      <c r="A10" s="9" t="s">
        <v>85</v>
      </c>
      <c r="B10" s="9" t="s">
        <v>63</v>
      </c>
      <c r="C10" s="9" t="s">
        <v>737</v>
      </c>
      <c r="D10" s="12">
        <v>1</v>
      </c>
      <c r="E10" s="12">
        <v>99</v>
      </c>
      <c r="F10" s="12">
        <v>9</v>
      </c>
      <c r="G10" s="9" t="s">
        <v>709</v>
      </c>
      <c r="H10" s="9" t="s">
        <v>738</v>
      </c>
    </row>
    <row r="11" spans="1:8" ht="26.4" x14ac:dyDescent="0.3">
      <c r="A11" s="9" t="s">
        <v>90</v>
      </c>
      <c r="B11" s="9" t="s">
        <v>739</v>
      </c>
      <c r="C11" s="9" t="s">
        <v>740</v>
      </c>
      <c r="D11" s="12">
        <v>4</v>
      </c>
      <c r="E11" s="12">
        <v>18</v>
      </c>
      <c r="F11" s="12">
        <v>19</v>
      </c>
      <c r="G11" s="9" t="s">
        <v>81</v>
      </c>
      <c r="H11" s="9" t="s">
        <v>741</v>
      </c>
    </row>
    <row r="12" spans="1:8" ht="26.4" x14ac:dyDescent="0.3">
      <c r="A12" s="9" t="s">
        <v>90</v>
      </c>
      <c r="B12" s="9" t="s">
        <v>742</v>
      </c>
      <c r="C12" s="9" t="s">
        <v>743</v>
      </c>
      <c r="D12" s="12">
        <v>1</v>
      </c>
      <c r="E12" s="12">
        <v>38</v>
      </c>
      <c r="F12" s="12">
        <v>4</v>
      </c>
      <c r="G12" s="9" t="s">
        <v>744</v>
      </c>
      <c r="H12" s="9" t="s">
        <v>745</v>
      </c>
    </row>
    <row r="13" spans="1:8" ht="26.4" x14ac:dyDescent="0.3">
      <c r="A13" s="9" t="s">
        <v>90</v>
      </c>
      <c r="B13" s="9" t="s">
        <v>746</v>
      </c>
      <c r="C13" s="9" t="s">
        <v>747</v>
      </c>
      <c r="D13" s="12">
        <v>4</v>
      </c>
      <c r="E13" s="12">
        <v>22</v>
      </c>
      <c r="F13" s="12">
        <v>18</v>
      </c>
      <c r="G13" s="9" t="s">
        <v>748</v>
      </c>
      <c r="H13" s="9" t="s">
        <v>749</v>
      </c>
    </row>
    <row r="14" spans="1:8" ht="26.4" x14ac:dyDescent="0.3">
      <c r="A14" s="9" t="s">
        <v>90</v>
      </c>
      <c r="B14" s="9" t="s">
        <v>750</v>
      </c>
      <c r="C14" s="9" t="s">
        <v>751</v>
      </c>
      <c r="D14" s="12">
        <v>4</v>
      </c>
      <c r="E14" s="12">
        <v>8</v>
      </c>
      <c r="F14" s="12">
        <v>10</v>
      </c>
      <c r="G14" s="9" t="s">
        <v>752</v>
      </c>
      <c r="H14" s="9" t="s">
        <v>753</v>
      </c>
    </row>
    <row r="15" spans="1:8" ht="26.4" x14ac:dyDescent="0.3">
      <c r="A15" s="9" t="s">
        <v>90</v>
      </c>
      <c r="B15" s="9" t="s">
        <v>63</v>
      </c>
      <c r="C15" s="9" t="s">
        <v>737</v>
      </c>
      <c r="D15" s="12">
        <v>1</v>
      </c>
      <c r="E15" s="12">
        <v>51</v>
      </c>
      <c r="F15" s="12">
        <v>9</v>
      </c>
      <c r="G15" s="9" t="s">
        <v>709</v>
      </c>
      <c r="H15" s="9" t="s">
        <v>754</v>
      </c>
    </row>
    <row r="16" spans="1:8" ht="26.4" x14ac:dyDescent="0.3">
      <c r="A16" s="9" t="s">
        <v>95</v>
      </c>
      <c r="B16" s="9" t="s">
        <v>755</v>
      </c>
      <c r="C16" s="9" t="s">
        <v>756</v>
      </c>
      <c r="D16" s="12">
        <v>4</v>
      </c>
      <c r="E16" s="12">
        <v>9</v>
      </c>
      <c r="F16" s="12">
        <v>4</v>
      </c>
      <c r="G16" s="9" t="s">
        <v>693</v>
      </c>
      <c r="H16" s="9" t="s">
        <v>757</v>
      </c>
    </row>
    <row r="17" spans="1:8" ht="26.4" x14ac:dyDescent="0.3">
      <c r="A17" s="9" t="s">
        <v>95</v>
      </c>
      <c r="B17" s="9" t="s">
        <v>758</v>
      </c>
      <c r="C17" s="9" t="s">
        <v>759</v>
      </c>
      <c r="D17" s="12">
        <v>4</v>
      </c>
      <c r="E17" s="12">
        <v>15</v>
      </c>
      <c r="F17" s="12">
        <v>9</v>
      </c>
      <c r="G17" s="9" t="s">
        <v>760</v>
      </c>
      <c r="H17" s="9" t="s">
        <v>761</v>
      </c>
    </row>
    <row r="18" spans="1:8" ht="26.4" x14ac:dyDescent="0.3">
      <c r="A18" s="9" t="s">
        <v>95</v>
      </c>
      <c r="B18" s="9" t="s">
        <v>762</v>
      </c>
      <c r="C18" s="9" t="s">
        <v>763</v>
      </c>
      <c r="D18" s="12">
        <v>1</v>
      </c>
      <c r="E18" s="12">
        <v>9</v>
      </c>
      <c r="F18" s="12">
        <v>5</v>
      </c>
      <c r="G18" s="9" t="s">
        <v>760</v>
      </c>
      <c r="H18" s="9" t="s">
        <v>764</v>
      </c>
    </row>
    <row r="19" spans="1:8" ht="26.4" x14ac:dyDescent="0.3">
      <c r="A19" s="9" t="s">
        <v>95</v>
      </c>
      <c r="B19" s="9" t="s">
        <v>765</v>
      </c>
      <c r="C19" s="9" t="s">
        <v>236</v>
      </c>
      <c r="D19" s="12">
        <v>4</v>
      </c>
      <c r="E19" s="12">
        <v>16</v>
      </c>
      <c r="F19" s="12">
        <v>26</v>
      </c>
      <c r="G19" s="9" t="s">
        <v>497</v>
      </c>
      <c r="H19" s="9" t="s">
        <v>766</v>
      </c>
    </row>
    <row r="20" spans="1:8" ht="26.4" x14ac:dyDescent="0.3">
      <c r="A20" s="9" t="s">
        <v>95</v>
      </c>
      <c r="B20" s="9" t="s">
        <v>767</v>
      </c>
      <c r="C20" s="9" t="s">
        <v>768</v>
      </c>
      <c r="D20" s="12">
        <v>4</v>
      </c>
      <c r="E20" s="12">
        <v>8</v>
      </c>
      <c r="F20" s="12">
        <v>13</v>
      </c>
      <c r="G20" s="9" t="s">
        <v>769</v>
      </c>
      <c r="H20" s="9" t="s">
        <v>770</v>
      </c>
    </row>
    <row r="21" spans="1:8" ht="26.4" x14ac:dyDescent="0.3">
      <c r="A21" s="9" t="s">
        <v>95</v>
      </c>
      <c r="B21" s="9" t="s">
        <v>771</v>
      </c>
      <c r="C21" s="9" t="s">
        <v>772</v>
      </c>
      <c r="D21" s="12">
        <v>1</v>
      </c>
      <c r="E21" s="12">
        <v>15</v>
      </c>
      <c r="F21" s="12">
        <v>8</v>
      </c>
      <c r="G21" s="9" t="s">
        <v>773</v>
      </c>
      <c r="H21" s="9" t="s">
        <v>774</v>
      </c>
    </row>
    <row r="22" spans="1:8" ht="26.4" x14ac:dyDescent="0.3">
      <c r="A22" s="9" t="s">
        <v>95</v>
      </c>
      <c r="B22" s="9" t="s">
        <v>775</v>
      </c>
      <c r="C22" s="9" t="s">
        <v>776</v>
      </c>
      <c r="D22" s="12">
        <v>4</v>
      </c>
      <c r="E22" s="12">
        <v>4</v>
      </c>
      <c r="F22" s="12">
        <v>9</v>
      </c>
      <c r="G22" s="9" t="s">
        <v>777</v>
      </c>
      <c r="H22" s="9" t="s">
        <v>778</v>
      </c>
    </row>
    <row r="23" spans="1:8" ht="26.4" x14ac:dyDescent="0.3">
      <c r="A23" s="9" t="s">
        <v>95</v>
      </c>
      <c r="B23" s="9" t="s">
        <v>63</v>
      </c>
      <c r="C23" s="9" t="s">
        <v>737</v>
      </c>
      <c r="D23" s="12">
        <v>1</v>
      </c>
      <c r="E23" s="12">
        <v>74</v>
      </c>
      <c r="F23" s="12">
        <v>9</v>
      </c>
      <c r="G23" s="9" t="s">
        <v>709</v>
      </c>
      <c r="H23" s="9" t="s">
        <v>779</v>
      </c>
    </row>
    <row r="24" spans="1:8" ht="26.4" x14ac:dyDescent="0.3">
      <c r="A24" s="9" t="s">
        <v>100</v>
      </c>
      <c r="B24" s="9" t="s">
        <v>780</v>
      </c>
      <c r="C24" s="9" t="s">
        <v>781</v>
      </c>
      <c r="D24" s="12">
        <v>4</v>
      </c>
      <c r="E24" s="12">
        <v>27</v>
      </c>
      <c r="F24" s="12">
        <v>22</v>
      </c>
      <c r="G24" s="9" t="s">
        <v>782</v>
      </c>
      <c r="H24" s="9" t="s">
        <v>783</v>
      </c>
    </row>
    <row r="25" spans="1:8" ht="26.4" x14ac:dyDescent="0.3">
      <c r="A25" s="9" t="s">
        <v>100</v>
      </c>
      <c r="B25" s="9" t="s">
        <v>784</v>
      </c>
      <c r="C25" s="9" t="s">
        <v>785</v>
      </c>
      <c r="D25" s="12">
        <v>4</v>
      </c>
      <c r="E25" s="12">
        <v>11</v>
      </c>
      <c r="F25" s="12">
        <v>16</v>
      </c>
      <c r="G25" s="9" t="s">
        <v>786</v>
      </c>
      <c r="H25" s="9" t="s">
        <v>787</v>
      </c>
    </row>
    <row r="26" spans="1:8" ht="26.4" x14ac:dyDescent="0.3">
      <c r="A26" s="9" t="s">
        <v>100</v>
      </c>
      <c r="B26" s="9" t="s">
        <v>788</v>
      </c>
      <c r="C26" s="9" t="s">
        <v>789</v>
      </c>
      <c r="D26" s="12">
        <v>4</v>
      </c>
      <c r="E26" s="12">
        <v>29</v>
      </c>
      <c r="F26" s="12">
        <v>18</v>
      </c>
      <c r="G26" s="9" t="s">
        <v>790</v>
      </c>
      <c r="H26" s="9" t="s">
        <v>791</v>
      </c>
    </row>
    <row r="27" spans="1:8" ht="26.4" x14ac:dyDescent="0.3">
      <c r="A27" s="9" t="s">
        <v>100</v>
      </c>
      <c r="B27" s="9" t="s">
        <v>63</v>
      </c>
      <c r="C27" s="9" t="s">
        <v>737</v>
      </c>
      <c r="D27" s="12">
        <v>1</v>
      </c>
      <c r="E27" s="12">
        <v>56</v>
      </c>
      <c r="F27" s="12">
        <v>9</v>
      </c>
      <c r="G27" s="9" t="s">
        <v>709</v>
      </c>
      <c r="H27" s="9" t="s">
        <v>792</v>
      </c>
    </row>
    <row r="28" spans="1:8" x14ac:dyDescent="0.3">
      <c r="A28" s="9" t="s">
        <v>105</v>
      </c>
      <c r="B28" s="9" t="s">
        <v>793</v>
      </c>
      <c r="C28" s="9" t="s">
        <v>794</v>
      </c>
      <c r="D28" s="12">
        <v>4</v>
      </c>
      <c r="E28" s="12">
        <v>18</v>
      </c>
      <c r="F28" s="12">
        <v>29</v>
      </c>
      <c r="G28" s="9" t="s">
        <v>585</v>
      </c>
      <c r="H28" s="9" t="s">
        <v>795</v>
      </c>
    </row>
    <row r="29" spans="1:8" x14ac:dyDescent="0.3">
      <c r="A29" s="9" t="s">
        <v>105</v>
      </c>
      <c r="B29" s="9" t="s">
        <v>796</v>
      </c>
      <c r="C29" s="9" t="s">
        <v>797</v>
      </c>
      <c r="D29" s="12">
        <v>4</v>
      </c>
      <c r="E29" s="12">
        <v>18</v>
      </c>
      <c r="F29" s="12">
        <v>15</v>
      </c>
      <c r="G29" s="9" t="s">
        <v>585</v>
      </c>
      <c r="H29" s="9" t="s">
        <v>798</v>
      </c>
    </row>
    <row r="30" spans="1:8" x14ac:dyDescent="0.3">
      <c r="A30" s="9" t="s">
        <v>105</v>
      </c>
      <c r="B30" s="9" t="s">
        <v>799</v>
      </c>
      <c r="C30" s="9" t="s">
        <v>214</v>
      </c>
      <c r="D30" s="12">
        <v>1</v>
      </c>
      <c r="E30" s="12">
        <v>20</v>
      </c>
      <c r="F30" s="12">
        <v>14</v>
      </c>
      <c r="G30" s="9" t="s">
        <v>379</v>
      </c>
      <c r="H30" s="9" t="s">
        <v>800</v>
      </c>
    </row>
    <row r="31" spans="1:8" ht="26.4" x14ac:dyDescent="0.3">
      <c r="A31" s="9" t="s">
        <v>105</v>
      </c>
      <c r="B31" s="9" t="s">
        <v>801</v>
      </c>
      <c r="C31" s="9" t="s">
        <v>218</v>
      </c>
      <c r="D31" s="12">
        <v>4</v>
      </c>
      <c r="E31" s="12">
        <v>8</v>
      </c>
      <c r="F31" s="12">
        <v>28</v>
      </c>
      <c r="G31" s="9" t="s">
        <v>388</v>
      </c>
      <c r="H31" s="9" t="s">
        <v>802</v>
      </c>
    </row>
    <row r="32" spans="1:8" ht="26.4" x14ac:dyDescent="0.3">
      <c r="A32" s="9" t="s">
        <v>105</v>
      </c>
      <c r="B32" s="9" t="s">
        <v>803</v>
      </c>
      <c r="C32" s="9" t="s">
        <v>221</v>
      </c>
      <c r="D32" s="12">
        <v>4</v>
      </c>
      <c r="E32" s="12">
        <v>14</v>
      </c>
      <c r="F32" s="12">
        <v>8</v>
      </c>
      <c r="G32" s="9" t="s">
        <v>389</v>
      </c>
      <c r="H32" s="9" t="s">
        <v>804</v>
      </c>
    </row>
    <row r="33" spans="1:8" ht="26.4" x14ac:dyDescent="0.3">
      <c r="A33" s="9" t="s">
        <v>105</v>
      </c>
      <c r="B33" s="9" t="s">
        <v>63</v>
      </c>
      <c r="C33" s="9" t="s">
        <v>737</v>
      </c>
      <c r="D33" s="12">
        <v>1</v>
      </c>
      <c r="E33" s="12">
        <v>94</v>
      </c>
      <c r="F33" s="12">
        <v>9</v>
      </c>
      <c r="G33" s="9" t="s">
        <v>709</v>
      </c>
      <c r="H33" s="9" t="s">
        <v>805</v>
      </c>
    </row>
    <row r="34" spans="1:8" ht="26.4" x14ac:dyDescent="0.3">
      <c r="A34" s="9" t="s">
        <v>110</v>
      </c>
      <c r="B34" s="9" t="s">
        <v>806</v>
      </c>
      <c r="C34" s="9" t="s">
        <v>225</v>
      </c>
      <c r="D34" s="12">
        <v>4</v>
      </c>
      <c r="E34" s="12">
        <v>17</v>
      </c>
      <c r="F34" s="12">
        <v>29</v>
      </c>
      <c r="G34" s="9" t="s">
        <v>432</v>
      </c>
      <c r="H34" s="9" t="s">
        <v>807</v>
      </c>
    </row>
    <row r="35" spans="1:8" ht="26.4" x14ac:dyDescent="0.3">
      <c r="A35" s="9" t="s">
        <v>110</v>
      </c>
      <c r="B35" s="9" t="s">
        <v>808</v>
      </c>
      <c r="C35" s="9" t="s">
        <v>809</v>
      </c>
      <c r="D35" s="12">
        <v>1</v>
      </c>
      <c r="E35" s="12">
        <v>221</v>
      </c>
      <c r="F35" s="12">
        <v>6</v>
      </c>
      <c r="G35" s="9" t="s">
        <v>432</v>
      </c>
      <c r="H35" s="9" t="s">
        <v>810</v>
      </c>
    </row>
    <row r="36" spans="1:8" ht="26.4" x14ac:dyDescent="0.3">
      <c r="A36" s="9" t="s">
        <v>110</v>
      </c>
      <c r="B36" s="9" t="s">
        <v>63</v>
      </c>
      <c r="C36" s="9" t="s">
        <v>737</v>
      </c>
      <c r="D36" s="12">
        <v>1</v>
      </c>
      <c r="E36" s="12">
        <v>35</v>
      </c>
      <c r="F36" s="12">
        <v>9</v>
      </c>
      <c r="G36" s="9" t="s">
        <v>709</v>
      </c>
      <c r="H36" s="9" t="s">
        <v>811</v>
      </c>
    </row>
    <row r="37" spans="1:8" ht="26.4" x14ac:dyDescent="0.3">
      <c r="A37" s="9" t="s">
        <v>115</v>
      </c>
      <c r="B37" s="9" t="s">
        <v>812</v>
      </c>
      <c r="C37" s="9" t="s">
        <v>813</v>
      </c>
      <c r="D37" s="12">
        <v>4</v>
      </c>
      <c r="E37" s="12">
        <v>12</v>
      </c>
      <c r="F37" s="12">
        <v>6</v>
      </c>
      <c r="G37" s="9" t="s">
        <v>814</v>
      </c>
      <c r="H37" s="9" t="s">
        <v>815</v>
      </c>
    </row>
    <row r="38" spans="1:8" ht="26.4" x14ac:dyDescent="0.3">
      <c r="A38" s="9" t="s">
        <v>115</v>
      </c>
      <c r="B38" s="9" t="s">
        <v>816</v>
      </c>
      <c r="C38" s="9" t="s">
        <v>817</v>
      </c>
      <c r="D38" s="12">
        <v>1</v>
      </c>
      <c r="E38" s="12">
        <v>16</v>
      </c>
      <c r="F38" s="12">
        <v>3</v>
      </c>
      <c r="G38" s="9" t="s">
        <v>476</v>
      </c>
      <c r="H38" s="9" t="s">
        <v>818</v>
      </c>
    </row>
    <row r="39" spans="1:8" ht="26.4" x14ac:dyDescent="0.3">
      <c r="A39" s="9" t="s">
        <v>115</v>
      </c>
      <c r="B39" s="9" t="s">
        <v>819</v>
      </c>
      <c r="C39" s="9" t="s">
        <v>820</v>
      </c>
      <c r="D39" s="12">
        <v>1</v>
      </c>
      <c r="E39" s="12">
        <v>29</v>
      </c>
      <c r="F39" s="12">
        <v>9</v>
      </c>
      <c r="G39" s="9" t="s">
        <v>821</v>
      </c>
      <c r="H39" s="9" t="s">
        <v>822</v>
      </c>
    </row>
    <row r="40" spans="1:8" ht="26.4" x14ac:dyDescent="0.3">
      <c r="A40" s="9" t="s">
        <v>115</v>
      </c>
      <c r="B40" s="9" t="s">
        <v>823</v>
      </c>
      <c r="C40" s="9" t="s">
        <v>824</v>
      </c>
      <c r="D40" s="12">
        <v>4</v>
      </c>
      <c r="E40" s="12">
        <v>138</v>
      </c>
      <c r="F40" s="12">
        <v>13</v>
      </c>
      <c r="G40" s="9" t="s">
        <v>821</v>
      </c>
      <c r="H40" s="9" t="s">
        <v>825</v>
      </c>
    </row>
    <row r="41" spans="1:8" ht="26.4" x14ac:dyDescent="0.3">
      <c r="A41" s="9" t="s">
        <v>115</v>
      </c>
      <c r="B41" s="9" t="s">
        <v>826</v>
      </c>
      <c r="C41" s="9" t="s">
        <v>229</v>
      </c>
      <c r="D41" s="12">
        <v>4</v>
      </c>
      <c r="E41" s="12">
        <v>16</v>
      </c>
      <c r="F41" s="12">
        <v>10</v>
      </c>
      <c r="G41" s="9" t="s">
        <v>472</v>
      </c>
      <c r="H41" s="9" t="s">
        <v>827</v>
      </c>
    </row>
    <row r="42" spans="1:8" ht="26.4" x14ac:dyDescent="0.3">
      <c r="A42" s="9" t="s">
        <v>115</v>
      </c>
      <c r="B42" s="9" t="s">
        <v>828</v>
      </c>
      <c r="C42" s="9" t="s">
        <v>233</v>
      </c>
      <c r="D42" s="12">
        <v>1</v>
      </c>
      <c r="E42" s="12">
        <v>60</v>
      </c>
      <c r="F42" s="12">
        <v>12</v>
      </c>
      <c r="G42" s="9" t="s">
        <v>483</v>
      </c>
      <c r="H42" s="9" t="s">
        <v>829</v>
      </c>
    </row>
    <row r="43" spans="1:8" ht="26.4" x14ac:dyDescent="0.3">
      <c r="A43" s="9" t="s">
        <v>115</v>
      </c>
      <c r="B43" s="9" t="s">
        <v>830</v>
      </c>
      <c r="C43" s="9" t="s">
        <v>831</v>
      </c>
      <c r="D43" s="12">
        <v>4</v>
      </c>
      <c r="E43" s="12">
        <v>6</v>
      </c>
      <c r="F43" s="12">
        <v>9</v>
      </c>
      <c r="G43" s="9" t="s">
        <v>832</v>
      </c>
      <c r="H43" s="9" t="s">
        <v>833</v>
      </c>
    </row>
    <row r="44" spans="1:8" ht="26.4" x14ac:dyDescent="0.3">
      <c r="A44" s="9" t="s">
        <v>115</v>
      </c>
      <c r="B44" s="9" t="s">
        <v>834</v>
      </c>
      <c r="C44" s="9" t="s">
        <v>835</v>
      </c>
      <c r="D44" s="12">
        <v>4</v>
      </c>
      <c r="E44" s="12">
        <v>9</v>
      </c>
      <c r="F44" s="12">
        <v>9</v>
      </c>
      <c r="G44" s="9" t="s">
        <v>836</v>
      </c>
      <c r="H44" s="9" t="s">
        <v>837</v>
      </c>
    </row>
    <row r="45" spans="1:8" ht="26.4" x14ac:dyDescent="0.3">
      <c r="A45" s="9" t="s">
        <v>115</v>
      </c>
      <c r="B45" s="9" t="s">
        <v>63</v>
      </c>
      <c r="C45" s="9" t="s">
        <v>737</v>
      </c>
      <c r="D45" s="12">
        <v>1</v>
      </c>
      <c r="E45" s="12">
        <v>71</v>
      </c>
      <c r="F45" s="12">
        <v>9</v>
      </c>
      <c r="G45" s="9" t="s">
        <v>709</v>
      </c>
      <c r="H45" s="9" t="s">
        <v>838</v>
      </c>
    </row>
    <row r="46" spans="1:8" ht="26.4" x14ac:dyDescent="0.3">
      <c r="A46" s="9" t="s">
        <v>120</v>
      </c>
      <c r="B46" s="9" t="s">
        <v>839</v>
      </c>
      <c r="C46" s="9" t="s">
        <v>239</v>
      </c>
      <c r="D46" s="12">
        <v>4</v>
      </c>
      <c r="E46" s="12">
        <v>39</v>
      </c>
      <c r="F46" s="12">
        <v>15</v>
      </c>
      <c r="G46" s="9" t="s">
        <v>81</v>
      </c>
      <c r="H46" s="9" t="s">
        <v>840</v>
      </c>
    </row>
    <row r="47" spans="1:8" ht="26.4" x14ac:dyDescent="0.3">
      <c r="A47" s="9" t="s">
        <v>120</v>
      </c>
      <c r="B47" s="9" t="s">
        <v>841</v>
      </c>
      <c r="C47" s="9" t="s">
        <v>842</v>
      </c>
      <c r="D47" s="12">
        <v>4</v>
      </c>
      <c r="E47" s="12">
        <v>24</v>
      </c>
      <c r="F47" s="12">
        <v>10</v>
      </c>
      <c r="G47" s="9" t="s">
        <v>843</v>
      </c>
      <c r="H47" s="9" t="s">
        <v>844</v>
      </c>
    </row>
    <row r="48" spans="1:8" ht="26.4" x14ac:dyDescent="0.3">
      <c r="A48" s="9" t="s">
        <v>120</v>
      </c>
      <c r="B48" s="9" t="s">
        <v>845</v>
      </c>
      <c r="C48" s="9" t="s">
        <v>846</v>
      </c>
      <c r="D48" s="12">
        <v>4</v>
      </c>
      <c r="E48" s="12">
        <v>16</v>
      </c>
      <c r="F48" s="12">
        <v>7</v>
      </c>
      <c r="G48" s="9" t="s">
        <v>847</v>
      </c>
      <c r="H48" s="9" t="s">
        <v>848</v>
      </c>
    </row>
    <row r="49" spans="1:8" ht="26.4" x14ac:dyDescent="0.3">
      <c r="A49" s="9" t="s">
        <v>120</v>
      </c>
      <c r="B49" s="9" t="s">
        <v>849</v>
      </c>
      <c r="C49" s="9" t="s">
        <v>243</v>
      </c>
      <c r="D49" s="12">
        <v>4</v>
      </c>
      <c r="E49" s="12">
        <v>8</v>
      </c>
      <c r="F49" s="12">
        <v>7</v>
      </c>
      <c r="G49" s="9" t="s">
        <v>534</v>
      </c>
      <c r="H49" s="9" t="s">
        <v>850</v>
      </c>
    </row>
    <row r="50" spans="1:8" ht="26.4" x14ac:dyDescent="0.3">
      <c r="A50" s="9" t="s">
        <v>120</v>
      </c>
      <c r="B50" s="9" t="s">
        <v>851</v>
      </c>
      <c r="C50" s="9" t="s">
        <v>852</v>
      </c>
      <c r="D50" s="12">
        <v>4</v>
      </c>
      <c r="E50" s="12">
        <v>6</v>
      </c>
      <c r="F50" s="12">
        <v>6</v>
      </c>
      <c r="G50" s="9" t="s">
        <v>760</v>
      </c>
      <c r="H50" s="9" t="s">
        <v>853</v>
      </c>
    </row>
    <row r="51" spans="1:8" ht="26.4" x14ac:dyDescent="0.3">
      <c r="A51" s="9" t="s">
        <v>120</v>
      </c>
      <c r="B51" s="9" t="s">
        <v>63</v>
      </c>
      <c r="C51" s="9" t="s">
        <v>737</v>
      </c>
      <c r="D51" s="12">
        <v>1</v>
      </c>
      <c r="E51" s="12">
        <v>45</v>
      </c>
      <c r="F51" s="12">
        <v>9</v>
      </c>
      <c r="G51" s="9" t="s">
        <v>709</v>
      </c>
      <c r="H51" s="9" t="s">
        <v>854</v>
      </c>
    </row>
    <row r="52" spans="1:8" ht="26.4" x14ac:dyDescent="0.3">
      <c r="A52" s="9" t="s">
        <v>125</v>
      </c>
      <c r="B52" s="9" t="s">
        <v>855</v>
      </c>
      <c r="C52" s="9" t="s">
        <v>246</v>
      </c>
      <c r="D52" s="12">
        <v>4</v>
      </c>
      <c r="E52" s="12">
        <v>39</v>
      </c>
      <c r="F52" s="12">
        <v>19</v>
      </c>
      <c r="G52" s="9" t="s">
        <v>548</v>
      </c>
      <c r="H52" s="9" t="s">
        <v>856</v>
      </c>
    </row>
    <row r="53" spans="1:8" ht="26.4" x14ac:dyDescent="0.3">
      <c r="A53" s="9" t="s">
        <v>125</v>
      </c>
      <c r="B53" s="9" t="s">
        <v>857</v>
      </c>
      <c r="C53" s="9" t="s">
        <v>858</v>
      </c>
      <c r="D53" s="12">
        <v>1</v>
      </c>
      <c r="E53" s="12">
        <v>99</v>
      </c>
      <c r="F53" s="12">
        <v>11</v>
      </c>
      <c r="G53" s="9" t="s">
        <v>859</v>
      </c>
      <c r="H53" s="9" t="s">
        <v>860</v>
      </c>
    </row>
    <row r="54" spans="1:8" ht="26.4" x14ac:dyDescent="0.3">
      <c r="A54" s="9" t="s">
        <v>125</v>
      </c>
      <c r="B54" s="9" t="s">
        <v>861</v>
      </c>
      <c r="C54" s="9" t="s">
        <v>862</v>
      </c>
      <c r="D54" s="12">
        <v>4</v>
      </c>
      <c r="E54" s="12">
        <v>3</v>
      </c>
      <c r="F54" s="12">
        <v>10</v>
      </c>
      <c r="G54" s="9" t="s">
        <v>863</v>
      </c>
      <c r="H54" s="9" t="s">
        <v>864</v>
      </c>
    </row>
    <row r="55" spans="1:8" ht="26.4" x14ac:dyDescent="0.3">
      <c r="A55" s="9" t="s">
        <v>125</v>
      </c>
      <c r="B55" s="9" t="s">
        <v>865</v>
      </c>
      <c r="C55" s="9" t="s">
        <v>866</v>
      </c>
      <c r="D55" s="12">
        <v>1</v>
      </c>
      <c r="E55" s="12">
        <v>90</v>
      </c>
      <c r="F55" s="12">
        <v>9</v>
      </c>
      <c r="G55" s="9" t="s">
        <v>867</v>
      </c>
      <c r="H55" s="9" t="s">
        <v>868</v>
      </c>
    </row>
    <row r="56" spans="1:8" ht="26.4" x14ac:dyDescent="0.3">
      <c r="A56" s="9" t="s">
        <v>125</v>
      </c>
      <c r="B56" s="9" t="s">
        <v>869</v>
      </c>
      <c r="C56" s="9" t="s">
        <v>870</v>
      </c>
      <c r="D56" s="12">
        <v>4</v>
      </c>
      <c r="E56" s="12">
        <v>5</v>
      </c>
      <c r="F56" s="12">
        <v>10</v>
      </c>
      <c r="G56" s="9" t="s">
        <v>871</v>
      </c>
      <c r="H56" s="9" t="s">
        <v>872</v>
      </c>
    </row>
    <row r="57" spans="1:8" ht="26.4" x14ac:dyDescent="0.3">
      <c r="A57" s="9" t="s">
        <v>125</v>
      </c>
      <c r="B57" s="9" t="s">
        <v>63</v>
      </c>
      <c r="C57" s="9" t="s">
        <v>737</v>
      </c>
      <c r="D57" s="12">
        <v>1</v>
      </c>
      <c r="E57" s="12">
        <v>59</v>
      </c>
      <c r="F57" s="12">
        <v>9</v>
      </c>
      <c r="G57" s="9" t="s">
        <v>709</v>
      </c>
      <c r="H57" s="9" t="s">
        <v>873</v>
      </c>
    </row>
    <row r="58" spans="1:8" ht="26.4" x14ac:dyDescent="0.3">
      <c r="A58" s="9" t="s">
        <v>130</v>
      </c>
      <c r="B58" s="9" t="s">
        <v>874</v>
      </c>
      <c r="C58" s="9" t="s">
        <v>875</v>
      </c>
      <c r="D58" s="12">
        <v>4</v>
      </c>
      <c r="E58" s="12">
        <v>18</v>
      </c>
      <c r="F58" s="12">
        <v>18</v>
      </c>
      <c r="G58" s="9" t="s">
        <v>876</v>
      </c>
      <c r="H58" s="9" t="s">
        <v>877</v>
      </c>
    </row>
    <row r="59" spans="1:8" ht="26.4" x14ac:dyDescent="0.3">
      <c r="A59" s="9" t="s">
        <v>130</v>
      </c>
      <c r="B59" s="9" t="s">
        <v>878</v>
      </c>
      <c r="C59" s="9" t="s">
        <v>879</v>
      </c>
      <c r="D59" s="12">
        <v>4</v>
      </c>
      <c r="E59" s="12">
        <v>12</v>
      </c>
      <c r="F59" s="12">
        <v>7</v>
      </c>
      <c r="G59" s="9" t="s">
        <v>691</v>
      </c>
      <c r="H59" s="9" t="s">
        <v>880</v>
      </c>
    </row>
    <row r="60" spans="1:8" ht="26.4" x14ac:dyDescent="0.3">
      <c r="A60" s="9" t="s">
        <v>130</v>
      </c>
      <c r="B60" s="9" t="s">
        <v>881</v>
      </c>
      <c r="C60" s="9" t="s">
        <v>882</v>
      </c>
      <c r="D60" s="12">
        <v>4</v>
      </c>
      <c r="E60" s="12">
        <v>526</v>
      </c>
      <c r="F60" s="12">
        <v>18</v>
      </c>
      <c r="G60" s="9" t="s">
        <v>883</v>
      </c>
      <c r="H60" s="9" t="s">
        <v>884</v>
      </c>
    </row>
    <row r="61" spans="1:8" ht="26.4" x14ac:dyDescent="0.3">
      <c r="A61" s="9" t="s">
        <v>130</v>
      </c>
      <c r="B61" s="9" t="s">
        <v>885</v>
      </c>
      <c r="C61" s="9" t="s">
        <v>886</v>
      </c>
      <c r="D61" s="12">
        <v>1</v>
      </c>
      <c r="E61" s="12">
        <v>4</v>
      </c>
      <c r="F61" s="12">
        <v>7</v>
      </c>
      <c r="G61" s="9" t="s">
        <v>887</v>
      </c>
      <c r="H61" s="9" t="s">
        <v>888</v>
      </c>
    </row>
    <row r="62" spans="1:8" ht="26.4" x14ac:dyDescent="0.3">
      <c r="A62" s="9" t="s">
        <v>130</v>
      </c>
      <c r="B62" s="9" t="s">
        <v>889</v>
      </c>
      <c r="C62" s="9" t="s">
        <v>890</v>
      </c>
      <c r="D62" s="12">
        <v>4</v>
      </c>
      <c r="E62" s="12">
        <v>8</v>
      </c>
      <c r="F62" s="12">
        <v>10</v>
      </c>
      <c r="G62" s="9" t="s">
        <v>891</v>
      </c>
      <c r="H62" s="9" t="s">
        <v>892</v>
      </c>
    </row>
    <row r="63" spans="1:8" ht="26.4" x14ac:dyDescent="0.3">
      <c r="A63" s="9" t="s">
        <v>130</v>
      </c>
      <c r="B63" s="9" t="s">
        <v>893</v>
      </c>
      <c r="C63" s="9" t="s">
        <v>894</v>
      </c>
      <c r="D63" s="12">
        <v>1</v>
      </c>
      <c r="E63" s="12">
        <v>5</v>
      </c>
      <c r="F63" s="12">
        <v>6</v>
      </c>
      <c r="G63" s="9" t="s">
        <v>760</v>
      </c>
      <c r="H63" s="9" t="s">
        <v>895</v>
      </c>
    </row>
    <row r="64" spans="1:8" ht="26.4" x14ac:dyDescent="0.3">
      <c r="A64" s="9" t="s">
        <v>130</v>
      </c>
      <c r="B64" s="9" t="s">
        <v>63</v>
      </c>
      <c r="C64" s="9" t="s">
        <v>737</v>
      </c>
      <c r="D64" s="12">
        <v>1</v>
      </c>
      <c r="E64" s="12">
        <v>66</v>
      </c>
      <c r="F64" s="12">
        <v>9</v>
      </c>
      <c r="G64" s="9" t="s">
        <v>709</v>
      </c>
      <c r="H64" s="9" t="s">
        <v>896</v>
      </c>
    </row>
    <row r="65" spans="1:8" ht="26.4" x14ac:dyDescent="0.3">
      <c r="A65" s="9" t="s">
        <v>135</v>
      </c>
      <c r="B65" s="9" t="s">
        <v>897</v>
      </c>
      <c r="C65" s="9" t="s">
        <v>898</v>
      </c>
      <c r="D65" s="12">
        <v>4</v>
      </c>
      <c r="E65" s="12">
        <v>6</v>
      </c>
      <c r="F65" s="12">
        <v>24</v>
      </c>
      <c r="G65" s="9" t="s">
        <v>899</v>
      </c>
      <c r="H65" s="9" t="s">
        <v>900</v>
      </c>
    </row>
    <row r="66" spans="1:8" ht="26.4" x14ac:dyDescent="0.3">
      <c r="A66" s="9" t="s">
        <v>135</v>
      </c>
      <c r="B66" s="9" t="s">
        <v>901</v>
      </c>
      <c r="C66" s="9" t="s">
        <v>902</v>
      </c>
      <c r="D66" s="12">
        <v>1</v>
      </c>
      <c r="E66" s="12">
        <v>30</v>
      </c>
      <c r="F66" s="12">
        <v>6</v>
      </c>
      <c r="G66" s="9" t="s">
        <v>899</v>
      </c>
      <c r="H66" s="9" t="s">
        <v>903</v>
      </c>
    </row>
    <row r="67" spans="1:8" ht="26.4" x14ac:dyDescent="0.3">
      <c r="A67" s="9" t="s">
        <v>135</v>
      </c>
      <c r="B67" s="9" t="s">
        <v>904</v>
      </c>
      <c r="C67" s="9" t="s">
        <v>905</v>
      </c>
      <c r="D67" s="12">
        <v>4</v>
      </c>
      <c r="E67" s="12">
        <v>36</v>
      </c>
      <c r="F67" s="12">
        <v>11</v>
      </c>
      <c r="G67" s="9" t="s">
        <v>906</v>
      </c>
      <c r="H67" s="9" t="s">
        <v>907</v>
      </c>
    </row>
    <row r="68" spans="1:8" x14ac:dyDescent="0.3">
      <c r="A68" s="9" t="s">
        <v>135</v>
      </c>
      <c r="B68" s="9" t="s">
        <v>908</v>
      </c>
      <c r="C68" s="9" t="s">
        <v>909</v>
      </c>
      <c r="D68" s="12">
        <v>1</v>
      </c>
      <c r="E68" s="12">
        <v>6</v>
      </c>
      <c r="F68" s="12">
        <v>6</v>
      </c>
      <c r="G68" s="9" t="s">
        <v>899</v>
      </c>
      <c r="H68" s="9" t="s">
        <v>910</v>
      </c>
    </row>
    <row r="69" spans="1:8" ht="26.4" x14ac:dyDescent="0.3">
      <c r="A69" s="9" t="s">
        <v>135</v>
      </c>
      <c r="B69" s="9" t="s">
        <v>911</v>
      </c>
      <c r="C69" s="9" t="s">
        <v>912</v>
      </c>
      <c r="D69" s="12">
        <v>4</v>
      </c>
      <c r="E69" s="12">
        <v>5</v>
      </c>
      <c r="F69" s="12">
        <v>10</v>
      </c>
      <c r="G69" s="9" t="s">
        <v>432</v>
      </c>
      <c r="H69" s="9" t="s">
        <v>913</v>
      </c>
    </row>
    <row r="70" spans="1:8" ht="26.4" x14ac:dyDescent="0.3">
      <c r="A70" s="9" t="s">
        <v>135</v>
      </c>
      <c r="B70" s="9" t="s">
        <v>63</v>
      </c>
      <c r="C70" s="9" t="s">
        <v>737</v>
      </c>
      <c r="D70" s="12">
        <v>1</v>
      </c>
      <c r="E70" s="12">
        <v>57</v>
      </c>
      <c r="F70" s="12">
        <v>9</v>
      </c>
      <c r="G70" s="9" t="s">
        <v>709</v>
      </c>
      <c r="H70" s="9" t="s">
        <v>914</v>
      </c>
    </row>
    <row r="71" spans="1:8" ht="26.4" x14ac:dyDescent="0.3">
      <c r="A71" s="9" t="s">
        <v>140</v>
      </c>
      <c r="B71" s="9" t="s">
        <v>248</v>
      </c>
      <c r="C71" s="9" t="s">
        <v>249</v>
      </c>
      <c r="D71" s="12">
        <v>4</v>
      </c>
      <c r="E71" s="12">
        <v>15</v>
      </c>
      <c r="F71" s="12">
        <v>16</v>
      </c>
      <c r="G71" s="9" t="s">
        <v>563</v>
      </c>
      <c r="H71" s="9" t="s">
        <v>915</v>
      </c>
    </row>
    <row r="72" spans="1:8" ht="26.4" x14ac:dyDescent="0.3">
      <c r="A72" s="9" t="s">
        <v>140</v>
      </c>
      <c r="B72" s="9" t="s">
        <v>916</v>
      </c>
      <c r="C72" s="9" t="s">
        <v>917</v>
      </c>
      <c r="D72" s="12">
        <v>1</v>
      </c>
      <c r="E72" s="12">
        <v>156</v>
      </c>
      <c r="F72" s="12">
        <v>12</v>
      </c>
      <c r="G72" s="9" t="s">
        <v>563</v>
      </c>
      <c r="H72" s="9" t="s">
        <v>918</v>
      </c>
    </row>
    <row r="73" spans="1:8" ht="26.4" x14ac:dyDescent="0.3">
      <c r="A73" s="9" t="s">
        <v>140</v>
      </c>
      <c r="B73" s="9" t="s">
        <v>919</v>
      </c>
      <c r="C73" s="9" t="s">
        <v>920</v>
      </c>
      <c r="D73" s="12">
        <v>4</v>
      </c>
      <c r="E73" s="12">
        <v>26</v>
      </c>
      <c r="F73" s="12">
        <v>23</v>
      </c>
      <c r="G73" s="9" t="s">
        <v>563</v>
      </c>
      <c r="H73" s="9" t="s">
        <v>921</v>
      </c>
    </row>
    <row r="74" spans="1:8" ht="26.4" x14ac:dyDescent="0.3">
      <c r="A74" s="9" t="s">
        <v>140</v>
      </c>
      <c r="B74" s="9" t="s">
        <v>922</v>
      </c>
      <c r="C74" s="9" t="s">
        <v>923</v>
      </c>
      <c r="D74" s="12">
        <v>1</v>
      </c>
      <c r="E74" s="12">
        <v>80</v>
      </c>
      <c r="F74" s="12">
        <v>13</v>
      </c>
      <c r="G74" s="9" t="s">
        <v>924</v>
      </c>
      <c r="H74" s="9" t="s">
        <v>925</v>
      </c>
    </row>
    <row r="75" spans="1:8" ht="26.4" x14ac:dyDescent="0.3">
      <c r="A75" s="9" t="s">
        <v>140</v>
      </c>
      <c r="B75" s="9" t="s">
        <v>926</v>
      </c>
      <c r="C75" s="9" t="s">
        <v>927</v>
      </c>
      <c r="D75" s="12">
        <v>1</v>
      </c>
      <c r="E75" s="12">
        <v>5</v>
      </c>
      <c r="F75" s="12">
        <v>8</v>
      </c>
      <c r="G75" s="9" t="s">
        <v>760</v>
      </c>
      <c r="H75" s="9" t="s">
        <v>928</v>
      </c>
    </row>
    <row r="76" spans="1:8" ht="26.4" x14ac:dyDescent="0.3">
      <c r="A76" s="9" t="s">
        <v>140</v>
      </c>
      <c r="B76" s="9" t="s">
        <v>929</v>
      </c>
      <c r="C76" s="9" t="s">
        <v>930</v>
      </c>
      <c r="D76" s="12">
        <v>1</v>
      </c>
      <c r="E76" s="12">
        <v>5</v>
      </c>
      <c r="F76" s="12">
        <v>8</v>
      </c>
      <c r="G76" s="9" t="s">
        <v>629</v>
      </c>
      <c r="H76" s="9" t="s">
        <v>931</v>
      </c>
    </row>
    <row r="77" spans="1:8" ht="26.4" x14ac:dyDescent="0.3">
      <c r="A77" s="9" t="s">
        <v>140</v>
      </c>
      <c r="B77" s="9" t="s">
        <v>63</v>
      </c>
      <c r="C77" s="9" t="s">
        <v>737</v>
      </c>
      <c r="D77" s="12">
        <v>1</v>
      </c>
      <c r="E77" s="12">
        <v>80</v>
      </c>
      <c r="F77" s="12">
        <v>9</v>
      </c>
      <c r="G77" s="9" t="s">
        <v>709</v>
      </c>
      <c r="H77" s="9" t="s">
        <v>932</v>
      </c>
    </row>
    <row r="78" spans="1:8" ht="26.4" x14ac:dyDescent="0.3">
      <c r="A78" s="9" t="s">
        <v>145</v>
      </c>
      <c r="B78" s="9" t="s">
        <v>933</v>
      </c>
      <c r="C78" s="9" t="s">
        <v>934</v>
      </c>
      <c r="D78" s="12">
        <v>4</v>
      </c>
      <c r="E78" s="12">
        <v>41</v>
      </c>
      <c r="F78" s="12">
        <v>13</v>
      </c>
      <c r="G78" s="9" t="s">
        <v>935</v>
      </c>
      <c r="H78" s="9" t="s">
        <v>936</v>
      </c>
    </row>
    <row r="79" spans="1:8" ht="26.4" x14ac:dyDescent="0.3">
      <c r="A79" s="9" t="s">
        <v>145</v>
      </c>
      <c r="B79" s="9" t="s">
        <v>937</v>
      </c>
      <c r="C79" s="9" t="s">
        <v>938</v>
      </c>
      <c r="D79" s="12">
        <v>4</v>
      </c>
      <c r="E79" s="12">
        <v>8568</v>
      </c>
      <c r="F79" s="12">
        <v>23</v>
      </c>
      <c r="G79" s="9" t="s">
        <v>939</v>
      </c>
      <c r="H79" s="9" t="s">
        <v>940</v>
      </c>
    </row>
    <row r="80" spans="1:8" ht="26.4" x14ac:dyDescent="0.3">
      <c r="A80" s="9" t="s">
        <v>145</v>
      </c>
      <c r="B80" s="9" t="s">
        <v>941</v>
      </c>
      <c r="C80" s="9" t="s">
        <v>942</v>
      </c>
      <c r="D80" s="12">
        <v>4</v>
      </c>
      <c r="E80" s="12">
        <v>3</v>
      </c>
      <c r="F80" s="12">
        <v>11</v>
      </c>
      <c r="G80" s="9" t="s">
        <v>943</v>
      </c>
      <c r="H80" s="9" t="s">
        <v>944</v>
      </c>
    </row>
    <row r="81" spans="1:8" ht="26.4" x14ac:dyDescent="0.3">
      <c r="A81" s="9" t="s">
        <v>145</v>
      </c>
      <c r="B81" s="9" t="s">
        <v>945</v>
      </c>
      <c r="C81" s="9" t="s">
        <v>946</v>
      </c>
      <c r="D81" s="12">
        <v>4</v>
      </c>
      <c r="E81" s="12">
        <v>9</v>
      </c>
      <c r="F81" s="12">
        <v>9</v>
      </c>
      <c r="G81" s="9" t="s">
        <v>947</v>
      </c>
      <c r="H81" s="9" t="s">
        <v>948</v>
      </c>
    </row>
    <row r="82" spans="1:8" ht="26.4" x14ac:dyDescent="0.3">
      <c r="A82" s="9" t="s">
        <v>145</v>
      </c>
      <c r="B82" s="9" t="s">
        <v>949</v>
      </c>
      <c r="C82" s="9" t="s">
        <v>950</v>
      </c>
      <c r="D82" s="12">
        <v>4</v>
      </c>
      <c r="E82" s="12">
        <v>5</v>
      </c>
      <c r="F82" s="12">
        <v>11</v>
      </c>
      <c r="G82" s="9" t="s">
        <v>951</v>
      </c>
      <c r="H82" s="9" t="s">
        <v>952</v>
      </c>
    </row>
    <row r="83" spans="1:8" ht="26.4" x14ac:dyDescent="0.3">
      <c r="A83" s="9" t="s">
        <v>145</v>
      </c>
      <c r="B83" s="9" t="s">
        <v>953</v>
      </c>
      <c r="C83" s="9" t="s">
        <v>954</v>
      </c>
      <c r="D83" s="12">
        <v>1</v>
      </c>
      <c r="E83" s="12">
        <v>6</v>
      </c>
      <c r="F83" s="12">
        <v>4</v>
      </c>
      <c r="G83" s="9" t="s">
        <v>760</v>
      </c>
      <c r="H83" s="9" t="s">
        <v>955</v>
      </c>
    </row>
    <row r="84" spans="1:8" ht="26.4" x14ac:dyDescent="0.3">
      <c r="A84" s="9" t="s">
        <v>145</v>
      </c>
      <c r="B84" s="9" t="s">
        <v>63</v>
      </c>
      <c r="C84" s="9" t="s">
        <v>737</v>
      </c>
      <c r="D84" s="12">
        <v>1</v>
      </c>
      <c r="E84" s="12">
        <v>71</v>
      </c>
      <c r="F84" s="12">
        <v>9</v>
      </c>
      <c r="G84" s="9" t="s">
        <v>709</v>
      </c>
      <c r="H84" s="9" t="s">
        <v>956</v>
      </c>
    </row>
    <row r="85" spans="1:8" ht="26.4" x14ac:dyDescent="0.3">
      <c r="A85" s="9" t="s">
        <v>150</v>
      </c>
      <c r="B85" s="9" t="s">
        <v>957</v>
      </c>
      <c r="C85" s="9" t="s">
        <v>253</v>
      </c>
      <c r="D85" s="12">
        <v>4</v>
      </c>
      <c r="E85" s="12">
        <v>1330</v>
      </c>
      <c r="F85" s="12">
        <v>21</v>
      </c>
      <c r="G85" s="9" t="s">
        <v>583</v>
      </c>
      <c r="H85" s="9" t="s">
        <v>958</v>
      </c>
    </row>
    <row r="86" spans="1:8" x14ac:dyDescent="0.3">
      <c r="A86" s="9" t="s">
        <v>150</v>
      </c>
      <c r="B86" s="9" t="s">
        <v>959</v>
      </c>
      <c r="C86" s="9" t="s">
        <v>960</v>
      </c>
      <c r="D86" s="12">
        <v>4</v>
      </c>
      <c r="E86" s="12">
        <v>239</v>
      </c>
      <c r="F86" s="12">
        <v>13</v>
      </c>
      <c r="G86" s="9" t="s">
        <v>594</v>
      </c>
      <c r="H86" s="9" t="s">
        <v>961</v>
      </c>
    </row>
    <row r="87" spans="1:8" ht="26.4" x14ac:dyDescent="0.3">
      <c r="A87" s="9" t="s">
        <v>150</v>
      </c>
      <c r="B87" s="9" t="s">
        <v>63</v>
      </c>
      <c r="C87" s="9" t="s">
        <v>737</v>
      </c>
      <c r="D87" s="12">
        <v>1</v>
      </c>
      <c r="E87" s="12">
        <v>34</v>
      </c>
      <c r="F87" s="12">
        <v>9</v>
      </c>
      <c r="G87" s="9" t="s">
        <v>709</v>
      </c>
      <c r="H87" s="9" t="s">
        <v>962</v>
      </c>
    </row>
    <row r="88" spans="1:8" ht="26.4" x14ac:dyDescent="0.3">
      <c r="A88" s="9" t="s">
        <v>155</v>
      </c>
      <c r="B88" s="9" t="s">
        <v>963</v>
      </c>
      <c r="C88" s="9" t="s">
        <v>964</v>
      </c>
      <c r="D88" s="12">
        <v>4</v>
      </c>
      <c r="E88" s="12">
        <v>210</v>
      </c>
      <c r="F88" s="12">
        <v>25</v>
      </c>
      <c r="G88" s="9" t="s">
        <v>965</v>
      </c>
      <c r="H88" s="9" t="s">
        <v>966</v>
      </c>
    </row>
    <row r="89" spans="1:8" ht="26.4" x14ac:dyDescent="0.3">
      <c r="A89" s="9" t="s">
        <v>155</v>
      </c>
      <c r="B89" s="9" t="s">
        <v>967</v>
      </c>
      <c r="C89" s="9" t="s">
        <v>968</v>
      </c>
      <c r="D89" s="12">
        <v>1</v>
      </c>
      <c r="E89" s="12">
        <v>203</v>
      </c>
      <c r="F89" s="12">
        <v>8</v>
      </c>
      <c r="G89" s="9" t="s">
        <v>969</v>
      </c>
      <c r="H89" s="9" t="s">
        <v>970</v>
      </c>
    </row>
    <row r="90" spans="1:8" ht="26.4" x14ac:dyDescent="0.3">
      <c r="A90" s="9" t="s">
        <v>155</v>
      </c>
      <c r="B90" s="9" t="s">
        <v>971</v>
      </c>
      <c r="C90" s="9" t="s">
        <v>972</v>
      </c>
      <c r="D90" s="12">
        <v>4</v>
      </c>
      <c r="E90" s="12">
        <v>7</v>
      </c>
      <c r="F90" s="12">
        <v>8</v>
      </c>
      <c r="G90" s="9" t="s">
        <v>973</v>
      </c>
      <c r="H90" s="9" t="s">
        <v>974</v>
      </c>
    </row>
    <row r="91" spans="1:8" ht="26.4" x14ac:dyDescent="0.3">
      <c r="A91" s="9" t="s">
        <v>155</v>
      </c>
      <c r="B91" s="9" t="s">
        <v>975</v>
      </c>
      <c r="C91" s="9" t="s">
        <v>976</v>
      </c>
      <c r="D91" s="12">
        <v>1</v>
      </c>
      <c r="E91" s="12">
        <v>29</v>
      </c>
      <c r="F91" s="12">
        <v>6</v>
      </c>
      <c r="G91" s="9" t="s">
        <v>969</v>
      </c>
      <c r="H91" s="9" t="s">
        <v>977</v>
      </c>
    </row>
    <row r="92" spans="1:8" ht="26.4" x14ac:dyDescent="0.3">
      <c r="A92" s="9" t="s">
        <v>155</v>
      </c>
      <c r="B92" s="9" t="s">
        <v>978</v>
      </c>
      <c r="C92" s="9" t="s">
        <v>979</v>
      </c>
      <c r="D92" s="12">
        <v>1</v>
      </c>
      <c r="E92" s="12">
        <v>8</v>
      </c>
      <c r="F92" s="12">
        <v>6</v>
      </c>
      <c r="G92" s="9" t="s">
        <v>980</v>
      </c>
      <c r="H92" s="9" t="s">
        <v>981</v>
      </c>
    </row>
    <row r="93" spans="1:8" ht="26.4" x14ac:dyDescent="0.3">
      <c r="A93" s="9" t="s">
        <v>155</v>
      </c>
      <c r="B93" s="9" t="s">
        <v>63</v>
      </c>
      <c r="C93" s="9" t="s">
        <v>737</v>
      </c>
      <c r="D93" s="12">
        <v>1</v>
      </c>
      <c r="E93" s="12">
        <v>53</v>
      </c>
      <c r="F93" s="12">
        <v>9</v>
      </c>
      <c r="G93" s="9" t="s">
        <v>709</v>
      </c>
      <c r="H93" s="9" t="s">
        <v>982</v>
      </c>
    </row>
    <row r="94" spans="1:8" x14ac:dyDescent="0.3">
      <c r="A94" s="9" t="s">
        <v>160</v>
      </c>
      <c r="B94" s="9" t="s">
        <v>983</v>
      </c>
      <c r="C94" s="9" t="s">
        <v>984</v>
      </c>
      <c r="D94" s="12">
        <v>4</v>
      </c>
      <c r="E94" s="12">
        <v>6</v>
      </c>
      <c r="F94" s="12">
        <v>12</v>
      </c>
      <c r="G94" s="9" t="s">
        <v>985</v>
      </c>
      <c r="H94" s="9" t="s">
        <v>986</v>
      </c>
    </row>
    <row r="95" spans="1:8" x14ac:dyDescent="0.3">
      <c r="A95" s="9" t="s">
        <v>160</v>
      </c>
      <c r="B95" s="9" t="s">
        <v>987</v>
      </c>
      <c r="C95" s="9" t="s">
        <v>988</v>
      </c>
      <c r="D95" s="12">
        <v>4</v>
      </c>
      <c r="E95" s="12">
        <v>18</v>
      </c>
      <c r="F95" s="12">
        <v>17</v>
      </c>
      <c r="G95" s="9" t="s">
        <v>342</v>
      </c>
      <c r="H95" s="9" t="s">
        <v>989</v>
      </c>
    </row>
    <row r="96" spans="1:8" ht="26.4" x14ac:dyDescent="0.3">
      <c r="A96" s="9" t="s">
        <v>160</v>
      </c>
      <c r="B96" s="9" t="s">
        <v>990</v>
      </c>
      <c r="C96" s="9" t="s">
        <v>264</v>
      </c>
      <c r="D96" s="12">
        <v>4</v>
      </c>
      <c r="E96" s="12">
        <v>9</v>
      </c>
      <c r="F96" s="12">
        <v>12</v>
      </c>
      <c r="G96" s="9" t="s">
        <v>629</v>
      </c>
      <c r="H96" s="9" t="s">
        <v>991</v>
      </c>
    </row>
    <row r="97" spans="1:8" x14ac:dyDescent="0.3">
      <c r="A97" s="9" t="s">
        <v>160</v>
      </c>
      <c r="B97" s="9" t="s">
        <v>992</v>
      </c>
      <c r="C97" s="9" t="s">
        <v>993</v>
      </c>
      <c r="D97" s="12">
        <v>1</v>
      </c>
      <c r="E97" s="12">
        <v>7</v>
      </c>
      <c r="F97" s="12">
        <v>5</v>
      </c>
      <c r="G97" s="9" t="s">
        <v>760</v>
      </c>
      <c r="H97" s="9" t="s">
        <v>994</v>
      </c>
    </row>
    <row r="98" spans="1:8" ht="26.4" x14ac:dyDescent="0.3">
      <c r="A98" s="9" t="s">
        <v>160</v>
      </c>
      <c r="B98" s="9" t="s">
        <v>995</v>
      </c>
      <c r="C98" s="9" t="s">
        <v>996</v>
      </c>
      <c r="D98" s="12">
        <v>1</v>
      </c>
      <c r="E98" s="12">
        <v>30</v>
      </c>
      <c r="F98" s="12">
        <v>7</v>
      </c>
      <c r="G98" s="9" t="s">
        <v>997</v>
      </c>
      <c r="H98" s="9" t="s">
        <v>998</v>
      </c>
    </row>
    <row r="99" spans="1:8" x14ac:dyDescent="0.3">
      <c r="A99" s="9" t="s">
        <v>160</v>
      </c>
      <c r="B99" s="9" t="s">
        <v>999</v>
      </c>
      <c r="C99" s="9" t="s">
        <v>268</v>
      </c>
      <c r="D99" s="12">
        <v>4</v>
      </c>
      <c r="E99" s="12">
        <v>18</v>
      </c>
      <c r="F99" s="12">
        <v>12</v>
      </c>
      <c r="G99" s="9" t="s">
        <v>644</v>
      </c>
      <c r="H99" s="9" t="s">
        <v>1000</v>
      </c>
    </row>
    <row r="100" spans="1:8" x14ac:dyDescent="0.3">
      <c r="A100" s="9" t="s">
        <v>160</v>
      </c>
      <c r="B100" s="9" t="s">
        <v>63</v>
      </c>
      <c r="C100" s="9" t="s">
        <v>737</v>
      </c>
      <c r="D100" s="12">
        <v>1</v>
      </c>
      <c r="E100" s="12">
        <v>65</v>
      </c>
      <c r="F100" s="12">
        <v>9</v>
      </c>
      <c r="G100" s="9" t="s">
        <v>709</v>
      </c>
      <c r="H100" s="9" t="s">
        <v>1001</v>
      </c>
    </row>
    <row r="101" spans="1:8" ht="26.4" x14ac:dyDescent="0.3">
      <c r="A101" s="9" t="s">
        <v>165</v>
      </c>
      <c r="B101" s="9" t="s">
        <v>1002</v>
      </c>
      <c r="C101" s="9" t="s">
        <v>271</v>
      </c>
      <c r="D101" s="12">
        <v>4</v>
      </c>
      <c r="E101" s="12">
        <v>15</v>
      </c>
      <c r="F101" s="12">
        <v>6</v>
      </c>
      <c r="G101" s="9" t="s">
        <v>655</v>
      </c>
      <c r="H101" s="9" t="s">
        <v>1003</v>
      </c>
    </row>
    <row r="102" spans="1:8" ht="26.4" x14ac:dyDescent="0.3">
      <c r="A102" s="9" t="s">
        <v>165</v>
      </c>
      <c r="B102" s="9" t="s">
        <v>1004</v>
      </c>
      <c r="C102" s="9" t="s">
        <v>276</v>
      </c>
      <c r="D102" s="12">
        <v>4</v>
      </c>
      <c r="E102" s="12">
        <v>11</v>
      </c>
      <c r="F102" s="12">
        <v>9</v>
      </c>
      <c r="G102" s="9" t="s">
        <v>664</v>
      </c>
      <c r="H102" s="9" t="s">
        <v>1005</v>
      </c>
    </row>
    <row r="103" spans="1:8" ht="26.4" x14ac:dyDescent="0.3">
      <c r="A103" s="9" t="s">
        <v>165</v>
      </c>
      <c r="B103" s="9" t="s">
        <v>1006</v>
      </c>
      <c r="C103" s="9" t="s">
        <v>1007</v>
      </c>
      <c r="D103" s="12">
        <v>1</v>
      </c>
      <c r="E103" s="12">
        <v>8</v>
      </c>
      <c r="F103" s="12">
        <v>6</v>
      </c>
      <c r="G103" s="9" t="s">
        <v>664</v>
      </c>
      <c r="H103" s="9" t="s">
        <v>1008</v>
      </c>
    </row>
    <row r="104" spans="1:8" ht="26.4" x14ac:dyDescent="0.3">
      <c r="A104" s="9" t="s">
        <v>165</v>
      </c>
      <c r="B104" s="9" t="s">
        <v>63</v>
      </c>
      <c r="C104" s="9" t="s">
        <v>737</v>
      </c>
      <c r="D104" s="12">
        <v>1</v>
      </c>
      <c r="E104" s="12">
        <v>21</v>
      </c>
      <c r="F104" s="12">
        <v>9</v>
      </c>
      <c r="G104" s="9" t="s">
        <v>709</v>
      </c>
      <c r="H104" s="9" t="s">
        <v>1009</v>
      </c>
    </row>
    <row r="105" spans="1:8" ht="26.4" x14ac:dyDescent="0.3">
      <c r="A105" s="9" t="s">
        <v>170</v>
      </c>
      <c r="B105" s="9" t="s">
        <v>1010</v>
      </c>
      <c r="C105" s="9" t="s">
        <v>1011</v>
      </c>
      <c r="D105" s="12">
        <v>4</v>
      </c>
      <c r="E105" s="12">
        <v>811</v>
      </c>
      <c r="F105" s="12">
        <v>16</v>
      </c>
      <c r="G105" s="9" t="s">
        <v>597</v>
      </c>
      <c r="H105" s="9" t="s">
        <v>1012</v>
      </c>
    </row>
    <row r="106" spans="1:8" ht="26.4" x14ac:dyDescent="0.3">
      <c r="A106" s="9" t="s">
        <v>170</v>
      </c>
      <c r="B106" s="9" t="s">
        <v>1013</v>
      </c>
      <c r="C106" s="9" t="s">
        <v>258</v>
      </c>
      <c r="D106" s="12">
        <v>4</v>
      </c>
      <c r="E106" s="12">
        <v>12</v>
      </c>
      <c r="F106" s="12">
        <v>23</v>
      </c>
      <c r="G106" s="9" t="s">
        <v>597</v>
      </c>
      <c r="H106" s="9" t="s">
        <v>1014</v>
      </c>
    </row>
    <row r="107" spans="1:8" ht="26.4" x14ac:dyDescent="0.3">
      <c r="A107" s="9" t="s">
        <v>170</v>
      </c>
      <c r="B107" s="9" t="s">
        <v>1015</v>
      </c>
      <c r="C107" s="9" t="s">
        <v>1016</v>
      </c>
      <c r="D107" s="12">
        <v>4</v>
      </c>
      <c r="E107" s="12">
        <v>40</v>
      </c>
      <c r="F107" s="12">
        <v>8</v>
      </c>
      <c r="G107" s="9" t="s">
        <v>1017</v>
      </c>
      <c r="H107" s="9" t="s">
        <v>1018</v>
      </c>
    </row>
    <row r="108" spans="1:8" ht="26.4" x14ac:dyDescent="0.3">
      <c r="A108" s="9" t="s">
        <v>170</v>
      </c>
      <c r="B108" s="9" t="s">
        <v>1019</v>
      </c>
      <c r="C108" s="9" t="s">
        <v>261</v>
      </c>
      <c r="D108" s="12">
        <v>1</v>
      </c>
      <c r="E108" s="12">
        <v>9</v>
      </c>
      <c r="F108" s="12">
        <v>6</v>
      </c>
      <c r="G108" s="9" t="s">
        <v>597</v>
      </c>
      <c r="H108" s="9" t="s">
        <v>1020</v>
      </c>
    </row>
    <row r="109" spans="1:8" ht="26.4" x14ac:dyDescent="0.3">
      <c r="A109" s="9" t="s">
        <v>170</v>
      </c>
      <c r="B109" s="9" t="s">
        <v>63</v>
      </c>
      <c r="C109" s="9" t="s">
        <v>737</v>
      </c>
      <c r="D109" s="12">
        <v>1</v>
      </c>
      <c r="E109" s="12">
        <v>53</v>
      </c>
      <c r="F109" s="12">
        <v>9</v>
      </c>
      <c r="G109" s="9" t="s">
        <v>709</v>
      </c>
      <c r="H109" s="9" t="s">
        <v>1021</v>
      </c>
    </row>
    <row r="110" spans="1:8" ht="26.4" x14ac:dyDescent="0.3">
      <c r="A110" s="9" t="s">
        <v>175</v>
      </c>
      <c r="B110" s="9" t="s">
        <v>1022</v>
      </c>
      <c r="C110" s="9" t="s">
        <v>1023</v>
      </c>
      <c r="D110" s="12">
        <v>4</v>
      </c>
      <c r="E110" s="12">
        <v>8</v>
      </c>
      <c r="F110" s="12">
        <v>17</v>
      </c>
      <c r="G110" s="9" t="s">
        <v>899</v>
      </c>
      <c r="H110" s="9" t="s">
        <v>1024</v>
      </c>
    </row>
    <row r="111" spans="1:8" ht="26.4" x14ac:dyDescent="0.3">
      <c r="A111" s="9" t="s">
        <v>175</v>
      </c>
      <c r="B111" s="9" t="s">
        <v>1025</v>
      </c>
      <c r="C111" s="9" t="s">
        <v>1026</v>
      </c>
      <c r="D111" s="12">
        <v>4</v>
      </c>
      <c r="E111" s="12">
        <v>12</v>
      </c>
      <c r="F111" s="12">
        <v>4</v>
      </c>
      <c r="G111" s="9" t="s">
        <v>1027</v>
      </c>
      <c r="H111" s="9" t="s">
        <v>1028</v>
      </c>
    </row>
    <row r="112" spans="1:8" ht="26.4" x14ac:dyDescent="0.3">
      <c r="A112" s="9" t="s">
        <v>175</v>
      </c>
      <c r="B112" s="9" t="s">
        <v>1029</v>
      </c>
      <c r="C112" s="9" t="s">
        <v>1030</v>
      </c>
      <c r="D112" s="12">
        <v>4</v>
      </c>
      <c r="E112" s="12">
        <v>18</v>
      </c>
      <c r="F112" s="12">
        <v>18</v>
      </c>
      <c r="G112" s="9" t="s">
        <v>585</v>
      </c>
      <c r="H112" s="9" t="s">
        <v>1031</v>
      </c>
    </row>
    <row r="113" spans="1:8" ht="26.4" x14ac:dyDescent="0.3">
      <c r="A113" s="9" t="s">
        <v>175</v>
      </c>
      <c r="B113" s="9" t="s">
        <v>1032</v>
      </c>
      <c r="C113" s="9" t="s">
        <v>279</v>
      </c>
      <c r="D113" s="12">
        <v>1</v>
      </c>
      <c r="E113" s="12">
        <v>9</v>
      </c>
      <c r="F113" s="12">
        <v>8</v>
      </c>
      <c r="G113" s="9" t="s">
        <v>672</v>
      </c>
      <c r="H113" s="9" t="s">
        <v>1033</v>
      </c>
    </row>
    <row r="114" spans="1:8" ht="26.4" x14ac:dyDescent="0.3">
      <c r="A114" s="9" t="s">
        <v>175</v>
      </c>
      <c r="B114" s="9" t="s">
        <v>63</v>
      </c>
      <c r="C114" s="9" t="s">
        <v>737</v>
      </c>
      <c r="D114" s="12">
        <v>1</v>
      </c>
      <c r="E114" s="12">
        <v>47</v>
      </c>
      <c r="F114" s="12">
        <v>9</v>
      </c>
      <c r="G114" s="9" t="s">
        <v>709</v>
      </c>
      <c r="H114" s="9" t="s">
        <v>1034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6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18" customWidth="1"/>
    <col min="3" max="3" width="40" customWidth="1"/>
    <col min="4" max="4" width="10" customWidth="1"/>
    <col min="5" max="5" width="9" customWidth="1"/>
    <col min="6" max="6" width="50" customWidth="1"/>
    <col min="7" max="7" width="9" customWidth="1"/>
  </cols>
  <sheetData>
    <row r="1" spans="1:7" ht="26.4" x14ac:dyDescent="0.3">
      <c r="A1" s="8" t="s">
        <v>1035</v>
      </c>
      <c r="B1" s="8" t="s">
        <v>1036</v>
      </c>
      <c r="C1" s="8" t="s">
        <v>1037</v>
      </c>
      <c r="D1" s="8" t="s">
        <v>1038</v>
      </c>
      <c r="E1" s="8" t="s">
        <v>1039</v>
      </c>
      <c r="F1" s="8" t="s">
        <v>1040</v>
      </c>
      <c r="G1" s="8" t="s">
        <v>492</v>
      </c>
    </row>
    <row r="2" spans="1:7" x14ac:dyDescent="0.3">
      <c r="A2" s="9" t="s">
        <v>202</v>
      </c>
      <c r="B2" s="9" t="s">
        <v>306</v>
      </c>
      <c r="C2" s="9" t="s">
        <v>198</v>
      </c>
      <c r="D2" s="12">
        <v>9</v>
      </c>
      <c r="E2" s="12">
        <v>0</v>
      </c>
      <c r="F2" s="9"/>
      <c r="G2" s="9" t="s">
        <v>1041</v>
      </c>
    </row>
    <row r="3" spans="1:7" x14ac:dyDescent="0.3">
      <c r="A3" s="9" t="s">
        <v>198</v>
      </c>
      <c r="B3" s="9" t="s">
        <v>325</v>
      </c>
      <c r="C3" s="9" t="s">
        <v>202</v>
      </c>
      <c r="D3" s="12">
        <v>9</v>
      </c>
      <c r="E3" s="12">
        <v>0</v>
      </c>
      <c r="F3" s="9"/>
      <c r="G3" s="9" t="s">
        <v>1041</v>
      </c>
    </row>
    <row r="4" spans="1:7" x14ac:dyDescent="0.3">
      <c r="A4" s="9" t="s">
        <v>198</v>
      </c>
      <c r="B4" s="9" t="s">
        <v>326</v>
      </c>
      <c r="C4" s="9" t="s">
        <v>1042</v>
      </c>
      <c r="D4" s="12">
        <v>11</v>
      </c>
      <c r="E4" s="12">
        <v>0</v>
      </c>
      <c r="F4" s="9"/>
      <c r="G4" s="9" t="s">
        <v>1041</v>
      </c>
    </row>
    <row r="5" spans="1:7" x14ac:dyDescent="0.3">
      <c r="A5" s="9" t="s">
        <v>202</v>
      </c>
      <c r="B5" s="9" t="s">
        <v>326</v>
      </c>
      <c r="C5" s="9" t="s">
        <v>1042</v>
      </c>
      <c r="D5" s="12">
        <v>14</v>
      </c>
      <c r="E5" s="12">
        <v>0</v>
      </c>
      <c r="F5" s="9"/>
      <c r="G5" s="9" t="s">
        <v>1041</v>
      </c>
    </row>
    <row r="6" spans="1:7" x14ac:dyDescent="0.3">
      <c r="A6" s="9" t="s">
        <v>211</v>
      </c>
      <c r="B6" s="9" t="s">
        <v>326</v>
      </c>
      <c r="C6" s="9" t="s">
        <v>1042</v>
      </c>
      <c r="D6" s="12">
        <v>11</v>
      </c>
      <c r="E6" s="12">
        <v>0</v>
      </c>
      <c r="F6" s="9"/>
      <c r="G6" s="9" t="s">
        <v>1041</v>
      </c>
    </row>
    <row r="7" spans="1:7" x14ac:dyDescent="0.3">
      <c r="A7" s="9" t="s">
        <v>198</v>
      </c>
      <c r="B7" s="9" t="s">
        <v>334</v>
      </c>
      <c r="C7" s="9" t="s">
        <v>1043</v>
      </c>
      <c r="D7" s="12">
        <v>20</v>
      </c>
      <c r="E7" s="12">
        <v>0</v>
      </c>
      <c r="F7" s="9"/>
      <c r="G7" s="9" t="s">
        <v>1041</v>
      </c>
    </row>
    <row r="8" spans="1:7" x14ac:dyDescent="0.3">
      <c r="A8" s="9" t="s">
        <v>202</v>
      </c>
      <c r="B8" s="9" t="s">
        <v>334</v>
      </c>
      <c r="C8" s="9" t="s">
        <v>1043</v>
      </c>
      <c r="D8" s="12">
        <v>29</v>
      </c>
      <c r="E8" s="12">
        <v>0</v>
      </c>
      <c r="F8" s="9"/>
      <c r="G8" s="9" t="s">
        <v>1041</v>
      </c>
    </row>
    <row r="9" spans="1:7" x14ac:dyDescent="0.3">
      <c r="A9" s="9" t="s">
        <v>205</v>
      </c>
      <c r="B9" s="9" t="s">
        <v>334</v>
      </c>
      <c r="C9" s="9" t="s">
        <v>1043</v>
      </c>
      <c r="D9" s="12">
        <v>14</v>
      </c>
      <c r="E9" s="12">
        <v>0</v>
      </c>
      <c r="F9" s="9"/>
      <c r="G9" s="9" t="s">
        <v>1041</v>
      </c>
    </row>
    <row r="10" spans="1:7" x14ac:dyDescent="0.3">
      <c r="A10" s="9" t="s">
        <v>208</v>
      </c>
      <c r="B10" s="9" t="s">
        <v>334</v>
      </c>
      <c r="C10" s="9" t="s">
        <v>1043</v>
      </c>
      <c r="D10" s="12">
        <v>9</v>
      </c>
      <c r="E10" s="12">
        <v>0</v>
      </c>
      <c r="F10" s="9"/>
      <c r="G10" s="9" t="s">
        <v>1041</v>
      </c>
    </row>
    <row r="11" spans="1:7" x14ac:dyDescent="0.3">
      <c r="A11" s="9" t="s">
        <v>211</v>
      </c>
      <c r="B11" s="9" t="s">
        <v>334</v>
      </c>
      <c r="C11" s="9" t="s">
        <v>1043</v>
      </c>
      <c r="D11" s="12">
        <v>25</v>
      </c>
      <c r="E11" s="12">
        <v>0</v>
      </c>
      <c r="F11" s="9"/>
      <c r="G11" s="9" t="s">
        <v>1041</v>
      </c>
    </row>
    <row r="12" spans="1:7" x14ac:dyDescent="0.3">
      <c r="A12" s="9" t="s">
        <v>198</v>
      </c>
      <c r="B12" s="9" t="s">
        <v>335</v>
      </c>
      <c r="C12" s="9" t="s">
        <v>1044</v>
      </c>
      <c r="D12" s="12">
        <v>19</v>
      </c>
      <c r="E12" s="12">
        <v>0</v>
      </c>
      <c r="F12" s="9"/>
      <c r="G12" s="9" t="s">
        <v>1041</v>
      </c>
    </row>
    <row r="13" spans="1:7" x14ac:dyDescent="0.3">
      <c r="A13" s="9" t="s">
        <v>202</v>
      </c>
      <c r="B13" s="9" t="s">
        <v>335</v>
      </c>
      <c r="C13" s="9" t="s">
        <v>1044</v>
      </c>
      <c r="D13" s="12">
        <v>18</v>
      </c>
      <c r="E13" s="12">
        <v>0</v>
      </c>
      <c r="F13" s="9"/>
      <c r="G13" s="9" t="s">
        <v>1041</v>
      </c>
    </row>
    <row r="14" spans="1:7" x14ac:dyDescent="0.3">
      <c r="A14" s="9" t="s">
        <v>205</v>
      </c>
      <c r="B14" s="9" t="s">
        <v>351</v>
      </c>
      <c r="C14" s="9" t="s">
        <v>1045</v>
      </c>
      <c r="D14" s="12">
        <v>14</v>
      </c>
      <c r="E14" s="12">
        <v>0</v>
      </c>
      <c r="F14" s="9"/>
      <c r="G14" s="9" t="s">
        <v>1041</v>
      </c>
    </row>
    <row r="15" spans="1:7" x14ac:dyDescent="0.3">
      <c r="A15" s="9" t="s">
        <v>205</v>
      </c>
      <c r="B15" s="9" t="s">
        <v>352</v>
      </c>
      <c r="C15" s="9" t="s">
        <v>218</v>
      </c>
      <c r="D15" s="12">
        <v>4</v>
      </c>
      <c r="E15" s="12">
        <v>0</v>
      </c>
      <c r="F15" s="9"/>
      <c r="G15" s="9" t="s">
        <v>1041</v>
      </c>
    </row>
    <row r="16" spans="1:7" x14ac:dyDescent="0.3">
      <c r="A16" s="9" t="s">
        <v>211</v>
      </c>
      <c r="B16" s="9" t="s">
        <v>378</v>
      </c>
      <c r="C16" s="9" t="s">
        <v>1046</v>
      </c>
      <c r="D16" s="12">
        <v>10</v>
      </c>
      <c r="E16" s="12">
        <v>0</v>
      </c>
      <c r="F16" s="9"/>
      <c r="G16" s="9" t="s">
        <v>1041</v>
      </c>
    </row>
    <row r="17" spans="1:7" x14ac:dyDescent="0.3">
      <c r="A17" s="9" t="s">
        <v>211</v>
      </c>
      <c r="B17" s="9" t="s">
        <v>369</v>
      </c>
      <c r="C17" s="9" t="s">
        <v>1047</v>
      </c>
      <c r="D17" s="12">
        <v>5</v>
      </c>
      <c r="E17" s="12">
        <v>0</v>
      </c>
      <c r="F17" s="9"/>
      <c r="G17" s="9" t="s">
        <v>1041</v>
      </c>
    </row>
    <row r="18" spans="1:7" x14ac:dyDescent="0.3">
      <c r="A18" s="9" t="s">
        <v>751</v>
      </c>
      <c r="B18" s="9" t="s">
        <v>1048</v>
      </c>
      <c r="C18" s="9" t="s">
        <v>1045</v>
      </c>
      <c r="D18" s="12">
        <v>7</v>
      </c>
      <c r="E18" s="12">
        <v>0</v>
      </c>
      <c r="F18" s="9"/>
      <c r="G18" s="9" t="s">
        <v>1041</v>
      </c>
    </row>
    <row r="19" spans="1:7" x14ac:dyDescent="0.3">
      <c r="A19" s="9" t="s">
        <v>740</v>
      </c>
      <c r="B19" s="9" t="s">
        <v>1049</v>
      </c>
      <c r="C19" s="9" t="s">
        <v>214</v>
      </c>
      <c r="D19" s="12">
        <v>30</v>
      </c>
      <c r="E19" s="12">
        <v>0</v>
      </c>
      <c r="F19" s="9"/>
      <c r="G19" s="9" t="s">
        <v>1041</v>
      </c>
    </row>
    <row r="20" spans="1:7" ht="26.4" x14ac:dyDescent="0.3">
      <c r="A20" s="9" t="s">
        <v>740</v>
      </c>
      <c r="B20" s="9" t="s">
        <v>458</v>
      </c>
      <c r="C20" s="9" t="s">
        <v>1043</v>
      </c>
      <c r="D20" s="12">
        <v>45</v>
      </c>
      <c r="E20" s="12">
        <v>0</v>
      </c>
      <c r="F20" s="9"/>
      <c r="G20" s="9" t="s">
        <v>1041</v>
      </c>
    </row>
    <row r="21" spans="1:7" x14ac:dyDescent="0.3">
      <c r="A21" s="9" t="s">
        <v>743</v>
      </c>
      <c r="B21" s="9" t="s">
        <v>1050</v>
      </c>
      <c r="C21" s="9" t="s">
        <v>740</v>
      </c>
      <c r="D21" s="12">
        <v>38</v>
      </c>
      <c r="E21" s="12">
        <v>0</v>
      </c>
      <c r="F21" s="9"/>
      <c r="G21" s="9" t="s">
        <v>1041</v>
      </c>
    </row>
    <row r="22" spans="1:7" x14ac:dyDescent="0.3">
      <c r="A22" s="9" t="s">
        <v>743</v>
      </c>
      <c r="B22" s="9" t="s">
        <v>1051</v>
      </c>
      <c r="C22" s="9" t="s">
        <v>740</v>
      </c>
      <c r="D22" s="12">
        <v>38</v>
      </c>
      <c r="E22" s="12">
        <v>0</v>
      </c>
      <c r="F22" s="9"/>
      <c r="G22" s="9" t="s">
        <v>1041</v>
      </c>
    </row>
    <row r="23" spans="1:7" x14ac:dyDescent="0.3">
      <c r="A23" s="9" t="s">
        <v>781</v>
      </c>
      <c r="B23" s="9" t="s">
        <v>782</v>
      </c>
      <c r="C23" s="9" t="s">
        <v>1052</v>
      </c>
      <c r="D23" s="12">
        <v>27</v>
      </c>
      <c r="E23" s="12">
        <v>0</v>
      </c>
      <c r="F23" s="9"/>
      <c r="G23" s="9" t="s">
        <v>1041</v>
      </c>
    </row>
    <row r="24" spans="1:7" x14ac:dyDescent="0.3">
      <c r="A24" s="9" t="s">
        <v>781</v>
      </c>
      <c r="B24" s="9" t="s">
        <v>354</v>
      </c>
      <c r="C24" s="9" t="s">
        <v>214</v>
      </c>
      <c r="D24" s="12">
        <v>26</v>
      </c>
      <c r="E24" s="12">
        <v>0</v>
      </c>
      <c r="F24" s="9"/>
      <c r="G24" s="9" t="s">
        <v>1041</v>
      </c>
    </row>
    <row r="25" spans="1:7" x14ac:dyDescent="0.3">
      <c r="A25" s="9" t="s">
        <v>785</v>
      </c>
      <c r="B25" s="9" t="s">
        <v>786</v>
      </c>
      <c r="C25" s="9" t="s">
        <v>1053</v>
      </c>
      <c r="D25" s="12">
        <v>11</v>
      </c>
      <c r="E25" s="12">
        <v>0</v>
      </c>
      <c r="F25" s="9"/>
      <c r="G25" s="9" t="s">
        <v>1041</v>
      </c>
    </row>
    <row r="26" spans="1:7" x14ac:dyDescent="0.3">
      <c r="A26" s="9" t="s">
        <v>785</v>
      </c>
      <c r="B26" s="9" t="s">
        <v>354</v>
      </c>
      <c r="C26" s="9" t="s">
        <v>214</v>
      </c>
      <c r="D26" s="12">
        <v>10</v>
      </c>
      <c r="E26" s="12">
        <v>0</v>
      </c>
      <c r="F26" s="9"/>
      <c r="G26" s="9" t="s">
        <v>1041</v>
      </c>
    </row>
    <row r="27" spans="1:7" x14ac:dyDescent="0.3">
      <c r="A27" s="9" t="s">
        <v>789</v>
      </c>
      <c r="B27" s="9" t="s">
        <v>782</v>
      </c>
      <c r="C27" s="9" t="s">
        <v>1052</v>
      </c>
      <c r="D27" s="12">
        <v>9</v>
      </c>
      <c r="E27" s="12">
        <v>0</v>
      </c>
      <c r="F27" s="9"/>
      <c r="G27" s="9" t="s">
        <v>1041</v>
      </c>
    </row>
    <row r="28" spans="1:7" x14ac:dyDescent="0.3">
      <c r="A28" s="9" t="s">
        <v>218</v>
      </c>
      <c r="B28" s="9" t="s">
        <v>379</v>
      </c>
      <c r="C28" s="9" t="s">
        <v>214</v>
      </c>
      <c r="D28" s="12">
        <v>8</v>
      </c>
      <c r="E28" s="12">
        <v>0</v>
      </c>
      <c r="F28" s="9"/>
      <c r="G28" s="9" t="s">
        <v>1041</v>
      </c>
    </row>
    <row r="29" spans="1:7" x14ac:dyDescent="0.3">
      <c r="A29" s="9" t="s">
        <v>221</v>
      </c>
      <c r="B29" s="9" t="s">
        <v>379</v>
      </c>
      <c r="C29" s="9" t="s">
        <v>214</v>
      </c>
      <c r="D29" s="12">
        <v>13</v>
      </c>
      <c r="E29" s="12">
        <v>0</v>
      </c>
      <c r="F29" s="9"/>
      <c r="G29" s="9" t="s">
        <v>1041</v>
      </c>
    </row>
    <row r="30" spans="1:7" x14ac:dyDescent="0.3">
      <c r="A30" s="9" t="s">
        <v>225</v>
      </c>
      <c r="B30" s="9" t="s">
        <v>334</v>
      </c>
      <c r="C30" s="9" t="s">
        <v>1043</v>
      </c>
      <c r="D30" s="12">
        <v>23</v>
      </c>
      <c r="E30" s="12">
        <v>0</v>
      </c>
      <c r="F30" s="9"/>
      <c r="G30" s="9" t="s">
        <v>1041</v>
      </c>
    </row>
    <row r="31" spans="1:7" x14ac:dyDescent="0.3">
      <c r="A31" s="9" t="s">
        <v>809</v>
      </c>
      <c r="B31" s="9" t="s">
        <v>432</v>
      </c>
      <c r="C31" s="9" t="s">
        <v>225</v>
      </c>
      <c r="D31" s="12">
        <v>221</v>
      </c>
      <c r="E31" s="12">
        <v>0</v>
      </c>
      <c r="F31" s="9"/>
      <c r="G31" s="9" t="s">
        <v>1041</v>
      </c>
    </row>
    <row r="32" spans="1:7" x14ac:dyDescent="0.3">
      <c r="A32" s="9" t="s">
        <v>824</v>
      </c>
      <c r="B32" s="9" t="s">
        <v>821</v>
      </c>
      <c r="C32" s="9" t="s">
        <v>820</v>
      </c>
      <c r="D32" s="12">
        <v>138</v>
      </c>
      <c r="E32" s="12">
        <v>0</v>
      </c>
      <c r="F32" s="9"/>
      <c r="G32" s="9" t="s">
        <v>1041</v>
      </c>
    </row>
    <row r="33" spans="1:7" x14ac:dyDescent="0.3">
      <c r="A33" s="9" t="s">
        <v>824</v>
      </c>
      <c r="B33" s="9" t="s">
        <v>476</v>
      </c>
      <c r="C33" s="9" t="s">
        <v>817</v>
      </c>
      <c r="D33" s="12">
        <v>138</v>
      </c>
      <c r="E33" s="12">
        <v>0</v>
      </c>
      <c r="F33" s="9"/>
      <c r="G33" s="9" t="s">
        <v>1041</v>
      </c>
    </row>
    <row r="34" spans="1:7" x14ac:dyDescent="0.3">
      <c r="A34" s="9" t="s">
        <v>229</v>
      </c>
      <c r="B34" s="9" t="s">
        <v>476</v>
      </c>
      <c r="C34" s="9" t="s">
        <v>817</v>
      </c>
      <c r="D34" s="12">
        <v>16</v>
      </c>
      <c r="E34" s="12">
        <v>0</v>
      </c>
      <c r="F34" s="9"/>
      <c r="G34" s="9" t="s">
        <v>1041</v>
      </c>
    </row>
    <row r="35" spans="1:7" x14ac:dyDescent="0.3">
      <c r="A35" s="9" t="s">
        <v>233</v>
      </c>
      <c r="B35" s="9" t="s">
        <v>472</v>
      </c>
      <c r="C35" s="9" t="s">
        <v>229</v>
      </c>
      <c r="D35" s="12">
        <v>60</v>
      </c>
      <c r="E35" s="12">
        <v>0</v>
      </c>
      <c r="F35" s="9"/>
      <c r="G35" s="9" t="s">
        <v>1041</v>
      </c>
    </row>
    <row r="36" spans="1:7" x14ac:dyDescent="0.3">
      <c r="A36" s="9" t="s">
        <v>233</v>
      </c>
      <c r="B36" s="9" t="s">
        <v>484</v>
      </c>
      <c r="C36" s="9" t="s">
        <v>820</v>
      </c>
      <c r="D36" s="12">
        <v>60</v>
      </c>
      <c r="E36" s="12">
        <v>0</v>
      </c>
      <c r="F36" s="9"/>
      <c r="G36" s="9" t="s">
        <v>1041</v>
      </c>
    </row>
    <row r="37" spans="1:7" x14ac:dyDescent="0.3">
      <c r="A37" s="9" t="s">
        <v>858</v>
      </c>
      <c r="B37" s="9" t="s">
        <v>548</v>
      </c>
      <c r="C37" s="9" t="s">
        <v>246</v>
      </c>
      <c r="D37" s="12">
        <v>99</v>
      </c>
      <c r="E37" s="12">
        <v>0</v>
      </c>
      <c r="F37" s="9"/>
      <c r="G37" s="9" t="s">
        <v>1041</v>
      </c>
    </row>
    <row r="38" spans="1:7" x14ac:dyDescent="0.3">
      <c r="A38" s="9" t="s">
        <v>862</v>
      </c>
      <c r="B38" s="9" t="s">
        <v>548</v>
      </c>
      <c r="C38" s="9" t="s">
        <v>246</v>
      </c>
      <c r="D38" s="12">
        <v>3</v>
      </c>
      <c r="E38" s="12">
        <v>0</v>
      </c>
      <c r="F38" s="9"/>
      <c r="G38" s="9" t="s">
        <v>1041</v>
      </c>
    </row>
    <row r="39" spans="1:7" x14ac:dyDescent="0.3">
      <c r="A39" s="9" t="s">
        <v>882</v>
      </c>
      <c r="B39" s="9" t="s">
        <v>876</v>
      </c>
      <c r="C39" s="9" t="s">
        <v>875</v>
      </c>
      <c r="D39" s="12">
        <v>526</v>
      </c>
      <c r="E39" s="12">
        <v>0</v>
      </c>
      <c r="F39" s="9"/>
      <c r="G39" s="9" t="s">
        <v>1041</v>
      </c>
    </row>
    <row r="40" spans="1:7" x14ac:dyDescent="0.3">
      <c r="A40" s="9" t="s">
        <v>886</v>
      </c>
      <c r="B40" s="9" t="s">
        <v>876</v>
      </c>
      <c r="C40" s="9" t="s">
        <v>875</v>
      </c>
      <c r="D40" s="12">
        <v>4</v>
      </c>
      <c r="E40" s="12">
        <v>0</v>
      </c>
      <c r="F40" s="9"/>
      <c r="G40" s="9" t="s">
        <v>1041</v>
      </c>
    </row>
    <row r="41" spans="1:7" x14ac:dyDescent="0.3">
      <c r="A41" s="9" t="s">
        <v>886</v>
      </c>
      <c r="B41" s="9" t="s">
        <v>1054</v>
      </c>
      <c r="C41" s="9" t="s">
        <v>225</v>
      </c>
      <c r="D41" s="12">
        <v>2</v>
      </c>
      <c r="E41" s="12">
        <v>0</v>
      </c>
      <c r="F41" s="9"/>
      <c r="G41" s="9" t="s">
        <v>1041</v>
      </c>
    </row>
    <row r="42" spans="1:7" x14ac:dyDescent="0.3">
      <c r="A42" s="9" t="s">
        <v>890</v>
      </c>
      <c r="B42" s="9" t="s">
        <v>876</v>
      </c>
      <c r="C42" s="9" t="s">
        <v>875</v>
      </c>
      <c r="D42" s="12">
        <v>7</v>
      </c>
      <c r="E42" s="12">
        <v>0</v>
      </c>
      <c r="F42" s="9"/>
      <c r="G42" s="9" t="s">
        <v>1041</v>
      </c>
    </row>
    <row r="43" spans="1:7" x14ac:dyDescent="0.3">
      <c r="A43" s="9" t="s">
        <v>902</v>
      </c>
      <c r="B43" s="9" t="s">
        <v>899</v>
      </c>
      <c r="C43" s="9" t="s">
        <v>898</v>
      </c>
      <c r="D43" s="12">
        <v>30</v>
      </c>
      <c r="E43" s="12">
        <v>0</v>
      </c>
      <c r="F43" s="9"/>
      <c r="G43" s="9" t="s">
        <v>1041</v>
      </c>
    </row>
    <row r="44" spans="1:7" x14ac:dyDescent="0.3">
      <c r="A44" s="9" t="s">
        <v>905</v>
      </c>
      <c r="B44" s="9" t="s">
        <v>899</v>
      </c>
      <c r="C44" s="9" t="s">
        <v>898</v>
      </c>
      <c r="D44" s="12">
        <v>36</v>
      </c>
      <c r="E44" s="12">
        <v>0</v>
      </c>
      <c r="F44" s="9"/>
      <c r="G44" s="9" t="s">
        <v>1041</v>
      </c>
    </row>
    <row r="45" spans="1:7" x14ac:dyDescent="0.3">
      <c r="A45" s="9" t="s">
        <v>905</v>
      </c>
      <c r="B45" s="9" t="s">
        <v>432</v>
      </c>
      <c r="C45" s="9" t="s">
        <v>912</v>
      </c>
      <c r="D45" s="12">
        <v>5</v>
      </c>
      <c r="E45" s="12">
        <v>0</v>
      </c>
      <c r="F45" s="9"/>
      <c r="G45" s="9" t="s">
        <v>1041</v>
      </c>
    </row>
    <row r="46" spans="1:7" x14ac:dyDescent="0.3">
      <c r="A46" s="9" t="s">
        <v>909</v>
      </c>
      <c r="B46" s="9" t="s">
        <v>899</v>
      </c>
      <c r="C46" s="9" t="s">
        <v>898</v>
      </c>
      <c r="D46" s="12">
        <v>6</v>
      </c>
      <c r="E46" s="12">
        <v>0</v>
      </c>
      <c r="F46" s="9"/>
      <c r="G46" s="9" t="s">
        <v>1041</v>
      </c>
    </row>
    <row r="47" spans="1:7" x14ac:dyDescent="0.3">
      <c r="A47" s="9" t="s">
        <v>917</v>
      </c>
      <c r="B47" s="9" t="s">
        <v>563</v>
      </c>
      <c r="C47" s="9" t="s">
        <v>249</v>
      </c>
      <c r="D47" s="12">
        <v>156</v>
      </c>
      <c r="E47" s="12">
        <v>0</v>
      </c>
      <c r="F47" s="9"/>
      <c r="G47" s="9" t="s">
        <v>1041</v>
      </c>
    </row>
    <row r="48" spans="1:7" x14ac:dyDescent="0.3">
      <c r="A48" s="9" t="s">
        <v>920</v>
      </c>
      <c r="B48" s="9" t="s">
        <v>563</v>
      </c>
      <c r="C48" s="9" t="s">
        <v>249</v>
      </c>
      <c r="D48" s="12">
        <v>26</v>
      </c>
      <c r="E48" s="12">
        <v>0</v>
      </c>
      <c r="F48" s="9"/>
      <c r="G48" s="9" t="s">
        <v>1041</v>
      </c>
    </row>
    <row r="49" spans="1:7" x14ac:dyDescent="0.3">
      <c r="A49" s="9" t="s">
        <v>923</v>
      </c>
      <c r="B49" s="9" t="s">
        <v>563</v>
      </c>
      <c r="C49" s="9" t="s">
        <v>249</v>
      </c>
      <c r="D49" s="12">
        <v>80</v>
      </c>
      <c r="E49" s="12">
        <v>0</v>
      </c>
      <c r="F49" s="9"/>
      <c r="G49" s="9" t="s">
        <v>1041</v>
      </c>
    </row>
    <row r="50" spans="1:7" x14ac:dyDescent="0.3">
      <c r="A50" s="9" t="s">
        <v>930</v>
      </c>
      <c r="B50" s="9" t="s">
        <v>563</v>
      </c>
      <c r="C50" s="9" t="s">
        <v>249</v>
      </c>
      <c r="D50" s="12">
        <v>5</v>
      </c>
      <c r="E50" s="12">
        <v>0</v>
      </c>
      <c r="F50" s="9"/>
      <c r="G50" s="9" t="s">
        <v>1041</v>
      </c>
    </row>
    <row r="51" spans="1:7" x14ac:dyDescent="0.3">
      <c r="A51" s="9" t="s">
        <v>249</v>
      </c>
      <c r="B51" s="9" t="s">
        <v>563</v>
      </c>
      <c r="C51" s="9" t="s">
        <v>1055</v>
      </c>
      <c r="D51" s="12">
        <v>10</v>
      </c>
      <c r="E51" s="12">
        <v>0</v>
      </c>
      <c r="F51" s="9"/>
      <c r="G51" s="9" t="s">
        <v>1041</v>
      </c>
    </row>
    <row r="52" spans="1:7" x14ac:dyDescent="0.3">
      <c r="A52" s="9" t="s">
        <v>253</v>
      </c>
      <c r="B52" s="9" t="s">
        <v>594</v>
      </c>
      <c r="C52" s="9" t="s">
        <v>960</v>
      </c>
      <c r="D52" s="12">
        <v>239</v>
      </c>
      <c r="E52" s="12">
        <v>0</v>
      </c>
      <c r="F52" s="9"/>
      <c r="G52" s="9" t="s">
        <v>1041</v>
      </c>
    </row>
    <row r="53" spans="1:7" x14ac:dyDescent="0.3">
      <c r="A53" s="9" t="s">
        <v>253</v>
      </c>
      <c r="B53" s="9" t="s">
        <v>597</v>
      </c>
      <c r="C53" s="9" t="s">
        <v>1011</v>
      </c>
      <c r="D53" s="12">
        <v>811</v>
      </c>
      <c r="E53" s="12">
        <v>0</v>
      </c>
      <c r="F53" s="9"/>
      <c r="G53" s="9" t="s">
        <v>1041</v>
      </c>
    </row>
    <row r="54" spans="1:7" x14ac:dyDescent="0.3">
      <c r="A54" s="9" t="s">
        <v>960</v>
      </c>
      <c r="B54" s="9" t="s">
        <v>583</v>
      </c>
      <c r="C54" s="9" t="s">
        <v>253</v>
      </c>
      <c r="D54" s="12">
        <v>239</v>
      </c>
      <c r="E54" s="12">
        <v>0</v>
      </c>
      <c r="F54" s="9"/>
      <c r="G54" s="9" t="s">
        <v>1041</v>
      </c>
    </row>
    <row r="55" spans="1:7" x14ac:dyDescent="0.3">
      <c r="A55" s="9" t="s">
        <v>964</v>
      </c>
      <c r="B55" s="9" t="s">
        <v>876</v>
      </c>
      <c r="C55" s="9" t="s">
        <v>875</v>
      </c>
      <c r="D55" s="12">
        <v>210</v>
      </c>
      <c r="E55" s="12">
        <v>0</v>
      </c>
      <c r="F55" s="9"/>
      <c r="G55" s="9" t="s">
        <v>1041</v>
      </c>
    </row>
    <row r="56" spans="1:7" x14ac:dyDescent="0.3">
      <c r="A56" s="9" t="s">
        <v>964</v>
      </c>
      <c r="B56" s="9" t="s">
        <v>1017</v>
      </c>
      <c r="C56" s="9" t="s">
        <v>1016</v>
      </c>
      <c r="D56" s="12">
        <v>5</v>
      </c>
      <c r="E56" s="12">
        <v>0</v>
      </c>
      <c r="F56" s="9"/>
      <c r="G56" s="9" t="s">
        <v>1041</v>
      </c>
    </row>
    <row r="57" spans="1:7" x14ac:dyDescent="0.3">
      <c r="A57" s="9" t="s">
        <v>1016</v>
      </c>
      <c r="B57" s="9" t="s">
        <v>965</v>
      </c>
      <c r="C57" s="9" t="s">
        <v>964</v>
      </c>
      <c r="D57" s="12">
        <v>40</v>
      </c>
      <c r="E57" s="12">
        <v>0</v>
      </c>
      <c r="F57" s="9"/>
      <c r="G57" s="9" t="s">
        <v>1041</v>
      </c>
    </row>
    <row r="58" spans="1:7" x14ac:dyDescent="0.3">
      <c r="A58" s="9" t="s">
        <v>968</v>
      </c>
      <c r="B58" s="9" t="s">
        <v>876</v>
      </c>
      <c r="C58" s="9" t="s">
        <v>875</v>
      </c>
      <c r="D58" s="12">
        <v>203</v>
      </c>
      <c r="E58" s="12">
        <v>0</v>
      </c>
      <c r="F58" s="9"/>
      <c r="G58" s="9" t="s">
        <v>1041</v>
      </c>
    </row>
    <row r="59" spans="1:7" x14ac:dyDescent="0.3">
      <c r="A59" s="9" t="s">
        <v>968</v>
      </c>
      <c r="B59" s="9" t="s">
        <v>973</v>
      </c>
      <c r="C59" s="9" t="s">
        <v>972</v>
      </c>
      <c r="D59" s="12">
        <v>203</v>
      </c>
      <c r="E59" s="12">
        <v>0</v>
      </c>
      <c r="F59" s="9"/>
      <c r="G59" s="9" t="s">
        <v>1041</v>
      </c>
    </row>
    <row r="60" spans="1:7" x14ac:dyDescent="0.3">
      <c r="A60" s="9" t="s">
        <v>996</v>
      </c>
      <c r="B60" s="9" t="s">
        <v>629</v>
      </c>
      <c r="C60" s="9" t="s">
        <v>264</v>
      </c>
      <c r="D60" s="12">
        <v>30</v>
      </c>
      <c r="E60" s="12">
        <v>0</v>
      </c>
      <c r="F60" s="9"/>
      <c r="G60" s="9" t="s">
        <v>1041</v>
      </c>
    </row>
    <row r="61" spans="1:7" x14ac:dyDescent="0.3">
      <c r="A61" s="9" t="s">
        <v>268</v>
      </c>
      <c r="B61" s="9" t="s">
        <v>629</v>
      </c>
      <c r="C61" s="9" t="s">
        <v>264</v>
      </c>
      <c r="D61" s="12">
        <v>18</v>
      </c>
      <c r="E61" s="12">
        <v>0</v>
      </c>
      <c r="F61" s="9"/>
      <c r="G61" s="9" t="s">
        <v>1041</v>
      </c>
    </row>
    <row r="62" spans="1:7" x14ac:dyDescent="0.3">
      <c r="A62" s="9" t="s">
        <v>268</v>
      </c>
      <c r="B62" s="9" t="s">
        <v>597</v>
      </c>
      <c r="C62" s="9" t="s">
        <v>258</v>
      </c>
      <c r="D62" s="12">
        <v>10</v>
      </c>
      <c r="E62" s="12">
        <v>0</v>
      </c>
      <c r="F62" s="9"/>
      <c r="G62" s="9" t="s">
        <v>1041</v>
      </c>
    </row>
    <row r="63" spans="1:7" x14ac:dyDescent="0.3">
      <c r="A63" s="9" t="s">
        <v>1011</v>
      </c>
      <c r="B63" s="9" t="s">
        <v>583</v>
      </c>
      <c r="C63" s="9" t="s">
        <v>253</v>
      </c>
      <c r="D63" s="12">
        <v>811</v>
      </c>
      <c r="E63" s="12">
        <v>0</v>
      </c>
      <c r="F63" s="9"/>
      <c r="G63" s="9" t="s">
        <v>1041</v>
      </c>
    </row>
    <row r="64" spans="1:7" x14ac:dyDescent="0.3">
      <c r="A64" s="9" t="s">
        <v>261</v>
      </c>
      <c r="B64" s="9" t="s">
        <v>597</v>
      </c>
      <c r="C64" s="9" t="s">
        <v>258</v>
      </c>
      <c r="D64" s="12">
        <v>9</v>
      </c>
      <c r="E64" s="12">
        <v>0</v>
      </c>
      <c r="F64" s="9"/>
      <c r="G64" s="9" t="s">
        <v>1041</v>
      </c>
    </row>
    <row r="65" spans="1:7" x14ac:dyDescent="0.3">
      <c r="A65" s="9" t="s">
        <v>1023</v>
      </c>
      <c r="B65" s="9" t="s">
        <v>1056</v>
      </c>
      <c r="C65" s="9" t="s">
        <v>1043</v>
      </c>
      <c r="D65" s="12">
        <v>12</v>
      </c>
      <c r="E65" s="12">
        <v>0</v>
      </c>
      <c r="F65" s="9"/>
      <c r="G65" s="9" t="s">
        <v>1041</v>
      </c>
    </row>
  </sheetData>
  <conditionalFormatting sqref="G2:G265">
    <cfRule type="expression" dxfId="12" priority="1">
      <formula>ISNUMBER(SEARCH("Rever",G2))</formula>
    </cfRule>
    <cfRule type="expression" dxfId="11" priority="2">
      <formula>ISNUMBER(SEARCH("OK",G2))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56" customWidth="1"/>
    <col min="3" max="3" width="11" customWidth="1"/>
    <col min="4" max="4" width="20" customWidth="1"/>
    <col min="5" max="5" width="30" customWidth="1"/>
  </cols>
  <sheetData>
    <row r="1" spans="1:5" ht="26.4" x14ac:dyDescent="0.3">
      <c r="A1" s="8" t="s">
        <v>81</v>
      </c>
      <c r="B1" s="8" t="s">
        <v>342</v>
      </c>
      <c r="C1" s="8" t="s">
        <v>361</v>
      </c>
      <c r="D1" s="8" t="s">
        <v>705</v>
      </c>
      <c r="E1" s="8" t="s">
        <v>330</v>
      </c>
    </row>
    <row r="2" spans="1:5" x14ac:dyDescent="0.3">
      <c r="A2" s="9" t="s">
        <v>1057</v>
      </c>
      <c r="B2" s="9" t="s">
        <v>1058</v>
      </c>
      <c r="C2" s="9" t="s">
        <v>1059</v>
      </c>
      <c r="D2" s="9" t="s">
        <v>1060</v>
      </c>
      <c r="E2" s="9" t="s">
        <v>1061</v>
      </c>
    </row>
    <row r="3" spans="1:5" x14ac:dyDescent="0.3">
      <c r="A3" s="9" t="s">
        <v>1062</v>
      </c>
      <c r="B3" s="9" t="s">
        <v>1063</v>
      </c>
      <c r="C3" s="9" t="s">
        <v>1059</v>
      </c>
      <c r="D3" s="9" t="s">
        <v>1060</v>
      </c>
      <c r="E3" s="9" t="s">
        <v>11</v>
      </c>
    </row>
    <row r="4" spans="1:5" ht="26.4" x14ac:dyDescent="0.3">
      <c r="A4" s="9" t="s">
        <v>1064</v>
      </c>
      <c r="B4" s="9" t="s">
        <v>1065</v>
      </c>
      <c r="C4" s="9" t="s">
        <v>1066</v>
      </c>
      <c r="D4" s="9" t="s">
        <v>1060</v>
      </c>
      <c r="E4" s="9" t="s">
        <v>1067</v>
      </c>
    </row>
    <row r="5" spans="1:5" x14ac:dyDescent="0.3">
      <c r="A5" s="9" t="s">
        <v>1068</v>
      </c>
      <c r="B5" s="9" t="s">
        <v>1069</v>
      </c>
      <c r="C5" s="9" t="s">
        <v>1066</v>
      </c>
      <c r="D5" s="9" t="s">
        <v>1060</v>
      </c>
      <c r="E5" s="9" t="s">
        <v>1070</v>
      </c>
    </row>
    <row r="6" spans="1:5" x14ac:dyDescent="0.3">
      <c r="A6" s="9" t="s">
        <v>1071</v>
      </c>
      <c r="B6" s="9" t="s">
        <v>1072</v>
      </c>
      <c r="C6" s="9" t="s">
        <v>1066</v>
      </c>
      <c r="D6" s="9" t="s">
        <v>1060</v>
      </c>
      <c r="E6" s="9" t="s">
        <v>1073</v>
      </c>
    </row>
    <row r="7" spans="1:5" x14ac:dyDescent="0.3">
      <c r="A7" s="9" t="s">
        <v>1074</v>
      </c>
      <c r="B7" s="9" t="s">
        <v>1075</v>
      </c>
      <c r="C7" s="9" t="s">
        <v>1066</v>
      </c>
      <c r="D7" s="9" t="s">
        <v>1060</v>
      </c>
      <c r="E7" s="9" t="s">
        <v>1076</v>
      </c>
    </row>
    <row r="8" spans="1:5" ht="26.4" x14ac:dyDescent="0.3">
      <c r="A8" s="9" t="s">
        <v>1077</v>
      </c>
      <c r="B8" s="9" t="s">
        <v>1078</v>
      </c>
      <c r="C8" s="9" t="s">
        <v>1066</v>
      </c>
      <c r="D8" s="9" t="s">
        <v>1060</v>
      </c>
      <c r="E8" s="9" t="s">
        <v>1079</v>
      </c>
    </row>
    <row r="9" spans="1:5" x14ac:dyDescent="0.3">
      <c r="A9" s="9" t="s">
        <v>1080</v>
      </c>
      <c r="B9" s="9" t="s">
        <v>1081</v>
      </c>
      <c r="C9" s="9" t="s">
        <v>1066</v>
      </c>
      <c r="D9" s="9" t="s">
        <v>1082</v>
      </c>
      <c r="E9" s="9" t="s">
        <v>1073</v>
      </c>
    </row>
    <row r="10" spans="1:5" x14ac:dyDescent="0.3">
      <c r="A10" s="9" t="s">
        <v>1083</v>
      </c>
      <c r="B10" s="9" t="s">
        <v>1084</v>
      </c>
      <c r="C10" s="9" t="s">
        <v>1066</v>
      </c>
      <c r="D10" s="9" t="s">
        <v>1085</v>
      </c>
      <c r="E10" s="9" t="s">
        <v>1073</v>
      </c>
    </row>
    <row r="11" spans="1:5" x14ac:dyDescent="0.3">
      <c r="A11" s="9" t="s">
        <v>1086</v>
      </c>
      <c r="B11" s="9" t="s">
        <v>1087</v>
      </c>
      <c r="C11" s="9" t="s">
        <v>1066</v>
      </c>
      <c r="D11" s="9" t="s">
        <v>1088</v>
      </c>
      <c r="E11" s="9" t="s">
        <v>1073</v>
      </c>
    </row>
    <row r="12" spans="1:5" x14ac:dyDescent="0.3">
      <c r="A12" s="9" t="s">
        <v>1089</v>
      </c>
      <c r="B12" s="9" t="s">
        <v>1090</v>
      </c>
      <c r="C12" s="9" t="s">
        <v>1066</v>
      </c>
      <c r="D12" s="9" t="s">
        <v>1091</v>
      </c>
      <c r="E12" s="9" t="s">
        <v>1073</v>
      </c>
    </row>
    <row r="13" spans="1:5" ht="26.4" x14ac:dyDescent="0.3">
      <c r="A13" s="9" t="s">
        <v>1092</v>
      </c>
      <c r="B13" s="9" t="s">
        <v>1093</v>
      </c>
      <c r="C13" s="9" t="s">
        <v>1066</v>
      </c>
      <c r="D13" s="9" t="s">
        <v>1060</v>
      </c>
      <c r="E13" s="9" t="s">
        <v>11</v>
      </c>
    </row>
    <row r="14" spans="1:5" ht="26.4" x14ac:dyDescent="0.3">
      <c r="A14" s="9" t="s">
        <v>1094</v>
      </c>
      <c r="B14" s="9" t="s">
        <v>1095</v>
      </c>
      <c r="C14" s="9" t="s">
        <v>1066</v>
      </c>
      <c r="D14" s="9" t="s">
        <v>1060</v>
      </c>
      <c r="E14" s="9" t="s">
        <v>1079</v>
      </c>
    </row>
    <row r="15" spans="1:5" x14ac:dyDescent="0.3">
      <c r="A15" s="9" t="s">
        <v>1096</v>
      </c>
      <c r="B15" s="9" t="s">
        <v>1097</v>
      </c>
      <c r="C15" s="9" t="s">
        <v>1098</v>
      </c>
      <c r="D15" s="9" t="s">
        <v>1099</v>
      </c>
      <c r="E15" s="9" t="s">
        <v>1100</v>
      </c>
    </row>
    <row r="16" spans="1:5" x14ac:dyDescent="0.3">
      <c r="A16" s="9" t="s">
        <v>1101</v>
      </c>
      <c r="B16" s="9" t="s">
        <v>1102</v>
      </c>
      <c r="C16" s="9" t="s">
        <v>1098</v>
      </c>
      <c r="D16" s="9" t="s">
        <v>1103</v>
      </c>
      <c r="E16" s="9" t="s">
        <v>11</v>
      </c>
    </row>
    <row r="17" spans="1:5" ht="26.4" x14ac:dyDescent="0.3">
      <c r="A17" s="9" t="s">
        <v>1104</v>
      </c>
      <c r="B17" s="9" t="s">
        <v>1105</v>
      </c>
      <c r="C17" s="9" t="s">
        <v>1098</v>
      </c>
      <c r="D17" s="9" t="s">
        <v>1060</v>
      </c>
      <c r="E17" s="9" t="s">
        <v>1106</v>
      </c>
    </row>
    <row r="18" spans="1:5" x14ac:dyDescent="0.3">
      <c r="A18" s="9" t="s">
        <v>1107</v>
      </c>
      <c r="B18" s="9" t="s">
        <v>1108</v>
      </c>
      <c r="C18" s="9" t="s">
        <v>1098</v>
      </c>
      <c r="D18" s="9" t="s">
        <v>1060</v>
      </c>
      <c r="E18" s="9" t="s">
        <v>1109</v>
      </c>
    </row>
    <row r="19" spans="1:5" x14ac:dyDescent="0.3">
      <c r="A19" s="9" t="s">
        <v>1110</v>
      </c>
      <c r="B19" s="9" t="s">
        <v>1111</v>
      </c>
      <c r="C19" s="9" t="s">
        <v>1098</v>
      </c>
      <c r="D19" s="9" t="s">
        <v>1060</v>
      </c>
      <c r="E19" s="9" t="s">
        <v>11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2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8" customWidth="1"/>
  </cols>
  <sheetData>
    <row r="1" spans="1:3" ht="26.4" x14ac:dyDescent="0.3">
      <c r="A1" s="8" t="s">
        <v>707</v>
      </c>
      <c r="B1" s="8" t="s">
        <v>708</v>
      </c>
      <c r="C1" s="8" t="s">
        <v>649</v>
      </c>
    </row>
    <row r="2" spans="1:3" x14ac:dyDescent="0.3">
      <c r="A2" s="9" t="s">
        <v>1112</v>
      </c>
      <c r="B2" s="9" t="s">
        <v>1061</v>
      </c>
      <c r="C2" s="9" t="s">
        <v>1057</v>
      </c>
    </row>
    <row r="3" spans="1:3" x14ac:dyDescent="0.3">
      <c r="A3" s="9" t="s">
        <v>1113</v>
      </c>
      <c r="B3" s="9" t="s">
        <v>1114</v>
      </c>
      <c r="C3" s="9" t="s">
        <v>1057</v>
      </c>
    </row>
    <row r="4" spans="1:3" x14ac:dyDescent="0.3">
      <c r="A4" s="9" t="s">
        <v>1115</v>
      </c>
      <c r="B4" s="9" t="s">
        <v>11</v>
      </c>
      <c r="C4" s="9" t="s">
        <v>1062</v>
      </c>
    </row>
    <row r="5" spans="1:3" x14ac:dyDescent="0.3">
      <c r="A5" s="9" t="s">
        <v>1116</v>
      </c>
      <c r="B5" s="9" t="s">
        <v>1073</v>
      </c>
      <c r="C5" s="9" t="s">
        <v>1071</v>
      </c>
    </row>
    <row r="6" spans="1:3" x14ac:dyDescent="0.3">
      <c r="A6" s="9" t="s">
        <v>1117</v>
      </c>
      <c r="B6" s="9" t="s">
        <v>1100</v>
      </c>
      <c r="C6" s="9" t="s">
        <v>1096</v>
      </c>
    </row>
    <row r="7" spans="1:3" x14ac:dyDescent="0.3">
      <c r="A7" s="9" t="s">
        <v>1118</v>
      </c>
      <c r="B7" s="9" t="s">
        <v>1067</v>
      </c>
      <c r="C7" s="9" t="s">
        <v>1064</v>
      </c>
    </row>
    <row r="8" spans="1:3" x14ac:dyDescent="0.3">
      <c r="A8" s="9" t="s">
        <v>1119</v>
      </c>
      <c r="B8" s="9" t="s">
        <v>1076</v>
      </c>
      <c r="C8" s="9" t="s">
        <v>1074</v>
      </c>
    </row>
    <row r="9" spans="1:3" x14ac:dyDescent="0.3">
      <c r="A9" s="9" t="s">
        <v>1120</v>
      </c>
      <c r="B9" s="9" t="s">
        <v>1070</v>
      </c>
      <c r="C9" s="9" t="s">
        <v>1068</v>
      </c>
    </row>
    <row r="10" spans="1:3" x14ac:dyDescent="0.3">
      <c r="A10" s="9" t="s">
        <v>1121</v>
      </c>
      <c r="B10" s="9" t="s">
        <v>1079</v>
      </c>
      <c r="C10" s="9" t="s">
        <v>1094</v>
      </c>
    </row>
    <row r="11" spans="1:3" x14ac:dyDescent="0.3">
      <c r="A11" s="9" t="s">
        <v>1122</v>
      </c>
      <c r="B11" s="9" t="s">
        <v>1106</v>
      </c>
      <c r="C11" s="9" t="s">
        <v>1104</v>
      </c>
    </row>
    <row r="12" spans="1:3" x14ac:dyDescent="0.3">
      <c r="A12" s="9" t="s">
        <v>1123</v>
      </c>
      <c r="B12" s="9" t="s">
        <v>1109</v>
      </c>
      <c r="C12" s="9" t="s">
        <v>1107</v>
      </c>
    </row>
    <row r="13" spans="1:3" x14ac:dyDescent="0.3">
      <c r="A13" s="9" t="s">
        <v>1124</v>
      </c>
      <c r="B13" s="9" t="s">
        <v>1125</v>
      </c>
      <c r="C13" s="9" t="s">
        <v>1092</v>
      </c>
    </row>
    <row r="14" spans="1:3" x14ac:dyDescent="0.3">
      <c r="A14" s="9" t="s">
        <v>1126</v>
      </c>
      <c r="B14" s="9" t="s">
        <v>1127</v>
      </c>
      <c r="C14" s="9" t="s">
        <v>1092</v>
      </c>
    </row>
    <row r="15" spans="1:3" x14ac:dyDescent="0.3">
      <c r="A15" s="9" t="s">
        <v>1128</v>
      </c>
      <c r="B15" s="9" t="s">
        <v>1129</v>
      </c>
      <c r="C15" s="9" t="s">
        <v>1071</v>
      </c>
    </row>
    <row r="16" spans="1:3" x14ac:dyDescent="0.3">
      <c r="A16" s="9" t="s">
        <v>1130</v>
      </c>
      <c r="B16" s="9" t="s">
        <v>1131</v>
      </c>
      <c r="C16" s="9" t="s">
        <v>1071</v>
      </c>
    </row>
    <row r="17" spans="1:3" x14ac:dyDescent="0.3">
      <c r="A17" s="9" t="s">
        <v>1132</v>
      </c>
      <c r="B17" s="9" t="s">
        <v>1133</v>
      </c>
      <c r="C17" s="9" t="s">
        <v>1080</v>
      </c>
    </row>
    <row r="18" spans="1:3" x14ac:dyDescent="0.3">
      <c r="A18" s="9" t="s">
        <v>1134</v>
      </c>
      <c r="B18" s="9" t="s">
        <v>1135</v>
      </c>
      <c r="C18" s="9" t="s">
        <v>1083</v>
      </c>
    </row>
    <row r="19" spans="1:3" x14ac:dyDescent="0.3">
      <c r="A19" s="9" t="s">
        <v>1136</v>
      </c>
      <c r="B19" s="9" t="s">
        <v>1137</v>
      </c>
      <c r="C19" s="9" t="s">
        <v>1086</v>
      </c>
    </row>
    <row r="20" spans="1:3" x14ac:dyDescent="0.3">
      <c r="A20" s="9" t="s">
        <v>1138</v>
      </c>
      <c r="B20" s="9" t="s">
        <v>1139</v>
      </c>
      <c r="C20" s="9" t="s">
        <v>1089</v>
      </c>
    </row>
    <row r="21" spans="1:3" x14ac:dyDescent="0.3">
      <c r="A21" s="9" t="s">
        <v>1140</v>
      </c>
      <c r="B21" s="9" t="s">
        <v>1141</v>
      </c>
      <c r="C21" s="9" t="s">
        <v>1096</v>
      </c>
    </row>
    <row r="22" spans="1:3" x14ac:dyDescent="0.3">
      <c r="A22" s="9" t="s">
        <v>1142</v>
      </c>
      <c r="B22" s="9" t="s">
        <v>1143</v>
      </c>
      <c r="C22" s="9" t="s">
        <v>1101</v>
      </c>
    </row>
    <row r="23" spans="1:3" x14ac:dyDescent="0.3">
      <c r="A23" s="9" t="s">
        <v>1144</v>
      </c>
      <c r="B23" s="9" t="s">
        <v>1145</v>
      </c>
      <c r="C23" s="9" t="s">
        <v>1062</v>
      </c>
    </row>
    <row r="24" spans="1:3" x14ac:dyDescent="0.3">
      <c r="A24" s="9" t="s">
        <v>1146</v>
      </c>
      <c r="B24" s="9" t="s">
        <v>1147</v>
      </c>
      <c r="C24" s="9" t="s">
        <v>1064</v>
      </c>
    </row>
    <row r="25" spans="1:3" x14ac:dyDescent="0.3">
      <c r="A25" s="9" t="s">
        <v>1148</v>
      </c>
      <c r="B25" s="9" t="s">
        <v>1149</v>
      </c>
      <c r="C25" s="9" t="s">
        <v>1071</v>
      </c>
    </row>
    <row r="26" spans="1:3" x14ac:dyDescent="0.3">
      <c r="A26" s="9" t="s">
        <v>1150</v>
      </c>
      <c r="B26" s="9" t="s">
        <v>1151</v>
      </c>
      <c r="C26" s="9" t="s">
        <v>1094</v>
      </c>
    </row>
    <row r="27" spans="1:3" x14ac:dyDescent="0.3">
      <c r="A27" s="9" t="s">
        <v>1152</v>
      </c>
      <c r="B27" s="9" t="s">
        <v>1153</v>
      </c>
      <c r="C27" s="9" t="s">
        <v>1057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4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0" customWidth="1"/>
    <col min="3" max="3" width="10" customWidth="1"/>
    <col min="4" max="4" width="80" customWidth="1"/>
  </cols>
  <sheetData>
    <row r="1" spans="1:4" ht="39.6" x14ac:dyDescent="0.3">
      <c r="A1" s="8" t="s">
        <v>500</v>
      </c>
      <c r="B1" s="8" t="s">
        <v>526</v>
      </c>
      <c r="C1" s="8" t="s">
        <v>694</v>
      </c>
      <c r="D1" s="8" t="s">
        <v>1154</v>
      </c>
    </row>
    <row r="2" spans="1:4" ht="28.05" customHeight="1" x14ac:dyDescent="0.3">
      <c r="A2" s="9" t="s">
        <v>1155</v>
      </c>
      <c r="B2" s="9" t="s">
        <v>1156</v>
      </c>
      <c r="C2" s="9" t="s">
        <v>1157</v>
      </c>
      <c r="D2" s="9" t="s">
        <v>1158</v>
      </c>
    </row>
    <row r="3" spans="1:4" ht="28.05" customHeight="1" x14ac:dyDescent="0.3">
      <c r="A3" s="9" t="s">
        <v>1159</v>
      </c>
      <c r="B3" s="9" t="s">
        <v>1160</v>
      </c>
      <c r="C3" s="9" t="s">
        <v>1157</v>
      </c>
      <c r="D3" s="9" t="s">
        <v>1161</v>
      </c>
    </row>
    <row r="4" spans="1:4" ht="28.05" customHeight="1" x14ac:dyDescent="0.3">
      <c r="A4" s="9" t="s">
        <v>1162</v>
      </c>
      <c r="B4" s="9" t="s">
        <v>1163</v>
      </c>
      <c r="C4" s="9" t="s">
        <v>1164</v>
      </c>
      <c r="D4" s="9"/>
    </row>
    <row r="5" spans="1:4" ht="28.05" customHeight="1" x14ac:dyDescent="0.3">
      <c r="A5" s="9" t="s">
        <v>1165</v>
      </c>
      <c r="B5" s="9" t="s">
        <v>1166</v>
      </c>
      <c r="C5" s="9" t="s">
        <v>1157</v>
      </c>
      <c r="D5" s="9" t="s">
        <v>1167</v>
      </c>
    </row>
    <row r="6" spans="1:4" ht="28.05" customHeight="1" x14ac:dyDescent="0.3">
      <c r="A6" s="9" t="s">
        <v>1168</v>
      </c>
      <c r="B6" s="9" t="s">
        <v>1169</v>
      </c>
      <c r="C6" s="9" t="s">
        <v>1157</v>
      </c>
      <c r="D6" s="9" t="s">
        <v>1170</v>
      </c>
    </row>
    <row r="7" spans="1:4" ht="28.05" customHeight="1" x14ac:dyDescent="0.3">
      <c r="A7" s="9" t="s">
        <v>1171</v>
      </c>
      <c r="B7" s="9" t="s">
        <v>1172</v>
      </c>
      <c r="C7" s="9" t="s">
        <v>1164</v>
      </c>
      <c r="D7" s="9"/>
    </row>
    <row r="8" spans="1:4" ht="28.05" customHeight="1" x14ac:dyDescent="0.3">
      <c r="A8" s="9" t="s">
        <v>1173</v>
      </c>
      <c r="B8" s="9" t="s">
        <v>1174</v>
      </c>
      <c r="C8" s="9" t="s">
        <v>1157</v>
      </c>
      <c r="D8" s="9" t="s">
        <v>1175</v>
      </c>
    </row>
    <row r="9" spans="1:4" ht="28.05" customHeight="1" x14ac:dyDescent="0.3">
      <c r="A9" s="9" t="s">
        <v>1176</v>
      </c>
      <c r="B9" s="9" t="s">
        <v>1177</v>
      </c>
      <c r="C9" s="9" t="s">
        <v>1157</v>
      </c>
      <c r="D9" s="9" t="s">
        <v>1178</v>
      </c>
    </row>
    <row r="10" spans="1:4" ht="28.05" customHeight="1" x14ac:dyDescent="0.3">
      <c r="A10" s="9" t="s">
        <v>1179</v>
      </c>
      <c r="B10" s="9" t="s">
        <v>1180</v>
      </c>
      <c r="C10" s="9" t="s">
        <v>1157</v>
      </c>
      <c r="D10" s="9" t="s">
        <v>1181</v>
      </c>
    </row>
    <row r="11" spans="1:4" ht="28.05" customHeight="1" x14ac:dyDescent="0.3">
      <c r="A11" s="9" t="s">
        <v>1182</v>
      </c>
      <c r="B11" s="9" t="s">
        <v>1183</v>
      </c>
      <c r="C11" s="9" t="s">
        <v>1157</v>
      </c>
      <c r="D11" s="9" t="s">
        <v>1184</v>
      </c>
    </row>
    <row r="12" spans="1:4" ht="28.05" customHeight="1" x14ac:dyDescent="0.3">
      <c r="A12" s="9" t="s">
        <v>1185</v>
      </c>
      <c r="B12" s="9" t="s">
        <v>1186</v>
      </c>
      <c r="C12" s="9" t="s">
        <v>1157</v>
      </c>
      <c r="D12" s="9" t="s">
        <v>1187</v>
      </c>
    </row>
    <row r="13" spans="1:4" ht="28.05" customHeight="1" x14ac:dyDescent="0.3">
      <c r="A13" s="9" t="s">
        <v>1188</v>
      </c>
      <c r="B13" s="9" t="s">
        <v>1189</v>
      </c>
      <c r="C13" s="9" t="s">
        <v>1164</v>
      </c>
      <c r="D13" s="9"/>
    </row>
    <row r="14" spans="1:4" ht="28.05" customHeight="1" x14ac:dyDescent="0.3">
      <c r="A14" s="9" t="s">
        <v>1190</v>
      </c>
      <c r="B14" s="9" t="s">
        <v>224</v>
      </c>
      <c r="C14" s="9" t="s">
        <v>1157</v>
      </c>
      <c r="D14" s="9" t="s">
        <v>1191</v>
      </c>
    </row>
    <row r="15" spans="1:4" ht="28.05" customHeight="1" x14ac:dyDescent="0.3">
      <c r="A15" s="9" t="s">
        <v>1192</v>
      </c>
      <c r="B15" s="9" t="s">
        <v>1193</v>
      </c>
      <c r="C15" s="9" t="s">
        <v>1164</v>
      </c>
      <c r="D15" s="9"/>
    </row>
    <row r="16" spans="1:4" ht="28.05" customHeight="1" x14ac:dyDescent="0.3">
      <c r="A16" s="9" t="s">
        <v>1194</v>
      </c>
      <c r="B16" s="9" t="s">
        <v>819</v>
      </c>
      <c r="C16" s="9" t="s">
        <v>1164</v>
      </c>
      <c r="D16" s="9"/>
    </row>
    <row r="17" spans="1:4" ht="28.05" customHeight="1" x14ac:dyDescent="0.3">
      <c r="A17" s="9" t="s">
        <v>1195</v>
      </c>
      <c r="B17" s="9" t="s">
        <v>1196</v>
      </c>
      <c r="C17" s="9" t="s">
        <v>1157</v>
      </c>
      <c r="D17" s="9" t="s">
        <v>1197</v>
      </c>
    </row>
    <row r="18" spans="1:4" ht="28.05" customHeight="1" x14ac:dyDescent="0.3">
      <c r="A18" s="9" t="s">
        <v>1198</v>
      </c>
      <c r="B18" s="9" t="s">
        <v>1199</v>
      </c>
      <c r="C18" s="9" t="s">
        <v>1157</v>
      </c>
      <c r="D18" s="9" t="s">
        <v>1200</v>
      </c>
    </row>
    <row r="19" spans="1:4" ht="28.05" customHeight="1" x14ac:dyDescent="0.3">
      <c r="A19" s="9" t="s">
        <v>1201</v>
      </c>
      <c r="B19" s="9" t="s">
        <v>1202</v>
      </c>
      <c r="C19" s="9" t="s">
        <v>1164</v>
      </c>
      <c r="D19" s="9"/>
    </row>
    <row r="20" spans="1:4" ht="28.05" customHeight="1" x14ac:dyDescent="0.3">
      <c r="A20" s="9" t="s">
        <v>1203</v>
      </c>
      <c r="B20" s="9" t="s">
        <v>1204</v>
      </c>
      <c r="C20" s="9" t="s">
        <v>1164</v>
      </c>
      <c r="D20" s="9"/>
    </row>
    <row r="21" spans="1:4" ht="28.05" customHeight="1" x14ac:dyDescent="0.3">
      <c r="A21" s="9" t="s">
        <v>1205</v>
      </c>
      <c r="B21" s="9" t="s">
        <v>1206</v>
      </c>
      <c r="C21" s="9" t="s">
        <v>1157</v>
      </c>
      <c r="D21" s="9" t="s">
        <v>1207</v>
      </c>
    </row>
    <row r="22" spans="1:4" ht="28.05" customHeight="1" x14ac:dyDescent="0.3">
      <c r="A22" s="9" t="s">
        <v>1208</v>
      </c>
      <c r="B22" s="9" t="s">
        <v>1209</v>
      </c>
      <c r="C22" s="9" t="s">
        <v>1164</v>
      </c>
      <c r="D22" s="9"/>
    </row>
    <row r="23" spans="1:4" ht="28.05" customHeight="1" x14ac:dyDescent="0.3">
      <c r="A23" s="9" t="s">
        <v>1210</v>
      </c>
      <c r="B23" s="9" t="s">
        <v>1211</v>
      </c>
      <c r="C23" s="9" t="s">
        <v>1157</v>
      </c>
      <c r="D23" s="9" t="s">
        <v>1212</v>
      </c>
    </row>
    <row r="24" spans="1:4" ht="28.05" customHeight="1" x14ac:dyDescent="0.3">
      <c r="A24" s="9" t="s">
        <v>1213</v>
      </c>
      <c r="B24" s="9" t="s">
        <v>1214</v>
      </c>
      <c r="C24" s="9" t="s">
        <v>1164</v>
      </c>
      <c r="D24" s="9"/>
    </row>
    <row r="25" spans="1:4" ht="28.05" customHeight="1" x14ac:dyDescent="0.3">
      <c r="A25" s="9" t="s">
        <v>1215</v>
      </c>
      <c r="B25" s="9" t="s">
        <v>1216</v>
      </c>
      <c r="C25" s="9" t="s">
        <v>1157</v>
      </c>
      <c r="D25" s="9" t="s">
        <v>1217</v>
      </c>
    </row>
    <row r="26" spans="1:4" ht="28.05" customHeight="1" x14ac:dyDescent="0.3">
      <c r="A26" s="9" t="s">
        <v>1218</v>
      </c>
      <c r="B26" s="9" t="s">
        <v>1219</v>
      </c>
      <c r="C26" s="9" t="s">
        <v>1164</v>
      </c>
      <c r="D26" s="9"/>
    </row>
    <row r="27" spans="1:4" ht="28.05" customHeight="1" x14ac:dyDescent="0.3">
      <c r="A27" s="9" t="s">
        <v>1220</v>
      </c>
      <c r="B27" s="9" t="s">
        <v>1221</v>
      </c>
      <c r="C27" s="9" t="s">
        <v>1157</v>
      </c>
      <c r="D27" s="9" t="s">
        <v>1222</v>
      </c>
    </row>
    <row r="28" spans="1:4" ht="28.05" customHeight="1" x14ac:dyDescent="0.3">
      <c r="A28" s="9" t="s">
        <v>1223</v>
      </c>
      <c r="B28" s="9" t="s">
        <v>1224</v>
      </c>
      <c r="C28" s="9" t="s">
        <v>1164</v>
      </c>
      <c r="D28" s="9"/>
    </row>
    <row r="29" spans="1:4" ht="28.05" customHeight="1" x14ac:dyDescent="0.3">
      <c r="A29" s="9" t="s">
        <v>1225</v>
      </c>
      <c r="B29" s="9" t="s">
        <v>1226</v>
      </c>
      <c r="C29" s="9" t="s">
        <v>1164</v>
      </c>
      <c r="D29" s="9"/>
    </row>
    <row r="30" spans="1:4" ht="28.05" customHeight="1" x14ac:dyDescent="0.3">
      <c r="A30" s="9" t="s">
        <v>1227</v>
      </c>
      <c r="B30" s="9" t="s">
        <v>1228</v>
      </c>
      <c r="C30" s="9" t="s">
        <v>1164</v>
      </c>
      <c r="D30" s="9"/>
    </row>
    <row r="31" spans="1:4" ht="28.05" customHeight="1" x14ac:dyDescent="0.3">
      <c r="A31" s="9" t="s">
        <v>139</v>
      </c>
      <c r="B31" s="9" t="s">
        <v>1229</v>
      </c>
      <c r="C31" s="9" t="s">
        <v>1157</v>
      </c>
      <c r="D31" s="9" t="s">
        <v>1230</v>
      </c>
    </row>
    <row r="32" spans="1:4" ht="28.05" customHeight="1" x14ac:dyDescent="0.3">
      <c r="A32" s="9" t="s">
        <v>1231</v>
      </c>
      <c r="B32" s="9" t="s">
        <v>1232</v>
      </c>
      <c r="C32" s="9" t="s">
        <v>1164</v>
      </c>
      <c r="D32" s="9"/>
    </row>
    <row r="33" spans="1:4" ht="28.05" customHeight="1" x14ac:dyDescent="0.3">
      <c r="A33" s="9" t="s">
        <v>1233</v>
      </c>
      <c r="B33" s="9" t="s">
        <v>1234</v>
      </c>
      <c r="C33" s="9" t="s">
        <v>1164</v>
      </c>
      <c r="D33" s="9" t="s">
        <v>1235</v>
      </c>
    </row>
    <row r="34" spans="1:4" ht="28.05" customHeight="1" x14ac:dyDescent="0.3">
      <c r="A34" s="9" t="s">
        <v>1236</v>
      </c>
      <c r="B34" s="9" t="s">
        <v>1237</v>
      </c>
      <c r="C34" s="9" t="s">
        <v>1164</v>
      </c>
      <c r="D34" s="9"/>
    </row>
    <row r="35" spans="1:4" ht="28.05" customHeight="1" x14ac:dyDescent="0.3">
      <c r="A35" s="9" t="s">
        <v>1238</v>
      </c>
      <c r="B35" s="9" t="s">
        <v>1239</v>
      </c>
      <c r="C35" s="9" t="s">
        <v>1164</v>
      </c>
      <c r="D35" s="9"/>
    </row>
    <row r="36" spans="1:4" ht="28.05" customHeight="1" x14ac:dyDescent="0.3">
      <c r="A36" s="9" t="s">
        <v>1240</v>
      </c>
      <c r="B36" s="9" t="s">
        <v>1241</v>
      </c>
      <c r="C36" s="9" t="s">
        <v>1164</v>
      </c>
      <c r="D36" s="9"/>
    </row>
    <row r="37" spans="1:4" ht="28.05" customHeight="1" x14ac:dyDescent="0.3">
      <c r="A37" s="9" t="s">
        <v>1242</v>
      </c>
      <c r="B37" s="9" t="s">
        <v>1243</v>
      </c>
      <c r="C37" s="9" t="s">
        <v>1164</v>
      </c>
      <c r="D37" s="9"/>
    </row>
    <row r="38" spans="1:4" ht="28.05" customHeight="1" x14ac:dyDescent="0.3">
      <c r="A38" s="9" t="s">
        <v>1244</v>
      </c>
      <c r="B38" s="9" t="s">
        <v>1245</v>
      </c>
      <c r="C38" s="9" t="s">
        <v>1164</v>
      </c>
      <c r="D38" s="9"/>
    </row>
    <row r="39" spans="1:4" ht="28.05" customHeight="1" x14ac:dyDescent="0.3">
      <c r="A39" s="9" t="s">
        <v>1246</v>
      </c>
      <c r="B39" s="9" t="s">
        <v>1247</v>
      </c>
      <c r="C39" s="9" t="s">
        <v>1164</v>
      </c>
      <c r="D39" s="9"/>
    </row>
    <row r="40" spans="1:4" ht="28.05" customHeight="1" x14ac:dyDescent="0.3">
      <c r="A40" s="9" t="s">
        <v>154</v>
      </c>
      <c r="B40" s="9" t="s">
        <v>1248</v>
      </c>
      <c r="C40" s="9" t="s">
        <v>1164</v>
      </c>
      <c r="D40" s="9"/>
    </row>
    <row r="41" spans="1:4" ht="28.05" customHeight="1" x14ac:dyDescent="0.3">
      <c r="A41" s="9" t="s">
        <v>1249</v>
      </c>
      <c r="B41" s="9" t="s">
        <v>1250</v>
      </c>
      <c r="C41" s="9" t="s">
        <v>1164</v>
      </c>
      <c r="D41" s="9"/>
    </row>
    <row r="42" spans="1:4" ht="28.05" customHeight="1" x14ac:dyDescent="0.3">
      <c r="A42" s="9" t="s">
        <v>1251</v>
      </c>
      <c r="B42" s="9" t="s">
        <v>1252</v>
      </c>
      <c r="C42" s="9" t="s">
        <v>1164</v>
      </c>
      <c r="D42" s="9"/>
    </row>
    <row r="43" spans="1:4" ht="28.05" customHeight="1" x14ac:dyDescent="0.3">
      <c r="A43" s="9" t="s">
        <v>1253</v>
      </c>
      <c r="B43" s="9" t="s">
        <v>1254</v>
      </c>
      <c r="C43" s="9" t="s">
        <v>1157</v>
      </c>
      <c r="D43" s="9" t="s">
        <v>1255</v>
      </c>
    </row>
    <row r="44" spans="1:4" ht="28.05" customHeight="1" x14ac:dyDescent="0.3">
      <c r="A44" s="9" t="s">
        <v>164</v>
      </c>
      <c r="B44" s="9" t="s">
        <v>1256</v>
      </c>
      <c r="C44" s="9" t="s">
        <v>1157</v>
      </c>
      <c r="D44" s="9" t="s">
        <v>1257</v>
      </c>
    </row>
    <row r="45" spans="1:4" ht="28.05" customHeight="1" x14ac:dyDescent="0.3">
      <c r="A45" s="9" t="s">
        <v>1258</v>
      </c>
      <c r="B45" s="9" t="s">
        <v>1259</v>
      </c>
      <c r="C45" s="9" t="s">
        <v>1157</v>
      </c>
      <c r="D45" s="9" t="s">
        <v>1260</v>
      </c>
    </row>
    <row r="46" spans="1:4" ht="28.05" customHeight="1" x14ac:dyDescent="0.3">
      <c r="A46" s="9" t="s">
        <v>1261</v>
      </c>
      <c r="B46" s="9" t="s">
        <v>1262</v>
      </c>
      <c r="C46" s="9" t="s">
        <v>1157</v>
      </c>
      <c r="D46" s="9" t="s">
        <v>1263</v>
      </c>
    </row>
    <row r="47" spans="1:4" ht="28.05" customHeight="1" x14ac:dyDescent="0.3">
      <c r="A47" s="9" t="s">
        <v>174</v>
      </c>
      <c r="B47" s="9" t="s">
        <v>1264</v>
      </c>
      <c r="C47" s="9" t="s">
        <v>1164</v>
      </c>
      <c r="D47" s="9" t="s">
        <v>1265</v>
      </c>
    </row>
  </sheetData>
  <conditionalFormatting sqref="C2:C247">
    <cfRule type="expression" dxfId="10" priority="1">
      <formula>ISNUMBER(SEARCH("Sim",C2))</formula>
    </cfRule>
  </conditionalFormatting>
  <dataValidations count="1">
    <dataValidation type="list" allowBlank="1" showErrorMessage="1" errorTitle="Valor inválido" error="Valor fora da lista controlada (ver folha Listas)." sqref="C2:C247" xr:uid="{00000000-0002-0000-0800-000000000000}">
      <formula1>lst_SimNao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4" customWidth="1"/>
    <col min="2" max="2" width="11" customWidth="1"/>
    <col min="3" max="3" width="32" customWidth="1"/>
    <col min="4" max="4" width="40" customWidth="1"/>
    <col min="5" max="5" width="50" customWidth="1"/>
  </cols>
  <sheetData>
    <row r="1" spans="1:5" ht="17.399999999999999" x14ac:dyDescent="0.3">
      <c r="A1" s="1" t="s">
        <v>1266</v>
      </c>
    </row>
    <row r="4" spans="1:5" ht="26.4" x14ac:dyDescent="0.3">
      <c r="A4" s="8" t="s">
        <v>183</v>
      </c>
      <c r="B4" s="8" t="s">
        <v>701</v>
      </c>
      <c r="C4" s="8" t="s">
        <v>702</v>
      </c>
      <c r="D4" s="8" t="s">
        <v>703</v>
      </c>
      <c r="E4" s="8" t="s">
        <v>704</v>
      </c>
    </row>
    <row r="5" spans="1:5" ht="30" customHeight="1" x14ac:dyDescent="0.3">
      <c r="A5" s="9" t="s">
        <v>1267</v>
      </c>
      <c r="B5" s="9" t="s">
        <v>199</v>
      </c>
      <c r="C5" s="9" t="s">
        <v>1268</v>
      </c>
      <c r="D5" s="9" t="s">
        <v>1269</v>
      </c>
      <c r="E5" s="9" t="s">
        <v>1270</v>
      </c>
    </row>
    <row r="6" spans="1:5" ht="30" customHeight="1" x14ac:dyDescent="0.3">
      <c r="A6" s="9" t="s">
        <v>1271</v>
      </c>
      <c r="B6" s="9" t="s">
        <v>86</v>
      </c>
      <c r="C6" s="9" t="s">
        <v>1268</v>
      </c>
      <c r="D6" s="9" t="s">
        <v>1272</v>
      </c>
      <c r="E6" s="9" t="s">
        <v>1273</v>
      </c>
    </row>
    <row r="7" spans="1:5" ht="30" customHeight="1" x14ac:dyDescent="0.3">
      <c r="A7" s="9" t="s">
        <v>1274</v>
      </c>
      <c r="B7" s="9" t="s">
        <v>199</v>
      </c>
      <c r="C7" s="9" t="s">
        <v>211</v>
      </c>
      <c r="D7" s="9" t="s">
        <v>1275</v>
      </c>
      <c r="E7" s="9" t="s">
        <v>1276</v>
      </c>
    </row>
    <row r="8" spans="1:5" ht="30" customHeight="1" x14ac:dyDescent="0.3">
      <c r="A8" s="9" t="s">
        <v>1277</v>
      </c>
      <c r="B8" s="9" t="s">
        <v>1278</v>
      </c>
      <c r="C8" s="9" t="s">
        <v>1279</v>
      </c>
      <c r="D8" s="9" t="s">
        <v>1280</v>
      </c>
      <c r="E8" s="9" t="s">
        <v>1281</v>
      </c>
    </row>
    <row r="9" spans="1:5" ht="30" customHeight="1" x14ac:dyDescent="0.3">
      <c r="A9" s="9" t="s">
        <v>1282</v>
      </c>
      <c r="B9" s="9" t="s">
        <v>101</v>
      </c>
      <c r="C9" s="9" t="s">
        <v>1283</v>
      </c>
      <c r="D9" s="9" t="s">
        <v>166</v>
      </c>
      <c r="E9" s="9"/>
    </row>
    <row r="10" spans="1:5" ht="30" customHeight="1" x14ac:dyDescent="0.3">
      <c r="A10" s="9" t="s">
        <v>1284</v>
      </c>
      <c r="B10" s="9" t="s">
        <v>106</v>
      </c>
      <c r="C10" s="9" t="s">
        <v>1285</v>
      </c>
      <c r="D10" s="9" t="s">
        <v>1286</v>
      </c>
      <c r="E10" s="9"/>
    </row>
    <row r="11" spans="1:5" ht="30" customHeight="1" x14ac:dyDescent="0.3">
      <c r="A11" s="9" t="s">
        <v>1287</v>
      </c>
      <c r="B11" s="9" t="s">
        <v>111</v>
      </c>
      <c r="C11" s="9" t="s">
        <v>225</v>
      </c>
      <c r="D11" s="9" t="s">
        <v>1288</v>
      </c>
      <c r="E11" s="9" t="s">
        <v>1289</v>
      </c>
    </row>
    <row r="12" spans="1:5" ht="30" customHeight="1" x14ac:dyDescent="0.3">
      <c r="A12" s="9" t="s">
        <v>1290</v>
      </c>
      <c r="B12" s="9" t="s">
        <v>116</v>
      </c>
      <c r="C12" s="9" t="s">
        <v>1291</v>
      </c>
      <c r="D12" s="9" t="s">
        <v>1292</v>
      </c>
      <c r="E12" s="9" t="s">
        <v>1293</v>
      </c>
    </row>
    <row r="13" spans="1:5" ht="30" customHeight="1" x14ac:dyDescent="0.3">
      <c r="A13" s="9" t="s">
        <v>1294</v>
      </c>
      <c r="B13" s="9" t="s">
        <v>121</v>
      </c>
      <c r="C13" s="9" t="s">
        <v>239</v>
      </c>
      <c r="D13" s="9" t="s">
        <v>1295</v>
      </c>
      <c r="E13" s="9" t="s">
        <v>1296</v>
      </c>
    </row>
    <row r="14" spans="1:5" ht="30" customHeight="1" x14ac:dyDescent="0.3">
      <c r="A14" s="9" t="s">
        <v>1297</v>
      </c>
      <c r="B14" s="9" t="s">
        <v>126</v>
      </c>
      <c r="C14" s="9" t="s">
        <v>246</v>
      </c>
      <c r="D14" s="9" t="s">
        <v>1298</v>
      </c>
      <c r="E14" s="9" t="s">
        <v>1299</v>
      </c>
    </row>
    <row r="15" spans="1:5" ht="30" customHeight="1" x14ac:dyDescent="0.3">
      <c r="A15" s="9" t="s">
        <v>1300</v>
      </c>
      <c r="B15" s="9" t="s">
        <v>131</v>
      </c>
      <c r="C15" s="9" t="s">
        <v>875</v>
      </c>
      <c r="D15" s="9" t="s">
        <v>1301</v>
      </c>
      <c r="E15" s="9"/>
    </row>
    <row r="16" spans="1:5" ht="30" customHeight="1" x14ac:dyDescent="0.3">
      <c r="A16" s="9" t="s">
        <v>1302</v>
      </c>
      <c r="B16" s="9" t="s">
        <v>250</v>
      </c>
      <c r="C16" s="9" t="s">
        <v>249</v>
      </c>
      <c r="D16" s="9" t="s">
        <v>1303</v>
      </c>
      <c r="E16" s="9" t="s">
        <v>1304</v>
      </c>
    </row>
    <row r="17" spans="1:5" ht="30" customHeight="1" x14ac:dyDescent="0.3">
      <c r="A17" s="9" t="s">
        <v>1305</v>
      </c>
      <c r="B17" s="9" t="s">
        <v>151</v>
      </c>
      <c r="C17" s="9" t="s">
        <v>1306</v>
      </c>
      <c r="D17" s="9" t="s">
        <v>1307</v>
      </c>
      <c r="E17" s="9" t="s">
        <v>1308</v>
      </c>
    </row>
    <row r="18" spans="1:5" ht="30" customHeight="1" x14ac:dyDescent="0.3">
      <c r="A18" s="9" t="s">
        <v>1309</v>
      </c>
      <c r="B18" s="9" t="s">
        <v>156</v>
      </c>
      <c r="C18" s="9" t="s">
        <v>964</v>
      </c>
      <c r="D18" s="9" t="s">
        <v>1310</v>
      </c>
      <c r="E18" s="9"/>
    </row>
    <row r="19" spans="1:5" ht="30" customHeight="1" x14ac:dyDescent="0.3">
      <c r="A19" s="9" t="s">
        <v>1311</v>
      </c>
      <c r="B19" s="9" t="s">
        <v>161</v>
      </c>
      <c r="C19" s="9" t="s">
        <v>1312</v>
      </c>
      <c r="D19" s="9" t="s">
        <v>171</v>
      </c>
      <c r="E19" s="9" t="s">
        <v>1313</v>
      </c>
    </row>
    <row r="20" spans="1:5" ht="30" customHeight="1" x14ac:dyDescent="0.3">
      <c r="A20" s="9" t="s">
        <v>1314</v>
      </c>
      <c r="B20" s="9" t="s">
        <v>171</v>
      </c>
      <c r="C20" s="9" t="s">
        <v>1315</v>
      </c>
      <c r="D20" s="9" t="s">
        <v>1316</v>
      </c>
      <c r="E20" s="9" t="s">
        <v>1317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5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2" customWidth="1"/>
    <col min="3" max="3" width="6" customWidth="1"/>
    <col min="4" max="4" width="50" customWidth="1"/>
    <col min="5" max="5" width="8" customWidth="1"/>
    <col min="6" max="6" width="28" customWidth="1"/>
    <col min="7" max="7" width="18" customWidth="1"/>
    <col min="8" max="8" width="44" customWidth="1"/>
    <col min="9" max="9" width="9" customWidth="1"/>
    <col min="10" max="10" width="44" customWidth="1"/>
    <col min="11" max="11" width="16" customWidth="1"/>
    <col min="12" max="13" width="6" customWidth="1"/>
  </cols>
  <sheetData>
    <row r="1" spans="1:13" ht="17.399999999999999" x14ac:dyDescent="0.3">
      <c r="A1" s="1" t="s">
        <v>1318</v>
      </c>
    </row>
    <row r="2" spans="1:13" x14ac:dyDescent="0.3">
      <c r="A2" s="2" t="s">
        <v>1319</v>
      </c>
    </row>
    <row r="4" spans="1:13" ht="52.8" x14ac:dyDescent="0.3">
      <c r="A4" s="8" t="s">
        <v>691</v>
      </c>
      <c r="B4" s="8" t="s">
        <v>500</v>
      </c>
      <c r="C4" s="10" t="s">
        <v>692</v>
      </c>
      <c r="D4" s="8" t="s">
        <v>693</v>
      </c>
      <c r="E4" s="10" t="s">
        <v>694</v>
      </c>
      <c r="F4" s="8" t="s">
        <v>695</v>
      </c>
      <c r="G4" s="8" t="s">
        <v>696</v>
      </c>
      <c r="H4" s="8" t="s">
        <v>697</v>
      </c>
      <c r="I4" s="8" t="s">
        <v>14</v>
      </c>
      <c r="J4" s="8" t="s">
        <v>698</v>
      </c>
      <c r="K4" s="8" t="s">
        <v>699</v>
      </c>
      <c r="L4" s="10" t="s">
        <v>700</v>
      </c>
      <c r="M4" s="8" t="s">
        <v>572</v>
      </c>
    </row>
    <row r="5" spans="1:13" ht="31.95" customHeight="1" x14ac:dyDescent="0.3">
      <c r="A5" s="9" t="s">
        <v>1320</v>
      </c>
      <c r="B5" s="9" t="s">
        <v>1155</v>
      </c>
      <c r="C5" s="11" t="str">
        <f t="shared" ref="C5:C51" si="0">IF(B5="","",IF(LEFT(B5,2)="10","10",LEFT(B5,1)))</f>
        <v>4</v>
      </c>
      <c r="D5" s="9" t="s">
        <v>1321</v>
      </c>
      <c r="E5" s="11" t="str">
        <f t="shared" ref="E5:E51" si="1">IF(A5="","",IF(OR(ISNUMBER(SEARCH("2026",D5)),B5="6.1.3",B5="5.1.1 i)",B5="5.1.1 l)"),"Sim","Não"))</f>
        <v>Não</v>
      </c>
      <c r="F5" s="9" t="s">
        <v>1322</v>
      </c>
      <c r="G5" s="9" t="s">
        <v>1323</v>
      </c>
      <c r="H5" s="9" t="s">
        <v>1324</v>
      </c>
      <c r="I5" s="9" t="s">
        <v>1325</v>
      </c>
      <c r="J5" s="9" t="s">
        <v>1326</v>
      </c>
      <c r="K5" s="9"/>
      <c r="L5" s="15">
        <f t="shared" ref="L5:L51" si="2">IF(I5="","",IF(I5="Conforme",1,IF(I5="Parcial",0.5,0)))</f>
        <v>1</v>
      </c>
      <c r="M5" s="9" t="s">
        <v>1327</v>
      </c>
    </row>
    <row r="6" spans="1:13" ht="31.95" customHeight="1" x14ac:dyDescent="0.3">
      <c r="A6" s="9" t="s">
        <v>1328</v>
      </c>
      <c r="B6" s="9" t="s">
        <v>1155</v>
      </c>
      <c r="C6" s="11" t="str">
        <f t="shared" si="0"/>
        <v>4</v>
      </c>
      <c r="D6" s="9" t="s">
        <v>1329</v>
      </c>
      <c r="E6" s="11" t="str">
        <f t="shared" si="1"/>
        <v>Sim</v>
      </c>
      <c r="F6" s="9" t="s">
        <v>1322</v>
      </c>
      <c r="G6" s="9" t="s">
        <v>1323</v>
      </c>
      <c r="H6" s="9" t="s">
        <v>1330</v>
      </c>
      <c r="I6" s="9" t="s">
        <v>1325</v>
      </c>
      <c r="J6" s="9" t="s">
        <v>1331</v>
      </c>
      <c r="K6" s="9"/>
      <c r="L6" s="15">
        <f t="shared" si="2"/>
        <v>1</v>
      </c>
      <c r="M6" s="9" t="s">
        <v>1327</v>
      </c>
    </row>
    <row r="7" spans="1:13" ht="31.95" customHeight="1" x14ac:dyDescent="0.3">
      <c r="A7" s="9" t="s">
        <v>1332</v>
      </c>
      <c r="B7" s="9" t="s">
        <v>1159</v>
      </c>
      <c r="C7" s="11" t="str">
        <f t="shared" si="0"/>
        <v>4</v>
      </c>
      <c r="D7" s="9" t="s">
        <v>1333</v>
      </c>
      <c r="E7" s="11" t="str">
        <f t="shared" si="1"/>
        <v>Não</v>
      </c>
      <c r="F7" s="9" t="s">
        <v>1322</v>
      </c>
      <c r="G7" s="9" t="s">
        <v>1323</v>
      </c>
      <c r="H7" s="9" t="s">
        <v>1334</v>
      </c>
      <c r="I7" s="9" t="s">
        <v>1325</v>
      </c>
      <c r="J7" s="9" t="s">
        <v>1335</v>
      </c>
      <c r="K7" s="9"/>
      <c r="L7" s="15">
        <f t="shared" si="2"/>
        <v>1</v>
      </c>
      <c r="M7" s="9" t="s">
        <v>1327</v>
      </c>
    </row>
    <row r="8" spans="1:13" ht="31.95" customHeight="1" x14ac:dyDescent="0.3">
      <c r="A8" s="9" t="s">
        <v>1336</v>
      </c>
      <c r="B8" s="9" t="s">
        <v>1162</v>
      </c>
      <c r="C8" s="11" t="str">
        <f t="shared" si="0"/>
        <v>4</v>
      </c>
      <c r="D8" s="9" t="s">
        <v>1337</v>
      </c>
      <c r="E8" s="11" t="str">
        <f t="shared" si="1"/>
        <v>Não</v>
      </c>
      <c r="F8" s="9" t="s">
        <v>1338</v>
      </c>
      <c r="G8" s="9" t="s">
        <v>1339</v>
      </c>
      <c r="H8" s="9" t="s">
        <v>1340</v>
      </c>
      <c r="I8" s="9" t="s">
        <v>1325</v>
      </c>
      <c r="J8" s="9" t="s">
        <v>1341</v>
      </c>
      <c r="K8" s="9"/>
      <c r="L8" s="15">
        <f t="shared" si="2"/>
        <v>1</v>
      </c>
      <c r="M8" s="9" t="s">
        <v>1342</v>
      </c>
    </row>
    <row r="9" spans="1:13" ht="31.95" customHeight="1" x14ac:dyDescent="0.3">
      <c r="A9" s="9" t="s">
        <v>1343</v>
      </c>
      <c r="B9" s="9" t="s">
        <v>1165</v>
      </c>
      <c r="C9" s="11" t="str">
        <f t="shared" si="0"/>
        <v>4</v>
      </c>
      <c r="D9" s="9" t="s">
        <v>1344</v>
      </c>
      <c r="E9" s="11" t="str">
        <f t="shared" si="1"/>
        <v>Não</v>
      </c>
      <c r="F9" s="9" t="s">
        <v>1345</v>
      </c>
      <c r="G9" s="9" t="s">
        <v>1323</v>
      </c>
      <c r="H9" s="9" t="s">
        <v>1346</v>
      </c>
      <c r="I9" s="9" t="s">
        <v>1325</v>
      </c>
      <c r="J9" s="9" t="s">
        <v>1347</v>
      </c>
      <c r="K9" s="9"/>
      <c r="L9" s="15">
        <f t="shared" si="2"/>
        <v>1</v>
      </c>
      <c r="M9" s="9" t="s">
        <v>1327</v>
      </c>
    </row>
    <row r="10" spans="1:13" ht="31.95" customHeight="1" x14ac:dyDescent="0.3">
      <c r="A10" s="9" t="s">
        <v>1348</v>
      </c>
      <c r="B10" s="9" t="s">
        <v>1349</v>
      </c>
      <c r="C10" s="11" t="str">
        <f t="shared" si="0"/>
        <v>5</v>
      </c>
      <c r="D10" s="9" t="s">
        <v>1350</v>
      </c>
      <c r="E10" s="11" t="str">
        <f t="shared" si="1"/>
        <v>Não</v>
      </c>
      <c r="F10" s="9" t="s">
        <v>1322</v>
      </c>
      <c r="G10" s="9" t="s">
        <v>1060</v>
      </c>
      <c r="H10" s="9" t="s">
        <v>1351</v>
      </c>
      <c r="I10" s="9" t="s">
        <v>1325</v>
      </c>
      <c r="J10" s="9" t="s">
        <v>1352</v>
      </c>
      <c r="K10" s="9"/>
      <c r="L10" s="15">
        <f t="shared" si="2"/>
        <v>1</v>
      </c>
      <c r="M10" s="9" t="s">
        <v>1327</v>
      </c>
    </row>
    <row r="11" spans="1:13" ht="31.95" customHeight="1" x14ac:dyDescent="0.3">
      <c r="A11" s="9" t="s">
        <v>1353</v>
      </c>
      <c r="B11" s="9" t="s">
        <v>1354</v>
      </c>
      <c r="C11" s="11" t="str">
        <f t="shared" si="0"/>
        <v>5</v>
      </c>
      <c r="D11" s="9" t="s">
        <v>1355</v>
      </c>
      <c r="E11" s="11" t="str">
        <f t="shared" si="1"/>
        <v>Sim</v>
      </c>
      <c r="F11" s="9" t="s">
        <v>1322</v>
      </c>
      <c r="G11" s="9" t="s">
        <v>1060</v>
      </c>
      <c r="H11" s="9" t="s">
        <v>1356</v>
      </c>
      <c r="I11" s="9" t="s">
        <v>1357</v>
      </c>
      <c r="J11" s="9" t="s">
        <v>1358</v>
      </c>
      <c r="K11" s="9" t="s">
        <v>1359</v>
      </c>
      <c r="L11" s="15">
        <f t="shared" si="2"/>
        <v>0.5</v>
      </c>
      <c r="M11" s="9" t="s">
        <v>1327</v>
      </c>
    </row>
    <row r="12" spans="1:13" ht="31.95" customHeight="1" x14ac:dyDescent="0.3">
      <c r="A12" s="9" t="s">
        <v>1360</v>
      </c>
      <c r="B12" s="9" t="s">
        <v>1361</v>
      </c>
      <c r="C12" s="11" t="str">
        <f t="shared" si="0"/>
        <v>5</v>
      </c>
      <c r="D12" s="9" t="s">
        <v>1362</v>
      </c>
      <c r="E12" s="11" t="str">
        <f t="shared" si="1"/>
        <v>Sim</v>
      </c>
      <c r="F12" s="9" t="s">
        <v>1322</v>
      </c>
      <c r="G12" s="9" t="s">
        <v>1060</v>
      </c>
      <c r="H12" s="9" t="s">
        <v>1363</v>
      </c>
      <c r="I12" s="9" t="s">
        <v>1325</v>
      </c>
      <c r="J12" s="9" t="s">
        <v>1364</v>
      </c>
      <c r="K12" s="9"/>
      <c r="L12" s="15">
        <f t="shared" si="2"/>
        <v>1</v>
      </c>
      <c r="M12" s="9" t="s">
        <v>1327</v>
      </c>
    </row>
    <row r="13" spans="1:13" ht="31.95" customHeight="1" x14ac:dyDescent="0.3">
      <c r="A13" s="9" t="s">
        <v>1365</v>
      </c>
      <c r="B13" s="9" t="s">
        <v>1171</v>
      </c>
      <c r="C13" s="11" t="str">
        <f t="shared" si="0"/>
        <v>5</v>
      </c>
      <c r="D13" s="9" t="s">
        <v>1172</v>
      </c>
      <c r="E13" s="11" t="str">
        <f t="shared" si="1"/>
        <v>Não</v>
      </c>
      <c r="F13" s="9" t="s">
        <v>1322</v>
      </c>
      <c r="G13" s="9" t="s">
        <v>1060</v>
      </c>
      <c r="H13" s="9" t="s">
        <v>1366</v>
      </c>
      <c r="I13" s="9" t="s">
        <v>1325</v>
      </c>
      <c r="J13" s="9"/>
      <c r="K13" s="9"/>
      <c r="L13" s="15">
        <f t="shared" si="2"/>
        <v>1</v>
      </c>
      <c r="M13" s="9" t="s">
        <v>1327</v>
      </c>
    </row>
    <row r="14" spans="1:13" ht="31.95" customHeight="1" x14ac:dyDescent="0.3">
      <c r="A14" s="9" t="s">
        <v>1367</v>
      </c>
      <c r="B14" s="9" t="s">
        <v>1173</v>
      </c>
      <c r="C14" s="11" t="str">
        <f t="shared" si="0"/>
        <v>5</v>
      </c>
      <c r="D14" s="9" t="s">
        <v>1368</v>
      </c>
      <c r="E14" s="11" t="str">
        <f t="shared" si="1"/>
        <v>Não</v>
      </c>
      <c r="F14" s="9" t="s">
        <v>1369</v>
      </c>
      <c r="G14" s="9" t="s">
        <v>1370</v>
      </c>
      <c r="H14" s="9" t="s">
        <v>1371</v>
      </c>
      <c r="I14" s="9" t="s">
        <v>1325</v>
      </c>
      <c r="J14" s="9" t="s">
        <v>1372</v>
      </c>
      <c r="K14" s="9" t="s">
        <v>1373</v>
      </c>
      <c r="L14" s="15">
        <f t="shared" si="2"/>
        <v>1</v>
      </c>
      <c r="M14" s="9" t="s">
        <v>1342</v>
      </c>
    </row>
    <row r="15" spans="1:13" ht="31.95" customHeight="1" x14ac:dyDescent="0.3">
      <c r="A15" s="9" t="s">
        <v>1374</v>
      </c>
      <c r="B15" s="9" t="s">
        <v>1176</v>
      </c>
      <c r="C15" s="11" t="str">
        <f t="shared" si="0"/>
        <v>5</v>
      </c>
      <c r="D15" s="9" t="s">
        <v>1375</v>
      </c>
      <c r="E15" s="11" t="str">
        <f t="shared" si="1"/>
        <v>Não</v>
      </c>
      <c r="F15" s="9" t="s">
        <v>1322</v>
      </c>
      <c r="G15" s="9" t="s">
        <v>1060</v>
      </c>
      <c r="H15" s="9" t="s">
        <v>1376</v>
      </c>
      <c r="I15" s="9" t="s">
        <v>1325</v>
      </c>
      <c r="J15" s="9" t="s">
        <v>1377</v>
      </c>
      <c r="K15" s="9"/>
      <c r="L15" s="15">
        <f t="shared" si="2"/>
        <v>1</v>
      </c>
      <c r="M15" s="9" t="s">
        <v>1327</v>
      </c>
    </row>
    <row r="16" spans="1:13" ht="31.95" customHeight="1" x14ac:dyDescent="0.3">
      <c r="A16" s="9" t="s">
        <v>1378</v>
      </c>
      <c r="B16" s="9" t="s">
        <v>1179</v>
      </c>
      <c r="C16" s="11" t="str">
        <f t="shared" si="0"/>
        <v>6</v>
      </c>
      <c r="D16" s="9" t="s">
        <v>1379</v>
      </c>
      <c r="E16" s="11" t="str">
        <f t="shared" si="1"/>
        <v>Não</v>
      </c>
      <c r="F16" s="9" t="s">
        <v>1322</v>
      </c>
      <c r="G16" s="9" t="s">
        <v>1380</v>
      </c>
      <c r="H16" s="9" t="s">
        <v>1381</v>
      </c>
      <c r="I16" s="9" t="s">
        <v>1325</v>
      </c>
      <c r="J16" s="9" t="s">
        <v>1382</v>
      </c>
      <c r="K16" s="9"/>
      <c r="L16" s="15">
        <f t="shared" si="2"/>
        <v>1</v>
      </c>
      <c r="M16" s="9" t="s">
        <v>1327</v>
      </c>
    </row>
    <row r="17" spans="1:13" ht="31.95" customHeight="1" x14ac:dyDescent="0.3">
      <c r="A17" s="9" t="s">
        <v>1383</v>
      </c>
      <c r="B17" s="9" t="s">
        <v>1182</v>
      </c>
      <c r="C17" s="11" t="str">
        <f t="shared" si="0"/>
        <v>6</v>
      </c>
      <c r="D17" s="9" t="s">
        <v>1384</v>
      </c>
      <c r="E17" s="11" t="str">
        <f t="shared" si="1"/>
        <v>Não</v>
      </c>
      <c r="F17" s="9" t="s">
        <v>1322</v>
      </c>
      <c r="G17" s="9" t="s">
        <v>1380</v>
      </c>
      <c r="H17" s="9" t="s">
        <v>1385</v>
      </c>
      <c r="I17" s="9" t="s">
        <v>1357</v>
      </c>
      <c r="J17" s="9" t="s">
        <v>1386</v>
      </c>
      <c r="K17" s="9" t="s">
        <v>1387</v>
      </c>
      <c r="L17" s="15">
        <f t="shared" si="2"/>
        <v>0.5</v>
      </c>
      <c r="M17" s="9" t="s">
        <v>1327</v>
      </c>
    </row>
    <row r="18" spans="1:13" ht="31.95" customHeight="1" x14ac:dyDescent="0.3">
      <c r="A18" s="9" t="s">
        <v>1388</v>
      </c>
      <c r="B18" s="9" t="s">
        <v>1185</v>
      </c>
      <c r="C18" s="11" t="str">
        <f t="shared" si="0"/>
        <v>6</v>
      </c>
      <c r="D18" s="9" t="s">
        <v>1389</v>
      </c>
      <c r="E18" s="11" t="str">
        <f t="shared" si="1"/>
        <v>Sim</v>
      </c>
      <c r="F18" s="9" t="s">
        <v>1322</v>
      </c>
      <c r="G18" s="9" t="s">
        <v>1380</v>
      </c>
      <c r="H18" s="9" t="s">
        <v>1390</v>
      </c>
      <c r="I18" s="9" t="s">
        <v>1357</v>
      </c>
      <c r="J18" s="9" t="s">
        <v>1391</v>
      </c>
      <c r="K18" s="9"/>
      <c r="L18" s="15">
        <f t="shared" si="2"/>
        <v>0.5</v>
      </c>
      <c r="M18" s="9" t="s">
        <v>1327</v>
      </c>
    </row>
    <row r="19" spans="1:13" ht="31.95" customHeight="1" x14ac:dyDescent="0.3">
      <c r="A19" s="9" t="s">
        <v>1392</v>
      </c>
      <c r="B19" s="9" t="s">
        <v>1188</v>
      </c>
      <c r="C19" s="11" t="str">
        <f t="shared" si="0"/>
        <v>6</v>
      </c>
      <c r="D19" s="9" t="s">
        <v>1393</v>
      </c>
      <c r="E19" s="11" t="str">
        <f t="shared" si="1"/>
        <v>Não</v>
      </c>
      <c r="F19" s="9" t="s">
        <v>1394</v>
      </c>
      <c r="G19" s="9" t="s">
        <v>1323</v>
      </c>
      <c r="H19" s="9" t="s">
        <v>1395</v>
      </c>
      <c r="I19" s="9" t="s">
        <v>1325</v>
      </c>
      <c r="J19" s="9" t="s">
        <v>1396</v>
      </c>
      <c r="K19" s="9"/>
      <c r="L19" s="15">
        <f t="shared" si="2"/>
        <v>1</v>
      </c>
      <c r="M19" s="9" t="s">
        <v>1342</v>
      </c>
    </row>
    <row r="20" spans="1:13" ht="31.95" customHeight="1" x14ac:dyDescent="0.3">
      <c r="A20" s="9" t="s">
        <v>1397</v>
      </c>
      <c r="B20" s="9" t="s">
        <v>1190</v>
      </c>
      <c r="C20" s="11" t="str">
        <f t="shared" si="0"/>
        <v>6</v>
      </c>
      <c r="D20" s="9" t="s">
        <v>1398</v>
      </c>
      <c r="E20" s="11" t="str">
        <f t="shared" si="1"/>
        <v>Não</v>
      </c>
      <c r="F20" s="9" t="s">
        <v>1322</v>
      </c>
      <c r="G20" s="9" t="s">
        <v>1399</v>
      </c>
      <c r="H20" s="9" t="s">
        <v>1400</v>
      </c>
      <c r="I20" s="9" t="s">
        <v>1325</v>
      </c>
      <c r="J20" s="9" t="s">
        <v>1401</v>
      </c>
      <c r="K20" s="9" t="s">
        <v>1402</v>
      </c>
      <c r="L20" s="15">
        <f t="shared" si="2"/>
        <v>1</v>
      </c>
      <c r="M20" s="9" t="s">
        <v>1327</v>
      </c>
    </row>
    <row r="21" spans="1:13" ht="31.95" customHeight="1" x14ac:dyDescent="0.3">
      <c r="A21" s="9" t="s">
        <v>1403</v>
      </c>
      <c r="B21" s="9" t="s">
        <v>1404</v>
      </c>
      <c r="C21" s="11" t="str">
        <f t="shared" si="0"/>
        <v>7</v>
      </c>
      <c r="D21" s="9" t="s">
        <v>1405</v>
      </c>
      <c r="E21" s="11" t="str">
        <f t="shared" si="1"/>
        <v>Não</v>
      </c>
      <c r="F21" s="9" t="s">
        <v>1322</v>
      </c>
      <c r="G21" s="9" t="s">
        <v>1406</v>
      </c>
      <c r="H21" s="9" t="s">
        <v>1407</v>
      </c>
      <c r="I21" s="9" t="s">
        <v>1325</v>
      </c>
      <c r="J21" s="9" t="s">
        <v>1408</v>
      </c>
      <c r="K21" s="9"/>
      <c r="L21" s="15">
        <f t="shared" si="2"/>
        <v>1</v>
      </c>
      <c r="M21" s="9" t="s">
        <v>1327</v>
      </c>
    </row>
    <row r="22" spans="1:13" ht="31.95" customHeight="1" x14ac:dyDescent="0.3">
      <c r="A22" s="9" t="s">
        <v>1409</v>
      </c>
      <c r="B22" s="9" t="s">
        <v>1198</v>
      </c>
      <c r="C22" s="11" t="str">
        <f t="shared" si="0"/>
        <v>7</v>
      </c>
      <c r="D22" s="9" t="s">
        <v>1410</v>
      </c>
      <c r="E22" s="11" t="str">
        <f t="shared" si="1"/>
        <v>Não</v>
      </c>
      <c r="F22" s="9" t="s">
        <v>1322</v>
      </c>
      <c r="G22" s="9" t="s">
        <v>1060</v>
      </c>
      <c r="H22" s="9" t="s">
        <v>1411</v>
      </c>
      <c r="I22" s="9" t="s">
        <v>1325</v>
      </c>
      <c r="J22" s="9"/>
      <c r="K22" s="9"/>
      <c r="L22" s="15">
        <f t="shared" si="2"/>
        <v>1</v>
      </c>
      <c r="M22" s="9" t="s">
        <v>1327</v>
      </c>
    </row>
    <row r="23" spans="1:13" ht="31.95" customHeight="1" x14ac:dyDescent="0.3">
      <c r="A23" s="9" t="s">
        <v>1412</v>
      </c>
      <c r="B23" s="9" t="s">
        <v>1201</v>
      </c>
      <c r="C23" s="11" t="str">
        <f t="shared" si="0"/>
        <v>7</v>
      </c>
      <c r="D23" s="9" t="s">
        <v>1413</v>
      </c>
      <c r="E23" s="11" t="str">
        <f t="shared" si="1"/>
        <v>Não</v>
      </c>
      <c r="F23" s="9" t="s">
        <v>1414</v>
      </c>
      <c r="G23" s="9" t="s">
        <v>1415</v>
      </c>
      <c r="H23" s="9" t="s">
        <v>1416</v>
      </c>
      <c r="I23" s="9" t="s">
        <v>1325</v>
      </c>
      <c r="J23" s="9" t="s">
        <v>1417</v>
      </c>
      <c r="K23" s="9"/>
      <c r="L23" s="15">
        <f t="shared" si="2"/>
        <v>1</v>
      </c>
      <c r="M23" s="9" t="s">
        <v>1418</v>
      </c>
    </row>
    <row r="24" spans="1:13" ht="31.95" customHeight="1" x14ac:dyDescent="0.3">
      <c r="A24" s="9" t="s">
        <v>1419</v>
      </c>
      <c r="B24" s="9" t="s">
        <v>1203</v>
      </c>
      <c r="C24" s="11" t="str">
        <f t="shared" si="0"/>
        <v>7</v>
      </c>
      <c r="D24" s="9" t="s">
        <v>1420</v>
      </c>
      <c r="E24" s="11" t="str">
        <f t="shared" si="1"/>
        <v>Não</v>
      </c>
      <c r="F24" s="9" t="s">
        <v>1421</v>
      </c>
      <c r="G24" s="9" t="s">
        <v>1415</v>
      </c>
      <c r="H24" s="9" t="s">
        <v>1422</v>
      </c>
      <c r="I24" s="9" t="s">
        <v>1325</v>
      </c>
      <c r="J24" s="9" t="s">
        <v>1423</v>
      </c>
      <c r="K24" s="9" t="s">
        <v>1424</v>
      </c>
      <c r="L24" s="15">
        <f t="shared" si="2"/>
        <v>1</v>
      </c>
      <c r="M24" s="9" t="s">
        <v>1418</v>
      </c>
    </row>
    <row r="25" spans="1:13" ht="31.95" customHeight="1" x14ac:dyDescent="0.3">
      <c r="A25" s="9" t="s">
        <v>1425</v>
      </c>
      <c r="B25" s="9" t="s">
        <v>1205</v>
      </c>
      <c r="C25" s="11" t="str">
        <f t="shared" si="0"/>
        <v>7</v>
      </c>
      <c r="D25" s="9" t="s">
        <v>1206</v>
      </c>
      <c r="E25" s="11" t="str">
        <f t="shared" si="1"/>
        <v>Não</v>
      </c>
      <c r="F25" s="9" t="s">
        <v>1322</v>
      </c>
      <c r="G25" s="9" t="s">
        <v>1060</v>
      </c>
      <c r="H25" s="9" t="s">
        <v>1426</v>
      </c>
      <c r="I25" s="9" t="s">
        <v>1325</v>
      </c>
      <c r="J25" s="9" t="s">
        <v>1427</v>
      </c>
      <c r="K25" s="9"/>
      <c r="L25" s="15">
        <f t="shared" si="2"/>
        <v>1</v>
      </c>
      <c r="M25" s="9" t="s">
        <v>1327</v>
      </c>
    </row>
    <row r="26" spans="1:13" ht="31.95" customHeight="1" x14ac:dyDescent="0.3">
      <c r="A26" s="9" t="s">
        <v>1428</v>
      </c>
      <c r="B26" s="9" t="s">
        <v>1208</v>
      </c>
      <c r="C26" s="11" t="str">
        <f t="shared" si="0"/>
        <v>7</v>
      </c>
      <c r="D26" s="9" t="s">
        <v>1209</v>
      </c>
      <c r="E26" s="11" t="str">
        <f t="shared" si="1"/>
        <v>Não</v>
      </c>
      <c r="F26" s="9" t="s">
        <v>1414</v>
      </c>
      <c r="G26" s="9" t="s">
        <v>1429</v>
      </c>
      <c r="H26" s="9" t="s">
        <v>1430</v>
      </c>
      <c r="I26" s="9" t="s">
        <v>1325</v>
      </c>
      <c r="J26" s="9" t="s">
        <v>1431</v>
      </c>
      <c r="K26" s="9"/>
      <c r="L26" s="15">
        <f t="shared" si="2"/>
        <v>1</v>
      </c>
      <c r="M26" s="9" t="s">
        <v>1418</v>
      </c>
    </row>
    <row r="27" spans="1:13" ht="31.95" customHeight="1" x14ac:dyDescent="0.3">
      <c r="A27" s="9" t="s">
        <v>1432</v>
      </c>
      <c r="B27" s="9" t="s">
        <v>1210</v>
      </c>
      <c r="C27" s="11" t="str">
        <f t="shared" si="0"/>
        <v>7</v>
      </c>
      <c r="D27" s="9" t="s">
        <v>1433</v>
      </c>
      <c r="E27" s="11" t="str">
        <f t="shared" si="1"/>
        <v>Não</v>
      </c>
      <c r="F27" s="9" t="s">
        <v>1322</v>
      </c>
      <c r="G27" s="9" t="s">
        <v>1429</v>
      </c>
      <c r="H27" s="9" t="s">
        <v>1434</v>
      </c>
      <c r="I27" s="9" t="s">
        <v>1325</v>
      </c>
      <c r="J27" s="9" t="s">
        <v>1435</v>
      </c>
      <c r="K27" s="9"/>
      <c r="L27" s="15">
        <f t="shared" si="2"/>
        <v>1</v>
      </c>
      <c r="M27" s="9" t="s">
        <v>1327</v>
      </c>
    </row>
    <row r="28" spans="1:13" ht="31.95" customHeight="1" x14ac:dyDescent="0.3">
      <c r="A28" s="9" t="s">
        <v>1436</v>
      </c>
      <c r="B28" s="9" t="s">
        <v>1213</v>
      </c>
      <c r="C28" s="11" t="str">
        <f t="shared" si="0"/>
        <v>7</v>
      </c>
      <c r="D28" s="9" t="s">
        <v>1437</v>
      </c>
      <c r="E28" s="11" t="str">
        <f t="shared" si="1"/>
        <v>Não</v>
      </c>
      <c r="F28" s="9" t="s">
        <v>1322</v>
      </c>
      <c r="G28" s="9" t="s">
        <v>1060</v>
      </c>
      <c r="H28" s="9" t="s">
        <v>1438</v>
      </c>
      <c r="I28" s="9" t="s">
        <v>1325</v>
      </c>
      <c r="J28" s="9"/>
      <c r="K28" s="9"/>
      <c r="L28" s="15">
        <f t="shared" si="2"/>
        <v>1</v>
      </c>
      <c r="M28" s="9" t="s">
        <v>1327</v>
      </c>
    </row>
    <row r="29" spans="1:13" ht="31.95" customHeight="1" x14ac:dyDescent="0.3">
      <c r="A29" s="9" t="s">
        <v>1439</v>
      </c>
      <c r="B29" s="9" t="s">
        <v>1215</v>
      </c>
      <c r="C29" s="11" t="str">
        <f t="shared" si="0"/>
        <v>7</v>
      </c>
      <c r="D29" s="9" t="s">
        <v>1440</v>
      </c>
      <c r="E29" s="11" t="str">
        <f t="shared" si="1"/>
        <v>Não</v>
      </c>
      <c r="F29" s="9" t="s">
        <v>1441</v>
      </c>
      <c r="G29" s="9" t="s">
        <v>1442</v>
      </c>
      <c r="H29" s="9" t="s">
        <v>1443</v>
      </c>
      <c r="I29" s="9" t="s">
        <v>1325</v>
      </c>
      <c r="J29" s="9" t="s">
        <v>1444</v>
      </c>
      <c r="K29" s="9"/>
      <c r="L29" s="15">
        <f t="shared" si="2"/>
        <v>1</v>
      </c>
      <c r="M29" s="9" t="s">
        <v>1327</v>
      </c>
    </row>
    <row r="30" spans="1:13" ht="31.95" customHeight="1" x14ac:dyDescent="0.3">
      <c r="A30" s="9" t="s">
        <v>1445</v>
      </c>
      <c r="B30" s="9" t="s">
        <v>1218</v>
      </c>
      <c r="C30" s="11" t="str">
        <f t="shared" si="0"/>
        <v>8</v>
      </c>
      <c r="D30" s="9" t="s">
        <v>1446</v>
      </c>
      <c r="E30" s="11" t="str">
        <f t="shared" si="1"/>
        <v>Não</v>
      </c>
      <c r="F30" s="9" t="s">
        <v>1447</v>
      </c>
      <c r="G30" s="9" t="s">
        <v>1448</v>
      </c>
      <c r="H30" s="9" t="s">
        <v>1449</v>
      </c>
      <c r="I30" s="9" t="s">
        <v>1325</v>
      </c>
      <c r="J30" s="9"/>
      <c r="K30" s="9"/>
      <c r="L30" s="15">
        <f t="shared" si="2"/>
        <v>1</v>
      </c>
      <c r="M30" s="9" t="s">
        <v>1418</v>
      </c>
    </row>
    <row r="31" spans="1:13" ht="31.95" customHeight="1" x14ac:dyDescent="0.3">
      <c r="A31" s="9" t="s">
        <v>1450</v>
      </c>
      <c r="B31" s="9" t="s">
        <v>1220</v>
      </c>
      <c r="C31" s="11" t="str">
        <f t="shared" si="0"/>
        <v>8</v>
      </c>
      <c r="D31" s="9" t="s">
        <v>1451</v>
      </c>
      <c r="E31" s="11" t="str">
        <f t="shared" si="1"/>
        <v>Sim</v>
      </c>
      <c r="F31" s="9" t="s">
        <v>1322</v>
      </c>
      <c r="G31" s="9" t="s">
        <v>1452</v>
      </c>
      <c r="H31" s="9" t="s">
        <v>1453</v>
      </c>
      <c r="I31" s="9" t="s">
        <v>1325</v>
      </c>
      <c r="J31" s="9"/>
      <c r="K31" s="9"/>
      <c r="L31" s="15">
        <f t="shared" si="2"/>
        <v>1</v>
      </c>
      <c r="M31" s="9" t="s">
        <v>1327</v>
      </c>
    </row>
    <row r="32" spans="1:13" ht="31.95" customHeight="1" x14ac:dyDescent="0.3">
      <c r="A32" s="9" t="s">
        <v>1454</v>
      </c>
      <c r="B32" s="9" t="s">
        <v>1223</v>
      </c>
      <c r="C32" s="11" t="str">
        <f t="shared" si="0"/>
        <v>8</v>
      </c>
      <c r="D32" s="9" t="s">
        <v>1455</v>
      </c>
      <c r="E32" s="11" t="str">
        <f t="shared" si="1"/>
        <v>Não</v>
      </c>
      <c r="F32" s="9" t="s">
        <v>1322</v>
      </c>
      <c r="G32" s="9" t="s">
        <v>1452</v>
      </c>
      <c r="H32" s="9" t="s">
        <v>1456</v>
      </c>
      <c r="I32" s="9" t="s">
        <v>1357</v>
      </c>
      <c r="J32" s="9" t="s">
        <v>1457</v>
      </c>
      <c r="K32" s="9" t="s">
        <v>1458</v>
      </c>
      <c r="L32" s="15">
        <f t="shared" si="2"/>
        <v>0.5</v>
      </c>
      <c r="M32" s="9" t="s">
        <v>1327</v>
      </c>
    </row>
    <row r="33" spans="1:13" ht="31.95" customHeight="1" x14ac:dyDescent="0.3">
      <c r="A33" s="9" t="s">
        <v>1459</v>
      </c>
      <c r="B33" s="9" t="s">
        <v>1225</v>
      </c>
      <c r="C33" s="11" t="str">
        <f t="shared" si="0"/>
        <v>8</v>
      </c>
      <c r="D33" s="9" t="s">
        <v>1460</v>
      </c>
      <c r="E33" s="11" t="str">
        <f t="shared" si="1"/>
        <v>Não</v>
      </c>
      <c r="F33" s="9" t="s">
        <v>1461</v>
      </c>
      <c r="G33" s="9" t="s">
        <v>1452</v>
      </c>
      <c r="H33" s="9" t="s">
        <v>1462</v>
      </c>
      <c r="I33" s="9" t="s">
        <v>1325</v>
      </c>
      <c r="J33" s="9" t="s">
        <v>1463</v>
      </c>
      <c r="K33" s="9" t="s">
        <v>1464</v>
      </c>
      <c r="L33" s="15">
        <f t="shared" si="2"/>
        <v>1</v>
      </c>
      <c r="M33" s="9" t="s">
        <v>1418</v>
      </c>
    </row>
    <row r="34" spans="1:13" ht="31.95" customHeight="1" x14ac:dyDescent="0.3">
      <c r="A34" s="9" t="s">
        <v>1465</v>
      </c>
      <c r="B34" s="9" t="s">
        <v>1227</v>
      </c>
      <c r="C34" s="11" t="str">
        <f t="shared" si="0"/>
        <v>8</v>
      </c>
      <c r="D34" s="9" t="s">
        <v>1466</v>
      </c>
      <c r="E34" s="11" t="str">
        <f t="shared" si="1"/>
        <v>Não</v>
      </c>
      <c r="F34" s="9" t="s">
        <v>1467</v>
      </c>
      <c r="G34" s="9" t="s">
        <v>1452</v>
      </c>
      <c r="H34" s="9" t="s">
        <v>1468</v>
      </c>
      <c r="I34" s="9" t="s">
        <v>1325</v>
      </c>
      <c r="J34" s="9"/>
      <c r="K34" s="9"/>
      <c r="L34" s="15">
        <f t="shared" si="2"/>
        <v>1</v>
      </c>
      <c r="M34" s="9" t="s">
        <v>1418</v>
      </c>
    </row>
    <row r="35" spans="1:13" ht="31.95" customHeight="1" x14ac:dyDescent="0.3">
      <c r="A35" s="9" t="s">
        <v>1469</v>
      </c>
      <c r="B35" s="9" t="s">
        <v>1470</v>
      </c>
      <c r="C35" s="11" t="str">
        <f t="shared" si="0"/>
        <v>8</v>
      </c>
      <c r="D35" s="9" t="s">
        <v>1471</v>
      </c>
      <c r="E35" s="11" t="str">
        <f t="shared" si="1"/>
        <v>Não</v>
      </c>
      <c r="F35" s="9" t="s">
        <v>1472</v>
      </c>
      <c r="G35" s="9" t="s">
        <v>1473</v>
      </c>
      <c r="H35" s="9" t="s">
        <v>136</v>
      </c>
      <c r="I35" s="9" t="s">
        <v>1325</v>
      </c>
      <c r="J35" s="9"/>
      <c r="K35" s="9"/>
      <c r="L35" s="15">
        <f t="shared" si="2"/>
        <v>1</v>
      </c>
      <c r="M35" s="9" t="s">
        <v>1418</v>
      </c>
    </row>
    <row r="36" spans="1:13" ht="31.95" customHeight="1" x14ac:dyDescent="0.3">
      <c r="A36" s="9" t="s">
        <v>1474</v>
      </c>
      <c r="B36" s="9" t="s">
        <v>1475</v>
      </c>
      <c r="C36" s="11" t="str">
        <f t="shared" si="0"/>
        <v>8</v>
      </c>
      <c r="D36" s="9" t="s">
        <v>1476</v>
      </c>
      <c r="E36" s="11" t="str">
        <f t="shared" si="1"/>
        <v>Não</v>
      </c>
      <c r="F36" s="9" t="s">
        <v>1414</v>
      </c>
      <c r="G36" s="9" t="s">
        <v>1473</v>
      </c>
      <c r="H36" s="9" t="s">
        <v>1477</v>
      </c>
      <c r="I36" s="9" t="s">
        <v>1325</v>
      </c>
      <c r="J36" s="9" t="s">
        <v>1478</v>
      </c>
      <c r="K36" s="9" t="s">
        <v>1479</v>
      </c>
      <c r="L36" s="15">
        <f t="shared" si="2"/>
        <v>1</v>
      </c>
      <c r="M36" s="9" t="s">
        <v>1418</v>
      </c>
    </row>
    <row r="37" spans="1:13" ht="31.95" customHeight="1" x14ac:dyDescent="0.3">
      <c r="A37" s="9" t="s">
        <v>1480</v>
      </c>
      <c r="B37" s="9" t="s">
        <v>1231</v>
      </c>
      <c r="C37" s="11" t="str">
        <f t="shared" si="0"/>
        <v>8</v>
      </c>
      <c r="D37" s="9" t="s">
        <v>1481</v>
      </c>
      <c r="E37" s="11" t="str">
        <f t="shared" si="1"/>
        <v>Não</v>
      </c>
      <c r="F37" s="9" t="s">
        <v>1482</v>
      </c>
      <c r="G37" s="9" t="s">
        <v>1483</v>
      </c>
      <c r="H37" s="9" t="s">
        <v>141</v>
      </c>
      <c r="I37" s="9" t="s">
        <v>1357</v>
      </c>
      <c r="J37" s="9" t="s">
        <v>1484</v>
      </c>
      <c r="K37" s="9" t="s">
        <v>1485</v>
      </c>
      <c r="L37" s="15">
        <f t="shared" si="2"/>
        <v>0.5</v>
      </c>
      <c r="M37" s="9" t="s">
        <v>1418</v>
      </c>
    </row>
    <row r="38" spans="1:13" ht="31.95" customHeight="1" x14ac:dyDescent="0.3">
      <c r="A38" s="9" t="s">
        <v>1486</v>
      </c>
      <c r="B38" s="9" t="s">
        <v>1233</v>
      </c>
      <c r="C38" s="11" t="str">
        <f t="shared" si="0"/>
        <v>8</v>
      </c>
      <c r="D38" s="9" t="s">
        <v>1487</v>
      </c>
      <c r="E38" s="11" t="str">
        <f t="shared" si="1"/>
        <v>Não</v>
      </c>
      <c r="F38" s="9" t="s">
        <v>1488</v>
      </c>
      <c r="G38" s="9" t="s">
        <v>1489</v>
      </c>
      <c r="H38" s="9" t="s">
        <v>1490</v>
      </c>
      <c r="I38" s="9" t="s">
        <v>1325</v>
      </c>
      <c r="J38" s="9" t="s">
        <v>1491</v>
      </c>
      <c r="K38" s="9"/>
      <c r="L38" s="15">
        <f t="shared" si="2"/>
        <v>1</v>
      </c>
      <c r="M38" s="9" t="s">
        <v>1418</v>
      </c>
    </row>
    <row r="39" spans="1:13" ht="31.95" customHeight="1" x14ac:dyDescent="0.3">
      <c r="A39" s="9" t="s">
        <v>1492</v>
      </c>
      <c r="B39" s="9" t="s">
        <v>1236</v>
      </c>
      <c r="C39" s="11" t="str">
        <f t="shared" si="0"/>
        <v>8</v>
      </c>
      <c r="D39" s="9" t="s">
        <v>1237</v>
      </c>
      <c r="E39" s="11" t="str">
        <f t="shared" si="1"/>
        <v>Não</v>
      </c>
      <c r="F39" s="9" t="s">
        <v>1493</v>
      </c>
      <c r="G39" s="9" t="s">
        <v>1494</v>
      </c>
      <c r="H39" s="9" t="s">
        <v>1495</v>
      </c>
      <c r="I39" s="9" t="s">
        <v>1357</v>
      </c>
      <c r="J39" s="9" t="s">
        <v>1496</v>
      </c>
      <c r="K39" s="9" t="s">
        <v>1497</v>
      </c>
      <c r="L39" s="15">
        <f t="shared" si="2"/>
        <v>0.5</v>
      </c>
      <c r="M39" s="9" t="s">
        <v>1418</v>
      </c>
    </row>
    <row r="40" spans="1:13" ht="31.95" customHeight="1" x14ac:dyDescent="0.3">
      <c r="A40" s="9" t="s">
        <v>1498</v>
      </c>
      <c r="B40" s="9" t="s">
        <v>1238</v>
      </c>
      <c r="C40" s="11" t="str">
        <f t="shared" si="0"/>
        <v>8</v>
      </c>
      <c r="D40" s="9" t="s">
        <v>1499</v>
      </c>
      <c r="E40" s="11" t="str">
        <f t="shared" si="1"/>
        <v>Não</v>
      </c>
      <c r="F40" s="9" t="s">
        <v>1500</v>
      </c>
      <c r="G40" s="9" t="s">
        <v>1452</v>
      </c>
      <c r="H40" s="9" t="s">
        <v>1501</v>
      </c>
      <c r="I40" s="9" t="s">
        <v>1325</v>
      </c>
      <c r="J40" s="9"/>
      <c r="K40" s="9"/>
      <c r="L40" s="15">
        <f t="shared" si="2"/>
        <v>1</v>
      </c>
      <c r="M40" s="9" t="s">
        <v>1418</v>
      </c>
    </row>
    <row r="41" spans="1:13" ht="31.95" customHeight="1" x14ac:dyDescent="0.3">
      <c r="A41" s="9" t="s">
        <v>1502</v>
      </c>
      <c r="B41" s="9" t="s">
        <v>1503</v>
      </c>
      <c r="C41" s="11" t="str">
        <f t="shared" si="0"/>
        <v>8</v>
      </c>
      <c r="D41" s="9" t="s">
        <v>1504</v>
      </c>
      <c r="E41" s="11" t="str">
        <f t="shared" si="1"/>
        <v>Não</v>
      </c>
      <c r="F41" s="9" t="s">
        <v>1322</v>
      </c>
      <c r="G41" s="9" t="s">
        <v>1494</v>
      </c>
      <c r="H41" s="9" t="s">
        <v>1505</v>
      </c>
      <c r="I41" s="9" t="s">
        <v>1325</v>
      </c>
      <c r="J41" s="9"/>
      <c r="K41" s="9"/>
      <c r="L41" s="15">
        <f t="shared" si="2"/>
        <v>1</v>
      </c>
      <c r="M41" s="9" t="s">
        <v>1327</v>
      </c>
    </row>
    <row r="42" spans="1:13" ht="31.95" customHeight="1" x14ac:dyDescent="0.3">
      <c r="A42" s="9" t="s">
        <v>1506</v>
      </c>
      <c r="B42" s="9" t="s">
        <v>1244</v>
      </c>
      <c r="C42" s="11" t="str">
        <f t="shared" si="0"/>
        <v>8</v>
      </c>
      <c r="D42" s="9" t="s">
        <v>1507</v>
      </c>
      <c r="E42" s="11" t="str">
        <f t="shared" si="1"/>
        <v>Não</v>
      </c>
      <c r="F42" s="9" t="s">
        <v>1414</v>
      </c>
      <c r="G42" s="9" t="s">
        <v>1399</v>
      </c>
      <c r="H42" s="9" t="s">
        <v>111</v>
      </c>
      <c r="I42" s="9" t="s">
        <v>1325</v>
      </c>
      <c r="J42" s="9" t="s">
        <v>1508</v>
      </c>
      <c r="K42" s="9" t="s">
        <v>1402</v>
      </c>
      <c r="L42" s="15">
        <f t="shared" si="2"/>
        <v>1</v>
      </c>
      <c r="M42" s="9" t="s">
        <v>1418</v>
      </c>
    </row>
    <row r="43" spans="1:13" ht="31.95" customHeight="1" x14ac:dyDescent="0.3">
      <c r="A43" s="9" t="s">
        <v>1509</v>
      </c>
      <c r="B43" s="9" t="s">
        <v>1246</v>
      </c>
      <c r="C43" s="11" t="str">
        <f t="shared" si="0"/>
        <v>8</v>
      </c>
      <c r="D43" s="9" t="s">
        <v>1510</v>
      </c>
      <c r="E43" s="11" t="str">
        <f t="shared" si="1"/>
        <v>Não</v>
      </c>
      <c r="F43" s="9" t="s">
        <v>1511</v>
      </c>
      <c r="G43" s="9" t="s">
        <v>1494</v>
      </c>
      <c r="H43" s="9" t="s">
        <v>1512</v>
      </c>
      <c r="I43" s="9" t="s">
        <v>1325</v>
      </c>
      <c r="J43" s="9" t="s">
        <v>1513</v>
      </c>
      <c r="K43" s="9"/>
      <c r="L43" s="15">
        <f t="shared" si="2"/>
        <v>1</v>
      </c>
      <c r="M43" s="9" t="s">
        <v>1418</v>
      </c>
    </row>
    <row r="44" spans="1:13" ht="31.95" customHeight="1" x14ac:dyDescent="0.3">
      <c r="A44" s="9" t="s">
        <v>1514</v>
      </c>
      <c r="B44" s="9" t="s">
        <v>154</v>
      </c>
      <c r="C44" s="11" t="str">
        <f t="shared" si="0"/>
        <v>8</v>
      </c>
      <c r="D44" s="9" t="s">
        <v>1515</v>
      </c>
      <c r="E44" s="11" t="str">
        <f t="shared" si="1"/>
        <v>Não</v>
      </c>
      <c r="F44" s="9" t="s">
        <v>1516</v>
      </c>
      <c r="G44" s="9" t="s">
        <v>1517</v>
      </c>
      <c r="H44" s="9" t="s">
        <v>1518</v>
      </c>
      <c r="I44" s="9" t="s">
        <v>1357</v>
      </c>
      <c r="J44" s="9" t="s">
        <v>1519</v>
      </c>
      <c r="K44" s="9" t="s">
        <v>1520</v>
      </c>
      <c r="L44" s="15">
        <f t="shared" si="2"/>
        <v>0.5</v>
      </c>
      <c r="M44" s="9" t="s">
        <v>1418</v>
      </c>
    </row>
    <row r="45" spans="1:13" ht="31.95" customHeight="1" x14ac:dyDescent="0.3">
      <c r="A45" s="9" t="s">
        <v>1521</v>
      </c>
      <c r="B45" s="9" t="s">
        <v>1249</v>
      </c>
      <c r="C45" s="11" t="str">
        <f t="shared" si="0"/>
        <v>9</v>
      </c>
      <c r="D45" s="9" t="s">
        <v>1522</v>
      </c>
      <c r="E45" s="11" t="str">
        <f t="shared" si="1"/>
        <v>Não</v>
      </c>
      <c r="F45" s="9" t="s">
        <v>1414</v>
      </c>
      <c r="G45" s="9" t="s">
        <v>1523</v>
      </c>
      <c r="H45" s="9" t="s">
        <v>1524</v>
      </c>
      <c r="I45" s="9" t="s">
        <v>1325</v>
      </c>
      <c r="J45" s="9"/>
      <c r="K45" s="9"/>
      <c r="L45" s="15">
        <f t="shared" si="2"/>
        <v>1</v>
      </c>
      <c r="M45" s="9" t="s">
        <v>1418</v>
      </c>
    </row>
    <row r="46" spans="1:13" ht="31.95" customHeight="1" x14ac:dyDescent="0.3">
      <c r="A46" s="9" t="s">
        <v>1525</v>
      </c>
      <c r="B46" s="9" t="s">
        <v>1251</v>
      </c>
      <c r="C46" s="11" t="str">
        <f t="shared" si="0"/>
        <v>9</v>
      </c>
      <c r="D46" s="9" t="s">
        <v>1526</v>
      </c>
      <c r="E46" s="11" t="str">
        <f t="shared" si="1"/>
        <v>Não</v>
      </c>
      <c r="F46" s="9" t="s">
        <v>1322</v>
      </c>
      <c r="G46" s="9" t="s">
        <v>1527</v>
      </c>
      <c r="H46" s="9" t="s">
        <v>156</v>
      </c>
      <c r="I46" s="9" t="s">
        <v>1325</v>
      </c>
      <c r="J46" s="9" t="s">
        <v>1528</v>
      </c>
      <c r="K46" s="9"/>
      <c r="L46" s="15">
        <f t="shared" si="2"/>
        <v>1</v>
      </c>
      <c r="M46" s="9" t="s">
        <v>1327</v>
      </c>
    </row>
    <row r="47" spans="1:13" ht="31.95" customHeight="1" x14ac:dyDescent="0.3">
      <c r="A47" s="9" t="s">
        <v>1529</v>
      </c>
      <c r="B47" s="9" t="s">
        <v>1253</v>
      </c>
      <c r="C47" s="11" t="str">
        <f t="shared" si="0"/>
        <v>9</v>
      </c>
      <c r="D47" s="9" t="s">
        <v>1530</v>
      </c>
      <c r="E47" s="11" t="str">
        <f t="shared" si="1"/>
        <v>Não</v>
      </c>
      <c r="F47" s="9" t="s">
        <v>1322</v>
      </c>
      <c r="G47" s="9" t="s">
        <v>1523</v>
      </c>
      <c r="H47" s="9" t="s">
        <v>1531</v>
      </c>
      <c r="I47" s="9" t="s">
        <v>1325</v>
      </c>
      <c r="J47" s="9"/>
      <c r="K47" s="9"/>
      <c r="L47" s="15">
        <f t="shared" si="2"/>
        <v>1</v>
      </c>
      <c r="M47" s="9" t="s">
        <v>1327</v>
      </c>
    </row>
    <row r="48" spans="1:13" ht="31.95" customHeight="1" x14ac:dyDescent="0.3">
      <c r="A48" s="9" t="s">
        <v>1532</v>
      </c>
      <c r="B48" s="9" t="s">
        <v>164</v>
      </c>
      <c r="C48" s="11" t="str">
        <f t="shared" si="0"/>
        <v>9</v>
      </c>
      <c r="D48" s="9" t="s">
        <v>1533</v>
      </c>
      <c r="E48" s="11" t="str">
        <f t="shared" si="1"/>
        <v>Não</v>
      </c>
      <c r="F48" s="9" t="s">
        <v>1534</v>
      </c>
      <c r="G48" s="9" t="s">
        <v>1535</v>
      </c>
      <c r="H48" s="9" t="s">
        <v>161</v>
      </c>
      <c r="I48" s="9" t="s">
        <v>1325</v>
      </c>
      <c r="J48" s="9" t="s">
        <v>1536</v>
      </c>
      <c r="K48" s="9"/>
      <c r="L48" s="15">
        <f t="shared" si="2"/>
        <v>1</v>
      </c>
      <c r="M48" s="9" t="s">
        <v>1418</v>
      </c>
    </row>
    <row r="49" spans="1:13" ht="31.95" customHeight="1" x14ac:dyDescent="0.3">
      <c r="A49" s="9" t="s">
        <v>1537</v>
      </c>
      <c r="B49" s="9" t="s">
        <v>1258</v>
      </c>
      <c r="C49" s="11" t="str">
        <f t="shared" si="0"/>
        <v>9</v>
      </c>
      <c r="D49" s="9" t="s">
        <v>1538</v>
      </c>
      <c r="E49" s="11" t="str">
        <f t="shared" si="1"/>
        <v>Não</v>
      </c>
      <c r="F49" s="9" t="s">
        <v>1539</v>
      </c>
      <c r="G49" s="9" t="s">
        <v>1323</v>
      </c>
      <c r="H49" s="9" t="s">
        <v>166</v>
      </c>
      <c r="I49" s="9" t="s">
        <v>1325</v>
      </c>
      <c r="J49" s="9" t="s">
        <v>1387</v>
      </c>
      <c r="K49" s="9"/>
      <c r="L49" s="15">
        <f t="shared" si="2"/>
        <v>1</v>
      </c>
      <c r="M49" s="9" t="s">
        <v>1418</v>
      </c>
    </row>
    <row r="50" spans="1:13" ht="31.95" customHeight="1" x14ac:dyDescent="0.3">
      <c r="A50" s="9" t="s">
        <v>1540</v>
      </c>
      <c r="B50" s="9" t="s">
        <v>1261</v>
      </c>
      <c r="C50" s="11" t="str">
        <f t="shared" si="0"/>
        <v>10</v>
      </c>
      <c r="D50" s="9" t="s">
        <v>1262</v>
      </c>
      <c r="E50" s="11" t="str">
        <f t="shared" si="1"/>
        <v>Não</v>
      </c>
      <c r="F50" s="9" t="s">
        <v>1322</v>
      </c>
      <c r="G50" s="9" t="s">
        <v>1523</v>
      </c>
      <c r="H50" s="9" t="s">
        <v>176</v>
      </c>
      <c r="I50" s="9" t="s">
        <v>1325</v>
      </c>
      <c r="J50" s="9" t="s">
        <v>1541</v>
      </c>
      <c r="K50" s="9"/>
      <c r="L50" s="15">
        <f t="shared" si="2"/>
        <v>1</v>
      </c>
      <c r="M50" s="9" t="s">
        <v>1327</v>
      </c>
    </row>
    <row r="51" spans="1:13" ht="31.95" customHeight="1" x14ac:dyDescent="0.3">
      <c r="A51" s="9" t="s">
        <v>1542</v>
      </c>
      <c r="B51" s="9" t="s">
        <v>174</v>
      </c>
      <c r="C51" s="11" t="str">
        <f t="shared" si="0"/>
        <v>10</v>
      </c>
      <c r="D51" s="9" t="s">
        <v>1543</v>
      </c>
      <c r="E51" s="11" t="str">
        <f t="shared" si="1"/>
        <v>Não</v>
      </c>
      <c r="F51" s="9" t="s">
        <v>1544</v>
      </c>
      <c r="G51" s="9" t="s">
        <v>1545</v>
      </c>
      <c r="H51" s="9" t="s">
        <v>1546</v>
      </c>
      <c r="I51" s="9" t="s">
        <v>1357</v>
      </c>
      <c r="J51" s="9" t="s">
        <v>1547</v>
      </c>
      <c r="K51" s="9" t="s">
        <v>1548</v>
      </c>
      <c r="L51" s="15">
        <f t="shared" si="2"/>
        <v>0.5</v>
      </c>
      <c r="M51" s="9" t="s">
        <v>1418</v>
      </c>
    </row>
  </sheetData>
  <conditionalFormatting sqref="E5:E251">
    <cfRule type="expression" dxfId="9" priority="6">
      <formula>ISNUMBER(SEARCH("Sim",E5))</formula>
    </cfRule>
  </conditionalFormatting>
  <conditionalFormatting sqref="I5:I251">
    <cfRule type="expression" dxfId="8" priority="1">
      <formula>ISNUMBER(SEARCH("Conforme",I5))</formula>
    </cfRule>
    <cfRule type="expression" dxfId="7" priority="2">
      <formula>ISNUMBER(SEARCH("Parcial",I5))</formula>
    </cfRule>
    <cfRule type="expression" dxfId="6" priority="3">
      <formula>ISNUMBER(SEARCH("Lacuna",I5))</formula>
    </cfRule>
  </conditionalFormatting>
  <conditionalFormatting sqref="M5:M251">
    <cfRule type="expression" dxfId="5" priority="4">
      <formula>ISNUMBER(SEARCH("A",M5))</formula>
    </cfRule>
    <cfRule type="expression" dxfId="4" priority="5">
      <formula>ISNUMBER(SEARCH("B",M5))</formula>
    </cfRule>
  </conditionalFormatting>
  <dataValidations count="2">
    <dataValidation type="list" allowBlank="1" showErrorMessage="1" errorTitle="Valor inválido" error="Valor fora da lista controlada (ver folha Listas)." sqref="I5:I251" xr:uid="{00000000-0002-0000-0A00-000000000000}">
      <formula1>lst_Estado</formula1>
    </dataValidation>
    <dataValidation type="list" allowBlank="1" showErrorMessage="1" errorTitle="Valor inválido" error="Valor fora da lista controlada (ver folha Listas)." sqref="M5:M251" xr:uid="{00000000-0002-0000-0A00-000001000000}">
      <formula1>lst_Classe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H14"/>
  <sheetViews>
    <sheetView showGridLines="0" workbookViewId="0"/>
  </sheetViews>
  <sheetFormatPr defaultRowHeight="14.4" x14ac:dyDescent="0.3"/>
  <cols>
    <col min="1" max="1" width="10" customWidth="1"/>
    <col min="2" max="2" width="26" customWidth="1"/>
    <col min="3" max="3" width="11" customWidth="1"/>
    <col min="4" max="6" width="10" customWidth="1"/>
    <col min="7" max="7" width="11" customWidth="1"/>
    <col min="8" max="8" width="14" customWidth="1"/>
  </cols>
  <sheetData>
    <row r="1" spans="1:8" ht="17.399999999999999" x14ac:dyDescent="0.3">
      <c r="A1" s="1" t="s">
        <v>1549</v>
      </c>
    </row>
    <row r="2" spans="1:8" x14ac:dyDescent="0.3">
      <c r="A2" s="2" t="s">
        <v>1550</v>
      </c>
    </row>
    <row r="3" spans="1:8" ht="26.4" x14ac:dyDescent="0.3">
      <c r="A3" s="8" t="s">
        <v>1551</v>
      </c>
      <c r="B3" s="8" t="s">
        <v>328</v>
      </c>
      <c r="C3" s="8" t="s">
        <v>1552</v>
      </c>
      <c r="D3" s="8" t="s">
        <v>1325</v>
      </c>
      <c r="E3" s="8" t="s">
        <v>1357</v>
      </c>
      <c r="F3" s="8" t="s">
        <v>1553</v>
      </c>
      <c r="G3" s="8" t="s">
        <v>1554</v>
      </c>
      <c r="H3" s="8" t="s">
        <v>1555</v>
      </c>
    </row>
    <row r="4" spans="1:8" x14ac:dyDescent="0.3">
      <c r="A4" s="16" t="s">
        <v>1556</v>
      </c>
      <c r="B4" s="16" t="s">
        <v>1557</v>
      </c>
      <c r="C4" s="12">
        <f>COUNTIF(tbl_matriz_iso[Grupo],A4)</f>
        <v>5</v>
      </c>
      <c r="D4" s="12">
        <f>COUNTIFS(tbl_matriz_iso[Grupo],A4,tbl_matriz_iso[Estado],"Conforme")</f>
        <v>5</v>
      </c>
      <c r="E4" s="12">
        <f>COUNTIFS(tbl_matriz_iso[Grupo],A4,tbl_matriz_iso[Estado],"Parcial")</f>
        <v>0</v>
      </c>
      <c r="F4" s="12">
        <f>COUNTIFS(tbl_matriz_iso[Grupo],A4,tbl_matriz_iso[Estado],"Lacuna")</f>
        <v>0</v>
      </c>
      <c r="G4" s="12">
        <f>COUNTIFS(tbl_matriz_iso[Grupo],A4,tbl_matriz_iso[Novo_ou_Alterado_2026],"Sim")</f>
        <v>1</v>
      </c>
      <c r="H4" s="17">
        <f>IFERROR(SUMIFS(tbl_matriz_iso[Pontos],tbl_matriz_iso[Grupo],A4)/C4,"")</f>
        <v>1</v>
      </c>
    </row>
    <row r="5" spans="1:8" x14ac:dyDescent="0.3">
      <c r="A5" s="16" t="s">
        <v>1558</v>
      </c>
      <c r="B5" s="16" t="s">
        <v>1559</v>
      </c>
      <c r="C5" s="12">
        <f>COUNTIF(tbl_matriz_iso[Grupo],A5)</f>
        <v>6</v>
      </c>
      <c r="D5" s="12">
        <f>COUNTIFS(tbl_matriz_iso[Grupo],A5,tbl_matriz_iso[Estado],"Conforme")</f>
        <v>5</v>
      </c>
      <c r="E5" s="12">
        <f>COUNTIFS(tbl_matriz_iso[Grupo],A5,tbl_matriz_iso[Estado],"Parcial")</f>
        <v>1</v>
      </c>
      <c r="F5" s="12">
        <f>COUNTIFS(tbl_matriz_iso[Grupo],A5,tbl_matriz_iso[Estado],"Lacuna")</f>
        <v>0</v>
      </c>
      <c r="G5" s="12">
        <f>COUNTIFS(tbl_matriz_iso[Grupo],A5,tbl_matriz_iso[Novo_ou_Alterado_2026],"Sim")</f>
        <v>2</v>
      </c>
      <c r="H5" s="17">
        <f>IFERROR(SUMIFS(tbl_matriz_iso[Pontos],tbl_matriz_iso[Grupo],A5)/C5,"")</f>
        <v>0.91666666666666663</v>
      </c>
    </row>
    <row r="6" spans="1:8" x14ac:dyDescent="0.3">
      <c r="A6" s="16" t="s">
        <v>1560</v>
      </c>
      <c r="B6" s="16" t="s">
        <v>1561</v>
      </c>
      <c r="C6" s="12">
        <f>COUNTIF(tbl_matriz_iso[Grupo],A6)</f>
        <v>5</v>
      </c>
      <c r="D6" s="12">
        <f>COUNTIFS(tbl_matriz_iso[Grupo],A6,tbl_matriz_iso[Estado],"Conforme")</f>
        <v>3</v>
      </c>
      <c r="E6" s="12">
        <f>COUNTIFS(tbl_matriz_iso[Grupo],A6,tbl_matriz_iso[Estado],"Parcial")</f>
        <v>2</v>
      </c>
      <c r="F6" s="12">
        <f>COUNTIFS(tbl_matriz_iso[Grupo],A6,tbl_matriz_iso[Estado],"Lacuna")</f>
        <v>0</v>
      </c>
      <c r="G6" s="12">
        <f>COUNTIFS(tbl_matriz_iso[Grupo],A6,tbl_matriz_iso[Novo_ou_Alterado_2026],"Sim")</f>
        <v>1</v>
      </c>
      <c r="H6" s="17">
        <f>IFERROR(SUMIFS(tbl_matriz_iso[Pontos],tbl_matriz_iso[Grupo],A6)/C6,"")</f>
        <v>0.8</v>
      </c>
    </row>
    <row r="7" spans="1:8" x14ac:dyDescent="0.3">
      <c r="A7" s="16" t="s">
        <v>1562</v>
      </c>
      <c r="B7" s="16" t="s">
        <v>1098</v>
      </c>
      <c r="C7" s="12">
        <f>COUNTIF(tbl_matriz_iso[Grupo],A7)</f>
        <v>9</v>
      </c>
      <c r="D7" s="12">
        <f>COUNTIFS(tbl_matriz_iso[Grupo],A7,tbl_matriz_iso[Estado],"Conforme")</f>
        <v>9</v>
      </c>
      <c r="E7" s="12">
        <f>COUNTIFS(tbl_matriz_iso[Grupo],A7,tbl_matriz_iso[Estado],"Parcial")</f>
        <v>0</v>
      </c>
      <c r="F7" s="12">
        <f>COUNTIFS(tbl_matriz_iso[Grupo],A7,tbl_matriz_iso[Estado],"Lacuna")</f>
        <v>0</v>
      </c>
      <c r="G7" s="12">
        <f>COUNTIFS(tbl_matriz_iso[Grupo],A7,tbl_matriz_iso[Novo_ou_Alterado_2026],"Sim")</f>
        <v>0</v>
      </c>
      <c r="H7" s="17">
        <f>IFERROR(SUMIFS(tbl_matriz_iso[Pontos],tbl_matriz_iso[Grupo],A7)/C7,"")</f>
        <v>1</v>
      </c>
    </row>
    <row r="8" spans="1:8" x14ac:dyDescent="0.3">
      <c r="A8" s="16" t="s">
        <v>1563</v>
      </c>
      <c r="B8" s="16" t="s">
        <v>1564</v>
      </c>
      <c r="C8" s="12">
        <f>COUNTIF(tbl_matriz_iso[Grupo],A8)</f>
        <v>15</v>
      </c>
      <c r="D8" s="12">
        <f>COUNTIFS(tbl_matriz_iso[Grupo],A8,tbl_matriz_iso[Estado],"Conforme")</f>
        <v>11</v>
      </c>
      <c r="E8" s="12">
        <f>COUNTIFS(tbl_matriz_iso[Grupo],A8,tbl_matriz_iso[Estado],"Parcial")</f>
        <v>4</v>
      </c>
      <c r="F8" s="12">
        <f>COUNTIFS(tbl_matriz_iso[Grupo],A8,tbl_matriz_iso[Estado],"Lacuna")</f>
        <v>0</v>
      </c>
      <c r="G8" s="12">
        <f>COUNTIFS(tbl_matriz_iso[Grupo],A8,tbl_matriz_iso[Novo_ou_Alterado_2026],"Sim")</f>
        <v>1</v>
      </c>
      <c r="H8" s="17">
        <f>IFERROR(SUMIFS(tbl_matriz_iso[Pontos],tbl_matriz_iso[Grupo],A8)/C8,"")</f>
        <v>0.8666666666666667</v>
      </c>
    </row>
    <row r="9" spans="1:8" x14ac:dyDescent="0.3">
      <c r="A9" s="16" t="s">
        <v>1565</v>
      </c>
      <c r="B9" s="16" t="s">
        <v>1566</v>
      </c>
      <c r="C9" s="12">
        <f>COUNTIF(tbl_matriz_iso[Grupo],A9)</f>
        <v>5</v>
      </c>
      <c r="D9" s="12">
        <f>COUNTIFS(tbl_matriz_iso[Grupo],A9,tbl_matriz_iso[Estado],"Conforme")</f>
        <v>5</v>
      </c>
      <c r="E9" s="12">
        <f>COUNTIFS(tbl_matriz_iso[Grupo],A9,tbl_matriz_iso[Estado],"Parcial")</f>
        <v>0</v>
      </c>
      <c r="F9" s="12">
        <f>COUNTIFS(tbl_matriz_iso[Grupo],A9,tbl_matriz_iso[Estado],"Lacuna")</f>
        <v>0</v>
      </c>
      <c r="G9" s="12">
        <f>COUNTIFS(tbl_matriz_iso[Grupo],A9,tbl_matriz_iso[Novo_ou_Alterado_2026],"Sim")</f>
        <v>0</v>
      </c>
      <c r="H9" s="17">
        <f>IFERROR(SUMIFS(tbl_matriz_iso[Pontos],tbl_matriz_iso[Grupo],A9)/C9,"")</f>
        <v>1</v>
      </c>
    </row>
    <row r="10" spans="1:8" x14ac:dyDescent="0.3">
      <c r="A10" s="16" t="s">
        <v>1567</v>
      </c>
      <c r="B10" s="16" t="s">
        <v>1568</v>
      </c>
      <c r="C10" s="12">
        <f>COUNTIF(tbl_matriz_iso[Grupo],A10)</f>
        <v>2</v>
      </c>
      <c r="D10" s="12">
        <f>COUNTIFS(tbl_matriz_iso[Grupo],A10,tbl_matriz_iso[Estado],"Conforme")</f>
        <v>1</v>
      </c>
      <c r="E10" s="12">
        <f>COUNTIFS(tbl_matriz_iso[Grupo],A10,tbl_matriz_iso[Estado],"Parcial")</f>
        <v>1</v>
      </c>
      <c r="F10" s="12">
        <f>COUNTIFS(tbl_matriz_iso[Grupo],A10,tbl_matriz_iso[Estado],"Lacuna")</f>
        <v>0</v>
      </c>
      <c r="G10" s="12">
        <f>COUNTIFS(tbl_matriz_iso[Grupo],A10,tbl_matriz_iso[Novo_ou_Alterado_2026],"Sim")</f>
        <v>0</v>
      </c>
      <c r="H10" s="17">
        <f>IFERROR(SUMIFS(tbl_matriz_iso[Pontos],tbl_matriz_iso[Grupo],A10)/C10,"")</f>
        <v>0.75</v>
      </c>
    </row>
    <row r="11" spans="1:8" x14ac:dyDescent="0.3">
      <c r="A11" s="18" t="s">
        <v>1569</v>
      </c>
      <c r="C11" s="19">
        <f>SUM(C4:C10)</f>
        <v>47</v>
      </c>
      <c r="D11" s="19">
        <f>SUM(D4:D10)</f>
        <v>39</v>
      </c>
      <c r="E11" s="19">
        <f>SUM(E4:E10)</f>
        <v>8</v>
      </c>
      <c r="F11" s="19">
        <f>SUM(F4:F10)</f>
        <v>0</v>
      </c>
      <c r="G11" s="19">
        <f>SUM(G4:G10)</f>
        <v>5</v>
      </c>
      <c r="H11" s="20">
        <f>IFERROR(SUM(tbl_matriz_iso[Pontos])/C11,"")</f>
        <v>0.91489361702127658</v>
      </c>
    </row>
    <row r="13" spans="1:8" ht="92.4" x14ac:dyDescent="0.3">
      <c r="A13" s="6" t="s">
        <v>1570</v>
      </c>
      <c r="C13" s="21">
        <f>COUNTIF(tbl_matriz_iso[Classe],"A")</f>
        <v>3</v>
      </c>
    </row>
    <row r="14" spans="1:8" ht="52.8" x14ac:dyDescent="0.3">
      <c r="A14" s="6" t="s">
        <v>1571</v>
      </c>
      <c r="C14" s="21">
        <f>COUNTIF(tbl_matriz_iso[Classe],"B")</f>
        <v>19</v>
      </c>
    </row>
  </sheetData>
  <conditionalFormatting sqref="H4:H11">
    <cfRule type="expression" dxfId="3" priority="1">
      <formula>H4&lt;0.75</formula>
    </cfRule>
  </conditionalFormatting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3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0" customWidth="1"/>
    <col min="3" max="3" width="13" customWidth="1"/>
    <col min="4" max="4" width="7" customWidth="1"/>
    <col min="5" max="5" width="14" customWidth="1"/>
    <col min="6" max="6" width="7" customWidth="1"/>
    <col min="7" max="7" width="34" customWidth="1"/>
    <col min="8" max="8" width="22" customWidth="1"/>
    <col min="9" max="9" width="18" customWidth="1"/>
    <col min="10" max="10" width="14" customWidth="1"/>
    <col min="11" max="11" width="22" customWidth="1"/>
    <col min="12" max="12" width="16" customWidth="1"/>
    <col min="13" max="13" width="34" customWidth="1"/>
    <col min="14" max="14" width="28" customWidth="1"/>
  </cols>
  <sheetData>
    <row r="1" spans="1:14" ht="17.399999999999999" x14ac:dyDescent="0.3">
      <c r="A1" s="1" t="s">
        <v>1572</v>
      </c>
    </row>
    <row r="2" spans="1:14" x14ac:dyDescent="0.3">
      <c r="A2" s="2" t="s">
        <v>1573</v>
      </c>
    </row>
    <row r="4" spans="1:14" ht="39.6" x14ac:dyDescent="0.3">
      <c r="A4" s="8" t="s">
        <v>81</v>
      </c>
      <c r="B4" s="8" t="s">
        <v>1574</v>
      </c>
      <c r="C4" s="8" t="s">
        <v>361</v>
      </c>
      <c r="D4" s="8" t="s">
        <v>342</v>
      </c>
      <c r="E4" s="8" t="s">
        <v>693</v>
      </c>
      <c r="F4" s="8" t="s">
        <v>1575</v>
      </c>
      <c r="G4" s="8" t="s">
        <v>339</v>
      </c>
      <c r="H4" s="8" t="s">
        <v>385</v>
      </c>
      <c r="I4" s="8" t="s">
        <v>1576</v>
      </c>
      <c r="J4" s="8" t="s">
        <v>370</v>
      </c>
      <c r="K4" s="8" t="s">
        <v>1577</v>
      </c>
      <c r="L4" s="8" t="s">
        <v>1578</v>
      </c>
      <c r="M4" s="8" t="s">
        <v>1579</v>
      </c>
      <c r="N4" s="8" t="s">
        <v>1580</v>
      </c>
    </row>
    <row r="5" spans="1:14" ht="30" customHeight="1" x14ac:dyDescent="0.3">
      <c r="A5" s="9" t="s">
        <v>1581</v>
      </c>
      <c r="B5" s="9" t="s">
        <v>1582</v>
      </c>
      <c r="C5" s="9" t="s">
        <v>696</v>
      </c>
      <c r="D5" s="9" t="s">
        <v>1057</v>
      </c>
      <c r="E5" s="9" t="s">
        <v>1162</v>
      </c>
      <c r="F5" s="9" t="s">
        <v>1342</v>
      </c>
      <c r="G5" s="9" t="s">
        <v>1583</v>
      </c>
      <c r="H5" s="9" t="s">
        <v>11</v>
      </c>
      <c r="I5" s="9" t="s">
        <v>1061</v>
      </c>
      <c r="J5" s="9" t="s">
        <v>1584</v>
      </c>
      <c r="K5" s="9" t="s">
        <v>1585</v>
      </c>
      <c r="L5" s="9" t="s">
        <v>1586</v>
      </c>
      <c r="M5" s="9" t="s">
        <v>1587</v>
      </c>
      <c r="N5" s="9" t="s">
        <v>1588</v>
      </c>
    </row>
    <row r="6" spans="1:14" ht="30" customHeight="1" x14ac:dyDescent="0.3">
      <c r="A6" s="9" t="s">
        <v>1589</v>
      </c>
      <c r="B6" s="9" t="s">
        <v>1174</v>
      </c>
      <c r="C6" s="9" t="s">
        <v>696</v>
      </c>
      <c r="D6" s="9" t="s">
        <v>1057</v>
      </c>
      <c r="E6" s="9" t="s">
        <v>1590</v>
      </c>
      <c r="F6" s="9" t="s">
        <v>1342</v>
      </c>
      <c r="G6" s="9" t="s">
        <v>1591</v>
      </c>
      <c r="H6" s="9" t="s">
        <v>1061</v>
      </c>
      <c r="I6" s="9" t="s">
        <v>1061</v>
      </c>
      <c r="J6" s="9" t="s">
        <v>1584</v>
      </c>
      <c r="K6" s="9" t="s">
        <v>1585</v>
      </c>
      <c r="L6" s="9" t="s">
        <v>1592</v>
      </c>
      <c r="M6" s="9" t="s">
        <v>1593</v>
      </c>
      <c r="N6" s="9" t="s">
        <v>1594</v>
      </c>
    </row>
    <row r="7" spans="1:14" ht="30" customHeight="1" x14ac:dyDescent="0.3">
      <c r="A7" s="9" t="s">
        <v>1595</v>
      </c>
      <c r="B7" s="9" t="s">
        <v>1596</v>
      </c>
      <c r="C7" s="9" t="s">
        <v>696</v>
      </c>
      <c r="D7" s="9" t="s">
        <v>1057</v>
      </c>
      <c r="E7" s="9" t="s">
        <v>1597</v>
      </c>
      <c r="F7" s="9" t="s">
        <v>1342</v>
      </c>
      <c r="G7" s="9" t="s">
        <v>1598</v>
      </c>
      <c r="H7" s="9" t="s">
        <v>11</v>
      </c>
      <c r="I7" s="9" t="s">
        <v>1061</v>
      </c>
      <c r="J7" s="9" t="s">
        <v>1584</v>
      </c>
      <c r="K7" s="9" t="s">
        <v>1599</v>
      </c>
      <c r="L7" s="9" t="s">
        <v>1600</v>
      </c>
      <c r="M7" s="9" t="s">
        <v>1395</v>
      </c>
      <c r="N7" s="9" t="s">
        <v>1601</v>
      </c>
    </row>
    <row r="8" spans="1:14" ht="30" customHeight="1" x14ac:dyDescent="0.3">
      <c r="A8" s="9" t="s">
        <v>1602</v>
      </c>
      <c r="B8" s="9" t="s">
        <v>1603</v>
      </c>
      <c r="C8" s="9" t="s">
        <v>696</v>
      </c>
      <c r="D8" s="9" t="s">
        <v>1295</v>
      </c>
      <c r="E8" s="9" t="s">
        <v>1604</v>
      </c>
      <c r="F8" s="9" t="s">
        <v>1342</v>
      </c>
      <c r="G8" s="9" t="s">
        <v>1605</v>
      </c>
      <c r="H8" s="9" t="s">
        <v>11</v>
      </c>
      <c r="I8" s="9" t="s">
        <v>1114</v>
      </c>
      <c r="J8" s="9" t="s">
        <v>1606</v>
      </c>
      <c r="K8" s="9" t="s">
        <v>1585</v>
      </c>
      <c r="L8" s="9" t="s">
        <v>1607</v>
      </c>
      <c r="M8" s="9" t="s">
        <v>1608</v>
      </c>
      <c r="N8" s="9" t="s">
        <v>1609</v>
      </c>
    </row>
    <row r="9" spans="1:14" ht="30" customHeight="1" x14ac:dyDescent="0.3">
      <c r="A9" s="9" t="s">
        <v>1610</v>
      </c>
      <c r="B9" s="9" t="s">
        <v>1611</v>
      </c>
      <c r="C9" s="9" t="s">
        <v>847</v>
      </c>
      <c r="D9" s="9" t="s">
        <v>1295</v>
      </c>
      <c r="E9" s="9" t="s">
        <v>1612</v>
      </c>
      <c r="F9" s="9" t="s">
        <v>1418</v>
      </c>
      <c r="G9" s="9" t="s">
        <v>1613</v>
      </c>
      <c r="H9" s="9" t="s">
        <v>1073</v>
      </c>
      <c r="I9" s="9" t="s">
        <v>1060</v>
      </c>
      <c r="J9" s="9" t="s">
        <v>1614</v>
      </c>
      <c r="K9" s="9" t="s">
        <v>1599</v>
      </c>
      <c r="L9" s="9" t="s">
        <v>1615</v>
      </c>
      <c r="M9" s="9" t="s">
        <v>1616</v>
      </c>
      <c r="N9" s="9" t="s">
        <v>1218</v>
      </c>
    </row>
    <row r="10" spans="1:14" ht="30" customHeight="1" x14ac:dyDescent="0.3">
      <c r="A10" s="9" t="s">
        <v>1617</v>
      </c>
      <c r="B10" s="9" t="s">
        <v>1618</v>
      </c>
      <c r="C10" s="9" t="s">
        <v>847</v>
      </c>
      <c r="D10" s="9" t="s">
        <v>1101</v>
      </c>
      <c r="E10" s="9" t="s">
        <v>1201</v>
      </c>
      <c r="F10" s="9" t="s">
        <v>1418</v>
      </c>
      <c r="G10" s="9" t="s">
        <v>1619</v>
      </c>
      <c r="H10" s="9" t="s">
        <v>11</v>
      </c>
      <c r="I10" s="9" t="s">
        <v>1060</v>
      </c>
      <c r="J10" s="9" t="s">
        <v>1614</v>
      </c>
      <c r="K10" s="9" t="s">
        <v>1620</v>
      </c>
      <c r="L10" s="9" t="s">
        <v>1621</v>
      </c>
      <c r="M10" s="9" t="s">
        <v>1622</v>
      </c>
      <c r="N10" s="9" t="s">
        <v>1623</v>
      </c>
    </row>
    <row r="11" spans="1:14" ht="30" customHeight="1" x14ac:dyDescent="0.3">
      <c r="A11" s="9" t="s">
        <v>1624</v>
      </c>
      <c r="B11" s="9" t="s">
        <v>1625</v>
      </c>
      <c r="C11" s="9" t="s">
        <v>847</v>
      </c>
      <c r="D11" s="9" t="s">
        <v>1101</v>
      </c>
      <c r="E11" s="9" t="s">
        <v>1626</v>
      </c>
      <c r="F11" s="9" t="s">
        <v>1418</v>
      </c>
      <c r="G11" s="9" t="s">
        <v>1627</v>
      </c>
      <c r="H11" s="9" t="s">
        <v>11</v>
      </c>
      <c r="I11" s="9" t="s">
        <v>1060</v>
      </c>
      <c r="J11" s="9" t="s">
        <v>1628</v>
      </c>
      <c r="K11" s="9" t="s">
        <v>1620</v>
      </c>
      <c r="L11" s="9" t="s">
        <v>1629</v>
      </c>
      <c r="M11" s="9" t="s">
        <v>1630</v>
      </c>
      <c r="N11" s="9" t="s">
        <v>1249</v>
      </c>
    </row>
    <row r="12" spans="1:14" ht="30" customHeight="1" x14ac:dyDescent="0.3">
      <c r="A12" s="9" t="s">
        <v>1631</v>
      </c>
      <c r="B12" s="9" t="s">
        <v>1632</v>
      </c>
      <c r="C12" s="9" t="s">
        <v>847</v>
      </c>
      <c r="D12" s="9" t="s">
        <v>1104</v>
      </c>
      <c r="E12" s="9" t="s">
        <v>1208</v>
      </c>
      <c r="F12" s="9" t="s">
        <v>1418</v>
      </c>
      <c r="G12" s="9" t="s">
        <v>1633</v>
      </c>
      <c r="H12" s="9" t="s">
        <v>1106</v>
      </c>
      <c r="I12" s="9" t="s">
        <v>1060</v>
      </c>
      <c r="J12" s="9" t="s">
        <v>1634</v>
      </c>
      <c r="K12" s="9" t="s">
        <v>1635</v>
      </c>
      <c r="L12" s="9" t="s">
        <v>1636</v>
      </c>
      <c r="M12" s="9" t="s">
        <v>1430</v>
      </c>
      <c r="N12" s="9" t="s">
        <v>1637</v>
      </c>
    </row>
    <row r="13" spans="1:14" ht="30" customHeight="1" x14ac:dyDescent="0.3">
      <c r="A13" s="9" t="s">
        <v>1638</v>
      </c>
      <c r="B13" s="9" t="s">
        <v>1639</v>
      </c>
      <c r="C13" s="9" t="s">
        <v>847</v>
      </c>
      <c r="D13" s="9" t="s">
        <v>1064</v>
      </c>
      <c r="E13" s="9" t="s">
        <v>1640</v>
      </c>
      <c r="F13" s="9" t="s">
        <v>1418</v>
      </c>
      <c r="G13" s="9" t="s">
        <v>1641</v>
      </c>
      <c r="H13" s="9" t="s">
        <v>1067</v>
      </c>
      <c r="I13" s="9" t="s">
        <v>1060</v>
      </c>
      <c r="J13" s="9" t="s">
        <v>1642</v>
      </c>
      <c r="K13" s="9" t="s">
        <v>1643</v>
      </c>
      <c r="L13" s="9" t="s">
        <v>1644</v>
      </c>
      <c r="M13" s="9" t="s">
        <v>1462</v>
      </c>
      <c r="N13" s="9" t="s">
        <v>1060</v>
      </c>
    </row>
    <row r="14" spans="1:14" ht="30" customHeight="1" x14ac:dyDescent="0.3">
      <c r="A14" s="9" t="s">
        <v>1645</v>
      </c>
      <c r="B14" s="9" t="s">
        <v>1646</v>
      </c>
      <c r="C14" s="9" t="s">
        <v>847</v>
      </c>
      <c r="D14" s="9" t="s">
        <v>1068</v>
      </c>
      <c r="E14" s="9" t="s">
        <v>1647</v>
      </c>
      <c r="F14" s="9" t="s">
        <v>1418</v>
      </c>
      <c r="G14" s="9" t="s">
        <v>1648</v>
      </c>
      <c r="H14" s="9" t="s">
        <v>1070</v>
      </c>
      <c r="I14" s="9" t="s">
        <v>1114</v>
      </c>
      <c r="J14" s="9" t="s">
        <v>1649</v>
      </c>
      <c r="K14" s="9" t="s">
        <v>1650</v>
      </c>
      <c r="L14" s="9" t="s">
        <v>1651</v>
      </c>
      <c r="M14" s="9" t="s">
        <v>136</v>
      </c>
      <c r="N14" s="9" t="s">
        <v>1652</v>
      </c>
    </row>
    <row r="15" spans="1:14" ht="30" customHeight="1" x14ac:dyDescent="0.3">
      <c r="A15" s="9" t="s">
        <v>1653</v>
      </c>
      <c r="B15" s="9" t="s">
        <v>1654</v>
      </c>
      <c r="C15" s="9" t="s">
        <v>847</v>
      </c>
      <c r="D15" s="9" t="s">
        <v>1074</v>
      </c>
      <c r="E15" s="9" t="s">
        <v>1655</v>
      </c>
      <c r="F15" s="9" t="s">
        <v>1418</v>
      </c>
      <c r="G15" s="9" t="s">
        <v>1656</v>
      </c>
      <c r="H15" s="9" t="s">
        <v>1076</v>
      </c>
      <c r="I15" s="9" t="s">
        <v>11</v>
      </c>
      <c r="J15" s="9" t="s">
        <v>1657</v>
      </c>
      <c r="K15" s="9" t="s">
        <v>1599</v>
      </c>
      <c r="L15" s="9" t="s">
        <v>1621</v>
      </c>
      <c r="M15" s="9" t="s">
        <v>141</v>
      </c>
      <c r="N15" s="9" t="s">
        <v>1658</v>
      </c>
    </row>
    <row r="16" spans="1:14" ht="30" customHeight="1" x14ac:dyDescent="0.3">
      <c r="A16" s="9" t="s">
        <v>1659</v>
      </c>
      <c r="B16" s="9" t="s">
        <v>1660</v>
      </c>
      <c r="C16" s="9" t="s">
        <v>847</v>
      </c>
      <c r="D16" s="9" t="s">
        <v>1092</v>
      </c>
      <c r="E16" s="9" t="s">
        <v>1661</v>
      </c>
      <c r="F16" s="9" t="s">
        <v>1418</v>
      </c>
      <c r="G16" s="9" t="s">
        <v>1662</v>
      </c>
      <c r="H16" s="9" t="s">
        <v>11</v>
      </c>
      <c r="I16" s="9" t="s">
        <v>1060</v>
      </c>
      <c r="J16" s="9" t="s">
        <v>1663</v>
      </c>
      <c r="K16" s="9" t="s">
        <v>1664</v>
      </c>
      <c r="L16" s="9" t="s">
        <v>1665</v>
      </c>
      <c r="M16" s="9" t="s">
        <v>1666</v>
      </c>
      <c r="N16" s="9" t="s">
        <v>1060</v>
      </c>
    </row>
    <row r="17" spans="1:14" ht="30" customHeight="1" x14ac:dyDescent="0.3">
      <c r="A17" s="9" t="s">
        <v>1667</v>
      </c>
      <c r="B17" s="9" t="s">
        <v>1668</v>
      </c>
      <c r="C17" s="9" t="s">
        <v>847</v>
      </c>
      <c r="D17" s="9" t="s">
        <v>1064</v>
      </c>
      <c r="E17" s="9" t="s">
        <v>1238</v>
      </c>
      <c r="F17" s="9" t="s">
        <v>1418</v>
      </c>
      <c r="G17" s="9" t="s">
        <v>1669</v>
      </c>
      <c r="H17" s="9" t="s">
        <v>11</v>
      </c>
      <c r="I17" s="9" t="s">
        <v>1060</v>
      </c>
      <c r="J17" s="9" t="s">
        <v>1670</v>
      </c>
      <c r="K17" s="9" t="s">
        <v>1599</v>
      </c>
      <c r="L17" s="9" t="s">
        <v>1621</v>
      </c>
      <c r="M17" s="9" t="s">
        <v>1501</v>
      </c>
      <c r="N17" s="9" t="s">
        <v>1060</v>
      </c>
    </row>
    <row r="18" spans="1:14" ht="30" customHeight="1" x14ac:dyDescent="0.3">
      <c r="A18" s="9" t="s">
        <v>1671</v>
      </c>
      <c r="B18" s="9" t="s">
        <v>1672</v>
      </c>
      <c r="C18" s="9" t="s">
        <v>847</v>
      </c>
      <c r="D18" s="9" t="s">
        <v>1062</v>
      </c>
      <c r="E18" s="9" t="s">
        <v>1244</v>
      </c>
      <c r="F18" s="9" t="s">
        <v>1418</v>
      </c>
      <c r="G18" s="9" t="s">
        <v>1673</v>
      </c>
      <c r="H18" s="9" t="s">
        <v>11</v>
      </c>
      <c r="I18" s="9" t="s">
        <v>1114</v>
      </c>
      <c r="J18" s="9" t="s">
        <v>1674</v>
      </c>
      <c r="K18" s="9" t="s">
        <v>1675</v>
      </c>
      <c r="L18" s="9" t="s">
        <v>1621</v>
      </c>
      <c r="M18" s="9" t="s">
        <v>111</v>
      </c>
      <c r="N18" s="9" t="s">
        <v>1676</v>
      </c>
    </row>
    <row r="19" spans="1:14" ht="30" customHeight="1" x14ac:dyDescent="0.3">
      <c r="A19" s="9" t="s">
        <v>1677</v>
      </c>
      <c r="B19" s="9" t="s">
        <v>1678</v>
      </c>
      <c r="C19" s="9" t="s">
        <v>847</v>
      </c>
      <c r="D19" s="9" t="s">
        <v>1092</v>
      </c>
      <c r="E19" s="9" t="s">
        <v>1246</v>
      </c>
      <c r="F19" s="9" t="s">
        <v>1418</v>
      </c>
      <c r="G19" s="9" t="s">
        <v>1679</v>
      </c>
      <c r="H19" s="9" t="s">
        <v>11</v>
      </c>
      <c r="I19" s="9" t="s">
        <v>1060</v>
      </c>
      <c r="J19" s="9" t="s">
        <v>1663</v>
      </c>
      <c r="K19" s="9" t="s">
        <v>1680</v>
      </c>
      <c r="L19" s="9" t="s">
        <v>1681</v>
      </c>
      <c r="M19" s="9" t="s">
        <v>1512</v>
      </c>
      <c r="N19" s="9" t="s">
        <v>1060</v>
      </c>
    </row>
    <row r="20" spans="1:14" ht="30" customHeight="1" x14ac:dyDescent="0.3">
      <c r="A20" s="9" t="s">
        <v>1682</v>
      </c>
      <c r="B20" s="9" t="s">
        <v>1683</v>
      </c>
      <c r="C20" s="9" t="s">
        <v>847</v>
      </c>
      <c r="D20" s="9" t="s">
        <v>1092</v>
      </c>
      <c r="E20" s="9" t="s">
        <v>1684</v>
      </c>
      <c r="F20" s="9" t="s">
        <v>1418</v>
      </c>
      <c r="G20" s="9" t="s">
        <v>1685</v>
      </c>
      <c r="H20" s="9" t="s">
        <v>11</v>
      </c>
      <c r="I20" s="9" t="s">
        <v>1060</v>
      </c>
      <c r="J20" s="9" t="s">
        <v>1686</v>
      </c>
      <c r="K20" s="9" t="s">
        <v>1643</v>
      </c>
      <c r="L20" s="9" t="s">
        <v>1687</v>
      </c>
      <c r="M20" s="9" t="s">
        <v>151</v>
      </c>
      <c r="N20" s="9" t="s">
        <v>1688</v>
      </c>
    </row>
    <row r="21" spans="1:14" ht="30" customHeight="1" x14ac:dyDescent="0.3">
      <c r="A21" s="9" t="s">
        <v>1689</v>
      </c>
      <c r="B21" s="9" t="s">
        <v>1690</v>
      </c>
      <c r="C21" s="9" t="s">
        <v>847</v>
      </c>
      <c r="D21" s="9" t="s">
        <v>1062</v>
      </c>
      <c r="E21" s="9" t="s">
        <v>1249</v>
      </c>
      <c r="F21" s="9" t="s">
        <v>1418</v>
      </c>
      <c r="G21" s="9" t="s">
        <v>1691</v>
      </c>
      <c r="H21" s="9" t="s">
        <v>11</v>
      </c>
      <c r="I21" s="9" t="s">
        <v>1060</v>
      </c>
      <c r="J21" s="9" t="s">
        <v>1692</v>
      </c>
      <c r="K21" s="9" t="s">
        <v>1599</v>
      </c>
      <c r="L21" s="9" t="s">
        <v>1600</v>
      </c>
      <c r="M21" s="9" t="s">
        <v>1693</v>
      </c>
      <c r="N21" s="9" t="s">
        <v>1623</v>
      </c>
    </row>
    <row r="22" spans="1:14" ht="30" customHeight="1" x14ac:dyDescent="0.3">
      <c r="A22" s="9" t="s">
        <v>1694</v>
      </c>
      <c r="B22" s="9" t="s">
        <v>1695</v>
      </c>
      <c r="C22" s="9" t="s">
        <v>847</v>
      </c>
      <c r="D22" s="9" t="s">
        <v>1062</v>
      </c>
      <c r="E22" s="9" t="s">
        <v>1696</v>
      </c>
      <c r="F22" s="9" t="s">
        <v>1418</v>
      </c>
      <c r="G22" s="9" t="s">
        <v>1697</v>
      </c>
      <c r="H22" s="9" t="s">
        <v>11</v>
      </c>
      <c r="I22" s="9" t="s">
        <v>1061</v>
      </c>
      <c r="J22" s="9" t="s">
        <v>1698</v>
      </c>
      <c r="K22" s="9" t="s">
        <v>1699</v>
      </c>
      <c r="L22" s="9" t="s">
        <v>1621</v>
      </c>
      <c r="M22" s="9" t="s">
        <v>161</v>
      </c>
      <c r="N22" s="9" t="s">
        <v>1700</v>
      </c>
    </row>
    <row r="23" spans="1:14" ht="30" customHeight="1" x14ac:dyDescent="0.3">
      <c r="A23" s="9" t="s">
        <v>1701</v>
      </c>
      <c r="B23" s="9" t="s">
        <v>1702</v>
      </c>
      <c r="C23" s="9" t="s">
        <v>847</v>
      </c>
      <c r="D23" s="9" t="s">
        <v>1057</v>
      </c>
      <c r="E23" s="9" t="s">
        <v>1703</v>
      </c>
      <c r="F23" s="9" t="s">
        <v>1418</v>
      </c>
      <c r="G23" s="9" t="s">
        <v>1704</v>
      </c>
      <c r="H23" s="9" t="s">
        <v>11</v>
      </c>
      <c r="I23" s="9" t="s">
        <v>1061</v>
      </c>
      <c r="J23" s="9" t="s">
        <v>1705</v>
      </c>
      <c r="K23" s="9" t="s">
        <v>1706</v>
      </c>
      <c r="L23" s="9" t="s">
        <v>1707</v>
      </c>
      <c r="M23" s="9" t="s">
        <v>166</v>
      </c>
      <c r="N23" s="9" t="s">
        <v>1708</v>
      </c>
    </row>
    <row r="24" spans="1:14" ht="30" customHeight="1" x14ac:dyDescent="0.3">
      <c r="A24" s="9" t="s">
        <v>1709</v>
      </c>
      <c r="B24" s="9" t="s">
        <v>1710</v>
      </c>
      <c r="C24" s="9" t="s">
        <v>847</v>
      </c>
      <c r="D24" s="9" t="s">
        <v>1062</v>
      </c>
      <c r="E24" s="9" t="s">
        <v>1711</v>
      </c>
      <c r="F24" s="9" t="s">
        <v>1418</v>
      </c>
      <c r="G24" s="9" t="s">
        <v>1712</v>
      </c>
      <c r="H24" s="9" t="s">
        <v>11</v>
      </c>
      <c r="I24" s="9" t="s">
        <v>1060</v>
      </c>
      <c r="J24" s="9" t="s">
        <v>1686</v>
      </c>
      <c r="K24" s="9" t="s">
        <v>1599</v>
      </c>
      <c r="L24" s="9" t="s">
        <v>1713</v>
      </c>
      <c r="M24" s="9" t="s">
        <v>171</v>
      </c>
      <c r="N24" s="9" t="s">
        <v>1688</v>
      </c>
    </row>
    <row r="25" spans="1:14" ht="30" customHeight="1" x14ac:dyDescent="0.3">
      <c r="A25" s="9" t="s">
        <v>1714</v>
      </c>
      <c r="B25" s="9" t="s">
        <v>1715</v>
      </c>
      <c r="C25" s="9" t="s">
        <v>1716</v>
      </c>
      <c r="D25" s="9" t="s">
        <v>1057</v>
      </c>
      <c r="E25" s="9" t="s">
        <v>1717</v>
      </c>
      <c r="F25" s="9" t="s">
        <v>1327</v>
      </c>
      <c r="G25" s="9" t="s">
        <v>1718</v>
      </c>
      <c r="H25" s="9" t="s">
        <v>11</v>
      </c>
      <c r="I25" s="9" t="s">
        <v>1061</v>
      </c>
      <c r="J25" s="9" t="s">
        <v>1705</v>
      </c>
      <c r="K25" s="9" t="s">
        <v>1599</v>
      </c>
      <c r="L25" s="9" t="s">
        <v>1621</v>
      </c>
      <c r="M25" s="9" t="s">
        <v>86</v>
      </c>
      <c r="N25" s="9" t="s">
        <v>1719</v>
      </c>
    </row>
    <row r="26" spans="1:14" ht="30" customHeight="1" x14ac:dyDescent="0.3">
      <c r="A26" s="9" t="s">
        <v>1720</v>
      </c>
      <c r="B26" s="9" t="s">
        <v>1721</v>
      </c>
      <c r="C26" s="9" t="s">
        <v>1716</v>
      </c>
      <c r="D26" s="9" t="s">
        <v>1062</v>
      </c>
      <c r="E26" s="9" t="s">
        <v>1722</v>
      </c>
      <c r="F26" s="9" t="s">
        <v>1327</v>
      </c>
      <c r="G26" s="9" t="s">
        <v>1723</v>
      </c>
      <c r="H26" s="9" t="s">
        <v>11</v>
      </c>
      <c r="I26" s="9" t="s">
        <v>1114</v>
      </c>
      <c r="J26" s="9" t="s">
        <v>1584</v>
      </c>
      <c r="K26" s="9" t="s">
        <v>1599</v>
      </c>
      <c r="L26" s="9" t="s">
        <v>1621</v>
      </c>
      <c r="M26" s="9" t="s">
        <v>91</v>
      </c>
      <c r="N26" s="9" t="s">
        <v>1165</v>
      </c>
    </row>
    <row r="27" spans="1:14" ht="30" customHeight="1" x14ac:dyDescent="0.3">
      <c r="A27" s="9" t="s">
        <v>1724</v>
      </c>
      <c r="B27" s="9" t="s">
        <v>1725</v>
      </c>
      <c r="C27" s="9" t="s">
        <v>1716</v>
      </c>
      <c r="D27" s="9" t="s">
        <v>1062</v>
      </c>
      <c r="E27" s="9" t="s">
        <v>1726</v>
      </c>
      <c r="F27" s="9" t="s">
        <v>1327</v>
      </c>
      <c r="G27" s="9" t="s">
        <v>1727</v>
      </c>
      <c r="H27" s="9" t="s">
        <v>11</v>
      </c>
      <c r="I27" s="9" t="s">
        <v>1061</v>
      </c>
      <c r="J27" s="9" t="s">
        <v>1728</v>
      </c>
      <c r="K27" s="9" t="s">
        <v>1599</v>
      </c>
      <c r="L27" s="9" t="s">
        <v>1621</v>
      </c>
      <c r="M27" s="9" t="s">
        <v>1381</v>
      </c>
      <c r="N27" s="9" t="s">
        <v>1729</v>
      </c>
    </row>
    <row r="28" spans="1:14" ht="30" customHeight="1" x14ac:dyDescent="0.3">
      <c r="A28" s="9" t="s">
        <v>1730</v>
      </c>
      <c r="B28" s="9" t="s">
        <v>224</v>
      </c>
      <c r="C28" s="9" t="s">
        <v>1716</v>
      </c>
      <c r="D28" s="9" t="s">
        <v>1062</v>
      </c>
      <c r="E28" s="9" t="s">
        <v>1190</v>
      </c>
      <c r="F28" s="9" t="s">
        <v>1327</v>
      </c>
      <c r="G28" s="9" t="s">
        <v>1731</v>
      </c>
      <c r="H28" s="9" t="s">
        <v>11</v>
      </c>
      <c r="I28" s="9" t="s">
        <v>1114</v>
      </c>
      <c r="J28" s="9" t="s">
        <v>1674</v>
      </c>
      <c r="K28" s="9" t="s">
        <v>1599</v>
      </c>
      <c r="L28" s="9" t="s">
        <v>1621</v>
      </c>
      <c r="M28" s="9" t="s">
        <v>111</v>
      </c>
      <c r="N28" s="9" t="s">
        <v>1676</v>
      </c>
    </row>
    <row r="29" spans="1:14" ht="30" customHeight="1" x14ac:dyDescent="0.3">
      <c r="A29" s="9" t="s">
        <v>1732</v>
      </c>
      <c r="B29" s="9" t="s">
        <v>1733</v>
      </c>
      <c r="C29" s="9" t="s">
        <v>1716</v>
      </c>
      <c r="D29" s="9" t="s">
        <v>1057</v>
      </c>
      <c r="E29" s="9" t="s">
        <v>1354</v>
      </c>
      <c r="F29" s="9" t="s">
        <v>1327</v>
      </c>
      <c r="G29" s="9" t="s">
        <v>1734</v>
      </c>
      <c r="H29" s="9" t="s">
        <v>1061</v>
      </c>
      <c r="I29" s="9" t="s">
        <v>1061</v>
      </c>
      <c r="J29" s="9" t="s">
        <v>1705</v>
      </c>
      <c r="K29" s="9" t="s">
        <v>1599</v>
      </c>
      <c r="L29" s="9" t="s">
        <v>1621</v>
      </c>
      <c r="M29" s="9" t="s">
        <v>96</v>
      </c>
      <c r="N29" s="9" t="s">
        <v>1735</v>
      </c>
    </row>
    <row r="30" spans="1:14" ht="30" customHeight="1" x14ac:dyDescent="0.3">
      <c r="A30" s="9" t="s">
        <v>1736</v>
      </c>
      <c r="B30" s="9" t="s">
        <v>1737</v>
      </c>
      <c r="C30" s="9" t="s">
        <v>1716</v>
      </c>
      <c r="D30" s="9" t="s">
        <v>1064</v>
      </c>
      <c r="E30" s="9" t="s">
        <v>1738</v>
      </c>
      <c r="F30" s="9" t="s">
        <v>1327</v>
      </c>
      <c r="G30" s="9" t="s">
        <v>1739</v>
      </c>
      <c r="H30" s="9" t="s">
        <v>1067</v>
      </c>
      <c r="I30" s="9" t="s">
        <v>1061</v>
      </c>
      <c r="J30" s="9" t="s">
        <v>1705</v>
      </c>
      <c r="K30" s="9" t="s">
        <v>1599</v>
      </c>
      <c r="L30" s="9" t="s">
        <v>1740</v>
      </c>
      <c r="M30" s="9" t="s">
        <v>156</v>
      </c>
      <c r="N30" s="9" t="s">
        <v>1741</v>
      </c>
    </row>
    <row r="31" spans="1:14" ht="30" customHeight="1" x14ac:dyDescent="0.3">
      <c r="A31" s="9" t="s">
        <v>1742</v>
      </c>
      <c r="B31" s="9" t="s">
        <v>1743</v>
      </c>
      <c r="C31" s="9" t="s">
        <v>1716</v>
      </c>
      <c r="D31" s="9" t="s">
        <v>1062</v>
      </c>
      <c r="E31" s="9" t="s">
        <v>1261</v>
      </c>
      <c r="F31" s="9" t="s">
        <v>1327</v>
      </c>
      <c r="G31" s="9" t="s">
        <v>1744</v>
      </c>
      <c r="H31" s="9" t="s">
        <v>11</v>
      </c>
      <c r="I31" s="9" t="s">
        <v>1061</v>
      </c>
      <c r="J31" s="9" t="s">
        <v>1692</v>
      </c>
      <c r="K31" s="9" t="s">
        <v>1599</v>
      </c>
      <c r="L31" s="9" t="s">
        <v>1621</v>
      </c>
      <c r="M31" s="9" t="s">
        <v>176</v>
      </c>
      <c r="N31" s="9" t="s">
        <v>1745</v>
      </c>
    </row>
  </sheetData>
  <conditionalFormatting sqref="F5:F231">
    <cfRule type="expression" dxfId="2" priority="1">
      <formula>ISNUMBER(SEARCH("A",F5))</formula>
    </cfRule>
    <cfRule type="expression" dxfId="1" priority="2">
      <formula>ISNUMBER(SEARCH("B",F5))</formula>
    </cfRule>
    <cfRule type="expression" dxfId="0" priority="3">
      <formula>ISNUMBER(SEARCH("C",F5))</formula>
    </cfRule>
  </conditionalFormatting>
  <dataValidations count="1">
    <dataValidation type="list" allowBlank="1" showErrorMessage="1" errorTitle="Valor inválido" error="Valor fora da lista controlada (ver folha Listas)." sqref="F5:F231" xr:uid="{00000000-0002-0000-0C00-000000000000}">
      <formula1>lst_Classe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2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56" customWidth="1"/>
    <col min="3" max="3" width="48" customWidth="1"/>
    <col min="4" max="4" width="60" customWidth="1"/>
    <col min="5" max="5" width="16" customWidth="1"/>
  </cols>
  <sheetData>
    <row r="1" spans="1:5" ht="17.399999999999999" x14ac:dyDescent="0.3">
      <c r="A1" s="1" t="s">
        <v>1746</v>
      </c>
    </row>
    <row r="2" spans="1:5" x14ac:dyDescent="0.3">
      <c r="A2" s="2" t="s">
        <v>1747</v>
      </c>
    </row>
    <row r="4" spans="1:5" x14ac:dyDescent="0.3">
      <c r="A4" s="8" t="s">
        <v>760</v>
      </c>
      <c r="B4" s="8" t="s">
        <v>1748</v>
      </c>
      <c r="C4" s="8" t="s">
        <v>1749</v>
      </c>
      <c r="D4" s="8" t="s">
        <v>1750</v>
      </c>
      <c r="E4" s="8" t="s">
        <v>361</v>
      </c>
    </row>
    <row r="5" spans="1:5" ht="30" customHeight="1" x14ac:dyDescent="0.3">
      <c r="A5" s="9" t="s">
        <v>1751</v>
      </c>
      <c r="B5" s="9" t="s">
        <v>1752</v>
      </c>
      <c r="C5" s="9" t="s">
        <v>1753</v>
      </c>
      <c r="D5" s="9" t="s">
        <v>1754</v>
      </c>
      <c r="E5" s="9" t="s">
        <v>1755</v>
      </c>
    </row>
    <row r="6" spans="1:5" ht="30" customHeight="1" x14ac:dyDescent="0.3">
      <c r="A6" s="9" t="s">
        <v>1756</v>
      </c>
      <c r="B6" s="9" t="s">
        <v>1757</v>
      </c>
      <c r="C6" s="9" t="s">
        <v>1758</v>
      </c>
      <c r="D6" s="9" t="s">
        <v>1759</v>
      </c>
      <c r="E6" s="9" t="s">
        <v>1760</v>
      </c>
    </row>
    <row r="7" spans="1:5" ht="30" customHeight="1" x14ac:dyDescent="0.3">
      <c r="A7" s="9" t="s">
        <v>1761</v>
      </c>
      <c r="B7" s="9" t="s">
        <v>1762</v>
      </c>
      <c r="C7" s="9" t="s">
        <v>1763</v>
      </c>
      <c r="D7" s="9" t="s">
        <v>1764</v>
      </c>
      <c r="E7" s="9" t="s">
        <v>1760</v>
      </c>
    </row>
    <row r="8" spans="1:5" ht="30" customHeight="1" x14ac:dyDescent="0.3">
      <c r="A8" s="9" t="s">
        <v>1765</v>
      </c>
      <c r="B8" s="9" t="s">
        <v>1766</v>
      </c>
      <c r="C8" s="9" t="s">
        <v>1767</v>
      </c>
      <c r="D8" s="9" t="s">
        <v>1768</v>
      </c>
      <c r="E8" s="9" t="s">
        <v>1760</v>
      </c>
    </row>
    <row r="9" spans="1:5" ht="30" customHeight="1" x14ac:dyDescent="0.3">
      <c r="A9" s="9" t="s">
        <v>1769</v>
      </c>
      <c r="B9" s="9" t="s">
        <v>1770</v>
      </c>
      <c r="C9" s="9" t="s">
        <v>1771</v>
      </c>
      <c r="D9" s="9" t="s">
        <v>1772</v>
      </c>
      <c r="E9" s="9" t="s">
        <v>1773</v>
      </c>
    </row>
    <row r="10" spans="1:5" ht="30" customHeight="1" x14ac:dyDescent="0.3">
      <c r="A10" s="9" t="s">
        <v>1774</v>
      </c>
      <c r="B10" s="9" t="s">
        <v>1775</v>
      </c>
      <c r="C10" s="9" t="s">
        <v>1776</v>
      </c>
      <c r="D10" s="9" t="s">
        <v>1777</v>
      </c>
      <c r="E10" s="9" t="s">
        <v>1773</v>
      </c>
    </row>
    <row r="11" spans="1:5" ht="30" customHeight="1" x14ac:dyDescent="0.3">
      <c r="A11" s="9" t="s">
        <v>1778</v>
      </c>
      <c r="B11" s="9" t="s">
        <v>1779</v>
      </c>
      <c r="C11" s="9" t="s">
        <v>1780</v>
      </c>
      <c r="D11" s="9" t="s">
        <v>1781</v>
      </c>
      <c r="E11" s="9" t="s">
        <v>1773</v>
      </c>
    </row>
    <row r="12" spans="1:5" ht="30" customHeight="1" x14ac:dyDescent="0.3">
      <c r="A12" s="9" t="s">
        <v>1782</v>
      </c>
      <c r="B12" s="9" t="s">
        <v>1783</v>
      </c>
      <c r="C12" s="9" t="s">
        <v>1784</v>
      </c>
      <c r="D12" s="9" t="s">
        <v>1785</v>
      </c>
      <c r="E12" s="9" t="s">
        <v>1755</v>
      </c>
    </row>
    <row r="13" spans="1:5" ht="30" customHeight="1" x14ac:dyDescent="0.3">
      <c r="A13" s="9" t="s">
        <v>1786</v>
      </c>
      <c r="B13" s="9" t="s">
        <v>1787</v>
      </c>
      <c r="C13" s="9" t="s">
        <v>1788</v>
      </c>
      <c r="D13" s="9" t="s">
        <v>1789</v>
      </c>
      <c r="E13" s="9" t="s">
        <v>1773</v>
      </c>
    </row>
    <row r="14" spans="1:5" ht="30" customHeight="1" x14ac:dyDescent="0.3">
      <c r="A14" s="9" t="s">
        <v>1790</v>
      </c>
      <c r="B14" s="9" t="s">
        <v>1791</v>
      </c>
      <c r="C14" s="9" t="s">
        <v>1792</v>
      </c>
      <c r="D14" s="9" t="s">
        <v>1793</v>
      </c>
      <c r="E14" s="9" t="s">
        <v>1773</v>
      </c>
    </row>
    <row r="15" spans="1:5" ht="30" customHeight="1" x14ac:dyDescent="0.3">
      <c r="A15" s="9" t="s">
        <v>1794</v>
      </c>
      <c r="B15" s="9" t="s">
        <v>1795</v>
      </c>
      <c r="C15" s="9" t="s">
        <v>1796</v>
      </c>
      <c r="D15" s="9" t="s">
        <v>1797</v>
      </c>
      <c r="E15" s="9" t="s">
        <v>1773</v>
      </c>
    </row>
    <row r="16" spans="1:5" ht="30" customHeight="1" x14ac:dyDescent="0.3">
      <c r="A16" s="9" t="s">
        <v>1798</v>
      </c>
      <c r="B16" s="9" t="s">
        <v>1799</v>
      </c>
      <c r="C16" s="9" t="s">
        <v>1776</v>
      </c>
      <c r="D16" s="9" t="s">
        <v>1800</v>
      </c>
      <c r="E16" s="9" t="s">
        <v>1773</v>
      </c>
    </row>
    <row r="17" spans="1:5" ht="30" customHeight="1" x14ac:dyDescent="0.3">
      <c r="A17" s="9" t="s">
        <v>1801</v>
      </c>
      <c r="B17" s="9" t="s">
        <v>1802</v>
      </c>
      <c r="C17" s="9" t="s">
        <v>1803</v>
      </c>
      <c r="D17" s="9" t="s">
        <v>1804</v>
      </c>
      <c r="E17" s="9" t="s">
        <v>1773</v>
      </c>
    </row>
    <row r="18" spans="1:5" ht="30" customHeight="1" x14ac:dyDescent="0.3">
      <c r="A18" s="9" t="s">
        <v>1805</v>
      </c>
      <c r="B18" s="9" t="s">
        <v>1806</v>
      </c>
      <c r="C18" s="9" t="s">
        <v>1776</v>
      </c>
      <c r="D18" s="9" t="s">
        <v>1807</v>
      </c>
      <c r="E18" s="9" t="s">
        <v>1808</v>
      </c>
    </row>
    <row r="19" spans="1:5" ht="30" customHeight="1" x14ac:dyDescent="0.3">
      <c r="A19" s="9" t="s">
        <v>1809</v>
      </c>
      <c r="B19" s="9" t="s">
        <v>1810</v>
      </c>
      <c r="C19" s="9" t="s">
        <v>1811</v>
      </c>
      <c r="D19" s="9" t="s">
        <v>1812</v>
      </c>
      <c r="E19" s="9" t="s">
        <v>1755</v>
      </c>
    </row>
    <row r="20" spans="1:5" ht="30" customHeight="1" x14ac:dyDescent="0.3">
      <c r="A20" s="9" t="s">
        <v>1813</v>
      </c>
      <c r="B20" s="9" t="s">
        <v>1814</v>
      </c>
      <c r="C20" s="9" t="s">
        <v>1815</v>
      </c>
      <c r="D20" s="9" t="s">
        <v>1816</v>
      </c>
      <c r="E20" s="9" t="s">
        <v>1817</v>
      </c>
    </row>
    <row r="21" spans="1:5" ht="30" customHeight="1" x14ac:dyDescent="0.3">
      <c r="A21" s="9" t="s">
        <v>1818</v>
      </c>
      <c r="B21" s="9" t="s">
        <v>1819</v>
      </c>
      <c r="C21" s="9" t="s">
        <v>1820</v>
      </c>
      <c r="D21" s="9" t="s">
        <v>1821</v>
      </c>
      <c r="E21" s="9" t="s">
        <v>1822</v>
      </c>
    </row>
    <row r="22" spans="1:5" ht="30" customHeight="1" x14ac:dyDescent="0.3">
      <c r="A22" s="9" t="s">
        <v>1823</v>
      </c>
      <c r="B22" s="9" t="s">
        <v>1824</v>
      </c>
      <c r="C22" s="9" t="s">
        <v>1825</v>
      </c>
      <c r="D22" s="9" t="s">
        <v>1826</v>
      </c>
      <c r="E22" s="9" t="s">
        <v>76</v>
      </c>
    </row>
    <row r="23" spans="1:5" ht="30" customHeight="1" x14ac:dyDescent="0.3">
      <c r="A23" s="9" t="s">
        <v>1827</v>
      </c>
      <c r="B23" s="9" t="s">
        <v>1828</v>
      </c>
      <c r="C23" s="9" t="s">
        <v>1829</v>
      </c>
      <c r="D23" s="9" t="s">
        <v>1830</v>
      </c>
      <c r="E23" s="9" t="s">
        <v>1831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9"/>
  <sheetViews>
    <sheetView showGridLines="0" workbookViewId="0"/>
  </sheetViews>
  <sheetFormatPr defaultRowHeight="14.4" x14ac:dyDescent="0.3"/>
  <cols>
    <col min="1" max="1" width="26" customWidth="1"/>
    <col min="2" max="2" width="120" customWidth="1"/>
  </cols>
  <sheetData>
    <row r="1" spans="1:2" ht="17.399999999999999" x14ac:dyDescent="0.3">
      <c r="A1" s="1" t="s">
        <v>1832</v>
      </c>
    </row>
    <row r="3" spans="1:2" ht="61.95" customHeight="1" x14ac:dyDescent="0.3">
      <c r="A3" s="22" t="s">
        <v>1833</v>
      </c>
      <c r="B3" s="26" t="s">
        <v>1834</v>
      </c>
    </row>
    <row r="4" spans="1:2" ht="61.95" customHeight="1" x14ac:dyDescent="0.3">
      <c r="A4" s="22" t="s">
        <v>1835</v>
      </c>
      <c r="B4" s="26" t="s">
        <v>1836</v>
      </c>
    </row>
    <row r="5" spans="1:2" ht="61.95" customHeight="1" x14ac:dyDescent="0.3">
      <c r="A5" s="22" t="s">
        <v>1837</v>
      </c>
      <c r="B5" s="26" t="s">
        <v>1838</v>
      </c>
    </row>
    <row r="6" spans="1:2" ht="61.95" customHeight="1" x14ac:dyDescent="0.3">
      <c r="A6" s="22" t="s">
        <v>1839</v>
      </c>
      <c r="B6" s="26" t="s">
        <v>1840</v>
      </c>
    </row>
    <row r="7" spans="1:2" ht="61.95" customHeight="1" x14ac:dyDescent="0.3">
      <c r="A7" s="22" t="s">
        <v>1841</v>
      </c>
      <c r="B7" s="26" t="s">
        <v>1842</v>
      </c>
    </row>
    <row r="8" spans="1:2" ht="61.95" customHeight="1" x14ac:dyDescent="0.3">
      <c r="A8" s="22" t="s">
        <v>1843</v>
      </c>
      <c r="B8" s="26" t="s">
        <v>1844</v>
      </c>
    </row>
    <row r="9" spans="1:2" ht="61.95" customHeight="1" x14ac:dyDescent="0.3">
      <c r="A9" s="22" t="s">
        <v>1845</v>
      </c>
      <c r="B9" s="26" t="s">
        <v>1846</v>
      </c>
    </row>
  </sheetData>
  <mergeCells count="7">
    <mergeCell ref="B3"/>
    <mergeCell ref="B5"/>
    <mergeCell ref="B8"/>
    <mergeCell ref="B4"/>
    <mergeCell ref="B9"/>
    <mergeCell ref="B7"/>
    <mergeCell ref="B6"/>
  </mergeCells>
  <pageMargins left="0.75" right="0.75" top="1" bottom="1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4" width="16" customWidth="1"/>
    <col min="5" max="5" width="40" customWidth="1"/>
  </cols>
  <sheetData>
    <row r="1" spans="1:5" x14ac:dyDescent="0.3">
      <c r="A1" s="23" t="s">
        <v>1847</v>
      </c>
    </row>
    <row r="2" spans="1:5" x14ac:dyDescent="0.3">
      <c r="A2" s="24" t="s">
        <v>1848</v>
      </c>
      <c r="B2" s="24" t="s">
        <v>14</v>
      </c>
      <c r="C2" s="24" t="s">
        <v>572</v>
      </c>
      <c r="D2" s="24" t="s">
        <v>1849</v>
      </c>
      <c r="E2" s="24" t="s">
        <v>304</v>
      </c>
    </row>
    <row r="3" spans="1:5" x14ac:dyDescent="0.3">
      <c r="A3" s="25">
        <v>46387</v>
      </c>
      <c r="B3" s="6" t="s">
        <v>1325</v>
      </c>
      <c r="C3" s="6" t="s">
        <v>1342</v>
      </c>
      <c r="D3" s="6" t="s">
        <v>1157</v>
      </c>
      <c r="E3" s="6" t="s">
        <v>307</v>
      </c>
    </row>
    <row r="4" spans="1:5" x14ac:dyDescent="0.3">
      <c r="B4" s="6" t="s">
        <v>1357</v>
      </c>
      <c r="C4" s="6" t="s">
        <v>1418</v>
      </c>
      <c r="D4" s="6" t="s">
        <v>1164</v>
      </c>
      <c r="E4" s="6" t="s">
        <v>315</v>
      </c>
    </row>
    <row r="5" spans="1:5" x14ac:dyDescent="0.3">
      <c r="B5" s="6" t="s">
        <v>1553</v>
      </c>
      <c r="C5" s="6" t="s">
        <v>1327</v>
      </c>
      <c r="E5" s="6" t="s">
        <v>336</v>
      </c>
    </row>
    <row r="6" spans="1:5" x14ac:dyDescent="0.3">
      <c r="E6" s="6" t="s">
        <v>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709</v>
      </c>
      <c r="B1" s="8" t="s">
        <v>710</v>
      </c>
      <c r="C1" s="8" t="s">
        <v>1036</v>
      </c>
      <c r="D1" s="8" t="s">
        <v>361</v>
      </c>
      <c r="E1" s="8" t="s">
        <v>434</v>
      </c>
      <c r="F1" s="8" t="s">
        <v>310</v>
      </c>
      <c r="G1" s="8" t="s">
        <v>1850</v>
      </c>
      <c r="H1" s="8" t="s">
        <v>1851</v>
      </c>
      <c r="I1" s="8" t="s">
        <v>628</v>
      </c>
    </row>
    <row r="2" spans="1:9" x14ac:dyDescent="0.3">
      <c r="A2" s="16" t="s">
        <v>33</v>
      </c>
      <c r="B2" s="16" t="s">
        <v>284</v>
      </c>
      <c r="C2" s="16" t="s">
        <v>80</v>
      </c>
      <c r="D2" s="16" t="s">
        <v>1852</v>
      </c>
      <c r="E2" s="16" t="s">
        <v>1853</v>
      </c>
      <c r="F2" s="16" t="s">
        <v>1854</v>
      </c>
      <c r="G2" s="16"/>
      <c r="H2" s="16" t="s">
        <v>1157</v>
      </c>
      <c r="I2" s="16"/>
    </row>
    <row r="3" spans="1:9" x14ac:dyDescent="0.3">
      <c r="A3" s="16" t="s">
        <v>33</v>
      </c>
      <c r="B3" s="16" t="s">
        <v>284</v>
      </c>
      <c r="C3" s="16" t="s">
        <v>81</v>
      </c>
      <c r="D3" s="16" t="s">
        <v>1852</v>
      </c>
      <c r="E3" s="16" t="s">
        <v>1853</v>
      </c>
      <c r="F3" s="16" t="s">
        <v>1855</v>
      </c>
      <c r="G3" s="16"/>
      <c r="H3" s="16" t="s">
        <v>1157</v>
      </c>
      <c r="I3" s="16" t="s">
        <v>1856</v>
      </c>
    </row>
    <row r="4" spans="1:9" x14ac:dyDescent="0.3">
      <c r="A4" s="16" t="s">
        <v>33</v>
      </c>
      <c r="B4" s="16" t="s">
        <v>284</v>
      </c>
      <c r="C4" s="16" t="s">
        <v>82</v>
      </c>
      <c r="D4" s="16" t="s">
        <v>1852</v>
      </c>
      <c r="E4" s="16" t="s">
        <v>1853</v>
      </c>
      <c r="F4" s="16" t="s">
        <v>1857</v>
      </c>
      <c r="G4" s="16"/>
      <c r="H4" s="16" t="s">
        <v>1157</v>
      </c>
      <c r="I4" s="16"/>
    </row>
    <row r="5" spans="1:9" x14ac:dyDescent="0.3">
      <c r="A5" s="16" t="s">
        <v>33</v>
      </c>
      <c r="B5" s="16" t="s">
        <v>284</v>
      </c>
      <c r="C5" s="16" t="s">
        <v>83</v>
      </c>
      <c r="D5" s="16" t="s">
        <v>1852</v>
      </c>
      <c r="E5" s="16" t="s">
        <v>1853</v>
      </c>
      <c r="F5" s="16" t="s">
        <v>1858</v>
      </c>
      <c r="G5" s="16"/>
      <c r="H5" s="16" t="s">
        <v>1164</v>
      </c>
      <c r="I5" s="16"/>
    </row>
    <row r="6" spans="1:9" x14ac:dyDescent="0.3">
      <c r="A6" s="16" t="s">
        <v>33</v>
      </c>
      <c r="B6" s="16" t="s">
        <v>284</v>
      </c>
      <c r="C6" s="16" t="s">
        <v>84</v>
      </c>
      <c r="D6" s="16" t="s">
        <v>1852</v>
      </c>
      <c r="E6" s="16" t="s">
        <v>1853</v>
      </c>
      <c r="F6" s="16" t="s">
        <v>1859</v>
      </c>
      <c r="G6" s="16"/>
      <c r="H6" s="16" t="s">
        <v>1157</v>
      </c>
      <c r="I6" s="16"/>
    </row>
    <row r="7" spans="1:9" x14ac:dyDescent="0.3">
      <c r="A7" s="16" t="s">
        <v>35</v>
      </c>
      <c r="B7" s="16" t="s">
        <v>288</v>
      </c>
      <c r="C7" s="16" t="s">
        <v>691</v>
      </c>
      <c r="D7" s="16" t="s">
        <v>1852</v>
      </c>
      <c r="E7" s="16" t="s">
        <v>1853</v>
      </c>
      <c r="F7" s="16" t="s">
        <v>1860</v>
      </c>
      <c r="G7" s="16"/>
      <c r="H7" s="16" t="s">
        <v>1157</v>
      </c>
      <c r="I7" s="16" t="s">
        <v>1856</v>
      </c>
    </row>
    <row r="8" spans="1:9" x14ac:dyDescent="0.3">
      <c r="A8" s="16" t="s">
        <v>35</v>
      </c>
      <c r="B8" s="16" t="s">
        <v>288</v>
      </c>
      <c r="C8" s="16" t="s">
        <v>500</v>
      </c>
      <c r="D8" s="16" t="s">
        <v>1852</v>
      </c>
      <c r="E8" s="16" t="s">
        <v>1853</v>
      </c>
      <c r="F8" s="16" t="s">
        <v>1861</v>
      </c>
      <c r="G8" s="16"/>
      <c r="H8" s="16" t="s">
        <v>1157</v>
      </c>
      <c r="I8" s="16"/>
    </row>
    <row r="9" spans="1:9" x14ac:dyDescent="0.3">
      <c r="A9" s="16" t="s">
        <v>35</v>
      </c>
      <c r="B9" s="16" t="s">
        <v>288</v>
      </c>
      <c r="C9" s="16" t="s">
        <v>692</v>
      </c>
      <c r="D9" s="16" t="s">
        <v>1852</v>
      </c>
      <c r="E9" s="16" t="s">
        <v>1862</v>
      </c>
      <c r="F9" s="16" t="s">
        <v>1863</v>
      </c>
      <c r="G9" s="16"/>
      <c r="H9" s="16" t="s">
        <v>1157</v>
      </c>
      <c r="I9" s="16"/>
    </row>
    <row r="10" spans="1:9" x14ac:dyDescent="0.3">
      <c r="A10" s="16" t="s">
        <v>35</v>
      </c>
      <c r="B10" s="16" t="s">
        <v>288</v>
      </c>
      <c r="C10" s="16" t="s">
        <v>693</v>
      </c>
      <c r="D10" s="16" t="s">
        <v>1852</v>
      </c>
      <c r="E10" s="16" t="s">
        <v>1853</v>
      </c>
      <c r="F10" s="16" t="s">
        <v>1864</v>
      </c>
      <c r="G10" s="16"/>
      <c r="H10" s="16" t="s">
        <v>1157</v>
      </c>
      <c r="I10" s="16"/>
    </row>
    <row r="11" spans="1:9" x14ac:dyDescent="0.3">
      <c r="A11" s="16" t="s">
        <v>35</v>
      </c>
      <c r="B11" s="16" t="s">
        <v>288</v>
      </c>
      <c r="C11" s="16" t="s">
        <v>694</v>
      </c>
      <c r="D11" s="16" t="s">
        <v>1852</v>
      </c>
      <c r="E11" s="16" t="s">
        <v>1862</v>
      </c>
      <c r="F11" s="16" t="s">
        <v>1865</v>
      </c>
      <c r="G11" s="16"/>
      <c r="H11" s="16" t="s">
        <v>1157</v>
      </c>
      <c r="I11" s="16"/>
    </row>
    <row r="12" spans="1:9" x14ac:dyDescent="0.3">
      <c r="A12" s="16" t="s">
        <v>35</v>
      </c>
      <c r="B12" s="16" t="s">
        <v>288</v>
      </c>
      <c r="C12" s="16" t="s">
        <v>695</v>
      </c>
      <c r="D12" s="16" t="s">
        <v>1852</v>
      </c>
      <c r="E12" s="16" t="s">
        <v>1853</v>
      </c>
      <c r="F12" s="16" t="s">
        <v>1866</v>
      </c>
      <c r="G12" s="16"/>
      <c r="H12" s="16" t="s">
        <v>1157</v>
      </c>
      <c r="I12" s="16"/>
    </row>
    <row r="13" spans="1:9" x14ac:dyDescent="0.3">
      <c r="A13" s="16" t="s">
        <v>35</v>
      </c>
      <c r="B13" s="16" t="s">
        <v>288</v>
      </c>
      <c r="C13" s="16" t="s">
        <v>696</v>
      </c>
      <c r="D13" s="16" t="s">
        <v>1852</v>
      </c>
      <c r="E13" s="16" t="s">
        <v>1853</v>
      </c>
      <c r="F13" s="16" t="s">
        <v>1867</v>
      </c>
      <c r="G13" s="16"/>
      <c r="H13" s="16" t="s">
        <v>1157</v>
      </c>
      <c r="I13" s="16"/>
    </row>
    <row r="14" spans="1:9" x14ac:dyDescent="0.3">
      <c r="A14" s="16" t="s">
        <v>35</v>
      </c>
      <c r="B14" s="16" t="s">
        <v>288</v>
      </c>
      <c r="C14" s="16" t="s">
        <v>697</v>
      </c>
      <c r="D14" s="16" t="s">
        <v>1852</v>
      </c>
      <c r="E14" s="16" t="s">
        <v>1853</v>
      </c>
      <c r="F14" s="16" t="s">
        <v>1868</v>
      </c>
      <c r="G14" s="16"/>
      <c r="H14" s="16" t="s">
        <v>1157</v>
      </c>
      <c r="I14" s="16"/>
    </row>
    <row r="15" spans="1:9" x14ac:dyDescent="0.3">
      <c r="A15" s="16" t="s">
        <v>35</v>
      </c>
      <c r="B15" s="16" t="s">
        <v>288</v>
      </c>
      <c r="C15" s="16" t="s">
        <v>14</v>
      </c>
      <c r="D15" s="16" t="s">
        <v>1852</v>
      </c>
      <c r="E15" s="16" t="s">
        <v>1853</v>
      </c>
      <c r="F15" s="16" t="s">
        <v>1869</v>
      </c>
      <c r="G15" s="16" t="s">
        <v>1870</v>
      </c>
      <c r="H15" s="16" t="s">
        <v>1157</v>
      </c>
      <c r="I15" s="16"/>
    </row>
    <row r="16" spans="1:9" x14ac:dyDescent="0.3">
      <c r="A16" s="16" t="s">
        <v>35</v>
      </c>
      <c r="B16" s="16" t="s">
        <v>288</v>
      </c>
      <c r="C16" s="16" t="s">
        <v>698</v>
      </c>
      <c r="D16" s="16" t="s">
        <v>1852</v>
      </c>
      <c r="E16" s="16" t="s">
        <v>1853</v>
      </c>
      <c r="F16" s="16" t="s">
        <v>1871</v>
      </c>
      <c r="G16" s="16"/>
      <c r="H16" s="16" t="s">
        <v>1164</v>
      </c>
      <c r="I16" s="16"/>
    </row>
    <row r="17" spans="1:9" x14ac:dyDescent="0.3">
      <c r="A17" s="16" t="s">
        <v>35</v>
      </c>
      <c r="B17" s="16" t="s">
        <v>288</v>
      </c>
      <c r="C17" s="16" t="s">
        <v>699</v>
      </c>
      <c r="D17" s="16" t="s">
        <v>1852</v>
      </c>
      <c r="E17" s="16" t="s">
        <v>1853</v>
      </c>
      <c r="F17" s="16" t="s">
        <v>1872</v>
      </c>
      <c r="G17" s="16"/>
      <c r="H17" s="16" t="s">
        <v>1164</v>
      </c>
      <c r="I17" s="16"/>
    </row>
    <row r="18" spans="1:9" x14ac:dyDescent="0.3">
      <c r="A18" s="16" t="s">
        <v>35</v>
      </c>
      <c r="B18" s="16" t="s">
        <v>288</v>
      </c>
      <c r="C18" s="16" t="s">
        <v>700</v>
      </c>
      <c r="D18" s="16" t="s">
        <v>1873</v>
      </c>
      <c r="E18" s="16" t="s">
        <v>1862</v>
      </c>
      <c r="F18" s="16" t="s">
        <v>1874</v>
      </c>
      <c r="G18" s="16"/>
      <c r="H18" s="16" t="s">
        <v>1157</v>
      </c>
      <c r="I18" s="16"/>
    </row>
    <row r="19" spans="1:9" ht="26.4" x14ac:dyDescent="0.3">
      <c r="A19" s="16" t="s">
        <v>35</v>
      </c>
      <c r="B19" s="16" t="s">
        <v>288</v>
      </c>
      <c r="C19" s="16" t="s">
        <v>572</v>
      </c>
      <c r="D19" s="16" t="s">
        <v>1852</v>
      </c>
      <c r="E19" s="16" t="s">
        <v>1853</v>
      </c>
      <c r="F19" s="16" t="s">
        <v>1875</v>
      </c>
      <c r="G19" s="16" t="s">
        <v>1876</v>
      </c>
      <c r="H19" s="16" t="s">
        <v>1157</v>
      </c>
      <c r="I19" s="16"/>
    </row>
    <row r="20" spans="1:9" x14ac:dyDescent="0.3">
      <c r="A20" s="16" t="s">
        <v>39</v>
      </c>
      <c r="B20" s="16" t="s">
        <v>1877</v>
      </c>
      <c r="C20" s="16" t="s">
        <v>81</v>
      </c>
      <c r="D20" s="16" t="s">
        <v>1852</v>
      </c>
      <c r="E20" s="16" t="s">
        <v>1853</v>
      </c>
      <c r="F20" s="16" t="s">
        <v>1878</v>
      </c>
      <c r="G20" s="16"/>
      <c r="H20" s="16" t="s">
        <v>1157</v>
      </c>
      <c r="I20" s="16" t="s">
        <v>1856</v>
      </c>
    </row>
    <row r="21" spans="1:9" x14ac:dyDescent="0.3">
      <c r="A21" s="16" t="s">
        <v>39</v>
      </c>
      <c r="B21" s="16" t="s">
        <v>1877</v>
      </c>
      <c r="C21" s="16" t="s">
        <v>1574</v>
      </c>
      <c r="D21" s="16" t="s">
        <v>1852</v>
      </c>
      <c r="E21" s="16" t="s">
        <v>1853</v>
      </c>
      <c r="F21" s="16" t="s">
        <v>1879</v>
      </c>
      <c r="G21" s="16"/>
      <c r="H21" s="16" t="s">
        <v>1157</v>
      </c>
      <c r="I21" s="16"/>
    </row>
    <row r="22" spans="1:9" x14ac:dyDescent="0.3">
      <c r="A22" s="16" t="s">
        <v>39</v>
      </c>
      <c r="B22" s="16" t="s">
        <v>1877</v>
      </c>
      <c r="C22" s="16" t="s">
        <v>361</v>
      </c>
      <c r="D22" s="16" t="s">
        <v>1852</v>
      </c>
      <c r="E22" s="16" t="s">
        <v>1853</v>
      </c>
      <c r="F22" s="16" t="s">
        <v>1880</v>
      </c>
      <c r="G22" s="16"/>
      <c r="H22" s="16" t="s">
        <v>1157</v>
      </c>
      <c r="I22" s="16"/>
    </row>
    <row r="23" spans="1:9" x14ac:dyDescent="0.3">
      <c r="A23" s="16" t="s">
        <v>39</v>
      </c>
      <c r="B23" s="16" t="s">
        <v>1877</v>
      </c>
      <c r="C23" s="16" t="s">
        <v>342</v>
      </c>
      <c r="D23" s="16" t="s">
        <v>1852</v>
      </c>
      <c r="E23" s="16" t="s">
        <v>1853</v>
      </c>
      <c r="F23" s="16" t="s">
        <v>1881</v>
      </c>
      <c r="G23" s="16"/>
      <c r="H23" s="16" t="s">
        <v>1157</v>
      </c>
      <c r="I23" s="16"/>
    </row>
    <row r="24" spans="1:9" x14ac:dyDescent="0.3">
      <c r="A24" s="16" t="s">
        <v>39</v>
      </c>
      <c r="B24" s="16" t="s">
        <v>1877</v>
      </c>
      <c r="C24" s="16" t="s">
        <v>693</v>
      </c>
      <c r="D24" s="16" t="s">
        <v>1852</v>
      </c>
      <c r="E24" s="16" t="s">
        <v>1853</v>
      </c>
      <c r="F24" s="16" t="s">
        <v>1882</v>
      </c>
      <c r="G24" s="16"/>
      <c r="H24" s="16" t="s">
        <v>1157</v>
      </c>
      <c r="I24" s="16"/>
    </row>
    <row r="25" spans="1:9" x14ac:dyDescent="0.3">
      <c r="A25" s="16" t="s">
        <v>39</v>
      </c>
      <c r="B25" s="16" t="s">
        <v>1877</v>
      </c>
      <c r="C25" s="16" t="s">
        <v>1575</v>
      </c>
      <c r="D25" s="16" t="s">
        <v>1852</v>
      </c>
      <c r="E25" s="16" t="s">
        <v>1853</v>
      </c>
      <c r="F25" s="16" t="s">
        <v>1883</v>
      </c>
      <c r="G25" s="16" t="s">
        <v>1876</v>
      </c>
      <c r="H25" s="16" t="s">
        <v>1157</v>
      </c>
      <c r="I25" s="16"/>
    </row>
    <row r="26" spans="1:9" x14ac:dyDescent="0.3">
      <c r="A26" s="16" t="s">
        <v>39</v>
      </c>
      <c r="B26" s="16" t="s">
        <v>1877</v>
      </c>
      <c r="C26" s="16" t="s">
        <v>339</v>
      </c>
      <c r="D26" s="16" t="s">
        <v>1852</v>
      </c>
      <c r="E26" s="16" t="s">
        <v>1853</v>
      </c>
      <c r="F26" s="16" t="s">
        <v>1884</v>
      </c>
      <c r="G26" s="16"/>
      <c r="H26" s="16" t="s">
        <v>1157</v>
      </c>
      <c r="I26" s="16"/>
    </row>
    <row r="27" spans="1:9" x14ac:dyDescent="0.3">
      <c r="A27" s="16" t="s">
        <v>39</v>
      </c>
      <c r="B27" s="16" t="s">
        <v>1877</v>
      </c>
      <c r="C27" s="16" t="s">
        <v>385</v>
      </c>
      <c r="D27" s="16" t="s">
        <v>1852</v>
      </c>
      <c r="E27" s="16" t="s">
        <v>1853</v>
      </c>
      <c r="F27" s="16" t="s">
        <v>1885</v>
      </c>
      <c r="G27" s="16"/>
      <c r="H27" s="16" t="s">
        <v>1157</v>
      </c>
      <c r="I27" s="16"/>
    </row>
    <row r="28" spans="1:9" x14ac:dyDescent="0.3">
      <c r="A28" s="16" t="s">
        <v>39</v>
      </c>
      <c r="B28" s="16" t="s">
        <v>1877</v>
      </c>
      <c r="C28" s="16" t="s">
        <v>1576</v>
      </c>
      <c r="D28" s="16" t="s">
        <v>1852</v>
      </c>
      <c r="E28" s="16" t="s">
        <v>1853</v>
      </c>
      <c r="F28" s="16" t="s">
        <v>1886</v>
      </c>
      <c r="G28" s="16"/>
      <c r="H28" s="16" t="s">
        <v>1157</v>
      </c>
      <c r="I28" s="16"/>
    </row>
    <row r="29" spans="1:9" x14ac:dyDescent="0.3">
      <c r="A29" s="16" t="s">
        <v>39</v>
      </c>
      <c r="B29" s="16" t="s">
        <v>1877</v>
      </c>
      <c r="C29" s="16" t="s">
        <v>370</v>
      </c>
      <c r="D29" s="16" t="s">
        <v>1852</v>
      </c>
      <c r="E29" s="16" t="s">
        <v>1853</v>
      </c>
      <c r="F29" s="16" t="s">
        <v>1887</v>
      </c>
      <c r="G29" s="16"/>
      <c r="H29" s="16" t="s">
        <v>1157</v>
      </c>
      <c r="I29" s="16"/>
    </row>
    <row r="30" spans="1:9" x14ac:dyDescent="0.3">
      <c r="A30" s="16" t="s">
        <v>39</v>
      </c>
      <c r="B30" s="16" t="s">
        <v>1877</v>
      </c>
      <c r="C30" s="16" t="s">
        <v>1577</v>
      </c>
      <c r="D30" s="16" t="s">
        <v>1852</v>
      </c>
      <c r="E30" s="16" t="s">
        <v>1853</v>
      </c>
      <c r="F30" s="16" t="s">
        <v>1888</v>
      </c>
      <c r="G30" s="16"/>
      <c r="H30" s="16" t="s">
        <v>1157</v>
      </c>
      <c r="I30" s="16"/>
    </row>
    <row r="31" spans="1:9" x14ac:dyDescent="0.3">
      <c r="A31" s="16" t="s">
        <v>39</v>
      </c>
      <c r="B31" s="16" t="s">
        <v>1877</v>
      </c>
      <c r="C31" s="16" t="s">
        <v>1578</v>
      </c>
      <c r="D31" s="16" t="s">
        <v>1852</v>
      </c>
      <c r="E31" s="16" t="s">
        <v>1853</v>
      </c>
      <c r="F31" s="16" t="s">
        <v>1889</v>
      </c>
      <c r="G31" s="16"/>
      <c r="H31" s="16" t="s">
        <v>1157</v>
      </c>
      <c r="I31" s="16"/>
    </row>
    <row r="32" spans="1:9" x14ac:dyDescent="0.3">
      <c r="A32" s="16" t="s">
        <v>39</v>
      </c>
      <c r="B32" s="16" t="s">
        <v>1877</v>
      </c>
      <c r="C32" s="16" t="s">
        <v>1579</v>
      </c>
      <c r="D32" s="16" t="s">
        <v>1852</v>
      </c>
      <c r="E32" s="16" t="s">
        <v>1853</v>
      </c>
      <c r="F32" s="16" t="s">
        <v>1890</v>
      </c>
      <c r="G32" s="16"/>
      <c r="H32" s="16" t="s">
        <v>1157</v>
      </c>
      <c r="I32" s="16"/>
    </row>
    <row r="33" spans="1:9" x14ac:dyDescent="0.3">
      <c r="A33" s="16" t="s">
        <v>39</v>
      </c>
      <c r="B33" s="16" t="s">
        <v>1877</v>
      </c>
      <c r="C33" s="16" t="s">
        <v>1580</v>
      </c>
      <c r="D33" s="16" t="s">
        <v>1852</v>
      </c>
      <c r="E33" s="16" t="s">
        <v>1853</v>
      </c>
      <c r="F33" s="16" t="s">
        <v>1891</v>
      </c>
      <c r="G33" s="16"/>
      <c r="H33" s="16" t="s">
        <v>1157</v>
      </c>
      <c r="I33" s="16"/>
    </row>
    <row r="34" spans="1:9" x14ac:dyDescent="0.3">
      <c r="A34" s="16" t="s">
        <v>41</v>
      </c>
      <c r="B34" s="16" t="s">
        <v>1892</v>
      </c>
      <c r="C34" s="16" t="s">
        <v>80</v>
      </c>
      <c r="D34" s="16" t="s">
        <v>1852</v>
      </c>
      <c r="E34" s="16" t="s">
        <v>1853</v>
      </c>
      <c r="F34" s="16" t="s">
        <v>1854</v>
      </c>
      <c r="G34" s="16"/>
      <c r="H34" s="16" t="s">
        <v>1157</v>
      </c>
      <c r="I34" s="16"/>
    </row>
    <row r="35" spans="1:9" x14ac:dyDescent="0.3">
      <c r="A35" s="16" t="s">
        <v>41</v>
      </c>
      <c r="B35" s="16" t="s">
        <v>1892</v>
      </c>
      <c r="C35" s="16" t="s">
        <v>709</v>
      </c>
      <c r="D35" s="16" t="s">
        <v>1852</v>
      </c>
      <c r="E35" s="16" t="s">
        <v>1853</v>
      </c>
      <c r="F35" s="16" t="s">
        <v>1893</v>
      </c>
      <c r="G35" s="16"/>
      <c r="H35" s="16" t="s">
        <v>1157</v>
      </c>
      <c r="I35" s="16"/>
    </row>
    <row r="36" spans="1:9" x14ac:dyDescent="0.3">
      <c r="A36" s="16" t="s">
        <v>41</v>
      </c>
      <c r="B36" s="16" t="s">
        <v>1892</v>
      </c>
      <c r="C36" s="16" t="s">
        <v>710</v>
      </c>
      <c r="D36" s="16" t="s">
        <v>1852</v>
      </c>
      <c r="E36" s="16" t="s">
        <v>1853</v>
      </c>
      <c r="F36" s="16" t="s">
        <v>1894</v>
      </c>
      <c r="G36" s="16"/>
      <c r="H36" s="16" t="s">
        <v>1157</v>
      </c>
      <c r="I36" s="16" t="s">
        <v>1856</v>
      </c>
    </row>
    <row r="37" spans="1:9" x14ac:dyDescent="0.3">
      <c r="A37" s="16" t="s">
        <v>41</v>
      </c>
      <c r="B37" s="16" t="s">
        <v>1892</v>
      </c>
      <c r="C37" s="16" t="s">
        <v>711</v>
      </c>
      <c r="D37" s="16" t="s">
        <v>1895</v>
      </c>
      <c r="E37" s="16" t="s">
        <v>1853</v>
      </c>
      <c r="F37" s="16" t="s">
        <v>1896</v>
      </c>
      <c r="G37" s="16"/>
      <c r="H37" s="16" t="s">
        <v>1157</v>
      </c>
      <c r="I37" s="16"/>
    </row>
    <row r="38" spans="1:9" x14ac:dyDescent="0.3">
      <c r="A38" s="16" t="s">
        <v>41</v>
      </c>
      <c r="B38" s="16" t="s">
        <v>1892</v>
      </c>
      <c r="C38" s="16" t="s">
        <v>712</v>
      </c>
      <c r="D38" s="16" t="s">
        <v>1895</v>
      </c>
      <c r="E38" s="16" t="s">
        <v>1853</v>
      </c>
      <c r="F38" s="16" t="s">
        <v>1897</v>
      </c>
      <c r="G38" s="16"/>
      <c r="H38" s="16" t="s">
        <v>1157</v>
      </c>
      <c r="I38" s="16"/>
    </row>
    <row r="39" spans="1:9" x14ac:dyDescent="0.3">
      <c r="A39" s="16" t="s">
        <v>41</v>
      </c>
      <c r="B39" s="16" t="s">
        <v>1892</v>
      </c>
      <c r="C39" s="16" t="s">
        <v>713</v>
      </c>
      <c r="D39" s="16" t="s">
        <v>1895</v>
      </c>
      <c r="E39" s="16" t="s">
        <v>1853</v>
      </c>
      <c r="F39" s="16" t="s">
        <v>1898</v>
      </c>
      <c r="G39" s="16"/>
      <c r="H39" s="16" t="s">
        <v>1157</v>
      </c>
      <c r="I39" s="16"/>
    </row>
    <row r="40" spans="1:9" x14ac:dyDescent="0.3">
      <c r="A40" s="16" t="s">
        <v>41</v>
      </c>
      <c r="B40" s="16" t="s">
        <v>1892</v>
      </c>
      <c r="C40" s="16" t="s">
        <v>714</v>
      </c>
      <c r="D40" s="16" t="s">
        <v>1852</v>
      </c>
      <c r="E40" s="16" t="s">
        <v>1853</v>
      </c>
      <c r="F40" s="16" t="s">
        <v>1899</v>
      </c>
      <c r="G40" s="16"/>
      <c r="H40" s="16" t="s">
        <v>1157</v>
      </c>
      <c r="I40" s="16"/>
    </row>
    <row r="41" spans="1:9" x14ac:dyDescent="0.3">
      <c r="A41" s="16" t="s">
        <v>41</v>
      </c>
      <c r="B41" s="16" t="s">
        <v>1892</v>
      </c>
      <c r="C41" s="16" t="s">
        <v>715</v>
      </c>
      <c r="D41" s="16" t="s">
        <v>1852</v>
      </c>
      <c r="E41" s="16" t="s">
        <v>1853</v>
      </c>
      <c r="F41" s="16" t="s">
        <v>1900</v>
      </c>
      <c r="G41" s="16"/>
      <c r="H41" s="16" t="s">
        <v>1157</v>
      </c>
      <c r="I41" s="16"/>
    </row>
    <row r="42" spans="1:9" x14ac:dyDescent="0.3">
      <c r="A42" s="16" t="s">
        <v>43</v>
      </c>
      <c r="B42" s="16" t="s">
        <v>1901</v>
      </c>
      <c r="C42" s="16" t="s">
        <v>1035</v>
      </c>
      <c r="D42" s="16" t="s">
        <v>1852</v>
      </c>
      <c r="E42" s="16" t="s">
        <v>1853</v>
      </c>
      <c r="F42" s="16" t="s">
        <v>1902</v>
      </c>
      <c r="G42" s="16"/>
      <c r="H42" s="16" t="s">
        <v>1157</v>
      </c>
      <c r="I42" s="16"/>
    </row>
    <row r="43" spans="1:9" x14ac:dyDescent="0.3">
      <c r="A43" s="16" t="s">
        <v>43</v>
      </c>
      <c r="B43" s="16" t="s">
        <v>1901</v>
      </c>
      <c r="C43" s="16" t="s">
        <v>1036</v>
      </c>
      <c r="D43" s="16" t="s">
        <v>1852</v>
      </c>
      <c r="E43" s="16" t="s">
        <v>1853</v>
      </c>
      <c r="F43" s="16" t="s">
        <v>1903</v>
      </c>
      <c r="G43" s="16"/>
      <c r="H43" s="16" t="s">
        <v>1157</v>
      </c>
      <c r="I43" s="16"/>
    </row>
    <row r="44" spans="1:9" x14ac:dyDescent="0.3">
      <c r="A44" s="16" t="s">
        <v>43</v>
      </c>
      <c r="B44" s="16" t="s">
        <v>1901</v>
      </c>
      <c r="C44" s="16" t="s">
        <v>1037</v>
      </c>
      <c r="D44" s="16" t="s">
        <v>1852</v>
      </c>
      <c r="E44" s="16" t="s">
        <v>1853</v>
      </c>
      <c r="F44" s="16" t="s">
        <v>1904</v>
      </c>
      <c r="G44" s="16"/>
      <c r="H44" s="16" t="s">
        <v>1157</v>
      </c>
      <c r="I44" s="16"/>
    </row>
    <row r="45" spans="1:9" x14ac:dyDescent="0.3">
      <c r="A45" s="16" t="s">
        <v>43</v>
      </c>
      <c r="B45" s="16" t="s">
        <v>1901</v>
      </c>
      <c r="C45" s="16" t="s">
        <v>1038</v>
      </c>
      <c r="D45" s="16" t="s">
        <v>1895</v>
      </c>
      <c r="E45" s="16" t="s">
        <v>1853</v>
      </c>
      <c r="F45" s="16" t="s">
        <v>1905</v>
      </c>
      <c r="G45" s="16"/>
      <c r="H45" s="16" t="s">
        <v>1157</v>
      </c>
      <c r="I45" s="16"/>
    </row>
    <row r="46" spans="1:9" x14ac:dyDescent="0.3">
      <c r="A46" s="16" t="s">
        <v>43</v>
      </c>
      <c r="B46" s="16" t="s">
        <v>1901</v>
      </c>
      <c r="C46" s="16" t="s">
        <v>1039</v>
      </c>
      <c r="D46" s="16" t="s">
        <v>1895</v>
      </c>
      <c r="E46" s="16" t="s">
        <v>1853</v>
      </c>
      <c r="F46" s="16" t="s">
        <v>1906</v>
      </c>
      <c r="G46" s="16"/>
      <c r="H46" s="16" t="s">
        <v>1157</v>
      </c>
      <c r="I46" s="16"/>
    </row>
    <row r="47" spans="1:9" x14ac:dyDescent="0.3">
      <c r="A47" s="16" t="s">
        <v>43</v>
      </c>
      <c r="B47" s="16" t="s">
        <v>1901</v>
      </c>
      <c r="C47" s="16" t="s">
        <v>1040</v>
      </c>
      <c r="D47" s="16" t="s">
        <v>1852</v>
      </c>
      <c r="E47" s="16" t="s">
        <v>1853</v>
      </c>
      <c r="F47" s="16" t="s">
        <v>1907</v>
      </c>
      <c r="G47" s="16"/>
      <c r="H47" s="16" t="s">
        <v>1164</v>
      </c>
      <c r="I47" s="16"/>
    </row>
    <row r="48" spans="1:9" x14ac:dyDescent="0.3">
      <c r="A48" s="16" t="s">
        <v>43</v>
      </c>
      <c r="B48" s="16" t="s">
        <v>1901</v>
      </c>
      <c r="C48" s="16" t="s">
        <v>492</v>
      </c>
      <c r="D48" s="16" t="s">
        <v>1852</v>
      </c>
      <c r="E48" s="16" t="s">
        <v>1853</v>
      </c>
      <c r="F48" s="16" t="s">
        <v>1908</v>
      </c>
      <c r="G48" s="16"/>
      <c r="H48" s="16" t="s">
        <v>1157</v>
      </c>
      <c r="I48" s="16"/>
    </row>
    <row r="49" spans="1:9" x14ac:dyDescent="0.3">
      <c r="A49" s="16" t="s">
        <v>45</v>
      </c>
      <c r="B49" s="16" t="s">
        <v>1909</v>
      </c>
      <c r="C49" s="16" t="s">
        <v>760</v>
      </c>
      <c r="D49" s="16" t="s">
        <v>1852</v>
      </c>
      <c r="E49" s="16" t="s">
        <v>1853</v>
      </c>
      <c r="F49" s="16"/>
      <c r="G49" s="16"/>
      <c r="H49" s="16" t="s">
        <v>1157</v>
      </c>
      <c r="I49" s="16" t="s">
        <v>1856</v>
      </c>
    </row>
    <row r="50" spans="1:9" x14ac:dyDescent="0.3">
      <c r="A50" s="16" t="s">
        <v>45</v>
      </c>
      <c r="B50" s="16" t="s">
        <v>1909</v>
      </c>
      <c r="C50" s="16" t="s">
        <v>1748</v>
      </c>
      <c r="D50" s="16" t="s">
        <v>1852</v>
      </c>
      <c r="E50" s="16" t="s">
        <v>1853</v>
      </c>
      <c r="F50" s="16" t="s">
        <v>1910</v>
      </c>
      <c r="G50" s="16"/>
      <c r="H50" s="16" t="s">
        <v>1157</v>
      </c>
      <c r="I50" s="16"/>
    </row>
    <row r="51" spans="1:9" x14ac:dyDescent="0.3">
      <c r="A51" s="16" t="s">
        <v>45</v>
      </c>
      <c r="B51" s="16" t="s">
        <v>1909</v>
      </c>
      <c r="C51" s="16" t="s">
        <v>1749</v>
      </c>
      <c r="D51" s="16" t="s">
        <v>1852</v>
      </c>
      <c r="E51" s="16" t="s">
        <v>1853</v>
      </c>
      <c r="F51" s="16" t="s">
        <v>1911</v>
      </c>
      <c r="G51" s="16"/>
      <c r="H51" s="16" t="s">
        <v>1157</v>
      </c>
      <c r="I51" s="16"/>
    </row>
    <row r="52" spans="1:9" x14ac:dyDescent="0.3">
      <c r="A52" s="16" t="s">
        <v>45</v>
      </c>
      <c r="B52" s="16" t="s">
        <v>1909</v>
      </c>
      <c r="C52" s="16" t="s">
        <v>1750</v>
      </c>
      <c r="D52" s="16" t="s">
        <v>1852</v>
      </c>
      <c r="E52" s="16" t="s">
        <v>1853</v>
      </c>
      <c r="F52" s="16" t="s">
        <v>1912</v>
      </c>
      <c r="G52" s="16"/>
      <c r="H52" s="16" t="s">
        <v>1157</v>
      </c>
      <c r="I52" s="16"/>
    </row>
    <row r="53" spans="1:9" x14ac:dyDescent="0.3">
      <c r="A53" s="16" t="s">
        <v>45</v>
      </c>
      <c r="B53" s="16" t="s">
        <v>1909</v>
      </c>
      <c r="C53" s="16" t="s">
        <v>361</v>
      </c>
      <c r="D53" s="16" t="s">
        <v>1852</v>
      </c>
      <c r="E53" s="16" t="s">
        <v>1853</v>
      </c>
      <c r="F53" s="16" t="s">
        <v>1913</v>
      </c>
      <c r="G53" s="16"/>
      <c r="H53" s="16" t="s">
        <v>1157</v>
      </c>
      <c r="I53" s="16"/>
    </row>
    <row r="54" spans="1:9" x14ac:dyDescent="0.3">
      <c r="A54" s="16" t="s">
        <v>47</v>
      </c>
      <c r="B54" s="16" t="s">
        <v>291</v>
      </c>
      <c r="C54" s="16" t="s">
        <v>183</v>
      </c>
      <c r="D54" s="16" t="s">
        <v>1852</v>
      </c>
      <c r="E54" s="16" t="s">
        <v>1853</v>
      </c>
      <c r="F54" s="16"/>
      <c r="G54" s="16"/>
      <c r="H54" s="16" t="s">
        <v>1157</v>
      </c>
      <c r="I54" s="16" t="s">
        <v>1856</v>
      </c>
    </row>
    <row r="55" spans="1:9" x14ac:dyDescent="0.3">
      <c r="A55" s="16" t="s">
        <v>47</v>
      </c>
      <c r="B55" s="16" t="s">
        <v>291</v>
      </c>
      <c r="C55" s="16" t="s">
        <v>701</v>
      </c>
      <c r="D55" s="16" t="s">
        <v>1852</v>
      </c>
      <c r="E55" s="16" t="s">
        <v>1853</v>
      </c>
      <c r="F55" s="16" t="s">
        <v>1914</v>
      </c>
      <c r="G55" s="16"/>
      <c r="H55" s="16" t="s">
        <v>1157</v>
      </c>
      <c r="I55" s="16"/>
    </row>
    <row r="56" spans="1:9" x14ac:dyDescent="0.3">
      <c r="A56" s="16" t="s">
        <v>47</v>
      </c>
      <c r="B56" s="16" t="s">
        <v>291</v>
      </c>
      <c r="C56" s="16" t="s">
        <v>702</v>
      </c>
      <c r="D56" s="16" t="s">
        <v>1852</v>
      </c>
      <c r="E56" s="16" t="s">
        <v>1853</v>
      </c>
      <c r="F56" s="16"/>
      <c r="G56" s="16"/>
      <c r="H56" s="16" t="s">
        <v>1157</v>
      </c>
      <c r="I56" s="16"/>
    </row>
    <row r="57" spans="1:9" x14ac:dyDescent="0.3">
      <c r="A57" s="16" t="s">
        <v>47</v>
      </c>
      <c r="B57" s="16" t="s">
        <v>291</v>
      </c>
      <c r="C57" s="16" t="s">
        <v>703</v>
      </c>
      <c r="D57" s="16" t="s">
        <v>1852</v>
      </c>
      <c r="E57" s="16" t="s">
        <v>1853</v>
      </c>
      <c r="F57" s="16" t="s">
        <v>1915</v>
      </c>
      <c r="G57" s="16"/>
      <c r="H57" s="16" t="s">
        <v>1157</v>
      </c>
      <c r="I57" s="16"/>
    </row>
    <row r="58" spans="1:9" x14ac:dyDescent="0.3">
      <c r="A58" s="16" t="s">
        <v>47</v>
      </c>
      <c r="B58" s="16" t="s">
        <v>291</v>
      </c>
      <c r="C58" s="16" t="s">
        <v>704</v>
      </c>
      <c r="D58" s="16" t="s">
        <v>1852</v>
      </c>
      <c r="E58" s="16" t="s">
        <v>1853</v>
      </c>
      <c r="F58" s="16"/>
      <c r="G58" s="16"/>
      <c r="H58" s="16" t="s">
        <v>1164</v>
      </c>
      <c r="I58" s="16"/>
    </row>
    <row r="59" spans="1:9" x14ac:dyDescent="0.3">
      <c r="A59" s="16" t="s">
        <v>49</v>
      </c>
      <c r="B59" s="16" t="s">
        <v>294</v>
      </c>
      <c r="C59" s="16" t="s">
        <v>81</v>
      </c>
      <c r="D59" s="16" t="s">
        <v>1852</v>
      </c>
      <c r="E59" s="16" t="s">
        <v>1853</v>
      </c>
      <c r="F59" s="16"/>
      <c r="G59" s="16"/>
      <c r="H59" s="16" t="s">
        <v>1157</v>
      </c>
      <c r="I59" s="16" t="s">
        <v>1856</v>
      </c>
    </row>
    <row r="60" spans="1:9" x14ac:dyDescent="0.3">
      <c r="A60" s="16" t="s">
        <v>49</v>
      </c>
      <c r="B60" s="16" t="s">
        <v>294</v>
      </c>
      <c r="C60" s="16" t="s">
        <v>342</v>
      </c>
      <c r="D60" s="16" t="s">
        <v>1852</v>
      </c>
      <c r="E60" s="16" t="s">
        <v>1853</v>
      </c>
      <c r="F60" s="16"/>
      <c r="G60" s="16"/>
      <c r="H60" s="16" t="s">
        <v>1157</v>
      </c>
      <c r="I60" s="16"/>
    </row>
    <row r="61" spans="1:9" x14ac:dyDescent="0.3">
      <c r="A61" s="16" t="s">
        <v>49</v>
      </c>
      <c r="B61" s="16" t="s">
        <v>294</v>
      </c>
      <c r="C61" s="16" t="s">
        <v>361</v>
      </c>
      <c r="D61" s="16" t="s">
        <v>1852</v>
      </c>
      <c r="E61" s="16" t="s">
        <v>1853</v>
      </c>
      <c r="F61" s="16"/>
      <c r="G61" s="16"/>
      <c r="H61" s="16" t="s">
        <v>1157</v>
      </c>
      <c r="I61" s="16"/>
    </row>
    <row r="62" spans="1:9" x14ac:dyDescent="0.3">
      <c r="A62" s="16" t="s">
        <v>49</v>
      </c>
      <c r="B62" s="16" t="s">
        <v>294</v>
      </c>
      <c r="C62" s="16" t="s">
        <v>705</v>
      </c>
      <c r="D62" s="16" t="s">
        <v>1852</v>
      </c>
      <c r="E62" s="16" t="s">
        <v>1853</v>
      </c>
      <c r="F62" s="16"/>
      <c r="G62" s="16"/>
      <c r="H62" s="16" t="s">
        <v>1157</v>
      </c>
      <c r="I62" s="16"/>
    </row>
    <row r="63" spans="1:9" x14ac:dyDescent="0.3">
      <c r="A63" s="16" t="s">
        <v>49</v>
      </c>
      <c r="B63" s="16" t="s">
        <v>294</v>
      </c>
      <c r="C63" s="16" t="s">
        <v>330</v>
      </c>
      <c r="D63" s="16" t="s">
        <v>1852</v>
      </c>
      <c r="E63" s="16" t="s">
        <v>1853</v>
      </c>
      <c r="F63" s="16" t="s">
        <v>1916</v>
      </c>
      <c r="G63" s="16"/>
      <c r="H63" s="16" t="s">
        <v>1157</v>
      </c>
      <c r="I63" s="16"/>
    </row>
    <row r="64" spans="1:9" x14ac:dyDescent="0.3">
      <c r="A64" s="16" t="s">
        <v>51</v>
      </c>
      <c r="B64" s="16" t="s">
        <v>297</v>
      </c>
      <c r="C64" s="16" t="s">
        <v>707</v>
      </c>
      <c r="D64" s="16" t="s">
        <v>1852</v>
      </c>
      <c r="E64" s="16" t="s">
        <v>1853</v>
      </c>
      <c r="F64" s="16"/>
      <c r="G64" s="16"/>
      <c r="H64" s="16" t="s">
        <v>1157</v>
      </c>
      <c r="I64" s="16" t="s">
        <v>1856</v>
      </c>
    </row>
    <row r="65" spans="1:9" x14ac:dyDescent="0.3">
      <c r="A65" s="16" t="s">
        <v>51</v>
      </c>
      <c r="B65" s="16" t="s">
        <v>297</v>
      </c>
      <c r="C65" s="16" t="s">
        <v>708</v>
      </c>
      <c r="D65" s="16" t="s">
        <v>1852</v>
      </c>
      <c r="E65" s="16" t="s">
        <v>1853</v>
      </c>
      <c r="F65" s="16"/>
      <c r="G65" s="16"/>
      <c r="H65" s="16" t="s">
        <v>1157</v>
      </c>
      <c r="I65" s="16"/>
    </row>
    <row r="66" spans="1:9" x14ac:dyDescent="0.3">
      <c r="A66" s="16" t="s">
        <v>51</v>
      </c>
      <c r="B66" s="16" t="s">
        <v>297</v>
      </c>
      <c r="C66" s="16" t="s">
        <v>649</v>
      </c>
      <c r="D66" s="16" t="s">
        <v>1852</v>
      </c>
      <c r="E66" s="16" t="s">
        <v>1853</v>
      </c>
      <c r="F66" s="16" t="s">
        <v>1917</v>
      </c>
      <c r="G66" s="16"/>
      <c r="H66" s="16" t="s">
        <v>1157</v>
      </c>
      <c r="I66" s="16"/>
    </row>
    <row r="67" spans="1:9" ht="26.4" x14ac:dyDescent="0.3">
      <c r="A67" s="16" t="s">
        <v>53</v>
      </c>
      <c r="B67" s="16" t="s">
        <v>1918</v>
      </c>
      <c r="C67" s="16" t="s">
        <v>500</v>
      </c>
      <c r="D67" s="16" t="s">
        <v>1852</v>
      </c>
      <c r="E67" s="16" t="s">
        <v>1853</v>
      </c>
      <c r="F67" s="16"/>
      <c r="G67" s="16"/>
      <c r="H67" s="16" t="s">
        <v>1157</v>
      </c>
      <c r="I67" s="16" t="s">
        <v>1856</v>
      </c>
    </row>
    <row r="68" spans="1:9" ht="26.4" x14ac:dyDescent="0.3">
      <c r="A68" s="16" t="s">
        <v>53</v>
      </c>
      <c r="B68" s="16" t="s">
        <v>1918</v>
      </c>
      <c r="C68" s="16" t="s">
        <v>526</v>
      </c>
      <c r="D68" s="16" t="s">
        <v>1852</v>
      </c>
      <c r="E68" s="16" t="s">
        <v>1853</v>
      </c>
      <c r="F68" s="16"/>
      <c r="G68" s="16"/>
      <c r="H68" s="16" t="s">
        <v>1157</v>
      </c>
      <c r="I68" s="16"/>
    </row>
    <row r="69" spans="1:9" ht="26.4" x14ac:dyDescent="0.3">
      <c r="A69" s="16" t="s">
        <v>53</v>
      </c>
      <c r="B69" s="16" t="s">
        <v>1918</v>
      </c>
      <c r="C69" s="16" t="s">
        <v>694</v>
      </c>
      <c r="D69" s="16" t="s">
        <v>1852</v>
      </c>
      <c r="E69" s="16" t="s">
        <v>1853</v>
      </c>
      <c r="F69" s="16"/>
      <c r="G69" s="16" t="s">
        <v>1919</v>
      </c>
      <c r="H69" s="16" t="s">
        <v>1157</v>
      </c>
      <c r="I69" s="16"/>
    </row>
    <row r="70" spans="1:9" ht="26.4" x14ac:dyDescent="0.3">
      <c r="A70" s="16" t="s">
        <v>53</v>
      </c>
      <c r="B70" s="16" t="s">
        <v>1918</v>
      </c>
      <c r="C70" s="16" t="s">
        <v>1154</v>
      </c>
      <c r="D70" s="16" t="s">
        <v>1852</v>
      </c>
      <c r="E70" s="16" t="s">
        <v>1853</v>
      </c>
      <c r="F70" s="16"/>
      <c r="G70" s="16"/>
      <c r="H70" s="16" t="s">
        <v>1164</v>
      </c>
      <c r="I70" s="16"/>
    </row>
    <row r="71" spans="1:9" x14ac:dyDescent="0.3">
      <c r="A71" s="16" t="s">
        <v>55</v>
      </c>
      <c r="B71" s="16" t="s">
        <v>1920</v>
      </c>
      <c r="C71" s="16" t="s">
        <v>182</v>
      </c>
      <c r="D71" s="16" t="s">
        <v>1852</v>
      </c>
      <c r="E71" s="16" t="s">
        <v>1853</v>
      </c>
      <c r="F71" s="16" t="s">
        <v>1921</v>
      </c>
      <c r="G71" s="16"/>
      <c r="H71" s="16" t="s">
        <v>1157</v>
      </c>
      <c r="I71" s="16" t="s">
        <v>1856</v>
      </c>
    </row>
    <row r="72" spans="1:9" x14ac:dyDescent="0.3">
      <c r="A72" s="16" t="s">
        <v>55</v>
      </c>
      <c r="B72" s="16" t="s">
        <v>1920</v>
      </c>
      <c r="C72" s="16" t="s">
        <v>183</v>
      </c>
      <c r="D72" s="16" t="s">
        <v>1852</v>
      </c>
      <c r="E72" s="16" t="s">
        <v>1853</v>
      </c>
      <c r="F72" s="16" t="s">
        <v>1922</v>
      </c>
      <c r="G72" s="16"/>
      <c r="H72" s="16" t="s">
        <v>1157</v>
      </c>
      <c r="I72" s="16"/>
    </row>
    <row r="73" spans="1:9" x14ac:dyDescent="0.3">
      <c r="A73" s="16" t="s">
        <v>55</v>
      </c>
      <c r="B73" s="16" t="s">
        <v>1920</v>
      </c>
      <c r="C73" s="16" t="s">
        <v>184</v>
      </c>
      <c r="D73" s="16" t="s">
        <v>1852</v>
      </c>
      <c r="E73" s="16" t="s">
        <v>1853</v>
      </c>
      <c r="F73" s="16" t="s">
        <v>1923</v>
      </c>
      <c r="G73" s="16"/>
      <c r="H73" s="16" t="s">
        <v>1157</v>
      </c>
      <c r="I73" s="16"/>
    </row>
    <row r="74" spans="1:9" x14ac:dyDescent="0.3">
      <c r="A74" s="16" t="s">
        <v>55</v>
      </c>
      <c r="B74" s="16" t="s">
        <v>1920</v>
      </c>
      <c r="C74" s="16" t="s">
        <v>185</v>
      </c>
      <c r="D74" s="16" t="s">
        <v>1852</v>
      </c>
      <c r="E74" s="16" t="s">
        <v>1853</v>
      </c>
      <c r="F74" s="16" t="s">
        <v>1924</v>
      </c>
      <c r="G74" s="16"/>
      <c r="H74" s="16" t="s">
        <v>1157</v>
      </c>
      <c r="I74" s="16"/>
    </row>
    <row r="75" spans="1:9" x14ac:dyDescent="0.3">
      <c r="A75" s="16" t="s">
        <v>55</v>
      </c>
      <c r="B75" s="16" t="s">
        <v>1920</v>
      </c>
      <c r="C75" s="16" t="s">
        <v>186</v>
      </c>
      <c r="D75" s="16" t="s">
        <v>1852</v>
      </c>
      <c r="E75" s="16" t="s">
        <v>1853</v>
      </c>
      <c r="F75" s="16" t="s">
        <v>1925</v>
      </c>
      <c r="G75" s="16"/>
      <c r="H75" s="16" t="s">
        <v>1157</v>
      </c>
      <c r="I75" s="16"/>
    </row>
    <row r="76" spans="1:9" x14ac:dyDescent="0.3">
      <c r="A76" s="16" t="s">
        <v>55</v>
      </c>
      <c r="B76" s="16" t="s">
        <v>1920</v>
      </c>
      <c r="C76" s="16" t="s">
        <v>187</v>
      </c>
      <c r="D76" s="16" t="s">
        <v>1852</v>
      </c>
      <c r="E76" s="16" t="s">
        <v>1853</v>
      </c>
      <c r="F76" s="16" t="s">
        <v>1926</v>
      </c>
      <c r="G76" s="16"/>
      <c r="H76" s="16" t="s">
        <v>1157</v>
      </c>
      <c r="I76" s="16"/>
    </row>
    <row r="77" spans="1:9" x14ac:dyDescent="0.3">
      <c r="A77" s="16" t="s">
        <v>55</v>
      </c>
      <c r="B77" s="16" t="s">
        <v>1920</v>
      </c>
      <c r="C77" s="16" t="s">
        <v>188</v>
      </c>
      <c r="D77" s="16" t="s">
        <v>1852</v>
      </c>
      <c r="E77" s="16" t="s">
        <v>1862</v>
      </c>
      <c r="F77" s="16" t="s">
        <v>1927</v>
      </c>
      <c r="G77" s="16"/>
      <c r="H77" s="16" t="s">
        <v>1157</v>
      </c>
      <c r="I77" s="16"/>
    </row>
    <row r="78" spans="1:9" x14ac:dyDescent="0.3">
      <c r="A78" s="16" t="s">
        <v>55</v>
      </c>
      <c r="B78" s="16" t="s">
        <v>1920</v>
      </c>
      <c r="C78" s="16" t="s">
        <v>189</v>
      </c>
      <c r="D78" s="16" t="s">
        <v>1895</v>
      </c>
      <c r="E78" s="16" t="s">
        <v>1853</v>
      </c>
      <c r="F78" s="16" t="s">
        <v>1928</v>
      </c>
      <c r="G78" s="16"/>
      <c r="H78" s="16" t="s">
        <v>1157</v>
      </c>
      <c r="I78" s="16"/>
    </row>
    <row r="79" spans="1:9" x14ac:dyDescent="0.3">
      <c r="A79" s="16" t="s">
        <v>55</v>
      </c>
      <c r="B79" s="16" t="s">
        <v>1920</v>
      </c>
      <c r="C79" s="16" t="s">
        <v>190</v>
      </c>
      <c r="D79" s="16" t="s">
        <v>1895</v>
      </c>
      <c r="E79" s="16" t="s">
        <v>1853</v>
      </c>
      <c r="F79" s="16" t="s">
        <v>1929</v>
      </c>
      <c r="G79" s="16"/>
      <c r="H79" s="16" t="s">
        <v>1157</v>
      </c>
      <c r="I79" s="16"/>
    </row>
    <row r="80" spans="1:9" x14ac:dyDescent="0.3">
      <c r="A80" s="16" t="s">
        <v>55</v>
      </c>
      <c r="B80" s="16" t="s">
        <v>1920</v>
      </c>
      <c r="C80" s="16" t="s">
        <v>191</v>
      </c>
      <c r="D80" s="16" t="s">
        <v>1895</v>
      </c>
      <c r="E80" s="16" t="s">
        <v>1862</v>
      </c>
      <c r="F80" s="16" t="s">
        <v>1930</v>
      </c>
      <c r="G80" s="16"/>
      <c r="H80" s="16" t="s">
        <v>1157</v>
      </c>
      <c r="I80" s="16"/>
    </row>
    <row r="81" spans="1:9" x14ac:dyDescent="0.3">
      <c r="A81" s="16" t="s">
        <v>55</v>
      </c>
      <c r="B81" s="16" t="s">
        <v>1920</v>
      </c>
      <c r="C81" s="16" t="s">
        <v>192</v>
      </c>
      <c r="D81" s="16" t="s">
        <v>1895</v>
      </c>
      <c r="E81" s="16" t="s">
        <v>1862</v>
      </c>
      <c r="F81" s="16" t="s">
        <v>1931</v>
      </c>
      <c r="G81" s="16"/>
      <c r="H81" s="16" t="s">
        <v>1157</v>
      </c>
      <c r="I81" s="16"/>
    </row>
    <row r="82" spans="1:9" x14ac:dyDescent="0.3">
      <c r="A82" s="16" t="s">
        <v>55</v>
      </c>
      <c r="B82" s="16" t="s">
        <v>1920</v>
      </c>
      <c r="C82" s="16" t="s">
        <v>193</v>
      </c>
      <c r="D82" s="16" t="s">
        <v>1895</v>
      </c>
      <c r="E82" s="16" t="s">
        <v>1862</v>
      </c>
      <c r="F82" s="16" t="s">
        <v>1932</v>
      </c>
      <c r="G82" s="16"/>
      <c r="H82" s="16" t="s">
        <v>1157</v>
      </c>
      <c r="I82" s="16"/>
    </row>
    <row r="83" spans="1:9" x14ac:dyDescent="0.3">
      <c r="A83" s="16" t="s">
        <v>55</v>
      </c>
      <c r="B83" s="16" t="s">
        <v>1920</v>
      </c>
      <c r="C83" s="16" t="s">
        <v>194</v>
      </c>
      <c r="D83" s="16" t="s">
        <v>1895</v>
      </c>
      <c r="E83" s="16" t="s">
        <v>1862</v>
      </c>
      <c r="F83" s="16" t="s">
        <v>1933</v>
      </c>
      <c r="G83" s="16"/>
      <c r="H83" s="16" t="s">
        <v>1157</v>
      </c>
      <c r="I83" s="16"/>
    </row>
    <row r="84" spans="1:9" ht="26.4" x14ac:dyDescent="0.3">
      <c r="A84" s="16" t="s">
        <v>55</v>
      </c>
      <c r="B84" s="16" t="s">
        <v>1920</v>
      </c>
      <c r="C84" s="16" t="s">
        <v>195</v>
      </c>
      <c r="D84" s="16" t="s">
        <v>1934</v>
      </c>
      <c r="E84" s="16" t="s">
        <v>1862</v>
      </c>
      <c r="F84" s="16" t="s">
        <v>1935</v>
      </c>
      <c r="G84" s="16"/>
      <c r="H84" s="16" t="s">
        <v>1157</v>
      </c>
      <c r="I84" s="16"/>
    </row>
    <row r="85" spans="1:9" ht="39.6" x14ac:dyDescent="0.3">
      <c r="A85" s="16" t="s">
        <v>57</v>
      </c>
      <c r="B85" s="16" t="s">
        <v>1936</v>
      </c>
      <c r="C85" s="16" t="s">
        <v>182</v>
      </c>
      <c r="D85" s="16" t="s">
        <v>1852</v>
      </c>
      <c r="E85" s="16" t="s">
        <v>1853</v>
      </c>
      <c r="F85" s="16" t="s">
        <v>1937</v>
      </c>
      <c r="G85" s="16"/>
      <c r="H85" s="16" t="s">
        <v>1157</v>
      </c>
      <c r="I85" s="16" t="s">
        <v>1938</v>
      </c>
    </row>
    <row r="86" spans="1:9" ht="26.4" x14ac:dyDescent="0.3">
      <c r="A86" s="16" t="s">
        <v>57</v>
      </c>
      <c r="B86" s="16" t="s">
        <v>1936</v>
      </c>
      <c r="C86" s="16" t="s">
        <v>185</v>
      </c>
      <c r="D86" s="16" t="s">
        <v>1852</v>
      </c>
      <c r="E86" s="16" t="s">
        <v>1853</v>
      </c>
      <c r="F86" s="16" t="s">
        <v>1924</v>
      </c>
      <c r="G86" s="16"/>
      <c r="H86" s="16" t="s">
        <v>1157</v>
      </c>
      <c r="I86" s="16"/>
    </row>
    <row r="87" spans="1:9" ht="26.4" x14ac:dyDescent="0.3">
      <c r="A87" s="16" t="s">
        <v>57</v>
      </c>
      <c r="B87" s="16" t="s">
        <v>1936</v>
      </c>
      <c r="C87" s="16" t="s">
        <v>300</v>
      </c>
      <c r="D87" s="16" t="s">
        <v>1852</v>
      </c>
      <c r="E87" s="16" t="s">
        <v>1853</v>
      </c>
      <c r="F87" s="16" t="s">
        <v>1939</v>
      </c>
      <c r="G87" s="16"/>
      <c r="H87" s="16" t="s">
        <v>1164</v>
      </c>
      <c r="I87" s="16"/>
    </row>
    <row r="88" spans="1:9" ht="26.4" x14ac:dyDescent="0.3">
      <c r="A88" s="16" t="s">
        <v>57</v>
      </c>
      <c r="B88" s="16" t="s">
        <v>1936</v>
      </c>
      <c r="C88" s="16" t="s">
        <v>301</v>
      </c>
      <c r="D88" s="16" t="s">
        <v>1895</v>
      </c>
      <c r="E88" s="16" t="s">
        <v>1853</v>
      </c>
      <c r="F88" s="16" t="s">
        <v>1940</v>
      </c>
      <c r="G88" s="16"/>
      <c r="H88" s="16" t="s">
        <v>1164</v>
      </c>
      <c r="I88" s="16"/>
    </row>
    <row r="89" spans="1:9" ht="26.4" x14ac:dyDescent="0.3">
      <c r="A89" s="16" t="s">
        <v>57</v>
      </c>
      <c r="B89" s="16" t="s">
        <v>1936</v>
      </c>
      <c r="C89" s="16" t="s">
        <v>187</v>
      </c>
      <c r="D89" s="16" t="s">
        <v>1852</v>
      </c>
      <c r="E89" s="16" t="s">
        <v>1853</v>
      </c>
      <c r="F89" s="16" t="s">
        <v>1926</v>
      </c>
      <c r="G89" s="16"/>
      <c r="H89" s="16" t="s">
        <v>1157</v>
      </c>
      <c r="I89" s="16"/>
    </row>
    <row r="90" spans="1:9" ht="26.4" x14ac:dyDescent="0.3">
      <c r="A90" s="16" t="s">
        <v>57</v>
      </c>
      <c r="B90" s="16" t="s">
        <v>1936</v>
      </c>
      <c r="C90" s="16" t="s">
        <v>302</v>
      </c>
      <c r="D90" s="16" t="s">
        <v>1852</v>
      </c>
      <c r="E90" s="16" t="s">
        <v>1853</v>
      </c>
      <c r="F90" s="16" t="s">
        <v>1941</v>
      </c>
      <c r="G90" s="16"/>
      <c r="H90" s="16" t="s">
        <v>1164</v>
      </c>
      <c r="I90" s="16"/>
    </row>
    <row r="91" spans="1:9" ht="26.4" x14ac:dyDescent="0.3">
      <c r="A91" s="16" t="s">
        <v>57</v>
      </c>
      <c r="B91" s="16" t="s">
        <v>1936</v>
      </c>
      <c r="C91" s="16" t="s">
        <v>303</v>
      </c>
      <c r="D91" s="16" t="s">
        <v>1895</v>
      </c>
      <c r="E91" s="16" t="s">
        <v>1853</v>
      </c>
      <c r="F91" s="16" t="s">
        <v>1942</v>
      </c>
      <c r="G91" s="16"/>
      <c r="H91" s="16" t="s">
        <v>1164</v>
      </c>
      <c r="I91" s="16"/>
    </row>
    <row r="92" spans="1:9" ht="26.4" x14ac:dyDescent="0.3">
      <c r="A92" s="16" t="s">
        <v>57</v>
      </c>
      <c r="B92" s="16" t="s">
        <v>1936</v>
      </c>
      <c r="C92" s="16" t="s">
        <v>304</v>
      </c>
      <c r="D92" s="16" t="s">
        <v>1852</v>
      </c>
      <c r="E92" s="16" t="s">
        <v>1853</v>
      </c>
      <c r="F92" s="16" t="s">
        <v>1943</v>
      </c>
      <c r="G92" s="16" t="s">
        <v>1944</v>
      </c>
      <c r="H92" s="16" t="s">
        <v>1157</v>
      </c>
      <c r="I92" s="16"/>
    </row>
    <row r="93" spans="1:9" ht="26.4" x14ac:dyDescent="0.3">
      <c r="A93" s="16" t="s">
        <v>57</v>
      </c>
      <c r="B93" s="16" t="s">
        <v>1936</v>
      </c>
      <c r="C93" s="16" t="s">
        <v>305</v>
      </c>
      <c r="D93" s="16" t="s">
        <v>1852</v>
      </c>
      <c r="E93" s="16" t="s">
        <v>1862</v>
      </c>
      <c r="F93" s="16" t="s">
        <v>1945</v>
      </c>
      <c r="G93" s="16"/>
      <c r="H93" s="16" t="s">
        <v>1157</v>
      </c>
      <c r="I93" s="1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17</vt:i4>
      </vt:variant>
      <vt:variant>
        <vt:lpstr>Intervalos com Nome</vt:lpstr>
      </vt:variant>
      <vt:variant>
        <vt:i4>18</vt:i4>
      </vt:variant>
    </vt:vector>
  </HeadingPairs>
  <TitlesOfParts>
    <vt:vector size="35" baseType="lpstr">
      <vt:lpstr>00_LEIA-ME</vt:lpstr>
      <vt:lpstr>Ficheiros</vt:lpstr>
      <vt:lpstr>Harmonizacao_Resumo</vt:lpstr>
      <vt:lpstr>Matriz_Harmonizacao_SGI</vt:lpstr>
      <vt:lpstr>Catalogo_Tabelas</vt:lpstr>
      <vt:lpstr>Integridade_Referencial</vt:lpstr>
      <vt:lpstr>Dim_Processo</vt:lpstr>
      <vt:lpstr>Dim_Funcao</vt:lpstr>
      <vt:lpstr>Dim_Clausula_ISO9001_2026</vt:lpstr>
      <vt:lpstr>Matriz_Fonte_Unica</vt:lpstr>
      <vt:lpstr>Matriz_ISO9001_2026</vt:lpstr>
      <vt:lpstr>Resumo_Prontidao</vt:lpstr>
      <vt:lpstr>Matriz_Mestra_Info_Doc</vt:lpstr>
      <vt:lpstr>Normas_Fontes</vt:lpstr>
      <vt:lpstr>Modelo_Dados</vt:lpstr>
      <vt:lpstr>Listas</vt:lpstr>
      <vt:lpstr>Dicionario_Dados</vt:lpstr>
      <vt:lpstr>DataRef</vt:lpstr>
      <vt:lpstr>lst_Classe</vt:lpstr>
      <vt:lpstr>lst_Correspondencia</vt:lpstr>
      <vt:lpstr>lst_DataReferencia</vt:lpstr>
      <vt:lpstr>lst_Estado</vt:lpstr>
      <vt:lpstr>lst_SimNao</vt:lpstr>
      <vt:lpstr>Catalogo_Tabelas!Títulos_de_Impressão</vt:lpstr>
      <vt:lpstr>Dim_Clausula_ISO9001_2026!Títulos_de_Impressão</vt:lpstr>
      <vt:lpstr>Dim_Funcao!Títulos_de_Impressão</vt:lpstr>
      <vt:lpstr>Dim_Processo!Títulos_de_Impressão</vt:lpstr>
      <vt:lpstr>Ficheiros!Títulos_de_Impressão</vt:lpstr>
      <vt:lpstr>Harmonizacao_Resumo!Títulos_de_Impressão</vt:lpstr>
      <vt:lpstr>Integridade_Referencial!Títulos_de_Impressão</vt:lpstr>
      <vt:lpstr>Matriz_Fonte_Unica!Títulos_de_Impressão</vt:lpstr>
      <vt:lpstr>Matriz_Harmonizacao_SGI!Títulos_de_Impressão</vt:lpstr>
      <vt:lpstr>Matriz_ISO9001_2026!Títulos_de_Impressão</vt:lpstr>
      <vt:lpstr>Matriz_Mestra_Info_Doc!Títulos_de_Impressão</vt:lpstr>
      <vt:lpstr>Normas_Fontes!Títulos_de_Impressão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RG-SGQ-00 Índice do SGQ, Matriz ISO 9001:2026 e Modelo de Dados</dc:title>
  <dc:subject>SGQ NP EN ISO 9001:2026 — Plasticom</dc:subject>
  <dc:creator>Gerente da Qualidade</dc:creator>
  <cp:lastModifiedBy>Aline Meireles</cp:lastModifiedBy>
  <dcterms:created xsi:type="dcterms:W3CDTF">2026-09-30T16:47:31Z</dcterms:created>
  <dcterms:modified xsi:type="dcterms:W3CDTF">2026-09-30T16:47:37Z</dcterms:modified>
</cp:coreProperties>
</file>