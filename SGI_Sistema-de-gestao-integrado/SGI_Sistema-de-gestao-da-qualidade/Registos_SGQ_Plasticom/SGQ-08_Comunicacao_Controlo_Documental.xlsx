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F238978A-BCDD-4583-A5FA-328AFC3BBF6C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Lista_Mestra" sheetId="2" r:id="rId2"/>
    <sheet name="Documentos_Externos" sheetId="3" r:id="rId3"/>
    <sheet name="Retencao_Registos" sheetId="4" r:id="rId4"/>
    <sheet name="Matriz_Comunicacao" sheetId="5" r:id="rId5"/>
    <sheet name="Comunicacao_Cliente" sheetId="6" r:id="rId6"/>
    <sheet name="Resumo_Documentos" sheetId="7" r:id="rId7"/>
    <sheet name="Listas" sheetId="8" r:id="rId8"/>
    <sheet name="Dicionario_Dados" sheetId="9" r:id="rId9"/>
  </sheets>
  <definedNames>
    <definedName name="DataRef">Listas!$A$3</definedName>
    <definedName name="lst_DataReferencia">Listas!$A$3:$A$3</definedName>
    <definedName name="lst_Direcao">Listas!$H$3:$H$5</definedName>
    <definedName name="lst_EstadoDoc">Listas!$C$3:$C$5</definedName>
    <definedName name="lst_EstadoExt">Listas!$G$3:$G$5</definedName>
    <definedName name="lst_Funcao">Listas!$E$3:$E$29</definedName>
    <definedName name="lst_Processo">Listas!$D$3:$D$20</definedName>
    <definedName name="lst_TipoDoc">Listas!$B$3:$B$10</definedName>
    <definedName name="lst_TipoExt">Listas!$F$3:$F$7</definedName>
    <definedName name="_xlnm.Print_Titles" localSheetId="5">Comunicacao_Cliente!$4:$4</definedName>
    <definedName name="_xlnm.Print_Titles" localSheetId="2">Documentos_Externos!$4:$4</definedName>
    <definedName name="_xlnm.Print_Titles" localSheetId="1">Lista_Mestra!$4:$4</definedName>
    <definedName name="_xlnm.Print_Titles" localSheetId="4">Matriz_Comunicacao!$4:$4</definedName>
    <definedName name="_xlnm.Print_Titles" localSheetId="3">Retencao_Registos!$4:$4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9" i="7"/>
  <c r="B6" i="7"/>
  <c r="B5" i="7"/>
  <c r="B4" i="7"/>
  <c r="I28" i="3"/>
  <c r="J28" i="3" s="1"/>
  <c r="I27" i="3"/>
  <c r="J27" i="3" s="1"/>
  <c r="J26" i="3"/>
  <c r="I26" i="3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B11" i="7" l="1"/>
  <c r="B7" i="7"/>
  <c r="B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Código do documento.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Revisão.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Data de aprovação.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Quem aprovou (7.5.2 c).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Formato e suporte (7.5.2 b).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Onde está disponível (7.5.3.2 a).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Data de aprovação + periodicidade.
[calculado]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Alerta de revisão.
[calculado]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[Só SGQ] Processo.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[Só SGQ] Quem elaborou.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[Só SGQ] Periodicidade da revisão.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[Só SGQ] Exigido pela ISO 9001:2026 ou (C) determinado pela organização (7.5.1 b).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Documento externo.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Edição / versão em uso.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Processos que o usam.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Documento interno que o aplica.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Última verificação da atualidade.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Verificação anual.
[calculado]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Alerta.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Registo.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Conteúdo.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Cláusulas.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Obrigatório pela norma ou necessário à eficácia.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Tempo de conservação (7.5.3.2 d).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Armazenamento e preservação (7.5.3.2 b).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Proteção contra alterações não intencionais e acesso (7.5.3.1 b).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Comunicação.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Interna / externa.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a) o que comunicar.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c) a quem.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b) quando.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d) como.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e) quem comunica.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Linha.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Alínea de 8.2.1.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O que se comunica.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Canal.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</commentList>
</comments>
</file>

<file path=xl/sharedStrings.xml><?xml version="1.0" encoding="utf-8"?>
<sst xmlns="http://schemas.openxmlformats.org/spreadsheetml/2006/main" count="1347" uniqueCount="628">
  <si>
    <t>RG-SGQ-08 — Informação Documentada e Comunicação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</si>
  <si>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</si>
  <si>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</si>
  <si>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</si>
  <si>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RG-SGQ-08</t>
  </si>
  <si>
    <t>Título</t>
  </si>
  <si>
    <t>Informação Documentada e Comunicação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</si>
  <si>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</si>
  <si>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</si>
  <si>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</si>
  <si>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</si>
  <si>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</si>
  <si>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</si>
  <si>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</si>
  <si>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</si>
  <si>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</si>
  <si>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</si>
  <si>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</si>
  <si>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</si>
  <si>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</si>
  <si>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</si>
  <si>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</si>
  <si>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Lista mestra dos documentos do SGQ com revisão calculada, documentos de origem externa com verificação da atualidade, tabela de retenção de registos e matrizes de comunicação interna/externa e com o cliente (incluindo ações de contingência — novo na ISO 9001:2026).</t>
  </si>
  <si>
    <t>Utilização / atividades</t>
  </si>
  <si>
    <t>Controlar documentos internos e externos, registos (retenção, proteção, eliminação) e planear a comunicação interna, externa e com o cliente.</t>
  </si>
  <si>
    <t>Requisitos ISO 9001:2026</t>
  </si>
  <si>
    <t>7.5.1 a) b); 7.5.2 identificação, formato, revisão e aprovação; 7.5.3.1 disponibilidade e proteção; 7.5.3.2 a)–d), documentos externos e proteção da evidência contra alterações não intencionais; 7.4 a)–e); 8.2.1 a)–e) (2026: e) contingência)</t>
  </si>
  <si>
    <t>REFERÊNCIAS DE BOAS PRÁTICAS APLICADAS (orientação — não são requisitos auditáveis da ISO 9001)</t>
  </si>
  <si>
    <t>ISO/TC 176 APG — Documented information</t>
  </si>
  <si>
    <t>A norma não exige manual nem procedimentos para cada requisito; a extensão depende da organização (7.5.1 Nota). Coluna Exigido_ISO separa o obrigatório do escolhido (C).</t>
  </si>
  <si>
    <t>ISO 10013 (orientação)</t>
  </si>
  <si>
    <t>Identificação, formato, revisão e aprovação; retenção e eliminação definidas por registo.</t>
  </si>
  <si>
    <t>iso9001help.co.uk — Documented information</t>
  </si>
  <si>
    <t>Controlo de documentos externos por verificação periódica da edição em vigor.</t>
  </si>
  <si>
    <t>ESTRUTURA DO FICHEIRO</t>
  </si>
  <si>
    <t>Lista_Mestra</t>
  </si>
  <si>
    <t>Lista mestra de documentos do SGQ (7.5.2, 7.5.3).</t>
  </si>
  <si>
    <t>Documentos_Externos</t>
  </si>
  <si>
    <t>Documentos de origem externa identificados e controlados (7.5.3.2).</t>
  </si>
  <si>
    <t>Retencao_Registos</t>
  </si>
  <si>
    <t>Retenção, preservação e proteção dos registos do SGQ (7.5.3).</t>
  </si>
  <si>
    <t>Matriz_Comunicacao</t>
  </si>
  <si>
    <t>Comunicações internas e externas pertinentes para o SGQ (7.4 a–e) — mesma estrutura do RG-SGA-09.</t>
  </si>
  <si>
    <t>Comunicacao_Cliente</t>
  </si>
  <si>
    <t>Comunicação com o cliente (8.2.1 a–e), incluindo ações de contingência e disrupções (novo 2026).</t>
  </si>
  <si>
    <t>Resumo_Documentos</t>
  </si>
  <si>
    <t>Resumo calculado do estado documental.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</si>
  <si>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</si>
  <si>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</si>
  <si>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</si>
  <si>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</si>
  <si>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</si>
  <si>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</si>
  <si>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</si>
  <si>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</si>
  <si>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</si>
  <si>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</si>
  <si>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</si>
  <si>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</si>
  <si>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</si>
  <si>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</si>
  <si>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</si>
  <si>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</si>
  <si>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</si>
  <si>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</si>
  <si>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RG-SGA-09</t>
  </si>
  <si>
    <t>Lista mestra do SGA — o SGI usa a mesma estrutura de controlo documental.</t>
  </si>
  <si>
    <t>SGQ-00 Matriz mestra</t>
  </si>
  <si>
    <t>Classificação A/B/C da informação documentada exigida pela norma.</t>
  </si>
  <si>
    <t>LISTA MESTRA DE DOCUMENTOS DO SGQ (7.5)</t>
  </si>
  <si>
    <t>A ISO 9001:2026 não exige manual nem procedimentos por requisito — 'Não (C)' = documento que a Plasticom determinou necessário · Próxima revisão e alerta calculados</t>
  </si>
  <si>
    <t>Codigo</t>
  </si>
  <si>
    <t>Titulo</t>
  </si>
  <si>
    <t>Tipo</t>
  </si>
  <si>
    <t>Versao</t>
  </si>
  <si>
    <t>Data_Aprovacao</t>
  </si>
  <si>
    <t>Aprovador</t>
  </si>
  <si>
    <t>Localizacao</t>
  </si>
  <si>
    <t>Ponto_de_Uso</t>
  </si>
  <si>
    <t>Proxima_Revisao</t>
  </si>
  <si>
    <t>Alerta</t>
  </si>
  <si>
    <t>Processo</t>
  </si>
  <si>
    <t>Elaborado</t>
  </si>
  <si>
    <t>Periodicidade_Meses</t>
  </si>
  <si>
    <t>Exigido_ISO</t>
  </si>
  <si>
    <t>POL-SGQ-01</t>
  </si>
  <si>
    <t>Política da qualidade</t>
  </si>
  <si>
    <t>Política</t>
  </si>
  <si>
    <t>Diretor Geral (Gestão de Topo)</t>
  </si>
  <si>
    <t>Eletrónico + afixado</t>
  </si>
  <si>
    <t>Afixada; intranet; site</t>
  </si>
  <si>
    <t>GES</t>
  </si>
  <si>
    <t>Sim (5.2.2 a)</t>
  </si>
  <si>
    <t>AMB-SGQ-01</t>
  </si>
  <si>
    <t>Âmbito do SGQ (RG-SGQ-01 tbl_ambito)</t>
  </si>
  <si>
    <t>Âmbito</t>
  </si>
  <si>
    <t>Eletrónico</t>
  </si>
  <si>
    <t>Intranet; organismo de certificação</t>
  </si>
  <si>
    <t>Sim (4.3)</t>
  </si>
  <si>
    <t>PR-SGQ-01</t>
  </si>
  <si>
    <t>Contexto, planeamento estratégico e revisão pela gestão</t>
  </si>
  <si>
    <t>Procedimento</t>
  </si>
  <si>
    <t>Intranet</t>
  </si>
  <si>
    <t>Não (C)</t>
  </si>
  <si>
    <t>PR-SGQ-02</t>
  </si>
  <si>
    <t>Controlo da informação documentada</t>
  </si>
  <si>
    <t>02</t>
  </si>
  <si>
    <t>DOC</t>
  </si>
  <si>
    <t>PR-SGQ-03</t>
  </si>
  <si>
    <t>Planeamento e controlo de alterações (MOC)</t>
  </si>
  <si>
    <t>Diretor Industrial</t>
  </si>
  <si>
    <t>QUA</t>
  </si>
  <si>
    <t>PR-SGQ-04</t>
  </si>
  <si>
    <t>Gestão de riscos e oportunidades (remete para PG-SGI-006 / PR-SGA-02)</t>
  </si>
  <si>
    <t>PR-SGQ-05</t>
  </si>
  <si>
    <t>Auditoria interna (ISO 19011:2026)</t>
  </si>
  <si>
    <t>03</t>
  </si>
  <si>
    <t>PR-SGQ-06</t>
  </si>
  <si>
    <t>Não conformidade, ação corretiva e 8D</t>
  </si>
  <si>
    <t>PR-SGQ-07</t>
  </si>
  <si>
    <t>Monitorização, medição, análise de dados e melhoria</t>
  </si>
  <si>
    <t>PR-SGQ-08</t>
  </si>
  <si>
    <t>Revisão de requisitos, propostas e encomendas</t>
  </si>
  <si>
    <t>COM</t>
  </si>
  <si>
    <t>Diretor Comercial</t>
  </si>
  <si>
    <t>PR-SGQ-09</t>
  </si>
  <si>
    <t>Tratamento de reclamações e satisfação do cliente (ISO 10002 / 10004)</t>
  </si>
  <si>
    <t>PR-SGQ-10</t>
  </si>
  <si>
    <t>Design e desenvolvimento de produto</t>
  </si>
  <si>
    <t>RD</t>
  </si>
  <si>
    <t>Responsável de R&amp;D</t>
  </si>
  <si>
    <t>PR-SGQ-11</t>
  </si>
  <si>
    <t>Planeamento e controlo da produção</t>
  </si>
  <si>
    <t>PCP</t>
  </si>
  <si>
    <t>Gerente de Produção</t>
  </si>
  <si>
    <t>PR-SGQ-12</t>
  </si>
  <si>
    <t>Compras, avaliação e desenvolvimento de fornecedores</t>
  </si>
  <si>
    <t>CMP</t>
  </si>
  <si>
    <t>Responsável de Compras</t>
  </si>
  <si>
    <t>PR-SGQ-13</t>
  </si>
  <si>
    <t>Inspeção, ensaio e libertação de produto</t>
  </si>
  <si>
    <t>04</t>
  </si>
  <si>
    <t>Eletrónico + papel controlado</t>
  </si>
  <si>
    <t>Intranet; laboratório</t>
  </si>
  <si>
    <t>LAB</t>
  </si>
  <si>
    <t>PR-SGQ-14</t>
  </si>
  <si>
    <t>Controlo de saídas não conformes e concessões</t>
  </si>
  <si>
    <t>PR-SGQ-15</t>
  </si>
  <si>
    <t>Manutenção de máquinas e moldes</t>
  </si>
  <si>
    <t>Intranet; oficina</t>
  </si>
  <si>
    <t>MAN</t>
  </si>
  <si>
    <t>Gerente de Manutenção</t>
  </si>
  <si>
    <t>PR-SGQ-16</t>
  </si>
  <si>
    <t>Gestão da medição: calibração, verificação e MSA (ISO 10012:2026)</t>
  </si>
  <si>
    <t>MET</t>
  </si>
  <si>
    <t>PR-SGQ-17</t>
  </si>
  <si>
    <t>Competência, formação e consciencialização</t>
  </si>
  <si>
    <t>RH</t>
  </si>
  <si>
    <t>Responsável de Recursos Humanos</t>
  </si>
  <si>
    <t>PR-SGQ-18</t>
  </si>
  <si>
    <t>Sistemas de informação, cópias de segurança e validação de folhas de cálculo</t>
  </si>
  <si>
    <t>TI</t>
  </si>
  <si>
    <t>Gerente de Dados / TI</t>
  </si>
  <si>
    <t>PC-SOP-01</t>
  </si>
  <si>
    <t>Plano de controlo — sopro de frascos</t>
  </si>
  <si>
    <t>Plano de controlo</t>
  </si>
  <si>
    <t>Eletrónico (terminal no posto)</t>
  </si>
  <si>
    <t>Postos ISBM; laboratório</t>
  </si>
  <si>
    <t>SOP</t>
  </si>
  <si>
    <t>Sim (8.5.1 a)</t>
  </si>
  <si>
    <t>PC-INJ-01</t>
  </si>
  <si>
    <t>Plano de controlo — injeção de tampas e potes</t>
  </si>
  <si>
    <t>06</t>
  </si>
  <si>
    <t>Postos IM; laboratório</t>
  </si>
  <si>
    <t>INJ</t>
  </si>
  <si>
    <t>PC-DEC-01</t>
  </si>
  <si>
    <t>Plano de controlo — serigrafia e hot foil</t>
  </si>
  <si>
    <t>Postos SS/HF</t>
  </si>
  <si>
    <t>SER</t>
  </si>
  <si>
    <t>PC-MP-01</t>
  </si>
  <si>
    <t>Plano de controlo — receção de matérias-primas</t>
  </si>
  <si>
    <t>Laboratório de receção</t>
  </si>
  <si>
    <t>REC</t>
  </si>
  <si>
    <t>Sim (8.4.2 d)</t>
  </si>
  <si>
    <t>IT-INJ-01</t>
  </si>
  <si>
    <t>Setup e arranque de injetora</t>
  </si>
  <si>
    <t>Instrução de trabalho</t>
  </si>
  <si>
    <t>Papel controlado</t>
  </si>
  <si>
    <t>Postos IM</t>
  </si>
  <si>
    <t>Engenheiro(a) de Processo</t>
  </si>
  <si>
    <t>IT-INJ-02</t>
  </si>
  <si>
    <t>Parâmetros validados IM-002 (DOE)</t>
  </si>
  <si>
    <t>Posto IM-002</t>
  </si>
  <si>
    <t>IT-INJ-04</t>
  </si>
  <si>
    <t>Injeção de tampas farma TE-012 (anel de inviolabilidade)</t>
  </si>
  <si>
    <t>Postos IM-007/008</t>
  </si>
  <si>
    <t>IT-SOP-01</t>
  </si>
  <si>
    <t>Setup e arranque de ISBM</t>
  </si>
  <si>
    <t>Postos ISBM</t>
  </si>
  <si>
    <t>IT-SOP-03</t>
  </si>
  <si>
    <t>Linha farmacêutica e alimentar ISBM-009/010 (higiene e segregação)</t>
  </si>
  <si>
    <t>Postos ISBM-009/010</t>
  </si>
  <si>
    <t>IT-SER-02</t>
  </si>
  <si>
    <t>Ensaio de aderência (fita) e cura UV</t>
  </si>
  <si>
    <t>Postos SS</t>
  </si>
  <si>
    <t>IT-HFS-01</t>
  </si>
  <si>
    <t>Setup de hot foil (temperatura, pressão, velocidade)</t>
  </si>
  <si>
    <t>Postos HF</t>
  </si>
  <si>
    <t>HFS</t>
  </si>
  <si>
    <t>IT-REC-01</t>
  </si>
  <si>
    <t>Receção, quarentena e libertação de matéria-prima</t>
  </si>
  <si>
    <t>Responsável de Armazém e Logística</t>
  </si>
  <si>
    <t>Armazém; laboratório</t>
  </si>
  <si>
    <t>IT-EXP-02</t>
  </si>
  <si>
    <t>Carga e expedição com leitura de código de barras</t>
  </si>
  <si>
    <t>Em revisão</t>
  </si>
  <si>
    <t>Cais de expedição</t>
  </si>
  <si>
    <t>EXP</t>
  </si>
  <si>
    <t>IT-GER-01</t>
  </si>
  <si>
    <t>Parar para corrigir (andon) e retenção de produto suspeito</t>
  </si>
  <si>
    <t>Afixado</t>
  </si>
  <si>
    <t>Todos os postos</t>
  </si>
  <si>
    <t>LAB-M-12</t>
  </si>
  <si>
    <t>Método de ensaio do anel de inviolabilidade (força de rotura das pontes)</t>
  </si>
  <si>
    <t>Método de ensaio</t>
  </si>
  <si>
    <t>Laboratório</t>
  </si>
  <si>
    <t>Técnico(a) de Laboratório</t>
  </si>
  <si>
    <t>LAB-M-15</t>
  </si>
  <si>
    <t>Ensaio de migração global — EN 1186-3 (simulantes A e B)</t>
  </si>
  <si>
    <t>ESP-TP-013</t>
  </si>
  <si>
    <t>Especificação — tampa de pote 70 mm (força de remoção)</t>
  </si>
  <si>
    <t>Especificação</t>
  </si>
  <si>
    <t>ERP; laboratório</t>
  </si>
  <si>
    <t>Sim (8.3.5; 8.5.1 a)</t>
  </si>
  <si>
    <t>CQ-02</t>
  </si>
  <si>
    <t>Modelo de certificado de lote (inclui resultado do anel para farma)</t>
  </si>
  <si>
    <t>Modelo</t>
  </si>
  <si>
    <t>ERP</t>
  </si>
  <si>
    <t>IT-SOP-02</t>
  </si>
  <si>
    <t>Setup ISBM — versão 2019 (substituída pela IT-SOP-01 rev. 04)</t>
  </si>
  <si>
    <t>Obsoleto</t>
  </si>
  <si>
    <t>Eletrónico (arquivo)</t>
  </si>
  <si>
    <t>Arquivo de obsoletos</t>
  </si>
  <si>
    <t>DOCUMENTOS DE ORIGEM EXTERNA (7.5.3.2)</t>
  </si>
  <si>
    <t>ID_Externo</t>
  </si>
  <si>
    <t>Documento</t>
  </si>
  <si>
    <t>Edicao</t>
  </si>
  <si>
    <t>Processos</t>
  </si>
  <si>
    <t>Onde_Aplicado</t>
  </si>
  <si>
    <t>Data_Verificacao</t>
  </si>
  <si>
    <t>Proxima_Verificacao</t>
  </si>
  <si>
    <t>EXT-01</t>
  </si>
  <si>
    <t>ISO 9001:2026 — Sistemas de gestão da qualidade — Requisitos</t>
  </si>
  <si>
    <t>Norma</t>
  </si>
  <si>
    <t>6.ª edição, set/2026</t>
  </si>
  <si>
    <t>Todos</t>
  </si>
  <si>
    <t>Norma licenciada (versão oficial ES) na pasta de interpretação</t>
  </si>
  <si>
    <t>Atual</t>
  </si>
  <si>
    <t>EXT-02</t>
  </si>
  <si>
    <t>ISO 9000:2026 — Fundamentos e vocabulário</t>
  </si>
  <si>
    <t>2026</t>
  </si>
  <si>
    <t>Termos e definições</t>
  </si>
  <si>
    <t>EXT-03</t>
  </si>
  <si>
    <t>ISO 19011:2026 — Diretrizes para auditorias de sistemas de gestão</t>
  </si>
  <si>
    <t>4.ª edição, mai/2026</t>
  </si>
  <si>
    <t>EXT-04</t>
  </si>
  <si>
    <t>ISO 10012:2026 — Sistemas de gestão da medição</t>
  </si>
  <si>
    <t>fev/2026</t>
  </si>
  <si>
    <t>EXT-05</t>
  </si>
  <si>
    <t>ISO 2859-1:2026 — Amostragem por atributos</t>
  </si>
  <si>
    <t>PC-*</t>
  </si>
  <si>
    <t>EXT-06</t>
  </si>
  <si>
    <t>ISO 3951-1 — Amostragem por variáveis</t>
  </si>
  <si>
    <t>2022</t>
  </si>
  <si>
    <t>EXT-07</t>
  </si>
  <si>
    <t>ISO 10002:2018 — Tratamento de reclamações</t>
  </si>
  <si>
    <t>2018</t>
  </si>
  <si>
    <t>EXT-08</t>
  </si>
  <si>
    <t>ISO 10004:2018 — Monitorização e medição da satisfação</t>
  </si>
  <si>
    <t>EXT-09</t>
  </si>
  <si>
    <t>ISO 10015:2019 — Gestão de competências</t>
  </si>
  <si>
    <t>2019</t>
  </si>
  <si>
    <t>EXT-10</t>
  </si>
  <si>
    <t>ISO 10010:2022 — Cultura da qualidade</t>
  </si>
  <si>
    <t>RG-SGQ-03</t>
  </si>
  <si>
    <t>EXT-11</t>
  </si>
  <si>
    <t>ISO 10007:2017 — Gestão da configuração</t>
  </si>
  <si>
    <t>2017</t>
  </si>
  <si>
    <t>EXT-12</t>
  </si>
  <si>
    <t>ISO 10009:2024 — Ferramentas da qualidade</t>
  </si>
  <si>
    <t>2024</t>
  </si>
  <si>
    <t>PR-SGQ-06/07</t>
  </si>
  <si>
    <t>EXT-13</t>
  </si>
  <si>
    <t>Regulamento (CE) 1935/2004 — materiais em contacto com alimentos</t>
  </si>
  <si>
    <t>Legislação</t>
  </si>
  <si>
    <t>versão consolidada</t>
  </si>
  <si>
    <t>RD; LAB</t>
  </si>
  <si>
    <t>Requisitos CUST-015/016</t>
  </si>
  <si>
    <t>EXT-14</t>
  </si>
  <si>
    <t>Regulamento (UE) 10/2011 — materiais plásticos em contacto com alimentos</t>
  </si>
  <si>
    <t>versão consolidada 2025</t>
  </si>
  <si>
    <t>EXT-15</t>
  </si>
  <si>
    <t>Regulamento (CE) 2023/2006 — boas práticas de fabrico (FCM)</t>
  </si>
  <si>
    <t>PCP; EXP</t>
  </si>
  <si>
    <t>EXT-16</t>
  </si>
  <si>
    <t>Regulamento (UE) 2025/40 — embalagens (PPWR)</t>
  </si>
  <si>
    <t>aplicável desde 12/08/2026</t>
  </si>
  <si>
    <t>RG-SGA-20</t>
  </si>
  <si>
    <t>EXT-17</t>
  </si>
  <si>
    <t>21 CFR 211.132 — embalagens com evidência de violação (referência de clientes farma)</t>
  </si>
  <si>
    <t>Requisito de cliente / regulamento</t>
  </si>
  <si>
    <t>atual</t>
  </si>
  <si>
    <t>INJ; LAB</t>
  </si>
  <si>
    <t>EXT-18</t>
  </si>
  <si>
    <t>EN 1186-3:2022 — ensaio de migração global (imersão)</t>
  </si>
  <si>
    <t>EXT-19</t>
  </si>
  <si>
    <t>ASTM D2463-23 — resistência à queda de frascos</t>
  </si>
  <si>
    <t>2023</t>
  </si>
  <si>
    <t>EXT-20</t>
  </si>
  <si>
    <t>ASTM D3359 — aderência por fita</t>
  </si>
  <si>
    <t>EXT-21</t>
  </si>
  <si>
    <t>ISO 1133 / ASTM D1238 — índice de fluidez</t>
  </si>
  <si>
    <t>EXT-22</t>
  </si>
  <si>
    <t>ISO 8573-1 — qualidade do ar comprimido</t>
  </si>
  <si>
    <t>2010</t>
  </si>
  <si>
    <t>MOC-Q-26-11</t>
  </si>
  <si>
    <t>Por verificar</t>
  </si>
  <si>
    <t>EXT-23</t>
  </si>
  <si>
    <t>Especificações e acordos de qualidade de clientes (CUST-001 a 018)</t>
  </si>
  <si>
    <t>Requisito de cliente</t>
  </si>
  <si>
    <t>por cliente</t>
  </si>
  <si>
    <t>RG-SGQ-10</t>
  </si>
  <si>
    <t>EXT-24</t>
  </si>
  <si>
    <t>Certificados de análise e fichas técnicas de fornecedores (SUP-001 a 010)</t>
  </si>
  <si>
    <t>Documento de fornecedor</t>
  </si>
  <si>
    <t>por lote</t>
  </si>
  <si>
    <t>RETENÇÃO E PROTEÇÃO DOS REGISTOS (7.5.3)</t>
  </si>
  <si>
    <t>Registo</t>
  </si>
  <si>
    <t>Descricao</t>
  </si>
  <si>
    <t>Clausulas</t>
  </si>
  <si>
    <t>Exigencia</t>
  </si>
  <si>
    <t>Retencao</t>
  </si>
  <si>
    <t>Local_Suporte</t>
  </si>
  <si>
    <t>Protecao</t>
  </si>
  <si>
    <t>RG-SGQ-01</t>
  </si>
  <si>
    <t>Contexto, partes interessadas e âmbito</t>
  </si>
  <si>
    <t>4.1–4.3</t>
  </si>
  <si>
    <t>Obrigatório (4.3 âmbito)</t>
  </si>
  <si>
    <t>Até substituição + 5 anos</t>
  </si>
  <si>
    <t>Excel no repositório SGQ</t>
  </si>
  <si>
    <t>Edição só pelo Gerente da Qualidade</t>
  </si>
  <si>
    <t>Política, liderança e cultura</t>
  </si>
  <si>
    <t>5.1–5.3</t>
  </si>
  <si>
    <t>Obrigatório (5.2.2 a política)</t>
  </si>
  <si>
    <t>Edição só pela Direção</t>
  </si>
  <si>
    <t>RG-SGQ-05</t>
  </si>
  <si>
    <t>Objetivos, KPI e monitorização</t>
  </si>
  <si>
    <t>6.2; 9.1.1</t>
  </si>
  <si>
    <t>Obrigatório (6.2.1 g; 9.1.1 resultados)</t>
  </si>
  <si>
    <t>5 anos</t>
  </si>
  <si>
    <t>Excel + data warehouse</t>
  </si>
  <si>
    <t>Dados de origem imutáveis (bronze)</t>
  </si>
  <si>
    <t>RG-SGQ-06</t>
  </si>
  <si>
    <t>Alterações (MOC)</t>
  </si>
  <si>
    <t>6.3; 8.5.6</t>
  </si>
  <si>
    <t>Obrigatório (8.5.6 evidência)</t>
  </si>
  <si>
    <t>Vida do produto + 5 anos</t>
  </si>
  <si>
    <t>Assinatura eletrónica da autorização</t>
  </si>
  <si>
    <t>RG-SGQ-07</t>
  </si>
  <si>
    <t>Competências e formação</t>
  </si>
  <si>
    <t>7.2</t>
  </si>
  <si>
    <t>Obrigatório (7.2 evidência da competência)</t>
  </si>
  <si>
    <t>Duração do contrato + 5 anos</t>
  </si>
  <si>
    <t>Excel + plataforma de RH</t>
  </si>
  <si>
    <t>Dados pessoais — acesso restrito (RGPD)</t>
  </si>
  <si>
    <t>RG-SGQ-09</t>
  </si>
  <si>
    <t>Metrologia e MSA</t>
  </si>
  <si>
    <t>7.1.5</t>
  </si>
  <si>
    <t>Obrigatório (7.1.5.1; 7.1.5.2 a)</t>
  </si>
  <si>
    <t>Vida do equipamento + 5 anos</t>
  </si>
  <si>
    <t>Excel + certificados PDF</t>
  </si>
  <si>
    <t>Certificados em só leitura</t>
  </si>
  <si>
    <t>Revisão de requisitos e encomendas</t>
  </si>
  <si>
    <t>8.2.3</t>
  </si>
  <si>
    <t>Obrigatório (8.2.3.2)</t>
  </si>
  <si>
    <t>10 anos (farma) / 5 anos</t>
  </si>
  <si>
    <t>ERP + Excel</t>
  </si>
  <si>
    <t>Registo automático no ERP</t>
  </si>
  <si>
    <t>RG-SGQ-11</t>
  </si>
  <si>
    <t>Design e desenvolvimento</t>
  </si>
  <si>
    <t>8.3</t>
  </si>
  <si>
    <t>Obrigatório (8.3.3–8.3.6)</t>
  </si>
  <si>
    <t>Vida do produto + 10 anos</t>
  </si>
  <si>
    <t>Repositório de projeto</t>
  </si>
  <si>
    <t>Versões congeladas por fase</t>
  </si>
  <si>
    <t>RG-SGQ-12</t>
  </si>
  <si>
    <t>Avaliação de fornecedores</t>
  </si>
  <si>
    <t>8.4</t>
  </si>
  <si>
    <t>Obrigatório (8.4.1)</t>
  </si>
  <si>
    <t>Excel + ERP</t>
  </si>
  <si>
    <t>—</t>
  </si>
  <si>
    <t>RG-SGQ-13</t>
  </si>
  <si>
    <t>Libertação e rastreabilidade</t>
  </si>
  <si>
    <t>8.5.2; 8.6</t>
  </si>
  <si>
    <t>Obrigatório (8.5.2 d; 8.6)</t>
  </si>
  <si>
    <t>Validade do produto do cliente + 1 ano (mín. 5; farma 10)</t>
  </si>
  <si>
    <t>MES/ERP + Excel</t>
  </si>
  <si>
    <t>Registos de lote imutáveis após libertação</t>
  </si>
  <si>
    <t>RG-SGQ-14</t>
  </si>
  <si>
    <t>Saídas não conformes</t>
  </si>
  <si>
    <t>8.7</t>
  </si>
  <si>
    <t>Obrigatório (8.7.2)</t>
  </si>
  <si>
    <t>5 anos (farma 10)</t>
  </si>
  <si>
    <t>Excel + MES</t>
  </si>
  <si>
    <t>RG-SGQ-15</t>
  </si>
  <si>
    <t>Reclamações e satisfação</t>
  </si>
  <si>
    <t>9.1.2; 8.2.1</t>
  </si>
  <si>
    <t>Evidência (9.1.2 métodos)</t>
  </si>
  <si>
    <t>Excel + CRM</t>
  </si>
  <si>
    <t>Dados de contacto — acesso restrito</t>
  </si>
  <si>
    <t>RG-SGQ-16</t>
  </si>
  <si>
    <t>Auditoria interna</t>
  </si>
  <si>
    <t>9.2</t>
  </si>
  <si>
    <t>Obrigatório (9.2.2)</t>
  </si>
  <si>
    <t>2 ciclos de certificação</t>
  </si>
  <si>
    <t>RG-SGQ-17</t>
  </si>
  <si>
    <t>Revisão pela gestão</t>
  </si>
  <si>
    <t>9.3</t>
  </si>
  <si>
    <t>Obrigatório (9.3.3)</t>
  </si>
  <si>
    <t>10 anos</t>
  </si>
  <si>
    <t>Excel + ata assinada</t>
  </si>
  <si>
    <t>Ata em PDF assinada</t>
  </si>
  <si>
    <t>RG-SGQ-18</t>
  </si>
  <si>
    <t>NC e ações corretivas</t>
  </si>
  <si>
    <t>10.2</t>
  </si>
  <si>
    <t>Obrigatório (10.2.2)</t>
  </si>
  <si>
    <t>Excel + software de CAPA</t>
  </si>
  <si>
    <t>REG-OP-01</t>
  </si>
  <si>
    <t>Registos de autocontrolo e SPC no posto</t>
  </si>
  <si>
    <t>8.5.1</t>
  </si>
  <si>
    <t>Necessário (8.5.1 c)</t>
  </si>
  <si>
    <t>MES</t>
  </si>
  <si>
    <t>Recolha automática quando possível</t>
  </si>
  <si>
    <t>MATRIZ DE COMUNICAÇÃO DO SGQ (7.4)</t>
  </si>
  <si>
    <t>ID_Comunicacao</t>
  </si>
  <si>
    <t>O_Que_Mensagem</t>
  </si>
  <si>
    <t>A_Quem_Publico</t>
  </si>
  <si>
    <t>Quando_Momento</t>
  </si>
  <si>
    <t>Como_Canal</t>
  </si>
  <si>
    <t>Responsavel</t>
  </si>
  <si>
    <t>COM-Q-01</t>
  </si>
  <si>
    <t>Interna</t>
  </si>
  <si>
    <t>Desempenho da qualidade (KPI, objetivos)</t>
  </si>
  <si>
    <t>Todos os colaboradores</t>
  </si>
  <si>
    <t>Mensal</t>
  </si>
  <si>
    <t>Quadros de KPI por área; reunião geral trimestral</t>
  </si>
  <si>
    <t>COM-Q-02</t>
  </si>
  <si>
    <t>Interna/externa</t>
  </si>
  <si>
    <t>Política da qualidade e alterações</t>
  </si>
  <si>
    <t>Todos; partes interessadas</t>
  </si>
  <si>
    <t>Na aprovação e anual</t>
  </si>
  <si>
    <t>Afixação; intranet; site</t>
  </si>
  <si>
    <t>COM-Q-03</t>
  </si>
  <si>
    <t>Alertas de qualidade (defeito recorrente, reclamação crítica)</t>
  </si>
  <si>
    <t>Operadores e chefias da área</t>
  </si>
  <si>
    <t>No próprio turno</t>
  </si>
  <si>
    <t>Alerta de qualidade no posto + reunião de arranque</t>
  </si>
  <si>
    <t>COM-Q-04</t>
  </si>
  <si>
    <t>Resultados de auditorias internas</t>
  </si>
  <si>
    <t>Dono do processo; Direção</t>
  </si>
  <si>
    <t>Após cada auditoria</t>
  </si>
  <si>
    <t>Relatório de auditoria</t>
  </si>
  <si>
    <t>Auditor(a) Interno(a) do SGQ</t>
  </si>
  <si>
    <t>COM-Q-05</t>
  </si>
  <si>
    <t>Alterações a processos e documentos</t>
  </si>
  <si>
    <t>Pessoas afetadas</t>
  </si>
  <si>
    <t>Antes da implementação</t>
  </si>
  <si>
    <t>Formação no posto; nota de alteração</t>
  </si>
  <si>
    <t>COM-Q-06</t>
  </si>
  <si>
    <t>Externa</t>
  </si>
  <si>
    <t>Requisitos de qualidade a fornecedores</t>
  </si>
  <si>
    <t>Fornecedores</t>
  </si>
  <si>
    <t>Na encomenda e na alteração</t>
  </si>
  <si>
    <t>Encomenda + especificação + acordo de qualidade</t>
  </si>
  <si>
    <t>COM-Q-07</t>
  </si>
  <si>
    <t>Desempenho do fornecedor (scorecard)</t>
  </si>
  <si>
    <t>Trimestral</t>
  </si>
  <si>
    <t>Relatório de scorecard; reunião</t>
  </si>
  <si>
    <t>COM-Q-08</t>
  </si>
  <si>
    <t>Notificação ao organismo de certificação de alterações significativas</t>
  </si>
  <si>
    <t>Organismo de certificação</t>
  </si>
  <si>
    <t>Por ocorrência</t>
  </si>
  <si>
    <t>Correio eletrónico formal</t>
  </si>
  <si>
    <t>COMUNICAÇÃO COM O CLIENTE (8.2.1)</t>
  </si>
  <si>
    <t>ISO 9001:2026 8.2.1 e): informação sobre ações de contingência, incluindo disrupções no fornecimento</t>
  </si>
  <si>
    <t>ID</t>
  </si>
  <si>
    <t>Alinea_8_2_1</t>
  </si>
  <si>
    <t>Conteudo</t>
  </si>
  <si>
    <t>Canal</t>
  </si>
  <si>
    <t>Frequencia</t>
  </si>
  <si>
    <t>COMC-01</t>
  </si>
  <si>
    <t>a) Informação sobre produtos</t>
  </si>
  <si>
    <t>Fichas técnicas, especificações, declarações de conformidade (FCM, PPWR)</t>
  </si>
  <si>
    <t>Portal do cliente; correio eletrónico</t>
  </si>
  <si>
    <t>Por pedido e em cada revisão</t>
  </si>
  <si>
    <t>COMC-02</t>
  </si>
  <si>
    <t>b) Consultas, contratos e encomendas, incluindo alterações</t>
  </si>
  <si>
    <t>Propostas, confirmação de encomenda com revisão de requisitos</t>
  </si>
  <si>
    <t>ERP (confirmação automática)</t>
  </si>
  <si>
    <t>Gestor(a) de Cliente (Key Account)</t>
  </si>
  <si>
    <t>Por encomenda</t>
  </si>
  <si>
    <t>COMC-03</t>
  </si>
  <si>
    <t>c) Feedback, incluindo reclamações</t>
  </si>
  <si>
    <t>Reclamações (ISO 10002), inquérito semestral, reuniões de conta</t>
  </si>
  <si>
    <t>Portal; correio; reuniões</t>
  </si>
  <si>
    <t>Contínuo / semestral</t>
  </si>
  <si>
    <t>COMC-04</t>
  </si>
  <si>
    <t>d) Propriedade do cliente</t>
  </si>
  <si>
    <t>Moldes, artwork e ficheiros de cor do cliente: receção, estado, perdas/danos</t>
  </si>
  <si>
    <t>Correio eletrónico + registo RG-SGQ-10</t>
  </si>
  <si>
    <t>COMC-05</t>
  </si>
  <si>
    <t>e) Ações de contingência (novo 2026)</t>
  </si>
  <si>
    <t>Plano de contingência por cliente: stock de segurança, moldes alternativos, aviso prévio de disrupção</t>
  </si>
  <si>
    <t>Acordo de qualidade + notificação em 24 h</t>
  </si>
  <si>
    <t>Anual e por ocorrência</t>
  </si>
  <si>
    <t>COMC-06</t>
  </si>
  <si>
    <t>e) Notificação de disrupção</t>
  </si>
  <si>
    <t>Ex.: falta de resina (R15), avaria prolongada (ISBM-005), onda de calor — nova data e medidas</t>
  </si>
  <si>
    <t>Telefone + correio eletrónico em 24 h</t>
  </si>
  <si>
    <t>ESTADO DA INFORMAÇÃO DOCUMENTADA — calculado</t>
  </si>
  <si>
    <t>Indicador</t>
  </si>
  <si>
    <t>Valor</t>
  </si>
  <si>
    <t>Documentos em vigor</t>
  </si>
  <si>
    <t>Documentos em revisão</t>
  </si>
  <si>
    <t>Documentos obsoletos arquivados</t>
  </si>
  <si>
    <t>Documentos com revisão vencida</t>
  </si>
  <si>
    <t>Documentos a rever nos próximos 60 dias</t>
  </si>
  <si>
    <t>Documentos exigidos pela ISO 9001:2026</t>
  </si>
  <si>
    <t>Documentos determinados pela organização (C)</t>
  </si>
  <si>
    <t>Documentos externos a verificar/rever</t>
  </si>
  <si>
    <t>LISTAS CONTROLADAS (domínios de validação de dados) — editar aqui para alterar opções</t>
  </si>
  <si>
    <t>DataReferencia</t>
  </si>
  <si>
    <t>TipoDoc</t>
  </si>
  <si>
    <t>EstadoDoc</t>
  </si>
  <si>
    <t>Funcao</t>
  </si>
  <si>
    <t>TipoExt</t>
  </si>
  <si>
    <t>EstadoExt</t>
  </si>
  <si>
    <t>Direcao</t>
  </si>
  <si>
    <t>Substituído</t>
  </si>
  <si>
    <t>Técnico(a) da Qualidade / Inspetor(a)</t>
  </si>
  <si>
    <t>Chefe de Turno</t>
  </si>
  <si>
    <t>Operador(a) de Injeção</t>
  </si>
  <si>
    <t>Operador(a) de Sopro (ISBM)</t>
  </si>
  <si>
    <t>Operador(a) de Serigrafia</t>
  </si>
  <si>
    <t>Operador(a) de Hot Foil</t>
  </si>
  <si>
    <t>Técnico(a) de Manutenção</t>
  </si>
  <si>
    <t>Técnico(a) de Metrologia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</si>
  <si>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</si>
  <si>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</si>
  <si>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</si>
  <si>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</si>
  <si>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</si>
  <si>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</si>
  <si>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Origem</t>
  </si>
  <si>
    <t>Dominio_Unidade</t>
  </si>
  <si>
    <t>Obrigatorio</t>
  </si>
  <si>
    <t>Chave</t>
  </si>
  <si>
    <t>tbl_lista_mestra</t>
  </si>
  <si>
    <t>Texto</t>
  </si>
  <si>
    <t>Entrada</t>
  </si>
  <si>
    <t>Código do documento.</t>
  </si>
  <si>
    <t>Sim</t>
  </si>
  <si>
    <t>PK</t>
  </si>
  <si>
    <t>Título.</t>
  </si>
  <si>
    <t>Tipo.</t>
  </si>
  <si>
    <t>Lista lst_TipoDoc</t>
  </si>
  <si>
    <t>Revisão.</t>
  </si>
  <si>
    <t>Data (aaaa-mm-dd)</t>
  </si>
  <si>
    <t>Data de aprovação.</t>
  </si>
  <si>
    <t>Quem aprovou (7.5.2 c).</t>
  </si>
  <si>
    <t>Lista lst_Funcao</t>
  </si>
  <si>
    <t>Estado.</t>
  </si>
  <si>
    <t>Lista lst_EstadoDoc</t>
  </si>
  <si>
    <t>Formato e suporte (7.5.2 b).</t>
  </si>
  <si>
    <t>Onde está disponível (7.5.3.2 a).</t>
  </si>
  <si>
    <t>Calculado (fórmula)</t>
  </si>
  <si>
    <t>Data de aprovação + periodicidade.</t>
  </si>
  <si>
    <t>Alerta de revisão.</t>
  </si>
  <si>
    <t>[Só SGQ] Processo.</t>
  </si>
  <si>
    <t>Lista lst_Processo</t>
  </si>
  <si>
    <t>[Só SGQ] Quem elaborou.</t>
  </si>
  <si>
    <t>Inteiro</t>
  </si>
  <si>
    <t>[Só SGQ] Periodicidade da revisão.</t>
  </si>
  <si>
    <t>[Só SGQ] Exigido pela ISO 9001:2026 ou (C) determinado pela organização (7.5.1 b).</t>
  </si>
  <si>
    <t>tbl_doc_externos</t>
  </si>
  <si>
    <t>Documento externo.</t>
  </si>
  <si>
    <t>Lista lst_TipoExt</t>
  </si>
  <si>
    <t>Edição / versão em uso.</t>
  </si>
  <si>
    <t>Processos que o usam.</t>
  </si>
  <si>
    <t>Documento interno que o aplica.</t>
  </si>
  <si>
    <t>Última verificação da atualidade.</t>
  </si>
  <si>
    <t>Lista lst_EstadoExt</t>
  </si>
  <si>
    <t>Verificação anual.</t>
  </si>
  <si>
    <t>Alerta.</t>
  </si>
  <si>
    <t>tbl_retencao</t>
  </si>
  <si>
    <t>Registo.</t>
  </si>
  <si>
    <t>Conteúdo.</t>
  </si>
  <si>
    <t>Cláusulas.</t>
  </si>
  <si>
    <t>Obrigatório pela norma ou necessário à eficácia.</t>
  </si>
  <si>
    <t>Tempo de conservação (7.5.3.2 d).</t>
  </si>
  <si>
    <t>Armazenamento e preservação (7.5.3.2 b).</t>
  </si>
  <si>
    <t>Proteção contra alterações não intencionais e acesso (7.5.3.1 b).</t>
  </si>
  <si>
    <t>tbl_comunicacao</t>
  </si>
  <si>
    <t>Comunicação.</t>
  </si>
  <si>
    <t>Interna / externa.</t>
  </si>
  <si>
    <t>Lista lst_Direcao</t>
  </si>
  <si>
    <t>a) o que comunicar.</t>
  </si>
  <si>
    <t>c) a quem.</t>
  </si>
  <si>
    <t>b) quando.</t>
  </si>
  <si>
    <t>d) como.</t>
  </si>
  <si>
    <t>e) quem comunica.</t>
  </si>
  <si>
    <t>tbl_comunicacao_cliente</t>
  </si>
  <si>
    <t>Linha.</t>
  </si>
  <si>
    <t>Alínea de 8.2.1.</t>
  </si>
  <si>
    <t>O que se comunica.</t>
  </si>
  <si>
    <t>Canal.</t>
  </si>
  <si>
    <t>Responsável.</t>
  </si>
  <si>
    <t>Frequência.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</si>
</sst>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0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sta_mestra" displayName="tbl_lista_mestra" ref="A4:O53">
  <autoFilter ref="A4:O53" xr:uid="{00000000-0009-0000-0100-000001000000}"/>
  <tableColumns count="15">
    <tableColumn id="1" xr3:uid="{00000000-0010-0000-0000-000001000000}" name="Codigo"/>
    <tableColumn id="2" xr3:uid="{00000000-0010-0000-0000-000002000000}" name="Titulo"/>
    <tableColumn id="3" xr3:uid="{00000000-0010-0000-0000-000003000000}" name="Tipo"/>
    <tableColumn id="4" xr3:uid="{00000000-0010-0000-0000-000004000000}" name="Versao"/>
    <tableColumn id="5" xr3:uid="{00000000-0010-0000-0000-000005000000}" name="Data_Aprovacao"/>
    <tableColumn id="6" xr3:uid="{00000000-0010-0000-0000-000006000000}" name="Aprovador"/>
    <tableColumn id="7" xr3:uid="{00000000-0010-0000-0000-000007000000}" name="Estado"/>
    <tableColumn id="8" xr3:uid="{00000000-0010-0000-0000-000008000000}" name="Localizacao"/>
    <tableColumn id="9" xr3:uid="{00000000-0010-0000-0000-000009000000}" name="Ponto_de_Uso"/>
    <tableColumn id="10" xr3:uid="{00000000-0010-0000-0000-00000A000000}" name="Proxima_Revisao"/>
    <tableColumn id="11" xr3:uid="{00000000-0010-0000-0000-00000B000000}" name="Alerta"/>
    <tableColumn id="12" xr3:uid="{00000000-0010-0000-0000-00000C000000}" name="Processo"/>
    <tableColumn id="13" xr3:uid="{00000000-0010-0000-0000-00000D000000}" name="Elaborado"/>
    <tableColumn id="14" xr3:uid="{00000000-0010-0000-0000-00000E000000}" name="Periodicidade_Meses"/>
    <tableColumn id="15" xr3:uid="{00000000-0010-0000-0000-00000F000000}" name="Exigido_IS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oc_externos" displayName="tbl_doc_externos" ref="A4:J28">
  <autoFilter ref="A4:J28" xr:uid="{00000000-0009-0000-0100-000002000000}"/>
  <tableColumns count="10">
    <tableColumn id="1" xr3:uid="{00000000-0010-0000-0100-000001000000}" name="ID_Externo"/>
    <tableColumn id="2" xr3:uid="{00000000-0010-0000-0100-000002000000}" name="Documento"/>
    <tableColumn id="3" xr3:uid="{00000000-0010-0000-0100-000003000000}" name="Tipo"/>
    <tableColumn id="4" xr3:uid="{00000000-0010-0000-0100-000004000000}" name="Edicao"/>
    <tableColumn id="5" xr3:uid="{00000000-0010-0000-0100-000005000000}" name="Processos"/>
    <tableColumn id="6" xr3:uid="{00000000-0010-0000-0100-000006000000}" name="Onde_Aplicado"/>
    <tableColumn id="7" xr3:uid="{00000000-0010-0000-0100-000007000000}" name="Data_Verificacao"/>
    <tableColumn id="8" xr3:uid="{00000000-0010-0000-0100-000008000000}" name="Estado"/>
    <tableColumn id="9" xr3:uid="{00000000-0010-0000-0100-000009000000}" name="Proxima_Verificacao"/>
    <tableColumn id="10" xr3:uid="{00000000-0010-0000-0100-00000A000000}" name="Alert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tencao" displayName="tbl_retencao" ref="A4:G20">
  <autoFilter ref="A4:G20" xr:uid="{00000000-0009-0000-0100-000003000000}"/>
  <tableColumns count="7">
    <tableColumn id="1" xr3:uid="{00000000-0010-0000-0200-000001000000}" name="Registo"/>
    <tableColumn id="2" xr3:uid="{00000000-0010-0000-0200-000002000000}" name="Descricao"/>
    <tableColumn id="3" xr3:uid="{00000000-0010-0000-0200-000003000000}" name="Clausulas"/>
    <tableColumn id="4" xr3:uid="{00000000-0010-0000-0200-000004000000}" name="Exigencia"/>
    <tableColumn id="5" xr3:uid="{00000000-0010-0000-0200-000005000000}" name="Retencao"/>
    <tableColumn id="6" xr3:uid="{00000000-0010-0000-0200-000006000000}" name="Local_Suporte"/>
    <tableColumn id="7" xr3:uid="{00000000-0010-0000-0200-000007000000}" name="Prote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municacao" displayName="tbl_comunicacao" ref="A4:G12">
  <autoFilter ref="A4:G12" xr:uid="{00000000-0009-0000-0100-000004000000}"/>
  <tableColumns count="7">
    <tableColumn id="1" xr3:uid="{00000000-0010-0000-0300-000001000000}" name="ID_Comunicacao"/>
    <tableColumn id="2" xr3:uid="{00000000-0010-0000-0300-000002000000}" name="Tipo"/>
    <tableColumn id="3" xr3:uid="{00000000-0010-0000-0300-000003000000}" name="O_Que_Mensagem"/>
    <tableColumn id="4" xr3:uid="{00000000-0010-0000-0300-000004000000}" name="A_Quem_Publico"/>
    <tableColumn id="5" xr3:uid="{00000000-0010-0000-0300-000005000000}" name="Quando_Momento"/>
    <tableColumn id="6" xr3:uid="{00000000-0010-0000-0300-000006000000}" name="Como_Canal"/>
    <tableColumn id="7" xr3:uid="{00000000-0010-0000-0300-000007000000}" name="Responsave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omunicacao_cliente" displayName="tbl_comunicacao_cliente" ref="A4:F10">
  <autoFilter ref="A4:F10" xr:uid="{00000000-0009-0000-0100-000005000000}"/>
  <tableColumns count="6">
    <tableColumn id="1" xr3:uid="{00000000-0010-0000-0400-000001000000}" name="ID"/>
    <tableColumn id="2" xr3:uid="{00000000-0010-0000-0400-000002000000}" name="Alinea_8_2_1"/>
    <tableColumn id="3" xr3:uid="{00000000-0010-0000-0400-000003000000}" name="Conteudo"/>
    <tableColumn id="4" xr3:uid="{00000000-0010-0000-0400-000004000000}" name="Canal"/>
    <tableColumn id="5" xr3:uid="{00000000-0010-0000-0400-000005000000}" name="Responsavel"/>
    <tableColumn id="6" xr3:uid="{00000000-0010-0000-0400-000006000000}" name="Frequencia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46">
  <autoFilter ref="A1:I46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5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5" spans="1:2" x14ac:dyDescent="0.3">
      <c r="A35" s="3" t="s">
        <v>51</v>
      </c>
      <c r="B35" s="4"/>
    </row>
    <row r="36" spans="1:2" ht="26.4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  <row r="40" spans="1:2" ht="26.4" x14ac:dyDescent="0.3">
      <c r="A40" s="5" t="s">
        <v>60</v>
      </c>
      <c r="B40" s="6" t="s">
        <v>61</v>
      </c>
    </row>
    <row r="41" spans="1:2" ht="39.6" x14ac:dyDescent="0.3">
      <c r="A41" s="5" t="s">
        <v>62</v>
      </c>
      <c r="B41" s="6" t="s">
        <v>63</v>
      </c>
    </row>
    <row r="43" spans="1:2" x14ac:dyDescent="0.3">
      <c r="A43" s="3" t="s">
        <v>64</v>
      </c>
      <c r="B43" s="4"/>
    </row>
    <row r="44" spans="1:2" x14ac:dyDescent="0.3">
      <c r="A44" s="5" t="s">
        <v>65</v>
      </c>
      <c r="B44" s="6" t="s">
        <v>66</v>
      </c>
    </row>
    <row r="45" spans="1:2" x14ac:dyDescent="0.3">
      <c r="A45" s="5" t="s">
        <v>67</v>
      </c>
      <c r="B45" s="6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3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48" customWidth="1"/>
    <col min="3" max="3" width="14" customWidth="1"/>
    <col min="4" max="4" width="6" customWidth="1"/>
    <col min="5" max="5" width="11" customWidth="1"/>
    <col min="6" max="6" width="22" customWidth="1"/>
    <col min="7" max="7" width="10" customWidth="1"/>
    <col min="8" max="8" width="18" customWidth="1"/>
    <col min="9" max="9" width="24" customWidth="1"/>
    <col min="10" max="10" width="11" customWidth="1"/>
    <col min="11" max="11" width="14" customWidth="1"/>
    <col min="12" max="12" width="7" customWidth="1"/>
    <col min="13" max="13" width="22" customWidth="1"/>
    <col min="14" max="14" width="9" customWidth="1"/>
    <col min="15" max="15" width="16" customWidth="1"/>
  </cols>
  <sheetData>
    <row r="1" spans="1:15" ht="17.399999999999999" x14ac:dyDescent="0.3">
      <c r="A1" s="1" t="s">
        <v>69</v>
      </c>
    </row>
    <row r="2" spans="1:15" x14ac:dyDescent="0.3">
      <c r="A2" s="2" t="s">
        <v>70</v>
      </c>
    </row>
    <row r="4" spans="1:15" ht="39.6" x14ac:dyDescent="0.3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14</v>
      </c>
      <c r="H4" s="8" t="s">
        <v>77</v>
      </c>
      <c r="I4" s="8" t="s">
        <v>78</v>
      </c>
      <c r="J4" s="9" t="s">
        <v>79</v>
      </c>
      <c r="K4" s="9" t="s">
        <v>80</v>
      </c>
      <c r="L4" s="8" t="s">
        <v>81</v>
      </c>
      <c r="M4" s="8" t="s">
        <v>82</v>
      </c>
      <c r="N4" s="8" t="s">
        <v>83</v>
      </c>
      <c r="O4" s="8" t="s">
        <v>84</v>
      </c>
    </row>
    <row r="5" spans="1:15" ht="30" customHeight="1" x14ac:dyDescent="0.3">
      <c r="A5" s="10" t="s">
        <v>85</v>
      </c>
      <c r="B5" s="10" t="s">
        <v>86</v>
      </c>
      <c r="C5" s="10" t="s">
        <v>87</v>
      </c>
      <c r="D5" s="10" t="s">
        <v>8</v>
      </c>
      <c r="E5" s="11">
        <v>46293</v>
      </c>
      <c r="F5" s="10" t="s">
        <v>88</v>
      </c>
      <c r="G5" s="10" t="s">
        <v>15</v>
      </c>
      <c r="H5" s="10" t="s">
        <v>89</v>
      </c>
      <c r="I5" s="10" t="s">
        <v>90</v>
      </c>
      <c r="J5" s="12">
        <f t="shared" ref="J5:J36" si="0">IF(OR(A5="",G5="Obsoleto"),"",EDATE(E5,N5))</f>
        <v>46658</v>
      </c>
      <c r="K5" s="13" t="str">
        <f t="shared" ref="K5:K36" si="1">IF(A5="","",IF(G5="Obsoleto","Arquivo",IF(J5&lt;DataRef,"Revisão vencida",IF(J5&lt;DataRef+60,"Rever em 60 dias","OK"))))</f>
        <v>OK</v>
      </c>
      <c r="L5" s="10" t="s">
        <v>91</v>
      </c>
      <c r="M5" s="10" t="s">
        <v>11</v>
      </c>
      <c r="N5" s="14">
        <v>12</v>
      </c>
      <c r="O5" s="10" t="s">
        <v>92</v>
      </c>
    </row>
    <row r="6" spans="1:15" ht="30" customHeight="1" x14ac:dyDescent="0.3">
      <c r="A6" s="10" t="s">
        <v>93</v>
      </c>
      <c r="B6" s="10" t="s">
        <v>94</v>
      </c>
      <c r="C6" s="10" t="s">
        <v>95</v>
      </c>
      <c r="D6" s="10" t="s">
        <v>8</v>
      </c>
      <c r="E6" s="11">
        <v>46293</v>
      </c>
      <c r="F6" s="10" t="s">
        <v>88</v>
      </c>
      <c r="G6" s="10" t="s">
        <v>15</v>
      </c>
      <c r="H6" s="10" t="s">
        <v>96</v>
      </c>
      <c r="I6" s="10" t="s">
        <v>97</v>
      </c>
      <c r="J6" s="12">
        <f t="shared" si="0"/>
        <v>46658</v>
      </c>
      <c r="K6" s="13" t="str">
        <f t="shared" si="1"/>
        <v>OK</v>
      </c>
      <c r="L6" s="10" t="s">
        <v>91</v>
      </c>
      <c r="M6" s="10" t="s">
        <v>11</v>
      </c>
      <c r="N6" s="14">
        <v>12</v>
      </c>
      <c r="O6" s="10" t="s">
        <v>98</v>
      </c>
    </row>
    <row r="7" spans="1:15" ht="30" customHeight="1" x14ac:dyDescent="0.3">
      <c r="A7" s="10" t="s">
        <v>99</v>
      </c>
      <c r="B7" s="10" t="s">
        <v>100</v>
      </c>
      <c r="C7" s="10" t="s">
        <v>101</v>
      </c>
      <c r="D7" s="10" t="s">
        <v>8</v>
      </c>
      <c r="E7" s="11">
        <v>46293</v>
      </c>
      <c r="F7" s="10" t="s">
        <v>88</v>
      </c>
      <c r="G7" s="10" t="s">
        <v>15</v>
      </c>
      <c r="H7" s="10" t="s">
        <v>96</v>
      </c>
      <c r="I7" s="10" t="s">
        <v>102</v>
      </c>
      <c r="J7" s="12">
        <f t="shared" si="0"/>
        <v>47024</v>
      </c>
      <c r="K7" s="13" t="str">
        <f t="shared" si="1"/>
        <v>OK</v>
      </c>
      <c r="L7" s="10" t="s">
        <v>91</v>
      </c>
      <c r="M7" s="10" t="s">
        <v>11</v>
      </c>
      <c r="N7" s="14">
        <v>24</v>
      </c>
      <c r="O7" s="10" t="s">
        <v>103</v>
      </c>
    </row>
    <row r="8" spans="1:15" ht="30" customHeight="1" x14ac:dyDescent="0.3">
      <c r="A8" s="10" t="s">
        <v>104</v>
      </c>
      <c r="B8" s="10" t="s">
        <v>105</v>
      </c>
      <c r="C8" s="10" t="s">
        <v>101</v>
      </c>
      <c r="D8" s="10" t="s">
        <v>106</v>
      </c>
      <c r="E8" s="11">
        <v>46293</v>
      </c>
      <c r="F8" s="10" t="s">
        <v>88</v>
      </c>
      <c r="G8" s="10" t="s">
        <v>15</v>
      </c>
      <c r="H8" s="10" t="s">
        <v>96</v>
      </c>
      <c r="I8" s="10" t="s">
        <v>102</v>
      </c>
      <c r="J8" s="12">
        <f t="shared" si="0"/>
        <v>47024</v>
      </c>
      <c r="K8" s="13" t="str">
        <f t="shared" si="1"/>
        <v>OK</v>
      </c>
      <c r="L8" s="10" t="s">
        <v>107</v>
      </c>
      <c r="M8" s="10" t="s">
        <v>11</v>
      </c>
      <c r="N8" s="14">
        <v>24</v>
      </c>
      <c r="O8" s="10" t="s">
        <v>103</v>
      </c>
    </row>
    <row r="9" spans="1:15" ht="30" customHeight="1" x14ac:dyDescent="0.3">
      <c r="A9" s="10" t="s">
        <v>108</v>
      </c>
      <c r="B9" s="10" t="s">
        <v>109</v>
      </c>
      <c r="C9" s="10" t="s">
        <v>101</v>
      </c>
      <c r="D9" s="10" t="s">
        <v>8</v>
      </c>
      <c r="E9" s="11">
        <v>46287</v>
      </c>
      <c r="F9" s="10" t="s">
        <v>110</v>
      </c>
      <c r="G9" s="10" t="s">
        <v>15</v>
      </c>
      <c r="H9" s="10" t="s">
        <v>96</v>
      </c>
      <c r="I9" s="10" t="s">
        <v>102</v>
      </c>
      <c r="J9" s="12">
        <f t="shared" si="0"/>
        <v>47018</v>
      </c>
      <c r="K9" s="13" t="str">
        <f t="shared" si="1"/>
        <v>OK</v>
      </c>
      <c r="L9" s="10" t="s">
        <v>111</v>
      </c>
      <c r="M9" s="10" t="s">
        <v>11</v>
      </c>
      <c r="N9" s="14">
        <v>24</v>
      </c>
      <c r="O9" s="10" t="s">
        <v>103</v>
      </c>
    </row>
    <row r="10" spans="1:15" ht="30" customHeight="1" x14ac:dyDescent="0.3">
      <c r="A10" s="10" t="s">
        <v>112</v>
      </c>
      <c r="B10" s="10" t="s">
        <v>113</v>
      </c>
      <c r="C10" s="10" t="s">
        <v>101</v>
      </c>
      <c r="D10" s="10" t="s">
        <v>8</v>
      </c>
      <c r="E10" s="11">
        <v>46289</v>
      </c>
      <c r="F10" s="10" t="s">
        <v>88</v>
      </c>
      <c r="G10" s="10" t="s">
        <v>15</v>
      </c>
      <c r="H10" s="10" t="s">
        <v>96</v>
      </c>
      <c r="I10" s="10" t="s">
        <v>102</v>
      </c>
      <c r="J10" s="12">
        <f t="shared" si="0"/>
        <v>47020</v>
      </c>
      <c r="K10" s="13" t="str">
        <f t="shared" si="1"/>
        <v>OK</v>
      </c>
      <c r="L10" s="10" t="s">
        <v>111</v>
      </c>
      <c r="M10" s="10" t="s">
        <v>11</v>
      </c>
      <c r="N10" s="14">
        <v>24</v>
      </c>
      <c r="O10" s="10" t="s">
        <v>103</v>
      </c>
    </row>
    <row r="11" spans="1:15" ht="30" customHeight="1" x14ac:dyDescent="0.3">
      <c r="A11" s="10" t="s">
        <v>114</v>
      </c>
      <c r="B11" s="10" t="s">
        <v>115</v>
      </c>
      <c r="C11" s="10" t="s">
        <v>101</v>
      </c>
      <c r="D11" s="10" t="s">
        <v>116</v>
      </c>
      <c r="E11" s="11">
        <v>46287</v>
      </c>
      <c r="F11" s="10" t="s">
        <v>88</v>
      </c>
      <c r="G11" s="10" t="s">
        <v>15</v>
      </c>
      <c r="H11" s="10" t="s">
        <v>96</v>
      </c>
      <c r="I11" s="10" t="s">
        <v>102</v>
      </c>
      <c r="J11" s="12">
        <f t="shared" si="0"/>
        <v>47018</v>
      </c>
      <c r="K11" s="13" t="str">
        <f t="shared" si="1"/>
        <v>OK</v>
      </c>
      <c r="L11" s="10" t="s">
        <v>111</v>
      </c>
      <c r="M11" s="10" t="s">
        <v>11</v>
      </c>
      <c r="N11" s="14">
        <v>24</v>
      </c>
      <c r="O11" s="10" t="s">
        <v>103</v>
      </c>
    </row>
    <row r="12" spans="1:15" ht="30" customHeight="1" x14ac:dyDescent="0.3">
      <c r="A12" s="10" t="s">
        <v>117</v>
      </c>
      <c r="B12" s="10" t="s">
        <v>118</v>
      </c>
      <c r="C12" s="10" t="s">
        <v>101</v>
      </c>
      <c r="D12" s="10" t="s">
        <v>116</v>
      </c>
      <c r="E12" s="11">
        <v>46122</v>
      </c>
      <c r="F12" s="10" t="s">
        <v>110</v>
      </c>
      <c r="G12" s="10" t="s">
        <v>15</v>
      </c>
      <c r="H12" s="10" t="s">
        <v>96</v>
      </c>
      <c r="I12" s="10" t="s">
        <v>102</v>
      </c>
      <c r="J12" s="12">
        <f t="shared" si="0"/>
        <v>46853</v>
      </c>
      <c r="K12" s="13" t="str">
        <f t="shared" si="1"/>
        <v>OK</v>
      </c>
      <c r="L12" s="10" t="s">
        <v>111</v>
      </c>
      <c r="M12" s="10" t="s">
        <v>11</v>
      </c>
      <c r="N12" s="14">
        <v>24</v>
      </c>
      <c r="O12" s="10" t="s">
        <v>103</v>
      </c>
    </row>
    <row r="13" spans="1:15" ht="30" customHeight="1" x14ac:dyDescent="0.3">
      <c r="A13" s="10" t="s">
        <v>119</v>
      </c>
      <c r="B13" s="10" t="s">
        <v>120</v>
      </c>
      <c r="C13" s="10" t="s">
        <v>101</v>
      </c>
      <c r="D13" s="10" t="s">
        <v>8</v>
      </c>
      <c r="E13" s="11">
        <v>45823</v>
      </c>
      <c r="F13" s="10" t="s">
        <v>110</v>
      </c>
      <c r="G13" s="10" t="s">
        <v>15</v>
      </c>
      <c r="H13" s="10" t="s">
        <v>96</v>
      </c>
      <c r="I13" s="10" t="s">
        <v>102</v>
      </c>
      <c r="J13" s="12">
        <f t="shared" si="0"/>
        <v>46553</v>
      </c>
      <c r="K13" s="13" t="str">
        <f t="shared" si="1"/>
        <v>OK</v>
      </c>
      <c r="L13" s="10" t="s">
        <v>111</v>
      </c>
      <c r="M13" s="10" t="s">
        <v>11</v>
      </c>
      <c r="N13" s="14">
        <v>24</v>
      </c>
      <c r="O13" s="10" t="s">
        <v>103</v>
      </c>
    </row>
    <row r="14" spans="1:15" ht="30" customHeight="1" x14ac:dyDescent="0.3">
      <c r="A14" s="10" t="s">
        <v>121</v>
      </c>
      <c r="B14" s="10" t="s">
        <v>122</v>
      </c>
      <c r="C14" s="10" t="s">
        <v>101</v>
      </c>
      <c r="D14" s="10" t="s">
        <v>106</v>
      </c>
      <c r="E14" s="11">
        <v>45964</v>
      </c>
      <c r="F14" s="10" t="s">
        <v>88</v>
      </c>
      <c r="G14" s="10" t="s">
        <v>15</v>
      </c>
      <c r="H14" s="10" t="s">
        <v>96</v>
      </c>
      <c r="I14" s="10" t="s">
        <v>102</v>
      </c>
      <c r="J14" s="12">
        <f t="shared" si="0"/>
        <v>46694</v>
      </c>
      <c r="K14" s="13" t="str">
        <f t="shared" si="1"/>
        <v>OK</v>
      </c>
      <c r="L14" s="10" t="s">
        <v>123</v>
      </c>
      <c r="M14" s="10" t="s">
        <v>124</v>
      </c>
      <c r="N14" s="14">
        <v>24</v>
      </c>
      <c r="O14" s="10" t="s">
        <v>103</v>
      </c>
    </row>
    <row r="15" spans="1:15" ht="30" customHeight="1" x14ac:dyDescent="0.3">
      <c r="A15" s="10" t="s">
        <v>125</v>
      </c>
      <c r="B15" s="10" t="s">
        <v>126</v>
      </c>
      <c r="C15" s="10" t="s">
        <v>101</v>
      </c>
      <c r="D15" s="10" t="s">
        <v>106</v>
      </c>
      <c r="E15" s="11">
        <v>46083</v>
      </c>
      <c r="F15" s="10" t="s">
        <v>88</v>
      </c>
      <c r="G15" s="10" t="s">
        <v>15</v>
      </c>
      <c r="H15" s="10" t="s">
        <v>96</v>
      </c>
      <c r="I15" s="10" t="s">
        <v>102</v>
      </c>
      <c r="J15" s="12">
        <f t="shared" si="0"/>
        <v>46814</v>
      </c>
      <c r="K15" s="13" t="str">
        <f t="shared" si="1"/>
        <v>OK</v>
      </c>
      <c r="L15" s="10" t="s">
        <v>123</v>
      </c>
      <c r="M15" s="10" t="s">
        <v>124</v>
      </c>
      <c r="N15" s="14">
        <v>24</v>
      </c>
      <c r="O15" s="10" t="s">
        <v>103</v>
      </c>
    </row>
    <row r="16" spans="1:15" ht="30" customHeight="1" x14ac:dyDescent="0.3">
      <c r="A16" s="10" t="s">
        <v>127</v>
      </c>
      <c r="B16" s="10" t="s">
        <v>128</v>
      </c>
      <c r="C16" s="10" t="s">
        <v>101</v>
      </c>
      <c r="D16" s="10" t="s">
        <v>106</v>
      </c>
      <c r="E16" s="11">
        <v>46073</v>
      </c>
      <c r="F16" s="10" t="s">
        <v>110</v>
      </c>
      <c r="G16" s="10" t="s">
        <v>15</v>
      </c>
      <c r="H16" s="10" t="s">
        <v>96</v>
      </c>
      <c r="I16" s="10" t="s">
        <v>102</v>
      </c>
      <c r="J16" s="12">
        <f t="shared" si="0"/>
        <v>46803</v>
      </c>
      <c r="K16" s="13" t="str">
        <f t="shared" si="1"/>
        <v>OK</v>
      </c>
      <c r="L16" s="10" t="s">
        <v>129</v>
      </c>
      <c r="M16" s="10" t="s">
        <v>130</v>
      </c>
      <c r="N16" s="14">
        <v>24</v>
      </c>
      <c r="O16" s="10" t="s">
        <v>103</v>
      </c>
    </row>
    <row r="17" spans="1:15" ht="30" customHeight="1" x14ac:dyDescent="0.3">
      <c r="A17" s="10" t="s">
        <v>131</v>
      </c>
      <c r="B17" s="10" t="s">
        <v>132</v>
      </c>
      <c r="C17" s="10" t="s">
        <v>101</v>
      </c>
      <c r="D17" s="10" t="s">
        <v>106</v>
      </c>
      <c r="E17" s="11">
        <v>46371</v>
      </c>
      <c r="F17" s="10" t="s">
        <v>110</v>
      </c>
      <c r="G17" s="10" t="s">
        <v>15</v>
      </c>
      <c r="H17" s="10" t="s">
        <v>96</v>
      </c>
      <c r="I17" s="10" t="s">
        <v>102</v>
      </c>
      <c r="J17" s="12">
        <f t="shared" si="0"/>
        <v>47102</v>
      </c>
      <c r="K17" s="13" t="str">
        <f t="shared" si="1"/>
        <v>OK</v>
      </c>
      <c r="L17" s="10" t="s">
        <v>133</v>
      </c>
      <c r="M17" s="10" t="s">
        <v>134</v>
      </c>
      <c r="N17" s="14">
        <v>24</v>
      </c>
      <c r="O17" s="10" t="s">
        <v>103</v>
      </c>
    </row>
    <row r="18" spans="1:15" ht="30" customHeight="1" x14ac:dyDescent="0.3">
      <c r="A18" s="10" t="s">
        <v>135</v>
      </c>
      <c r="B18" s="10" t="s">
        <v>136</v>
      </c>
      <c r="C18" s="10" t="s">
        <v>101</v>
      </c>
      <c r="D18" s="10" t="s">
        <v>116</v>
      </c>
      <c r="E18" s="11">
        <v>46127</v>
      </c>
      <c r="F18" s="10" t="s">
        <v>110</v>
      </c>
      <c r="G18" s="10" t="s">
        <v>15</v>
      </c>
      <c r="H18" s="10" t="s">
        <v>96</v>
      </c>
      <c r="I18" s="10" t="s">
        <v>102</v>
      </c>
      <c r="J18" s="12">
        <f t="shared" si="0"/>
        <v>46858</v>
      </c>
      <c r="K18" s="13" t="str">
        <f t="shared" si="1"/>
        <v>OK</v>
      </c>
      <c r="L18" s="10" t="s">
        <v>137</v>
      </c>
      <c r="M18" s="10" t="s">
        <v>138</v>
      </c>
      <c r="N18" s="14">
        <v>24</v>
      </c>
      <c r="O18" s="10" t="s">
        <v>103</v>
      </c>
    </row>
    <row r="19" spans="1:15" ht="30" customHeight="1" x14ac:dyDescent="0.3">
      <c r="A19" s="10" t="s">
        <v>139</v>
      </c>
      <c r="B19" s="10" t="s">
        <v>140</v>
      </c>
      <c r="C19" s="10" t="s">
        <v>101</v>
      </c>
      <c r="D19" s="10" t="s">
        <v>141</v>
      </c>
      <c r="E19" s="11">
        <v>46193</v>
      </c>
      <c r="F19" s="10" t="s">
        <v>110</v>
      </c>
      <c r="G19" s="10" t="s">
        <v>15</v>
      </c>
      <c r="H19" s="10" t="s">
        <v>142</v>
      </c>
      <c r="I19" s="10" t="s">
        <v>143</v>
      </c>
      <c r="J19" s="12">
        <f t="shared" si="0"/>
        <v>46924</v>
      </c>
      <c r="K19" s="13" t="str">
        <f t="shared" si="1"/>
        <v>OK</v>
      </c>
      <c r="L19" s="10" t="s">
        <v>144</v>
      </c>
      <c r="M19" s="10" t="s">
        <v>11</v>
      </c>
      <c r="N19" s="14">
        <v>24</v>
      </c>
      <c r="O19" s="10" t="s">
        <v>103</v>
      </c>
    </row>
    <row r="20" spans="1:15" ht="30" customHeight="1" x14ac:dyDescent="0.3">
      <c r="A20" s="10" t="s">
        <v>145</v>
      </c>
      <c r="B20" s="10" t="s">
        <v>146</v>
      </c>
      <c r="C20" s="10" t="s">
        <v>101</v>
      </c>
      <c r="D20" s="10" t="s">
        <v>106</v>
      </c>
      <c r="E20" s="11">
        <v>46228</v>
      </c>
      <c r="F20" s="10" t="s">
        <v>110</v>
      </c>
      <c r="G20" s="10" t="s">
        <v>15</v>
      </c>
      <c r="H20" s="10" t="s">
        <v>96</v>
      </c>
      <c r="I20" s="10" t="s">
        <v>143</v>
      </c>
      <c r="J20" s="12">
        <f t="shared" si="0"/>
        <v>46959</v>
      </c>
      <c r="K20" s="13" t="str">
        <f t="shared" si="1"/>
        <v>OK</v>
      </c>
      <c r="L20" s="10" t="s">
        <v>144</v>
      </c>
      <c r="M20" s="10" t="s">
        <v>11</v>
      </c>
      <c r="N20" s="14">
        <v>24</v>
      </c>
      <c r="O20" s="10" t="s">
        <v>103</v>
      </c>
    </row>
    <row r="21" spans="1:15" ht="30" customHeight="1" x14ac:dyDescent="0.3">
      <c r="A21" s="10" t="s">
        <v>147</v>
      </c>
      <c r="B21" s="10" t="s">
        <v>148</v>
      </c>
      <c r="C21" s="10" t="s">
        <v>101</v>
      </c>
      <c r="D21" s="10" t="s">
        <v>116</v>
      </c>
      <c r="E21" s="11">
        <v>46346</v>
      </c>
      <c r="F21" s="10" t="s">
        <v>110</v>
      </c>
      <c r="G21" s="10" t="s">
        <v>15</v>
      </c>
      <c r="H21" s="10" t="s">
        <v>96</v>
      </c>
      <c r="I21" s="10" t="s">
        <v>149</v>
      </c>
      <c r="J21" s="12">
        <f t="shared" si="0"/>
        <v>47077</v>
      </c>
      <c r="K21" s="13" t="str">
        <f t="shared" si="1"/>
        <v>OK</v>
      </c>
      <c r="L21" s="10" t="s">
        <v>150</v>
      </c>
      <c r="M21" s="10" t="s">
        <v>151</v>
      </c>
      <c r="N21" s="14">
        <v>24</v>
      </c>
      <c r="O21" s="10" t="s">
        <v>103</v>
      </c>
    </row>
    <row r="22" spans="1:15" ht="30" customHeight="1" x14ac:dyDescent="0.3">
      <c r="A22" s="10" t="s">
        <v>152</v>
      </c>
      <c r="B22" s="10" t="s">
        <v>153</v>
      </c>
      <c r="C22" s="10" t="s">
        <v>101</v>
      </c>
      <c r="D22" s="10" t="s">
        <v>106</v>
      </c>
      <c r="E22" s="11">
        <v>46147</v>
      </c>
      <c r="F22" s="10" t="s">
        <v>110</v>
      </c>
      <c r="G22" s="10" t="s">
        <v>15</v>
      </c>
      <c r="H22" s="10" t="s">
        <v>96</v>
      </c>
      <c r="I22" s="10" t="s">
        <v>143</v>
      </c>
      <c r="J22" s="12">
        <f t="shared" si="0"/>
        <v>46878</v>
      </c>
      <c r="K22" s="13" t="str">
        <f t="shared" si="1"/>
        <v>OK</v>
      </c>
      <c r="L22" s="10" t="s">
        <v>154</v>
      </c>
      <c r="M22" s="10" t="s">
        <v>11</v>
      </c>
      <c r="N22" s="14">
        <v>24</v>
      </c>
      <c r="O22" s="10" t="s">
        <v>103</v>
      </c>
    </row>
    <row r="23" spans="1:15" ht="30" customHeight="1" x14ac:dyDescent="0.3">
      <c r="A23" s="10" t="s">
        <v>155</v>
      </c>
      <c r="B23" s="10" t="s">
        <v>156</v>
      </c>
      <c r="C23" s="10" t="s">
        <v>101</v>
      </c>
      <c r="D23" s="10" t="s">
        <v>106</v>
      </c>
      <c r="E23" s="11">
        <v>45901</v>
      </c>
      <c r="F23" s="10" t="s">
        <v>88</v>
      </c>
      <c r="G23" s="10" t="s">
        <v>15</v>
      </c>
      <c r="H23" s="10" t="s">
        <v>96</v>
      </c>
      <c r="I23" s="10" t="s">
        <v>102</v>
      </c>
      <c r="J23" s="12">
        <f t="shared" si="0"/>
        <v>46631</v>
      </c>
      <c r="K23" s="13" t="str">
        <f t="shared" si="1"/>
        <v>OK</v>
      </c>
      <c r="L23" s="10" t="s">
        <v>157</v>
      </c>
      <c r="M23" s="10" t="s">
        <v>158</v>
      </c>
      <c r="N23" s="14">
        <v>24</v>
      </c>
      <c r="O23" s="10" t="s">
        <v>103</v>
      </c>
    </row>
    <row r="24" spans="1:15" ht="30" customHeight="1" x14ac:dyDescent="0.3">
      <c r="A24" s="10" t="s">
        <v>159</v>
      </c>
      <c r="B24" s="10" t="s">
        <v>160</v>
      </c>
      <c r="C24" s="10" t="s">
        <v>101</v>
      </c>
      <c r="D24" s="10" t="s">
        <v>106</v>
      </c>
      <c r="E24" s="11">
        <v>46367</v>
      </c>
      <c r="F24" s="10" t="s">
        <v>110</v>
      </c>
      <c r="G24" s="10" t="s">
        <v>15</v>
      </c>
      <c r="H24" s="10" t="s">
        <v>96</v>
      </c>
      <c r="I24" s="10" t="s">
        <v>102</v>
      </c>
      <c r="J24" s="12">
        <f t="shared" si="0"/>
        <v>47098</v>
      </c>
      <c r="K24" s="13" t="str">
        <f t="shared" si="1"/>
        <v>OK</v>
      </c>
      <c r="L24" s="10" t="s">
        <v>161</v>
      </c>
      <c r="M24" s="10" t="s">
        <v>162</v>
      </c>
      <c r="N24" s="14">
        <v>24</v>
      </c>
      <c r="O24" s="10" t="s">
        <v>103</v>
      </c>
    </row>
    <row r="25" spans="1:15" ht="30" customHeight="1" x14ac:dyDescent="0.3">
      <c r="A25" s="10" t="s">
        <v>163</v>
      </c>
      <c r="B25" s="10" t="s">
        <v>164</v>
      </c>
      <c r="C25" s="10" t="s">
        <v>165</v>
      </c>
      <c r="D25" s="10" t="s">
        <v>141</v>
      </c>
      <c r="E25" s="11">
        <v>46198</v>
      </c>
      <c r="F25" s="10" t="s">
        <v>110</v>
      </c>
      <c r="G25" s="10" t="s">
        <v>15</v>
      </c>
      <c r="H25" s="10" t="s">
        <v>166</v>
      </c>
      <c r="I25" s="10" t="s">
        <v>167</v>
      </c>
      <c r="J25" s="12">
        <f t="shared" si="0"/>
        <v>46563</v>
      </c>
      <c r="K25" s="13" t="str">
        <f t="shared" si="1"/>
        <v>OK</v>
      </c>
      <c r="L25" s="10" t="s">
        <v>168</v>
      </c>
      <c r="M25" s="10" t="s">
        <v>11</v>
      </c>
      <c r="N25" s="14">
        <v>12</v>
      </c>
      <c r="O25" s="10" t="s">
        <v>169</v>
      </c>
    </row>
    <row r="26" spans="1:15" ht="30" customHeight="1" x14ac:dyDescent="0.3">
      <c r="A26" s="10" t="s">
        <v>170</v>
      </c>
      <c r="B26" s="10" t="s">
        <v>171</v>
      </c>
      <c r="C26" s="10" t="s">
        <v>165</v>
      </c>
      <c r="D26" s="10" t="s">
        <v>172</v>
      </c>
      <c r="E26" s="11">
        <v>46287</v>
      </c>
      <c r="F26" s="10" t="s">
        <v>110</v>
      </c>
      <c r="G26" s="10" t="s">
        <v>15</v>
      </c>
      <c r="H26" s="10" t="s">
        <v>166</v>
      </c>
      <c r="I26" s="10" t="s">
        <v>173</v>
      </c>
      <c r="J26" s="12">
        <f t="shared" si="0"/>
        <v>46652</v>
      </c>
      <c r="K26" s="13" t="str">
        <f t="shared" si="1"/>
        <v>OK</v>
      </c>
      <c r="L26" s="10" t="s">
        <v>174</v>
      </c>
      <c r="M26" s="10" t="s">
        <v>11</v>
      </c>
      <c r="N26" s="14">
        <v>12</v>
      </c>
      <c r="O26" s="10" t="s">
        <v>169</v>
      </c>
    </row>
    <row r="27" spans="1:15" ht="30" customHeight="1" x14ac:dyDescent="0.3">
      <c r="A27" s="10" t="s">
        <v>175</v>
      </c>
      <c r="B27" s="10" t="s">
        <v>176</v>
      </c>
      <c r="C27" s="10" t="s">
        <v>165</v>
      </c>
      <c r="D27" s="10" t="s">
        <v>116</v>
      </c>
      <c r="E27" s="11">
        <v>46239</v>
      </c>
      <c r="F27" s="10" t="s">
        <v>110</v>
      </c>
      <c r="G27" s="10" t="s">
        <v>15</v>
      </c>
      <c r="H27" s="10" t="s">
        <v>166</v>
      </c>
      <c r="I27" s="10" t="s">
        <v>177</v>
      </c>
      <c r="J27" s="12">
        <f t="shared" si="0"/>
        <v>46604</v>
      </c>
      <c r="K27" s="13" t="str">
        <f t="shared" si="1"/>
        <v>OK</v>
      </c>
      <c r="L27" s="10" t="s">
        <v>178</v>
      </c>
      <c r="M27" s="10" t="s">
        <v>11</v>
      </c>
      <c r="N27" s="14">
        <v>12</v>
      </c>
      <c r="O27" s="10" t="s">
        <v>169</v>
      </c>
    </row>
    <row r="28" spans="1:15" ht="30" customHeight="1" x14ac:dyDescent="0.3">
      <c r="A28" s="10" t="s">
        <v>179</v>
      </c>
      <c r="B28" s="10" t="s">
        <v>180</v>
      </c>
      <c r="C28" s="10" t="s">
        <v>165</v>
      </c>
      <c r="D28" s="10" t="s">
        <v>172</v>
      </c>
      <c r="E28" s="11">
        <v>46144</v>
      </c>
      <c r="F28" s="10" t="s">
        <v>110</v>
      </c>
      <c r="G28" s="10" t="s">
        <v>15</v>
      </c>
      <c r="H28" s="10" t="s">
        <v>96</v>
      </c>
      <c r="I28" s="10" t="s">
        <v>181</v>
      </c>
      <c r="J28" s="12">
        <f t="shared" si="0"/>
        <v>46509</v>
      </c>
      <c r="K28" s="13" t="str">
        <f t="shared" si="1"/>
        <v>OK</v>
      </c>
      <c r="L28" s="10" t="s">
        <v>182</v>
      </c>
      <c r="M28" s="10" t="s">
        <v>11</v>
      </c>
      <c r="N28" s="14">
        <v>12</v>
      </c>
      <c r="O28" s="10" t="s">
        <v>183</v>
      </c>
    </row>
    <row r="29" spans="1:15" ht="30" customHeight="1" x14ac:dyDescent="0.3">
      <c r="A29" s="10" t="s">
        <v>184</v>
      </c>
      <c r="B29" s="10" t="s">
        <v>185</v>
      </c>
      <c r="C29" s="10" t="s">
        <v>186</v>
      </c>
      <c r="D29" s="10" t="s">
        <v>116</v>
      </c>
      <c r="E29" s="11">
        <v>45944</v>
      </c>
      <c r="F29" s="10" t="s">
        <v>134</v>
      </c>
      <c r="G29" s="10" t="s">
        <v>15</v>
      </c>
      <c r="H29" s="10" t="s">
        <v>187</v>
      </c>
      <c r="I29" s="10" t="s">
        <v>188</v>
      </c>
      <c r="J29" s="12">
        <f t="shared" si="0"/>
        <v>46674</v>
      </c>
      <c r="K29" s="13" t="str">
        <f t="shared" si="1"/>
        <v>OK</v>
      </c>
      <c r="L29" s="10" t="s">
        <v>174</v>
      </c>
      <c r="M29" s="10" t="s">
        <v>189</v>
      </c>
      <c r="N29" s="14">
        <v>24</v>
      </c>
      <c r="O29" s="10" t="s">
        <v>103</v>
      </c>
    </row>
    <row r="30" spans="1:15" ht="30" customHeight="1" x14ac:dyDescent="0.3">
      <c r="A30" s="10" t="s">
        <v>190</v>
      </c>
      <c r="B30" s="10" t="s">
        <v>191</v>
      </c>
      <c r="C30" s="10" t="s">
        <v>186</v>
      </c>
      <c r="D30" s="10" t="s">
        <v>116</v>
      </c>
      <c r="E30" s="11">
        <v>46037</v>
      </c>
      <c r="F30" s="10" t="s">
        <v>134</v>
      </c>
      <c r="G30" s="10" t="s">
        <v>15</v>
      </c>
      <c r="H30" s="10" t="s">
        <v>187</v>
      </c>
      <c r="I30" s="10" t="s">
        <v>192</v>
      </c>
      <c r="J30" s="12">
        <f t="shared" si="0"/>
        <v>46767</v>
      </c>
      <c r="K30" s="13" t="str">
        <f t="shared" si="1"/>
        <v>OK</v>
      </c>
      <c r="L30" s="10" t="s">
        <v>174</v>
      </c>
      <c r="M30" s="10" t="s">
        <v>189</v>
      </c>
      <c r="N30" s="14">
        <v>24</v>
      </c>
      <c r="O30" s="10" t="s">
        <v>103</v>
      </c>
    </row>
    <row r="31" spans="1:15" ht="30" customHeight="1" x14ac:dyDescent="0.3">
      <c r="A31" s="10" t="s">
        <v>193</v>
      </c>
      <c r="B31" s="10" t="s">
        <v>194</v>
      </c>
      <c r="C31" s="10" t="s">
        <v>186</v>
      </c>
      <c r="D31" s="10" t="s">
        <v>8</v>
      </c>
      <c r="E31" s="11">
        <v>46202</v>
      </c>
      <c r="F31" s="10" t="s">
        <v>134</v>
      </c>
      <c r="G31" s="10" t="s">
        <v>15</v>
      </c>
      <c r="H31" s="10" t="s">
        <v>187</v>
      </c>
      <c r="I31" s="10" t="s">
        <v>195</v>
      </c>
      <c r="J31" s="12">
        <f t="shared" si="0"/>
        <v>46933</v>
      </c>
      <c r="K31" s="13" t="str">
        <f t="shared" si="1"/>
        <v>OK</v>
      </c>
      <c r="L31" s="10" t="s">
        <v>174</v>
      </c>
      <c r="M31" s="10" t="s">
        <v>189</v>
      </c>
      <c r="N31" s="14">
        <v>24</v>
      </c>
      <c r="O31" s="10" t="s">
        <v>103</v>
      </c>
    </row>
    <row r="32" spans="1:15" ht="30" customHeight="1" x14ac:dyDescent="0.3">
      <c r="A32" s="10" t="s">
        <v>196</v>
      </c>
      <c r="B32" s="10" t="s">
        <v>197</v>
      </c>
      <c r="C32" s="10" t="s">
        <v>186</v>
      </c>
      <c r="D32" s="10" t="s">
        <v>141</v>
      </c>
      <c r="E32" s="11">
        <v>45992</v>
      </c>
      <c r="F32" s="10" t="s">
        <v>134</v>
      </c>
      <c r="G32" s="10" t="s">
        <v>15</v>
      </c>
      <c r="H32" s="10" t="s">
        <v>187</v>
      </c>
      <c r="I32" s="10" t="s">
        <v>198</v>
      </c>
      <c r="J32" s="12">
        <f t="shared" si="0"/>
        <v>46722</v>
      </c>
      <c r="K32" s="13" t="str">
        <f t="shared" si="1"/>
        <v>OK</v>
      </c>
      <c r="L32" s="10" t="s">
        <v>168</v>
      </c>
      <c r="M32" s="10" t="s">
        <v>189</v>
      </c>
      <c r="N32" s="14">
        <v>24</v>
      </c>
      <c r="O32" s="10" t="s">
        <v>103</v>
      </c>
    </row>
    <row r="33" spans="1:15" ht="30" customHeight="1" x14ac:dyDescent="0.3">
      <c r="A33" s="10" t="s">
        <v>199</v>
      </c>
      <c r="B33" s="10" t="s">
        <v>200</v>
      </c>
      <c r="C33" s="10" t="s">
        <v>186</v>
      </c>
      <c r="D33" s="10" t="s">
        <v>8</v>
      </c>
      <c r="E33" s="11">
        <v>46202</v>
      </c>
      <c r="F33" s="10" t="s">
        <v>134</v>
      </c>
      <c r="G33" s="10" t="s">
        <v>15</v>
      </c>
      <c r="H33" s="10" t="s">
        <v>187</v>
      </c>
      <c r="I33" s="10" t="s">
        <v>201</v>
      </c>
      <c r="J33" s="12">
        <f t="shared" si="0"/>
        <v>46933</v>
      </c>
      <c r="K33" s="13" t="str">
        <f t="shared" si="1"/>
        <v>OK</v>
      </c>
      <c r="L33" s="10" t="s">
        <v>168</v>
      </c>
      <c r="M33" s="10" t="s">
        <v>189</v>
      </c>
      <c r="N33" s="14">
        <v>24</v>
      </c>
      <c r="O33" s="10" t="s">
        <v>103</v>
      </c>
    </row>
    <row r="34" spans="1:15" ht="30" customHeight="1" x14ac:dyDescent="0.3">
      <c r="A34" s="10" t="s">
        <v>202</v>
      </c>
      <c r="B34" s="10" t="s">
        <v>203</v>
      </c>
      <c r="C34" s="10" t="s">
        <v>186</v>
      </c>
      <c r="D34" s="10" t="s">
        <v>116</v>
      </c>
      <c r="E34" s="11">
        <v>46239</v>
      </c>
      <c r="F34" s="10" t="s">
        <v>134</v>
      </c>
      <c r="G34" s="10" t="s">
        <v>15</v>
      </c>
      <c r="H34" s="10" t="s">
        <v>187</v>
      </c>
      <c r="I34" s="10" t="s">
        <v>204</v>
      </c>
      <c r="J34" s="12">
        <f t="shared" si="0"/>
        <v>46970</v>
      </c>
      <c r="K34" s="13" t="str">
        <f t="shared" si="1"/>
        <v>OK</v>
      </c>
      <c r="L34" s="10" t="s">
        <v>178</v>
      </c>
      <c r="M34" s="10" t="s">
        <v>11</v>
      </c>
      <c r="N34" s="14">
        <v>24</v>
      </c>
      <c r="O34" s="10" t="s">
        <v>103</v>
      </c>
    </row>
    <row r="35" spans="1:15" ht="30" customHeight="1" x14ac:dyDescent="0.3">
      <c r="A35" s="10" t="s">
        <v>205</v>
      </c>
      <c r="B35" s="10" t="s">
        <v>206</v>
      </c>
      <c r="C35" s="10" t="s">
        <v>186</v>
      </c>
      <c r="D35" s="10" t="s">
        <v>116</v>
      </c>
      <c r="E35" s="11">
        <v>46360</v>
      </c>
      <c r="F35" s="10" t="s">
        <v>134</v>
      </c>
      <c r="G35" s="10" t="s">
        <v>15</v>
      </c>
      <c r="H35" s="10" t="s">
        <v>187</v>
      </c>
      <c r="I35" s="10" t="s">
        <v>207</v>
      </c>
      <c r="J35" s="12">
        <f t="shared" si="0"/>
        <v>47091</v>
      </c>
      <c r="K35" s="13" t="str">
        <f t="shared" si="1"/>
        <v>OK</v>
      </c>
      <c r="L35" s="10" t="s">
        <v>208</v>
      </c>
      <c r="M35" s="10" t="s">
        <v>189</v>
      </c>
      <c r="N35" s="14">
        <v>24</v>
      </c>
      <c r="O35" s="10" t="s">
        <v>103</v>
      </c>
    </row>
    <row r="36" spans="1:15" ht="30" customHeight="1" x14ac:dyDescent="0.3">
      <c r="A36" s="10" t="s">
        <v>209</v>
      </c>
      <c r="B36" s="10" t="s">
        <v>210</v>
      </c>
      <c r="C36" s="10" t="s">
        <v>186</v>
      </c>
      <c r="D36" s="10" t="s">
        <v>116</v>
      </c>
      <c r="E36" s="11">
        <v>46254</v>
      </c>
      <c r="F36" s="10" t="s">
        <v>211</v>
      </c>
      <c r="G36" s="10" t="s">
        <v>15</v>
      </c>
      <c r="H36" s="10" t="s">
        <v>187</v>
      </c>
      <c r="I36" s="10" t="s">
        <v>212</v>
      </c>
      <c r="J36" s="12">
        <f t="shared" si="0"/>
        <v>46985</v>
      </c>
      <c r="K36" s="13" t="str">
        <f t="shared" si="1"/>
        <v>OK</v>
      </c>
      <c r="L36" s="10" t="s">
        <v>182</v>
      </c>
      <c r="M36" s="10" t="s">
        <v>11</v>
      </c>
      <c r="N36" s="14">
        <v>24</v>
      </c>
      <c r="O36" s="10" t="s">
        <v>103</v>
      </c>
    </row>
    <row r="37" spans="1:15" ht="30" customHeight="1" x14ac:dyDescent="0.3">
      <c r="A37" s="10" t="s">
        <v>213</v>
      </c>
      <c r="B37" s="10" t="s">
        <v>214</v>
      </c>
      <c r="C37" s="10" t="s">
        <v>186</v>
      </c>
      <c r="D37" s="10" t="s">
        <v>106</v>
      </c>
      <c r="E37" s="11">
        <v>46237</v>
      </c>
      <c r="F37" s="10" t="s">
        <v>110</v>
      </c>
      <c r="G37" s="10" t="s">
        <v>215</v>
      </c>
      <c r="H37" s="10" t="s">
        <v>187</v>
      </c>
      <c r="I37" s="10" t="s">
        <v>216</v>
      </c>
      <c r="J37" s="12">
        <f t="shared" ref="J37:J53" si="2">IF(OR(A37="",G37="Obsoleto"),"",EDATE(E37,N37))</f>
        <v>46968</v>
      </c>
      <c r="K37" s="13" t="str">
        <f t="shared" ref="K37:K68" si="3">IF(A37="","",IF(G37="Obsoleto","Arquivo",IF(J37&lt;DataRef,"Revisão vencida",IF(J37&lt;DataRef+60,"Rever em 60 dias","OK"))))</f>
        <v>OK</v>
      </c>
      <c r="L37" s="10" t="s">
        <v>217</v>
      </c>
      <c r="M37" s="10" t="s">
        <v>211</v>
      </c>
      <c r="N37" s="14">
        <v>24</v>
      </c>
      <c r="O37" s="10" t="s">
        <v>103</v>
      </c>
    </row>
    <row r="38" spans="1:15" ht="30" customHeight="1" x14ac:dyDescent="0.3">
      <c r="A38" s="10" t="s">
        <v>218</v>
      </c>
      <c r="B38" s="10" t="s">
        <v>219</v>
      </c>
      <c r="C38" s="10" t="s">
        <v>186</v>
      </c>
      <c r="D38" s="10" t="s">
        <v>8</v>
      </c>
      <c r="E38" s="11">
        <v>46064</v>
      </c>
      <c r="F38" s="10" t="s">
        <v>110</v>
      </c>
      <c r="G38" s="10" t="s">
        <v>15</v>
      </c>
      <c r="H38" s="10" t="s">
        <v>220</v>
      </c>
      <c r="I38" s="10" t="s">
        <v>221</v>
      </c>
      <c r="J38" s="12">
        <f t="shared" si="2"/>
        <v>46794</v>
      </c>
      <c r="K38" s="13" t="str">
        <f t="shared" si="3"/>
        <v>OK</v>
      </c>
      <c r="L38" s="10" t="s">
        <v>111</v>
      </c>
      <c r="M38" s="10" t="s">
        <v>11</v>
      </c>
      <c r="N38" s="14">
        <v>24</v>
      </c>
      <c r="O38" s="10" t="s">
        <v>103</v>
      </c>
    </row>
    <row r="39" spans="1:15" ht="30" customHeight="1" x14ac:dyDescent="0.3">
      <c r="A39" s="10" t="s">
        <v>222</v>
      </c>
      <c r="B39" s="10" t="s">
        <v>223</v>
      </c>
      <c r="C39" s="10" t="s">
        <v>224</v>
      </c>
      <c r="D39" s="10" t="s">
        <v>8</v>
      </c>
      <c r="E39" s="11">
        <v>46197</v>
      </c>
      <c r="F39" s="10" t="s">
        <v>11</v>
      </c>
      <c r="G39" s="10" t="s">
        <v>15</v>
      </c>
      <c r="H39" s="10" t="s">
        <v>96</v>
      </c>
      <c r="I39" s="10" t="s">
        <v>225</v>
      </c>
      <c r="J39" s="12">
        <f t="shared" si="2"/>
        <v>46928</v>
      </c>
      <c r="K39" s="13" t="str">
        <f t="shared" si="3"/>
        <v>OK</v>
      </c>
      <c r="L39" s="10" t="s">
        <v>144</v>
      </c>
      <c r="M39" s="10" t="s">
        <v>226</v>
      </c>
      <c r="N39" s="14">
        <v>24</v>
      </c>
      <c r="O39" s="10" t="s">
        <v>103</v>
      </c>
    </row>
    <row r="40" spans="1:15" ht="30" customHeight="1" x14ac:dyDescent="0.3">
      <c r="A40" s="10" t="s">
        <v>227</v>
      </c>
      <c r="B40" s="10" t="s">
        <v>228</v>
      </c>
      <c r="C40" s="10" t="s">
        <v>224</v>
      </c>
      <c r="D40" s="10" t="s">
        <v>8</v>
      </c>
      <c r="E40" s="11">
        <v>46197</v>
      </c>
      <c r="F40" s="10" t="s">
        <v>11</v>
      </c>
      <c r="G40" s="10" t="s">
        <v>15</v>
      </c>
      <c r="H40" s="10" t="s">
        <v>96</v>
      </c>
      <c r="I40" s="10" t="s">
        <v>225</v>
      </c>
      <c r="J40" s="12">
        <f t="shared" si="2"/>
        <v>46928</v>
      </c>
      <c r="K40" s="13" t="str">
        <f t="shared" si="3"/>
        <v>OK</v>
      </c>
      <c r="L40" s="10" t="s">
        <v>144</v>
      </c>
      <c r="M40" s="10" t="s">
        <v>226</v>
      </c>
      <c r="N40" s="14">
        <v>24</v>
      </c>
      <c r="O40" s="10" t="s">
        <v>103</v>
      </c>
    </row>
    <row r="41" spans="1:15" ht="30" customHeight="1" x14ac:dyDescent="0.3">
      <c r="A41" s="10" t="s">
        <v>229</v>
      </c>
      <c r="B41" s="10" t="s">
        <v>230</v>
      </c>
      <c r="C41" s="10" t="s">
        <v>231</v>
      </c>
      <c r="D41" s="10" t="s">
        <v>8</v>
      </c>
      <c r="E41" s="11">
        <v>46287</v>
      </c>
      <c r="F41" s="10" t="s">
        <v>11</v>
      </c>
      <c r="G41" s="10" t="s">
        <v>15</v>
      </c>
      <c r="H41" s="10" t="s">
        <v>96</v>
      </c>
      <c r="I41" s="10" t="s">
        <v>232</v>
      </c>
      <c r="J41" s="12">
        <f t="shared" si="2"/>
        <v>47383</v>
      </c>
      <c r="K41" s="13" t="str">
        <f t="shared" si="3"/>
        <v>OK</v>
      </c>
      <c r="L41" s="10" t="s">
        <v>129</v>
      </c>
      <c r="M41" s="10" t="s">
        <v>130</v>
      </c>
      <c r="N41" s="14">
        <v>36</v>
      </c>
      <c r="O41" s="10" t="s">
        <v>233</v>
      </c>
    </row>
    <row r="42" spans="1:15" ht="30" customHeight="1" x14ac:dyDescent="0.3">
      <c r="A42" s="10" t="s">
        <v>234</v>
      </c>
      <c r="B42" s="10" t="s">
        <v>235</v>
      </c>
      <c r="C42" s="10" t="s">
        <v>236</v>
      </c>
      <c r="D42" s="10" t="s">
        <v>116</v>
      </c>
      <c r="E42" s="11">
        <v>46279</v>
      </c>
      <c r="F42" s="10" t="s">
        <v>11</v>
      </c>
      <c r="G42" s="10" t="s">
        <v>15</v>
      </c>
      <c r="H42" s="10" t="s">
        <v>96</v>
      </c>
      <c r="I42" s="10" t="s">
        <v>237</v>
      </c>
      <c r="J42" s="12">
        <f t="shared" si="2"/>
        <v>47375</v>
      </c>
      <c r="K42" s="13" t="str">
        <f t="shared" si="3"/>
        <v>OK</v>
      </c>
      <c r="L42" s="10" t="s">
        <v>144</v>
      </c>
      <c r="M42" s="10" t="s">
        <v>11</v>
      </c>
      <c r="N42" s="14">
        <v>36</v>
      </c>
      <c r="O42" s="10" t="s">
        <v>103</v>
      </c>
    </row>
    <row r="43" spans="1:15" ht="30" customHeight="1" x14ac:dyDescent="0.3">
      <c r="A43" s="10" t="s">
        <v>238</v>
      </c>
      <c r="B43" s="10" t="s">
        <v>239</v>
      </c>
      <c r="C43" s="10" t="s">
        <v>186</v>
      </c>
      <c r="D43" s="10" t="s">
        <v>106</v>
      </c>
      <c r="E43" s="11">
        <v>43591</v>
      </c>
      <c r="F43" s="10" t="s">
        <v>134</v>
      </c>
      <c r="G43" s="10" t="s">
        <v>240</v>
      </c>
      <c r="H43" s="10" t="s">
        <v>241</v>
      </c>
      <c r="I43" s="10" t="s">
        <v>242</v>
      </c>
      <c r="J43" s="12" t="str">
        <f t="shared" si="2"/>
        <v/>
      </c>
      <c r="K43" s="13" t="str">
        <f t="shared" si="3"/>
        <v>Arquivo</v>
      </c>
      <c r="L43" s="10" t="s">
        <v>168</v>
      </c>
      <c r="M43" s="10" t="s">
        <v>189</v>
      </c>
      <c r="N43" s="14">
        <v>24</v>
      </c>
      <c r="O43" s="10" t="s">
        <v>103</v>
      </c>
    </row>
    <row r="44" spans="1:15" ht="30" customHeight="1" x14ac:dyDescent="0.3">
      <c r="A44" s="10"/>
      <c r="B44" s="10"/>
      <c r="C44" s="10"/>
      <c r="D44" s="10"/>
      <c r="E44" s="11"/>
      <c r="F44" s="10"/>
      <c r="G44" s="10"/>
      <c r="H44" s="10"/>
      <c r="I44" s="10"/>
      <c r="J44" s="12" t="str">
        <f t="shared" si="2"/>
        <v/>
      </c>
      <c r="K44" s="13" t="str">
        <f t="shared" si="3"/>
        <v/>
      </c>
      <c r="L44" s="10"/>
      <c r="M44" s="10"/>
      <c r="N44" s="14"/>
      <c r="O44" s="10"/>
    </row>
    <row r="45" spans="1:15" ht="30" customHeight="1" x14ac:dyDescent="0.3">
      <c r="A45" s="10"/>
      <c r="B45" s="10"/>
      <c r="C45" s="10"/>
      <c r="D45" s="10"/>
      <c r="E45" s="11"/>
      <c r="F45" s="10"/>
      <c r="G45" s="10"/>
      <c r="H45" s="10"/>
      <c r="I45" s="10"/>
      <c r="J45" s="12" t="str">
        <f t="shared" si="2"/>
        <v/>
      </c>
      <c r="K45" s="13" t="str">
        <f t="shared" si="3"/>
        <v/>
      </c>
      <c r="L45" s="10"/>
      <c r="M45" s="10"/>
      <c r="N45" s="14"/>
      <c r="O45" s="10"/>
    </row>
    <row r="46" spans="1:15" ht="30" customHeight="1" x14ac:dyDescent="0.3">
      <c r="A46" s="10"/>
      <c r="B46" s="10"/>
      <c r="C46" s="10"/>
      <c r="D46" s="10"/>
      <c r="E46" s="11"/>
      <c r="F46" s="10"/>
      <c r="G46" s="10"/>
      <c r="H46" s="10"/>
      <c r="I46" s="10"/>
      <c r="J46" s="12" t="str">
        <f t="shared" si="2"/>
        <v/>
      </c>
      <c r="K46" s="13" t="str">
        <f t="shared" si="3"/>
        <v/>
      </c>
      <c r="L46" s="10"/>
      <c r="M46" s="10"/>
      <c r="N46" s="14"/>
      <c r="O46" s="10"/>
    </row>
    <row r="47" spans="1:15" ht="30" customHeight="1" x14ac:dyDescent="0.3">
      <c r="A47" s="10"/>
      <c r="B47" s="10"/>
      <c r="C47" s="10"/>
      <c r="D47" s="10"/>
      <c r="E47" s="11"/>
      <c r="F47" s="10"/>
      <c r="G47" s="10"/>
      <c r="H47" s="10"/>
      <c r="I47" s="10"/>
      <c r="J47" s="12" t="str">
        <f t="shared" si="2"/>
        <v/>
      </c>
      <c r="K47" s="13" t="str">
        <f t="shared" si="3"/>
        <v/>
      </c>
      <c r="L47" s="10"/>
      <c r="M47" s="10"/>
      <c r="N47" s="14"/>
      <c r="O47" s="10"/>
    </row>
    <row r="48" spans="1:15" ht="30" customHeight="1" x14ac:dyDescent="0.3">
      <c r="A48" s="10"/>
      <c r="B48" s="10"/>
      <c r="C48" s="10"/>
      <c r="D48" s="10"/>
      <c r="E48" s="11"/>
      <c r="F48" s="10"/>
      <c r="G48" s="10"/>
      <c r="H48" s="10"/>
      <c r="I48" s="10"/>
      <c r="J48" s="12" t="str">
        <f t="shared" si="2"/>
        <v/>
      </c>
      <c r="K48" s="13" t="str">
        <f t="shared" si="3"/>
        <v/>
      </c>
      <c r="L48" s="10"/>
      <c r="M48" s="10"/>
      <c r="N48" s="14"/>
      <c r="O48" s="10"/>
    </row>
    <row r="49" spans="1:15" ht="30" customHeight="1" x14ac:dyDescent="0.3">
      <c r="A49" s="10"/>
      <c r="B49" s="10"/>
      <c r="C49" s="10"/>
      <c r="D49" s="10"/>
      <c r="E49" s="11"/>
      <c r="F49" s="10"/>
      <c r="G49" s="10"/>
      <c r="H49" s="10"/>
      <c r="I49" s="10"/>
      <c r="J49" s="12" t="str">
        <f t="shared" si="2"/>
        <v/>
      </c>
      <c r="K49" s="13" t="str">
        <f t="shared" si="3"/>
        <v/>
      </c>
      <c r="L49" s="10"/>
      <c r="M49" s="10"/>
      <c r="N49" s="14"/>
      <c r="O49" s="10"/>
    </row>
    <row r="50" spans="1:15" ht="30" customHeight="1" x14ac:dyDescent="0.3">
      <c r="A50" s="10"/>
      <c r="B50" s="10"/>
      <c r="C50" s="10"/>
      <c r="D50" s="10"/>
      <c r="E50" s="11"/>
      <c r="F50" s="10"/>
      <c r="G50" s="10"/>
      <c r="H50" s="10"/>
      <c r="I50" s="10"/>
      <c r="J50" s="12" t="str">
        <f t="shared" si="2"/>
        <v/>
      </c>
      <c r="K50" s="13" t="str">
        <f t="shared" si="3"/>
        <v/>
      </c>
      <c r="L50" s="10"/>
      <c r="M50" s="10"/>
      <c r="N50" s="14"/>
      <c r="O50" s="10"/>
    </row>
    <row r="51" spans="1:15" ht="30" customHeight="1" x14ac:dyDescent="0.3">
      <c r="A51" s="10"/>
      <c r="B51" s="10"/>
      <c r="C51" s="10"/>
      <c r="D51" s="10"/>
      <c r="E51" s="11"/>
      <c r="F51" s="10"/>
      <c r="G51" s="10"/>
      <c r="H51" s="10"/>
      <c r="I51" s="10"/>
      <c r="J51" s="12" t="str">
        <f t="shared" si="2"/>
        <v/>
      </c>
      <c r="K51" s="13" t="str">
        <f t="shared" si="3"/>
        <v/>
      </c>
      <c r="L51" s="10"/>
      <c r="M51" s="10"/>
      <c r="N51" s="14"/>
      <c r="O51" s="10"/>
    </row>
    <row r="52" spans="1:15" ht="30" customHeight="1" x14ac:dyDescent="0.3">
      <c r="A52" s="10"/>
      <c r="B52" s="10"/>
      <c r="C52" s="10"/>
      <c r="D52" s="10"/>
      <c r="E52" s="11"/>
      <c r="F52" s="10"/>
      <c r="G52" s="10"/>
      <c r="H52" s="10"/>
      <c r="I52" s="10"/>
      <c r="J52" s="12" t="str">
        <f t="shared" si="2"/>
        <v/>
      </c>
      <c r="K52" s="13" t="str">
        <f t="shared" si="3"/>
        <v/>
      </c>
      <c r="L52" s="10"/>
      <c r="M52" s="10"/>
      <c r="N52" s="14"/>
      <c r="O52" s="10"/>
    </row>
    <row r="53" spans="1:15" ht="30" customHeight="1" x14ac:dyDescent="0.3">
      <c r="A53" s="10"/>
      <c r="B53" s="10"/>
      <c r="C53" s="10"/>
      <c r="D53" s="10"/>
      <c r="E53" s="11"/>
      <c r="F53" s="10"/>
      <c r="G53" s="10"/>
      <c r="H53" s="10"/>
      <c r="I53" s="10"/>
      <c r="J53" s="12" t="str">
        <f t="shared" si="2"/>
        <v/>
      </c>
      <c r="K53" s="13" t="str">
        <f t="shared" si="3"/>
        <v/>
      </c>
      <c r="L53" s="10"/>
      <c r="M53" s="10"/>
      <c r="N53" s="14"/>
      <c r="O53" s="10"/>
    </row>
  </sheetData>
  <conditionalFormatting sqref="G5:G253">
    <cfRule type="expression" dxfId="9" priority="5">
      <formula>ISNUMBER(SEARCH("Obsoleto",G5))</formula>
    </cfRule>
    <cfRule type="expression" dxfId="8" priority="6">
      <formula>ISNUMBER(SEARCH("Em revisão",G5))</formula>
    </cfRule>
  </conditionalFormatting>
  <conditionalFormatting sqref="K5:K253">
    <cfRule type="expression" dxfId="7" priority="1">
      <formula>ISNUMBER(SEARCH("vencida",K5))</formula>
    </cfRule>
    <cfRule type="expression" dxfId="6" priority="2">
      <formula>ISNUMBER(SEARCH("60 dias",K5))</formula>
    </cfRule>
    <cfRule type="expression" dxfId="5" priority="3">
      <formula>ISNUMBER(SEARCH("OK",K5))</formula>
    </cfRule>
    <cfRule type="expression" dxfId="4" priority="4">
      <formula>ISNUMBER(SEARCH("Arquivo",K5))</formula>
    </cfRule>
  </conditionalFormatting>
  <conditionalFormatting sqref="O5:O253">
    <cfRule type="expression" dxfId="3" priority="7">
      <formula>ISNUMBER(SEARCH("Sim",O5))</formula>
    </cfRule>
  </conditionalFormatting>
  <dataValidations count="4">
    <dataValidation type="list" allowBlank="1" showErrorMessage="1" errorTitle="Valor inválido" error="Valor fora da lista controlada (ver folha Listas)." sqref="C5:C253" xr:uid="{00000000-0002-0000-0100-000000000000}">
      <formula1>lst_TipoDoc</formula1>
    </dataValidation>
    <dataValidation type="list" allowBlank="1" showErrorMessage="1" errorTitle="Valor inválido" error="Valor fora da lista controlada (ver folha Listas)." sqref="F5:F253 M5:M253" xr:uid="{00000000-0002-0000-0100-000001000000}">
      <formula1>lst_Funcao</formula1>
    </dataValidation>
    <dataValidation type="list" allowBlank="1" showErrorMessage="1" errorTitle="Valor inválido" error="Valor fora da lista controlada (ver folha Listas)." sqref="G5:G253" xr:uid="{00000000-0002-0000-0100-000002000000}">
      <formula1>lst_EstadoDoc</formula1>
    </dataValidation>
    <dataValidation type="list" allowBlank="1" showErrorMessage="1" errorTitle="Valor inválido" error="Valor fora da lista controlada (ver folha Listas)." sqref="L5:L253" xr:uid="{00000000-0002-0000-0100-000003000000}">
      <formula1>lst_Processo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4" customWidth="1"/>
    <col min="3" max="3" width="18" customWidth="1"/>
    <col min="4" max="4" width="22" customWidth="1"/>
    <col min="5" max="5" width="10" customWidth="1"/>
    <col min="6" max="6" width="28" customWidth="1"/>
    <col min="7" max="9" width="11" customWidth="1"/>
    <col min="10" max="10" width="12" customWidth="1"/>
  </cols>
  <sheetData>
    <row r="1" spans="1:10" ht="17.399999999999999" x14ac:dyDescent="0.3">
      <c r="A1" s="1" t="s">
        <v>243</v>
      </c>
    </row>
    <row r="4" spans="1:10" ht="26.4" x14ac:dyDescent="0.3">
      <c r="A4" s="8" t="s">
        <v>244</v>
      </c>
      <c r="B4" s="8" t="s">
        <v>245</v>
      </c>
      <c r="C4" s="8" t="s">
        <v>73</v>
      </c>
      <c r="D4" s="8" t="s">
        <v>246</v>
      </c>
      <c r="E4" s="8" t="s">
        <v>247</v>
      </c>
      <c r="F4" s="8" t="s">
        <v>248</v>
      </c>
      <c r="G4" s="8" t="s">
        <v>249</v>
      </c>
      <c r="H4" s="8" t="s">
        <v>14</v>
      </c>
      <c r="I4" s="9" t="s">
        <v>250</v>
      </c>
      <c r="J4" s="9" t="s">
        <v>80</v>
      </c>
    </row>
    <row r="5" spans="1:10" ht="30" customHeight="1" x14ac:dyDescent="0.3">
      <c r="A5" s="10" t="s">
        <v>251</v>
      </c>
      <c r="B5" s="10" t="s">
        <v>252</v>
      </c>
      <c r="C5" s="10" t="s">
        <v>253</v>
      </c>
      <c r="D5" s="10" t="s">
        <v>254</v>
      </c>
      <c r="E5" s="10" t="s">
        <v>255</v>
      </c>
      <c r="F5" s="10" t="s">
        <v>256</v>
      </c>
      <c r="G5" s="11">
        <v>46387</v>
      </c>
      <c r="H5" s="10" t="s">
        <v>257</v>
      </c>
      <c r="I5" s="12">
        <f t="shared" ref="I5:I28" si="0">EDATE(G5,12)</f>
        <v>46752</v>
      </c>
      <c r="J5" s="13" t="str">
        <f t="shared" ref="J5:J28" si="1">IF(H5&lt;&gt;"Atual","Rever",IF(I5&lt;DataRef,"Verificar","OK"))</f>
        <v>OK</v>
      </c>
    </row>
    <row r="6" spans="1:10" ht="30" customHeight="1" x14ac:dyDescent="0.3">
      <c r="A6" s="10" t="s">
        <v>258</v>
      </c>
      <c r="B6" s="10" t="s">
        <v>259</v>
      </c>
      <c r="C6" s="10" t="s">
        <v>253</v>
      </c>
      <c r="D6" s="10" t="s">
        <v>260</v>
      </c>
      <c r="E6" s="10" t="s">
        <v>111</v>
      </c>
      <c r="F6" s="10" t="s">
        <v>261</v>
      </c>
      <c r="G6" s="11">
        <v>46387</v>
      </c>
      <c r="H6" s="10" t="s">
        <v>257</v>
      </c>
      <c r="I6" s="12">
        <f t="shared" si="0"/>
        <v>46752</v>
      </c>
      <c r="J6" s="13" t="str">
        <f t="shared" si="1"/>
        <v>OK</v>
      </c>
    </row>
    <row r="7" spans="1:10" ht="30" customHeight="1" x14ac:dyDescent="0.3">
      <c r="A7" s="10" t="s">
        <v>262</v>
      </c>
      <c r="B7" s="10" t="s">
        <v>263</v>
      </c>
      <c r="C7" s="10" t="s">
        <v>253</v>
      </c>
      <c r="D7" s="10" t="s">
        <v>264</v>
      </c>
      <c r="E7" s="10" t="s">
        <v>111</v>
      </c>
      <c r="F7" s="10" t="s">
        <v>114</v>
      </c>
      <c r="G7" s="11">
        <v>46387</v>
      </c>
      <c r="H7" s="10" t="s">
        <v>257</v>
      </c>
      <c r="I7" s="12">
        <f t="shared" si="0"/>
        <v>46752</v>
      </c>
      <c r="J7" s="13" t="str">
        <f t="shared" si="1"/>
        <v>OK</v>
      </c>
    </row>
    <row r="8" spans="1:10" ht="30" customHeight="1" x14ac:dyDescent="0.3">
      <c r="A8" s="10" t="s">
        <v>265</v>
      </c>
      <c r="B8" s="10" t="s">
        <v>266</v>
      </c>
      <c r="C8" s="10" t="s">
        <v>253</v>
      </c>
      <c r="D8" s="10" t="s">
        <v>267</v>
      </c>
      <c r="E8" s="10" t="s">
        <v>154</v>
      </c>
      <c r="F8" s="10" t="s">
        <v>152</v>
      </c>
      <c r="G8" s="11">
        <v>46387</v>
      </c>
      <c r="H8" s="10" t="s">
        <v>257</v>
      </c>
      <c r="I8" s="12">
        <f t="shared" si="0"/>
        <v>46752</v>
      </c>
      <c r="J8" s="13" t="str">
        <f t="shared" si="1"/>
        <v>OK</v>
      </c>
    </row>
    <row r="9" spans="1:10" ht="30" customHeight="1" x14ac:dyDescent="0.3">
      <c r="A9" s="10" t="s">
        <v>268</v>
      </c>
      <c r="B9" s="10" t="s">
        <v>269</v>
      </c>
      <c r="C9" s="10" t="s">
        <v>253</v>
      </c>
      <c r="D9" s="10" t="s">
        <v>260</v>
      </c>
      <c r="E9" s="10" t="s">
        <v>144</v>
      </c>
      <c r="F9" s="10" t="s">
        <v>270</v>
      </c>
      <c r="G9" s="11">
        <v>46387</v>
      </c>
      <c r="H9" s="10" t="s">
        <v>257</v>
      </c>
      <c r="I9" s="12">
        <f t="shared" si="0"/>
        <v>46752</v>
      </c>
      <c r="J9" s="13" t="str">
        <f t="shared" si="1"/>
        <v>OK</v>
      </c>
    </row>
    <row r="10" spans="1:10" ht="30" customHeight="1" x14ac:dyDescent="0.3">
      <c r="A10" s="10" t="s">
        <v>271</v>
      </c>
      <c r="B10" s="10" t="s">
        <v>272</v>
      </c>
      <c r="C10" s="10" t="s">
        <v>253</v>
      </c>
      <c r="D10" s="10" t="s">
        <v>273</v>
      </c>
      <c r="E10" s="10" t="s">
        <v>144</v>
      </c>
      <c r="F10" s="10" t="s">
        <v>270</v>
      </c>
      <c r="G10" s="11">
        <v>46387</v>
      </c>
      <c r="H10" s="10" t="s">
        <v>257</v>
      </c>
      <c r="I10" s="12">
        <f t="shared" si="0"/>
        <v>46752</v>
      </c>
      <c r="J10" s="13" t="str">
        <f t="shared" si="1"/>
        <v>OK</v>
      </c>
    </row>
    <row r="11" spans="1:10" ht="30" customHeight="1" x14ac:dyDescent="0.3">
      <c r="A11" s="10" t="s">
        <v>274</v>
      </c>
      <c r="B11" s="10" t="s">
        <v>275</v>
      </c>
      <c r="C11" s="10" t="s">
        <v>253</v>
      </c>
      <c r="D11" s="10" t="s">
        <v>276</v>
      </c>
      <c r="E11" s="10" t="s">
        <v>123</v>
      </c>
      <c r="F11" s="10" t="s">
        <v>125</v>
      </c>
      <c r="G11" s="11">
        <v>46387</v>
      </c>
      <c r="H11" s="10" t="s">
        <v>257</v>
      </c>
      <c r="I11" s="12">
        <f t="shared" si="0"/>
        <v>46752</v>
      </c>
      <c r="J11" s="13" t="str">
        <f t="shared" si="1"/>
        <v>OK</v>
      </c>
    </row>
    <row r="12" spans="1:10" ht="30" customHeight="1" x14ac:dyDescent="0.3">
      <c r="A12" s="10" t="s">
        <v>277</v>
      </c>
      <c r="B12" s="10" t="s">
        <v>278</v>
      </c>
      <c r="C12" s="10" t="s">
        <v>253</v>
      </c>
      <c r="D12" s="10" t="s">
        <v>276</v>
      </c>
      <c r="E12" s="10" t="s">
        <v>123</v>
      </c>
      <c r="F12" s="10" t="s">
        <v>125</v>
      </c>
      <c r="G12" s="11">
        <v>46387</v>
      </c>
      <c r="H12" s="10" t="s">
        <v>257</v>
      </c>
      <c r="I12" s="12">
        <f t="shared" si="0"/>
        <v>46752</v>
      </c>
      <c r="J12" s="13" t="str">
        <f t="shared" si="1"/>
        <v>OK</v>
      </c>
    </row>
    <row r="13" spans="1:10" ht="30" customHeight="1" x14ac:dyDescent="0.3">
      <c r="A13" s="10" t="s">
        <v>279</v>
      </c>
      <c r="B13" s="10" t="s">
        <v>280</v>
      </c>
      <c r="C13" s="10" t="s">
        <v>253</v>
      </c>
      <c r="D13" s="10" t="s">
        <v>281</v>
      </c>
      <c r="E13" s="10" t="s">
        <v>157</v>
      </c>
      <c r="F13" s="10" t="s">
        <v>155</v>
      </c>
      <c r="G13" s="11">
        <v>46387</v>
      </c>
      <c r="H13" s="10" t="s">
        <v>257</v>
      </c>
      <c r="I13" s="12">
        <f t="shared" si="0"/>
        <v>46752</v>
      </c>
      <c r="J13" s="13" t="str">
        <f t="shared" si="1"/>
        <v>OK</v>
      </c>
    </row>
    <row r="14" spans="1:10" ht="30" customHeight="1" x14ac:dyDescent="0.3">
      <c r="A14" s="10" t="s">
        <v>282</v>
      </c>
      <c r="B14" s="10" t="s">
        <v>283</v>
      </c>
      <c r="C14" s="10" t="s">
        <v>253</v>
      </c>
      <c r="D14" s="10" t="s">
        <v>273</v>
      </c>
      <c r="E14" s="10" t="s">
        <v>91</v>
      </c>
      <c r="F14" s="10" t="s">
        <v>284</v>
      </c>
      <c r="G14" s="11">
        <v>46387</v>
      </c>
      <c r="H14" s="10" t="s">
        <v>257</v>
      </c>
      <c r="I14" s="12">
        <f t="shared" si="0"/>
        <v>46752</v>
      </c>
      <c r="J14" s="13" t="str">
        <f t="shared" si="1"/>
        <v>OK</v>
      </c>
    </row>
    <row r="15" spans="1:10" ht="30" customHeight="1" x14ac:dyDescent="0.3">
      <c r="A15" s="10" t="s">
        <v>285</v>
      </c>
      <c r="B15" s="10" t="s">
        <v>286</v>
      </c>
      <c r="C15" s="10" t="s">
        <v>253</v>
      </c>
      <c r="D15" s="10" t="s">
        <v>287</v>
      </c>
      <c r="E15" s="10" t="s">
        <v>111</v>
      </c>
      <c r="F15" s="10" t="s">
        <v>108</v>
      </c>
      <c r="G15" s="11">
        <v>46387</v>
      </c>
      <c r="H15" s="10" t="s">
        <v>257</v>
      </c>
      <c r="I15" s="12">
        <f t="shared" si="0"/>
        <v>46752</v>
      </c>
      <c r="J15" s="13" t="str">
        <f t="shared" si="1"/>
        <v>OK</v>
      </c>
    </row>
    <row r="16" spans="1:10" ht="30" customHeight="1" x14ac:dyDescent="0.3">
      <c r="A16" s="10" t="s">
        <v>288</v>
      </c>
      <c r="B16" s="10" t="s">
        <v>289</v>
      </c>
      <c r="C16" s="10" t="s">
        <v>253</v>
      </c>
      <c r="D16" s="10" t="s">
        <v>290</v>
      </c>
      <c r="E16" s="10" t="s">
        <v>111</v>
      </c>
      <c r="F16" s="10" t="s">
        <v>291</v>
      </c>
      <c r="G16" s="11">
        <v>46387</v>
      </c>
      <c r="H16" s="10" t="s">
        <v>257</v>
      </c>
      <c r="I16" s="12">
        <f t="shared" si="0"/>
        <v>46752</v>
      </c>
      <c r="J16" s="13" t="str">
        <f t="shared" si="1"/>
        <v>OK</v>
      </c>
    </row>
    <row r="17" spans="1:10" ht="30" customHeight="1" x14ac:dyDescent="0.3">
      <c r="A17" s="10" t="s">
        <v>292</v>
      </c>
      <c r="B17" s="10" t="s">
        <v>293</v>
      </c>
      <c r="C17" s="10" t="s">
        <v>294</v>
      </c>
      <c r="D17" s="10" t="s">
        <v>295</v>
      </c>
      <c r="E17" s="10" t="s">
        <v>296</v>
      </c>
      <c r="F17" s="10" t="s">
        <v>297</v>
      </c>
      <c r="G17" s="11">
        <v>46097</v>
      </c>
      <c r="H17" s="10" t="s">
        <v>257</v>
      </c>
      <c r="I17" s="12">
        <f t="shared" si="0"/>
        <v>46462</v>
      </c>
      <c r="J17" s="13" t="str">
        <f t="shared" si="1"/>
        <v>OK</v>
      </c>
    </row>
    <row r="18" spans="1:10" ht="30" customHeight="1" x14ac:dyDescent="0.3">
      <c r="A18" s="10" t="s">
        <v>298</v>
      </c>
      <c r="B18" s="10" t="s">
        <v>299</v>
      </c>
      <c r="C18" s="10" t="s">
        <v>294</v>
      </c>
      <c r="D18" s="10" t="s">
        <v>300</v>
      </c>
      <c r="E18" s="10" t="s">
        <v>296</v>
      </c>
      <c r="F18" s="10" t="s">
        <v>227</v>
      </c>
      <c r="G18" s="11">
        <v>46097</v>
      </c>
      <c r="H18" s="10" t="s">
        <v>257</v>
      </c>
      <c r="I18" s="12">
        <f t="shared" si="0"/>
        <v>46462</v>
      </c>
      <c r="J18" s="13" t="str">
        <f t="shared" si="1"/>
        <v>OK</v>
      </c>
    </row>
    <row r="19" spans="1:10" ht="30" customHeight="1" x14ac:dyDescent="0.3">
      <c r="A19" s="10" t="s">
        <v>301</v>
      </c>
      <c r="B19" s="10" t="s">
        <v>302</v>
      </c>
      <c r="C19" s="10" t="s">
        <v>294</v>
      </c>
      <c r="D19" s="10" t="s">
        <v>295</v>
      </c>
      <c r="E19" s="10" t="s">
        <v>303</v>
      </c>
      <c r="F19" s="10" t="s">
        <v>199</v>
      </c>
      <c r="G19" s="11">
        <v>46097</v>
      </c>
      <c r="H19" s="10" t="s">
        <v>257</v>
      </c>
      <c r="I19" s="12">
        <f t="shared" si="0"/>
        <v>46462</v>
      </c>
      <c r="J19" s="13" t="str">
        <f t="shared" si="1"/>
        <v>OK</v>
      </c>
    </row>
    <row r="20" spans="1:10" ht="30" customHeight="1" x14ac:dyDescent="0.3">
      <c r="A20" s="10" t="s">
        <v>304</v>
      </c>
      <c r="B20" s="10" t="s">
        <v>305</v>
      </c>
      <c r="C20" s="10" t="s">
        <v>294</v>
      </c>
      <c r="D20" s="10" t="s">
        <v>306</v>
      </c>
      <c r="E20" s="10" t="s">
        <v>129</v>
      </c>
      <c r="F20" s="10" t="s">
        <v>307</v>
      </c>
      <c r="G20" s="11">
        <v>46097</v>
      </c>
      <c r="H20" s="10" t="s">
        <v>257</v>
      </c>
      <c r="I20" s="12">
        <f t="shared" si="0"/>
        <v>46462</v>
      </c>
      <c r="J20" s="13" t="str">
        <f t="shared" si="1"/>
        <v>OK</v>
      </c>
    </row>
    <row r="21" spans="1:10" ht="30" customHeight="1" x14ac:dyDescent="0.3">
      <c r="A21" s="10" t="s">
        <v>308</v>
      </c>
      <c r="B21" s="10" t="s">
        <v>309</v>
      </c>
      <c r="C21" s="10" t="s">
        <v>310</v>
      </c>
      <c r="D21" s="10" t="s">
        <v>311</v>
      </c>
      <c r="E21" s="10" t="s">
        <v>312</v>
      </c>
      <c r="F21" s="10" t="s">
        <v>222</v>
      </c>
      <c r="G21" s="11">
        <v>46097</v>
      </c>
      <c r="H21" s="10" t="s">
        <v>257</v>
      </c>
      <c r="I21" s="12">
        <f t="shared" si="0"/>
        <v>46462</v>
      </c>
      <c r="J21" s="13" t="str">
        <f t="shared" si="1"/>
        <v>OK</v>
      </c>
    </row>
    <row r="22" spans="1:10" ht="30" customHeight="1" x14ac:dyDescent="0.3">
      <c r="A22" s="10" t="s">
        <v>313</v>
      </c>
      <c r="B22" s="10" t="s">
        <v>314</v>
      </c>
      <c r="C22" s="10" t="s">
        <v>253</v>
      </c>
      <c r="D22" s="10" t="s">
        <v>273</v>
      </c>
      <c r="E22" s="10" t="s">
        <v>144</v>
      </c>
      <c r="F22" s="10" t="s">
        <v>227</v>
      </c>
      <c r="G22" s="11">
        <v>46097</v>
      </c>
      <c r="H22" s="10" t="s">
        <v>257</v>
      </c>
      <c r="I22" s="12">
        <f t="shared" si="0"/>
        <v>46462</v>
      </c>
      <c r="J22" s="13" t="str">
        <f t="shared" si="1"/>
        <v>OK</v>
      </c>
    </row>
    <row r="23" spans="1:10" ht="30" customHeight="1" x14ac:dyDescent="0.3">
      <c r="A23" s="10" t="s">
        <v>315</v>
      </c>
      <c r="B23" s="10" t="s">
        <v>316</v>
      </c>
      <c r="C23" s="10" t="s">
        <v>253</v>
      </c>
      <c r="D23" s="10" t="s">
        <v>317</v>
      </c>
      <c r="E23" s="10" t="s">
        <v>144</v>
      </c>
      <c r="F23" s="10" t="s">
        <v>163</v>
      </c>
      <c r="G23" s="11">
        <v>46097</v>
      </c>
      <c r="H23" s="10" t="s">
        <v>257</v>
      </c>
      <c r="I23" s="12">
        <f t="shared" si="0"/>
        <v>46462</v>
      </c>
      <c r="J23" s="13" t="str">
        <f t="shared" si="1"/>
        <v>OK</v>
      </c>
    </row>
    <row r="24" spans="1:10" ht="30" customHeight="1" x14ac:dyDescent="0.3">
      <c r="A24" s="10" t="s">
        <v>318</v>
      </c>
      <c r="B24" s="10" t="s">
        <v>319</v>
      </c>
      <c r="C24" s="10" t="s">
        <v>253</v>
      </c>
      <c r="D24" s="10" t="s">
        <v>311</v>
      </c>
      <c r="E24" s="10" t="s">
        <v>178</v>
      </c>
      <c r="F24" s="10" t="s">
        <v>202</v>
      </c>
      <c r="G24" s="11">
        <v>46097</v>
      </c>
      <c r="H24" s="10" t="s">
        <v>257</v>
      </c>
      <c r="I24" s="12">
        <f t="shared" si="0"/>
        <v>46462</v>
      </c>
      <c r="J24" s="13" t="str">
        <f t="shared" si="1"/>
        <v>OK</v>
      </c>
    </row>
    <row r="25" spans="1:10" ht="30" customHeight="1" x14ac:dyDescent="0.3">
      <c r="A25" s="10" t="s">
        <v>320</v>
      </c>
      <c r="B25" s="10" t="s">
        <v>321</v>
      </c>
      <c r="C25" s="10" t="s">
        <v>253</v>
      </c>
      <c r="D25" s="10" t="s">
        <v>311</v>
      </c>
      <c r="E25" s="10" t="s">
        <v>182</v>
      </c>
      <c r="F25" s="10" t="s">
        <v>179</v>
      </c>
      <c r="G25" s="11">
        <v>46097</v>
      </c>
      <c r="H25" s="10" t="s">
        <v>257</v>
      </c>
      <c r="I25" s="12">
        <f t="shared" si="0"/>
        <v>46462</v>
      </c>
      <c r="J25" s="13" t="str">
        <f t="shared" si="1"/>
        <v>OK</v>
      </c>
    </row>
    <row r="26" spans="1:10" ht="30" customHeight="1" x14ac:dyDescent="0.3">
      <c r="A26" s="10" t="s">
        <v>322</v>
      </c>
      <c r="B26" s="10" t="s">
        <v>323</v>
      </c>
      <c r="C26" s="10" t="s">
        <v>253</v>
      </c>
      <c r="D26" s="10" t="s">
        <v>324</v>
      </c>
      <c r="E26" s="10" t="s">
        <v>150</v>
      </c>
      <c r="F26" s="10" t="s">
        <v>325</v>
      </c>
      <c r="G26" s="11">
        <v>46097</v>
      </c>
      <c r="H26" s="10" t="s">
        <v>326</v>
      </c>
      <c r="I26" s="12">
        <f t="shared" si="0"/>
        <v>46462</v>
      </c>
      <c r="J26" s="13" t="str">
        <f t="shared" si="1"/>
        <v>Rever</v>
      </c>
    </row>
    <row r="27" spans="1:10" ht="30" customHeight="1" x14ac:dyDescent="0.3">
      <c r="A27" s="10" t="s">
        <v>327</v>
      </c>
      <c r="B27" s="10" t="s">
        <v>328</v>
      </c>
      <c r="C27" s="10" t="s">
        <v>329</v>
      </c>
      <c r="D27" s="10" t="s">
        <v>330</v>
      </c>
      <c r="E27" s="10" t="s">
        <v>123</v>
      </c>
      <c r="F27" s="10" t="s">
        <v>331</v>
      </c>
      <c r="G27" s="11">
        <v>45889</v>
      </c>
      <c r="H27" s="10" t="s">
        <v>257</v>
      </c>
      <c r="I27" s="12">
        <f t="shared" si="0"/>
        <v>46254</v>
      </c>
      <c r="J27" s="13" t="str">
        <f t="shared" si="1"/>
        <v>Verificar</v>
      </c>
    </row>
    <row r="28" spans="1:10" ht="30" customHeight="1" x14ac:dyDescent="0.3">
      <c r="A28" s="10" t="s">
        <v>332</v>
      </c>
      <c r="B28" s="10" t="s">
        <v>333</v>
      </c>
      <c r="C28" s="10" t="s">
        <v>334</v>
      </c>
      <c r="D28" s="10" t="s">
        <v>335</v>
      </c>
      <c r="E28" s="10" t="s">
        <v>182</v>
      </c>
      <c r="F28" s="10" t="s">
        <v>179</v>
      </c>
      <c r="G28" s="11">
        <v>45889</v>
      </c>
      <c r="H28" s="10" t="s">
        <v>257</v>
      </c>
      <c r="I28" s="12">
        <f t="shared" si="0"/>
        <v>46254</v>
      </c>
      <c r="J28" s="13" t="str">
        <f t="shared" si="1"/>
        <v>Verificar</v>
      </c>
    </row>
  </sheetData>
  <conditionalFormatting sqref="J5:J228">
    <cfRule type="expression" dxfId="2" priority="1">
      <formula>ISNUMBER(SEARCH("Verificar",J5))</formula>
    </cfRule>
    <cfRule type="expression" dxfId="1" priority="2">
      <formula>ISNUMBER(SEARCH("Rever",J5))</formula>
    </cfRule>
    <cfRule type="expression" dxfId="0" priority="3">
      <formula>ISNUMBER(SEARCH("OK",J5))</formula>
    </cfRule>
  </conditionalFormatting>
  <dataValidations count="2">
    <dataValidation type="list" allowBlank="1" showErrorMessage="1" errorTitle="Valor inválido" error="Valor fora da lista controlada (ver folha Listas)." sqref="C5:C228" xr:uid="{00000000-0002-0000-0200-000000000000}">
      <formula1>lst_TipoExt</formula1>
    </dataValidation>
    <dataValidation type="list" allowBlank="1" showErrorMessage="1" errorTitle="Valor inválido" error="Valor fora da lista controlada (ver folha Listas)." sqref="H5:H228" xr:uid="{00000000-0002-0000-0200-000001000000}">
      <formula1>lst_EstadoExt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36" customWidth="1"/>
    <col min="3" max="3" width="10" customWidth="1"/>
    <col min="4" max="4" width="34" customWidth="1"/>
    <col min="5" max="5" width="30" customWidth="1"/>
    <col min="6" max="6" width="26" customWidth="1"/>
    <col min="7" max="7" width="34" customWidth="1"/>
  </cols>
  <sheetData>
    <row r="1" spans="1:7" ht="17.399999999999999" x14ac:dyDescent="0.3">
      <c r="A1" s="1" t="s">
        <v>336</v>
      </c>
    </row>
    <row r="4" spans="1:7" x14ac:dyDescent="0.3">
      <c r="A4" s="8" t="s">
        <v>337</v>
      </c>
      <c r="B4" s="8" t="s">
        <v>338</v>
      </c>
      <c r="C4" s="8" t="s">
        <v>339</v>
      </c>
      <c r="D4" s="8" t="s">
        <v>340</v>
      </c>
      <c r="E4" s="8" t="s">
        <v>341</v>
      </c>
      <c r="F4" s="8" t="s">
        <v>342</v>
      </c>
      <c r="G4" s="8" t="s">
        <v>343</v>
      </c>
    </row>
    <row r="5" spans="1:7" ht="30" customHeight="1" x14ac:dyDescent="0.3">
      <c r="A5" s="10" t="s">
        <v>344</v>
      </c>
      <c r="B5" s="10" t="s">
        <v>345</v>
      </c>
      <c r="C5" s="10" t="s">
        <v>346</v>
      </c>
      <c r="D5" s="10" t="s">
        <v>347</v>
      </c>
      <c r="E5" s="10" t="s">
        <v>348</v>
      </c>
      <c r="F5" s="10" t="s">
        <v>349</v>
      </c>
      <c r="G5" s="10" t="s">
        <v>350</v>
      </c>
    </row>
    <row r="6" spans="1:7" ht="30" customHeight="1" x14ac:dyDescent="0.3">
      <c r="A6" s="10" t="s">
        <v>284</v>
      </c>
      <c r="B6" s="10" t="s">
        <v>351</v>
      </c>
      <c r="C6" s="10" t="s">
        <v>352</v>
      </c>
      <c r="D6" s="10" t="s">
        <v>353</v>
      </c>
      <c r="E6" s="10" t="s">
        <v>348</v>
      </c>
      <c r="F6" s="10" t="s">
        <v>349</v>
      </c>
      <c r="G6" s="10" t="s">
        <v>354</v>
      </c>
    </row>
    <row r="7" spans="1:7" ht="30" customHeight="1" x14ac:dyDescent="0.3">
      <c r="A7" s="10" t="s">
        <v>355</v>
      </c>
      <c r="B7" s="10" t="s">
        <v>356</v>
      </c>
      <c r="C7" s="10" t="s">
        <v>357</v>
      </c>
      <c r="D7" s="10" t="s">
        <v>358</v>
      </c>
      <c r="E7" s="10" t="s">
        <v>359</v>
      </c>
      <c r="F7" s="10" t="s">
        <v>360</v>
      </c>
      <c r="G7" s="10" t="s">
        <v>361</v>
      </c>
    </row>
    <row r="8" spans="1:7" ht="30" customHeight="1" x14ac:dyDescent="0.3">
      <c r="A8" s="10" t="s">
        <v>362</v>
      </c>
      <c r="B8" s="10" t="s">
        <v>363</v>
      </c>
      <c r="C8" s="10" t="s">
        <v>364</v>
      </c>
      <c r="D8" s="10" t="s">
        <v>365</v>
      </c>
      <c r="E8" s="10" t="s">
        <v>366</v>
      </c>
      <c r="F8" s="10" t="s">
        <v>349</v>
      </c>
      <c r="G8" s="10" t="s">
        <v>367</v>
      </c>
    </row>
    <row r="9" spans="1:7" ht="30" customHeight="1" x14ac:dyDescent="0.3">
      <c r="A9" s="10" t="s">
        <v>368</v>
      </c>
      <c r="B9" s="10" t="s">
        <v>369</v>
      </c>
      <c r="C9" s="10" t="s">
        <v>370</v>
      </c>
      <c r="D9" s="10" t="s">
        <v>371</v>
      </c>
      <c r="E9" s="10" t="s">
        <v>372</v>
      </c>
      <c r="F9" s="10" t="s">
        <v>373</v>
      </c>
      <c r="G9" s="10" t="s">
        <v>374</v>
      </c>
    </row>
    <row r="10" spans="1:7" ht="30" customHeight="1" x14ac:dyDescent="0.3">
      <c r="A10" s="10" t="s">
        <v>375</v>
      </c>
      <c r="B10" s="10" t="s">
        <v>376</v>
      </c>
      <c r="C10" s="10" t="s">
        <v>377</v>
      </c>
      <c r="D10" s="10" t="s">
        <v>378</v>
      </c>
      <c r="E10" s="10" t="s">
        <v>379</v>
      </c>
      <c r="F10" s="10" t="s">
        <v>380</v>
      </c>
      <c r="G10" s="10" t="s">
        <v>381</v>
      </c>
    </row>
    <row r="11" spans="1:7" ht="30" customHeight="1" x14ac:dyDescent="0.3">
      <c r="A11" s="10" t="s">
        <v>331</v>
      </c>
      <c r="B11" s="10" t="s">
        <v>382</v>
      </c>
      <c r="C11" s="10" t="s">
        <v>383</v>
      </c>
      <c r="D11" s="10" t="s">
        <v>384</v>
      </c>
      <c r="E11" s="10" t="s">
        <v>385</v>
      </c>
      <c r="F11" s="10" t="s">
        <v>386</v>
      </c>
      <c r="G11" s="10" t="s">
        <v>387</v>
      </c>
    </row>
    <row r="12" spans="1:7" ht="30" customHeight="1" x14ac:dyDescent="0.3">
      <c r="A12" s="10" t="s">
        <v>388</v>
      </c>
      <c r="B12" s="10" t="s">
        <v>389</v>
      </c>
      <c r="C12" s="10" t="s">
        <v>390</v>
      </c>
      <c r="D12" s="10" t="s">
        <v>391</v>
      </c>
      <c r="E12" s="10" t="s">
        <v>392</v>
      </c>
      <c r="F12" s="10" t="s">
        <v>393</v>
      </c>
      <c r="G12" s="10" t="s">
        <v>394</v>
      </c>
    </row>
    <row r="13" spans="1:7" ht="30" customHeight="1" x14ac:dyDescent="0.3">
      <c r="A13" s="10" t="s">
        <v>395</v>
      </c>
      <c r="B13" s="10" t="s">
        <v>396</v>
      </c>
      <c r="C13" s="10" t="s">
        <v>397</v>
      </c>
      <c r="D13" s="10" t="s">
        <v>398</v>
      </c>
      <c r="E13" s="10" t="s">
        <v>359</v>
      </c>
      <c r="F13" s="10" t="s">
        <v>399</v>
      </c>
      <c r="G13" s="10" t="s">
        <v>400</v>
      </c>
    </row>
    <row r="14" spans="1:7" ht="30" customHeight="1" x14ac:dyDescent="0.3">
      <c r="A14" s="10" t="s">
        <v>401</v>
      </c>
      <c r="B14" s="10" t="s">
        <v>402</v>
      </c>
      <c r="C14" s="10" t="s">
        <v>403</v>
      </c>
      <c r="D14" s="10" t="s">
        <v>404</v>
      </c>
      <c r="E14" s="10" t="s">
        <v>405</v>
      </c>
      <c r="F14" s="10" t="s">
        <v>406</v>
      </c>
      <c r="G14" s="10" t="s">
        <v>407</v>
      </c>
    </row>
    <row r="15" spans="1:7" ht="30" customHeight="1" x14ac:dyDescent="0.3">
      <c r="A15" s="10" t="s">
        <v>408</v>
      </c>
      <c r="B15" s="10" t="s">
        <v>409</v>
      </c>
      <c r="C15" s="10" t="s">
        <v>410</v>
      </c>
      <c r="D15" s="10" t="s">
        <v>411</v>
      </c>
      <c r="E15" s="10" t="s">
        <v>412</v>
      </c>
      <c r="F15" s="10" t="s">
        <v>413</v>
      </c>
      <c r="G15" s="10" t="s">
        <v>400</v>
      </c>
    </row>
    <row r="16" spans="1:7" ht="30" customHeight="1" x14ac:dyDescent="0.3">
      <c r="A16" s="10" t="s">
        <v>414</v>
      </c>
      <c r="B16" s="10" t="s">
        <v>415</v>
      </c>
      <c r="C16" s="10" t="s">
        <v>416</v>
      </c>
      <c r="D16" s="10" t="s">
        <v>417</v>
      </c>
      <c r="E16" s="10" t="s">
        <v>359</v>
      </c>
      <c r="F16" s="10" t="s">
        <v>418</v>
      </c>
      <c r="G16" s="10" t="s">
        <v>419</v>
      </c>
    </row>
    <row r="17" spans="1:7" ht="30" customHeight="1" x14ac:dyDescent="0.3">
      <c r="A17" s="10" t="s">
        <v>420</v>
      </c>
      <c r="B17" s="10" t="s">
        <v>421</v>
      </c>
      <c r="C17" s="10" t="s">
        <v>422</v>
      </c>
      <c r="D17" s="10" t="s">
        <v>423</v>
      </c>
      <c r="E17" s="10" t="s">
        <v>424</v>
      </c>
      <c r="F17" s="10" t="s">
        <v>349</v>
      </c>
      <c r="G17" s="10" t="s">
        <v>400</v>
      </c>
    </row>
    <row r="18" spans="1:7" ht="30" customHeight="1" x14ac:dyDescent="0.3">
      <c r="A18" s="10" t="s">
        <v>425</v>
      </c>
      <c r="B18" s="10" t="s">
        <v>426</v>
      </c>
      <c r="C18" s="10" t="s">
        <v>427</v>
      </c>
      <c r="D18" s="10" t="s">
        <v>428</v>
      </c>
      <c r="E18" s="10" t="s">
        <v>429</v>
      </c>
      <c r="F18" s="10" t="s">
        <v>430</v>
      </c>
      <c r="G18" s="10" t="s">
        <v>431</v>
      </c>
    </row>
    <row r="19" spans="1:7" ht="30" customHeight="1" x14ac:dyDescent="0.3">
      <c r="A19" s="10" t="s">
        <v>432</v>
      </c>
      <c r="B19" s="10" t="s">
        <v>433</v>
      </c>
      <c r="C19" s="10" t="s">
        <v>434</v>
      </c>
      <c r="D19" s="10" t="s">
        <v>435</v>
      </c>
      <c r="E19" s="10" t="s">
        <v>359</v>
      </c>
      <c r="F19" s="10" t="s">
        <v>436</v>
      </c>
      <c r="G19" s="10" t="s">
        <v>400</v>
      </c>
    </row>
    <row r="20" spans="1:7" ht="30" customHeight="1" x14ac:dyDescent="0.3">
      <c r="A20" s="10" t="s">
        <v>437</v>
      </c>
      <c r="B20" s="10" t="s">
        <v>438</v>
      </c>
      <c r="C20" s="10" t="s">
        <v>439</v>
      </c>
      <c r="D20" s="10" t="s">
        <v>440</v>
      </c>
      <c r="E20" s="10" t="s">
        <v>359</v>
      </c>
      <c r="F20" s="10" t="s">
        <v>441</v>
      </c>
      <c r="G20" s="10" t="s">
        <v>442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2" customWidth="1"/>
    <col min="3" max="3" width="42" customWidth="1"/>
    <col min="4" max="4" width="26" customWidth="1"/>
    <col min="5" max="5" width="20" customWidth="1"/>
    <col min="6" max="6" width="36" customWidth="1"/>
    <col min="7" max="7" width="24" customWidth="1"/>
  </cols>
  <sheetData>
    <row r="1" spans="1:7" ht="17.399999999999999" x14ac:dyDescent="0.3">
      <c r="A1" s="1" t="s">
        <v>443</v>
      </c>
    </row>
    <row r="4" spans="1:7" ht="26.4" x14ac:dyDescent="0.3">
      <c r="A4" s="8" t="s">
        <v>444</v>
      </c>
      <c r="B4" s="8" t="s">
        <v>73</v>
      </c>
      <c r="C4" s="8" t="s">
        <v>445</v>
      </c>
      <c r="D4" s="8" t="s">
        <v>446</v>
      </c>
      <c r="E4" s="8" t="s">
        <v>447</v>
      </c>
      <c r="F4" s="8" t="s">
        <v>448</v>
      </c>
      <c r="G4" s="8" t="s">
        <v>449</v>
      </c>
    </row>
    <row r="5" spans="1:7" ht="30" customHeight="1" x14ac:dyDescent="0.3">
      <c r="A5" s="10" t="s">
        <v>450</v>
      </c>
      <c r="B5" s="10" t="s">
        <v>451</v>
      </c>
      <c r="C5" s="10" t="s">
        <v>452</v>
      </c>
      <c r="D5" s="10" t="s">
        <v>453</v>
      </c>
      <c r="E5" s="10" t="s">
        <v>454</v>
      </c>
      <c r="F5" s="10" t="s">
        <v>455</v>
      </c>
      <c r="G5" s="10" t="s">
        <v>11</v>
      </c>
    </row>
    <row r="6" spans="1:7" ht="30" customHeight="1" x14ac:dyDescent="0.3">
      <c r="A6" s="10" t="s">
        <v>456</v>
      </c>
      <c r="B6" s="10" t="s">
        <v>457</v>
      </c>
      <c r="C6" s="10" t="s">
        <v>458</v>
      </c>
      <c r="D6" s="10" t="s">
        <v>459</v>
      </c>
      <c r="E6" s="10" t="s">
        <v>460</v>
      </c>
      <c r="F6" s="10" t="s">
        <v>461</v>
      </c>
      <c r="G6" s="10" t="s">
        <v>88</v>
      </c>
    </row>
    <row r="7" spans="1:7" ht="30" customHeight="1" x14ac:dyDescent="0.3">
      <c r="A7" s="10" t="s">
        <v>462</v>
      </c>
      <c r="B7" s="10" t="s">
        <v>451</v>
      </c>
      <c r="C7" s="10" t="s">
        <v>463</v>
      </c>
      <c r="D7" s="10" t="s">
        <v>464</v>
      </c>
      <c r="E7" s="10" t="s">
        <v>465</v>
      </c>
      <c r="F7" s="10" t="s">
        <v>466</v>
      </c>
      <c r="G7" s="10" t="s">
        <v>11</v>
      </c>
    </row>
    <row r="8" spans="1:7" ht="30" customHeight="1" x14ac:dyDescent="0.3">
      <c r="A8" s="10" t="s">
        <v>467</v>
      </c>
      <c r="B8" s="10" t="s">
        <v>451</v>
      </c>
      <c r="C8" s="10" t="s">
        <v>468</v>
      </c>
      <c r="D8" s="10" t="s">
        <v>469</v>
      </c>
      <c r="E8" s="10" t="s">
        <v>470</v>
      </c>
      <c r="F8" s="10" t="s">
        <v>471</v>
      </c>
      <c r="G8" s="10" t="s">
        <v>472</v>
      </c>
    </row>
    <row r="9" spans="1:7" ht="30" customHeight="1" x14ac:dyDescent="0.3">
      <c r="A9" s="10" t="s">
        <v>473</v>
      </c>
      <c r="B9" s="10" t="s">
        <v>451</v>
      </c>
      <c r="C9" s="10" t="s">
        <v>474</v>
      </c>
      <c r="D9" s="10" t="s">
        <v>475</v>
      </c>
      <c r="E9" s="10" t="s">
        <v>476</v>
      </c>
      <c r="F9" s="10" t="s">
        <v>477</v>
      </c>
      <c r="G9" s="10" t="s">
        <v>11</v>
      </c>
    </row>
    <row r="10" spans="1:7" ht="30" customHeight="1" x14ac:dyDescent="0.3">
      <c r="A10" s="10" t="s">
        <v>478</v>
      </c>
      <c r="B10" s="10" t="s">
        <v>479</v>
      </c>
      <c r="C10" s="10" t="s">
        <v>480</v>
      </c>
      <c r="D10" s="10" t="s">
        <v>481</v>
      </c>
      <c r="E10" s="10" t="s">
        <v>482</v>
      </c>
      <c r="F10" s="10" t="s">
        <v>483</v>
      </c>
      <c r="G10" s="10" t="s">
        <v>138</v>
      </c>
    </row>
    <row r="11" spans="1:7" ht="30" customHeight="1" x14ac:dyDescent="0.3">
      <c r="A11" s="10" t="s">
        <v>484</v>
      </c>
      <c r="B11" s="10" t="s">
        <v>479</v>
      </c>
      <c r="C11" s="10" t="s">
        <v>485</v>
      </c>
      <c r="D11" s="10" t="s">
        <v>481</v>
      </c>
      <c r="E11" s="10" t="s">
        <v>486</v>
      </c>
      <c r="F11" s="10" t="s">
        <v>487</v>
      </c>
      <c r="G11" s="10" t="s">
        <v>138</v>
      </c>
    </row>
    <row r="12" spans="1:7" ht="30" customHeight="1" x14ac:dyDescent="0.3">
      <c r="A12" s="10" t="s">
        <v>488</v>
      </c>
      <c r="B12" s="10" t="s">
        <v>479</v>
      </c>
      <c r="C12" s="10" t="s">
        <v>489</v>
      </c>
      <c r="D12" s="10" t="s">
        <v>490</v>
      </c>
      <c r="E12" s="10" t="s">
        <v>491</v>
      </c>
      <c r="F12" s="10" t="s">
        <v>492</v>
      </c>
      <c r="G12" s="10" t="s">
        <v>11</v>
      </c>
    </row>
  </sheetData>
  <dataValidations count="2">
    <dataValidation type="list" allowBlank="1" showErrorMessage="1" errorTitle="Valor inválido" error="Valor fora da lista controlada (ver folha Listas)." sqref="B5:B212" xr:uid="{00000000-0002-0000-0400-000000000000}">
      <formula1>lst_Direcao</formula1>
    </dataValidation>
    <dataValidation type="list" allowBlank="1" showErrorMessage="1" errorTitle="Valor inválido" error="Valor fora da lista controlada (ver folha Listas)." sqref="G5:G212" xr:uid="{00000000-0002-0000-04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0" customWidth="1"/>
    <col min="3" max="3" width="50" customWidth="1"/>
    <col min="4" max="4" width="30" customWidth="1"/>
    <col min="5" max="5" width="26" customWidth="1"/>
    <col min="6" max="6" width="18" customWidth="1"/>
  </cols>
  <sheetData>
    <row r="1" spans="1:6" ht="17.399999999999999" x14ac:dyDescent="0.3">
      <c r="A1" s="1" t="s">
        <v>493</v>
      </c>
    </row>
    <row r="2" spans="1:6" x14ac:dyDescent="0.3">
      <c r="A2" s="2" t="s">
        <v>494</v>
      </c>
    </row>
    <row r="4" spans="1:6" x14ac:dyDescent="0.3">
      <c r="A4" s="8" t="s">
        <v>495</v>
      </c>
      <c r="B4" s="8" t="s">
        <v>496</v>
      </c>
      <c r="C4" s="8" t="s">
        <v>497</v>
      </c>
      <c r="D4" s="8" t="s">
        <v>498</v>
      </c>
      <c r="E4" s="8" t="s">
        <v>449</v>
      </c>
      <c r="F4" s="8" t="s">
        <v>499</v>
      </c>
    </row>
    <row r="5" spans="1:6" ht="34.049999999999997" customHeight="1" x14ac:dyDescent="0.3">
      <c r="A5" s="10" t="s">
        <v>500</v>
      </c>
      <c r="B5" s="10" t="s">
        <v>501</v>
      </c>
      <c r="C5" s="10" t="s">
        <v>502</v>
      </c>
      <c r="D5" s="10" t="s">
        <v>503</v>
      </c>
      <c r="E5" s="10" t="s">
        <v>124</v>
      </c>
      <c r="F5" s="10" t="s">
        <v>504</v>
      </c>
    </row>
    <row r="6" spans="1:6" ht="34.049999999999997" customHeight="1" x14ac:dyDescent="0.3">
      <c r="A6" s="10" t="s">
        <v>505</v>
      </c>
      <c r="B6" s="10" t="s">
        <v>506</v>
      </c>
      <c r="C6" s="10" t="s">
        <v>507</v>
      </c>
      <c r="D6" s="10" t="s">
        <v>508</v>
      </c>
      <c r="E6" s="10" t="s">
        <v>509</v>
      </c>
      <c r="F6" s="10" t="s">
        <v>510</v>
      </c>
    </row>
    <row r="7" spans="1:6" ht="34.049999999999997" customHeight="1" x14ac:dyDescent="0.3">
      <c r="A7" s="10" t="s">
        <v>511</v>
      </c>
      <c r="B7" s="10" t="s">
        <v>512</v>
      </c>
      <c r="C7" s="10" t="s">
        <v>513</v>
      </c>
      <c r="D7" s="10" t="s">
        <v>514</v>
      </c>
      <c r="E7" s="10" t="s">
        <v>124</v>
      </c>
      <c r="F7" s="10" t="s">
        <v>515</v>
      </c>
    </row>
    <row r="8" spans="1:6" ht="34.049999999999997" customHeight="1" x14ac:dyDescent="0.3">
      <c r="A8" s="10" t="s">
        <v>516</v>
      </c>
      <c r="B8" s="10" t="s">
        <v>517</v>
      </c>
      <c r="C8" s="10" t="s">
        <v>518</v>
      </c>
      <c r="D8" s="10" t="s">
        <v>519</v>
      </c>
      <c r="E8" s="10" t="s">
        <v>11</v>
      </c>
      <c r="F8" s="10" t="s">
        <v>491</v>
      </c>
    </row>
    <row r="9" spans="1:6" ht="34.049999999999997" customHeight="1" x14ac:dyDescent="0.3">
      <c r="A9" s="10" t="s">
        <v>520</v>
      </c>
      <c r="B9" s="10" t="s">
        <v>521</v>
      </c>
      <c r="C9" s="10" t="s">
        <v>522</v>
      </c>
      <c r="D9" s="10" t="s">
        <v>523</v>
      </c>
      <c r="E9" s="10" t="s">
        <v>124</v>
      </c>
      <c r="F9" s="10" t="s">
        <v>524</v>
      </c>
    </row>
    <row r="10" spans="1:6" ht="34.049999999999997" customHeight="1" x14ac:dyDescent="0.3">
      <c r="A10" s="10" t="s">
        <v>525</v>
      </c>
      <c r="B10" s="10" t="s">
        <v>526</v>
      </c>
      <c r="C10" s="10" t="s">
        <v>527</v>
      </c>
      <c r="D10" s="10" t="s">
        <v>528</v>
      </c>
      <c r="E10" s="10" t="s">
        <v>509</v>
      </c>
      <c r="F10" s="10" t="s">
        <v>491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11"/>
  <sheetViews>
    <sheetView showGridLines="0" workbookViewId="0"/>
  </sheetViews>
  <sheetFormatPr defaultRowHeight="14.4" x14ac:dyDescent="0.3"/>
  <cols>
    <col min="1" max="1" width="50" customWidth="1"/>
    <col min="2" max="2" width="10" customWidth="1"/>
  </cols>
  <sheetData>
    <row r="1" spans="1:2" ht="17.399999999999999" x14ac:dyDescent="0.3">
      <c r="A1" s="1" t="s">
        <v>529</v>
      </c>
    </row>
    <row r="3" spans="1:2" x14ac:dyDescent="0.3">
      <c r="A3" s="8" t="s">
        <v>530</v>
      </c>
      <c r="B3" s="8" t="s">
        <v>531</v>
      </c>
    </row>
    <row r="4" spans="1:2" x14ac:dyDescent="0.3">
      <c r="A4" s="15" t="s">
        <v>532</v>
      </c>
      <c r="B4" s="14">
        <f>COUNTIF(tbl_lista_mestra[Estado],"Em vigor")</f>
        <v>37</v>
      </c>
    </row>
    <row r="5" spans="1:2" x14ac:dyDescent="0.3">
      <c r="A5" s="15" t="s">
        <v>533</v>
      </c>
      <c r="B5" s="14">
        <f>COUNTIF(tbl_lista_mestra[Estado],"Em revisão")</f>
        <v>1</v>
      </c>
    </row>
    <row r="6" spans="1:2" x14ac:dyDescent="0.3">
      <c r="A6" s="15" t="s">
        <v>534</v>
      </c>
      <c r="B6" s="14">
        <f>COUNTIF(tbl_lista_mestra[Estado],"Obsoleto")</f>
        <v>1</v>
      </c>
    </row>
    <row r="7" spans="1:2" x14ac:dyDescent="0.3">
      <c r="A7" s="15" t="s">
        <v>535</v>
      </c>
      <c r="B7" s="14">
        <f>COUNTIF(tbl_lista_mestra[Alerta],"Revisão vencida")</f>
        <v>0</v>
      </c>
    </row>
    <row r="8" spans="1:2" x14ac:dyDescent="0.3">
      <c r="A8" s="15" t="s">
        <v>536</v>
      </c>
      <c r="B8" s="14">
        <f>COUNTIF(tbl_lista_mestra[Alerta],"Rever em 60 dias")</f>
        <v>0</v>
      </c>
    </row>
    <row r="9" spans="1:2" x14ac:dyDescent="0.3">
      <c r="A9" s="15" t="s">
        <v>537</v>
      </c>
      <c r="B9" s="14">
        <f>COUNTIF(tbl_lista_mestra[Exigido_ISO],"Sim*")</f>
        <v>7</v>
      </c>
    </row>
    <row r="10" spans="1:2" x14ac:dyDescent="0.3">
      <c r="A10" s="15" t="s">
        <v>538</v>
      </c>
      <c r="B10" s="14">
        <f>COUNTIF(tbl_lista_mestra[Exigido_ISO],"Não*")</f>
        <v>32</v>
      </c>
    </row>
    <row r="11" spans="1:2" x14ac:dyDescent="0.3">
      <c r="A11" s="15" t="s">
        <v>539</v>
      </c>
      <c r="B11" s="14">
        <f>COUNTIF(tbl_doc_externos[Alerta],"&lt;&gt;OK")</f>
        <v>3</v>
      </c>
    </row>
  </sheetData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23" customWidth="1"/>
    <col min="3" max="4" width="16" customWidth="1"/>
    <col min="5" max="5" width="45" customWidth="1"/>
    <col min="6" max="6" width="36" customWidth="1"/>
    <col min="7" max="7" width="16" customWidth="1"/>
    <col min="8" max="8" width="17" customWidth="1"/>
  </cols>
  <sheetData>
    <row r="1" spans="1:8" x14ac:dyDescent="0.3">
      <c r="A1" s="16" t="s">
        <v>540</v>
      </c>
    </row>
    <row r="2" spans="1:8" x14ac:dyDescent="0.3">
      <c r="A2" s="17" t="s">
        <v>541</v>
      </c>
      <c r="B2" s="17" t="s">
        <v>542</v>
      </c>
      <c r="C2" s="17" t="s">
        <v>543</v>
      </c>
      <c r="D2" s="17" t="s">
        <v>81</v>
      </c>
      <c r="E2" s="17" t="s">
        <v>544</v>
      </c>
      <c r="F2" s="17" t="s">
        <v>545</v>
      </c>
      <c r="G2" s="17" t="s">
        <v>546</v>
      </c>
      <c r="H2" s="17" t="s">
        <v>547</v>
      </c>
    </row>
    <row r="3" spans="1:8" x14ac:dyDescent="0.3">
      <c r="A3" s="18">
        <v>46387</v>
      </c>
      <c r="B3" s="6" t="s">
        <v>87</v>
      </c>
      <c r="C3" s="6" t="s">
        <v>15</v>
      </c>
      <c r="D3" s="6" t="s">
        <v>91</v>
      </c>
      <c r="E3" s="6" t="s">
        <v>88</v>
      </c>
      <c r="F3" s="6" t="s">
        <v>253</v>
      </c>
      <c r="G3" s="6" t="s">
        <v>257</v>
      </c>
      <c r="H3" s="6" t="s">
        <v>451</v>
      </c>
    </row>
    <row r="4" spans="1:8" x14ac:dyDescent="0.3">
      <c r="B4" s="6" t="s">
        <v>95</v>
      </c>
      <c r="C4" s="6" t="s">
        <v>215</v>
      </c>
      <c r="D4" s="6" t="s">
        <v>111</v>
      </c>
      <c r="E4" s="6" t="s">
        <v>110</v>
      </c>
      <c r="F4" s="6" t="s">
        <v>294</v>
      </c>
      <c r="G4" s="6" t="s">
        <v>326</v>
      </c>
      <c r="H4" s="6" t="s">
        <v>479</v>
      </c>
    </row>
    <row r="5" spans="1:8" x14ac:dyDescent="0.3">
      <c r="B5" s="6" t="s">
        <v>101</v>
      </c>
      <c r="C5" s="6" t="s">
        <v>240</v>
      </c>
      <c r="D5" s="6" t="s">
        <v>123</v>
      </c>
      <c r="E5" s="6" t="s">
        <v>11</v>
      </c>
      <c r="F5" s="6" t="s">
        <v>329</v>
      </c>
      <c r="G5" s="6" t="s">
        <v>548</v>
      </c>
      <c r="H5" s="6" t="s">
        <v>457</v>
      </c>
    </row>
    <row r="6" spans="1:8" x14ac:dyDescent="0.3">
      <c r="B6" s="6" t="s">
        <v>165</v>
      </c>
      <c r="D6" s="6" t="s">
        <v>129</v>
      </c>
      <c r="E6" s="6" t="s">
        <v>134</v>
      </c>
      <c r="F6" s="6" t="s">
        <v>310</v>
      </c>
    </row>
    <row r="7" spans="1:8" x14ac:dyDescent="0.3">
      <c r="B7" s="6" t="s">
        <v>186</v>
      </c>
      <c r="D7" s="6" t="s">
        <v>133</v>
      </c>
      <c r="E7" s="6" t="s">
        <v>151</v>
      </c>
      <c r="F7" s="6" t="s">
        <v>334</v>
      </c>
    </row>
    <row r="8" spans="1:8" x14ac:dyDescent="0.3">
      <c r="B8" s="6" t="s">
        <v>224</v>
      </c>
      <c r="D8" s="6" t="s">
        <v>137</v>
      </c>
      <c r="E8" s="6" t="s">
        <v>124</v>
      </c>
    </row>
    <row r="9" spans="1:8" x14ac:dyDescent="0.3">
      <c r="B9" s="6" t="s">
        <v>231</v>
      </c>
      <c r="D9" s="6" t="s">
        <v>182</v>
      </c>
      <c r="E9" s="6" t="s">
        <v>138</v>
      </c>
    </row>
    <row r="10" spans="1:8" x14ac:dyDescent="0.3">
      <c r="B10" s="6" t="s">
        <v>236</v>
      </c>
      <c r="D10" s="6" t="s">
        <v>174</v>
      </c>
      <c r="E10" s="6" t="s">
        <v>130</v>
      </c>
    </row>
    <row r="11" spans="1:8" x14ac:dyDescent="0.3">
      <c r="D11" s="6" t="s">
        <v>168</v>
      </c>
      <c r="E11" s="6" t="s">
        <v>211</v>
      </c>
    </row>
    <row r="12" spans="1:8" x14ac:dyDescent="0.3">
      <c r="D12" s="6" t="s">
        <v>178</v>
      </c>
      <c r="E12" s="6" t="s">
        <v>158</v>
      </c>
    </row>
    <row r="13" spans="1:8" x14ac:dyDescent="0.3">
      <c r="D13" s="6" t="s">
        <v>208</v>
      </c>
      <c r="E13" s="6" t="s">
        <v>162</v>
      </c>
    </row>
    <row r="14" spans="1:8" x14ac:dyDescent="0.3">
      <c r="D14" s="6" t="s">
        <v>144</v>
      </c>
      <c r="E14" s="6" t="s">
        <v>549</v>
      </c>
    </row>
    <row r="15" spans="1:8" x14ac:dyDescent="0.3">
      <c r="D15" s="6" t="s">
        <v>217</v>
      </c>
      <c r="E15" s="6" t="s">
        <v>226</v>
      </c>
    </row>
    <row r="16" spans="1:8" x14ac:dyDescent="0.3">
      <c r="D16" s="6" t="s">
        <v>150</v>
      </c>
      <c r="E16" s="6" t="s">
        <v>189</v>
      </c>
    </row>
    <row r="17" spans="4:5" x14ac:dyDescent="0.3">
      <c r="D17" s="6" t="s">
        <v>154</v>
      </c>
      <c r="E17" s="6" t="s">
        <v>550</v>
      </c>
    </row>
    <row r="18" spans="4:5" x14ac:dyDescent="0.3">
      <c r="D18" s="6" t="s">
        <v>157</v>
      </c>
      <c r="E18" s="6" t="s">
        <v>551</v>
      </c>
    </row>
    <row r="19" spans="4:5" x14ac:dyDescent="0.3">
      <c r="D19" s="6" t="s">
        <v>161</v>
      </c>
      <c r="E19" s="6" t="s">
        <v>552</v>
      </c>
    </row>
    <row r="20" spans="4:5" x14ac:dyDescent="0.3">
      <c r="D20" s="6" t="s">
        <v>107</v>
      </c>
      <c r="E20" s="6" t="s">
        <v>553</v>
      </c>
    </row>
    <row r="21" spans="4:5" x14ac:dyDescent="0.3">
      <c r="E21" s="6" t="s">
        <v>554</v>
      </c>
    </row>
    <row r="22" spans="4:5" x14ac:dyDescent="0.3">
      <c r="E22" s="6" t="s">
        <v>555</v>
      </c>
    </row>
    <row r="23" spans="4:5" x14ac:dyDescent="0.3">
      <c r="E23" s="6" t="s">
        <v>556</v>
      </c>
    </row>
    <row r="24" spans="4:5" x14ac:dyDescent="0.3">
      <c r="E24" s="6" t="s">
        <v>472</v>
      </c>
    </row>
    <row r="25" spans="4:5" x14ac:dyDescent="0.3">
      <c r="E25" s="6" t="s">
        <v>509</v>
      </c>
    </row>
    <row r="26" spans="4:5" x14ac:dyDescent="0.3">
      <c r="E26" s="6" t="s">
        <v>557</v>
      </c>
    </row>
    <row r="27" spans="4:5" x14ac:dyDescent="0.3">
      <c r="E27" s="6" t="s">
        <v>558</v>
      </c>
    </row>
    <row r="28" spans="4:5" x14ac:dyDescent="0.3">
      <c r="E28" s="6" t="s">
        <v>559</v>
      </c>
    </row>
    <row r="29" spans="4:5" x14ac:dyDescent="0.3">
      <c r="E29" s="6" t="s">
        <v>226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560</v>
      </c>
      <c r="B1" s="8" t="s">
        <v>561</v>
      </c>
      <c r="C1" s="8" t="s">
        <v>562</v>
      </c>
      <c r="D1" s="8" t="s">
        <v>73</v>
      </c>
      <c r="E1" s="8" t="s">
        <v>563</v>
      </c>
      <c r="F1" s="8" t="s">
        <v>338</v>
      </c>
      <c r="G1" s="8" t="s">
        <v>564</v>
      </c>
      <c r="H1" s="8" t="s">
        <v>565</v>
      </c>
      <c r="I1" s="8" t="s">
        <v>566</v>
      </c>
    </row>
    <row r="2" spans="1:9" x14ac:dyDescent="0.3">
      <c r="A2" s="15" t="s">
        <v>35</v>
      </c>
      <c r="B2" s="15" t="s">
        <v>567</v>
      </c>
      <c r="C2" s="15" t="s">
        <v>71</v>
      </c>
      <c r="D2" s="15" t="s">
        <v>568</v>
      </c>
      <c r="E2" s="15" t="s">
        <v>569</v>
      </c>
      <c r="F2" s="15" t="s">
        <v>570</v>
      </c>
      <c r="G2" s="15"/>
      <c r="H2" s="15" t="s">
        <v>571</v>
      </c>
      <c r="I2" s="15" t="s">
        <v>572</v>
      </c>
    </row>
    <row r="3" spans="1:9" x14ac:dyDescent="0.3">
      <c r="A3" s="15" t="s">
        <v>35</v>
      </c>
      <c r="B3" s="15" t="s">
        <v>567</v>
      </c>
      <c r="C3" s="15" t="s">
        <v>72</v>
      </c>
      <c r="D3" s="15" t="s">
        <v>568</v>
      </c>
      <c r="E3" s="15" t="s">
        <v>569</v>
      </c>
      <c r="F3" s="15" t="s">
        <v>573</v>
      </c>
      <c r="G3" s="15"/>
      <c r="H3" s="15" t="s">
        <v>571</v>
      </c>
      <c r="I3" s="15"/>
    </row>
    <row r="4" spans="1:9" x14ac:dyDescent="0.3">
      <c r="A4" s="15" t="s">
        <v>35</v>
      </c>
      <c r="B4" s="15" t="s">
        <v>567</v>
      </c>
      <c r="C4" s="15" t="s">
        <v>73</v>
      </c>
      <c r="D4" s="15" t="s">
        <v>568</v>
      </c>
      <c r="E4" s="15" t="s">
        <v>569</v>
      </c>
      <c r="F4" s="15" t="s">
        <v>574</v>
      </c>
      <c r="G4" s="15" t="s">
        <v>575</v>
      </c>
      <c r="H4" s="15" t="s">
        <v>571</v>
      </c>
      <c r="I4" s="15"/>
    </row>
    <row r="5" spans="1:9" x14ac:dyDescent="0.3">
      <c r="A5" s="15" t="s">
        <v>35</v>
      </c>
      <c r="B5" s="15" t="s">
        <v>567</v>
      </c>
      <c r="C5" s="15" t="s">
        <v>74</v>
      </c>
      <c r="D5" s="15" t="s">
        <v>568</v>
      </c>
      <c r="E5" s="15" t="s">
        <v>569</v>
      </c>
      <c r="F5" s="15" t="s">
        <v>576</v>
      </c>
      <c r="G5" s="15"/>
      <c r="H5" s="15" t="s">
        <v>571</v>
      </c>
      <c r="I5" s="15"/>
    </row>
    <row r="6" spans="1:9" ht="26.4" x14ac:dyDescent="0.3">
      <c r="A6" s="15" t="s">
        <v>35</v>
      </c>
      <c r="B6" s="15" t="s">
        <v>567</v>
      </c>
      <c r="C6" s="15" t="s">
        <v>75</v>
      </c>
      <c r="D6" s="15" t="s">
        <v>577</v>
      </c>
      <c r="E6" s="15" t="s">
        <v>569</v>
      </c>
      <c r="F6" s="15" t="s">
        <v>578</v>
      </c>
      <c r="G6" s="15"/>
      <c r="H6" s="15" t="s">
        <v>571</v>
      </c>
      <c r="I6" s="15"/>
    </row>
    <row r="7" spans="1:9" x14ac:dyDescent="0.3">
      <c r="A7" s="15" t="s">
        <v>35</v>
      </c>
      <c r="B7" s="15" t="s">
        <v>567</v>
      </c>
      <c r="C7" s="15" t="s">
        <v>76</v>
      </c>
      <c r="D7" s="15" t="s">
        <v>568</v>
      </c>
      <c r="E7" s="15" t="s">
        <v>569</v>
      </c>
      <c r="F7" s="15" t="s">
        <v>579</v>
      </c>
      <c r="G7" s="15" t="s">
        <v>580</v>
      </c>
      <c r="H7" s="15" t="s">
        <v>571</v>
      </c>
      <c r="I7" s="15"/>
    </row>
    <row r="8" spans="1:9" x14ac:dyDescent="0.3">
      <c r="A8" s="15" t="s">
        <v>35</v>
      </c>
      <c r="B8" s="15" t="s">
        <v>567</v>
      </c>
      <c r="C8" s="15" t="s">
        <v>14</v>
      </c>
      <c r="D8" s="15" t="s">
        <v>568</v>
      </c>
      <c r="E8" s="15" t="s">
        <v>569</v>
      </c>
      <c r="F8" s="15" t="s">
        <v>581</v>
      </c>
      <c r="G8" s="15" t="s">
        <v>582</v>
      </c>
      <c r="H8" s="15" t="s">
        <v>571</v>
      </c>
      <c r="I8" s="15"/>
    </row>
    <row r="9" spans="1:9" x14ac:dyDescent="0.3">
      <c r="A9" s="15" t="s">
        <v>35</v>
      </c>
      <c r="B9" s="15" t="s">
        <v>567</v>
      </c>
      <c r="C9" s="15" t="s">
        <v>77</v>
      </c>
      <c r="D9" s="15" t="s">
        <v>568</v>
      </c>
      <c r="E9" s="15" t="s">
        <v>569</v>
      </c>
      <c r="F9" s="15" t="s">
        <v>583</v>
      </c>
      <c r="G9" s="15"/>
      <c r="H9" s="15" t="s">
        <v>571</v>
      </c>
      <c r="I9" s="15"/>
    </row>
    <row r="10" spans="1:9" x14ac:dyDescent="0.3">
      <c r="A10" s="15" t="s">
        <v>35</v>
      </c>
      <c r="B10" s="15" t="s">
        <v>567</v>
      </c>
      <c r="C10" s="15" t="s">
        <v>78</v>
      </c>
      <c r="D10" s="15" t="s">
        <v>568</v>
      </c>
      <c r="E10" s="15" t="s">
        <v>569</v>
      </c>
      <c r="F10" s="15" t="s">
        <v>584</v>
      </c>
      <c r="G10" s="15"/>
      <c r="H10" s="15" t="s">
        <v>571</v>
      </c>
      <c r="I10" s="15"/>
    </row>
    <row r="11" spans="1:9" ht="26.4" x14ac:dyDescent="0.3">
      <c r="A11" s="15" t="s">
        <v>35</v>
      </c>
      <c r="B11" s="15" t="s">
        <v>567</v>
      </c>
      <c r="C11" s="15" t="s">
        <v>79</v>
      </c>
      <c r="D11" s="15" t="s">
        <v>577</v>
      </c>
      <c r="E11" s="15" t="s">
        <v>585</v>
      </c>
      <c r="F11" s="15" t="s">
        <v>586</v>
      </c>
      <c r="G11" s="15"/>
      <c r="H11" s="15" t="s">
        <v>571</v>
      </c>
      <c r="I11" s="15"/>
    </row>
    <row r="12" spans="1:9" x14ac:dyDescent="0.3">
      <c r="A12" s="15" t="s">
        <v>35</v>
      </c>
      <c r="B12" s="15" t="s">
        <v>567</v>
      </c>
      <c r="C12" s="15" t="s">
        <v>80</v>
      </c>
      <c r="D12" s="15" t="s">
        <v>568</v>
      </c>
      <c r="E12" s="15" t="s">
        <v>585</v>
      </c>
      <c r="F12" s="15" t="s">
        <v>587</v>
      </c>
      <c r="G12" s="15"/>
      <c r="H12" s="15" t="s">
        <v>571</v>
      </c>
      <c r="I12" s="15"/>
    </row>
    <row r="13" spans="1:9" x14ac:dyDescent="0.3">
      <c r="A13" s="15" t="s">
        <v>35</v>
      </c>
      <c r="B13" s="15" t="s">
        <v>567</v>
      </c>
      <c r="C13" s="15" t="s">
        <v>81</v>
      </c>
      <c r="D13" s="15" t="s">
        <v>568</v>
      </c>
      <c r="E13" s="15" t="s">
        <v>569</v>
      </c>
      <c r="F13" s="15" t="s">
        <v>588</v>
      </c>
      <c r="G13" s="15" t="s">
        <v>589</v>
      </c>
      <c r="H13" s="15" t="s">
        <v>571</v>
      </c>
      <c r="I13" s="15"/>
    </row>
    <row r="14" spans="1:9" x14ac:dyDescent="0.3">
      <c r="A14" s="15" t="s">
        <v>35</v>
      </c>
      <c r="B14" s="15" t="s">
        <v>567</v>
      </c>
      <c r="C14" s="15" t="s">
        <v>82</v>
      </c>
      <c r="D14" s="15" t="s">
        <v>568</v>
      </c>
      <c r="E14" s="15" t="s">
        <v>569</v>
      </c>
      <c r="F14" s="15" t="s">
        <v>590</v>
      </c>
      <c r="G14" s="15" t="s">
        <v>580</v>
      </c>
      <c r="H14" s="15" t="s">
        <v>571</v>
      </c>
      <c r="I14" s="15"/>
    </row>
    <row r="15" spans="1:9" x14ac:dyDescent="0.3">
      <c r="A15" s="15" t="s">
        <v>35</v>
      </c>
      <c r="B15" s="15" t="s">
        <v>567</v>
      </c>
      <c r="C15" s="15" t="s">
        <v>83</v>
      </c>
      <c r="D15" s="15" t="s">
        <v>591</v>
      </c>
      <c r="E15" s="15" t="s">
        <v>569</v>
      </c>
      <c r="F15" s="15" t="s">
        <v>592</v>
      </c>
      <c r="G15" s="15"/>
      <c r="H15" s="15" t="s">
        <v>571</v>
      </c>
      <c r="I15" s="15"/>
    </row>
    <row r="16" spans="1:9" ht="26.4" x14ac:dyDescent="0.3">
      <c r="A16" s="15" t="s">
        <v>35</v>
      </c>
      <c r="B16" s="15" t="s">
        <v>567</v>
      </c>
      <c r="C16" s="15" t="s">
        <v>84</v>
      </c>
      <c r="D16" s="15" t="s">
        <v>568</v>
      </c>
      <c r="E16" s="15" t="s">
        <v>569</v>
      </c>
      <c r="F16" s="15" t="s">
        <v>593</v>
      </c>
      <c r="G16" s="15"/>
      <c r="H16" s="15" t="s">
        <v>571</v>
      </c>
      <c r="I16" s="15"/>
    </row>
    <row r="17" spans="1:9" x14ac:dyDescent="0.3">
      <c r="A17" s="15" t="s">
        <v>37</v>
      </c>
      <c r="B17" s="15" t="s">
        <v>594</v>
      </c>
      <c r="C17" s="15" t="s">
        <v>244</v>
      </c>
      <c r="D17" s="15" t="s">
        <v>568</v>
      </c>
      <c r="E17" s="15" t="s">
        <v>569</v>
      </c>
      <c r="F17" s="15" t="s">
        <v>595</v>
      </c>
      <c r="G17" s="15"/>
      <c r="H17" s="15" t="s">
        <v>571</v>
      </c>
      <c r="I17" s="15" t="s">
        <v>572</v>
      </c>
    </row>
    <row r="18" spans="1:9" x14ac:dyDescent="0.3">
      <c r="A18" s="15" t="s">
        <v>37</v>
      </c>
      <c r="B18" s="15" t="s">
        <v>594</v>
      </c>
      <c r="C18" s="15" t="s">
        <v>245</v>
      </c>
      <c r="D18" s="15" t="s">
        <v>568</v>
      </c>
      <c r="E18" s="15" t="s">
        <v>569</v>
      </c>
      <c r="F18" s="15" t="s">
        <v>573</v>
      </c>
      <c r="G18" s="15"/>
      <c r="H18" s="15" t="s">
        <v>571</v>
      </c>
      <c r="I18" s="15"/>
    </row>
    <row r="19" spans="1:9" x14ac:dyDescent="0.3">
      <c r="A19" s="15" t="s">
        <v>37</v>
      </c>
      <c r="B19" s="15" t="s">
        <v>594</v>
      </c>
      <c r="C19" s="15" t="s">
        <v>73</v>
      </c>
      <c r="D19" s="15" t="s">
        <v>568</v>
      </c>
      <c r="E19" s="15" t="s">
        <v>569</v>
      </c>
      <c r="F19" s="15" t="s">
        <v>574</v>
      </c>
      <c r="G19" s="15" t="s">
        <v>596</v>
      </c>
      <c r="H19" s="15" t="s">
        <v>571</v>
      </c>
      <c r="I19" s="15"/>
    </row>
    <row r="20" spans="1:9" x14ac:dyDescent="0.3">
      <c r="A20" s="15" t="s">
        <v>37</v>
      </c>
      <c r="B20" s="15" t="s">
        <v>594</v>
      </c>
      <c r="C20" s="15" t="s">
        <v>246</v>
      </c>
      <c r="D20" s="15" t="s">
        <v>568</v>
      </c>
      <c r="E20" s="15" t="s">
        <v>569</v>
      </c>
      <c r="F20" s="15" t="s">
        <v>597</v>
      </c>
      <c r="G20" s="15"/>
      <c r="H20" s="15" t="s">
        <v>571</v>
      </c>
      <c r="I20" s="15"/>
    </row>
    <row r="21" spans="1:9" x14ac:dyDescent="0.3">
      <c r="A21" s="15" t="s">
        <v>37</v>
      </c>
      <c r="B21" s="15" t="s">
        <v>594</v>
      </c>
      <c r="C21" s="15" t="s">
        <v>247</v>
      </c>
      <c r="D21" s="15" t="s">
        <v>568</v>
      </c>
      <c r="E21" s="15" t="s">
        <v>569</v>
      </c>
      <c r="F21" s="15" t="s">
        <v>598</v>
      </c>
      <c r="G21" s="15"/>
      <c r="H21" s="15" t="s">
        <v>571</v>
      </c>
      <c r="I21" s="15"/>
    </row>
    <row r="22" spans="1:9" x14ac:dyDescent="0.3">
      <c r="A22" s="15" t="s">
        <v>37</v>
      </c>
      <c r="B22" s="15" t="s">
        <v>594</v>
      </c>
      <c r="C22" s="15" t="s">
        <v>248</v>
      </c>
      <c r="D22" s="15" t="s">
        <v>568</v>
      </c>
      <c r="E22" s="15" t="s">
        <v>569</v>
      </c>
      <c r="F22" s="15" t="s">
        <v>599</v>
      </c>
      <c r="G22" s="15"/>
      <c r="H22" s="15" t="s">
        <v>571</v>
      </c>
      <c r="I22" s="15"/>
    </row>
    <row r="23" spans="1:9" ht="26.4" x14ac:dyDescent="0.3">
      <c r="A23" s="15" t="s">
        <v>37</v>
      </c>
      <c r="B23" s="15" t="s">
        <v>594</v>
      </c>
      <c r="C23" s="15" t="s">
        <v>249</v>
      </c>
      <c r="D23" s="15" t="s">
        <v>577</v>
      </c>
      <c r="E23" s="15" t="s">
        <v>569</v>
      </c>
      <c r="F23" s="15" t="s">
        <v>600</v>
      </c>
      <c r="G23" s="15"/>
      <c r="H23" s="15" t="s">
        <v>571</v>
      </c>
      <c r="I23" s="15"/>
    </row>
    <row r="24" spans="1:9" x14ac:dyDescent="0.3">
      <c r="A24" s="15" t="s">
        <v>37</v>
      </c>
      <c r="B24" s="15" t="s">
        <v>594</v>
      </c>
      <c r="C24" s="15" t="s">
        <v>14</v>
      </c>
      <c r="D24" s="15" t="s">
        <v>568</v>
      </c>
      <c r="E24" s="15" t="s">
        <v>569</v>
      </c>
      <c r="F24" s="15" t="s">
        <v>581</v>
      </c>
      <c r="G24" s="15" t="s">
        <v>601</v>
      </c>
      <c r="H24" s="15" t="s">
        <v>571</v>
      </c>
      <c r="I24" s="15"/>
    </row>
    <row r="25" spans="1:9" ht="26.4" x14ac:dyDescent="0.3">
      <c r="A25" s="15" t="s">
        <v>37</v>
      </c>
      <c r="B25" s="15" t="s">
        <v>594</v>
      </c>
      <c r="C25" s="15" t="s">
        <v>250</v>
      </c>
      <c r="D25" s="15" t="s">
        <v>577</v>
      </c>
      <c r="E25" s="15" t="s">
        <v>585</v>
      </c>
      <c r="F25" s="15" t="s">
        <v>602</v>
      </c>
      <c r="G25" s="15"/>
      <c r="H25" s="15" t="s">
        <v>571</v>
      </c>
      <c r="I25" s="15"/>
    </row>
    <row r="26" spans="1:9" x14ac:dyDescent="0.3">
      <c r="A26" s="15" t="s">
        <v>37</v>
      </c>
      <c r="B26" s="15" t="s">
        <v>594</v>
      </c>
      <c r="C26" s="15" t="s">
        <v>80</v>
      </c>
      <c r="D26" s="15" t="s">
        <v>568</v>
      </c>
      <c r="E26" s="15" t="s">
        <v>585</v>
      </c>
      <c r="F26" s="15" t="s">
        <v>603</v>
      </c>
      <c r="G26" s="15"/>
      <c r="H26" s="15" t="s">
        <v>571</v>
      </c>
      <c r="I26" s="15"/>
    </row>
    <row r="27" spans="1:9" x14ac:dyDescent="0.3">
      <c r="A27" s="15" t="s">
        <v>39</v>
      </c>
      <c r="B27" s="15" t="s">
        <v>604</v>
      </c>
      <c r="C27" s="15" t="s">
        <v>337</v>
      </c>
      <c r="D27" s="15" t="s">
        <v>568</v>
      </c>
      <c r="E27" s="15" t="s">
        <v>569</v>
      </c>
      <c r="F27" s="15" t="s">
        <v>605</v>
      </c>
      <c r="G27" s="15"/>
      <c r="H27" s="15" t="s">
        <v>571</v>
      </c>
      <c r="I27" s="15" t="s">
        <v>572</v>
      </c>
    </row>
    <row r="28" spans="1:9" x14ac:dyDescent="0.3">
      <c r="A28" s="15" t="s">
        <v>39</v>
      </c>
      <c r="B28" s="15" t="s">
        <v>604</v>
      </c>
      <c r="C28" s="15" t="s">
        <v>338</v>
      </c>
      <c r="D28" s="15" t="s">
        <v>568</v>
      </c>
      <c r="E28" s="15" t="s">
        <v>569</v>
      </c>
      <c r="F28" s="15" t="s">
        <v>606</v>
      </c>
      <c r="G28" s="15"/>
      <c r="H28" s="15" t="s">
        <v>571</v>
      </c>
      <c r="I28" s="15"/>
    </row>
    <row r="29" spans="1:9" x14ac:dyDescent="0.3">
      <c r="A29" s="15" t="s">
        <v>39</v>
      </c>
      <c r="B29" s="15" t="s">
        <v>604</v>
      </c>
      <c r="C29" s="15" t="s">
        <v>339</v>
      </c>
      <c r="D29" s="15" t="s">
        <v>568</v>
      </c>
      <c r="E29" s="15" t="s">
        <v>569</v>
      </c>
      <c r="F29" s="15" t="s">
        <v>607</v>
      </c>
      <c r="G29" s="15"/>
      <c r="H29" s="15" t="s">
        <v>571</v>
      </c>
      <c r="I29" s="15"/>
    </row>
    <row r="30" spans="1:9" x14ac:dyDescent="0.3">
      <c r="A30" s="15" t="s">
        <v>39</v>
      </c>
      <c r="B30" s="15" t="s">
        <v>604</v>
      </c>
      <c r="C30" s="15" t="s">
        <v>340</v>
      </c>
      <c r="D30" s="15" t="s">
        <v>568</v>
      </c>
      <c r="E30" s="15" t="s">
        <v>569</v>
      </c>
      <c r="F30" s="15" t="s">
        <v>608</v>
      </c>
      <c r="G30" s="15"/>
      <c r="H30" s="15" t="s">
        <v>571</v>
      </c>
      <c r="I30" s="15"/>
    </row>
    <row r="31" spans="1:9" x14ac:dyDescent="0.3">
      <c r="A31" s="15" t="s">
        <v>39</v>
      </c>
      <c r="B31" s="15" t="s">
        <v>604</v>
      </c>
      <c r="C31" s="15" t="s">
        <v>341</v>
      </c>
      <c r="D31" s="15" t="s">
        <v>568</v>
      </c>
      <c r="E31" s="15" t="s">
        <v>569</v>
      </c>
      <c r="F31" s="15" t="s">
        <v>609</v>
      </c>
      <c r="G31" s="15"/>
      <c r="H31" s="15" t="s">
        <v>571</v>
      </c>
      <c r="I31" s="15"/>
    </row>
    <row r="32" spans="1:9" x14ac:dyDescent="0.3">
      <c r="A32" s="15" t="s">
        <v>39</v>
      </c>
      <c r="B32" s="15" t="s">
        <v>604</v>
      </c>
      <c r="C32" s="15" t="s">
        <v>342</v>
      </c>
      <c r="D32" s="15" t="s">
        <v>568</v>
      </c>
      <c r="E32" s="15" t="s">
        <v>569</v>
      </c>
      <c r="F32" s="15" t="s">
        <v>610</v>
      </c>
      <c r="G32" s="15"/>
      <c r="H32" s="15" t="s">
        <v>571</v>
      </c>
      <c r="I32" s="15"/>
    </row>
    <row r="33" spans="1:9" x14ac:dyDescent="0.3">
      <c r="A33" s="15" t="s">
        <v>39</v>
      </c>
      <c r="B33" s="15" t="s">
        <v>604</v>
      </c>
      <c r="C33" s="15" t="s">
        <v>343</v>
      </c>
      <c r="D33" s="15" t="s">
        <v>568</v>
      </c>
      <c r="E33" s="15" t="s">
        <v>569</v>
      </c>
      <c r="F33" s="15" t="s">
        <v>611</v>
      </c>
      <c r="G33" s="15"/>
      <c r="H33" s="15" t="s">
        <v>571</v>
      </c>
      <c r="I33" s="15"/>
    </row>
    <row r="34" spans="1:9" x14ac:dyDescent="0.3">
      <c r="A34" s="15" t="s">
        <v>41</v>
      </c>
      <c r="B34" s="15" t="s">
        <v>612</v>
      </c>
      <c r="C34" s="15" t="s">
        <v>444</v>
      </c>
      <c r="D34" s="15" t="s">
        <v>568</v>
      </c>
      <c r="E34" s="15" t="s">
        <v>569</v>
      </c>
      <c r="F34" s="15" t="s">
        <v>613</v>
      </c>
      <c r="G34" s="15"/>
      <c r="H34" s="15" t="s">
        <v>571</v>
      </c>
      <c r="I34" s="15" t="s">
        <v>572</v>
      </c>
    </row>
    <row r="35" spans="1:9" x14ac:dyDescent="0.3">
      <c r="A35" s="15" t="s">
        <v>41</v>
      </c>
      <c r="B35" s="15" t="s">
        <v>612</v>
      </c>
      <c r="C35" s="15" t="s">
        <v>73</v>
      </c>
      <c r="D35" s="15" t="s">
        <v>568</v>
      </c>
      <c r="E35" s="15" t="s">
        <v>569</v>
      </c>
      <c r="F35" s="15" t="s">
        <v>614</v>
      </c>
      <c r="G35" s="15" t="s">
        <v>615</v>
      </c>
      <c r="H35" s="15" t="s">
        <v>571</v>
      </c>
      <c r="I35" s="15"/>
    </row>
    <row r="36" spans="1:9" x14ac:dyDescent="0.3">
      <c r="A36" s="15" t="s">
        <v>41</v>
      </c>
      <c r="B36" s="15" t="s">
        <v>612</v>
      </c>
      <c r="C36" s="15" t="s">
        <v>445</v>
      </c>
      <c r="D36" s="15" t="s">
        <v>568</v>
      </c>
      <c r="E36" s="15" t="s">
        <v>569</v>
      </c>
      <c r="F36" s="15" t="s">
        <v>616</v>
      </c>
      <c r="G36" s="15"/>
      <c r="H36" s="15" t="s">
        <v>571</v>
      </c>
      <c r="I36" s="15"/>
    </row>
    <row r="37" spans="1:9" x14ac:dyDescent="0.3">
      <c r="A37" s="15" t="s">
        <v>41</v>
      </c>
      <c r="B37" s="15" t="s">
        <v>612</v>
      </c>
      <c r="C37" s="15" t="s">
        <v>446</v>
      </c>
      <c r="D37" s="15" t="s">
        <v>568</v>
      </c>
      <c r="E37" s="15" t="s">
        <v>569</v>
      </c>
      <c r="F37" s="15" t="s">
        <v>617</v>
      </c>
      <c r="G37" s="15"/>
      <c r="H37" s="15" t="s">
        <v>571</v>
      </c>
      <c r="I37" s="15"/>
    </row>
    <row r="38" spans="1:9" x14ac:dyDescent="0.3">
      <c r="A38" s="15" t="s">
        <v>41</v>
      </c>
      <c r="B38" s="15" t="s">
        <v>612</v>
      </c>
      <c r="C38" s="15" t="s">
        <v>447</v>
      </c>
      <c r="D38" s="15" t="s">
        <v>568</v>
      </c>
      <c r="E38" s="15" t="s">
        <v>569</v>
      </c>
      <c r="F38" s="15" t="s">
        <v>618</v>
      </c>
      <c r="G38" s="15"/>
      <c r="H38" s="15" t="s">
        <v>571</v>
      </c>
      <c r="I38" s="15"/>
    </row>
    <row r="39" spans="1:9" x14ac:dyDescent="0.3">
      <c r="A39" s="15" t="s">
        <v>41</v>
      </c>
      <c r="B39" s="15" t="s">
        <v>612</v>
      </c>
      <c r="C39" s="15" t="s">
        <v>448</v>
      </c>
      <c r="D39" s="15" t="s">
        <v>568</v>
      </c>
      <c r="E39" s="15" t="s">
        <v>569</v>
      </c>
      <c r="F39" s="15" t="s">
        <v>619</v>
      </c>
      <c r="G39" s="15"/>
      <c r="H39" s="15" t="s">
        <v>571</v>
      </c>
      <c r="I39" s="15"/>
    </row>
    <row r="40" spans="1:9" x14ac:dyDescent="0.3">
      <c r="A40" s="15" t="s">
        <v>41</v>
      </c>
      <c r="B40" s="15" t="s">
        <v>612</v>
      </c>
      <c r="C40" s="15" t="s">
        <v>449</v>
      </c>
      <c r="D40" s="15" t="s">
        <v>568</v>
      </c>
      <c r="E40" s="15" t="s">
        <v>569</v>
      </c>
      <c r="F40" s="15" t="s">
        <v>620</v>
      </c>
      <c r="G40" s="15" t="s">
        <v>580</v>
      </c>
      <c r="H40" s="15" t="s">
        <v>571</v>
      </c>
      <c r="I40" s="15"/>
    </row>
    <row r="41" spans="1:9" x14ac:dyDescent="0.3">
      <c r="A41" s="15" t="s">
        <v>43</v>
      </c>
      <c r="B41" s="15" t="s">
        <v>621</v>
      </c>
      <c r="C41" s="15" t="s">
        <v>495</v>
      </c>
      <c r="D41" s="15" t="s">
        <v>568</v>
      </c>
      <c r="E41" s="15" t="s">
        <v>569</v>
      </c>
      <c r="F41" s="15" t="s">
        <v>622</v>
      </c>
      <c r="G41" s="15"/>
      <c r="H41" s="15" t="s">
        <v>571</v>
      </c>
      <c r="I41" s="15" t="s">
        <v>572</v>
      </c>
    </row>
    <row r="42" spans="1:9" x14ac:dyDescent="0.3">
      <c r="A42" s="15" t="s">
        <v>43</v>
      </c>
      <c r="B42" s="15" t="s">
        <v>621</v>
      </c>
      <c r="C42" s="15" t="s">
        <v>496</v>
      </c>
      <c r="D42" s="15" t="s">
        <v>568</v>
      </c>
      <c r="E42" s="15" t="s">
        <v>569</v>
      </c>
      <c r="F42" s="15" t="s">
        <v>623</v>
      </c>
      <c r="G42" s="15"/>
      <c r="H42" s="15" t="s">
        <v>571</v>
      </c>
      <c r="I42" s="15"/>
    </row>
    <row r="43" spans="1:9" x14ac:dyDescent="0.3">
      <c r="A43" s="15" t="s">
        <v>43</v>
      </c>
      <c r="B43" s="15" t="s">
        <v>621</v>
      </c>
      <c r="C43" s="15" t="s">
        <v>497</v>
      </c>
      <c r="D43" s="15" t="s">
        <v>568</v>
      </c>
      <c r="E43" s="15" t="s">
        <v>569</v>
      </c>
      <c r="F43" s="15" t="s">
        <v>624</v>
      </c>
      <c r="G43" s="15"/>
      <c r="H43" s="15" t="s">
        <v>571</v>
      </c>
      <c r="I43" s="15"/>
    </row>
    <row r="44" spans="1:9" x14ac:dyDescent="0.3">
      <c r="A44" s="15" t="s">
        <v>43</v>
      </c>
      <c r="B44" s="15" t="s">
        <v>621</v>
      </c>
      <c r="C44" s="15" t="s">
        <v>498</v>
      </c>
      <c r="D44" s="15" t="s">
        <v>568</v>
      </c>
      <c r="E44" s="15" t="s">
        <v>569</v>
      </c>
      <c r="F44" s="15" t="s">
        <v>625</v>
      </c>
      <c r="G44" s="15"/>
      <c r="H44" s="15" t="s">
        <v>571</v>
      </c>
      <c r="I44" s="15"/>
    </row>
    <row r="45" spans="1:9" x14ac:dyDescent="0.3">
      <c r="A45" s="15" t="s">
        <v>43</v>
      </c>
      <c r="B45" s="15" t="s">
        <v>621</v>
      </c>
      <c r="C45" s="15" t="s">
        <v>449</v>
      </c>
      <c r="D45" s="15" t="s">
        <v>568</v>
      </c>
      <c r="E45" s="15" t="s">
        <v>569</v>
      </c>
      <c r="F45" s="15" t="s">
        <v>626</v>
      </c>
      <c r="G45" s="15"/>
      <c r="H45" s="15" t="s">
        <v>571</v>
      </c>
      <c r="I45" s="15"/>
    </row>
    <row r="46" spans="1:9" x14ac:dyDescent="0.3">
      <c r="A46" s="15" t="s">
        <v>43</v>
      </c>
      <c r="B46" s="15" t="s">
        <v>621</v>
      </c>
      <c r="C46" s="15" t="s">
        <v>499</v>
      </c>
      <c r="D46" s="15" t="s">
        <v>568</v>
      </c>
      <c r="E46" s="15" t="s">
        <v>569</v>
      </c>
      <c r="F46" s="15" t="s">
        <v>627</v>
      </c>
      <c r="G46" s="15"/>
      <c r="H46" s="15" t="s">
        <v>571</v>
      </c>
      <c r="I46" s="1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14</vt:i4>
      </vt:variant>
    </vt:vector>
  </HeadingPairs>
  <TitlesOfParts>
    <vt:vector size="23" baseType="lpstr">
      <vt:lpstr>00_LEIA-ME</vt:lpstr>
      <vt:lpstr>Lista_Mestra</vt:lpstr>
      <vt:lpstr>Documentos_Externos</vt:lpstr>
      <vt:lpstr>Retencao_Registos</vt:lpstr>
      <vt:lpstr>Matriz_Comunicacao</vt:lpstr>
      <vt:lpstr>Comunicacao_Cliente</vt:lpstr>
      <vt:lpstr>Resumo_Documentos</vt:lpstr>
      <vt:lpstr>Listas</vt:lpstr>
      <vt:lpstr>Dicionario_Dados</vt:lpstr>
      <vt:lpstr>DataRef</vt:lpstr>
      <vt:lpstr>lst_DataReferencia</vt:lpstr>
      <vt:lpstr>lst_Direcao</vt:lpstr>
      <vt:lpstr>lst_EstadoDoc</vt:lpstr>
      <vt:lpstr>lst_EstadoExt</vt:lpstr>
      <vt:lpstr>lst_Funcao</vt:lpstr>
      <vt:lpstr>lst_Processo</vt:lpstr>
      <vt:lpstr>lst_TipoDoc</vt:lpstr>
      <vt:lpstr>lst_TipoExt</vt:lpstr>
      <vt:lpstr>Comunicacao_Cliente!Títulos_de_Impressão</vt:lpstr>
      <vt:lpstr>Documentos_Externos!Títulos_de_Impressão</vt:lpstr>
      <vt:lpstr>Lista_Mestra!Títulos_de_Impressão</vt:lpstr>
      <vt:lpstr>Matriz_Comunicacao!Títulos_de_Impressão</vt:lpstr>
      <vt:lpstr>Retencao_Registos!Títulos_de_Impressão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RG-SGQ-08 Informação Documentada e Comunicação</dc:title>
  <dc:subject>SGQ NP EN ISO 9001:2026 — Plasticom</dc:subject>
  <dc:creator>Gerente da Qualidade</dc:creator>
  <cp:lastModifiedBy>Aline Meireles</cp:lastModifiedBy>
  <dcterms:created xsi:type="dcterms:W3CDTF">2026-09-30T13:07:15Z</dcterms:created>
  <dcterms:modified xsi:type="dcterms:W3CDTF">2026-09-30T13:07:37Z</dcterms:modified>
</cp:coreProperties>
</file>