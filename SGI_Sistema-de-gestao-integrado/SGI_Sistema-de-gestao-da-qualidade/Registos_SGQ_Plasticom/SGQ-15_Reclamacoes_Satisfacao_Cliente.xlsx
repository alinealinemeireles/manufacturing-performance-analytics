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875FFD78-5F29-4201-9776-8794DCB227EF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Reclamacoes" sheetId="2" r:id="rId2"/>
    <sheet name="Inquerito_Respostas" sheetId="3" r:id="rId3"/>
    <sheet name="Atributos" sheetId="4" r:id="rId4"/>
    <sheet name="NPS_CES" sheetId="5" r:id="rId5"/>
    <sheet name="Fontes_Satisfacao" sheetId="6" r:id="rId6"/>
    <sheet name="Indices_Satisfacao" sheetId="7" r:id="rId7"/>
    <sheet name="Listas" sheetId="8" r:id="rId8"/>
    <sheet name="Dicionario_Dados" sheetId="9" r:id="rId9"/>
  </sheets>
  <definedNames>
    <definedName name="DataRef">Listas!$A$3</definedName>
    <definedName name="lst_Canal">Listas!$E$3:$E$6</definedName>
    <definedName name="lst_DataReferencia">Listas!$A$3:$A$3</definedName>
    <definedName name="lst_Decisao">Listas!$D$3:$D$4</definedName>
    <definedName name="lst_Funcao">Listas!$H$3:$H$29</definedName>
    <definedName name="lst_Natureza">Listas!$B$3:$B$4</definedName>
    <definedName name="lst_Onda">Listas!$F$3:$F$4</definedName>
    <definedName name="lst_Processo">Listas!$G$3:$G$20</definedName>
    <definedName name="lst_Severidade">Listas!$C$3:$C$5</definedName>
    <definedName name="_xlnm.Print_Titles" localSheetId="3">Atributos!$4:$4</definedName>
    <definedName name="_xlnm.Print_Titles" localSheetId="5">Fontes_Satisfacao!$1:$1</definedName>
    <definedName name="_xlnm.Print_Titles" localSheetId="2">Inquerito_Respostas!$1:$1</definedName>
    <definedName name="_xlnm.Print_Titles" localSheetId="4">NPS_CES!$1:$1</definedName>
    <definedName name="_xlnm.Print_Titles" localSheetId="1">Reclamacoes!$4:$4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7" l="1"/>
  <c r="B37" i="7"/>
  <c r="D36" i="7"/>
  <c r="B36" i="7"/>
  <c r="D35" i="7"/>
  <c r="B35" i="7"/>
  <c r="D34" i="7"/>
  <c r="B34" i="7"/>
  <c r="D33" i="7"/>
  <c r="B33" i="7"/>
  <c r="D32" i="7"/>
  <c r="B32" i="7"/>
  <c r="D31" i="7"/>
  <c r="B31" i="7"/>
  <c r="D30" i="7"/>
  <c r="B30" i="7"/>
  <c r="D29" i="7"/>
  <c r="B29" i="7"/>
  <c r="D28" i="7"/>
  <c r="B28" i="7"/>
  <c r="D27" i="7"/>
  <c r="B27" i="7"/>
  <c r="D26" i="7"/>
  <c r="B26" i="7"/>
  <c r="C35" i="7" s="1"/>
  <c r="D25" i="7"/>
  <c r="B25" i="7"/>
  <c r="D24" i="7"/>
  <c r="B24" i="7"/>
  <c r="D23" i="7"/>
  <c r="B23" i="7"/>
  <c r="B19" i="7"/>
  <c r="B18" i="7"/>
  <c r="B17" i="7"/>
  <c r="B13" i="7"/>
  <c r="C9" i="7"/>
  <c r="B9" i="7"/>
  <c r="C8" i="7"/>
  <c r="B8" i="7"/>
  <c r="C7" i="7"/>
  <c r="B7" i="7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C6" i="7" s="1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B6" i="7" s="1"/>
  <c r="E11" i="4"/>
  <c r="F11" i="4" s="1"/>
  <c r="D11" i="4"/>
  <c r="C11" i="4"/>
  <c r="H11" i="4" s="1"/>
  <c r="E10" i="4"/>
  <c r="F10" i="4" s="1"/>
  <c r="D10" i="4"/>
  <c r="C10" i="4"/>
  <c r="E9" i="4"/>
  <c r="F9" i="4" s="1"/>
  <c r="D9" i="4"/>
  <c r="C9" i="4"/>
  <c r="H9" i="4" s="1"/>
  <c r="E8" i="4"/>
  <c r="F8" i="4" s="1"/>
  <c r="D8" i="4"/>
  <c r="C8" i="4"/>
  <c r="E7" i="4"/>
  <c r="F7" i="4" s="1"/>
  <c r="D7" i="4"/>
  <c r="C7" i="4"/>
  <c r="H7" i="4" s="1"/>
  <c r="E6" i="4"/>
  <c r="F6" i="4" s="1"/>
  <c r="D6" i="4"/>
  <c r="C6" i="4"/>
  <c r="E5" i="4"/>
  <c r="F5" i="4" s="1"/>
  <c r="D5" i="4"/>
  <c r="C5" i="4"/>
  <c r="H5" i="4" s="1"/>
  <c r="H204" i="3"/>
  <c r="G204" i="3"/>
  <c r="D204" i="3"/>
  <c r="H203" i="3"/>
  <c r="G203" i="3"/>
  <c r="D203" i="3"/>
  <c r="H202" i="3"/>
  <c r="G202" i="3"/>
  <c r="D202" i="3"/>
  <c r="H201" i="3"/>
  <c r="G201" i="3"/>
  <c r="D201" i="3"/>
  <c r="H200" i="3"/>
  <c r="G200" i="3"/>
  <c r="D200" i="3"/>
  <c r="H199" i="3"/>
  <c r="G199" i="3"/>
  <c r="D199" i="3"/>
  <c r="H198" i="3"/>
  <c r="G198" i="3"/>
  <c r="D198" i="3"/>
  <c r="H197" i="3"/>
  <c r="G197" i="3"/>
  <c r="D197" i="3"/>
  <c r="H196" i="3"/>
  <c r="G196" i="3"/>
  <c r="D196" i="3"/>
  <c r="H195" i="3"/>
  <c r="G195" i="3"/>
  <c r="D195" i="3"/>
  <c r="H194" i="3"/>
  <c r="G194" i="3"/>
  <c r="D194" i="3"/>
  <c r="H193" i="3"/>
  <c r="G193" i="3"/>
  <c r="D193" i="3"/>
  <c r="H192" i="3"/>
  <c r="G192" i="3"/>
  <c r="D192" i="3"/>
  <c r="H191" i="3"/>
  <c r="G191" i="3"/>
  <c r="D191" i="3"/>
  <c r="H190" i="3"/>
  <c r="G190" i="3"/>
  <c r="D190" i="3"/>
  <c r="H189" i="3"/>
  <c r="G189" i="3"/>
  <c r="D189" i="3"/>
  <c r="H188" i="3"/>
  <c r="G188" i="3"/>
  <c r="D188" i="3"/>
  <c r="H187" i="3"/>
  <c r="G187" i="3"/>
  <c r="D187" i="3"/>
  <c r="H186" i="3"/>
  <c r="G186" i="3"/>
  <c r="D186" i="3"/>
  <c r="H185" i="3"/>
  <c r="G185" i="3"/>
  <c r="D185" i="3"/>
  <c r="H184" i="3"/>
  <c r="G184" i="3"/>
  <c r="D184" i="3"/>
  <c r="H183" i="3"/>
  <c r="G183" i="3"/>
  <c r="D183" i="3"/>
  <c r="H182" i="3"/>
  <c r="G182" i="3"/>
  <c r="D182" i="3"/>
  <c r="H181" i="3"/>
  <c r="G181" i="3"/>
  <c r="D181" i="3"/>
  <c r="H180" i="3"/>
  <c r="G180" i="3"/>
  <c r="D180" i="3"/>
  <c r="H179" i="3"/>
  <c r="G179" i="3"/>
  <c r="D179" i="3"/>
  <c r="H178" i="3"/>
  <c r="G178" i="3"/>
  <c r="D178" i="3"/>
  <c r="H177" i="3"/>
  <c r="G177" i="3"/>
  <c r="D177" i="3"/>
  <c r="H176" i="3"/>
  <c r="G176" i="3"/>
  <c r="D176" i="3"/>
  <c r="H175" i="3"/>
  <c r="G175" i="3"/>
  <c r="D175" i="3"/>
  <c r="H174" i="3"/>
  <c r="G174" i="3"/>
  <c r="D174" i="3"/>
  <c r="H173" i="3"/>
  <c r="G173" i="3"/>
  <c r="D173" i="3"/>
  <c r="H172" i="3"/>
  <c r="G172" i="3"/>
  <c r="D172" i="3"/>
  <c r="H171" i="3"/>
  <c r="G171" i="3"/>
  <c r="D171" i="3"/>
  <c r="H170" i="3"/>
  <c r="G170" i="3"/>
  <c r="D170" i="3"/>
  <c r="H169" i="3"/>
  <c r="G169" i="3"/>
  <c r="D169" i="3"/>
  <c r="H168" i="3"/>
  <c r="G168" i="3"/>
  <c r="D168" i="3"/>
  <c r="H167" i="3"/>
  <c r="G167" i="3"/>
  <c r="D167" i="3"/>
  <c r="H166" i="3"/>
  <c r="G166" i="3"/>
  <c r="D166" i="3"/>
  <c r="H165" i="3"/>
  <c r="G165" i="3"/>
  <c r="D165" i="3"/>
  <c r="H164" i="3"/>
  <c r="G164" i="3"/>
  <c r="D164" i="3"/>
  <c r="H163" i="3"/>
  <c r="G163" i="3"/>
  <c r="D163" i="3"/>
  <c r="H162" i="3"/>
  <c r="G162" i="3"/>
  <c r="D162" i="3"/>
  <c r="H161" i="3"/>
  <c r="G161" i="3"/>
  <c r="D161" i="3"/>
  <c r="H160" i="3"/>
  <c r="G160" i="3"/>
  <c r="D160" i="3"/>
  <c r="H159" i="3"/>
  <c r="G159" i="3"/>
  <c r="D159" i="3"/>
  <c r="H158" i="3"/>
  <c r="G158" i="3"/>
  <c r="D158" i="3"/>
  <c r="H157" i="3"/>
  <c r="G157" i="3"/>
  <c r="D157" i="3"/>
  <c r="H156" i="3"/>
  <c r="G156" i="3"/>
  <c r="D156" i="3"/>
  <c r="H155" i="3"/>
  <c r="G155" i="3"/>
  <c r="D155" i="3"/>
  <c r="H154" i="3"/>
  <c r="G154" i="3"/>
  <c r="D154" i="3"/>
  <c r="H153" i="3"/>
  <c r="G153" i="3"/>
  <c r="D153" i="3"/>
  <c r="H152" i="3"/>
  <c r="G152" i="3"/>
  <c r="D152" i="3"/>
  <c r="H151" i="3"/>
  <c r="G151" i="3"/>
  <c r="D151" i="3"/>
  <c r="H150" i="3"/>
  <c r="G150" i="3"/>
  <c r="D150" i="3"/>
  <c r="H149" i="3"/>
  <c r="G149" i="3"/>
  <c r="D149" i="3"/>
  <c r="H148" i="3"/>
  <c r="G148" i="3"/>
  <c r="D148" i="3"/>
  <c r="H147" i="3"/>
  <c r="G147" i="3"/>
  <c r="D147" i="3"/>
  <c r="H146" i="3"/>
  <c r="G146" i="3"/>
  <c r="D146" i="3"/>
  <c r="H145" i="3"/>
  <c r="G145" i="3"/>
  <c r="D145" i="3"/>
  <c r="H144" i="3"/>
  <c r="G144" i="3"/>
  <c r="D144" i="3"/>
  <c r="H143" i="3"/>
  <c r="G143" i="3"/>
  <c r="D143" i="3"/>
  <c r="H142" i="3"/>
  <c r="G142" i="3"/>
  <c r="D142" i="3"/>
  <c r="H141" i="3"/>
  <c r="G141" i="3"/>
  <c r="D141" i="3"/>
  <c r="H140" i="3"/>
  <c r="G140" i="3"/>
  <c r="D140" i="3"/>
  <c r="H139" i="3"/>
  <c r="G139" i="3"/>
  <c r="D139" i="3"/>
  <c r="H138" i="3"/>
  <c r="G138" i="3"/>
  <c r="D138" i="3"/>
  <c r="H137" i="3"/>
  <c r="G137" i="3"/>
  <c r="D137" i="3"/>
  <c r="H136" i="3"/>
  <c r="G136" i="3"/>
  <c r="D136" i="3"/>
  <c r="H135" i="3"/>
  <c r="G135" i="3"/>
  <c r="D135" i="3"/>
  <c r="H134" i="3"/>
  <c r="G134" i="3"/>
  <c r="D134" i="3"/>
  <c r="H133" i="3"/>
  <c r="G133" i="3"/>
  <c r="D133" i="3"/>
  <c r="H132" i="3"/>
  <c r="G132" i="3"/>
  <c r="D132" i="3"/>
  <c r="H131" i="3"/>
  <c r="G131" i="3"/>
  <c r="D131" i="3"/>
  <c r="H130" i="3"/>
  <c r="G130" i="3"/>
  <c r="D130" i="3"/>
  <c r="H129" i="3"/>
  <c r="G129" i="3"/>
  <c r="D129" i="3"/>
  <c r="H128" i="3"/>
  <c r="G128" i="3"/>
  <c r="D128" i="3"/>
  <c r="H127" i="3"/>
  <c r="G127" i="3"/>
  <c r="D127" i="3"/>
  <c r="H126" i="3"/>
  <c r="G126" i="3"/>
  <c r="D126" i="3"/>
  <c r="H125" i="3"/>
  <c r="G125" i="3"/>
  <c r="D125" i="3"/>
  <c r="H124" i="3"/>
  <c r="G124" i="3"/>
  <c r="D124" i="3"/>
  <c r="H123" i="3"/>
  <c r="G123" i="3"/>
  <c r="D123" i="3"/>
  <c r="H122" i="3"/>
  <c r="G122" i="3"/>
  <c r="D122" i="3"/>
  <c r="H121" i="3"/>
  <c r="G121" i="3"/>
  <c r="D121" i="3"/>
  <c r="H120" i="3"/>
  <c r="G120" i="3"/>
  <c r="D120" i="3"/>
  <c r="H119" i="3"/>
  <c r="G119" i="3"/>
  <c r="D119" i="3"/>
  <c r="H118" i="3"/>
  <c r="G118" i="3"/>
  <c r="D118" i="3"/>
  <c r="H117" i="3"/>
  <c r="G117" i="3"/>
  <c r="D117" i="3"/>
  <c r="H116" i="3"/>
  <c r="G116" i="3"/>
  <c r="D116" i="3"/>
  <c r="H115" i="3"/>
  <c r="G115" i="3"/>
  <c r="D115" i="3"/>
  <c r="H114" i="3"/>
  <c r="G114" i="3"/>
  <c r="D114" i="3"/>
  <c r="H113" i="3"/>
  <c r="G113" i="3"/>
  <c r="D113" i="3"/>
  <c r="H112" i="3"/>
  <c r="G112" i="3"/>
  <c r="D112" i="3"/>
  <c r="H111" i="3"/>
  <c r="G111" i="3"/>
  <c r="D111" i="3"/>
  <c r="H110" i="3"/>
  <c r="G110" i="3"/>
  <c r="D110" i="3"/>
  <c r="H109" i="3"/>
  <c r="G109" i="3"/>
  <c r="D109" i="3"/>
  <c r="H108" i="3"/>
  <c r="G108" i="3"/>
  <c r="D108" i="3"/>
  <c r="H107" i="3"/>
  <c r="G107" i="3"/>
  <c r="D107" i="3"/>
  <c r="H106" i="3"/>
  <c r="G106" i="3"/>
  <c r="D106" i="3"/>
  <c r="H105" i="3"/>
  <c r="G105" i="3"/>
  <c r="D105" i="3"/>
  <c r="H104" i="3"/>
  <c r="G104" i="3"/>
  <c r="D104" i="3"/>
  <c r="H103" i="3"/>
  <c r="G103" i="3"/>
  <c r="D103" i="3"/>
  <c r="H102" i="3"/>
  <c r="G102" i="3"/>
  <c r="D102" i="3"/>
  <c r="H101" i="3"/>
  <c r="G101" i="3"/>
  <c r="D101" i="3"/>
  <c r="H100" i="3"/>
  <c r="G100" i="3"/>
  <c r="D100" i="3"/>
  <c r="H99" i="3"/>
  <c r="G99" i="3"/>
  <c r="D99" i="3"/>
  <c r="H98" i="3"/>
  <c r="G98" i="3"/>
  <c r="D98" i="3"/>
  <c r="H97" i="3"/>
  <c r="G97" i="3"/>
  <c r="D97" i="3"/>
  <c r="H96" i="3"/>
  <c r="G96" i="3"/>
  <c r="D96" i="3"/>
  <c r="H95" i="3"/>
  <c r="G95" i="3"/>
  <c r="D95" i="3"/>
  <c r="H94" i="3"/>
  <c r="G94" i="3"/>
  <c r="D94" i="3"/>
  <c r="H93" i="3"/>
  <c r="C5" i="7" s="1"/>
  <c r="G93" i="3"/>
  <c r="D93" i="3"/>
  <c r="H92" i="3"/>
  <c r="G92" i="3"/>
  <c r="D92" i="3"/>
  <c r="H91" i="3"/>
  <c r="G91" i="3"/>
  <c r="D91" i="3"/>
  <c r="H90" i="3"/>
  <c r="G90" i="3"/>
  <c r="D90" i="3"/>
  <c r="H89" i="3"/>
  <c r="G89" i="3"/>
  <c r="D89" i="3"/>
  <c r="H88" i="3"/>
  <c r="G88" i="3"/>
  <c r="D88" i="3"/>
  <c r="H87" i="3"/>
  <c r="G87" i="3"/>
  <c r="D87" i="3"/>
  <c r="H86" i="3"/>
  <c r="G86" i="3"/>
  <c r="D86" i="3"/>
  <c r="H85" i="3"/>
  <c r="G85" i="3"/>
  <c r="D85" i="3"/>
  <c r="H84" i="3"/>
  <c r="G84" i="3"/>
  <c r="D84" i="3"/>
  <c r="H83" i="3"/>
  <c r="G83" i="3"/>
  <c r="D83" i="3"/>
  <c r="H82" i="3"/>
  <c r="G82" i="3"/>
  <c r="D82" i="3"/>
  <c r="H81" i="3"/>
  <c r="G81" i="3"/>
  <c r="D81" i="3"/>
  <c r="H80" i="3"/>
  <c r="G80" i="3"/>
  <c r="D80" i="3"/>
  <c r="H79" i="3"/>
  <c r="G79" i="3"/>
  <c r="D79" i="3"/>
  <c r="H78" i="3"/>
  <c r="G78" i="3"/>
  <c r="D78" i="3"/>
  <c r="H77" i="3"/>
  <c r="G77" i="3"/>
  <c r="D77" i="3"/>
  <c r="H76" i="3"/>
  <c r="G76" i="3"/>
  <c r="D76" i="3"/>
  <c r="H75" i="3"/>
  <c r="G75" i="3"/>
  <c r="D75" i="3"/>
  <c r="H74" i="3"/>
  <c r="G74" i="3"/>
  <c r="D74" i="3"/>
  <c r="H73" i="3"/>
  <c r="G73" i="3"/>
  <c r="D73" i="3"/>
  <c r="H72" i="3"/>
  <c r="G72" i="3"/>
  <c r="D72" i="3"/>
  <c r="H71" i="3"/>
  <c r="G71" i="3"/>
  <c r="D71" i="3"/>
  <c r="H70" i="3"/>
  <c r="G70" i="3"/>
  <c r="D70" i="3"/>
  <c r="H69" i="3"/>
  <c r="G69" i="3"/>
  <c r="D69" i="3"/>
  <c r="H68" i="3"/>
  <c r="G68" i="3"/>
  <c r="D68" i="3"/>
  <c r="H67" i="3"/>
  <c r="G67" i="3"/>
  <c r="D67" i="3"/>
  <c r="H66" i="3"/>
  <c r="G66" i="3"/>
  <c r="D66" i="3"/>
  <c r="H65" i="3"/>
  <c r="G65" i="3"/>
  <c r="D65" i="3"/>
  <c r="H64" i="3"/>
  <c r="G64" i="3"/>
  <c r="D64" i="3"/>
  <c r="H63" i="3"/>
  <c r="G63" i="3"/>
  <c r="D63" i="3"/>
  <c r="H62" i="3"/>
  <c r="G62" i="3"/>
  <c r="D62" i="3"/>
  <c r="H61" i="3"/>
  <c r="G61" i="3"/>
  <c r="D61" i="3"/>
  <c r="H60" i="3"/>
  <c r="G60" i="3"/>
  <c r="D60" i="3"/>
  <c r="H59" i="3"/>
  <c r="G59" i="3"/>
  <c r="D59" i="3"/>
  <c r="H58" i="3"/>
  <c r="G58" i="3"/>
  <c r="D58" i="3"/>
  <c r="H57" i="3"/>
  <c r="G57" i="3"/>
  <c r="D57" i="3"/>
  <c r="H56" i="3"/>
  <c r="G56" i="3"/>
  <c r="D56" i="3"/>
  <c r="H55" i="3"/>
  <c r="G55" i="3"/>
  <c r="D55" i="3"/>
  <c r="H54" i="3"/>
  <c r="G54" i="3"/>
  <c r="D54" i="3"/>
  <c r="H53" i="3"/>
  <c r="G53" i="3"/>
  <c r="D53" i="3"/>
  <c r="H52" i="3"/>
  <c r="G52" i="3"/>
  <c r="D52" i="3"/>
  <c r="H51" i="3"/>
  <c r="G51" i="3"/>
  <c r="D51" i="3"/>
  <c r="H50" i="3"/>
  <c r="G50" i="3"/>
  <c r="D50" i="3"/>
  <c r="H49" i="3"/>
  <c r="G49" i="3"/>
  <c r="D49" i="3"/>
  <c r="H48" i="3"/>
  <c r="G48" i="3"/>
  <c r="D48" i="3"/>
  <c r="H47" i="3"/>
  <c r="G47" i="3"/>
  <c r="D47" i="3"/>
  <c r="H46" i="3"/>
  <c r="G46" i="3"/>
  <c r="D46" i="3"/>
  <c r="H45" i="3"/>
  <c r="G45" i="3"/>
  <c r="D45" i="3"/>
  <c r="H44" i="3"/>
  <c r="G44" i="3"/>
  <c r="D44" i="3"/>
  <c r="H43" i="3"/>
  <c r="G43" i="3"/>
  <c r="D43" i="3"/>
  <c r="H42" i="3"/>
  <c r="G42" i="3"/>
  <c r="D42" i="3"/>
  <c r="H41" i="3"/>
  <c r="G41" i="3"/>
  <c r="D41" i="3"/>
  <c r="H40" i="3"/>
  <c r="G40" i="3"/>
  <c r="D40" i="3"/>
  <c r="H39" i="3"/>
  <c r="G39" i="3"/>
  <c r="D39" i="3"/>
  <c r="H38" i="3"/>
  <c r="G38" i="3"/>
  <c r="D38" i="3"/>
  <c r="H37" i="3"/>
  <c r="G37" i="3"/>
  <c r="D37" i="3"/>
  <c r="H36" i="3"/>
  <c r="G36" i="3"/>
  <c r="D36" i="3"/>
  <c r="H35" i="3"/>
  <c r="G35" i="3"/>
  <c r="D35" i="3"/>
  <c r="H34" i="3"/>
  <c r="G34" i="3"/>
  <c r="D34" i="3"/>
  <c r="H33" i="3"/>
  <c r="G33" i="3"/>
  <c r="D33" i="3"/>
  <c r="H32" i="3"/>
  <c r="G32" i="3"/>
  <c r="D32" i="3"/>
  <c r="H31" i="3"/>
  <c r="G31" i="3"/>
  <c r="D31" i="3"/>
  <c r="H30" i="3"/>
  <c r="G30" i="3"/>
  <c r="D30" i="3"/>
  <c r="H29" i="3"/>
  <c r="G29" i="3"/>
  <c r="D29" i="3"/>
  <c r="H28" i="3"/>
  <c r="G28" i="3"/>
  <c r="D28" i="3"/>
  <c r="H27" i="3"/>
  <c r="G27" i="3"/>
  <c r="D27" i="3"/>
  <c r="H26" i="3"/>
  <c r="G26" i="3"/>
  <c r="D26" i="3"/>
  <c r="H25" i="3"/>
  <c r="G25" i="3"/>
  <c r="D25" i="3"/>
  <c r="H24" i="3"/>
  <c r="G24" i="3"/>
  <c r="D24" i="3"/>
  <c r="H23" i="3"/>
  <c r="G23" i="3"/>
  <c r="D23" i="3"/>
  <c r="H22" i="3"/>
  <c r="G22" i="3"/>
  <c r="D22" i="3"/>
  <c r="H21" i="3"/>
  <c r="G21" i="3"/>
  <c r="D21" i="3"/>
  <c r="H20" i="3"/>
  <c r="G20" i="3"/>
  <c r="D20" i="3"/>
  <c r="H19" i="3"/>
  <c r="G19" i="3"/>
  <c r="D19" i="3"/>
  <c r="H18" i="3"/>
  <c r="G18" i="3"/>
  <c r="D18" i="3"/>
  <c r="H17" i="3"/>
  <c r="G17" i="3"/>
  <c r="D17" i="3"/>
  <c r="H16" i="3"/>
  <c r="G16" i="3"/>
  <c r="D16" i="3"/>
  <c r="H15" i="3"/>
  <c r="G15" i="3"/>
  <c r="D15" i="3"/>
  <c r="H14" i="3"/>
  <c r="G14" i="3"/>
  <c r="D14" i="3"/>
  <c r="H13" i="3"/>
  <c r="G13" i="3"/>
  <c r="D13" i="3"/>
  <c r="H12" i="3"/>
  <c r="G12" i="3"/>
  <c r="D12" i="3"/>
  <c r="H11" i="3"/>
  <c r="G11" i="3"/>
  <c r="D11" i="3"/>
  <c r="H10" i="3"/>
  <c r="G10" i="3"/>
  <c r="D10" i="3"/>
  <c r="H9" i="3"/>
  <c r="G9" i="3"/>
  <c r="D9" i="3"/>
  <c r="H8" i="3"/>
  <c r="G8" i="3"/>
  <c r="D8" i="3"/>
  <c r="H7" i="3"/>
  <c r="G7" i="3"/>
  <c r="D7" i="3"/>
  <c r="H6" i="3"/>
  <c r="G6" i="3"/>
  <c r="D6" i="3"/>
  <c r="H5" i="3"/>
  <c r="G5" i="3"/>
  <c r="D5" i="3"/>
  <c r="H4" i="3"/>
  <c r="G4" i="3"/>
  <c r="D4" i="3"/>
  <c r="H3" i="3"/>
  <c r="G3" i="3"/>
  <c r="D3" i="3"/>
  <c r="H2" i="3"/>
  <c r="G2" i="3"/>
  <c r="D2" i="3"/>
  <c r="Y214" i="2"/>
  <c r="X214" i="2"/>
  <c r="W214" i="2"/>
  <c r="V214" i="2"/>
  <c r="Y213" i="2"/>
  <c r="X213" i="2"/>
  <c r="W213" i="2"/>
  <c r="V213" i="2"/>
  <c r="Y212" i="2"/>
  <c r="X212" i="2"/>
  <c r="W212" i="2"/>
  <c r="V212" i="2"/>
  <c r="Y211" i="2"/>
  <c r="X211" i="2"/>
  <c r="W211" i="2"/>
  <c r="V211" i="2"/>
  <c r="Y210" i="2"/>
  <c r="X210" i="2"/>
  <c r="W210" i="2"/>
  <c r="V210" i="2"/>
  <c r="Y209" i="2"/>
  <c r="X209" i="2"/>
  <c r="W209" i="2"/>
  <c r="V209" i="2"/>
  <c r="Y208" i="2"/>
  <c r="X208" i="2"/>
  <c r="W208" i="2"/>
  <c r="V208" i="2"/>
  <c r="Y207" i="2"/>
  <c r="X207" i="2"/>
  <c r="W207" i="2"/>
  <c r="V207" i="2"/>
  <c r="Y206" i="2"/>
  <c r="X206" i="2"/>
  <c r="W206" i="2"/>
  <c r="V206" i="2"/>
  <c r="Y205" i="2"/>
  <c r="X205" i="2"/>
  <c r="W205" i="2"/>
  <c r="V205" i="2"/>
  <c r="Y204" i="2"/>
  <c r="X204" i="2"/>
  <c r="W204" i="2"/>
  <c r="V204" i="2"/>
  <c r="Y203" i="2"/>
  <c r="X203" i="2"/>
  <c r="W203" i="2"/>
  <c r="V203" i="2"/>
  <c r="Y202" i="2"/>
  <c r="X202" i="2"/>
  <c r="W202" i="2"/>
  <c r="V202" i="2"/>
  <c r="Y201" i="2"/>
  <c r="X201" i="2"/>
  <c r="W201" i="2"/>
  <c r="V201" i="2"/>
  <c r="Y200" i="2"/>
  <c r="X200" i="2"/>
  <c r="W200" i="2"/>
  <c r="V200" i="2"/>
  <c r="Y199" i="2"/>
  <c r="X199" i="2"/>
  <c r="W199" i="2"/>
  <c r="V199" i="2"/>
  <c r="Y198" i="2"/>
  <c r="X198" i="2"/>
  <c r="W198" i="2"/>
  <c r="V198" i="2"/>
  <c r="Y197" i="2"/>
  <c r="X197" i="2"/>
  <c r="W197" i="2"/>
  <c r="V197" i="2"/>
  <c r="Y196" i="2"/>
  <c r="X196" i="2"/>
  <c r="W196" i="2"/>
  <c r="V196" i="2"/>
  <c r="Y195" i="2"/>
  <c r="X195" i="2"/>
  <c r="W195" i="2"/>
  <c r="V195" i="2"/>
  <c r="Y194" i="2"/>
  <c r="X194" i="2"/>
  <c r="W194" i="2"/>
  <c r="V194" i="2"/>
  <c r="Y193" i="2"/>
  <c r="X193" i="2"/>
  <c r="W193" i="2"/>
  <c r="V193" i="2"/>
  <c r="Y192" i="2"/>
  <c r="X192" i="2"/>
  <c r="W192" i="2"/>
  <c r="V192" i="2"/>
  <c r="Y191" i="2"/>
  <c r="X191" i="2"/>
  <c r="W191" i="2"/>
  <c r="V191" i="2"/>
  <c r="Y190" i="2"/>
  <c r="X190" i="2"/>
  <c r="W190" i="2"/>
  <c r="V190" i="2"/>
  <c r="Y189" i="2"/>
  <c r="X189" i="2"/>
  <c r="W189" i="2"/>
  <c r="V189" i="2"/>
  <c r="Y188" i="2"/>
  <c r="X188" i="2"/>
  <c r="W188" i="2"/>
  <c r="V188" i="2"/>
  <c r="Y187" i="2"/>
  <c r="X187" i="2"/>
  <c r="W187" i="2"/>
  <c r="V187" i="2"/>
  <c r="Y186" i="2"/>
  <c r="X186" i="2"/>
  <c r="W186" i="2"/>
  <c r="V186" i="2"/>
  <c r="Y185" i="2"/>
  <c r="X185" i="2"/>
  <c r="W185" i="2"/>
  <c r="V185" i="2"/>
  <c r="Y184" i="2"/>
  <c r="X184" i="2"/>
  <c r="W184" i="2"/>
  <c r="V184" i="2"/>
  <c r="Y183" i="2"/>
  <c r="X183" i="2"/>
  <c r="W183" i="2"/>
  <c r="V183" i="2"/>
  <c r="Y182" i="2"/>
  <c r="X182" i="2"/>
  <c r="W182" i="2"/>
  <c r="V182" i="2"/>
  <c r="Y181" i="2"/>
  <c r="X181" i="2"/>
  <c r="W181" i="2"/>
  <c r="V181" i="2"/>
  <c r="Y180" i="2"/>
  <c r="X180" i="2"/>
  <c r="W180" i="2"/>
  <c r="V180" i="2"/>
  <c r="Y179" i="2"/>
  <c r="X179" i="2"/>
  <c r="W179" i="2"/>
  <c r="V179" i="2"/>
  <c r="Y178" i="2"/>
  <c r="X178" i="2"/>
  <c r="W178" i="2"/>
  <c r="V178" i="2"/>
  <c r="Y177" i="2"/>
  <c r="X177" i="2"/>
  <c r="W177" i="2"/>
  <c r="V177" i="2"/>
  <c r="Y176" i="2"/>
  <c r="X176" i="2"/>
  <c r="W176" i="2"/>
  <c r="V176" i="2"/>
  <c r="Y175" i="2"/>
  <c r="X175" i="2"/>
  <c r="W175" i="2"/>
  <c r="V175" i="2"/>
  <c r="Y174" i="2"/>
  <c r="X174" i="2"/>
  <c r="W174" i="2"/>
  <c r="V174" i="2"/>
  <c r="Y173" i="2"/>
  <c r="X173" i="2"/>
  <c r="W173" i="2"/>
  <c r="V173" i="2"/>
  <c r="Y172" i="2"/>
  <c r="X172" i="2"/>
  <c r="W172" i="2"/>
  <c r="V172" i="2"/>
  <c r="Y171" i="2"/>
  <c r="X171" i="2"/>
  <c r="W171" i="2"/>
  <c r="V171" i="2"/>
  <c r="Y170" i="2"/>
  <c r="X170" i="2"/>
  <c r="W170" i="2"/>
  <c r="V170" i="2"/>
  <c r="Y169" i="2"/>
  <c r="X169" i="2"/>
  <c r="W169" i="2"/>
  <c r="V169" i="2"/>
  <c r="Y168" i="2"/>
  <c r="X168" i="2"/>
  <c r="W168" i="2"/>
  <c r="V168" i="2"/>
  <c r="Y167" i="2"/>
  <c r="X167" i="2"/>
  <c r="W167" i="2"/>
  <c r="V167" i="2"/>
  <c r="Y166" i="2"/>
  <c r="X166" i="2"/>
  <c r="W166" i="2"/>
  <c r="V166" i="2"/>
  <c r="Y165" i="2"/>
  <c r="X165" i="2"/>
  <c r="W165" i="2"/>
  <c r="V165" i="2"/>
  <c r="Y164" i="2"/>
  <c r="X164" i="2"/>
  <c r="W164" i="2"/>
  <c r="V164" i="2"/>
  <c r="Y163" i="2"/>
  <c r="X163" i="2"/>
  <c r="W163" i="2"/>
  <c r="V163" i="2"/>
  <c r="Y162" i="2"/>
  <c r="X162" i="2"/>
  <c r="W162" i="2"/>
  <c r="V162" i="2"/>
  <c r="Y161" i="2"/>
  <c r="X161" i="2"/>
  <c r="W161" i="2"/>
  <c r="V161" i="2"/>
  <c r="Y160" i="2"/>
  <c r="X160" i="2"/>
  <c r="W160" i="2"/>
  <c r="V160" i="2"/>
  <c r="Y159" i="2"/>
  <c r="X159" i="2"/>
  <c r="W159" i="2"/>
  <c r="V159" i="2"/>
  <c r="Y158" i="2"/>
  <c r="X158" i="2"/>
  <c r="W158" i="2"/>
  <c r="V158" i="2"/>
  <c r="Y157" i="2"/>
  <c r="X157" i="2"/>
  <c r="W157" i="2"/>
  <c r="V157" i="2"/>
  <c r="Y156" i="2"/>
  <c r="X156" i="2"/>
  <c r="W156" i="2"/>
  <c r="V156" i="2"/>
  <c r="Y155" i="2"/>
  <c r="X155" i="2"/>
  <c r="W155" i="2"/>
  <c r="V155" i="2"/>
  <c r="Y154" i="2"/>
  <c r="X154" i="2"/>
  <c r="W154" i="2"/>
  <c r="V154" i="2"/>
  <c r="Y153" i="2"/>
  <c r="X153" i="2"/>
  <c r="W153" i="2"/>
  <c r="V153" i="2"/>
  <c r="Y152" i="2"/>
  <c r="X152" i="2"/>
  <c r="W152" i="2"/>
  <c r="V152" i="2"/>
  <c r="Y151" i="2"/>
  <c r="X151" i="2"/>
  <c r="W151" i="2"/>
  <c r="V151" i="2"/>
  <c r="Y150" i="2"/>
  <c r="X150" i="2"/>
  <c r="W150" i="2"/>
  <c r="V150" i="2"/>
  <c r="Y149" i="2"/>
  <c r="X149" i="2"/>
  <c r="W149" i="2"/>
  <c r="V149" i="2"/>
  <c r="Y148" i="2"/>
  <c r="X148" i="2"/>
  <c r="W148" i="2"/>
  <c r="V148" i="2"/>
  <c r="Y147" i="2"/>
  <c r="X147" i="2"/>
  <c r="W147" i="2"/>
  <c r="V147" i="2"/>
  <c r="Y146" i="2"/>
  <c r="X146" i="2"/>
  <c r="W146" i="2"/>
  <c r="V146" i="2"/>
  <c r="Y145" i="2"/>
  <c r="X145" i="2"/>
  <c r="W145" i="2"/>
  <c r="V145" i="2"/>
  <c r="Y144" i="2"/>
  <c r="X144" i="2"/>
  <c r="W144" i="2"/>
  <c r="V144" i="2"/>
  <c r="Y143" i="2"/>
  <c r="X143" i="2"/>
  <c r="W143" i="2"/>
  <c r="V143" i="2"/>
  <c r="Y142" i="2"/>
  <c r="X142" i="2"/>
  <c r="W142" i="2"/>
  <c r="V142" i="2"/>
  <c r="Y141" i="2"/>
  <c r="X141" i="2"/>
  <c r="W141" i="2"/>
  <c r="V141" i="2"/>
  <c r="Y140" i="2"/>
  <c r="X140" i="2"/>
  <c r="W140" i="2"/>
  <c r="V140" i="2"/>
  <c r="Y139" i="2"/>
  <c r="X139" i="2"/>
  <c r="W139" i="2"/>
  <c r="V139" i="2"/>
  <c r="Y138" i="2"/>
  <c r="X138" i="2"/>
  <c r="W138" i="2"/>
  <c r="V138" i="2"/>
  <c r="Y137" i="2"/>
  <c r="X137" i="2"/>
  <c r="W137" i="2"/>
  <c r="V137" i="2"/>
  <c r="Y136" i="2"/>
  <c r="X136" i="2"/>
  <c r="W136" i="2"/>
  <c r="V136" i="2"/>
  <c r="Y135" i="2"/>
  <c r="X135" i="2"/>
  <c r="W135" i="2"/>
  <c r="V135" i="2"/>
  <c r="Y134" i="2"/>
  <c r="X134" i="2"/>
  <c r="W134" i="2"/>
  <c r="V134" i="2"/>
  <c r="Y133" i="2"/>
  <c r="X133" i="2"/>
  <c r="W133" i="2"/>
  <c r="V133" i="2"/>
  <c r="Y132" i="2"/>
  <c r="X132" i="2"/>
  <c r="W132" i="2"/>
  <c r="V132" i="2"/>
  <c r="Y131" i="2"/>
  <c r="X131" i="2"/>
  <c r="W131" i="2"/>
  <c r="V131" i="2"/>
  <c r="Y130" i="2"/>
  <c r="X130" i="2"/>
  <c r="W130" i="2"/>
  <c r="V130" i="2"/>
  <c r="Y129" i="2"/>
  <c r="X129" i="2"/>
  <c r="W129" i="2"/>
  <c r="V129" i="2"/>
  <c r="Y128" i="2"/>
  <c r="X128" i="2"/>
  <c r="W128" i="2"/>
  <c r="V128" i="2"/>
  <c r="Y127" i="2"/>
  <c r="X127" i="2"/>
  <c r="W127" i="2"/>
  <c r="V127" i="2"/>
  <c r="Y126" i="2"/>
  <c r="X126" i="2"/>
  <c r="W126" i="2"/>
  <c r="V126" i="2"/>
  <c r="Y125" i="2"/>
  <c r="X125" i="2"/>
  <c r="W125" i="2"/>
  <c r="V125" i="2"/>
  <c r="Y124" i="2"/>
  <c r="X124" i="2"/>
  <c r="W124" i="2"/>
  <c r="V124" i="2"/>
  <c r="Y123" i="2"/>
  <c r="X123" i="2"/>
  <c r="W123" i="2"/>
  <c r="V123" i="2"/>
  <c r="Y122" i="2"/>
  <c r="X122" i="2"/>
  <c r="W122" i="2"/>
  <c r="V122" i="2"/>
  <c r="Y121" i="2"/>
  <c r="X121" i="2"/>
  <c r="W121" i="2"/>
  <c r="V121" i="2"/>
  <c r="Y120" i="2"/>
  <c r="X120" i="2"/>
  <c r="W120" i="2"/>
  <c r="V120" i="2"/>
  <c r="Y119" i="2"/>
  <c r="X119" i="2"/>
  <c r="W119" i="2"/>
  <c r="V119" i="2"/>
  <c r="Y118" i="2"/>
  <c r="X118" i="2"/>
  <c r="W118" i="2"/>
  <c r="V118" i="2"/>
  <c r="Y117" i="2"/>
  <c r="X117" i="2"/>
  <c r="W117" i="2"/>
  <c r="V117" i="2"/>
  <c r="Y116" i="2"/>
  <c r="X116" i="2"/>
  <c r="W116" i="2"/>
  <c r="V116" i="2"/>
  <c r="Y115" i="2"/>
  <c r="X115" i="2"/>
  <c r="W115" i="2"/>
  <c r="V115" i="2"/>
  <c r="Y114" i="2"/>
  <c r="X114" i="2"/>
  <c r="W114" i="2"/>
  <c r="V114" i="2"/>
  <c r="Y113" i="2"/>
  <c r="X113" i="2"/>
  <c r="W113" i="2"/>
  <c r="V113" i="2"/>
  <c r="Y112" i="2"/>
  <c r="X112" i="2"/>
  <c r="W112" i="2"/>
  <c r="V112" i="2"/>
  <c r="Y111" i="2"/>
  <c r="X111" i="2"/>
  <c r="W111" i="2"/>
  <c r="V111" i="2"/>
  <c r="Y110" i="2"/>
  <c r="X110" i="2"/>
  <c r="W110" i="2"/>
  <c r="V110" i="2"/>
  <c r="Y109" i="2"/>
  <c r="X109" i="2"/>
  <c r="W109" i="2"/>
  <c r="V109" i="2"/>
  <c r="Y108" i="2"/>
  <c r="X108" i="2"/>
  <c r="W108" i="2"/>
  <c r="V108" i="2"/>
  <c r="Y107" i="2"/>
  <c r="X107" i="2"/>
  <c r="W107" i="2"/>
  <c r="V107" i="2"/>
  <c r="Y106" i="2"/>
  <c r="X106" i="2"/>
  <c r="W106" i="2"/>
  <c r="V106" i="2"/>
  <c r="Y105" i="2"/>
  <c r="X105" i="2"/>
  <c r="W105" i="2"/>
  <c r="V105" i="2"/>
  <c r="Y104" i="2"/>
  <c r="X104" i="2"/>
  <c r="W104" i="2"/>
  <c r="V104" i="2"/>
  <c r="Y103" i="2"/>
  <c r="X103" i="2"/>
  <c r="W103" i="2"/>
  <c r="V103" i="2"/>
  <c r="Y102" i="2"/>
  <c r="X102" i="2"/>
  <c r="W102" i="2"/>
  <c r="V102" i="2"/>
  <c r="Y101" i="2"/>
  <c r="X101" i="2"/>
  <c r="W101" i="2"/>
  <c r="V101" i="2"/>
  <c r="Y100" i="2"/>
  <c r="X100" i="2"/>
  <c r="W100" i="2"/>
  <c r="V100" i="2"/>
  <c r="Y99" i="2"/>
  <c r="X99" i="2"/>
  <c r="W99" i="2"/>
  <c r="V99" i="2"/>
  <c r="Y98" i="2"/>
  <c r="X98" i="2"/>
  <c r="W98" i="2"/>
  <c r="V98" i="2"/>
  <c r="Y97" i="2"/>
  <c r="X97" i="2"/>
  <c r="W97" i="2"/>
  <c r="V97" i="2"/>
  <c r="Y96" i="2"/>
  <c r="X96" i="2"/>
  <c r="W96" i="2"/>
  <c r="V96" i="2"/>
  <c r="Y95" i="2"/>
  <c r="X95" i="2"/>
  <c r="W95" i="2"/>
  <c r="V95" i="2"/>
  <c r="Y94" i="2"/>
  <c r="X94" i="2"/>
  <c r="W94" i="2"/>
  <c r="V94" i="2"/>
  <c r="Y93" i="2"/>
  <c r="X93" i="2"/>
  <c r="W93" i="2"/>
  <c r="V93" i="2"/>
  <c r="Y92" i="2"/>
  <c r="X92" i="2"/>
  <c r="W92" i="2"/>
  <c r="V92" i="2"/>
  <c r="Y91" i="2"/>
  <c r="X91" i="2"/>
  <c r="W91" i="2"/>
  <c r="V91" i="2"/>
  <c r="Y90" i="2"/>
  <c r="X90" i="2"/>
  <c r="W90" i="2"/>
  <c r="V90" i="2"/>
  <c r="Y89" i="2"/>
  <c r="X89" i="2"/>
  <c r="W89" i="2"/>
  <c r="V89" i="2"/>
  <c r="Y88" i="2"/>
  <c r="X88" i="2"/>
  <c r="W88" i="2"/>
  <c r="V88" i="2"/>
  <c r="Y87" i="2"/>
  <c r="X87" i="2"/>
  <c r="W87" i="2"/>
  <c r="V87" i="2"/>
  <c r="Y86" i="2"/>
  <c r="X86" i="2"/>
  <c r="W86" i="2"/>
  <c r="V86" i="2"/>
  <c r="Y85" i="2"/>
  <c r="X85" i="2"/>
  <c r="W85" i="2"/>
  <c r="V85" i="2"/>
  <c r="Y84" i="2"/>
  <c r="X84" i="2"/>
  <c r="W84" i="2"/>
  <c r="V84" i="2"/>
  <c r="Y83" i="2"/>
  <c r="X83" i="2"/>
  <c r="W83" i="2"/>
  <c r="V83" i="2"/>
  <c r="Y82" i="2"/>
  <c r="X82" i="2"/>
  <c r="W82" i="2"/>
  <c r="V82" i="2"/>
  <c r="Y81" i="2"/>
  <c r="X81" i="2"/>
  <c r="W81" i="2"/>
  <c r="V81" i="2"/>
  <c r="Y80" i="2"/>
  <c r="X80" i="2"/>
  <c r="W80" i="2"/>
  <c r="V80" i="2"/>
  <c r="Y79" i="2"/>
  <c r="X79" i="2"/>
  <c r="W79" i="2"/>
  <c r="V79" i="2"/>
  <c r="Y78" i="2"/>
  <c r="X78" i="2"/>
  <c r="W78" i="2"/>
  <c r="V78" i="2"/>
  <c r="Y77" i="2"/>
  <c r="X77" i="2"/>
  <c r="W77" i="2"/>
  <c r="V77" i="2"/>
  <c r="Y76" i="2"/>
  <c r="X76" i="2"/>
  <c r="W76" i="2"/>
  <c r="V76" i="2"/>
  <c r="Y75" i="2"/>
  <c r="X75" i="2"/>
  <c r="W75" i="2"/>
  <c r="V75" i="2"/>
  <c r="Y74" i="2"/>
  <c r="X74" i="2"/>
  <c r="W74" i="2"/>
  <c r="V74" i="2"/>
  <c r="Y73" i="2"/>
  <c r="X73" i="2"/>
  <c r="W73" i="2"/>
  <c r="V73" i="2"/>
  <c r="Y72" i="2"/>
  <c r="X72" i="2"/>
  <c r="W72" i="2"/>
  <c r="V72" i="2"/>
  <c r="Y71" i="2"/>
  <c r="X71" i="2"/>
  <c r="W71" i="2"/>
  <c r="V71" i="2"/>
  <c r="Y70" i="2"/>
  <c r="X70" i="2"/>
  <c r="W70" i="2"/>
  <c r="V70" i="2"/>
  <c r="Y69" i="2"/>
  <c r="X69" i="2"/>
  <c r="W69" i="2"/>
  <c r="V69" i="2"/>
  <c r="Y68" i="2"/>
  <c r="X68" i="2"/>
  <c r="W68" i="2"/>
  <c r="V68" i="2"/>
  <c r="Y67" i="2"/>
  <c r="X67" i="2"/>
  <c r="W67" i="2"/>
  <c r="V67" i="2"/>
  <c r="Y66" i="2"/>
  <c r="X66" i="2"/>
  <c r="W66" i="2"/>
  <c r="V66" i="2"/>
  <c r="Y65" i="2"/>
  <c r="X65" i="2"/>
  <c r="W65" i="2"/>
  <c r="V65" i="2"/>
  <c r="Y64" i="2"/>
  <c r="X64" i="2"/>
  <c r="W64" i="2"/>
  <c r="V64" i="2"/>
  <c r="Y63" i="2"/>
  <c r="X63" i="2"/>
  <c r="W63" i="2"/>
  <c r="V63" i="2"/>
  <c r="Y62" i="2"/>
  <c r="X62" i="2"/>
  <c r="W62" i="2"/>
  <c r="V62" i="2"/>
  <c r="Y61" i="2"/>
  <c r="X61" i="2"/>
  <c r="W61" i="2"/>
  <c r="V61" i="2"/>
  <c r="Y60" i="2"/>
  <c r="X60" i="2"/>
  <c r="W60" i="2"/>
  <c r="V60" i="2"/>
  <c r="Y59" i="2"/>
  <c r="X59" i="2"/>
  <c r="W59" i="2"/>
  <c r="V59" i="2"/>
  <c r="Y58" i="2"/>
  <c r="X58" i="2"/>
  <c r="W58" i="2"/>
  <c r="V58" i="2"/>
  <c r="Y57" i="2"/>
  <c r="X57" i="2"/>
  <c r="W57" i="2"/>
  <c r="V57" i="2"/>
  <c r="Y56" i="2"/>
  <c r="X56" i="2"/>
  <c r="W56" i="2"/>
  <c r="V56" i="2"/>
  <c r="Y55" i="2"/>
  <c r="X55" i="2"/>
  <c r="W55" i="2"/>
  <c r="V55" i="2"/>
  <c r="Y54" i="2"/>
  <c r="X54" i="2"/>
  <c r="W54" i="2"/>
  <c r="V54" i="2"/>
  <c r="Y53" i="2"/>
  <c r="X53" i="2"/>
  <c r="W53" i="2"/>
  <c r="V53" i="2"/>
  <c r="Y52" i="2"/>
  <c r="X52" i="2"/>
  <c r="W52" i="2"/>
  <c r="V52" i="2"/>
  <c r="Y51" i="2"/>
  <c r="X51" i="2"/>
  <c r="W51" i="2"/>
  <c r="V51" i="2"/>
  <c r="Y50" i="2"/>
  <c r="X50" i="2"/>
  <c r="W50" i="2"/>
  <c r="V50" i="2"/>
  <c r="Y49" i="2"/>
  <c r="X49" i="2"/>
  <c r="W49" i="2"/>
  <c r="V49" i="2"/>
  <c r="Y48" i="2"/>
  <c r="X48" i="2"/>
  <c r="W48" i="2"/>
  <c r="V48" i="2"/>
  <c r="Y47" i="2"/>
  <c r="X47" i="2"/>
  <c r="W47" i="2"/>
  <c r="V47" i="2"/>
  <c r="Y46" i="2"/>
  <c r="X46" i="2"/>
  <c r="W46" i="2"/>
  <c r="V46" i="2"/>
  <c r="Y45" i="2"/>
  <c r="X45" i="2"/>
  <c r="W45" i="2"/>
  <c r="V45" i="2"/>
  <c r="Y44" i="2"/>
  <c r="X44" i="2"/>
  <c r="W44" i="2"/>
  <c r="V44" i="2"/>
  <c r="Y43" i="2"/>
  <c r="X43" i="2"/>
  <c r="W43" i="2"/>
  <c r="V43" i="2"/>
  <c r="Y42" i="2"/>
  <c r="X42" i="2"/>
  <c r="W42" i="2"/>
  <c r="V42" i="2"/>
  <c r="Y41" i="2"/>
  <c r="X41" i="2"/>
  <c r="W41" i="2"/>
  <c r="V41" i="2"/>
  <c r="Y40" i="2"/>
  <c r="X40" i="2"/>
  <c r="W40" i="2"/>
  <c r="V40" i="2"/>
  <c r="Y39" i="2"/>
  <c r="X39" i="2"/>
  <c r="W39" i="2"/>
  <c r="V39" i="2"/>
  <c r="Y38" i="2"/>
  <c r="X38" i="2"/>
  <c r="W38" i="2"/>
  <c r="V38" i="2"/>
  <c r="Y37" i="2"/>
  <c r="X37" i="2"/>
  <c r="W37" i="2"/>
  <c r="V37" i="2"/>
  <c r="Y36" i="2"/>
  <c r="X36" i="2"/>
  <c r="W36" i="2"/>
  <c r="V36" i="2"/>
  <c r="Y35" i="2"/>
  <c r="X35" i="2"/>
  <c r="W35" i="2"/>
  <c r="V35" i="2"/>
  <c r="Y34" i="2"/>
  <c r="X34" i="2"/>
  <c r="W34" i="2"/>
  <c r="V34" i="2"/>
  <c r="Y33" i="2"/>
  <c r="X33" i="2"/>
  <c r="W33" i="2"/>
  <c r="V33" i="2"/>
  <c r="Y32" i="2"/>
  <c r="X32" i="2"/>
  <c r="W32" i="2"/>
  <c r="V32" i="2"/>
  <c r="Y31" i="2"/>
  <c r="X31" i="2"/>
  <c r="W31" i="2"/>
  <c r="V31" i="2"/>
  <c r="Y30" i="2"/>
  <c r="X30" i="2"/>
  <c r="W30" i="2"/>
  <c r="V30" i="2"/>
  <c r="Y29" i="2"/>
  <c r="X29" i="2"/>
  <c r="W29" i="2"/>
  <c r="V29" i="2"/>
  <c r="Y28" i="2"/>
  <c r="X28" i="2"/>
  <c r="W28" i="2"/>
  <c r="V28" i="2"/>
  <c r="Y27" i="2"/>
  <c r="X27" i="2"/>
  <c r="W27" i="2"/>
  <c r="V27" i="2"/>
  <c r="Y26" i="2"/>
  <c r="X26" i="2"/>
  <c r="W26" i="2"/>
  <c r="V26" i="2"/>
  <c r="Y25" i="2"/>
  <c r="X25" i="2"/>
  <c r="W25" i="2"/>
  <c r="V25" i="2"/>
  <c r="Y24" i="2"/>
  <c r="X24" i="2"/>
  <c r="W24" i="2"/>
  <c r="V24" i="2"/>
  <c r="Y23" i="2"/>
  <c r="X23" i="2"/>
  <c r="W23" i="2"/>
  <c r="V23" i="2"/>
  <c r="Y22" i="2"/>
  <c r="X22" i="2"/>
  <c r="W22" i="2"/>
  <c r="V22" i="2"/>
  <c r="Y21" i="2"/>
  <c r="X21" i="2"/>
  <c r="W21" i="2"/>
  <c r="V21" i="2"/>
  <c r="Y20" i="2"/>
  <c r="X20" i="2"/>
  <c r="W20" i="2"/>
  <c r="V20" i="2"/>
  <c r="Y19" i="2"/>
  <c r="X19" i="2"/>
  <c r="W19" i="2"/>
  <c r="V19" i="2"/>
  <c r="Y18" i="2"/>
  <c r="X18" i="2"/>
  <c r="W18" i="2"/>
  <c r="V18" i="2"/>
  <c r="Y17" i="2"/>
  <c r="X17" i="2"/>
  <c r="W17" i="2"/>
  <c r="V17" i="2"/>
  <c r="Y16" i="2"/>
  <c r="X16" i="2"/>
  <c r="W16" i="2"/>
  <c r="V16" i="2"/>
  <c r="Y15" i="2"/>
  <c r="X15" i="2"/>
  <c r="W15" i="2"/>
  <c r="V15" i="2"/>
  <c r="Y14" i="2"/>
  <c r="X14" i="2"/>
  <c r="W14" i="2"/>
  <c r="V14" i="2"/>
  <c r="Y13" i="2"/>
  <c r="X13" i="2"/>
  <c r="W13" i="2"/>
  <c r="V13" i="2"/>
  <c r="Y12" i="2"/>
  <c r="X12" i="2"/>
  <c r="W12" i="2"/>
  <c r="V12" i="2"/>
  <c r="Y11" i="2"/>
  <c r="X11" i="2"/>
  <c r="W11" i="2"/>
  <c r="V11" i="2"/>
  <c r="Y10" i="2"/>
  <c r="X10" i="2"/>
  <c r="W10" i="2"/>
  <c r="V10" i="2"/>
  <c r="Y9" i="2"/>
  <c r="X9" i="2"/>
  <c r="W9" i="2"/>
  <c r="V9" i="2"/>
  <c r="Y8" i="2"/>
  <c r="X8" i="2"/>
  <c r="W8" i="2"/>
  <c r="V8" i="2"/>
  <c r="Y7" i="2"/>
  <c r="X7" i="2"/>
  <c r="W7" i="2"/>
  <c r="V7" i="2"/>
  <c r="Y6" i="2"/>
  <c r="X6" i="2"/>
  <c r="W6" i="2"/>
  <c r="V6" i="2"/>
  <c r="Y5" i="2"/>
  <c r="X5" i="2"/>
  <c r="B16" i="7" s="1"/>
  <c r="W5" i="2"/>
  <c r="V5" i="2"/>
  <c r="B14" i="7" s="1"/>
  <c r="G5" i="4" l="1"/>
  <c r="H6" i="4"/>
  <c r="G7" i="4"/>
  <c r="H8" i="4"/>
  <c r="G9" i="4"/>
  <c r="H10" i="4"/>
  <c r="G11" i="4"/>
  <c r="C36" i="7"/>
  <c r="B5" i="7"/>
  <c r="C23" i="7"/>
  <c r="G6" i="4"/>
  <c r="G8" i="4"/>
  <c r="G10" i="4"/>
  <c r="C26" i="7"/>
  <c r="C30" i="7"/>
  <c r="C34" i="7"/>
  <c r="C31" i="7"/>
  <c r="B15" i="7"/>
  <c r="C25" i="7"/>
  <c r="C29" i="7"/>
  <c r="C33" i="7"/>
  <c r="C37" i="7"/>
  <c r="C27" i="7"/>
  <c r="C24" i="7"/>
  <c r="C28" i="7"/>
  <c r="C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Reclamação (dataset).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Receção (ISO 10002 8.2).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aaaa-mm.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Cliente.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Canal de receção.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Produto (dataset).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Processo de origem.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Ordem de fabrico (rastreio).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Encomenda (vazia = lacuna de rastreio).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Tipo (dataset, traduzido).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Produto ou serviço/logística.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Severidade (avaliação inicial).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Unidades afetadas.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Acusação da receção ao cliente (ISO 10002 8.3).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Resposta com contenção (ISO 10002 8.6).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Procedente / improcedente.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Ação para o cliente (8.7.1 c).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Investigação 8D (RG-SGQ-18).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Fecho (vazio se aberta à data de referência).</t>
        </r>
      </text>
    </comment>
    <comment ref="T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Satisfação do reclamante com o tratamento (1–5).</t>
        </r>
      </text>
    </comment>
    <comment ref="U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Custo estimado (crédito, transporte, triagem, horas).</t>
        </r>
      </text>
    </comment>
    <comment ref="V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Dias úteis até acusar a receção (meta ≤ 2).
[calculado]</t>
        </r>
      </text>
    </comment>
    <comment ref="W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Dias até ao fecho (ou até à data de referência).
[calculado]</t>
        </r>
      </text>
    </comment>
    <comment ref="X4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Estado.
[calculado]</t>
        </r>
      </text>
    </comment>
    <comment ref="Y4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Regras ISO 10002 e de rastreio.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Onda do inquérito.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Cliente.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Atributo.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Descrição.
[calculado]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Importância 1–5.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Satisfação 1–5.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Importância − satisfação (ISO 10004).
[calculado]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Importância × satisfação (numerador do CSI).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Atributo.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Atributo que o cliente valoriza (ISO 10004).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Importância média (jun/2026).
[calculado]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Satisfação média dez/2025.
[calculado]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Satisfação média jun/2026.
[calculado]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Variação.
[calculado]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Importância − satisfação.
[calculado]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Matriz importância × desempenho.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Onda.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Cliente.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Probabilidade de recomendar (0–10).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Promotor 9–10; neutro 7–8; detrator 0–6.
[calculado]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'A Plasticom facilitou a resolução?' (1–7, maior = mais fácil).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Comentário livre.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Fonte.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Fonte de informação sobre a satisfação (9.1.2 Nota).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Tipo.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Frequência.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Onde está registada.</t>
        </r>
      </text>
    </comment>
  </commentList>
</comments>
</file>

<file path=xl/sharedStrings.xml><?xml version="1.0" encoding="utf-8"?>
<sst xmlns="http://schemas.openxmlformats.org/spreadsheetml/2006/main" count="4064" uniqueCount="1069">
  <si>
    <t>RG-SGQ-15 — Reclamações de Clientes e Satisfação do Cliente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</si>
  <si>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</si>
  <si>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</si>
  <si>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</si>
  <si>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RG-SGQ-15</t>
  </si>
  <si>
    <t>Título</t>
  </si>
  <si>
    <t>Reclamações de Clientes e Satisfação do Cliente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</si>
  <si>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</si>
  <si>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</si>
  <si>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</si>
  <si>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</si>
  <si>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</si>
  <si>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</si>
  <si>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</si>
  <si>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</si>
  <si>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</si>
  <si>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</si>
  <si>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</si>
  <si>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</si>
  <si>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</si>
  <si>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</si>
  <si>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</si>
  <si>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Registo das 210 reclamações reais do dataset (2025-07-01 a 2026-12-31) com as etapas da ISO 10002 e controlo de prazos; inquérito de satisfação de 2 ondas (dez/2025 e jun/2026) com importância × satisfação por atributo, CSI, NPS e CES calculados por fórmula; outras fontes de perceção do cliente.</t>
  </si>
  <si>
    <t>Utilização / atividades</t>
  </si>
  <si>
    <t>Receber, acusar, avaliar, investigar, responder e fechar reclamações (ISO 10002); medir e analisar a satisfação por inquérito semestral e outras fontes (ISO 10004); usar a informação na revisão pela gestão.</t>
  </si>
  <si>
    <t>Requisitos ISO 9001:2026</t>
  </si>
  <si>
    <t>8.2.1 c) feedback e reclamações; 9.1.2 satisfação do cliente (métodos para obter, monitorizar e rever); 9.1.3 b); 9.3.2 d4); 10.2 Nota (reclamações como fonte de NC)</t>
  </si>
  <si>
    <t>REFERÊNCIAS DE BOAS PRÁTICAS APLICADAS (orientação — não são requisitos auditáveis da ISO 9001)</t>
  </si>
  <si>
    <t>ISO 10002:2018 (pasta de interpretação)</t>
  </si>
  <si>
    <t>Processo: receção → acusação da receção → avaliação inicial → investigação → resposta → comunicação da decisão → fecho; monitorização da satisfação do reclamante com o tratamento.</t>
  </si>
  <si>
    <t>ISO 10004:2018</t>
  </si>
  <si>
    <t>Identificar atributos que o cliente valoriza, medir importância e satisfação, analisar lacunas e agir; combinar medição direta e indireta.</t>
  </si>
  <si>
    <t>Academy — cap. 157 (VoC, NPS, CSAT, CES)</t>
  </si>
  <si>
    <t>NPS = %promotores (9–10) − %detratores (0–6); CES 2.0 escala 1–7 (maior = mais fácil); matriz importância × desempenho.</t>
  </si>
  <si>
    <t>ISO/TC 176 APG — Customer feedback / complaints</t>
  </si>
  <si>
    <t>O auditor verifica se o feedback é analisado e usado para melhorar, não apenas recolhido.</t>
  </si>
  <si>
    <t>ESTRUTURA DO FICHEIRO</t>
  </si>
  <si>
    <t>Reclamacoes</t>
  </si>
  <si>
    <t>Reclamações de clientes com o ciclo de tratamento da ISO 10002.</t>
  </si>
  <si>
    <t>Inquerito_Respostas</t>
  </si>
  <si>
    <t>Respostas ao inquérito de satisfação por atributo (formato longo).</t>
  </si>
  <si>
    <t>Atributos</t>
  </si>
  <si>
    <t>Análise importância × satisfação por atributo (ISO 10004).</t>
  </si>
  <si>
    <t>NPS_CES</t>
  </si>
  <si>
    <t>Recomendação (NPS) e esforço (CES) por cliente e onda.</t>
  </si>
  <si>
    <t>Fontes_Satisfacao</t>
  </si>
  <si>
    <t>Métodos para obter e monitorizar a informação sobre a satisfação (9.1.2).</t>
  </si>
  <si>
    <t>Indices_Satisfacao</t>
  </si>
  <si>
    <t>Índices calculados por onda: CSI, NPS, CES, taxa de resposta; indicadores ISO 10002 e Pareto das reclamações.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</si>
  <si>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</si>
  <si>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</si>
  <si>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</si>
  <si>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</si>
  <si>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</si>
  <si>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</si>
  <si>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</si>
  <si>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</si>
  <si>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</si>
  <si>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</si>
  <si>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</si>
  <si>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</si>
  <si>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</si>
  <si>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</si>
  <si>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</si>
  <si>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</si>
  <si>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</si>
  <si>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LIGAÇÕES A OUTROS REGISTOS</t>
  </si>
  <si>
    <t>RG-SGQ-18 tbl_8d</t>
  </si>
  <si>
    <t>Investigação 8D das reclamações críticas (ID_8D).</t>
  </si>
  <si>
    <t>RG-SGQ-10 tbl_clientes</t>
  </si>
  <si>
    <t>Clientes, segmentos e CPMU.</t>
  </si>
  <si>
    <t>RG-SGQ-05 KPI-Q-03/04/05/06/14/15</t>
  </si>
  <si>
    <t>Indicadores do cliente.</t>
  </si>
  <si>
    <t>RECLAMAÇÕES DE CLIENTES — TRATAMENTO ISO 10002</t>
  </si>
  <si>
    <t>210 reclamações reais do dataset · Datas de acusação e resposta simuladas · Prazos, estado e controlo calculados</t>
  </si>
  <si>
    <t>ID_Reclamacao</t>
  </si>
  <si>
    <t>Data_Rececao</t>
  </si>
  <si>
    <t>Mes</t>
  </si>
  <si>
    <t>ID_Cliente</t>
  </si>
  <si>
    <t>Canal</t>
  </si>
  <si>
    <t>Produto</t>
  </si>
  <si>
    <t>Processo</t>
  </si>
  <si>
    <t>Ordem</t>
  </si>
  <si>
    <t>Encomenda</t>
  </si>
  <si>
    <t>Tipo_Defeito</t>
  </si>
  <si>
    <t>Natureza</t>
  </si>
  <si>
    <t>Severidade</t>
  </si>
  <si>
    <t>Qtd_Afetada</t>
  </si>
  <si>
    <t>Data_Acusacao_Rececao</t>
  </si>
  <si>
    <t>Data_Primeira_Resposta</t>
  </si>
  <si>
    <t>Decisao</t>
  </si>
  <si>
    <t>Acao_Cliente</t>
  </si>
  <si>
    <t>ID_8D</t>
  </si>
  <si>
    <t>Data_Fecho</t>
  </si>
  <si>
    <t>Satisfacao_Tratamento</t>
  </si>
  <si>
    <t>Custo_EUR</t>
  </si>
  <si>
    <t>Dias_Acusacao</t>
  </si>
  <si>
    <t>Dias_Resolucao</t>
  </si>
  <si>
    <t>Controlo_Qualidade</t>
  </si>
  <si>
    <t>CC-20110</t>
  </si>
  <si>
    <t>2025-07</t>
  </si>
  <si>
    <t>CUST-008</t>
  </si>
  <si>
    <t>Correio eletrónico</t>
  </si>
  <si>
    <t>TR-002-PP-PCR-24410</t>
  </si>
  <si>
    <t>INJ</t>
  </si>
  <si>
    <t>WO-8190</t>
  </si>
  <si>
    <t>SO-15492</t>
  </si>
  <si>
    <t>Tampa partida / fissurada</t>
  </si>
  <si>
    <t>Maior</t>
  </si>
  <si>
    <t>Procedente</t>
  </si>
  <si>
    <t>Substituição do lote e crédito</t>
  </si>
  <si>
    <t>CC-20196</t>
  </si>
  <si>
    <t>2025-08</t>
  </si>
  <si>
    <t>CUST-012</t>
  </si>
  <si>
    <t>FR-018-PETG-600</t>
  </si>
  <si>
    <t>HFS</t>
  </si>
  <si>
    <t>WO-14836</t>
  </si>
  <si>
    <t>Entrega atrasada</t>
  </si>
  <si>
    <t>Serviço / logística</t>
  </si>
  <si>
    <t>Entrega complementar / troca</t>
  </si>
  <si>
    <t>CC-20161</t>
  </si>
  <si>
    <t>CUST-004</t>
  </si>
  <si>
    <t>Portal do cliente</t>
  </si>
  <si>
    <t>TF-007-PP-28410</t>
  </si>
  <si>
    <t>WO-9856</t>
  </si>
  <si>
    <t>SO-16600</t>
  </si>
  <si>
    <t>Tampa desaperta após fecho (retenção de binário)</t>
  </si>
  <si>
    <t>CC-20112</t>
  </si>
  <si>
    <t>TR-002-PP-24410</t>
  </si>
  <si>
    <t>WO-8211</t>
  </si>
  <si>
    <t>SO-15505</t>
  </si>
  <si>
    <t>Rótulo em falta ou ilegível</t>
  </si>
  <si>
    <t>Menor</t>
  </si>
  <si>
    <t>CC-20111</t>
  </si>
  <si>
    <t>CUST-001</t>
  </si>
  <si>
    <t>Key Account</t>
  </si>
  <si>
    <t>WO-8210</t>
  </si>
  <si>
    <t>SO-15504</t>
  </si>
  <si>
    <t>CC-20157</t>
  </si>
  <si>
    <t>CUST-007</t>
  </si>
  <si>
    <t>TR-001-PETG-24410</t>
  </si>
  <si>
    <t>WO-9050</t>
  </si>
  <si>
    <t>SO-16045</t>
  </si>
  <si>
    <t>CC-20113</t>
  </si>
  <si>
    <t>CUST-002</t>
  </si>
  <si>
    <t>TR-002-HDPE-24410</t>
  </si>
  <si>
    <t>WO-8234</t>
  </si>
  <si>
    <t>SO-15526</t>
  </si>
  <si>
    <t>Crítica</t>
  </si>
  <si>
    <t>8D-26-04</t>
  </si>
  <si>
    <t>CC-20189</t>
  </si>
  <si>
    <t>FR-009-rPET-350</t>
  </si>
  <si>
    <t>SOP</t>
  </si>
  <si>
    <t>WO-2649</t>
  </si>
  <si>
    <t>CC-20053</t>
  </si>
  <si>
    <t>CUST-003</t>
  </si>
  <si>
    <t>FR-023-HDPE-1000</t>
  </si>
  <si>
    <t>WO-4262</t>
  </si>
  <si>
    <t>SO-12465</t>
  </si>
  <si>
    <t>Material estranho / contaminação</t>
  </si>
  <si>
    <t>CC-20018</t>
  </si>
  <si>
    <t>FR-006-rPET-330</t>
  </si>
  <si>
    <t>WO-2661</t>
  </si>
  <si>
    <t>SO-11291</t>
  </si>
  <si>
    <t>Produto errado expedido</t>
  </si>
  <si>
    <t>CC-20051</t>
  </si>
  <si>
    <t>WO-4250</t>
  </si>
  <si>
    <t>SO-12455</t>
  </si>
  <si>
    <t>CC-20114</t>
  </si>
  <si>
    <t>TR-002-PETG-24410</t>
  </si>
  <si>
    <t>WO-8245</t>
  </si>
  <si>
    <t>SO-15529</t>
  </si>
  <si>
    <t>8D-26-02</t>
  </si>
  <si>
    <t>CC-20052</t>
  </si>
  <si>
    <t>FR-010-PET-400</t>
  </si>
  <si>
    <t>WO-4254</t>
  </si>
  <si>
    <t>SO-12457</t>
  </si>
  <si>
    <t>Peso fora de especificação</t>
  </si>
  <si>
    <t>CC-20115</t>
  </si>
  <si>
    <t>WO-8247</t>
  </si>
  <si>
    <t>SO-15531</t>
  </si>
  <si>
    <t>CC-20096</t>
  </si>
  <si>
    <t>CUST-009</t>
  </si>
  <si>
    <t>FR-022-PVC-1000</t>
  </si>
  <si>
    <t>WO-6623</t>
  </si>
  <si>
    <t>SO-14351</t>
  </si>
  <si>
    <t>CC-20066</t>
  </si>
  <si>
    <t>2025-09</t>
  </si>
  <si>
    <t>FR-014-PETG-500</t>
  </si>
  <si>
    <t>WO-5029</t>
  </si>
  <si>
    <t>SO-13081</t>
  </si>
  <si>
    <t>Quantidade inferior à encomendada</t>
  </si>
  <si>
    <t>CC-20187</t>
  </si>
  <si>
    <t>FR-029-MDPE-5000</t>
  </si>
  <si>
    <t>WO-13586</t>
  </si>
  <si>
    <t>CC-20116</t>
  </si>
  <si>
    <t>WO-8262</t>
  </si>
  <si>
    <t>SO-15542</t>
  </si>
  <si>
    <t>Binário de abertura demasiado alto</t>
  </si>
  <si>
    <t>CC-20162</t>
  </si>
  <si>
    <t>TR-004-HDPE-28410</t>
  </si>
  <si>
    <t>WO-9929</t>
  </si>
  <si>
    <t>SO-16633</t>
  </si>
  <si>
    <t>Binário de abertura demasiado baixo</t>
  </si>
  <si>
    <t>CC-20083</t>
  </si>
  <si>
    <t>FR-020-HDPE-750</t>
  </si>
  <si>
    <t>WO-5850</t>
  </si>
  <si>
    <t>SO-13725</t>
  </si>
  <si>
    <t>Espessura de parede fora de especificação</t>
  </si>
  <si>
    <t>CC-20082</t>
  </si>
  <si>
    <t>CUST-005</t>
  </si>
  <si>
    <t>FR-017-HDPE-600</t>
  </si>
  <si>
    <t>WO-5829</t>
  </si>
  <si>
    <t>SO-13709</t>
  </si>
  <si>
    <t>CC-20163</t>
  </si>
  <si>
    <t>TR-004-PETG-28410</t>
  </si>
  <si>
    <t>WO-9937</t>
  </si>
  <si>
    <t>SO-16636</t>
  </si>
  <si>
    <t>CC-20117</t>
  </si>
  <si>
    <t>CUST-011</t>
  </si>
  <si>
    <t>WO-8277</t>
  </si>
  <si>
    <t>SO-15551</t>
  </si>
  <si>
    <t>CC-20176</t>
  </si>
  <si>
    <t>TF-006-PP-PCR-24415</t>
  </si>
  <si>
    <t>WO-11573</t>
  </si>
  <si>
    <t>SO-17503</t>
  </si>
  <si>
    <t>CC-20019</t>
  </si>
  <si>
    <t>2025-10</t>
  </si>
  <si>
    <t>FR-025-PET-1000</t>
  </si>
  <si>
    <t>WO-2721</t>
  </si>
  <si>
    <t>SO-11333</t>
  </si>
  <si>
    <t>CC-20044</t>
  </si>
  <si>
    <t>FR-012-PET-400</t>
  </si>
  <si>
    <t>WO-3531</t>
  </si>
  <si>
    <t>SO-11876</t>
  </si>
  <si>
    <t>CC-20020</t>
  </si>
  <si>
    <t>FR-009-HDPE-PCR-350</t>
  </si>
  <si>
    <t>WO-2723</t>
  </si>
  <si>
    <t>SO-11335</t>
  </si>
  <si>
    <t>CC-20118</t>
  </si>
  <si>
    <t>WO-8306</t>
  </si>
  <si>
    <t>SO-15565</t>
  </si>
  <si>
    <t>CC-20055</t>
  </si>
  <si>
    <t>FR-023-rPET-1000</t>
  </si>
  <si>
    <t>WO-4318</t>
  </si>
  <si>
    <t>SO-12512</t>
  </si>
  <si>
    <t>CC-20054</t>
  </si>
  <si>
    <t>CUST-013</t>
  </si>
  <si>
    <t>WO-4300</t>
  </si>
  <si>
    <t>SO-12499</t>
  </si>
  <si>
    <t>Improcedente</t>
  </si>
  <si>
    <t>Explicação técnica com evidência</t>
  </si>
  <si>
    <t>CC-20056</t>
  </si>
  <si>
    <t>FR-027-HDPE-5000</t>
  </si>
  <si>
    <t>WO-4328</t>
  </si>
  <si>
    <t>SO-12518</t>
  </si>
  <si>
    <t>CC-20021</t>
  </si>
  <si>
    <t>WO-2742</t>
  </si>
  <si>
    <t>SO-11354</t>
  </si>
  <si>
    <t>CC-20022</t>
  </si>
  <si>
    <t>FR-009-PET-350</t>
  </si>
  <si>
    <t>WO-2745</t>
  </si>
  <si>
    <t>SO-11356</t>
  </si>
  <si>
    <t>CC-20045</t>
  </si>
  <si>
    <t>WO-3550</t>
  </si>
  <si>
    <t>SO-11888</t>
  </si>
  <si>
    <t>CC-20164</t>
  </si>
  <si>
    <t>CUST-014</t>
  </si>
  <si>
    <t>TR-004-PP-28410</t>
  </si>
  <si>
    <t>WO-9984</t>
  </si>
  <si>
    <t>SO-16651</t>
  </si>
  <si>
    <t>CC-20119</t>
  </si>
  <si>
    <t>WO-8325</t>
  </si>
  <si>
    <t>SO-15578</t>
  </si>
  <si>
    <t>CC-20023</t>
  </si>
  <si>
    <t>FR-009-PETG-350</t>
  </si>
  <si>
    <t>WO-2753</t>
  </si>
  <si>
    <t>SO-11364</t>
  </si>
  <si>
    <t>CC-20024</t>
  </si>
  <si>
    <t>FR-021-rPET-750</t>
  </si>
  <si>
    <t>WO-2757</t>
  </si>
  <si>
    <t>SO-11368</t>
  </si>
  <si>
    <t>CC-20005</t>
  </si>
  <si>
    <t>2025-11</t>
  </si>
  <si>
    <t>FR-005-rPET-330</t>
  </si>
  <si>
    <t>WO-1974</t>
  </si>
  <si>
    <t>SO-10751</t>
  </si>
  <si>
    <t>CC-20120</t>
  </si>
  <si>
    <t>WO-8353</t>
  </si>
  <si>
    <t>SO-15597</t>
  </si>
  <si>
    <t>CC-20026</t>
  </si>
  <si>
    <t>WO-2773</t>
  </si>
  <si>
    <t>SO-11380</t>
  </si>
  <si>
    <t>CC-20025</t>
  </si>
  <si>
    <t>WO-2765</t>
  </si>
  <si>
    <t>SO-11374</t>
  </si>
  <si>
    <t>CC-20170</t>
  </si>
  <si>
    <t>TF-008-HDPE-28410</t>
  </si>
  <si>
    <t>WO-10824</t>
  </si>
  <si>
    <t>SO-16958</t>
  </si>
  <si>
    <t>CC-20084</t>
  </si>
  <si>
    <t>FR-017-PP-PCR-600</t>
  </si>
  <si>
    <t>WO-5927</t>
  </si>
  <si>
    <t>SO-13794</t>
  </si>
  <si>
    <t>CC-20047</t>
  </si>
  <si>
    <t>WO-3587</t>
  </si>
  <si>
    <t>SO-11919</t>
  </si>
  <si>
    <t>CC-20046</t>
  </si>
  <si>
    <t>WO-3581</t>
  </si>
  <si>
    <t>SO-11913</t>
  </si>
  <si>
    <t>CC-20006</t>
  </si>
  <si>
    <t>FR-008-HDPE-PCR-350</t>
  </si>
  <si>
    <t>WO-1988</t>
  </si>
  <si>
    <t>SO-10762</t>
  </si>
  <si>
    <t>CC-20085</t>
  </si>
  <si>
    <t>FR-020-PP-750</t>
  </si>
  <si>
    <t>WO-5950</t>
  </si>
  <si>
    <t>SO-13815</t>
  </si>
  <si>
    <t>CC-20123</t>
  </si>
  <si>
    <t>2025-12</t>
  </si>
  <si>
    <t>CUST-010</t>
  </si>
  <si>
    <t>WO-8412</t>
  </si>
  <si>
    <t>SO-15633</t>
  </si>
  <si>
    <t>Cor incorreta</t>
  </si>
  <si>
    <t>CC-20028</t>
  </si>
  <si>
    <t>WO-2818</t>
  </si>
  <si>
    <t>SO-11410</t>
  </si>
  <si>
    <t>CC-20121</t>
  </si>
  <si>
    <t>CUST-006</t>
  </si>
  <si>
    <t>WO-8407</t>
  </si>
  <si>
    <t>SO-15628</t>
  </si>
  <si>
    <t>CC-20067</t>
  </si>
  <si>
    <t>FR-024-PET-1000</t>
  </si>
  <si>
    <t>WO-5137</t>
  </si>
  <si>
    <t>SO-13167</t>
  </si>
  <si>
    <t>Frasco com fuga</t>
  </si>
  <si>
    <t>CC-20183</t>
  </si>
  <si>
    <t>FR-019-MDPE-750</t>
  </si>
  <si>
    <t>WO-6709</t>
  </si>
  <si>
    <t>CC-20027</t>
  </si>
  <si>
    <t>WO-2811</t>
  </si>
  <si>
    <t>SO-11405</t>
  </si>
  <si>
    <t>CC-20007</t>
  </si>
  <si>
    <t>FR-002-HDPE-PCR-300</t>
  </si>
  <si>
    <t>WO-2012</t>
  </si>
  <si>
    <t>SO-10785</t>
  </si>
  <si>
    <t>CC-20068</t>
  </si>
  <si>
    <t>WO-5152</t>
  </si>
  <si>
    <t>SO-13181</t>
  </si>
  <si>
    <t>CC-20097</t>
  </si>
  <si>
    <t>FR-016-HDPE-600</t>
  </si>
  <si>
    <t>WO-6765</t>
  </si>
  <si>
    <t>SO-14464</t>
  </si>
  <si>
    <t>CC-20125</t>
  </si>
  <si>
    <t>WO-8430</t>
  </si>
  <si>
    <t>SO-15650</t>
  </si>
  <si>
    <t>CC-20086</t>
  </si>
  <si>
    <t>FR-015-HDPE-PCR-500</t>
  </si>
  <si>
    <t>WO-5969</t>
  </si>
  <si>
    <t>SO-13831</t>
  </si>
  <si>
    <t>CC-20165</t>
  </si>
  <si>
    <t>TF-007-PP-PCR-28410</t>
  </si>
  <si>
    <t>WO-10066</t>
  </si>
  <si>
    <t>SO-16687</t>
  </si>
  <si>
    <t>CC-20122</t>
  </si>
  <si>
    <t>WO-8410</t>
  </si>
  <si>
    <t>SO-15631</t>
  </si>
  <si>
    <t>CC-20000</t>
  </si>
  <si>
    <t>FR-007-PVC-350</t>
  </si>
  <si>
    <t>WO-1228</t>
  </si>
  <si>
    <t>SO-10175</t>
  </si>
  <si>
    <t>8D-26-01</t>
  </si>
  <si>
    <t>CC-20057</t>
  </si>
  <si>
    <t>WO-4396</t>
  </si>
  <si>
    <t>SO-12569</t>
  </si>
  <si>
    <t>CC-20181</t>
  </si>
  <si>
    <t>FR-004-rPET-330</t>
  </si>
  <si>
    <t>WO-13716</t>
  </si>
  <si>
    <t>CC-20198</t>
  </si>
  <si>
    <t>WO-10079</t>
  </si>
  <si>
    <t>CC-20124</t>
  </si>
  <si>
    <t>WO-8427</t>
  </si>
  <si>
    <t>SO-15647</t>
  </si>
  <si>
    <t>CC-20069</t>
  </si>
  <si>
    <t>WO-5180</t>
  </si>
  <si>
    <t>SO-13204</t>
  </si>
  <si>
    <t>Frasco deformado / colapsado</t>
  </si>
  <si>
    <t>CC-20126</t>
  </si>
  <si>
    <t>WO-8446</t>
  </si>
  <si>
    <t>SO-15658</t>
  </si>
  <si>
    <t>CC-20070</t>
  </si>
  <si>
    <t>FR-018-LDPE-600</t>
  </si>
  <si>
    <t>WO-5197</t>
  </si>
  <si>
    <t>SO-13216</t>
  </si>
  <si>
    <t>CC-20180</t>
  </si>
  <si>
    <t>TF-005-HDPE-24410</t>
  </si>
  <si>
    <t>WO-10883</t>
  </si>
  <si>
    <t>CC-20098</t>
  </si>
  <si>
    <t>FR-022-PETG-1000</t>
  </si>
  <si>
    <t>WO-6803</t>
  </si>
  <si>
    <t>SO-14494</t>
  </si>
  <si>
    <t>CC-20001</t>
  </si>
  <si>
    <t>2026-01</t>
  </si>
  <si>
    <t>WO-1249</t>
  </si>
  <si>
    <t>SO-10191</t>
  </si>
  <si>
    <t>CC-20182</t>
  </si>
  <si>
    <t>FR-003-rPET-300</t>
  </si>
  <si>
    <t>WO-13329</t>
  </si>
  <si>
    <t>CC-20167</t>
  </si>
  <si>
    <t>TR-004-PP-PCR-28410</t>
  </si>
  <si>
    <t>WO-10124</t>
  </si>
  <si>
    <t>SO-16706</t>
  </si>
  <si>
    <t>CC-20177</t>
  </si>
  <si>
    <t>TF-009-HDPE-28415</t>
  </si>
  <si>
    <t>WO-11738</t>
  </si>
  <si>
    <t>SO-17632</t>
  </si>
  <si>
    <t>CC-20199</t>
  </si>
  <si>
    <t>WO-2889</t>
  </si>
  <si>
    <t>CC-20071</t>
  </si>
  <si>
    <t>FR-018-MDPE-600</t>
  </si>
  <si>
    <t>WO-5222</t>
  </si>
  <si>
    <t>SO-13237</t>
  </si>
  <si>
    <t>8D-26-03</t>
  </si>
  <si>
    <t>CC-20166</t>
  </si>
  <si>
    <t>WO-10119</t>
  </si>
  <si>
    <t>SO-16701</t>
  </si>
  <si>
    <t>CC-20127</t>
  </si>
  <si>
    <t>WO-8483</t>
  </si>
  <si>
    <t>SO-15691</t>
  </si>
  <si>
    <t>CC-20128</t>
  </si>
  <si>
    <t>2026-02</t>
  </si>
  <si>
    <t>WO-8491</t>
  </si>
  <si>
    <t>SO-15694</t>
  </si>
  <si>
    <t>CC-20087</t>
  </si>
  <si>
    <t>WO-6052</t>
  </si>
  <si>
    <t>SO-13893</t>
  </si>
  <si>
    <t>CC-20072</t>
  </si>
  <si>
    <t>FR-028-HDPE-5000</t>
  </si>
  <si>
    <t>WO-5248</t>
  </si>
  <si>
    <t>SO-13257</t>
  </si>
  <si>
    <t>CC-20089</t>
  </si>
  <si>
    <t>WO-6060</t>
  </si>
  <si>
    <t>SO-13901</t>
  </si>
  <si>
    <t>CC-20002</t>
  </si>
  <si>
    <t>FR-007-HDPE-PCR-350</t>
  </si>
  <si>
    <t>WO-1305</t>
  </si>
  <si>
    <t>SO-10227</t>
  </si>
  <si>
    <t>CC-20129</t>
  </si>
  <si>
    <t>WO-8512</t>
  </si>
  <si>
    <t>SO-15710</t>
  </si>
  <si>
    <t>CC-20088</t>
  </si>
  <si>
    <t>WO-6055</t>
  </si>
  <si>
    <t>SO-13896</t>
  </si>
  <si>
    <t>CC-20008</t>
  </si>
  <si>
    <t>FR-008-PET-350</t>
  </si>
  <si>
    <t>WO-2130</t>
  </si>
  <si>
    <t>SO-10876</t>
  </si>
  <si>
    <t>CC-20195</t>
  </si>
  <si>
    <t>FR-013-HDPE-500</t>
  </si>
  <si>
    <t>WO-4519</t>
  </si>
  <si>
    <t>CC-20073</t>
  </si>
  <si>
    <t>2026-03</t>
  </si>
  <si>
    <t>FR-018-PET-600</t>
  </si>
  <si>
    <t>WO-5261</t>
  </si>
  <si>
    <t>SO-13269</t>
  </si>
  <si>
    <t>CC-20130</t>
  </si>
  <si>
    <t>WO-8531</t>
  </si>
  <si>
    <t>SO-15721</t>
  </si>
  <si>
    <t>CC-20179</t>
  </si>
  <si>
    <t>WO-12960</t>
  </si>
  <si>
    <t>CC-20099</t>
  </si>
  <si>
    <t>FR-022-HDPE-1000</t>
  </si>
  <si>
    <t>WO-6901</t>
  </si>
  <si>
    <t>SO-14565</t>
  </si>
  <si>
    <t>CC-20101</t>
  </si>
  <si>
    <t>FR-019-PP-750</t>
  </si>
  <si>
    <t>WO-6930</t>
  </si>
  <si>
    <t>SO-14585</t>
  </si>
  <si>
    <t>CC-20185</t>
  </si>
  <si>
    <t>WO-13362</t>
  </si>
  <si>
    <t>CC-20009</t>
  </si>
  <si>
    <t>FR-008-HDPE-350</t>
  </si>
  <si>
    <t>WO-2160</t>
  </si>
  <si>
    <t>SO-10901</t>
  </si>
  <si>
    <t>CC-20100</t>
  </si>
  <si>
    <t>WO-6916</t>
  </si>
  <si>
    <t>SO-14575</t>
  </si>
  <si>
    <t>CC-20131</t>
  </si>
  <si>
    <t>WO-8566</t>
  </si>
  <si>
    <t>SO-15743</t>
  </si>
  <si>
    <t>CC-20074</t>
  </si>
  <si>
    <t>WO-5329</t>
  </si>
  <si>
    <t>SO-13320</t>
  </si>
  <si>
    <t>CC-20192</t>
  </si>
  <si>
    <t>2026-04</t>
  </si>
  <si>
    <t>FR-017-rPET-600</t>
  </si>
  <si>
    <t>WO-15478</t>
  </si>
  <si>
    <t>CC-20029</t>
  </si>
  <si>
    <t>WO-2981</t>
  </si>
  <si>
    <t>SO-11523</t>
  </si>
  <si>
    <t>CC-20132</t>
  </si>
  <si>
    <t>WO-8581</t>
  </si>
  <si>
    <t>SO-15756</t>
  </si>
  <si>
    <t>CC-20171</t>
  </si>
  <si>
    <t>WO-11051</t>
  </si>
  <si>
    <t>SO-17135</t>
  </si>
  <si>
    <t>CC-20188</t>
  </si>
  <si>
    <t>SER</t>
  </si>
  <si>
    <t>WO-14539</t>
  </si>
  <si>
    <t>CC-20032</t>
  </si>
  <si>
    <t>FR-009-HDPE-350</t>
  </si>
  <si>
    <t>WO-3013</t>
  </si>
  <si>
    <t>SO-11541</t>
  </si>
  <si>
    <t>CC-20031</t>
  </si>
  <si>
    <t>WO-3009</t>
  </si>
  <si>
    <t>SO-11538</t>
  </si>
  <si>
    <t>CC-20058</t>
  </si>
  <si>
    <t>WO-4586</t>
  </si>
  <si>
    <t>SO-12718</t>
  </si>
  <si>
    <t>CC-20134</t>
  </si>
  <si>
    <t>WO-8609</t>
  </si>
  <si>
    <t>SO-15772</t>
  </si>
  <si>
    <t>CC-20135</t>
  </si>
  <si>
    <t>WO-8617</t>
  </si>
  <si>
    <t>SO-15779</t>
  </si>
  <si>
    <t>CC-20030</t>
  </si>
  <si>
    <t>WO-3000</t>
  </si>
  <si>
    <t>SO-11535</t>
  </si>
  <si>
    <t>CC-20136</t>
  </si>
  <si>
    <t>WO-8621</t>
  </si>
  <si>
    <t>SO-15780</t>
  </si>
  <si>
    <t>CC-20010</t>
  </si>
  <si>
    <t>WO-2212</t>
  </si>
  <si>
    <t>SO-10946</t>
  </si>
  <si>
    <t>CC-20168</t>
  </si>
  <si>
    <t>WO-10246</t>
  </si>
  <si>
    <t>SO-16736</t>
  </si>
  <si>
    <t>CC-20133</t>
  </si>
  <si>
    <t>WO-8603</t>
  </si>
  <si>
    <t>SO-15768</t>
  </si>
  <si>
    <t>CC-20178</t>
  </si>
  <si>
    <t>2026-05</t>
  </si>
  <si>
    <t>WO-11882</t>
  </si>
  <si>
    <t>SO-17733</t>
  </si>
  <si>
    <t>CC-20033</t>
  </si>
  <si>
    <t>WO-3016</t>
  </si>
  <si>
    <t>SO-11544</t>
  </si>
  <si>
    <t>CC-20172</t>
  </si>
  <si>
    <t>TF-008-PP-PCR-28410</t>
  </si>
  <si>
    <t>WO-11077</t>
  </si>
  <si>
    <t>SO-17156</t>
  </si>
  <si>
    <t>CC-20202</t>
  </si>
  <si>
    <t>WO-2248</t>
  </si>
  <si>
    <t>CC-20011</t>
  </si>
  <si>
    <t>WO-2232</t>
  </si>
  <si>
    <t>SO-10963</t>
  </si>
  <si>
    <t>CC-20137</t>
  </si>
  <si>
    <t>WO-8649</t>
  </si>
  <si>
    <t>SO-15800</t>
  </si>
  <si>
    <t>CC-20034</t>
  </si>
  <si>
    <t>WO-3051</t>
  </si>
  <si>
    <t>SO-11571</t>
  </si>
  <si>
    <t>CC-20204</t>
  </si>
  <si>
    <t>WO-6126</t>
  </si>
  <si>
    <t>CC-20203</t>
  </si>
  <si>
    <t>FR-007-PETG-350</t>
  </si>
  <si>
    <t>WO-12588</t>
  </si>
  <si>
    <t>CC-20193</t>
  </si>
  <si>
    <t>WO-8619</t>
  </si>
  <si>
    <t>CC-20012</t>
  </si>
  <si>
    <t>FR-008-rPET-350</t>
  </si>
  <si>
    <t>WO-2237</t>
  </si>
  <si>
    <t>SO-10966</t>
  </si>
  <si>
    <t>CC-20035</t>
  </si>
  <si>
    <t>WO-3060</t>
  </si>
  <si>
    <t>SO-11576</t>
  </si>
  <si>
    <t>CC-20138</t>
  </si>
  <si>
    <t>WO-8659</t>
  </si>
  <si>
    <t>SO-15809</t>
  </si>
  <si>
    <t>CC-20139</t>
  </si>
  <si>
    <t>WO-8669</t>
  </si>
  <si>
    <t>SO-15817</t>
  </si>
  <si>
    <t>CC-20184</t>
  </si>
  <si>
    <t>WO-3858</t>
  </si>
  <si>
    <t>CC-20141</t>
  </si>
  <si>
    <t>2026-06</t>
  </si>
  <si>
    <t>WO-8677</t>
  </si>
  <si>
    <t>SO-15825</t>
  </si>
  <si>
    <t>CC-20140</t>
  </si>
  <si>
    <t>WO-8670</t>
  </si>
  <si>
    <t>SO-15818</t>
  </si>
  <si>
    <t>CC-20090</t>
  </si>
  <si>
    <t>WO-6219</t>
  </si>
  <si>
    <t>SO-14033</t>
  </si>
  <si>
    <t>8D-26-05</t>
  </si>
  <si>
    <t>CC-20186</t>
  </si>
  <si>
    <t>WO-10299</t>
  </si>
  <si>
    <t>CC-20048</t>
  </si>
  <si>
    <t>FR-026-HDPE-4000</t>
  </si>
  <si>
    <t>WO-3890</t>
  </si>
  <si>
    <t>SO-12170</t>
  </si>
  <si>
    <t>CC-20036</t>
  </si>
  <si>
    <t>WO-3089</t>
  </si>
  <si>
    <t>SO-11593</t>
  </si>
  <si>
    <t>CC-20106</t>
  </si>
  <si>
    <t>TR-001-PP-24410</t>
  </si>
  <si>
    <t>WO-7869</t>
  </si>
  <si>
    <t>SO-15273</t>
  </si>
  <si>
    <t>CC-20173</t>
  </si>
  <si>
    <t>TF-008-PP-28410</t>
  </si>
  <si>
    <t>WO-11172</t>
  </si>
  <si>
    <t>SO-17229</t>
  </si>
  <si>
    <t>CC-20037</t>
  </si>
  <si>
    <t>WO-3091</t>
  </si>
  <si>
    <t>SO-11595</t>
  </si>
  <si>
    <t>CC-20091</t>
  </si>
  <si>
    <t>FR-017-PP-600</t>
  </si>
  <si>
    <t>WO-6258</t>
  </si>
  <si>
    <t>SO-14068</t>
  </si>
  <si>
    <t>CC-20075</t>
  </si>
  <si>
    <t>2026-07</t>
  </si>
  <si>
    <t>WO-5463</t>
  </si>
  <si>
    <t>SO-13425</t>
  </si>
  <si>
    <t>CC-20013</t>
  </si>
  <si>
    <t>WO-2319</t>
  </si>
  <si>
    <t>SO-11028</t>
  </si>
  <si>
    <t>CC-20014</t>
  </si>
  <si>
    <t>WO-2336</t>
  </si>
  <si>
    <t>SO-11043</t>
  </si>
  <si>
    <t>CC-20200</t>
  </si>
  <si>
    <t>FR-019-HDPE-600</t>
  </si>
  <si>
    <t>WO-15934</t>
  </si>
  <si>
    <t>CC-20142</t>
  </si>
  <si>
    <t>WO-8754</t>
  </si>
  <si>
    <t>SO-15863</t>
  </si>
  <si>
    <t>CC-20201</t>
  </si>
  <si>
    <t>TR-001-HDPE-24410</t>
  </si>
  <si>
    <t>WO-9564</t>
  </si>
  <si>
    <t>CC-20049</t>
  </si>
  <si>
    <t>WO-3955</t>
  </si>
  <si>
    <t>SO-12224</t>
  </si>
  <si>
    <t>CC-20076</t>
  </si>
  <si>
    <t>FR-011-PET-400</t>
  </si>
  <si>
    <t>WO-5493</t>
  </si>
  <si>
    <t>SO-13448</t>
  </si>
  <si>
    <t>CC-20158</t>
  </si>
  <si>
    <t>TR-003-PP-24415</t>
  </si>
  <si>
    <t>WO-9586</t>
  </si>
  <si>
    <t>SO-16423</t>
  </si>
  <si>
    <t>CC-20059</t>
  </si>
  <si>
    <t>WO-4711</t>
  </si>
  <si>
    <t>SO-12821</t>
  </si>
  <si>
    <t>CC-20092</t>
  </si>
  <si>
    <t>FR-020-rPET-750</t>
  </si>
  <si>
    <t>WO-6304</t>
  </si>
  <si>
    <t>SO-14104</t>
  </si>
  <si>
    <t>CC-20143</t>
  </si>
  <si>
    <t>2026-08</t>
  </si>
  <si>
    <t>WO-8755</t>
  </si>
  <si>
    <t>SO-15864</t>
  </si>
  <si>
    <t>CC-20038</t>
  </si>
  <si>
    <t>WO-3172</t>
  </si>
  <si>
    <t>SO-11648</t>
  </si>
  <si>
    <t>CC-20060</t>
  </si>
  <si>
    <t>WO-4729</t>
  </si>
  <si>
    <t>SO-12837</t>
  </si>
  <si>
    <t>CC-20144</t>
  </si>
  <si>
    <t>WO-8786</t>
  </si>
  <si>
    <t>SO-15886</t>
  </si>
  <si>
    <t>CC-20077</t>
  </si>
  <si>
    <t>WO-5517</t>
  </si>
  <si>
    <t>SO-13468</t>
  </si>
  <si>
    <t>CC-20061</t>
  </si>
  <si>
    <t>WO-4732</t>
  </si>
  <si>
    <t>SO-12840</t>
  </si>
  <si>
    <t>CC-20078</t>
  </si>
  <si>
    <t>FR-014-PP-500</t>
  </si>
  <si>
    <t>WO-5530</t>
  </si>
  <si>
    <t>SO-13479</t>
  </si>
  <si>
    <t>CC-20145</t>
  </si>
  <si>
    <t>WO-8796</t>
  </si>
  <si>
    <t>SO-15890</t>
  </si>
  <si>
    <t>CC-20174</t>
  </si>
  <si>
    <t>TF-005-PP-PCR-24410</t>
  </si>
  <si>
    <t>WO-11238</t>
  </si>
  <si>
    <t>SO-17284</t>
  </si>
  <si>
    <t>CC-20146</t>
  </si>
  <si>
    <t>2026-09</t>
  </si>
  <si>
    <t>WO-8816</t>
  </si>
  <si>
    <t>SO-15900</t>
  </si>
  <si>
    <t>CC-20039</t>
  </si>
  <si>
    <t>WO-3213</t>
  </si>
  <si>
    <t>SO-11677</t>
  </si>
  <si>
    <t>CC-20208</t>
  </si>
  <si>
    <t>CUST-017</t>
  </si>
  <si>
    <t>FP-032-PP-PG-100</t>
  </si>
  <si>
    <t>CC-20159</t>
  </si>
  <si>
    <t>TR-003-PETG-24415</t>
  </si>
  <si>
    <t>WO-9639</t>
  </si>
  <si>
    <t>SO-16467</t>
  </si>
  <si>
    <t>CC-20062</t>
  </si>
  <si>
    <t>WO-4763</t>
  </si>
  <si>
    <t>SO-12866</t>
  </si>
  <si>
    <t>CC-20107</t>
  </si>
  <si>
    <t>TR-001-PP-PCR-24410</t>
  </si>
  <si>
    <t>WO-7989</t>
  </si>
  <si>
    <t>SO-15359</t>
  </si>
  <si>
    <t>CC-20148</t>
  </si>
  <si>
    <t>WO-8827</t>
  </si>
  <si>
    <t>SO-15905</t>
  </si>
  <si>
    <t>CC-20050</t>
  </si>
  <si>
    <t>WO-4023</t>
  </si>
  <si>
    <t>SO-12276</t>
  </si>
  <si>
    <t>CC-20150</t>
  </si>
  <si>
    <t>WO-8844</t>
  </si>
  <si>
    <t>SO-15916</t>
  </si>
  <si>
    <t>CC-20147</t>
  </si>
  <si>
    <t>WO-8822</t>
  </si>
  <si>
    <t>SO-15903</t>
  </si>
  <si>
    <t>CC-20190</t>
  </si>
  <si>
    <t>WO-4036</t>
  </si>
  <si>
    <t>CC-20093</t>
  </si>
  <si>
    <t>WO-6375</t>
  </si>
  <si>
    <t>SO-14160</t>
  </si>
  <si>
    <t>CC-20040</t>
  </si>
  <si>
    <t>WO-3214</t>
  </si>
  <si>
    <t>SO-11678</t>
  </si>
  <si>
    <t>CC-20151</t>
  </si>
  <si>
    <t>WO-8860</t>
  </si>
  <si>
    <t>SO-15925</t>
  </si>
  <si>
    <t>CC-20094</t>
  </si>
  <si>
    <t>WO-6406</t>
  </si>
  <si>
    <t>SO-14188</t>
  </si>
  <si>
    <t>CC-20149</t>
  </si>
  <si>
    <t>WO-8843</t>
  </si>
  <si>
    <t>SO-15915</t>
  </si>
  <si>
    <t>CC-20015</t>
  </si>
  <si>
    <t>WO-2427</t>
  </si>
  <si>
    <t>SO-11110</t>
  </si>
  <si>
    <t>CC-20152</t>
  </si>
  <si>
    <t>2026-10</t>
  </si>
  <si>
    <t>WO-8861</t>
  </si>
  <si>
    <t>SO-15926</t>
  </si>
  <si>
    <t>CC-20016</t>
  </si>
  <si>
    <t>WO-2478</t>
  </si>
  <si>
    <t>SO-11154</t>
  </si>
  <si>
    <t>CC-20153</t>
  </si>
  <si>
    <t>WO-8875</t>
  </si>
  <si>
    <t>SO-15937</t>
  </si>
  <si>
    <t>CC-20175</t>
  </si>
  <si>
    <t>WO-11328</t>
  </si>
  <si>
    <t>SO-17351</t>
  </si>
  <si>
    <t>CC-20095</t>
  </si>
  <si>
    <t>WO-6418</t>
  </si>
  <si>
    <t>SO-14198</t>
  </si>
  <si>
    <t>CC-20079</t>
  </si>
  <si>
    <t>WO-5636</t>
  </si>
  <si>
    <t>SO-13566</t>
  </si>
  <si>
    <t>CC-20205</t>
  </si>
  <si>
    <t>WO-7230</t>
  </si>
  <si>
    <t>CC-20191</t>
  </si>
  <si>
    <t>WO-16002</t>
  </si>
  <si>
    <t>CC-20108</t>
  </si>
  <si>
    <t>WO-8073</t>
  </si>
  <si>
    <t>SO-15413</t>
  </si>
  <si>
    <t>CC-20017</t>
  </si>
  <si>
    <t>WO-2497</t>
  </si>
  <si>
    <t>SO-11172</t>
  </si>
  <si>
    <t>CC-20063</t>
  </si>
  <si>
    <t>WO-4844</t>
  </si>
  <si>
    <t>SO-12936</t>
  </si>
  <si>
    <t>CC-20102</t>
  </si>
  <si>
    <t>2026-11</t>
  </si>
  <si>
    <t>WO-7248</t>
  </si>
  <si>
    <t>SO-14829</t>
  </si>
  <si>
    <t>CC-20160</t>
  </si>
  <si>
    <t>TR-003-HDPE-24415</t>
  </si>
  <si>
    <t>WO-9730</t>
  </si>
  <si>
    <t>SO-16525</t>
  </si>
  <si>
    <t>CC-20194</t>
  </si>
  <si>
    <t>WO-1690</t>
  </si>
  <si>
    <t>CC-20103</t>
  </si>
  <si>
    <t>WO-7255</t>
  </si>
  <si>
    <t>SO-14833</t>
  </si>
  <si>
    <t>CC-20197</t>
  </si>
  <si>
    <t>WO-4109</t>
  </si>
  <si>
    <t>CC-20003</t>
  </si>
  <si>
    <t>WO-1712</t>
  </si>
  <si>
    <t>SO-10550</t>
  </si>
  <si>
    <t>CC-20209</t>
  </si>
  <si>
    <t>CUST-018</t>
  </si>
  <si>
    <t>TE-012-PP-PG-24410</t>
  </si>
  <si>
    <t>Separação do anel de inviolabilidade</t>
  </si>
  <si>
    <t>CC-20154</t>
  </si>
  <si>
    <t>WO-8931</t>
  </si>
  <si>
    <t>SO-15973</t>
  </si>
  <si>
    <t>CC-20207</t>
  </si>
  <si>
    <t>WO-2523</t>
  </si>
  <si>
    <t>CC-20169</t>
  </si>
  <si>
    <t>WO-10563</t>
  </si>
  <si>
    <t>SO-16787</t>
  </si>
  <si>
    <t>CC-20104</t>
  </si>
  <si>
    <t>WO-7280</t>
  </si>
  <si>
    <t>SO-14852</t>
  </si>
  <si>
    <t>CC-20064</t>
  </si>
  <si>
    <t>WO-4887</t>
  </si>
  <si>
    <t>SO-12970</t>
  </si>
  <si>
    <t>CC-20080</t>
  </si>
  <si>
    <t>2026-12</t>
  </si>
  <si>
    <t>FR-014-rPET-500</t>
  </si>
  <si>
    <t>WO-5672</t>
  </si>
  <si>
    <t>SO-13594</t>
  </si>
  <si>
    <t>CC-20043</t>
  </si>
  <si>
    <t>WO-3351</t>
  </si>
  <si>
    <t>SO-11755</t>
  </si>
  <si>
    <t>CC-20155</t>
  </si>
  <si>
    <t>WO-8955</t>
  </si>
  <si>
    <t>SO-15983</t>
  </si>
  <si>
    <t>CC-20081</t>
  </si>
  <si>
    <t>WO-5695</t>
  </si>
  <si>
    <t>SO-13613</t>
  </si>
  <si>
    <t>CC-20041</t>
  </si>
  <si>
    <t>WO-3348</t>
  </si>
  <si>
    <t>SO-11752</t>
  </si>
  <si>
    <t>CC-20042</t>
  </si>
  <si>
    <t>WO-3349</t>
  </si>
  <si>
    <t>SO-11753</t>
  </si>
  <si>
    <t>CC-20109</t>
  </si>
  <si>
    <t>WO-8139</t>
  </si>
  <si>
    <t>SO-15458</t>
  </si>
  <si>
    <t>CC-20004</t>
  </si>
  <si>
    <t>WO-1769</t>
  </si>
  <si>
    <t>SO-10593</t>
  </si>
  <si>
    <t>CC-20105</t>
  </si>
  <si>
    <t>WO-7316</t>
  </si>
  <si>
    <t>SO-14885</t>
  </si>
  <si>
    <t>CC-20065</t>
  </si>
  <si>
    <t>WO-4917</t>
  </si>
  <si>
    <t>SO-12995</t>
  </si>
  <si>
    <t>CC-20206</t>
  </si>
  <si>
    <t>WO-5725</t>
  </si>
  <si>
    <t>CC-20156</t>
  </si>
  <si>
    <t>WO-8998</t>
  </si>
  <si>
    <t>SO-16010</t>
  </si>
  <si>
    <t>Onda</t>
  </si>
  <si>
    <t>ID_Atributo</t>
  </si>
  <si>
    <t>Atributo</t>
  </si>
  <si>
    <t>Importancia</t>
  </si>
  <si>
    <t>Satisfacao</t>
  </si>
  <si>
    <t>Lacuna</t>
  </si>
  <si>
    <t>Ponderado</t>
  </si>
  <si>
    <t>AT-1</t>
  </si>
  <si>
    <t>AT-2</t>
  </si>
  <si>
    <t>AT-3</t>
  </si>
  <si>
    <t>AT-4</t>
  </si>
  <si>
    <t>AT-5</t>
  </si>
  <si>
    <t>AT-6</t>
  </si>
  <si>
    <t>AT-7</t>
  </si>
  <si>
    <t>CUST-015</t>
  </si>
  <si>
    <t>CUST-016</t>
  </si>
  <si>
    <t>SATISFAÇÃO POR ATRIBUTO — IMPORTÂNCIA × DESEMPENHO (ISO 10004)</t>
  </si>
  <si>
    <t>Importancia_Media</t>
  </si>
  <si>
    <t>Satisfacao_2025_12</t>
  </si>
  <si>
    <t>Satisfacao_2026_06</t>
  </si>
  <si>
    <t>Evolucao</t>
  </si>
  <si>
    <t>Quadrante</t>
  </si>
  <si>
    <t>Qualidade do produto (conformidade, defeitos)</t>
  </si>
  <si>
    <t>Cumprimento de prazos e quantidades</t>
  </si>
  <si>
    <t>Resposta a reclamações</t>
  </si>
  <si>
    <t>Apoio técnico e desenvolvimento</t>
  </si>
  <si>
    <t>Documentação e certificados (FCM, PPWR, CoC)</t>
  </si>
  <si>
    <t>Comunicação comercial</t>
  </si>
  <si>
    <t>Preço / valor</t>
  </si>
  <si>
    <t>Nota_Recomendacao_0_10</t>
  </si>
  <si>
    <t>Categoria_NPS</t>
  </si>
  <si>
    <t>CES_1_7</t>
  </si>
  <si>
    <t>Comentario</t>
  </si>
  <si>
    <t>Precisamos de resposta mais rápida às reclamações de rótulo.</t>
  </si>
  <si>
    <t>Documentação de conformidade alimentar demorou a chegar.</t>
  </si>
  <si>
    <t>ID_Fonte</t>
  </si>
  <si>
    <t>Fonte</t>
  </si>
  <si>
    <t>Tipo</t>
  </si>
  <si>
    <t>Frequencia</t>
  </si>
  <si>
    <t>Responsavel</t>
  </si>
  <si>
    <t>Registo</t>
  </si>
  <si>
    <t>FB-01</t>
  </si>
  <si>
    <t>Inquérito semestral (CSI, NPS, CES)</t>
  </si>
  <si>
    <t>ISO 10004 — medição direta</t>
  </si>
  <si>
    <t>Semestral</t>
  </si>
  <si>
    <t>Diretor Comercial</t>
  </si>
  <si>
    <t>tbl_inquerito</t>
  </si>
  <si>
    <t>FB-02</t>
  </si>
  <si>
    <t>Reclamações de clientes</t>
  </si>
  <si>
    <t>ISO 10002 — feedback não solicitado</t>
  </si>
  <si>
    <t>Contínua</t>
  </si>
  <si>
    <t>tbl_reclamacoes</t>
  </si>
  <si>
    <t>FB-03</t>
  </si>
  <si>
    <t>Scorecards enviados pelos clientes (CUST-001: 82/100; CUST-007: 'B'; CUST-002: 76/100)</t>
  </si>
  <si>
    <t>Avaliação do cliente</t>
  </si>
  <si>
    <t>Trimestral</t>
  </si>
  <si>
    <t>Gestor(a) de Cliente (Key Account)</t>
  </si>
  <si>
    <t>Arquivo comercial</t>
  </si>
  <si>
    <t>FB-04</t>
  </si>
  <si>
    <t>Reuniões de conta e visitas aos 5 maiores clientes</t>
  </si>
  <si>
    <t>Reunião direta</t>
  </si>
  <si>
    <t>Atas de reunião</t>
  </si>
  <si>
    <t>FB-05</t>
  </si>
  <si>
    <t>Auditorias de clientes (CUST-015 out/2026; CUST-017 set/2026)</t>
  </si>
  <si>
    <t>Auditoria de 2.ª parte</t>
  </si>
  <si>
    <t>Anual</t>
  </si>
  <si>
    <t>RG-SGQ-16</t>
  </si>
  <si>
    <t>FB-06</t>
  </si>
  <si>
    <t>Elogios e reconhecimentos (ex.: CUST-013 elogiou a rapidez do 8D em jan/2026)</t>
  </si>
  <si>
    <t>Feedback positivo</t>
  </si>
  <si>
    <t>CRM</t>
  </si>
  <si>
    <t>FB-07</t>
  </si>
  <si>
    <t>Devoluções e notas de crédito</t>
  </si>
  <si>
    <t>Dados de faturação</t>
  </si>
  <si>
    <t>Mensal</t>
  </si>
  <si>
    <t>Diretor Financeiro</t>
  </si>
  <si>
    <t>ERP</t>
  </si>
  <si>
    <t>FB-08</t>
  </si>
  <si>
    <t>Quota de mercado e perda/ganho de referências</t>
  </si>
  <si>
    <t>Análise de mercado</t>
  </si>
  <si>
    <t>Plano estratégico</t>
  </si>
  <si>
    <t>ÍNDICES DE SATISFAÇÃO E DESEMPENHO DO TRATAMENTO DE RECLAMAÇÕES — calculado</t>
  </si>
  <si>
    <t>CSI = Σ(importância × satisfação) ÷ Σ(importância × 5) · NPS = %promotores − %detratores</t>
  </si>
  <si>
    <t>Indicador</t>
  </si>
  <si>
    <t>Meta</t>
  </si>
  <si>
    <t>CSI — índice de satisfação ponderado (KPI-Q-14)</t>
  </si>
  <si>
    <t>NPS (KPI-Q-15)</t>
  </si>
  <si>
    <t>CES médio (1–7)</t>
  </si>
  <si>
    <t>Clientes que responderam</t>
  </si>
  <si>
    <t>Taxa de resposta (clientes ativos: 14 em dez/2025, 18 em jun/2026)</t>
  </si>
  <si>
    <t>Tratamento de reclamações (ISO 10002)</t>
  </si>
  <si>
    <t>Valor</t>
  </si>
  <si>
    <t>Reclamações no período</t>
  </si>
  <si>
    <t>% com receção acusada em ≤ 2 dias úteis</t>
  </si>
  <si>
    <t>Tempo médio de resolução das fechadas (dias)</t>
  </si>
  <si>
    <t>Reclamações abertas / atrasadas à data de referência</t>
  </si>
  <si>
    <t>Satisfação média com o tratamento (1–5)</t>
  </si>
  <si>
    <t>% de reclamações de serviço / logística</t>
  </si>
  <si>
    <t>Custo total estimado das reclamações (€)</t>
  </si>
  <si>
    <t>Pareto — tipo de defeito</t>
  </si>
  <si>
    <t>N.º</t>
  </si>
  <si>
    <t>% acumulada</t>
  </si>
  <si>
    <t>LISTAS CONTROLADAS (domínios de validação de dados) — editar aqui para alterar opções</t>
  </si>
  <si>
    <t>DataReferencia</t>
  </si>
  <si>
    <t>Funcao</t>
  </si>
  <si>
    <t>GES</t>
  </si>
  <si>
    <t>Diretor Geral (Gestão de Topo)</t>
  </si>
  <si>
    <t>QUA</t>
  </si>
  <si>
    <t>Diretor Industrial</t>
  </si>
  <si>
    <t>COM</t>
  </si>
  <si>
    <t>Telefone</t>
  </si>
  <si>
    <t>RD</t>
  </si>
  <si>
    <t>Gerente de Produção</t>
  </si>
  <si>
    <t>PCP</t>
  </si>
  <si>
    <t>Gerente de Manutenção</t>
  </si>
  <si>
    <t>CMP</t>
  </si>
  <si>
    <t>REC</t>
  </si>
  <si>
    <t>Responsável de Compras</t>
  </si>
  <si>
    <t>Responsável de R&amp;D</t>
  </si>
  <si>
    <t>Responsável de Armazém e Logística</t>
  </si>
  <si>
    <t>Responsável de Recursos Humanos</t>
  </si>
  <si>
    <t>Gerente de Dados / TI</t>
  </si>
  <si>
    <t>LAB</t>
  </si>
  <si>
    <t>Técnico(a) da Qualidade / Inspetor(a)</t>
  </si>
  <si>
    <t>EXP</t>
  </si>
  <si>
    <t>Técnico(a) de Laboratório</t>
  </si>
  <si>
    <t>MAN</t>
  </si>
  <si>
    <t>Engenheiro(a) de Processo</t>
  </si>
  <si>
    <t>MET</t>
  </si>
  <si>
    <t>Chefe de Turno</t>
  </si>
  <si>
    <t>RH</t>
  </si>
  <si>
    <t>Operador(a) de Injeção</t>
  </si>
  <si>
    <t>TI</t>
  </si>
  <si>
    <t>Operador(a) de Sopro (ISBM)</t>
  </si>
  <si>
    <t>DOC</t>
  </si>
  <si>
    <t>Operador(a) de Serigrafia</t>
  </si>
  <si>
    <t>Operador(a) de Hot Foil</t>
  </si>
  <si>
    <t>Técnico(a) de Manutenção</t>
  </si>
  <si>
    <t>Técnico(a) de Metrologia</t>
  </si>
  <si>
    <t>Auditor(a) Interno(a) do SGQ</t>
  </si>
  <si>
    <t>Planeador(a) de Produção</t>
  </si>
  <si>
    <t>Operador(a) de Armazém / Empilhador</t>
  </si>
  <si>
    <t>Gestor do SGA / EHS (Responsável Ambiental)</t>
  </si>
  <si>
    <t>Folha</t>
  </si>
  <si>
    <t>Tabela</t>
  </si>
  <si>
    <t>Coluna</t>
  </si>
  <si>
    <t>Origem</t>
  </si>
  <si>
    <t>Descricao</t>
  </si>
  <si>
    <t>Dominio_Unidade</t>
  </si>
  <si>
    <t>Obrigatorio</t>
  </si>
  <si>
    <t>Chave</t>
  </si>
  <si>
    <t>Texto</t>
  </si>
  <si>
    <t>Entrada</t>
  </si>
  <si>
    <t>Reclamação (dataset).</t>
  </si>
  <si>
    <t>Sim</t>
  </si>
  <si>
    <t>PK</t>
  </si>
  <si>
    <t>Data (aaaa-mm-dd)</t>
  </si>
  <si>
    <t>Receção (ISO 10002 8.2).</t>
  </si>
  <si>
    <t>aaaa-mm.</t>
  </si>
  <si>
    <t>Cliente.</t>
  </si>
  <si>
    <t>FK → RG-SGQ-10</t>
  </si>
  <si>
    <t>Canal de receção.</t>
  </si>
  <si>
    <t>Lista lst_Canal</t>
  </si>
  <si>
    <t>Produto (dataset).</t>
  </si>
  <si>
    <t>Processo de origem.</t>
  </si>
  <si>
    <t>Lista lst_Processo</t>
  </si>
  <si>
    <t>Ordem de fabrico (rastreio).</t>
  </si>
  <si>
    <t>Encomenda (vazia = lacuna de rastreio).</t>
  </si>
  <si>
    <t>Não</t>
  </si>
  <si>
    <t>Tipo (dataset, traduzido).</t>
  </si>
  <si>
    <t>Produto ou serviço/logística.</t>
  </si>
  <si>
    <t>Lista lst_Natureza</t>
  </si>
  <si>
    <t>Severidade (avaliação inicial).</t>
  </si>
  <si>
    <t>Lista lst_Severidade</t>
  </si>
  <si>
    <t>Decimal</t>
  </si>
  <si>
    <t>Unidades afetadas.</t>
  </si>
  <si>
    <t>Acusação da receção ao cliente (ISO 10002 8.3).</t>
  </si>
  <si>
    <t>Resposta com contenção (ISO 10002 8.6).</t>
  </si>
  <si>
    <t>Procedente / improcedente.</t>
  </si>
  <si>
    <t>Lista lst_Decisao</t>
  </si>
  <si>
    <t>Ação para o cliente (8.7.1 c).</t>
  </si>
  <si>
    <t>Investigação 8D (RG-SGQ-18).</t>
  </si>
  <si>
    <t>FK → RG-SGQ-18</t>
  </si>
  <si>
    <t>Fecho (vazio se aberta à data de referência).</t>
  </si>
  <si>
    <t>Inteiro</t>
  </si>
  <si>
    <t>Satisfação do reclamante com o tratamento (1–5).</t>
  </si>
  <si>
    <t>Moeda (EUR)</t>
  </si>
  <si>
    <t>Custo estimado (crédito, transporte, triagem, horas).</t>
  </si>
  <si>
    <t>Calculado (fórmula)</t>
  </si>
  <si>
    <t>Dias úteis até acusar a receção (meta ≤ 2).</t>
  </si>
  <si>
    <t>Dias até ao fecho (ou até à data de referência).</t>
  </si>
  <si>
    <t>Estado.</t>
  </si>
  <si>
    <t>Regras ISO 10002 e de rastreio.</t>
  </si>
  <si>
    <t>Onda do inquérito.</t>
  </si>
  <si>
    <t>Lista lst_Onda</t>
  </si>
  <si>
    <t>FK</t>
  </si>
  <si>
    <t>Atributo.</t>
  </si>
  <si>
    <t>FK → tbl_atributos</t>
  </si>
  <si>
    <t>Descrição.</t>
  </si>
  <si>
    <t>Importância 1–5.</t>
  </si>
  <si>
    <t>Satisfação 1–5.</t>
  </si>
  <si>
    <t>Importância − satisfação (ISO 10004).</t>
  </si>
  <si>
    <t>Importância × satisfação (numerador do CSI).</t>
  </si>
  <si>
    <t>tbl_atributos</t>
  </si>
  <si>
    <t>Atributo que o cliente valoriza (ISO 10004).</t>
  </si>
  <si>
    <t>Importância média (jun/2026).</t>
  </si>
  <si>
    <t>Satisfação média dez/2025.</t>
  </si>
  <si>
    <t>Satisfação média jun/2026.</t>
  </si>
  <si>
    <t>Variação.</t>
  </si>
  <si>
    <t>Importância − satisfação.</t>
  </si>
  <si>
    <t>Matriz importância × desempenho.</t>
  </si>
  <si>
    <t>tbl_nps</t>
  </si>
  <si>
    <t>Onda.</t>
  </si>
  <si>
    <t>Probabilidade de recomendar (0–10).</t>
  </si>
  <si>
    <t>Promotor 9–10; neutro 7–8; detrator 0–6.</t>
  </si>
  <si>
    <t>'A Plasticom facilitou a resolução?' (1–7, maior = mais fácil).</t>
  </si>
  <si>
    <t>Comentário livre.</t>
  </si>
  <si>
    <t>tbl_fontes_satisfacao</t>
  </si>
  <si>
    <t>Fonte.</t>
  </si>
  <si>
    <t>Fonte de informação sobre a satisfação (9.1.2 Nota).</t>
  </si>
  <si>
    <t>Tipo.</t>
  </si>
  <si>
    <t>Frequência.</t>
  </si>
  <si>
    <t>Responsável.</t>
  </si>
  <si>
    <t>Lista lst_Funcao</t>
  </si>
  <si>
    <t>Onde está registada.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</si>
</sst>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\ \€"/>
    <numFmt numFmtId="166" formatCode="0.0%"/>
    <numFmt numFmtId="167" formatCode="0.0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4" fontId="4" fillId="4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167" fontId="4" fillId="0" borderId="1" xfId="0" applyNumberFormat="1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13"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t>Pareto das reclamações por tipo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Indices_Satisfacao!$B$22</c:f>
              <c:strCache>
                <c:ptCount val="1"/>
                <c:pt idx="0">
                  <c:v>N.º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Indices_Satisfacao!$A$23:$A$37</c:f>
              <c:strCache>
                <c:ptCount val="15"/>
                <c:pt idx="0">
                  <c:v>Rótulo em falta ou ilegível</c:v>
                </c:pt>
                <c:pt idx="1">
                  <c:v>Produto errado expedido</c:v>
                </c:pt>
                <c:pt idx="2">
                  <c:v>Entrega atrasada</c:v>
                </c:pt>
                <c:pt idx="3">
                  <c:v>Quantidade inferior à encomendada</c:v>
                </c:pt>
                <c:pt idx="4">
                  <c:v>Frasco deformado / colapsado</c:v>
                </c:pt>
                <c:pt idx="5">
                  <c:v>Material estranho / contaminação</c:v>
                </c:pt>
                <c:pt idx="6">
                  <c:v>Tampa partida / fissurada</c:v>
                </c:pt>
                <c:pt idx="7">
                  <c:v>Frasco com fuga</c:v>
                </c:pt>
                <c:pt idx="8">
                  <c:v>Peso fora de especificação</c:v>
                </c:pt>
                <c:pt idx="9">
                  <c:v>Espessura de parede fora de especificação</c:v>
                </c:pt>
                <c:pt idx="10">
                  <c:v>Cor incorreta</c:v>
                </c:pt>
                <c:pt idx="11">
                  <c:v>Tampa desaperta após fecho (retenção de binário)</c:v>
                </c:pt>
                <c:pt idx="12">
                  <c:v>Binário de abertura demasiado baixo</c:v>
                </c:pt>
                <c:pt idx="13">
                  <c:v>Binário de abertura demasiado alto</c:v>
                </c:pt>
                <c:pt idx="14">
                  <c:v>Separação do anel de inviolabilidade</c:v>
                </c:pt>
              </c:strCache>
            </c:strRef>
          </c:cat>
          <c:val>
            <c:numRef>
              <c:f>Indices_Satisfacao!$B$23:$B$37</c:f>
              <c:numCache>
                <c:formatCode>0</c:formatCode>
                <c:ptCount val="15"/>
                <c:pt idx="0">
                  <c:v>32</c:v>
                </c:pt>
                <c:pt idx="1">
                  <c:v>29</c:v>
                </c:pt>
                <c:pt idx="2">
                  <c:v>25</c:v>
                </c:pt>
                <c:pt idx="3">
                  <c:v>22</c:v>
                </c:pt>
                <c:pt idx="4">
                  <c:v>16</c:v>
                </c:pt>
                <c:pt idx="5">
                  <c:v>13</c:v>
                </c:pt>
                <c:pt idx="6">
                  <c:v>13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7-4059-B519-F9B9DC298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reclamacoes" displayName="tbl_reclamacoes" ref="A4:Y214">
  <autoFilter ref="A4:Y214" xr:uid="{00000000-0009-0000-0100-000001000000}"/>
  <tableColumns count="25">
    <tableColumn id="1" xr3:uid="{00000000-0010-0000-0000-000001000000}" name="ID_Reclamacao"/>
    <tableColumn id="2" xr3:uid="{00000000-0010-0000-0000-000002000000}" name="Data_Rececao"/>
    <tableColumn id="3" xr3:uid="{00000000-0010-0000-0000-000003000000}" name="Mes"/>
    <tableColumn id="4" xr3:uid="{00000000-0010-0000-0000-000004000000}" name="ID_Cliente"/>
    <tableColumn id="5" xr3:uid="{00000000-0010-0000-0000-000005000000}" name="Canal"/>
    <tableColumn id="6" xr3:uid="{00000000-0010-0000-0000-000006000000}" name="Produto"/>
    <tableColumn id="7" xr3:uid="{00000000-0010-0000-0000-000007000000}" name="Processo"/>
    <tableColumn id="8" xr3:uid="{00000000-0010-0000-0000-000008000000}" name="Ordem"/>
    <tableColumn id="9" xr3:uid="{00000000-0010-0000-0000-000009000000}" name="Encomenda"/>
    <tableColumn id="10" xr3:uid="{00000000-0010-0000-0000-00000A000000}" name="Tipo_Defeito"/>
    <tableColumn id="11" xr3:uid="{00000000-0010-0000-0000-00000B000000}" name="Natureza"/>
    <tableColumn id="12" xr3:uid="{00000000-0010-0000-0000-00000C000000}" name="Severidade"/>
    <tableColumn id="13" xr3:uid="{00000000-0010-0000-0000-00000D000000}" name="Qtd_Afetada"/>
    <tableColumn id="14" xr3:uid="{00000000-0010-0000-0000-00000E000000}" name="Data_Acusacao_Rececao"/>
    <tableColumn id="15" xr3:uid="{00000000-0010-0000-0000-00000F000000}" name="Data_Primeira_Resposta"/>
    <tableColumn id="16" xr3:uid="{00000000-0010-0000-0000-000010000000}" name="Decisao"/>
    <tableColumn id="17" xr3:uid="{00000000-0010-0000-0000-000011000000}" name="Acao_Cliente"/>
    <tableColumn id="18" xr3:uid="{00000000-0010-0000-0000-000012000000}" name="ID_8D"/>
    <tableColumn id="19" xr3:uid="{00000000-0010-0000-0000-000013000000}" name="Data_Fecho"/>
    <tableColumn id="20" xr3:uid="{00000000-0010-0000-0000-000014000000}" name="Satisfacao_Tratamento"/>
    <tableColumn id="21" xr3:uid="{00000000-0010-0000-0000-000015000000}" name="Custo_EUR"/>
    <tableColumn id="22" xr3:uid="{00000000-0010-0000-0000-000016000000}" name="Dias_Acusacao"/>
    <tableColumn id="23" xr3:uid="{00000000-0010-0000-0000-000017000000}" name="Dias_Resolucao"/>
    <tableColumn id="24" xr3:uid="{00000000-0010-0000-0000-000018000000}" name="Estado"/>
    <tableColumn id="25" xr3:uid="{00000000-0010-0000-0000-000019000000}" name="Controlo_Qualidad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inquerito" displayName="tbl_inquerito" ref="A1:H204">
  <autoFilter ref="A1:H204" xr:uid="{00000000-0009-0000-0100-000002000000}"/>
  <tableColumns count="8">
    <tableColumn id="1" xr3:uid="{00000000-0010-0000-0100-000001000000}" name="Onda"/>
    <tableColumn id="2" xr3:uid="{00000000-0010-0000-0100-000002000000}" name="ID_Cliente"/>
    <tableColumn id="3" xr3:uid="{00000000-0010-0000-0100-000003000000}" name="ID_Atributo"/>
    <tableColumn id="4" xr3:uid="{00000000-0010-0000-0100-000004000000}" name="Atributo"/>
    <tableColumn id="5" xr3:uid="{00000000-0010-0000-0100-000005000000}" name="Importancia"/>
    <tableColumn id="6" xr3:uid="{00000000-0010-0000-0100-000006000000}" name="Satisfacao"/>
    <tableColumn id="7" xr3:uid="{00000000-0010-0000-0100-000007000000}" name="Lacuna"/>
    <tableColumn id="8" xr3:uid="{00000000-0010-0000-0100-000008000000}" name="Ponderad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atributos" displayName="tbl_atributos" ref="A4:H11">
  <autoFilter ref="A4:H11" xr:uid="{00000000-0009-0000-0100-000003000000}"/>
  <tableColumns count="8">
    <tableColumn id="1" xr3:uid="{00000000-0010-0000-0200-000001000000}" name="ID_Atributo"/>
    <tableColumn id="2" xr3:uid="{00000000-0010-0000-0200-000002000000}" name="Atributo"/>
    <tableColumn id="3" xr3:uid="{00000000-0010-0000-0200-000003000000}" name="Importancia_Media"/>
    <tableColumn id="4" xr3:uid="{00000000-0010-0000-0200-000004000000}" name="Satisfacao_2025_12"/>
    <tableColumn id="5" xr3:uid="{00000000-0010-0000-0200-000005000000}" name="Satisfacao_2026_06"/>
    <tableColumn id="6" xr3:uid="{00000000-0010-0000-0200-000006000000}" name="Evolucao"/>
    <tableColumn id="7" xr3:uid="{00000000-0010-0000-0200-000007000000}" name="Lacuna"/>
    <tableColumn id="8" xr3:uid="{00000000-0010-0000-0200-000008000000}" name="Quadrant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nps" displayName="tbl_nps" ref="A1:F30">
  <autoFilter ref="A1:F30" xr:uid="{00000000-0009-0000-0100-000004000000}"/>
  <tableColumns count="6">
    <tableColumn id="1" xr3:uid="{00000000-0010-0000-0300-000001000000}" name="Onda"/>
    <tableColumn id="2" xr3:uid="{00000000-0010-0000-0300-000002000000}" name="ID_Cliente"/>
    <tableColumn id="3" xr3:uid="{00000000-0010-0000-0300-000003000000}" name="Nota_Recomendacao_0_10"/>
    <tableColumn id="4" xr3:uid="{00000000-0010-0000-0300-000004000000}" name="Categoria_NPS"/>
    <tableColumn id="5" xr3:uid="{00000000-0010-0000-0300-000005000000}" name="CES_1_7"/>
    <tableColumn id="6" xr3:uid="{00000000-0010-0000-0300-000006000000}" name="Comentari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fontes_satisfacao" displayName="tbl_fontes_satisfacao" ref="A1:F9">
  <autoFilter ref="A1:F9" xr:uid="{00000000-0009-0000-0100-000005000000}"/>
  <tableColumns count="6">
    <tableColumn id="1" xr3:uid="{00000000-0010-0000-0400-000001000000}" name="ID_Fonte"/>
    <tableColumn id="2" xr3:uid="{00000000-0010-0000-0400-000002000000}" name="Fonte"/>
    <tableColumn id="3" xr3:uid="{00000000-0010-0000-0400-000003000000}" name="Tipo"/>
    <tableColumn id="4" xr3:uid="{00000000-0010-0000-0400-000004000000}" name="Frequencia"/>
    <tableColumn id="5" xr3:uid="{00000000-0010-0000-0400-000005000000}" name="Responsavel"/>
    <tableColumn id="6" xr3:uid="{00000000-0010-0000-0400-000006000000}" name="Regist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icionario" displayName="tbl_dicionario" ref="A1:I54">
  <autoFilter ref="A1:I54" xr:uid="{00000000-0009-0000-0100-000006000000}"/>
  <tableColumns count="9">
    <tableColumn id="1" xr3:uid="{00000000-0010-0000-0500-000001000000}" name="Folha"/>
    <tableColumn id="2" xr3:uid="{00000000-0010-0000-0500-000002000000}" name="Tabela"/>
    <tableColumn id="3" xr3:uid="{00000000-0010-0000-0500-000003000000}" name="Coluna"/>
    <tableColumn id="4" xr3:uid="{00000000-0010-0000-0500-000004000000}" name="Tipo"/>
    <tableColumn id="5" xr3:uid="{00000000-0010-0000-0500-000005000000}" name="Origem"/>
    <tableColumn id="6" xr3:uid="{00000000-0010-0000-0500-000006000000}" name="Descricao"/>
    <tableColumn id="7" xr3:uid="{00000000-0010-0000-0500-000007000000}" name="Dominio_Unidade"/>
    <tableColumn id="8" xr3:uid="{00000000-0010-0000-0500-000008000000}" name="Obrigatorio"/>
    <tableColumn id="9" xr3:uid="{00000000-0010-0000-05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7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ht="26.4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4" spans="1:2" ht="26.4" x14ac:dyDescent="0.3">
      <c r="A24" s="5" t="s">
        <v>34</v>
      </c>
      <c r="B24" s="6" t="s">
        <v>35</v>
      </c>
    </row>
    <row r="26" spans="1:2" x14ac:dyDescent="0.3">
      <c r="A26" s="3" t="s">
        <v>36</v>
      </c>
      <c r="B26" s="4"/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x14ac:dyDescent="0.3">
      <c r="A33" s="5" t="s">
        <v>49</v>
      </c>
      <c r="B33" s="6" t="s">
        <v>50</v>
      </c>
    </row>
    <row r="34" spans="1:2" x14ac:dyDescent="0.3">
      <c r="A34" s="5" t="s">
        <v>51</v>
      </c>
      <c r="B34" s="6" t="s">
        <v>52</v>
      </c>
    </row>
    <row r="36" spans="1:2" x14ac:dyDescent="0.3">
      <c r="A36" s="3" t="s">
        <v>53</v>
      </c>
      <c r="B36" s="4"/>
    </row>
    <row r="37" spans="1:2" ht="26.4" x14ac:dyDescent="0.3">
      <c r="A37" s="5" t="s">
        <v>54</v>
      </c>
      <c r="B37" s="6" t="s">
        <v>55</v>
      </c>
    </row>
    <row r="38" spans="1:2" x14ac:dyDescent="0.3">
      <c r="A38" s="5" t="s">
        <v>56</v>
      </c>
      <c r="B38" s="6" t="s">
        <v>57</v>
      </c>
    </row>
    <row r="39" spans="1:2" x14ac:dyDescent="0.3">
      <c r="A39" s="5" t="s">
        <v>58</v>
      </c>
      <c r="B39" s="6" t="s">
        <v>59</v>
      </c>
    </row>
    <row r="40" spans="1:2" ht="26.4" x14ac:dyDescent="0.3">
      <c r="A40" s="5" t="s">
        <v>60</v>
      </c>
      <c r="B40" s="6" t="s">
        <v>61</v>
      </c>
    </row>
    <row r="41" spans="1:2" ht="26.4" x14ac:dyDescent="0.3">
      <c r="A41" s="5" t="s">
        <v>62</v>
      </c>
      <c r="B41" s="6" t="s">
        <v>63</v>
      </c>
    </row>
    <row r="42" spans="1:2" ht="39.6" x14ac:dyDescent="0.3">
      <c r="A42" s="5" t="s">
        <v>64</v>
      </c>
      <c r="B42" s="6" t="s">
        <v>65</v>
      </c>
    </row>
    <row r="44" spans="1:2" x14ac:dyDescent="0.3">
      <c r="A44" s="3" t="s">
        <v>66</v>
      </c>
      <c r="B44" s="4"/>
    </row>
    <row r="45" spans="1:2" x14ac:dyDescent="0.3">
      <c r="A45" s="5" t="s">
        <v>67</v>
      </c>
      <c r="B45" s="6" t="s">
        <v>68</v>
      </c>
    </row>
    <row r="46" spans="1:2" x14ac:dyDescent="0.3">
      <c r="A46" s="5" t="s">
        <v>69</v>
      </c>
      <c r="B46" s="6" t="s">
        <v>70</v>
      </c>
    </row>
    <row r="47" spans="1:2" ht="26.4" x14ac:dyDescent="0.3">
      <c r="A47" s="5" t="s">
        <v>71</v>
      </c>
      <c r="B47" s="6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214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1" customWidth="1"/>
    <col min="3" max="3" width="8" customWidth="1"/>
    <col min="4" max="4" width="9" customWidth="1"/>
    <col min="5" max="5" width="14" customWidth="1"/>
    <col min="6" max="6" width="20" customWidth="1"/>
    <col min="7" max="7" width="7" customWidth="1"/>
    <col min="8" max="9" width="9" customWidth="1"/>
    <col min="10" max="10" width="30" customWidth="1"/>
    <col min="11" max="11" width="14" customWidth="1"/>
    <col min="12" max="13" width="8" customWidth="1"/>
    <col min="14" max="16" width="11" customWidth="1"/>
    <col min="17" max="17" width="26" customWidth="1"/>
    <col min="18" max="18" width="9" customWidth="1"/>
    <col min="19" max="19" width="11" customWidth="1"/>
    <col min="20" max="21" width="9" customWidth="1"/>
    <col min="22" max="23" width="7" customWidth="1"/>
    <col min="24" max="24" width="10" customWidth="1"/>
    <col min="25" max="25" width="22" customWidth="1"/>
  </cols>
  <sheetData>
    <row r="1" spans="1:25" ht="17.399999999999999" x14ac:dyDescent="0.3">
      <c r="A1" s="1" t="s">
        <v>73</v>
      </c>
    </row>
    <row r="2" spans="1:25" x14ac:dyDescent="0.3">
      <c r="A2" s="2" t="s">
        <v>74</v>
      </c>
    </row>
    <row r="4" spans="1:25" ht="39.6" x14ac:dyDescent="0.3">
      <c r="A4" s="8" t="s">
        <v>75</v>
      </c>
      <c r="B4" s="8" t="s">
        <v>76</v>
      </c>
      <c r="C4" s="8" t="s">
        <v>77</v>
      </c>
      <c r="D4" s="8" t="s">
        <v>78</v>
      </c>
      <c r="E4" s="8" t="s">
        <v>79</v>
      </c>
      <c r="F4" s="8" t="s">
        <v>80</v>
      </c>
      <c r="G4" s="8" t="s">
        <v>81</v>
      </c>
      <c r="H4" s="8" t="s">
        <v>82</v>
      </c>
      <c r="I4" s="8" t="s">
        <v>83</v>
      </c>
      <c r="J4" s="8" t="s">
        <v>84</v>
      </c>
      <c r="K4" s="8" t="s">
        <v>85</v>
      </c>
      <c r="L4" s="8" t="s">
        <v>86</v>
      </c>
      <c r="M4" s="8" t="s">
        <v>87</v>
      </c>
      <c r="N4" s="8" t="s">
        <v>88</v>
      </c>
      <c r="O4" s="8" t="s">
        <v>89</v>
      </c>
      <c r="P4" s="8" t="s">
        <v>90</v>
      </c>
      <c r="Q4" s="8" t="s">
        <v>91</v>
      </c>
      <c r="R4" s="8" t="s">
        <v>92</v>
      </c>
      <c r="S4" s="8" t="s">
        <v>93</v>
      </c>
      <c r="T4" s="8" t="s">
        <v>94</v>
      </c>
      <c r="U4" s="8" t="s">
        <v>95</v>
      </c>
      <c r="V4" s="9" t="s">
        <v>96</v>
      </c>
      <c r="W4" s="9" t="s">
        <v>97</v>
      </c>
      <c r="X4" s="9" t="s">
        <v>14</v>
      </c>
      <c r="Y4" s="9" t="s">
        <v>98</v>
      </c>
    </row>
    <row r="5" spans="1:25" ht="15" customHeight="1" x14ac:dyDescent="0.3">
      <c r="A5" s="10" t="s">
        <v>99</v>
      </c>
      <c r="B5" s="11">
        <v>45856</v>
      </c>
      <c r="C5" s="10" t="s">
        <v>100</v>
      </c>
      <c r="D5" s="10" t="s">
        <v>101</v>
      </c>
      <c r="E5" s="10" t="s">
        <v>102</v>
      </c>
      <c r="F5" s="10" t="s">
        <v>103</v>
      </c>
      <c r="G5" s="10" t="s">
        <v>104</v>
      </c>
      <c r="H5" s="10" t="s">
        <v>105</v>
      </c>
      <c r="I5" s="10" t="s">
        <v>106</v>
      </c>
      <c r="J5" s="10" t="s">
        <v>107</v>
      </c>
      <c r="K5" s="10" t="s">
        <v>80</v>
      </c>
      <c r="L5" s="10" t="s">
        <v>108</v>
      </c>
      <c r="M5" s="12">
        <v>36</v>
      </c>
      <c r="N5" s="11">
        <v>45860</v>
      </c>
      <c r="O5" s="11">
        <v>45864</v>
      </c>
      <c r="P5" s="10" t="s">
        <v>109</v>
      </c>
      <c r="Q5" s="10" t="s">
        <v>110</v>
      </c>
      <c r="R5" s="10"/>
      <c r="S5" s="11"/>
      <c r="T5" s="13"/>
      <c r="U5" s="14">
        <v>129</v>
      </c>
      <c r="V5" s="15">
        <f t="shared" ref="V5:V68" si="0">IF(A5="","",NETWORKDAYS(B5,N5)-1)</f>
        <v>2</v>
      </c>
      <c r="W5" s="15">
        <f t="shared" ref="W5:W68" si="1">IF(A5="","",IF(S5="",DataRef-B5,S5-B5))</f>
        <v>531</v>
      </c>
      <c r="X5" s="16" t="str">
        <f t="shared" ref="X5:X68" si="2">IF(A5="","",IF(S5&lt;&gt;"","Fechada",IF(W5&gt;30,"Atrasada","Aberta")))</f>
        <v>Atrasada</v>
      </c>
      <c r="Y5" s="16" t="str">
        <f t="shared" ref="Y5:Y68" si="3">IF(A5="","",IF(V5&gt;2,"Acusação tardia",IF(AND(L5="Crítica",R5=""),"Crítica sem 8D",IF(I5="","Sem encomenda (rastreio)","OK"))))</f>
        <v>OK</v>
      </c>
    </row>
    <row r="6" spans="1:25" ht="15" customHeight="1" x14ac:dyDescent="0.3">
      <c r="A6" s="10" t="s">
        <v>111</v>
      </c>
      <c r="B6" s="11">
        <v>45875</v>
      </c>
      <c r="C6" s="10" t="s">
        <v>112</v>
      </c>
      <c r="D6" s="10" t="s">
        <v>113</v>
      </c>
      <c r="E6" s="10" t="s">
        <v>102</v>
      </c>
      <c r="F6" s="10" t="s">
        <v>114</v>
      </c>
      <c r="G6" s="10" t="s">
        <v>115</v>
      </c>
      <c r="H6" s="10" t="s">
        <v>116</v>
      </c>
      <c r="I6" s="10"/>
      <c r="J6" s="10" t="s">
        <v>117</v>
      </c>
      <c r="K6" s="10" t="s">
        <v>118</v>
      </c>
      <c r="L6" s="10" t="s">
        <v>108</v>
      </c>
      <c r="M6" s="12">
        <v>32</v>
      </c>
      <c r="N6" s="11">
        <v>45877</v>
      </c>
      <c r="O6" s="11">
        <v>45878</v>
      </c>
      <c r="P6" s="10" t="s">
        <v>109</v>
      </c>
      <c r="Q6" s="10" t="s">
        <v>119</v>
      </c>
      <c r="R6" s="10"/>
      <c r="S6" s="11">
        <v>45904</v>
      </c>
      <c r="T6" s="13">
        <v>2</v>
      </c>
      <c r="U6" s="14">
        <v>128</v>
      </c>
      <c r="V6" s="15">
        <f t="shared" si="0"/>
        <v>2</v>
      </c>
      <c r="W6" s="15">
        <f t="shared" si="1"/>
        <v>29</v>
      </c>
      <c r="X6" s="16" t="str">
        <f t="shared" si="2"/>
        <v>Fechada</v>
      </c>
      <c r="Y6" s="16" t="str">
        <f t="shared" si="3"/>
        <v>Sem encomenda (rastreio)</v>
      </c>
    </row>
    <row r="7" spans="1:25" ht="15" customHeight="1" x14ac:dyDescent="0.3">
      <c r="A7" s="10" t="s">
        <v>120</v>
      </c>
      <c r="B7" s="11">
        <v>45876</v>
      </c>
      <c r="C7" s="10" t="s">
        <v>112</v>
      </c>
      <c r="D7" s="10" t="s">
        <v>121</v>
      </c>
      <c r="E7" s="10" t="s">
        <v>122</v>
      </c>
      <c r="F7" s="10" t="s">
        <v>123</v>
      </c>
      <c r="G7" s="10" t="s">
        <v>104</v>
      </c>
      <c r="H7" s="10" t="s">
        <v>124</v>
      </c>
      <c r="I7" s="10" t="s">
        <v>125</v>
      </c>
      <c r="J7" s="10" t="s">
        <v>126</v>
      </c>
      <c r="K7" s="10" t="s">
        <v>80</v>
      </c>
      <c r="L7" s="10" t="s">
        <v>108</v>
      </c>
      <c r="M7" s="12">
        <v>92</v>
      </c>
      <c r="N7" s="11">
        <v>45880</v>
      </c>
      <c r="O7" s="11">
        <v>45880</v>
      </c>
      <c r="P7" s="10" t="s">
        <v>109</v>
      </c>
      <c r="Q7" s="10" t="s">
        <v>110</v>
      </c>
      <c r="R7" s="10"/>
      <c r="S7" s="11">
        <v>45897</v>
      </c>
      <c r="T7" s="13">
        <v>3</v>
      </c>
      <c r="U7" s="14">
        <v>143</v>
      </c>
      <c r="V7" s="15">
        <f t="shared" si="0"/>
        <v>2</v>
      </c>
      <c r="W7" s="15">
        <f t="shared" si="1"/>
        <v>21</v>
      </c>
      <c r="X7" s="16" t="str">
        <f t="shared" si="2"/>
        <v>Fechada</v>
      </c>
      <c r="Y7" s="16" t="str">
        <f t="shared" si="3"/>
        <v>OK</v>
      </c>
    </row>
    <row r="8" spans="1:25" ht="15" customHeight="1" x14ac:dyDescent="0.3">
      <c r="A8" s="10" t="s">
        <v>127</v>
      </c>
      <c r="B8" s="11">
        <v>45877</v>
      </c>
      <c r="C8" s="10" t="s">
        <v>112</v>
      </c>
      <c r="D8" s="10" t="s">
        <v>121</v>
      </c>
      <c r="E8" s="10" t="s">
        <v>122</v>
      </c>
      <c r="F8" s="10" t="s">
        <v>128</v>
      </c>
      <c r="G8" s="10" t="s">
        <v>104</v>
      </c>
      <c r="H8" s="10" t="s">
        <v>129</v>
      </c>
      <c r="I8" s="10" t="s">
        <v>130</v>
      </c>
      <c r="J8" s="10" t="s">
        <v>131</v>
      </c>
      <c r="K8" s="10" t="s">
        <v>118</v>
      </c>
      <c r="L8" s="10" t="s">
        <v>132</v>
      </c>
      <c r="M8" s="12">
        <v>42</v>
      </c>
      <c r="N8" s="11">
        <v>45880</v>
      </c>
      <c r="O8" s="11">
        <v>45886</v>
      </c>
      <c r="P8" s="10" t="s">
        <v>109</v>
      </c>
      <c r="Q8" s="10" t="s">
        <v>119</v>
      </c>
      <c r="R8" s="10"/>
      <c r="S8" s="11">
        <v>45910</v>
      </c>
      <c r="T8" s="13">
        <v>4</v>
      </c>
      <c r="U8" s="14">
        <v>50.5</v>
      </c>
      <c r="V8" s="15">
        <f t="shared" si="0"/>
        <v>1</v>
      </c>
      <c r="W8" s="15">
        <f t="shared" si="1"/>
        <v>33</v>
      </c>
      <c r="X8" s="16" t="str">
        <f t="shared" si="2"/>
        <v>Fechada</v>
      </c>
      <c r="Y8" s="16" t="str">
        <f t="shared" si="3"/>
        <v>OK</v>
      </c>
    </row>
    <row r="9" spans="1:25" ht="15" customHeight="1" x14ac:dyDescent="0.3">
      <c r="A9" s="10" t="s">
        <v>133</v>
      </c>
      <c r="B9" s="11">
        <v>45878</v>
      </c>
      <c r="C9" s="10" t="s">
        <v>112</v>
      </c>
      <c r="D9" s="10" t="s">
        <v>134</v>
      </c>
      <c r="E9" s="10" t="s">
        <v>135</v>
      </c>
      <c r="F9" s="10" t="s">
        <v>103</v>
      </c>
      <c r="G9" s="10" t="s">
        <v>104</v>
      </c>
      <c r="H9" s="10" t="s">
        <v>136</v>
      </c>
      <c r="I9" s="10" t="s">
        <v>137</v>
      </c>
      <c r="J9" s="10" t="s">
        <v>131</v>
      </c>
      <c r="K9" s="10" t="s">
        <v>118</v>
      </c>
      <c r="L9" s="10" t="s">
        <v>108</v>
      </c>
      <c r="M9" s="12">
        <v>67</v>
      </c>
      <c r="N9" s="11">
        <v>45880</v>
      </c>
      <c r="O9" s="11">
        <v>45888</v>
      </c>
      <c r="P9" s="10" t="s">
        <v>109</v>
      </c>
      <c r="Q9" s="10" t="s">
        <v>119</v>
      </c>
      <c r="R9" s="10"/>
      <c r="S9" s="11"/>
      <c r="T9" s="13"/>
      <c r="U9" s="14">
        <v>136.75</v>
      </c>
      <c r="V9" s="15">
        <f t="shared" si="0"/>
        <v>0</v>
      </c>
      <c r="W9" s="15">
        <f t="shared" si="1"/>
        <v>509</v>
      </c>
      <c r="X9" s="16" t="str">
        <f t="shared" si="2"/>
        <v>Atrasada</v>
      </c>
      <c r="Y9" s="16" t="str">
        <f t="shared" si="3"/>
        <v>OK</v>
      </c>
    </row>
    <row r="10" spans="1:25" ht="15" customHeight="1" x14ac:dyDescent="0.3">
      <c r="A10" s="10" t="s">
        <v>138</v>
      </c>
      <c r="B10" s="11">
        <v>45879</v>
      </c>
      <c r="C10" s="10" t="s">
        <v>112</v>
      </c>
      <c r="D10" s="10" t="s">
        <v>139</v>
      </c>
      <c r="E10" s="10" t="s">
        <v>122</v>
      </c>
      <c r="F10" s="10" t="s">
        <v>140</v>
      </c>
      <c r="G10" s="10" t="s">
        <v>104</v>
      </c>
      <c r="H10" s="10" t="s">
        <v>141</v>
      </c>
      <c r="I10" s="10" t="s">
        <v>142</v>
      </c>
      <c r="J10" s="10" t="s">
        <v>131</v>
      </c>
      <c r="K10" s="10" t="s">
        <v>118</v>
      </c>
      <c r="L10" s="10" t="s">
        <v>132</v>
      </c>
      <c r="M10" s="12">
        <v>71</v>
      </c>
      <c r="N10" s="11">
        <v>45880</v>
      </c>
      <c r="O10" s="11">
        <v>45886</v>
      </c>
      <c r="P10" s="10" t="s">
        <v>109</v>
      </c>
      <c r="Q10" s="10" t="s">
        <v>119</v>
      </c>
      <c r="R10" s="10"/>
      <c r="S10" s="11">
        <v>45899</v>
      </c>
      <c r="T10" s="13">
        <v>3</v>
      </c>
      <c r="U10" s="14">
        <v>57.75</v>
      </c>
      <c r="V10" s="15">
        <f t="shared" si="0"/>
        <v>0</v>
      </c>
      <c r="W10" s="15">
        <f t="shared" si="1"/>
        <v>20</v>
      </c>
      <c r="X10" s="16" t="str">
        <f t="shared" si="2"/>
        <v>Fechada</v>
      </c>
      <c r="Y10" s="16" t="str">
        <f t="shared" si="3"/>
        <v>OK</v>
      </c>
    </row>
    <row r="11" spans="1:25" ht="15" customHeight="1" x14ac:dyDescent="0.3">
      <c r="A11" s="10" t="s">
        <v>143</v>
      </c>
      <c r="B11" s="11">
        <v>45884</v>
      </c>
      <c r="C11" s="10" t="s">
        <v>112</v>
      </c>
      <c r="D11" s="10" t="s">
        <v>144</v>
      </c>
      <c r="E11" s="10" t="s">
        <v>102</v>
      </c>
      <c r="F11" s="10" t="s">
        <v>145</v>
      </c>
      <c r="G11" s="10" t="s">
        <v>104</v>
      </c>
      <c r="H11" s="10" t="s">
        <v>146</v>
      </c>
      <c r="I11" s="10" t="s">
        <v>147</v>
      </c>
      <c r="J11" s="10" t="s">
        <v>126</v>
      </c>
      <c r="K11" s="10" t="s">
        <v>80</v>
      </c>
      <c r="L11" s="10" t="s">
        <v>148</v>
      </c>
      <c r="M11" s="12">
        <v>179</v>
      </c>
      <c r="N11" s="11">
        <v>45885</v>
      </c>
      <c r="O11" s="11">
        <v>45889</v>
      </c>
      <c r="P11" s="10" t="s">
        <v>109</v>
      </c>
      <c r="Q11" s="10" t="s">
        <v>110</v>
      </c>
      <c r="R11" s="10" t="s">
        <v>149</v>
      </c>
      <c r="S11" s="11">
        <v>45918</v>
      </c>
      <c r="T11" s="13">
        <v>4</v>
      </c>
      <c r="U11" s="14">
        <v>394.75</v>
      </c>
      <c r="V11" s="15">
        <f t="shared" si="0"/>
        <v>0</v>
      </c>
      <c r="W11" s="15">
        <f t="shared" si="1"/>
        <v>34</v>
      </c>
      <c r="X11" s="16" t="str">
        <f t="shared" si="2"/>
        <v>Fechada</v>
      </c>
      <c r="Y11" s="16" t="str">
        <f t="shared" si="3"/>
        <v>OK</v>
      </c>
    </row>
    <row r="12" spans="1:25" ht="15" customHeight="1" x14ac:dyDescent="0.3">
      <c r="A12" s="10" t="s">
        <v>150</v>
      </c>
      <c r="B12" s="11">
        <v>45885</v>
      </c>
      <c r="C12" s="10" t="s">
        <v>112</v>
      </c>
      <c r="D12" s="10" t="s">
        <v>139</v>
      </c>
      <c r="E12" s="10" t="s">
        <v>102</v>
      </c>
      <c r="F12" s="10" t="s">
        <v>151</v>
      </c>
      <c r="G12" s="10" t="s">
        <v>152</v>
      </c>
      <c r="H12" s="10" t="s">
        <v>153</v>
      </c>
      <c r="I12" s="10"/>
      <c r="J12" s="10" t="s">
        <v>117</v>
      </c>
      <c r="K12" s="10" t="s">
        <v>118</v>
      </c>
      <c r="L12" s="10" t="s">
        <v>108</v>
      </c>
      <c r="M12" s="12">
        <v>8</v>
      </c>
      <c r="N12" s="11">
        <v>45888</v>
      </c>
      <c r="O12" s="11">
        <v>45890</v>
      </c>
      <c r="P12" s="10" t="s">
        <v>109</v>
      </c>
      <c r="Q12" s="10" t="s">
        <v>119</v>
      </c>
      <c r="R12" s="10"/>
      <c r="S12" s="11"/>
      <c r="T12" s="13"/>
      <c r="U12" s="14">
        <v>122</v>
      </c>
      <c r="V12" s="15">
        <f t="shared" si="0"/>
        <v>1</v>
      </c>
      <c r="W12" s="15">
        <f t="shared" si="1"/>
        <v>502</v>
      </c>
      <c r="X12" s="16" t="str">
        <f t="shared" si="2"/>
        <v>Atrasada</v>
      </c>
      <c r="Y12" s="16" t="str">
        <f t="shared" si="3"/>
        <v>Sem encomenda (rastreio)</v>
      </c>
    </row>
    <row r="13" spans="1:25" ht="15" customHeight="1" x14ac:dyDescent="0.3">
      <c r="A13" s="10" t="s">
        <v>154</v>
      </c>
      <c r="B13" s="11">
        <v>45887</v>
      </c>
      <c r="C13" s="10" t="s">
        <v>112</v>
      </c>
      <c r="D13" s="10" t="s">
        <v>155</v>
      </c>
      <c r="E13" s="10" t="s">
        <v>135</v>
      </c>
      <c r="F13" s="10" t="s">
        <v>156</v>
      </c>
      <c r="G13" s="10" t="s">
        <v>152</v>
      </c>
      <c r="H13" s="10" t="s">
        <v>157</v>
      </c>
      <c r="I13" s="10" t="s">
        <v>158</v>
      </c>
      <c r="J13" s="10" t="s">
        <v>159</v>
      </c>
      <c r="K13" s="10" t="s">
        <v>80</v>
      </c>
      <c r="L13" s="10" t="s">
        <v>132</v>
      </c>
      <c r="M13" s="12">
        <v>41</v>
      </c>
      <c r="N13" s="11">
        <v>45888</v>
      </c>
      <c r="O13" s="11">
        <v>45890</v>
      </c>
      <c r="P13" s="10" t="s">
        <v>109</v>
      </c>
      <c r="Q13" s="10" t="s">
        <v>110</v>
      </c>
      <c r="R13" s="10"/>
      <c r="S13" s="11">
        <v>45890</v>
      </c>
      <c r="T13" s="13">
        <v>4</v>
      </c>
      <c r="U13" s="14">
        <v>50.25</v>
      </c>
      <c r="V13" s="15">
        <f t="shared" si="0"/>
        <v>1</v>
      </c>
      <c r="W13" s="15">
        <f t="shared" si="1"/>
        <v>3</v>
      </c>
      <c r="X13" s="16" t="str">
        <f t="shared" si="2"/>
        <v>Fechada</v>
      </c>
      <c r="Y13" s="16" t="str">
        <f t="shared" si="3"/>
        <v>OK</v>
      </c>
    </row>
    <row r="14" spans="1:25" ht="15" customHeight="1" x14ac:dyDescent="0.3">
      <c r="A14" s="10" t="s">
        <v>160</v>
      </c>
      <c r="B14" s="11">
        <v>45887</v>
      </c>
      <c r="C14" s="10" t="s">
        <v>112</v>
      </c>
      <c r="D14" s="10" t="s">
        <v>101</v>
      </c>
      <c r="E14" s="10" t="s">
        <v>102</v>
      </c>
      <c r="F14" s="10" t="s">
        <v>161</v>
      </c>
      <c r="G14" s="10" t="s">
        <v>152</v>
      </c>
      <c r="H14" s="10" t="s">
        <v>162</v>
      </c>
      <c r="I14" s="10" t="s">
        <v>163</v>
      </c>
      <c r="J14" s="10" t="s">
        <v>164</v>
      </c>
      <c r="K14" s="10" t="s">
        <v>118</v>
      </c>
      <c r="L14" s="10" t="s">
        <v>108</v>
      </c>
      <c r="M14" s="12">
        <v>17</v>
      </c>
      <c r="N14" s="11">
        <v>45890</v>
      </c>
      <c r="O14" s="11">
        <v>45891</v>
      </c>
      <c r="P14" s="10" t="s">
        <v>109</v>
      </c>
      <c r="Q14" s="10" t="s">
        <v>119</v>
      </c>
      <c r="R14" s="10"/>
      <c r="S14" s="11">
        <v>45912</v>
      </c>
      <c r="T14" s="13">
        <v>5</v>
      </c>
      <c r="U14" s="14">
        <v>124.25</v>
      </c>
      <c r="V14" s="15">
        <f t="shared" si="0"/>
        <v>3</v>
      </c>
      <c r="W14" s="15">
        <f t="shared" si="1"/>
        <v>25</v>
      </c>
      <c r="X14" s="16" t="str">
        <f t="shared" si="2"/>
        <v>Fechada</v>
      </c>
      <c r="Y14" s="16" t="str">
        <f t="shared" si="3"/>
        <v>Acusação tardia</v>
      </c>
    </row>
    <row r="15" spans="1:25" ht="15" customHeight="1" x14ac:dyDescent="0.3">
      <c r="A15" s="10" t="s">
        <v>165</v>
      </c>
      <c r="B15" s="11">
        <v>45889</v>
      </c>
      <c r="C15" s="10" t="s">
        <v>112</v>
      </c>
      <c r="D15" s="10" t="s">
        <v>101</v>
      </c>
      <c r="E15" s="10" t="s">
        <v>102</v>
      </c>
      <c r="F15" s="10" t="s">
        <v>156</v>
      </c>
      <c r="G15" s="10" t="s">
        <v>152</v>
      </c>
      <c r="H15" s="10" t="s">
        <v>166</v>
      </c>
      <c r="I15" s="10" t="s">
        <v>167</v>
      </c>
      <c r="J15" s="10" t="s">
        <v>131</v>
      </c>
      <c r="K15" s="10" t="s">
        <v>118</v>
      </c>
      <c r="L15" s="10" t="s">
        <v>132</v>
      </c>
      <c r="M15" s="12">
        <v>59</v>
      </c>
      <c r="N15" s="11">
        <v>45889</v>
      </c>
      <c r="O15" s="11">
        <v>45894</v>
      </c>
      <c r="P15" s="10" t="s">
        <v>109</v>
      </c>
      <c r="Q15" s="10" t="s">
        <v>119</v>
      </c>
      <c r="R15" s="10"/>
      <c r="S15" s="11"/>
      <c r="T15" s="13"/>
      <c r="U15" s="14">
        <v>54.75</v>
      </c>
      <c r="V15" s="15">
        <f t="shared" si="0"/>
        <v>0</v>
      </c>
      <c r="W15" s="15">
        <f t="shared" si="1"/>
        <v>498</v>
      </c>
      <c r="X15" s="16" t="str">
        <f t="shared" si="2"/>
        <v>Atrasada</v>
      </c>
      <c r="Y15" s="16" t="str">
        <f t="shared" si="3"/>
        <v>OK</v>
      </c>
    </row>
    <row r="16" spans="1:25" ht="15" customHeight="1" x14ac:dyDescent="0.3">
      <c r="A16" s="10" t="s">
        <v>168</v>
      </c>
      <c r="B16" s="11">
        <v>45889</v>
      </c>
      <c r="C16" s="10" t="s">
        <v>112</v>
      </c>
      <c r="D16" s="10" t="s">
        <v>144</v>
      </c>
      <c r="E16" s="10" t="s">
        <v>135</v>
      </c>
      <c r="F16" s="10" t="s">
        <v>169</v>
      </c>
      <c r="G16" s="10" t="s">
        <v>104</v>
      </c>
      <c r="H16" s="10" t="s">
        <v>170</v>
      </c>
      <c r="I16" s="10" t="s">
        <v>171</v>
      </c>
      <c r="J16" s="10" t="s">
        <v>164</v>
      </c>
      <c r="K16" s="10" t="s">
        <v>118</v>
      </c>
      <c r="L16" s="10" t="s">
        <v>148</v>
      </c>
      <c r="M16" s="12">
        <v>136</v>
      </c>
      <c r="N16" s="11">
        <v>45890</v>
      </c>
      <c r="O16" s="11">
        <v>45899</v>
      </c>
      <c r="P16" s="10" t="s">
        <v>109</v>
      </c>
      <c r="Q16" s="10" t="s">
        <v>119</v>
      </c>
      <c r="R16" s="10" t="s">
        <v>172</v>
      </c>
      <c r="S16" s="11">
        <v>45900</v>
      </c>
      <c r="T16" s="13">
        <v>4</v>
      </c>
      <c r="U16" s="14">
        <v>384</v>
      </c>
      <c r="V16" s="15">
        <f t="shared" si="0"/>
        <v>1</v>
      </c>
      <c r="W16" s="15">
        <f t="shared" si="1"/>
        <v>11</v>
      </c>
      <c r="X16" s="16" t="str">
        <f t="shared" si="2"/>
        <v>Fechada</v>
      </c>
      <c r="Y16" s="16" t="str">
        <f t="shared" si="3"/>
        <v>OK</v>
      </c>
    </row>
    <row r="17" spans="1:25" ht="15" customHeight="1" x14ac:dyDescent="0.3">
      <c r="A17" s="10" t="s">
        <v>173</v>
      </c>
      <c r="B17" s="11">
        <v>45892</v>
      </c>
      <c r="C17" s="10" t="s">
        <v>112</v>
      </c>
      <c r="D17" s="10" t="s">
        <v>155</v>
      </c>
      <c r="E17" s="10" t="s">
        <v>122</v>
      </c>
      <c r="F17" s="10" t="s">
        <v>174</v>
      </c>
      <c r="G17" s="10" t="s">
        <v>152</v>
      </c>
      <c r="H17" s="10" t="s">
        <v>175</v>
      </c>
      <c r="I17" s="10" t="s">
        <v>176</v>
      </c>
      <c r="J17" s="10" t="s">
        <v>177</v>
      </c>
      <c r="K17" s="10" t="s">
        <v>80</v>
      </c>
      <c r="L17" s="10" t="s">
        <v>148</v>
      </c>
      <c r="M17" s="12">
        <v>3</v>
      </c>
      <c r="N17" s="11">
        <v>45896</v>
      </c>
      <c r="O17" s="11">
        <v>45903</v>
      </c>
      <c r="P17" s="10" t="s">
        <v>109</v>
      </c>
      <c r="Q17" s="10" t="s">
        <v>110</v>
      </c>
      <c r="R17" s="10"/>
      <c r="S17" s="11">
        <v>45911</v>
      </c>
      <c r="T17" s="13">
        <v>4</v>
      </c>
      <c r="U17" s="14">
        <v>350.75</v>
      </c>
      <c r="V17" s="15">
        <f t="shared" si="0"/>
        <v>2</v>
      </c>
      <c r="W17" s="15">
        <f t="shared" si="1"/>
        <v>19</v>
      </c>
      <c r="X17" s="16" t="str">
        <f t="shared" si="2"/>
        <v>Fechada</v>
      </c>
      <c r="Y17" s="16" t="str">
        <f t="shared" si="3"/>
        <v>Crítica sem 8D</v>
      </c>
    </row>
    <row r="18" spans="1:25" ht="15" customHeight="1" x14ac:dyDescent="0.3">
      <c r="A18" s="10" t="s">
        <v>178</v>
      </c>
      <c r="B18" s="11">
        <v>45892</v>
      </c>
      <c r="C18" s="10" t="s">
        <v>112</v>
      </c>
      <c r="D18" s="10" t="s">
        <v>134</v>
      </c>
      <c r="E18" s="10" t="s">
        <v>122</v>
      </c>
      <c r="F18" s="10" t="s">
        <v>103</v>
      </c>
      <c r="G18" s="10" t="s">
        <v>104</v>
      </c>
      <c r="H18" s="10" t="s">
        <v>179</v>
      </c>
      <c r="I18" s="10" t="s">
        <v>180</v>
      </c>
      <c r="J18" s="10" t="s">
        <v>164</v>
      </c>
      <c r="K18" s="10" t="s">
        <v>118</v>
      </c>
      <c r="L18" s="10" t="s">
        <v>148</v>
      </c>
      <c r="M18" s="12">
        <v>6</v>
      </c>
      <c r="N18" s="11">
        <v>45894</v>
      </c>
      <c r="O18" s="11">
        <v>45900</v>
      </c>
      <c r="P18" s="10" t="s">
        <v>109</v>
      </c>
      <c r="Q18" s="10" t="s">
        <v>119</v>
      </c>
      <c r="R18" s="10"/>
      <c r="S18" s="11">
        <v>45920</v>
      </c>
      <c r="T18" s="13">
        <v>4</v>
      </c>
      <c r="U18" s="14">
        <v>351.5</v>
      </c>
      <c r="V18" s="15">
        <f t="shared" si="0"/>
        <v>0</v>
      </c>
      <c r="W18" s="15">
        <f t="shared" si="1"/>
        <v>28</v>
      </c>
      <c r="X18" s="16" t="str">
        <f t="shared" si="2"/>
        <v>Fechada</v>
      </c>
      <c r="Y18" s="16" t="str">
        <f t="shared" si="3"/>
        <v>Crítica sem 8D</v>
      </c>
    </row>
    <row r="19" spans="1:25" ht="15" customHeight="1" x14ac:dyDescent="0.3">
      <c r="A19" s="10" t="s">
        <v>181</v>
      </c>
      <c r="B19" s="11">
        <v>45893</v>
      </c>
      <c r="C19" s="10" t="s">
        <v>112</v>
      </c>
      <c r="D19" s="10" t="s">
        <v>182</v>
      </c>
      <c r="E19" s="10" t="s">
        <v>102</v>
      </c>
      <c r="F19" s="10" t="s">
        <v>183</v>
      </c>
      <c r="G19" s="10" t="s">
        <v>152</v>
      </c>
      <c r="H19" s="10" t="s">
        <v>184</v>
      </c>
      <c r="I19" s="10" t="s">
        <v>185</v>
      </c>
      <c r="J19" s="10" t="s">
        <v>164</v>
      </c>
      <c r="K19" s="10" t="s">
        <v>118</v>
      </c>
      <c r="L19" s="10" t="s">
        <v>108</v>
      </c>
      <c r="M19" s="12">
        <v>42</v>
      </c>
      <c r="N19" s="11">
        <v>45897</v>
      </c>
      <c r="O19" s="11">
        <v>45896</v>
      </c>
      <c r="P19" s="10" t="s">
        <v>109</v>
      </c>
      <c r="Q19" s="10" t="s">
        <v>119</v>
      </c>
      <c r="R19" s="10"/>
      <c r="S19" s="11"/>
      <c r="T19" s="13"/>
      <c r="U19" s="14">
        <v>130.5</v>
      </c>
      <c r="V19" s="15">
        <f t="shared" si="0"/>
        <v>3</v>
      </c>
      <c r="W19" s="15">
        <f t="shared" si="1"/>
        <v>494</v>
      </c>
      <c r="X19" s="16" t="str">
        <f t="shared" si="2"/>
        <v>Atrasada</v>
      </c>
      <c r="Y19" s="16" t="str">
        <f t="shared" si="3"/>
        <v>Acusação tardia</v>
      </c>
    </row>
    <row r="20" spans="1:25" ht="15" customHeight="1" x14ac:dyDescent="0.3">
      <c r="A20" s="10" t="s">
        <v>186</v>
      </c>
      <c r="B20" s="11">
        <v>45905</v>
      </c>
      <c r="C20" s="10" t="s">
        <v>187</v>
      </c>
      <c r="D20" s="10" t="s">
        <v>134</v>
      </c>
      <c r="E20" s="10" t="s">
        <v>135</v>
      </c>
      <c r="F20" s="10" t="s">
        <v>188</v>
      </c>
      <c r="G20" s="10" t="s">
        <v>152</v>
      </c>
      <c r="H20" s="10" t="s">
        <v>189</v>
      </c>
      <c r="I20" s="10" t="s">
        <v>190</v>
      </c>
      <c r="J20" s="10" t="s">
        <v>191</v>
      </c>
      <c r="K20" s="10" t="s">
        <v>118</v>
      </c>
      <c r="L20" s="10" t="s">
        <v>132</v>
      </c>
      <c r="M20" s="12">
        <v>62</v>
      </c>
      <c r="N20" s="11">
        <v>45906</v>
      </c>
      <c r="O20" s="11">
        <v>45916</v>
      </c>
      <c r="P20" s="10" t="s">
        <v>109</v>
      </c>
      <c r="Q20" s="10" t="s">
        <v>119</v>
      </c>
      <c r="R20" s="10"/>
      <c r="S20" s="11">
        <v>45923</v>
      </c>
      <c r="T20" s="13">
        <v>2</v>
      </c>
      <c r="U20" s="14">
        <v>55.5</v>
      </c>
      <c r="V20" s="15">
        <f t="shared" si="0"/>
        <v>0</v>
      </c>
      <c r="W20" s="15">
        <f t="shared" si="1"/>
        <v>18</v>
      </c>
      <c r="X20" s="16" t="str">
        <f t="shared" si="2"/>
        <v>Fechada</v>
      </c>
      <c r="Y20" s="16" t="str">
        <f t="shared" si="3"/>
        <v>OK</v>
      </c>
    </row>
    <row r="21" spans="1:25" ht="15" customHeight="1" x14ac:dyDescent="0.3">
      <c r="A21" s="10" t="s">
        <v>192</v>
      </c>
      <c r="B21" s="11">
        <v>45905</v>
      </c>
      <c r="C21" s="10" t="s">
        <v>187</v>
      </c>
      <c r="D21" s="10" t="s">
        <v>144</v>
      </c>
      <c r="E21" s="10" t="s">
        <v>122</v>
      </c>
      <c r="F21" s="10" t="s">
        <v>193</v>
      </c>
      <c r="G21" s="10" t="s">
        <v>115</v>
      </c>
      <c r="H21" s="10" t="s">
        <v>194</v>
      </c>
      <c r="I21" s="10"/>
      <c r="J21" s="10" t="s">
        <v>191</v>
      </c>
      <c r="K21" s="10" t="s">
        <v>118</v>
      </c>
      <c r="L21" s="10" t="s">
        <v>132</v>
      </c>
      <c r="M21" s="12">
        <v>11</v>
      </c>
      <c r="N21" s="11">
        <v>45907</v>
      </c>
      <c r="O21" s="11">
        <v>45910</v>
      </c>
      <c r="P21" s="10" t="s">
        <v>109</v>
      </c>
      <c r="Q21" s="10" t="s">
        <v>119</v>
      </c>
      <c r="R21" s="10"/>
      <c r="S21" s="11">
        <v>45932</v>
      </c>
      <c r="T21" s="13">
        <v>5</v>
      </c>
      <c r="U21" s="14">
        <v>42.75</v>
      </c>
      <c r="V21" s="15">
        <f t="shared" si="0"/>
        <v>0</v>
      </c>
      <c r="W21" s="15">
        <f t="shared" si="1"/>
        <v>27</v>
      </c>
      <c r="X21" s="16" t="str">
        <f t="shared" si="2"/>
        <v>Fechada</v>
      </c>
      <c r="Y21" s="16" t="str">
        <f t="shared" si="3"/>
        <v>Sem encomenda (rastreio)</v>
      </c>
    </row>
    <row r="22" spans="1:25" ht="15" customHeight="1" x14ac:dyDescent="0.3">
      <c r="A22" s="10" t="s">
        <v>195</v>
      </c>
      <c r="B22" s="11">
        <v>45913</v>
      </c>
      <c r="C22" s="10" t="s">
        <v>187</v>
      </c>
      <c r="D22" s="10" t="s">
        <v>155</v>
      </c>
      <c r="E22" s="10" t="s">
        <v>135</v>
      </c>
      <c r="F22" s="10" t="s">
        <v>128</v>
      </c>
      <c r="G22" s="10" t="s">
        <v>104</v>
      </c>
      <c r="H22" s="10" t="s">
        <v>196</v>
      </c>
      <c r="I22" s="10" t="s">
        <v>197</v>
      </c>
      <c r="J22" s="10" t="s">
        <v>198</v>
      </c>
      <c r="K22" s="10" t="s">
        <v>80</v>
      </c>
      <c r="L22" s="10" t="s">
        <v>148</v>
      </c>
      <c r="M22" s="12">
        <v>57</v>
      </c>
      <c r="N22" s="11">
        <v>45915</v>
      </c>
      <c r="O22" s="11">
        <v>45919</v>
      </c>
      <c r="P22" s="10" t="s">
        <v>109</v>
      </c>
      <c r="Q22" s="10" t="s">
        <v>110</v>
      </c>
      <c r="R22" s="10"/>
      <c r="S22" s="11">
        <v>45919</v>
      </c>
      <c r="T22" s="13">
        <v>4</v>
      </c>
      <c r="U22" s="14">
        <v>364.25</v>
      </c>
      <c r="V22" s="15">
        <f t="shared" si="0"/>
        <v>0</v>
      </c>
      <c r="W22" s="15">
        <f t="shared" si="1"/>
        <v>6</v>
      </c>
      <c r="X22" s="16" t="str">
        <f t="shared" si="2"/>
        <v>Fechada</v>
      </c>
      <c r="Y22" s="16" t="str">
        <f t="shared" si="3"/>
        <v>Crítica sem 8D</v>
      </c>
    </row>
    <row r="23" spans="1:25" ht="15" customHeight="1" x14ac:dyDescent="0.3">
      <c r="A23" s="10" t="s">
        <v>199</v>
      </c>
      <c r="B23" s="11">
        <v>45918</v>
      </c>
      <c r="C23" s="10" t="s">
        <v>187</v>
      </c>
      <c r="D23" s="10" t="s">
        <v>134</v>
      </c>
      <c r="E23" s="10" t="s">
        <v>122</v>
      </c>
      <c r="F23" s="10" t="s">
        <v>200</v>
      </c>
      <c r="G23" s="10" t="s">
        <v>104</v>
      </c>
      <c r="H23" s="10" t="s">
        <v>201</v>
      </c>
      <c r="I23" s="10" t="s">
        <v>202</v>
      </c>
      <c r="J23" s="10" t="s">
        <v>203</v>
      </c>
      <c r="K23" s="10" t="s">
        <v>80</v>
      </c>
      <c r="L23" s="10" t="s">
        <v>108</v>
      </c>
      <c r="M23" s="12">
        <v>216</v>
      </c>
      <c r="N23" s="11">
        <v>45921</v>
      </c>
      <c r="O23" s="11">
        <v>45925</v>
      </c>
      <c r="P23" s="10" t="s">
        <v>109</v>
      </c>
      <c r="Q23" s="10" t="s">
        <v>110</v>
      </c>
      <c r="R23" s="10"/>
      <c r="S23" s="11"/>
      <c r="T23" s="13"/>
      <c r="U23" s="14">
        <v>174</v>
      </c>
      <c r="V23" s="15">
        <f t="shared" si="0"/>
        <v>1</v>
      </c>
      <c r="W23" s="15">
        <f t="shared" si="1"/>
        <v>469</v>
      </c>
      <c r="X23" s="16" t="str">
        <f t="shared" si="2"/>
        <v>Atrasada</v>
      </c>
      <c r="Y23" s="16" t="str">
        <f t="shared" si="3"/>
        <v>OK</v>
      </c>
    </row>
    <row r="24" spans="1:25" ht="15" customHeight="1" x14ac:dyDescent="0.3">
      <c r="A24" s="10" t="s">
        <v>204</v>
      </c>
      <c r="B24" s="11">
        <v>45921</v>
      </c>
      <c r="C24" s="10" t="s">
        <v>187</v>
      </c>
      <c r="D24" s="10" t="s">
        <v>155</v>
      </c>
      <c r="E24" s="10" t="s">
        <v>135</v>
      </c>
      <c r="F24" s="10" t="s">
        <v>205</v>
      </c>
      <c r="G24" s="10" t="s">
        <v>152</v>
      </c>
      <c r="H24" s="10" t="s">
        <v>206</v>
      </c>
      <c r="I24" s="10" t="s">
        <v>207</v>
      </c>
      <c r="J24" s="10" t="s">
        <v>208</v>
      </c>
      <c r="K24" s="10" t="s">
        <v>80</v>
      </c>
      <c r="L24" s="10" t="s">
        <v>108</v>
      </c>
      <c r="M24" s="12">
        <v>26</v>
      </c>
      <c r="N24" s="11">
        <v>45922</v>
      </c>
      <c r="O24" s="11">
        <v>45930</v>
      </c>
      <c r="P24" s="10" t="s">
        <v>109</v>
      </c>
      <c r="Q24" s="10" t="s">
        <v>110</v>
      </c>
      <c r="R24" s="10"/>
      <c r="S24" s="11">
        <v>45938</v>
      </c>
      <c r="T24" s="13">
        <v>4</v>
      </c>
      <c r="U24" s="14">
        <v>126.5</v>
      </c>
      <c r="V24" s="15">
        <f t="shared" si="0"/>
        <v>0</v>
      </c>
      <c r="W24" s="15">
        <f t="shared" si="1"/>
        <v>17</v>
      </c>
      <c r="X24" s="16" t="str">
        <f t="shared" si="2"/>
        <v>Fechada</v>
      </c>
      <c r="Y24" s="16" t="str">
        <f t="shared" si="3"/>
        <v>OK</v>
      </c>
    </row>
    <row r="25" spans="1:25" ht="15" customHeight="1" x14ac:dyDescent="0.3">
      <c r="A25" s="10" t="s">
        <v>209</v>
      </c>
      <c r="B25" s="11">
        <v>45921</v>
      </c>
      <c r="C25" s="10" t="s">
        <v>187</v>
      </c>
      <c r="D25" s="10" t="s">
        <v>210</v>
      </c>
      <c r="E25" s="10" t="s">
        <v>135</v>
      </c>
      <c r="F25" s="10" t="s">
        <v>211</v>
      </c>
      <c r="G25" s="10" t="s">
        <v>152</v>
      </c>
      <c r="H25" s="10" t="s">
        <v>212</v>
      </c>
      <c r="I25" s="10" t="s">
        <v>213</v>
      </c>
      <c r="J25" s="10" t="s">
        <v>131</v>
      </c>
      <c r="K25" s="10" t="s">
        <v>118</v>
      </c>
      <c r="L25" s="10" t="s">
        <v>148</v>
      </c>
      <c r="M25" s="12">
        <v>14</v>
      </c>
      <c r="N25" s="11">
        <v>45925</v>
      </c>
      <c r="O25" s="11">
        <v>45930</v>
      </c>
      <c r="P25" s="10" t="s">
        <v>109</v>
      </c>
      <c r="Q25" s="10" t="s">
        <v>119</v>
      </c>
      <c r="R25" s="10"/>
      <c r="S25" s="11">
        <v>45940</v>
      </c>
      <c r="T25" s="13">
        <v>4</v>
      </c>
      <c r="U25" s="14">
        <v>353.5</v>
      </c>
      <c r="V25" s="15">
        <f t="shared" si="0"/>
        <v>3</v>
      </c>
      <c r="W25" s="15">
        <f t="shared" si="1"/>
        <v>19</v>
      </c>
      <c r="X25" s="16" t="str">
        <f t="shared" si="2"/>
        <v>Fechada</v>
      </c>
      <c r="Y25" s="16" t="str">
        <f t="shared" si="3"/>
        <v>Acusação tardia</v>
      </c>
    </row>
    <row r="26" spans="1:25" ht="15" customHeight="1" x14ac:dyDescent="0.3">
      <c r="A26" s="10" t="s">
        <v>214</v>
      </c>
      <c r="B26" s="11">
        <v>45925</v>
      </c>
      <c r="C26" s="10" t="s">
        <v>187</v>
      </c>
      <c r="D26" s="10" t="s">
        <v>121</v>
      </c>
      <c r="E26" s="10" t="s">
        <v>122</v>
      </c>
      <c r="F26" s="10" t="s">
        <v>215</v>
      </c>
      <c r="G26" s="10" t="s">
        <v>104</v>
      </c>
      <c r="H26" s="10" t="s">
        <v>216</v>
      </c>
      <c r="I26" s="10" t="s">
        <v>217</v>
      </c>
      <c r="J26" s="10" t="s">
        <v>191</v>
      </c>
      <c r="K26" s="10" t="s">
        <v>118</v>
      </c>
      <c r="L26" s="10" t="s">
        <v>148</v>
      </c>
      <c r="M26" s="12">
        <v>28</v>
      </c>
      <c r="N26" s="11">
        <v>45928</v>
      </c>
      <c r="O26" s="11">
        <v>45930</v>
      </c>
      <c r="P26" s="10" t="s">
        <v>109</v>
      </c>
      <c r="Q26" s="10" t="s">
        <v>119</v>
      </c>
      <c r="R26" s="10"/>
      <c r="S26" s="11">
        <v>45931</v>
      </c>
      <c r="T26" s="13">
        <v>3</v>
      </c>
      <c r="U26" s="14">
        <v>357</v>
      </c>
      <c r="V26" s="15">
        <f t="shared" si="0"/>
        <v>1</v>
      </c>
      <c r="W26" s="15">
        <f t="shared" si="1"/>
        <v>6</v>
      </c>
      <c r="X26" s="16" t="str">
        <f t="shared" si="2"/>
        <v>Fechada</v>
      </c>
      <c r="Y26" s="16" t="str">
        <f t="shared" si="3"/>
        <v>Crítica sem 8D</v>
      </c>
    </row>
    <row r="27" spans="1:25" ht="15" customHeight="1" x14ac:dyDescent="0.3">
      <c r="A27" s="10" t="s">
        <v>218</v>
      </c>
      <c r="B27" s="11">
        <v>45927</v>
      </c>
      <c r="C27" s="10" t="s">
        <v>187</v>
      </c>
      <c r="D27" s="10" t="s">
        <v>219</v>
      </c>
      <c r="E27" s="10" t="s">
        <v>102</v>
      </c>
      <c r="F27" s="10" t="s">
        <v>103</v>
      </c>
      <c r="G27" s="10" t="s">
        <v>104</v>
      </c>
      <c r="H27" s="10" t="s">
        <v>220</v>
      </c>
      <c r="I27" s="10" t="s">
        <v>221</v>
      </c>
      <c r="J27" s="10" t="s">
        <v>107</v>
      </c>
      <c r="K27" s="10" t="s">
        <v>80</v>
      </c>
      <c r="L27" s="10" t="s">
        <v>108</v>
      </c>
      <c r="M27" s="12">
        <v>53</v>
      </c>
      <c r="N27" s="11">
        <v>45928</v>
      </c>
      <c r="O27" s="11">
        <v>45936</v>
      </c>
      <c r="P27" s="10" t="s">
        <v>109</v>
      </c>
      <c r="Q27" s="10" t="s">
        <v>110</v>
      </c>
      <c r="R27" s="10"/>
      <c r="S27" s="11"/>
      <c r="T27" s="13"/>
      <c r="U27" s="14">
        <v>133.25</v>
      </c>
      <c r="V27" s="15">
        <f t="shared" si="0"/>
        <v>-1</v>
      </c>
      <c r="W27" s="15">
        <f t="shared" si="1"/>
        <v>460</v>
      </c>
      <c r="X27" s="16" t="str">
        <f t="shared" si="2"/>
        <v>Atrasada</v>
      </c>
      <c r="Y27" s="16" t="str">
        <f t="shared" si="3"/>
        <v>OK</v>
      </c>
    </row>
    <row r="28" spans="1:25" ht="15" customHeight="1" x14ac:dyDescent="0.3">
      <c r="A28" s="10" t="s">
        <v>222</v>
      </c>
      <c r="B28" s="11">
        <v>45927</v>
      </c>
      <c r="C28" s="10" t="s">
        <v>187</v>
      </c>
      <c r="D28" s="10" t="s">
        <v>144</v>
      </c>
      <c r="E28" s="10" t="s">
        <v>102</v>
      </c>
      <c r="F28" s="10" t="s">
        <v>223</v>
      </c>
      <c r="G28" s="10" t="s">
        <v>104</v>
      </c>
      <c r="H28" s="10" t="s">
        <v>224</v>
      </c>
      <c r="I28" s="10" t="s">
        <v>225</v>
      </c>
      <c r="J28" s="10" t="s">
        <v>198</v>
      </c>
      <c r="K28" s="10" t="s">
        <v>80</v>
      </c>
      <c r="L28" s="10" t="s">
        <v>148</v>
      </c>
      <c r="M28" s="12">
        <v>25</v>
      </c>
      <c r="N28" s="11">
        <v>45927</v>
      </c>
      <c r="O28" s="11">
        <v>45934</v>
      </c>
      <c r="P28" s="10" t="s">
        <v>109</v>
      </c>
      <c r="Q28" s="10" t="s">
        <v>110</v>
      </c>
      <c r="R28" s="10"/>
      <c r="S28" s="11">
        <v>45937</v>
      </c>
      <c r="T28" s="13">
        <v>4</v>
      </c>
      <c r="U28" s="14">
        <v>356.25</v>
      </c>
      <c r="V28" s="15">
        <f t="shared" si="0"/>
        <v>-1</v>
      </c>
      <c r="W28" s="15">
        <f t="shared" si="1"/>
        <v>10</v>
      </c>
      <c r="X28" s="16" t="str">
        <f t="shared" si="2"/>
        <v>Fechada</v>
      </c>
      <c r="Y28" s="16" t="str">
        <f t="shared" si="3"/>
        <v>Crítica sem 8D</v>
      </c>
    </row>
    <row r="29" spans="1:25" ht="15" customHeight="1" x14ac:dyDescent="0.3">
      <c r="A29" s="10" t="s">
        <v>226</v>
      </c>
      <c r="B29" s="11">
        <v>45932</v>
      </c>
      <c r="C29" s="10" t="s">
        <v>227</v>
      </c>
      <c r="D29" s="10" t="s">
        <v>113</v>
      </c>
      <c r="E29" s="10" t="s">
        <v>102</v>
      </c>
      <c r="F29" s="10" t="s">
        <v>228</v>
      </c>
      <c r="G29" s="10" t="s">
        <v>152</v>
      </c>
      <c r="H29" s="10" t="s">
        <v>229</v>
      </c>
      <c r="I29" s="10" t="s">
        <v>230</v>
      </c>
      <c r="J29" s="10" t="s">
        <v>159</v>
      </c>
      <c r="K29" s="10" t="s">
        <v>80</v>
      </c>
      <c r="L29" s="10" t="s">
        <v>148</v>
      </c>
      <c r="M29" s="12">
        <v>9</v>
      </c>
      <c r="N29" s="11">
        <v>45933</v>
      </c>
      <c r="O29" s="11">
        <v>45936</v>
      </c>
      <c r="P29" s="10" t="s">
        <v>109</v>
      </c>
      <c r="Q29" s="10" t="s">
        <v>110</v>
      </c>
      <c r="R29" s="10"/>
      <c r="S29" s="11">
        <v>45962</v>
      </c>
      <c r="T29" s="13">
        <v>2</v>
      </c>
      <c r="U29" s="14">
        <v>352.25</v>
      </c>
      <c r="V29" s="15">
        <f t="shared" si="0"/>
        <v>1</v>
      </c>
      <c r="W29" s="15">
        <f t="shared" si="1"/>
        <v>30</v>
      </c>
      <c r="X29" s="16" t="str">
        <f t="shared" si="2"/>
        <v>Fechada</v>
      </c>
      <c r="Y29" s="16" t="str">
        <f t="shared" si="3"/>
        <v>Crítica sem 8D</v>
      </c>
    </row>
    <row r="30" spans="1:25" ht="15" customHeight="1" x14ac:dyDescent="0.3">
      <c r="A30" s="10" t="s">
        <v>231</v>
      </c>
      <c r="B30" s="11">
        <v>45934</v>
      </c>
      <c r="C30" s="10" t="s">
        <v>227</v>
      </c>
      <c r="D30" s="10" t="s">
        <v>210</v>
      </c>
      <c r="E30" s="10" t="s">
        <v>135</v>
      </c>
      <c r="F30" s="10" t="s">
        <v>232</v>
      </c>
      <c r="G30" s="10" t="s">
        <v>152</v>
      </c>
      <c r="H30" s="10" t="s">
        <v>233</v>
      </c>
      <c r="I30" s="10" t="s">
        <v>234</v>
      </c>
      <c r="J30" s="10" t="s">
        <v>131</v>
      </c>
      <c r="K30" s="10" t="s">
        <v>118</v>
      </c>
      <c r="L30" s="10" t="s">
        <v>148</v>
      </c>
      <c r="M30" s="12">
        <v>2</v>
      </c>
      <c r="N30" s="11">
        <v>45935</v>
      </c>
      <c r="O30" s="11">
        <v>45943</v>
      </c>
      <c r="P30" s="10" t="s">
        <v>109</v>
      </c>
      <c r="Q30" s="10" t="s">
        <v>119</v>
      </c>
      <c r="R30" s="10"/>
      <c r="S30" s="11">
        <v>45967</v>
      </c>
      <c r="T30" s="13">
        <v>2</v>
      </c>
      <c r="U30" s="14">
        <v>350.5</v>
      </c>
      <c r="V30" s="15">
        <f t="shared" si="0"/>
        <v>-1</v>
      </c>
      <c r="W30" s="15">
        <f t="shared" si="1"/>
        <v>33</v>
      </c>
      <c r="X30" s="16" t="str">
        <f t="shared" si="2"/>
        <v>Fechada</v>
      </c>
      <c r="Y30" s="16" t="str">
        <f t="shared" si="3"/>
        <v>Crítica sem 8D</v>
      </c>
    </row>
    <row r="31" spans="1:25" ht="15" customHeight="1" x14ac:dyDescent="0.3">
      <c r="A31" s="10" t="s">
        <v>235</v>
      </c>
      <c r="B31" s="11">
        <v>45938</v>
      </c>
      <c r="C31" s="10" t="s">
        <v>227</v>
      </c>
      <c r="D31" s="10" t="s">
        <v>113</v>
      </c>
      <c r="E31" s="10" t="s">
        <v>102</v>
      </c>
      <c r="F31" s="10" t="s">
        <v>236</v>
      </c>
      <c r="G31" s="10" t="s">
        <v>152</v>
      </c>
      <c r="H31" s="10" t="s">
        <v>237</v>
      </c>
      <c r="I31" s="10" t="s">
        <v>238</v>
      </c>
      <c r="J31" s="10" t="s">
        <v>177</v>
      </c>
      <c r="K31" s="10" t="s">
        <v>80</v>
      </c>
      <c r="L31" s="10" t="s">
        <v>132</v>
      </c>
      <c r="M31" s="12">
        <v>44</v>
      </c>
      <c r="N31" s="11">
        <v>45940</v>
      </c>
      <c r="O31" s="11">
        <v>45947</v>
      </c>
      <c r="P31" s="10" t="s">
        <v>109</v>
      </c>
      <c r="Q31" s="10" t="s">
        <v>110</v>
      </c>
      <c r="R31" s="10"/>
      <c r="S31" s="11">
        <v>45958</v>
      </c>
      <c r="T31" s="13">
        <v>3</v>
      </c>
      <c r="U31" s="14">
        <v>51</v>
      </c>
      <c r="V31" s="15">
        <f t="shared" si="0"/>
        <v>2</v>
      </c>
      <c r="W31" s="15">
        <f t="shared" si="1"/>
        <v>20</v>
      </c>
      <c r="X31" s="16" t="str">
        <f t="shared" si="2"/>
        <v>Fechada</v>
      </c>
      <c r="Y31" s="16" t="str">
        <f t="shared" si="3"/>
        <v>OK</v>
      </c>
    </row>
    <row r="32" spans="1:25" ht="15" customHeight="1" x14ac:dyDescent="0.3">
      <c r="A32" s="10" t="s">
        <v>239</v>
      </c>
      <c r="B32" s="11">
        <v>45938</v>
      </c>
      <c r="C32" s="10" t="s">
        <v>227</v>
      </c>
      <c r="D32" s="10" t="s">
        <v>210</v>
      </c>
      <c r="E32" s="10" t="s">
        <v>122</v>
      </c>
      <c r="F32" s="10" t="s">
        <v>103</v>
      </c>
      <c r="G32" s="10" t="s">
        <v>104</v>
      </c>
      <c r="H32" s="10" t="s">
        <v>240</v>
      </c>
      <c r="I32" s="10" t="s">
        <v>241</v>
      </c>
      <c r="J32" s="10" t="s">
        <v>131</v>
      </c>
      <c r="K32" s="10" t="s">
        <v>118</v>
      </c>
      <c r="L32" s="10" t="s">
        <v>132</v>
      </c>
      <c r="M32" s="12">
        <v>59</v>
      </c>
      <c r="N32" s="11">
        <v>45939</v>
      </c>
      <c r="O32" s="11">
        <v>45942</v>
      </c>
      <c r="P32" s="10" t="s">
        <v>109</v>
      </c>
      <c r="Q32" s="10" t="s">
        <v>119</v>
      </c>
      <c r="R32" s="10"/>
      <c r="S32" s="11">
        <v>45942</v>
      </c>
      <c r="T32" s="13">
        <v>4</v>
      </c>
      <c r="U32" s="14">
        <v>54.75</v>
      </c>
      <c r="V32" s="15">
        <f t="shared" si="0"/>
        <v>1</v>
      </c>
      <c r="W32" s="15">
        <f t="shared" si="1"/>
        <v>4</v>
      </c>
      <c r="X32" s="16" t="str">
        <f t="shared" si="2"/>
        <v>Fechada</v>
      </c>
      <c r="Y32" s="16" t="str">
        <f t="shared" si="3"/>
        <v>OK</v>
      </c>
    </row>
    <row r="33" spans="1:25" ht="15" customHeight="1" x14ac:dyDescent="0.3">
      <c r="A33" s="10" t="s">
        <v>242</v>
      </c>
      <c r="B33" s="11">
        <v>45939</v>
      </c>
      <c r="C33" s="10" t="s">
        <v>227</v>
      </c>
      <c r="D33" s="10" t="s">
        <v>134</v>
      </c>
      <c r="E33" s="10" t="s">
        <v>102</v>
      </c>
      <c r="F33" s="10" t="s">
        <v>243</v>
      </c>
      <c r="G33" s="10" t="s">
        <v>152</v>
      </c>
      <c r="H33" s="10" t="s">
        <v>244</v>
      </c>
      <c r="I33" s="10" t="s">
        <v>245</v>
      </c>
      <c r="J33" s="10" t="s">
        <v>131</v>
      </c>
      <c r="K33" s="10" t="s">
        <v>118</v>
      </c>
      <c r="L33" s="10" t="s">
        <v>148</v>
      </c>
      <c r="M33" s="12">
        <v>18</v>
      </c>
      <c r="N33" s="11">
        <v>45943</v>
      </c>
      <c r="O33" s="11">
        <v>45944</v>
      </c>
      <c r="P33" s="10" t="s">
        <v>109</v>
      </c>
      <c r="Q33" s="10" t="s">
        <v>119</v>
      </c>
      <c r="R33" s="10"/>
      <c r="S33" s="11">
        <v>45958</v>
      </c>
      <c r="T33" s="13">
        <v>5</v>
      </c>
      <c r="U33" s="14">
        <v>354.5</v>
      </c>
      <c r="V33" s="15">
        <f t="shared" si="0"/>
        <v>2</v>
      </c>
      <c r="W33" s="15">
        <f t="shared" si="1"/>
        <v>19</v>
      </c>
      <c r="X33" s="16" t="str">
        <f t="shared" si="2"/>
        <v>Fechada</v>
      </c>
      <c r="Y33" s="16" t="str">
        <f t="shared" si="3"/>
        <v>Crítica sem 8D</v>
      </c>
    </row>
    <row r="34" spans="1:25" ht="15" customHeight="1" x14ac:dyDescent="0.3">
      <c r="A34" s="10" t="s">
        <v>246</v>
      </c>
      <c r="B34" s="11">
        <v>45940</v>
      </c>
      <c r="C34" s="10" t="s">
        <v>227</v>
      </c>
      <c r="D34" s="10" t="s">
        <v>247</v>
      </c>
      <c r="E34" s="10" t="s">
        <v>135</v>
      </c>
      <c r="F34" s="10" t="s">
        <v>174</v>
      </c>
      <c r="G34" s="10" t="s">
        <v>152</v>
      </c>
      <c r="H34" s="10" t="s">
        <v>248</v>
      </c>
      <c r="I34" s="10" t="s">
        <v>249</v>
      </c>
      <c r="J34" s="10" t="s">
        <v>131</v>
      </c>
      <c r="K34" s="10" t="s">
        <v>118</v>
      </c>
      <c r="L34" s="10" t="s">
        <v>132</v>
      </c>
      <c r="M34" s="12">
        <v>127</v>
      </c>
      <c r="N34" s="11">
        <v>45944</v>
      </c>
      <c r="O34" s="11">
        <v>45946</v>
      </c>
      <c r="P34" s="10" t="s">
        <v>250</v>
      </c>
      <c r="Q34" s="10" t="s">
        <v>251</v>
      </c>
      <c r="R34" s="10"/>
      <c r="S34" s="11">
        <v>45961</v>
      </c>
      <c r="T34" s="13">
        <v>3</v>
      </c>
      <c r="U34" s="14">
        <v>71.75</v>
      </c>
      <c r="V34" s="15">
        <f t="shared" si="0"/>
        <v>2</v>
      </c>
      <c r="W34" s="15">
        <f t="shared" si="1"/>
        <v>21</v>
      </c>
      <c r="X34" s="16" t="str">
        <f t="shared" si="2"/>
        <v>Fechada</v>
      </c>
      <c r="Y34" s="16" t="str">
        <f t="shared" si="3"/>
        <v>OK</v>
      </c>
    </row>
    <row r="35" spans="1:25" ht="15" customHeight="1" x14ac:dyDescent="0.3">
      <c r="A35" s="10" t="s">
        <v>252</v>
      </c>
      <c r="B35" s="11">
        <v>45943</v>
      </c>
      <c r="C35" s="10" t="s">
        <v>227</v>
      </c>
      <c r="D35" s="10" t="s">
        <v>101</v>
      </c>
      <c r="E35" s="10" t="s">
        <v>102</v>
      </c>
      <c r="F35" s="10" t="s">
        <v>253</v>
      </c>
      <c r="G35" s="10" t="s">
        <v>152</v>
      </c>
      <c r="H35" s="10" t="s">
        <v>254</v>
      </c>
      <c r="I35" s="10" t="s">
        <v>255</v>
      </c>
      <c r="J35" s="10" t="s">
        <v>177</v>
      </c>
      <c r="K35" s="10" t="s">
        <v>80</v>
      </c>
      <c r="L35" s="10" t="s">
        <v>148</v>
      </c>
      <c r="M35" s="12">
        <v>3</v>
      </c>
      <c r="N35" s="11">
        <v>45945</v>
      </c>
      <c r="O35" s="11">
        <v>45946</v>
      </c>
      <c r="P35" s="10" t="s">
        <v>109</v>
      </c>
      <c r="Q35" s="10" t="s">
        <v>110</v>
      </c>
      <c r="R35" s="10"/>
      <c r="S35" s="11"/>
      <c r="T35" s="13"/>
      <c r="U35" s="14">
        <v>350.75</v>
      </c>
      <c r="V35" s="15">
        <f t="shared" si="0"/>
        <v>2</v>
      </c>
      <c r="W35" s="15">
        <f t="shared" si="1"/>
        <v>444</v>
      </c>
      <c r="X35" s="16" t="str">
        <f t="shared" si="2"/>
        <v>Atrasada</v>
      </c>
      <c r="Y35" s="16" t="str">
        <f t="shared" si="3"/>
        <v>Crítica sem 8D</v>
      </c>
    </row>
    <row r="36" spans="1:25" ht="15" customHeight="1" x14ac:dyDescent="0.3">
      <c r="A36" s="10" t="s">
        <v>256</v>
      </c>
      <c r="B36" s="11">
        <v>45947</v>
      </c>
      <c r="C36" s="10" t="s">
        <v>227</v>
      </c>
      <c r="D36" s="10" t="s">
        <v>101</v>
      </c>
      <c r="E36" s="10" t="s">
        <v>102</v>
      </c>
      <c r="F36" s="10" t="s">
        <v>228</v>
      </c>
      <c r="G36" s="10" t="s">
        <v>152</v>
      </c>
      <c r="H36" s="10" t="s">
        <v>257</v>
      </c>
      <c r="I36" s="10" t="s">
        <v>258</v>
      </c>
      <c r="J36" s="10" t="s">
        <v>191</v>
      </c>
      <c r="K36" s="10" t="s">
        <v>118</v>
      </c>
      <c r="L36" s="10" t="s">
        <v>108</v>
      </c>
      <c r="M36" s="12">
        <v>57</v>
      </c>
      <c r="N36" s="11">
        <v>45949</v>
      </c>
      <c r="O36" s="11">
        <v>45950</v>
      </c>
      <c r="P36" s="10" t="s">
        <v>109</v>
      </c>
      <c r="Q36" s="10" t="s">
        <v>119</v>
      </c>
      <c r="R36" s="10"/>
      <c r="S36" s="11">
        <v>45963</v>
      </c>
      <c r="T36" s="13">
        <v>2</v>
      </c>
      <c r="U36" s="14">
        <v>134.25</v>
      </c>
      <c r="V36" s="15">
        <f t="shared" si="0"/>
        <v>0</v>
      </c>
      <c r="W36" s="15">
        <f t="shared" si="1"/>
        <v>16</v>
      </c>
      <c r="X36" s="16" t="str">
        <f t="shared" si="2"/>
        <v>Fechada</v>
      </c>
      <c r="Y36" s="16" t="str">
        <f t="shared" si="3"/>
        <v>OK</v>
      </c>
    </row>
    <row r="37" spans="1:25" ht="15" customHeight="1" x14ac:dyDescent="0.3">
      <c r="A37" s="10" t="s">
        <v>259</v>
      </c>
      <c r="B37" s="11">
        <v>45951</v>
      </c>
      <c r="C37" s="10" t="s">
        <v>227</v>
      </c>
      <c r="D37" s="10" t="s">
        <v>155</v>
      </c>
      <c r="E37" s="10" t="s">
        <v>122</v>
      </c>
      <c r="F37" s="10" t="s">
        <v>260</v>
      </c>
      <c r="G37" s="10" t="s">
        <v>152</v>
      </c>
      <c r="H37" s="10" t="s">
        <v>261</v>
      </c>
      <c r="I37" s="10" t="s">
        <v>262</v>
      </c>
      <c r="J37" s="10" t="s">
        <v>117</v>
      </c>
      <c r="K37" s="10" t="s">
        <v>118</v>
      </c>
      <c r="L37" s="10" t="s">
        <v>132</v>
      </c>
      <c r="M37" s="12">
        <v>36</v>
      </c>
      <c r="N37" s="11">
        <v>45952</v>
      </c>
      <c r="O37" s="11">
        <v>45960</v>
      </c>
      <c r="P37" s="10" t="s">
        <v>109</v>
      </c>
      <c r="Q37" s="10" t="s">
        <v>119</v>
      </c>
      <c r="R37" s="10"/>
      <c r="S37" s="11">
        <v>45962</v>
      </c>
      <c r="T37" s="13">
        <v>4</v>
      </c>
      <c r="U37" s="14">
        <v>49</v>
      </c>
      <c r="V37" s="15">
        <f t="shared" si="0"/>
        <v>1</v>
      </c>
      <c r="W37" s="15">
        <f t="shared" si="1"/>
        <v>11</v>
      </c>
      <c r="X37" s="16" t="str">
        <f t="shared" si="2"/>
        <v>Fechada</v>
      </c>
      <c r="Y37" s="16" t="str">
        <f t="shared" si="3"/>
        <v>OK</v>
      </c>
    </row>
    <row r="38" spans="1:25" ht="15" customHeight="1" x14ac:dyDescent="0.3">
      <c r="A38" s="10" t="s">
        <v>263</v>
      </c>
      <c r="B38" s="11">
        <v>45955</v>
      </c>
      <c r="C38" s="10" t="s">
        <v>227</v>
      </c>
      <c r="D38" s="10" t="s">
        <v>144</v>
      </c>
      <c r="E38" s="10" t="s">
        <v>122</v>
      </c>
      <c r="F38" s="10" t="s">
        <v>193</v>
      </c>
      <c r="G38" s="10" t="s">
        <v>152</v>
      </c>
      <c r="H38" s="10" t="s">
        <v>264</v>
      </c>
      <c r="I38" s="10" t="s">
        <v>265</v>
      </c>
      <c r="J38" s="10" t="s">
        <v>191</v>
      </c>
      <c r="K38" s="10" t="s">
        <v>118</v>
      </c>
      <c r="L38" s="10" t="s">
        <v>108</v>
      </c>
      <c r="M38" s="12">
        <v>12</v>
      </c>
      <c r="N38" s="11">
        <v>45957</v>
      </c>
      <c r="O38" s="11">
        <v>45960</v>
      </c>
      <c r="P38" s="10" t="s">
        <v>109</v>
      </c>
      <c r="Q38" s="10" t="s">
        <v>119</v>
      </c>
      <c r="R38" s="10"/>
      <c r="S38" s="11">
        <v>45972</v>
      </c>
      <c r="T38" s="13">
        <v>4</v>
      </c>
      <c r="U38" s="14">
        <v>123</v>
      </c>
      <c r="V38" s="15">
        <f t="shared" si="0"/>
        <v>0</v>
      </c>
      <c r="W38" s="15">
        <f t="shared" si="1"/>
        <v>17</v>
      </c>
      <c r="X38" s="16" t="str">
        <f t="shared" si="2"/>
        <v>Fechada</v>
      </c>
      <c r="Y38" s="16" t="str">
        <f t="shared" si="3"/>
        <v>OK</v>
      </c>
    </row>
    <row r="39" spans="1:25" ht="15" customHeight="1" x14ac:dyDescent="0.3">
      <c r="A39" s="10" t="s">
        <v>266</v>
      </c>
      <c r="B39" s="11">
        <v>45957</v>
      </c>
      <c r="C39" s="10" t="s">
        <v>227</v>
      </c>
      <c r="D39" s="10" t="s">
        <v>267</v>
      </c>
      <c r="E39" s="10" t="s">
        <v>122</v>
      </c>
      <c r="F39" s="10" t="s">
        <v>268</v>
      </c>
      <c r="G39" s="10" t="s">
        <v>104</v>
      </c>
      <c r="H39" s="10" t="s">
        <v>269</v>
      </c>
      <c r="I39" s="10" t="s">
        <v>270</v>
      </c>
      <c r="J39" s="10" t="s">
        <v>203</v>
      </c>
      <c r="K39" s="10" t="s">
        <v>80</v>
      </c>
      <c r="L39" s="10" t="s">
        <v>148</v>
      </c>
      <c r="M39" s="12">
        <v>40</v>
      </c>
      <c r="N39" s="11">
        <v>45958</v>
      </c>
      <c r="O39" s="11">
        <v>45961</v>
      </c>
      <c r="P39" s="10" t="s">
        <v>109</v>
      </c>
      <c r="Q39" s="10" t="s">
        <v>110</v>
      </c>
      <c r="R39" s="10"/>
      <c r="S39" s="11">
        <v>45990</v>
      </c>
      <c r="T39" s="13">
        <v>3</v>
      </c>
      <c r="U39" s="14">
        <v>360</v>
      </c>
      <c r="V39" s="15">
        <f t="shared" si="0"/>
        <v>1</v>
      </c>
      <c r="W39" s="15">
        <f t="shared" si="1"/>
        <v>33</v>
      </c>
      <c r="X39" s="16" t="str">
        <f t="shared" si="2"/>
        <v>Fechada</v>
      </c>
      <c r="Y39" s="16" t="str">
        <f t="shared" si="3"/>
        <v>Crítica sem 8D</v>
      </c>
    </row>
    <row r="40" spans="1:25" ht="15" customHeight="1" x14ac:dyDescent="0.3">
      <c r="A40" s="10" t="s">
        <v>271</v>
      </c>
      <c r="B40" s="11">
        <v>45958</v>
      </c>
      <c r="C40" s="10" t="s">
        <v>227</v>
      </c>
      <c r="D40" s="10" t="s">
        <v>155</v>
      </c>
      <c r="E40" s="10" t="s">
        <v>122</v>
      </c>
      <c r="F40" s="10" t="s">
        <v>103</v>
      </c>
      <c r="G40" s="10" t="s">
        <v>104</v>
      </c>
      <c r="H40" s="10" t="s">
        <v>272</v>
      </c>
      <c r="I40" s="10" t="s">
        <v>273</v>
      </c>
      <c r="J40" s="10" t="s">
        <v>126</v>
      </c>
      <c r="K40" s="10" t="s">
        <v>80</v>
      </c>
      <c r="L40" s="10" t="s">
        <v>132</v>
      </c>
      <c r="M40" s="12">
        <v>6</v>
      </c>
      <c r="N40" s="11">
        <v>45960</v>
      </c>
      <c r="O40" s="11">
        <v>45968</v>
      </c>
      <c r="P40" s="10" t="s">
        <v>109</v>
      </c>
      <c r="Q40" s="10" t="s">
        <v>110</v>
      </c>
      <c r="R40" s="10"/>
      <c r="S40" s="11">
        <v>45974</v>
      </c>
      <c r="T40" s="13">
        <v>4</v>
      </c>
      <c r="U40" s="14">
        <v>41.5</v>
      </c>
      <c r="V40" s="15">
        <f t="shared" si="0"/>
        <v>2</v>
      </c>
      <c r="W40" s="15">
        <f t="shared" si="1"/>
        <v>16</v>
      </c>
      <c r="X40" s="16" t="str">
        <f t="shared" si="2"/>
        <v>Fechada</v>
      </c>
      <c r="Y40" s="16" t="str">
        <f t="shared" si="3"/>
        <v>OK</v>
      </c>
    </row>
    <row r="41" spans="1:25" ht="15" customHeight="1" x14ac:dyDescent="0.3">
      <c r="A41" s="10" t="s">
        <v>274</v>
      </c>
      <c r="B41" s="11">
        <v>45961</v>
      </c>
      <c r="C41" s="10" t="s">
        <v>227</v>
      </c>
      <c r="D41" s="10" t="s">
        <v>101</v>
      </c>
      <c r="E41" s="10" t="s">
        <v>102</v>
      </c>
      <c r="F41" s="10" t="s">
        <v>275</v>
      </c>
      <c r="G41" s="10" t="s">
        <v>152</v>
      </c>
      <c r="H41" s="10" t="s">
        <v>276</v>
      </c>
      <c r="I41" s="10" t="s">
        <v>277</v>
      </c>
      <c r="J41" s="10" t="s">
        <v>159</v>
      </c>
      <c r="K41" s="10" t="s">
        <v>80</v>
      </c>
      <c r="L41" s="10" t="s">
        <v>132</v>
      </c>
      <c r="M41" s="12">
        <v>18</v>
      </c>
      <c r="N41" s="11">
        <v>45964</v>
      </c>
      <c r="O41" s="11">
        <v>45966</v>
      </c>
      <c r="P41" s="10" t="s">
        <v>109</v>
      </c>
      <c r="Q41" s="10" t="s">
        <v>110</v>
      </c>
      <c r="R41" s="10"/>
      <c r="S41" s="11">
        <v>45966</v>
      </c>
      <c r="T41" s="13">
        <v>4</v>
      </c>
      <c r="U41" s="14">
        <v>44.5</v>
      </c>
      <c r="V41" s="15">
        <f t="shared" si="0"/>
        <v>1</v>
      </c>
      <c r="W41" s="15">
        <f t="shared" si="1"/>
        <v>5</v>
      </c>
      <c r="X41" s="16" t="str">
        <f t="shared" si="2"/>
        <v>Fechada</v>
      </c>
      <c r="Y41" s="16" t="str">
        <f t="shared" si="3"/>
        <v>OK</v>
      </c>
    </row>
    <row r="42" spans="1:25" ht="15" customHeight="1" x14ac:dyDescent="0.3">
      <c r="A42" s="10" t="s">
        <v>278</v>
      </c>
      <c r="B42" s="11">
        <v>45961</v>
      </c>
      <c r="C42" s="10" t="s">
        <v>227</v>
      </c>
      <c r="D42" s="10" t="s">
        <v>121</v>
      </c>
      <c r="E42" s="10" t="s">
        <v>102</v>
      </c>
      <c r="F42" s="10" t="s">
        <v>279</v>
      </c>
      <c r="G42" s="10" t="s">
        <v>152</v>
      </c>
      <c r="H42" s="10" t="s">
        <v>280</v>
      </c>
      <c r="I42" s="10" t="s">
        <v>281</v>
      </c>
      <c r="J42" s="10" t="s">
        <v>117</v>
      </c>
      <c r="K42" s="10" t="s">
        <v>118</v>
      </c>
      <c r="L42" s="10" t="s">
        <v>108</v>
      </c>
      <c r="M42" s="12">
        <v>8</v>
      </c>
      <c r="N42" s="11">
        <v>45964</v>
      </c>
      <c r="O42" s="11">
        <v>45967</v>
      </c>
      <c r="P42" s="10" t="s">
        <v>109</v>
      </c>
      <c r="Q42" s="10" t="s">
        <v>119</v>
      </c>
      <c r="R42" s="10"/>
      <c r="S42" s="11">
        <v>45985</v>
      </c>
      <c r="T42" s="13">
        <v>5</v>
      </c>
      <c r="U42" s="14">
        <v>122</v>
      </c>
      <c r="V42" s="15">
        <f t="shared" si="0"/>
        <v>1</v>
      </c>
      <c r="W42" s="15">
        <f t="shared" si="1"/>
        <v>24</v>
      </c>
      <c r="X42" s="16" t="str">
        <f t="shared" si="2"/>
        <v>Fechada</v>
      </c>
      <c r="Y42" s="16" t="str">
        <f t="shared" si="3"/>
        <v>OK</v>
      </c>
    </row>
    <row r="43" spans="1:25" ht="15" customHeight="1" x14ac:dyDescent="0.3">
      <c r="A43" s="10" t="s">
        <v>282</v>
      </c>
      <c r="B43" s="11">
        <v>45963</v>
      </c>
      <c r="C43" s="10" t="s">
        <v>283</v>
      </c>
      <c r="D43" s="10" t="s">
        <v>267</v>
      </c>
      <c r="E43" s="10" t="s">
        <v>122</v>
      </c>
      <c r="F43" s="10" t="s">
        <v>284</v>
      </c>
      <c r="G43" s="10" t="s">
        <v>152</v>
      </c>
      <c r="H43" s="10" t="s">
        <v>285</v>
      </c>
      <c r="I43" s="10" t="s">
        <v>286</v>
      </c>
      <c r="J43" s="10" t="s">
        <v>117</v>
      </c>
      <c r="K43" s="10" t="s">
        <v>118</v>
      </c>
      <c r="L43" s="10" t="s">
        <v>132</v>
      </c>
      <c r="M43" s="12">
        <v>102</v>
      </c>
      <c r="N43" s="11">
        <v>45964</v>
      </c>
      <c r="O43" s="11">
        <v>45969</v>
      </c>
      <c r="P43" s="10" t="s">
        <v>109</v>
      </c>
      <c r="Q43" s="10" t="s">
        <v>119</v>
      </c>
      <c r="R43" s="10"/>
      <c r="S43" s="11"/>
      <c r="T43" s="13"/>
      <c r="U43" s="14">
        <v>65.5</v>
      </c>
      <c r="V43" s="15">
        <f t="shared" si="0"/>
        <v>0</v>
      </c>
      <c r="W43" s="15">
        <f t="shared" si="1"/>
        <v>424</v>
      </c>
      <c r="X43" s="16" t="str">
        <f t="shared" si="2"/>
        <v>Atrasada</v>
      </c>
      <c r="Y43" s="16" t="str">
        <f t="shared" si="3"/>
        <v>OK</v>
      </c>
    </row>
    <row r="44" spans="1:25" ht="15" customHeight="1" x14ac:dyDescent="0.3">
      <c r="A44" s="10" t="s">
        <v>287</v>
      </c>
      <c r="B44" s="11">
        <v>45964</v>
      </c>
      <c r="C44" s="10" t="s">
        <v>283</v>
      </c>
      <c r="D44" s="10" t="s">
        <v>182</v>
      </c>
      <c r="E44" s="10" t="s">
        <v>135</v>
      </c>
      <c r="F44" s="10" t="s">
        <v>145</v>
      </c>
      <c r="G44" s="10" t="s">
        <v>104</v>
      </c>
      <c r="H44" s="10" t="s">
        <v>288</v>
      </c>
      <c r="I44" s="10" t="s">
        <v>289</v>
      </c>
      <c r="J44" s="10" t="s">
        <v>117</v>
      </c>
      <c r="K44" s="10" t="s">
        <v>118</v>
      </c>
      <c r="L44" s="10" t="s">
        <v>108</v>
      </c>
      <c r="M44" s="12">
        <v>10</v>
      </c>
      <c r="N44" s="11">
        <v>45965</v>
      </c>
      <c r="O44" s="11">
        <v>45970</v>
      </c>
      <c r="P44" s="10" t="s">
        <v>109</v>
      </c>
      <c r="Q44" s="10" t="s">
        <v>119</v>
      </c>
      <c r="R44" s="10"/>
      <c r="S44" s="11">
        <v>45983</v>
      </c>
      <c r="T44" s="13">
        <v>5</v>
      </c>
      <c r="U44" s="14">
        <v>122.5</v>
      </c>
      <c r="V44" s="15">
        <f t="shared" si="0"/>
        <v>1</v>
      </c>
      <c r="W44" s="15">
        <f t="shared" si="1"/>
        <v>19</v>
      </c>
      <c r="X44" s="16" t="str">
        <f t="shared" si="2"/>
        <v>Fechada</v>
      </c>
      <c r="Y44" s="16" t="str">
        <f t="shared" si="3"/>
        <v>OK</v>
      </c>
    </row>
    <row r="45" spans="1:25" ht="15" customHeight="1" x14ac:dyDescent="0.3">
      <c r="A45" s="10" t="s">
        <v>290</v>
      </c>
      <c r="B45" s="11">
        <v>45964</v>
      </c>
      <c r="C45" s="10" t="s">
        <v>283</v>
      </c>
      <c r="D45" s="10" t="s">
        <v>101</v>
      </c>
      <c r="E45" s="10" t="s">
        <v>122</v>
      </c>
      <c r="F45" s="10" t="s">
        <v>161</v>
      </c>
      <c r="G45" s="10" t="s">
        <v>152</v>
      </c>
      <c r="H45" s="10" t="s">
        <v>291</v>
      </c>
      <c r="I45" s="10" t="s">
        <v>292</v>
      </c>
      <c r="J45" s="10" t="s">
        <v>177</v>
      </c>
      <c r="K45" s="10" t="s">
        <v>80</v>
      </c>
      <c r="L45" s="10" t="s">
        <v>148</v>
      </c>
      <c r="M45" s="12">
        <v>39</v>
      </c>
      <c r="N45" s="11">
        <v>45965</v>
      </c>
      <c r="O45" s="11">
        <v>45967</v>
      </c>
      <c r="P45" s="10" t="s">
        <v>109</v>
      </c>
      <c r="Q45" s="10" t="s">
        <v>110</v>
      </c>
      <c r="R45" s="10"/>
      <c r="S45" s="11">
        <v>45987</v>
      </c>
      <c r="T45" s="13">
        <v>3</v>
      </c>
      <c r="U45" s="14">
        <v>359.75</v>
      </c>
      <c r="V45" s="15">
        <f t="shared" si="0"/>
        <v>1</v>
      </c>
      <c r="W45" s="15">
        <f t="shared" si="1"/>
        <v>23</v>
      </c>
      <c r="X45" s="16" t="str">
        <f t="shared" si="2"/>
        <v>Fechada</v>
      </c>
      <c r="Y45" s="16" t="str">
        <f t="shared" si="3"/>
        <v>Crítica sem 8D</v>
      </c>
    </row>
    <row r="46" spans="1:25" ht="15" customHeight="1" x14ac:dyDescent="0.3">
      <c r="A46" s="10" t="s">
        <v>293</v>
      </c>
      <c r="B46" s="11">
        <v>45966</v>
      </c>
      <c r="C46" s="10" t="s">
        <v>283</v>
      </c>
      <c r="D46" s="10" t="s">
        <v>155</v>
      </c>
      <c r="E46" s="10" t="s">
        <v>102</v>
      </c>
      <c r="F46" s="10" t="s">
        <v>228</v>
      </c>
      <c r="G46" s="10" t="s">
        <v>152</v>
      </c>
      <c r="H46" s="10" t="s">
        <v>294</v>
      </c>
      <c r="I46" s="10" t="s">
        <v>295</v>
      </c>
      <c r="J46" s="10" t="s">
        <v>117</v>
      </c>
      <c r="K46" s="10" t="s">
        <v>118</v>
      </c>
      <c r="L46" s="10" t="s">
        <v>108</v>
      </c>
      <c r="M46" s="12">
        <v>28</v>
      </c>
      <c r="N46" s="11">
        <v>45966</v>
      </c>
      <c r="O46" s="11">
        <v>45970</v>
      </c>
      <c r="P46" s="10" t="s">
        <v>109</v>
      </c>
      <c r="Q46" s="10" t="s">
        <v>119</v>
      </c>
      <c r="R46" s="10"/>
      <c r="S46" s="11"/>
      <c r="T46" s="13"/>
      <c r="U46" s="14">
        <v>127</v>
      </c>
      <c r="V46" s="15">
        <f t="shared" si="0"/>
        <v>0</v>
      </c>
      <c r="W46" s="15">
        <f t="shared" si="1"/>
        <v>421</v>
      </c>
      <c r="X46" s="16" t="str">
        <f t="shared" si="2"/>
        <v>Atrasada</v>
      </c>
      <c r="Y46" s="16" t="str">
        <f t="shared" si="3"/>
        <v>OK</v>
      </c>
    </row>
    <row r="47" spans="1:25" ht="15" customHeight="1" x14ac:dyDescent="0.3">
      <c r="A47" s="10" t="s">
        <v>296</v>
      </c>
      <c r="B47" s="11">
        <v>45971</v>
      </c>
      <c r="C47" s="10" t="s">
        <v>283</v>
      </c>
      <c r="D47" s="10" t="s">
        <v>134</v>
      </c>
      <c r="E47" s="10" t="s">
        <v>122</v>
      </c>
      <c r="F47" s="10" t="s">
        <v>297</v>
      </c>
      <c r="G47" s="10" t="s">
        <v>104</v>
      </c>
      <c r="H47" s="10" t="s">
        <v>298</v>
      </c>
      <c r="I47" s="10" t="s">
        <v>299</v>
      </c>
      <c r="J47" s="10" t="s">
        <v>107</v>
      </c>
      <c r="K47" s="10" t="s">
        <v>80</v>
      </c>
      <c r="L47" s="10" t="s">
        <v>108</v>
      </c>
      <c r="M47" s="12">
        <v>81</v>
      </c>
      <c r="N47" s="11">
        <v>45972</v>
      </c>
      <c r="O47" s="11">
        <v>45976</v>
      </c>
      <c r="P47" s="10" t="s">
        <v>109</v>
      </c>
      <c r="Q47" s="10" t="s">
        <v>110</v>
      </c>
      <c r="R47" s="10"/>
      <c r="S47" s="11">
        <v>46003</v>
      </c>
      <c r="T47" s="13">
        <v>5</v>
      </c>
      <c r="U47" s="14">
        <v>140.25</v>
      </c>
      <c r="V47" s="15">
        <f t="shared" si="0"/>
        <v>1</v>
      </c>
      <c r="W47" s="15">
        <f t="shared" si="1"/>
        <v>32</v>
      </c>
      <c r="X47" s="16" t="str">
        <f t="shared" si="2"/>
        <v>Fechada</v>
      </c>
      <c r="Y47" s="16" t="str">
        <f t="shared" si="3"/>
        <v>OK</v>
      </c>
    </row>
    <row r="48" spans="1:25" ht="15" customHeight="1" x14ac:dyDescent="0.3">
      <c r="A48" s="10" t="s">
        <v>300</v>
      </c>
      <c r="B48" s="11">
        <v>45972</v>
      </c>
      <c r="C48" s="10" t="s">
        <v>283</v>
      </c>
      <c r="D48" s="10" t="s">
        <v>182</v>
      </c>
      <c r="E48" s="10" t="s">
        <v>135</v>
      </c>
      <c r="F48" s="10" t="s">
        <v>301</v>
      </c>
      <c r="G48" s="10" t="s">
        <v>152</v>
      </c>
      <c r="H48" s="10" t="s">
        <v>302</v>
      </c>
      <c r="I48" s="10" t="s">
        <v>303</v>
      </c>
      <c r="J48" s="10" t="s">
        <v>131</v>
      </c>
      <c r="K48" s="10" t="s">
        <v>118</v>
      </c>
      <c r="L48" s="10" t="s">
        <v>108</v>
      </c>
      <c r="M48" s="12">
        <v>31</v>
      </c>
      <c r="N48" s="11">
        <v>45972</v>
      </c>
      <c r="O48" s="11">
        <v>45980</v>
      </c>
      <c r="P48" s="10" t="s">
        <v>109</v>
      </c>
      <c r="Q48" s="10" t="s">
        <v>119</v>
      </c>
      <c r="R48" s="10"/>
      <c r="S48" s="11"/>
      <c r="T48" s="13"/>
      <c r="U48" s="14">
        <v>127.75</v>
      </c>
      <c r="V48" s="15">
        <f t="shared" si="0"/>
        <v>0</v>
      </c>
      <c r="W48" s="15">
        <f t="shared" si="1"/>
        <v>415</v>
      </c>
      <c r="X48" s="16" t="str">
        <f t="shared" si="2"/>
        <v>Atrasada</v>
      </c>
      <c r="Y48" s="16" t="str">
        <f t="shared" si="3"/>
        <v>OK</v>
      </c>
    </row>
    <row r="49" spans="1:25" ht="15" customHeight="1" x14ac:dyDescent="0.3">
      <c r="A49" s="10" t="s">
        <v>304</v>
      </c>
      <c r="B49" s="11">
        <v>45976</v>
      </c>
      <c r="C49" s="10" t="s">
        <v>283</v>
      </c>
      <c r="D49" s="10" t="s">
        <v>113</v>
      </c>
      <c r="E49" s="10" t="s">
        <v>102</v>
      </c>
      <c r="F49" s="10" t="s">
        <v>193</v>
      </c>
      <c r="G49" s="10" t="s">
        <v>152</v>
      </c>
      <c r="H49" s="10" t="s">
        <v>305</v>
      </c>
      <c r="I49" s="10" t="s">
        <v>306</v>
      </c>
      <c r="J49" s="10" t="s">
        <v>177</v>
      </c>
      <c r="K49" s="10" t="s">
        <v>80</v>
      </c>
      <c r="L49" s="10" t="s">
        <v>132</v>
      </c>
      <c r="M49" s="12">
        <v>8</v>
      </c>
      <c r="N49" s="11">
        <v>45977</v>
      </c>
      <c r="O49" s="11">
        <v>45984</v>
      </c>
      <c r="P49" s="10" t="s">
        <v>109</v>
      </c>
      <c r="Q49" s="10" t="s">
        <v>110</v>
      </c>
      <c r="R49" s="10"/>
      <c r="S49" s="11">
        <v>45984</v>
      </c>
      <c r="T49" s="13">
        <v>4</v>
      </c>
      <c r="U49" s="14">
        <v>42</v>
      </c>
      <c r="V49" s="15">
        <f t="shared" si="0"/>
        <v>-1</v>
      </c>
      <c r="W49" s="15">
        <f t="shared" si="1"/>
        <v>8</v>
      </c>
      <c r="X49" s="16" t="str">
        <f t="shared" si="2"/>
        <v>Fechada</v>
      </c>
      <c r="Y49" s="16" t="str">
        <f t="shared" si="3"/>
        <v>OK</v>
      </c>
    </row>
    <row r="50" spans="1:25" ht="15" customHeight="1" x14ac:dyDescent="0.3">
      <c r="A50" s="10" t="s">
        <v>307</v>
      </c>
      <c r="B50" s="11">
        <v>45977</v>
      </c>
      <c r="C50" s="10" t="s">
        <v>283</v>
      </c>
      <c r="D50" s="10" t="s">
        <v>113</v>
      </c>
      <c r="E50" s="10" t="s">
        <v>102</v>
      </c>
      <c r="F50" s="10" t="s">
        <v>193</v>
      </c>
      <c r="G50" s="10" t="s">
        <v>152</v>
      </c>
      <c r="H50" s="10" t="s">
        <v>308</v>
      </c>
      <c r="I50" s="10" t="s">
        <v>309</v>
      </c>
      <c r="J50" s="10" t="s">
        <v>131</v>
      </c>
      <c r="K50" s="10" t="s">
        <v>118</v>
      </c>
      <c r="L50" s="10" t="s">
        <v>132</v>
      </c>
      <c r="M50" s="12">
        <v>5</v>
      </c>
      <c r="N50" s="11">
        <v>45979</v>
      </c>
      <c r="O50" s="11">
        <v>45985</v>
      </c>
      <c r="P50" s="10" t="s">
        <v>109</v>
      </c>
      <c r="Q50" s="10" t="s">
        <v>119</v>
      </c>
      <c r="R50" s="10"/>
      <c r="S50" s="11">
        <v>46001</v>
      </c>
      <c r="T50" s="13">
        <v>2</v>
      </c>
      <c r="U50" s="14">
        <v>41.25</v>
      </c>
      <c r="V50" s="15">
        <f t="shared" si="0"/>
        <v>1</v>
      </c>
      <c r="W50" s="15">
        <f t="shared" si="1"/>
        <v>24</v>
      </c>
      <c r="X50" s="16" t="str">
        <f t="shared" si="2"/>
        <v>Fechada</v>
      </c>
      <c r="Y50" s="16" t="str">
        <f t="shared" si="3"/>
        <v>OK</v>
      </c>
    </row>
    <row r="51" spans="1:25" ht="15" customHeight="1" x14ac:dyDescent="0.3">
      <c r="A51" s="10" t="s">
        <v>310</v>
      </c>
      <c r="B51" s="11">
        <v>45979</v>
      </c>
      <c r="C51" s="10" t="s">
        <v>283</v>
      </c>
      <c r="D51" s="10" t="s">
        <v>101</v>
      </c>
      <c r="E51" s="10" t="s">
        <v>102</v>
      </c>
      <c r="F51" s="10" t="s">
        <v>311</v>
      </c>
      <c r="G51" s="10" t="s">
        <v>152</v>
      </c>
      <c r="H51" s="10" t="s">
        <v>312</v>
      </c>
      <c r="I51" s="10" t="s">
        <v>313</v>
      </c>
      <c r="J51" s="10" t="s">
        <v>164</v>
      </c>
      <c r="K51" s="10" t="s">
        <v>118</v>
      </c>
      <c r="L51" s="10" t="s">
        <v>108</v>
      </c>
      <c r="M51" s="12">
        <v>25</v>
      </c>
      <c r="N51" s="11">
        <v>45983</v>
      </c>
      <c r="O51" s="11">
        <v>45990</v>
      </c>
      <c r="P51" s="10" t="s">
        <v>109</v>
      </c>
      <c r="Q51" s="10" t="s">
        <v>119</v>
      </c>
      <c r="R51" s="10"/>
      <c r="S51" s="11">
        <v>45996</v>
      </c>
      <c r="T51" s="13">
        <v>4</v>
      </c>
      <c r="U51" s="14">
        <v>126.25</v>
      </c>
      <c r="V51" s="15">
        <f t="shared" si="0"/>
        <v>3</v>
      </c>
      <c r="W51" s="15">
        <f t="shared" si="1"/>
        <v>17</v>
      </c>
      <c r="X51" s="16" t="str">
        <f t="shared" si="2"/>
        <v>Fechada</v>
      </c>
      <c r="Y51" s="16" t="str">
        <f t="shared" si="3"/>
        <v>Acusação tardia</v>
      </c>
    </row>
    <row r="52" spans="1:25" ht="15" customHeight="1" x14ac:dyDescent="0.3">
      <c r="A52" s="10" t="s">
        <v>314</v>
      </c>
      <c r="B52" s="11">
        <v>45982</v>
      </c>
      <c r="C52" s="10" t="s">
        <v>283</v>
      </c>
      <c r="D52" s="10" t="s">
        <v>113</v>
      </c>
      <c r="E52" s="10" t="s">
        <v>122</v>
      </c>
      <c r="F52" s="10" t="s">
        <v>315</v>
      </c>
      <c r="G52" s="10" t="s">
        <v>152</v>
      </c>
      <c r="H52" s="10" t="s">
        <v>316</v>
      </c>
      <c r="I52" s="10" t="s">
        <v>317</v>
      </c>
      <c r="J52" s="10" t="s">
        <v>191</v>
      </c>
      <c r="K52" s="10" t="s">
        <v>118</v>
      </c>
      <c r="L52" s="10" t="s">
        <v>108</v>
      </c>
      <c r="M52" s="12">
        <v>4</v>
      </c>
      <c r="N52" s="11">
        <v>45983</v>
      </c>
      <c r="O52" s="11">
        <v>45990</v>
      </c>
      <c r="P52" s="10" t="s">
        <v>109</v>
      </c>
      <c r="Q52" s="10" t="s">
        <v>119</v>
      </c>
      <c r="R52" s="10"/>
      <c r="S52" s="11">
        <v>45993</v>
      </c>
      <c r="T52" s="13">
        <v>5</v>
      </c>
      <c r="U52" s="14">
        <v>121</v>
      </c>
      <c r="V52" s="15">
        <f t="shared" si="0"/>
        <v>0</v>
      </c>
      <c r="W52" s="15">
        <f t="shared" si="1"/>
        <v>11</v>
      </c>
      <c r="X52" s="16" t="str">
        <f t="shared" si="2"/>
        <v>Fechada</v>
      </c>
      <c r="Y52" s="16" t="str">
        <f t="shared" si="3"/>
        <v>OK</v>
      </c>
    </row>
    <row r="53" spans="1:25" ht="15" customHeight="1" x14ac:dyDescent="0.3">
      <c r="A53" s="10" t="s">
        <v>318</v>
      </c>
      <c r="B53" s="11">
        <v>45994</v>
      </c>
      <c r="C53" s="10" t="s">
        <v>319</v>
      </c>
      <c r="D53" s="10" t="s">
        <v>320</v>
      </c>
      <c r="E53" s="10" t="s">
        <v>102</v>
      </c>
      <c r="F53" s="10" t="s">
        <v>128</v>
      </c>
      <c r="G53" s="10" t="s">
        <v>104</v>
      </c>
      <c r="H53" s="10" t="s">
        <v>321</v>
      </c>
      <c r="I53" s="10" t="s">
        <v>322</v>
      </c>
      <c r="J53" s="10" t="s">
        <v>323</v>
      </c>
      <c r="K53" s="10" t="s">
        <v>80</v>
      </c>
      <c r="L53" s="10" t="s">
        <v>148</v>
      </c>
      <c r="M53" s="12">
        <v>48</v>
      </c>
      <c r="N53" s="11">
        <v>45995</v>
      </c>
      <c r="O53" s="11">
        <v>46005</v>
      </c>
      <c r="P53" s="10" t="s">
        <v>109</v>
      </c>
      <c r="Q53" s="10" t="s">
        <v>110</v>
      </c>
      <c r="R53" s="10"/>
      <c r="S53" s="11">
        <v>46013</v>
      </c>
      <c r="T53" s="13">
        <v>5</v>
      </c>
      <c r="U53" s="14">
        <v>362</v>
      </c>
      <c r="V53" s="15">
        <f t="shared" si="0"/>
        <v>1</v>
      </c>
      <c r="W53" s="15">
        <f t="shared" si="1"/>
        <v>19</v>
      </c>
      <c r="X53" s="16" t="str">
        <f t="shared" si="2"/>
        <v>Fechada</v>
      </c>
      <c r="Y53" s="16" t="str">
        <f t="shared" si="3"/>
        <v>Crítica sem 8D</v>
      </c>
    </row>
    <row r="54" spans="1:25" ht="15" customHeight="1" x14ac:dyDescent="0.3">
      <c r="A54" s="10" t="s">
        <v>324</v>
      </c>
      <c r="B54" s="11">
        <v>45995</v>
      </c>
      <c r="C54" s="10" t="s">
        <v>319</v>
      </c>
      <c r="D54" s="10" t="s">
        <v>113</v>
      </c>
      <c r="E54" s="10" t="s">
        <v>122</v>
      </c>
      <c r="F54" s="10" t="s">
        <v>228</v>
      </c>
      <c r="G54" s="10" t="s">
        <v>152</v>
      </c>
      <c r="H54" s="10" t="s">
        <v>325</v>
      </c>
      <c r="I54" s="10" t="s">
        <v>326</v>
      </c>
      <c r="J54" s="10" t="s">
        <v>159</v>
      </c>
      <c r="K54" s="10" t="s">
        <v>80</v>
      </c>
      <c r="L54" s="10" t="s">
        <v>108</v>
      </c>
      <c r="M54" s="12">
        <v>36</v>
      </c>
      <c r="N54" s="11">
        <v>45997</v>
      </c>
      <c r="O54" s="11">
        <v>46003</v>
      </c>
      <c r="P54" s="10" t="s">
        <v>109</v>
      </c>
      <c r="Q54" s="10" t="s">
        <v>110</v>
      </c>
      <c r="R54" s="10"/>
      <c r="S54" s="11">
        <v>46024</v>
      </c>
      <c r="T54" s="13">
        <v>5</v>
      </c>
      <c r="U54" s="14">
        <v>129</v>
      </c>
      <c r="V54" s="15">
        <f t="shared" si="0"/>
        <v>1</v>
      </c>
      <c r="W54" s="15">
        <f t="shared" si="1"/>
        <v>29</v>
      </c>
      <c r="X54" s="16" t="str">
        <f t="shared" si="2"/>
        <v>Fechada</v>
      </c>
      <c r="Y54" s="16" t="str">
        <f t="shared" si="3"/>
        <v>OK</v>
      </c>
    </row>
    <row r="55" spans="1:25" ht="15" customHeight="1" x14ac:dyDescent="0.3">
      <c r="A55" s="10" t="s">
        <v>327</v>
      </c>
      <c r="B55" s="11">
        <v>45995</v>
      </c>
      <c r="C55" s="10" t="s">
        <v>319</v>
      </c>
      <c r="D55" s="10" t="s">
        <v>328</v>
      </c>
      <c r="E55" s="10" t="s">
        <v>135</v>
      </c>
      <c r="F55" s="10" t="s">
        <v>128</v>
      </c>
      <c r="G55" s="10" t="s">
        <v>104</v>
      </c>
      <c r="H55" s="10" t="s">
        <v>329</v>
      </c>
      <c r="I55" s="10" t="s">
        <v>330</v>
      </c>
      <c r="J55" s="10" t="s">
        <v>107</v>
      </c>
      <c r="K55" s="10" t="s">
        <v>80</v>
      </c>
      <c r="L55" s="10" t="s">
        <v>132</v>
      </c>
      <c r="M55" s="12">
        <v>71</v>
      </c>
      <c r="N55" s="11">
        <v>45997</v>
      </c>
      <c r="O55" s="11">
        <v>46006</v>
      </c>
      <c r="P55" s="10" t="s">
        <v>109</v>
      </c>
      <c r="Q55" s="10" t="s">
        <v>110</v>
      </c>
      <c r="R55" s="10"/>
      <c r="S55" s="11">
        <v>46012</v>
      </c>
      <c r="T55" s="13">
        <v>2</v>
      </c>
      <c r="U55" s="14">
        <v>57.75</v>
      </c>
      <c r="V55" s="15">
        <f t="shared" si="0"/>
        <v>1</v>
      </c>
      <c r="W55" s="15">
        <f t="shared" si="1"/>
        <v>17</v>
      </c>
      <c r="X55" s="16" t="str">
        <f t="shared" si="2"/>
        <v>Fechada</v>
      </c>
      <c r="Y55" s="16" t="str">
        <f t="shared" si="3"/>
        <v>OK</v>
      </c>
    </row>
    <row r="56" spans="1:25" ht="15" customHeight="1" x14ac:dyDescent="0.3">
      <c r="A56" s="10" t="s">
        <v>331</v>
      </c>
      <c r="B56" s="11">
        <v>45996</v>
      </c>
      <c r="C56" s="10" t="s">
        <v>319</v>
      </c>
      <c r="D56" s="10" t="s">
        <v>134</v>
      </c>
      <c r="E56" s="10" t="s">
        <v>135</v>
      </c>
      <c r="F56" s="10" t="s">
        <v>332</v>
      </c>
      <c r="G56" s="10" t="s">
        <v>152</v>
      </c>
      <c r="H56" s="10" t="s">
        <v>333</v>
      </c>
      <c r="I56" s="10" t="s">
        <v>334</v>
      </c>
      <c r="J56" s="10" t="s">
        <v>335</v>
      </c>
      <c r="K56" s="10" t="s">
        <v>80</v>
      </c>
      <c r="L56" s="10" t="s">
        <v>148</v>
      </c>
      <c r="M56" s="12">
        <v>2</v>
      </c>
      <c r="N56" s="11">
        <v>45997</v>
      </c>
      <c r="O56" s="11">
        <v>46000</v>
      </c>
      <c r="P56" s="10" t="s">
        <v>109</v>
      </c>
      <c r="Q56" s="10" t="s">
        <v>110</v>
      </c>
      <c r="R56" s="10"/>
      <c r="S56" s="11">
        <v>46014</v>
      </c>
      <c r="T56" s="13">
        <v>4</v>
      </c>
      <c r="U56" s="14">
        <v>350.5</v>
      </c>
      <c r="V56" s="15">
        <f t="shared" si="0"/>
        <v>0</v>
      </c>
      <c r="W56" s="15">
        <f t="shared" si="1"/>
        <v>18</v>
      </c>
      <c r="X56" s="16" t="str">
        <f t="shared" si="2"/>
        <v>Fechada</v>
      </c>
      <c r="Y56" s="16" t="str">
        <f t="shared" si="3"/>
        <v>Crítica sem 8D</v>
      </c>
    </row>
    <row r="57" spans="1:25" ht="15" customHeight="1" x14ac:dyDescent="0.3">
      <c r="A57" s="10" t="s">
        <v>336</v>
      </c>
      <c r="B57" s="11">
        <v>45997</v>
      </c>
      <c r="C57" s="10" t="s">
        <v>319</v>
      </c>
      <c r="D57" s="10" t="s">
        <v>247</v>
      </c>
      <c r="E57" s="10" t="s">
        <v>135</v>
      </c>
      <c r="F57" s="10" t="s">
        <v>337</v>
      </c>
      <c r="G57" s="10" t="s">
        <v>152</v>
      </c>
      <c r="H57" s="10" t="s">
        <v>338</v>
      </c>
      <c r="I57" s="10"/>
      <c r="J57" s="10" t="s">
        <v>164</v>
      </c>
      <c r="K57" s="10" t="s">
        <v>118</v>
      </c>
      <c r="L57" s="10" t="s">
        <v>132</v>
      </c>
      <c r="M57" s="12">
        <v>12</v>
      </c>
      <c r="N57" s="11">
        <v>45997</v>
      </c>
      <c r="O57" s="11">
        <v>46007</v>
      </c>
      <c r="P57" s="10" t="s">
        <v>109</v>
      </c>
      <c r="Q57" s="10" t="s">
        <v>119</v>
      </c>
      <c r="R57" s="10"/>
      <c r="S57" s="11"/>
      <c r="T57" s="13"/>
      <c r="U57" s="14">
        <v>43</v>
      </c>
      <c r="V57" s="15">
        <f t="shared" si="0"/>
        <v>-1</v>
      </c>
      <c r="W57" s="15">
        <f t="shared" si="1"/>
        <v>390</v>
      </c>
      <c r="X57" s="16" t="str">
        <f t="shared" si="2"/>
        <v>Atrasada</v>
      </c>
      <c r="Y57" s="16" t="str">
        <f t="shared" si="3"/>
        <v>Sem encomenda (rastreio)</v>
      </c>
    </row>
    <row r="58" spans="1:25" ht="15" customHeight="1" x14ac:dyDescent="0.3">
      <c r="A58" s="10" t="s">
        <v>339</v>
      </c>
      <c r="B58" s="11">
        <v>45998</v>
      </c>
      <c r="C58" s="10" t="s">
        <v>319</v>
      </c>
      <c r="D58" s="10" t="s">
        <v>247</v>
      </c>
      <c r="E58" s="10" t="s">
        <v>102</v>
      </c>
      <c r="F58" s="10" t="s">
        <v>228</v>
      </c>
      <c r="G58" s="10" t="s">
        <v>152</v>
      </c>
      <c r="H58" s="10" t="s">
        <v>340</v>
      </c>
      <c r="I58" s="10" t="s">
        <v>341</v>
      </c>
      <c r="J58" s="10" t="s">
        <v>159</v>
      </c>
      <c r="K58" s="10" t="s">
        <v>80</v>
      </c>
      <c r="L58" s="10" t="s">
        <v>108</v>
      </c>
      <c r="M58" s="12">
        <v>63</v>
      </c>
      <c r="N58" s="11">
        <v>45998</v>
      </c>
      <c r="O58" s="11">
        <v>46004</v>
      </c>
      <c r="P58" s="10" t="s">
        <v>109</v>
      </c>
      <c r="Q58" s="10" t="s">
        <v>110</v>
      </c>
      <c r="R58" s="10"/>
      <c r="S58" s="11">
        <v>46004</v>
      </c>
      <c r="T58" s="13">
        <v>5</v>
      </c>
      <c r="U58" s="14">
        <v>135.75</v>
      </c>
      <c r="V58" s="15">
        <f t="shared" si="0"/>
        <v>-1</v>
      </c>
      <c r="W58" s="15">
        <f t="shared" si="1"/>
        <v>6</v>
      </c>
      <c r="X58" s="16" t="str">
        <f t="shared" si="2"/>
        <v>Fechada</v>
      </c>
      <c r="Y58" s="16" t="str">
        <f t="shared" si="3"/>
        <v>OK</v>
      </c>
    </row>
    <row r="59" spans="1:25" ht="15" customHeight="1" x14ac:dyDescent="0.3">
      <c r="A59" s="10" t="s">
        <v>342</v>
      </c>
      <c r="B59" s="11">
        <v>46000</v>
      </c>
      <c r="C59" s="10" t="s">
        <v>319</v>
      </c>
      <c r="D59" s="10" t="s">
        <v>210</v>
      </c>
      <c r="E59" s="10" t="s">
        <v>122</v>
      </c>
      <c r="F59" s="10" t="s">
        <v>343</v>
      </c>
      <c r="G59" s="10" t="s">
        <v>152</v>
      </c>
      <c r="H59" s="10" t="s">
        <v>344</v>
      </c>
      <c r="I59" s="10" t="s">
        <v>345</v>
      </c>
      <c r="J59" s="10" t="s">
        <v>208</v>
      </c>
      <c r="K59" s="10" t="s">
        <v>80</v>
      </c>
      <c r="L59" s="10" t="s">
        <v>108</v>
      </c>
      <c r="M59" s="12">
        <v>20</v>
      </c>
      <c r="N59" s="11">
        <v>46000</v>
      </c>
      <c r="O59" s="11">
        <v>46003</v>
      </c>
      <c r="P59" s="10" t="s">
        <v>250</v>
      </c>
      <c r="Q59" s="10" t="s">
        <v>251</v>
      </c>
      <c r="R59" s="10"/>
      <c r="S59" s="11">
        <v>46003</v>
      </c>
      <c r="T59" s="13">
        <v>5</v>
      </c>
      <c r="U59" s="14">
        <v>125</v>
      </c>
      <c r="V59" s="15">
        <f t="shared" si="0"/>
        <v>0</v>
      </c>
      <c r="W59" s="15">
        <f t="shared" si="1"/>
        <v>3</v>
      </c>
      <c r="X59" s="16" t="str">
        <f t="shared" si="2"/>
        <v>Fechada</v>
      </c>
      <c r="Y59" s="16" t="str">
        <f t="shared" si="3"/>
        <v>OK</v>
      </c>
    </row>
    <row r="60" spans="1:25" ht="15" customHeight="1" x14ac:dyDescent="0.3">
      <c r="A60" s="10" t="s">
        <v>346</v>
      </c>
      <c r="B60" s="11">
        <v>46000</v>
      </c>
      <c r="C60" s="10" t="s">
        <v>319</v>
      </c>
      <c r="D60" s="10" t="s">
        <v>121</v>
      </c>
      <c r="E60" s="10" t="s">
        <v>102</v>
      </c>
      <c r="F60" s="10" t="s">
        <v>188</v>
      </c>
      <c r="G60" s="10" t="s">
        <v>152</v>
      </c>
      <c r="H60" s="10" t="s">
        <v>347</v>
      </c>
      <c r="I60" s="10" t="s">
        <v>348</v>
      </c>
      <c r="J60" s="10" t="s">
        <v>335</v>
      </c>
      <c r="K60" s="10" t="s">
        <v>80</v>
      </c>
      <c r="L60" s="10" t="s">
        <v>108</v>
      </c>
      <c r="M60" s="12">
        <v>40</v>
      </c>
      <c r="N60" s="11">
        <v>46002</v>
      </c>
      <c r="O60" s="11">
        <v>46006</v>
      </c>
      <c r="P60" s="10" t="s">
        <v>109</v>
      </c>
      <c r="Q60" s="10" t="s">
        <v>110</v>
      </c>
      <c r="R60" s="10"/>
      <c r="S60" s="11">
        <v>46026</v>
      </c>
      <c r="T60" s="13">
        <v>4</v>
      </c>
      <c r="U60" s="14">
        <v>130</v>
      </c>
      <c r="V60" s="15">
        <f t="shared" si="0"/>
        <v>2</v>
      </c>
      <c r="W60" s="15">
        <f t="shared" si="1"/>
        <v>26</v>
      </c>
      <c r="X60" s="16" t="str">
        <f t="shared" si="2"/>
        <v>Fechada</v>
      </c>
      <c r="Y60" s="16" t="str">
        <f t="shared" si="3"/>
        <v>OK</v>
      </c>
    </row>
    <row r="61" spans="1:25" ht="15" customHeight="1" x14ac:dyDescent="0.3">
      <c r="A61" s="10" t="s">
        <v>349</v>
      </c>
      <c r="B61" s="11">
        <v>46001</v>
      </c>
      <c r="C61" s="10" t="s">
        <v>319</v>
      </c>
      <c r="D61" s="10" t="s">
        <v>182</v>
      </c>
      <c r="E61" s="10" t="s">
        <v>135</v>
      </c>
      <c r="F61" s="10" t="s">
        <v>350</v>
      </c>
      <c r="G61" s="10" t="s">
        <v>152</v>
      </c>
      <c r="H61" s="10" t="s">
        <v>351</v>
      </c>
      <c r="I61" s="10" t="s">
        <v>352</v>
      </c>
      <c r="J61" s="10" t="s">
        <v>164</v>
      </c>
      <c r="K61" s="10" t="s">
        <v>118</v>
      </c>
      <c r="L61" s="10" t="s">
        <v>108</v>
      </c>
      <c r="M61" s="12">
        <v>78</v>
      </c>
      <c r="N61" s="11">
        <v>46003</v>
      </c>
      <c r="O61" s="11">
        <v>46004</v>
      </c>
      <c r="P61" s="10" t="s">
        <v>109</v>
      </c>
      <c r="Q61" s="10" t="s">
        <v>119</v>
      </c>
      <c r="R61" s="10"/>
      <c r="S61" s="11">
        <v>46014</v>
      </c>
      <c r="T61" s="13">
        <v>3</v>
      </c>
      <c r="U61" s="14">
        <v>139.5</v>
      </c>
      <c r="V61" s="15">
        <f t="shared" si="0"/>
        <v>2</v>
      </c>
      <c r="W61" s="15">
        <f t="shared" si="1"/>
        <v>13</v>
      </c>
      <c r="X61" s="16" t="str">
        <f t="shared" si="2"/>
        <v>Fechada</v>
      </c>
      <c r="Y61" s="16" t="str">
        <f t="shared" si="3"/>
        <v>OK</v>
      </c>
    </row>
    <row r="62" spans="1:25" ht="15" customHeight="1" x14ac:dyDescent="0.3">
      <c r="A62" s="10" t="s">
        <v>353</v>
      </c>
      <c r="B62" s="11">
        <v>46004</v>
      </c>
      <c r="C62" s="10" t="s">
        <v>319</v>
      </c>
      <c r="D62" s="10" t="s">
        <v>328</v>
      </c>
      <c r="E62" s="10" t="s">
        <v>135</v>
      </c>
      <c r="F62" s="10" t="s">
        <v>103</v>
      </c>
      <c r="G62" s="10" t="s">
        <v>104</v>
      </c>
      <c r="H62" s="10" t="s">
        <v>354</v>
      </c>
      <c r="I62" s="10" t="s">
        <v>355</v>
      </c>
      <c r="J62" s="10" t="s">
        <v>107</v>
      </c>
      <c r="K62" s="10" t="s">
        <v>80</v>
      </c>
      <c r="L62" s="10" t="s">
        <v>132</v>
      </c>
      <c r="M62" s="12">
        <v>247</v>
      </c>
      <c r="N62" s="11">
        <v>46005</v>
      </c>
      <c r="O62" s="11">
        <v>46012</v>
      </c>
      <c r="P62" s="10" t="s">
        <v>109</v>
      </c>
      <c r="Q62" s="10" t="s">
        <v>110</v>
      </c>
      <c r="R62" s="10"/>
      <c r="S62" s="11">
        <v>46030</v>
      </c>
      <c r="T62" s="13">
        <v>4</v>
      </c>
      <c r="U62" s="14">
        <v>101.75</v>
      </c>
      <c r="V62" s="15">
        <f t="shared" si="0"/>
        <v>-1</v>
      </c>
      <c r="W62" s="15">
        <f t="shared" si="1"/>
        <v>26</v>
      </c>
      <c r="X62" s="16" t="str">
        <f t="shared" si="2"/>
        <v>Fechada</v>
      </c>
      <c r="Y62" s="16" t="str">
        <f t="shared" si="3"/>
        <v>OK</v>
      </c>
    </row>
    <row r="63" spans="1:25" ht="15" customHeight="1" x14ac:dyDescent="0.3">
      <c r="A63" s="10" t="s">
        <v>356</v>
      </c>
      <c r="B63" s="11">
        <v>46005</v>
      </c>
      <c r="C63" s="10" t="s">
        <v>319</v>
      </c>
      <c r="D63" s="10" t="s">
        <v>210</v>
      </c>
      <c r="E63" s="10" t="s">
        <v>135</v>
      </c>
      <c r="F63" s="10" t="s">
        <v>357</v>
      </c>
      <c r="G63" s="10" t="s">
        <v>152</v>
      </c>
      <c r="H63" s="10" t="s">
        <v>358</v>
      </c>
      <c r="I63" s="10" t="s">
        <v>359</v>
      </c>
      <c r="J63" s="10" t="s">
        <v>164</v>
      </c>
      <c r="K63" s="10" t="s">
        <v>118</v>
      </c>
      <c r="L63" s="10" t="s">
        <v>132</v>
      </c>
      <c r="M63" s="12">
        <v>7</v>
      </c>
      <c r="N63" s="11">
        <v>46006</v>
      </c>
      <c r="O63" s="11">
        <v>46011</v>
      </c>
      <c r="P63" s="10" t="s">
        <v>109</v>
      </c>
      <c r="Q63" s="10" t="s">
        <v>119</v>
      </c>
      <c r="R63" s="10"/>
      <c r="S63" s="11">
        <v>46012</v>
      </c>
      <c r="T63" s="13">
        <v>4</v>
      </c>
      <c r="U63" s="14">
        <v>41.75</v>
      </c>
      <c r="V63" s="15">
        <f t="shared" si="0"/>
        <v>0</v>
      </c>
      <c r="W63" s="15">
        <f t="shared" si="1"/>
        <v>7</v>
      </c>
      <c r="X63" s="16" t="str">
        <f t="shared" si="2"/>
        <v>Fechada</v>
      </c>
      <c r="Y63" s="16" t="str">
        <f t="shared" si="3"/>
        <v>OK</v>
      </c>
    </row>
    <row r="64" spans="1:25" ht="15" customHeight="1" x14ac:dyDescent="0.3">
      <c r="A64" s="10" t="s">
        <v>360</v>
      </c>
      <c r="B64" s="11">
        <v>46005</v>
      </c>
      <c r="C64" s="10" t="s">
        <v>319</v>
      </c>
      <c r="D64" s="10" t="s">
        <v>144</v>
      </c>
      <c r="E64" s="10" t="s">
        <v>122</v>
      </c>
      <c r="F64" s="10" t="s">
        <v>361</v>
      </c>
      <c r="G64" s="10" t="s">
        <v>104</v>
      </c>
      <c r="H64" s="10" t="s">
        <v>362</v>
      </c>
      <c r="I64" s="10" t="s">
        <v>363</v>
      </c>
      <c r="J64" s="10" t="s">
        <v>117</v>
      </c>
      <c r="K64" s="10" t="s">
        <v>118</v>
      </c>
      <c r="L64" s="10" t="s">
        <v>132</v>
      </c>
      <c r="M64" s="12">
        <v>106</v>
      </c>
      <c r="N64" s="11">
        <v>46006</v>
      </c>
      <c r="O64" s="11">
        <v>46011</v>
      </c>
      <c r="P64" s="10" t="s">
        <v>109</v>
      </c>
      <c r="Q64" s="10" t="s">
        <v>119</v>
      </c>
      <c r="R64" s="10"/>
      <c r="S64" s="11">
        <v>46031</v>
      </c>
      <c r="T64" s="13">
        <v>2</v>
      </c>
      <c r="U64" s="14">
        <v>66.5</v>
      </c>
      <c r="V64" s="15">
        <f t="shared" si="0"/>
        <v>0</v>
      </c>
      <c r="W64" s="15">
        <f t="shared" si="1"/>
        <v>26</v>
      </c>
      <c r="X64" s="16" t="str">
        <f t="shared" si="2"/>
        <v>Fechada</v>
      </c>
      <c r="Y64" s="16" t="str">
        <f t="shared" si="3"/>
        <v>OK</v>
      </c>
    </row>
    <row r="65" spans="1:25" ht="15" customHeight="1" x14ac:dyDescent="0.3">
      <c r="A65" s="10" t="s">
        <v>364</v>
      </c>
      <c r="B65" s="11">
        <v>46005</v>
      </c>
      <c r="C65" s="10" t="s">
        <v>319</v>
      </c>
      <c r="D65" s="10" t="s">
        <v>134</v>
      </c>
      <c r="E65" s="10" t="s">
        <v>122</v>
      </c>
      <c r="F65" s="10" t="s">
        <v>169</v>
      </c>
      <c r="G65" s="10" t="s">
        <v>104</v>
      </c>
      <c r="H65" s="10" t="s">
        <v>365</v>
      </c>
      <c r="I65" s="10" t="s">
        <v>366</v>
      </c>
      <c r="J65" s="10" t="s">
        <v>107</v>
      </c>
      <c r="K65" s="10" t="s">
        <v>80</v>
      </c>
      <c r="L65" s="10" t="s">
        <v>108</v>
      </c>
      <c r="M65" s="12">
        <v>133</v>
      </c>
      <c r="N65" s="11">
        <v>46006</v>
      </c>
      <c r="O65" s="11">
        <v>46011</v>
      </c>
      <c r="P65" s="10" t="s">
        <v>109</v>
      </c>
      <c r="Q65" s="10" t="s">
        <v>110</v>
      </c>
      <c r="R65" s="10"/>
      <c r="S65" s="11"/>
      <c r="T65" s="13"/>
      <c r="U65" s="14">
        <v>153.25</v>
      </c>
      <c r="V65" s="15">
        <f t="shared" si="0"/>
        <v>0</v>
      </c>
      <c r="W65" s="15">
        <f t="shared" si="1"/>
        <v>382</v>
      </c>
      <c r="X65" s="16" t="str">
        <f t="shared" si="2"/>
        <v>Atrasada</v>
      </c>
      <c r="Y65" s="16" t="str">
        <f t="shared" si="3"/>
        <v>OK</v>
      </c>
    </row>
    <row r="66" spans="1:25" ht="15" customHeight="1" x14ac:dyDescent="0.3">
      <c r="A66" s="10" t="s">
        <v>367</v>
      </c>
      <c r="B66" s="11">
        <v>46006</v>
      </c>
      <c r="C66" s="10" t="s">
        <v>319</v>
      </c>
      <c r="D66" s="10" t="s">
        <v>113</v>
      </c>
      <c r="E66" s="10" t="s">
        <v>102</v>
      </c>
      <c r="F66" s="10" t="s">
        <v>368</v>
      </c>
      <c r="G66" s="10" t="s">
        <v>152</v>
      </c>
      <c r="H66" s="10" t="s">
        <v>369</v>
      </c>
      <c r="I66" s="10" t="s">
        <v>370</v>
      </c>
      <c r="J66" s="10" t="s">
        <v>159</v>
      </c>
      <c r="K66" s="10" t="s">
        <v>80</v>
      </c>
      <c r="L66" s="10" t="s">
        <v>148</v>
      </c>
      <c r="M66" s="12">
        <v>51</v>
      </c>
      <c r="N66" s="11">
        <v>46008</v>
      </c>
      <c r="O66" s="11">
        <v>46013</v>
      </c>
      <c r="P66" s="10" t="s">
        <v>109</v>
      </c>
      <c r="Q66" s="10" t="s">
        <v>110</v>
      </c>
      <c r="R66" s="10" t="s">
        <v>371</v>
      </c>
      <c r="S66" s="11"/>
      <c r="T66" s="13"/>
      <c r="U66" s="14">
        <v>362.75</v>
      </c>
      <c r="V66" s="15">
        <f t="shared" si="0"/>
        <v>2</v>
      </c>
      <c r="W66" s="15">
        <f t="shared" si="1"/>
        <v>381</v>
      </c>
      <c r="X66" s="16" t="str">
        <f t="shared" si="2"/>
        <v>Atrasada</v>
      </c>
      <c r="Y66" s="16" t="str">
        <f t="shared" si="3"/>
        <v>OK</v>
      </c>
    </row>
    <row r="67" spans="1:25" ht="15" customHeight="1" x14ac:dyDescent="0.3">
      <c r="A67" s="10" t="s">
        <v>372</v>
      </c>
      <c r="B67" s="11">
        <v>46006</v>
      </c>
      <c r="C67" s="10" t="s">
        <v>319</v>
      </c>
      <c r="D67" s="10" t="s">
        <v>219</v>
      </c>
      <c r="E67" s="10" t="s">
        <v>102</v>
      </c>
      <c r="F67" s="10" t="s">
        <v>243</v>
      </c>
      <c r="G67" s="10" t="s">
        <v>152</v>
      </c>
      <c r="H67" s="10" t="s">
        <v>373</v>
      </c>
      <c r="I67" s="10" t="s">
        <v>374</v>
      </c>
      <c r="J67" s="10" t="s">
        <v>131</v>
      </c>
      <c r="K67" s="10" t="s">
        <v>118</v>
      </c>
      <c r="L67" s="10" t="s">
        <v>108</v>
      </c>
      <c r="M67" s="12">
        <v>28</v>
      </c>
      <c r="N67" s="11">
        <v>46008</v>
      </c>
      <c r="O67" s="11">
        <v>46015</v>
      </c>
      <c r="P67" s="10" t="s">
        <v>109</v>
      </c>
      <c r="Q67" s="10" t="s">
        <v>119</v>
      </c>
      <c r="R67" s="10"/>
      <c r="S67" s="11">
        <v>46035</v>
      </c>
      <c r="T67" s="13">
        <v>4</v>
      </c>
      <c r="U67" s="14">
        <v>127</v>
      </c>
      <c r="V67" s="15">
        <f t="shared" si="0"/>
        <v>2</v>
      </c>
      <c r="W67" s="15">
        <f t="shared" si="1"/>
        <v>29</v>
      </c>
      <c r="X67" s="16" t="str">
        <f t="shared" si="2"/>
        <v>Fechada</v>
      </c>
      <c r="Y67" s="16" t="str">
        <f t="shared" si="3"/>
        <v>OK</v>
      </c>
    </row>
    <row r="68" spans="1:25" ht="15" customHeight="1" x14ac:dyDescent="0.3">
      <c r="A68" s="10" t="s">
        <v>375</v>
      </c>
      <c r="B68" s="11">
        <v>46009</v>
      </c>
      <c r="C68" s="10" t="s">
        <v>319</v>
      </c>
      <c r="D68" s="10" t="s">
        <v>113</v>
      </c>
      <c r="E68" s="10" t="s">
        <v>102</v>
      </c>
      <c r="F68" s="10" t="s">
        <v>376</v>
      </c>
      <c r="G68" s="10" t="s">
        <v>115</v>
      </c>
      <c r="H68" s="10" t="s">
        <v>377</v>
      </c>
      <c r="I68" s="10"/>
      <c r="J68" s="10" t="s">
        <v>131</v>
      </c>
      <c r="K68" s="10" t="s">
        <v>118</v>
      </c>
      <c r="L68" s="10" t="s">
        <v>108</v>
      </c>
      <c r="M68" s="12">
        <v>11</v>
      </c>
      <c r="N68" s="11">
        <v>46012</v>
      </c>
      <c r="O68" s="11">
        <v>46019</v>
      </c>
      <c r="P68" s="10" t="s">
        <v>109</v>
      </c>
      <c r="Q68" s="10" t="s">
        <v>119</v>
      </c>
      <c r="R68" s="10"/>
      <c r="S68" s="11"/>
      <c r="T68" s="13"/>
      <c r="U68" s="14">
        <v>122.75</v>
      </c>
      <c r="V68" s="15">
        <f t="shared" si="0"/>
        <v>1</v>
      </c>
      <c r="W68" s="15">
        <f t="shared" si="1"/>
        <v>378</v>
      </c>
      <c r="X68" s="16" t="str">
        <f t="shared" si="2"/>
        <v>Atrasada</v>
      </c>
      <c r="Y68" s="16" t="str">
        <f t="shared" si="3"/>
        <v>Sem encomenda (rastreio)</v>
      </c>
    </row>
    <row r="69" spans="1:25" ht="15" customHeight="1" x14ac:dyDescent="0.3">
      <c r="A69" s="10" t="s">
        <v>378</v>
      </c>
      <c r="B69" s="11">
        <v>46009</v>
      </c>
      <c r="C69" s="10" t="s">
        <v>319</v>
      </c>
      <c r="D69" s="10" t="s">
        <v>113</v>
      </c>
      <c r="E69" s="10" t="s">
        <v>102</v>
      </c>
      <c r="F69" s="10" t="s">
        <v>215</v>
      </c>
      <c r="G69" s="10" t="s">
        <v>104</v>
      </c>
      <c r="H69" s="10" t="s">
        <v>379</v>
      </c>
      <c r="I69" s="10"/>
      <c r="J69" s="10" t="s">
        <v>191</v>
      </c>
      <c r="K69" s="10" t="s">
        <v>118</v>
      </c>
      <c r="L69" s="10" t="s">
        <v>132</v>
      </c>
      <c r="M69" s="12">
        <v>18</v>
      </c>
      <c r="N69" s="11">
        <v>46010</v>
      </c>
      <c r="O69" s="11">
        <v>46012</v>
      </c>
      <c r="P69" s="10" t="s">
        <v>109</v>
      </c>
      <c r="Q69" s="10" t="s">
        <v>119</v>
      </c>
      <c r="R69" s="10"/>
      <c r="S69" s="11">
        <v>46012</v>
      </c>
      <c r="T69" s="13">
        <v>3</v>
      </c>
      <c r="U69" s="14">
        <v>44.5</v>
      </c>
      <c r="V69" s="15">
        <f t="shared" ref="V69:V132" si="4">IF(A69="","",NETWORKDAYS(B69,N69)-1)</f>
        <v>1</v>
      </c>
      <c r="W69" s="15">
        <f t="shared" ref="W69:W132" si="5">IF(A69="","",IF(S69="",DataRef-B69,S69-B69))</f>
        <v>3</v>
      </c>
      <c r="X69" s="16" t="str">
        <f t="shared" ref="X69:X132" si="6">IF(A69="","",IF(S69&lt;&gt;"","Fechada",IF(W69&gt;30,"Atrasada","Aberta")))</f>
        <v>Fechada</v>
      </c>
      <c r="Y69" s="16" t="str">
        <f t="shared" ref="Y69:Y132" si="7">IF(A69="","",IF(V69&gt;2,"Acusação tardia",IF(AND(L69="Crítica",R69=""),"Crítica sem 8D",IF(I69="","Sem encomenda (rastreio)","OK"))))</f>
        <v>Sem encomenda (rastreio)</v>
      </c>
    </row>
    <row r="70" spans="1:25" ht="15" customHeight="1" x14ac:dyDescent="0.3">
      <c r="A70" s="10" t="s">
        <v>380</v>
      </c>
      <c r="B70" s="11">
        <v>46013</v>
      </c>
      <c r="C70" s="10" t="s">
        <v>319</v>
      </c>
      <c r="D70" s="10" t="s">
        <v>247</v>
      </c>
      <c r="E70" s="10" t="s">
        <v>135</v>
      </c>
      <c r="F70" s="10" t="s">
        <v>128</v>
      </c>
      <c r="G70" s="10" t="s">
        <v>104</v>
      </c>
      <c r="H70" s="10" t="s">
        <v>381</v>
      </c>
      <c r="I70" s="10" t="s">
        <v>382</v>
      </c>
      <c r="J70" s="10" t="s">
        <v>323</v>
      </c>
      <c r="K70" s="10" t="s">
        <v>80</v>
      </c>
      <c r="L70" s="10" t="s">
        <v>108</v>
      </c>
      <c r="M70" s="12">
        <v>76</v>
      </c>
      <c r="N70" s="11">
        <v>46014</v>
      </c>
      <c r="O70" s="11">
        <v>46023</v>
      </c>
      <c r="P70" s="10" t="s">
        <v>109</v>
      </c>
      <c r="Q70" s="10" t="s">
        <v>110</v>
      </c>
      <c r="R70" s="10"/>
      <c r="S70" s="11">
        <v>46035</v>
      </c>
      <c r="T70" s="13">
        <v>4</v>
      </c>
      <c r="U70" s="14">
        <v>139</v>
      </c>
      <c r="V70" s="15">
        <f t="shared" si="4"/>
        <v>1</v>
      </c>
      <c r="W70" s="15">
        <f t="shared" si="5"/>
        <v>22</v>
      </c>
      <c r="X70" s="16" t="str">
        <f t="shared" si="6"/>
        <v>Fechada</v>
      </c>
      <c r="Y70" s="16" t="str">
        <f t="shared" si="7"/>
        <v>OK</v>
      </c>
    </row>
    <row r="71" spans="1:25" ht="15" customHeight="1" x14ac:dyDescent="0.3">
      <c r="A71" s="10" t="s">
        <v>383</v>
      </c>
      <c r="B71" s="11">
        <v>46015</v>
      </c>
      <c r="C71" s="10" t="s">
        <v>319</v>
      </c>
      <c r="D71" s="10" t="s">
        <v>182</v>
      </c>
      <c r="E71" s="10" t="s">
        <v>135</v>
      </c>
      <c r="F71" s="10" t="s">
        <v>332</v>
      </c>
      <c r="G71" s="10" t="s">
        <v>152</v>
      </c>
      <c r="H71" s="10" t="s">
        <v>384</v>
      </c>
      <c r="I71" s="10" t="s">
        <v>385</v>
      </c>
      <c r="J71" s="10" t="s">
        <v>386</v>
      </c>
      <c r="K71" s="10" t="s">
        <v>80</v>
      </c>
      <c r="L71" s="10" t="s">
        <v>148</v>
      </c>
      <c r="M71" s="12">
        <v>46</v>
      </c>
      <c r="N71" s="11">
        <v>46016</v>
      </c>
      <c r="O71" s="11">
        <v>46025</v>
      </c>
      <c r="P71" s="10" t="s">
        <v>109</v>
      </c>
      <c r="Q71" s="10" t="s">
        <v>110</v>
      </c>
      <c r="R71" s="10"/>
      <c r="S71" s="11">
        <v>46033</v>
      </c>
      <c r="T71" s="13">
        <v>3</v>
      </c>
      <c r="U71" s="14">
        <v>361.5</v>
      </c>
      <c r="V71" s="15">
        <f t="shared" si="4"/>
        <v>1</v>
      </c>
      <c r="W71" s="15">
        <f t="shared" si="5"/>
        <v>18</v>
      </c>
      <c r="X71" s="16" t="str">
        <f t="shared" si="6"/>
        <v>Fechada</v>
      </c>
      <c r="Y71" s="16" t="str">
        <f t="shared" si="7"/>
        <v>Crítica sem 8D</v>
      </c>
    </row>
    <row r="72" spans="1:25" ht="15" customHeight="1" x14ac:dyDescent="0.3">
      <c r="A72" s="10" t="s">
        <v>387</v>
      </c>
      <c r="B72" s="11">
        <v>46020</v>
      </c>
      <c r="C72" s="10" t="s">
        <v>319</v>
      </c>
      <c r="D72" s="10" t="s">
        <v>219</v>
      </c>
      <c r="E72" s="10" t="s">
        <v>102</v>
      </c>
      <c r="F72" s="10" t="s">
        <v>145</v>
      </c>
      <c r="G72" s="10" t="s">
        <v>104</v>
      </c>
      <c r="H72" s="10" t="s">
        <v>388</v>
      </c>
      <c r="I72" s="10" t="s">
        <v>389</v>
      </c>
      <c r="J72" s="10" t="s">
        <v>117</v>
      </c>
      <c r="K72" s="10" t="s">
        <v>118</v>
      </c>
      <c r="L72" s="10" t="s">
        <v>108</v>
      </c>
      <c r="M72" s="12">
        <v>15</v>
      </c>
      <c r="N72" s="11">
        <v>46021</v>
      </c>
      <c r="O72" s="11">
        <v>46023</v>
      </c>
      <c r="P72" s="10" t="s">
        <v>109</v>
      </c>
      <c r="Q72" s="10" t="s">
        <v>119</v>
      </c>
      <c r="R72" s="10"/>
      <c r="S72" s="11">
        <v>46023</v>
      </c>
      <c r="T72" s="13">
        <v>3</v>
      </c>
      <c r="U72" s="14">
        <v>123.75</v>
      </c>
      <c r="V72" s="15">
        <f t="shared" si="4"/>
        <v>1</v>
      </c>
      <c r="W72" s="15">
        <f t="shared" si="5"/>
        <v>3</v>
      </c>
      <c r="X72" s="16" t="str">
        <f t="shared" si="6"/>
        <v>Fechada</v>
      </c>
      <c r="Y72" s="16" t="str">
        <f t="shared" si="7"/>
        <v>OK</v>
      </c>
    </row>
    <row r="73" spans="1:25" ht="15" customHeight="1" x14ac:dyDescent="0.3">
      <c r="A73" s="10" t="s">
        <v>390</v>
      </c>
      <c r="B73" s="11">
        <v>46020</v>
      </c>
      <c r="C73" s="10" t="s">
        <v>319</v>
      </c>
      <c r="D73" s="10" t="s">
        <v>121</v>
      </c>
      <c r="E73" s="10" t="s">
        <v>122</v>
      </c>
      <c r="F73" s="10" t="s">
        <v>391</v>
      </c>
      <c r="G73" s="10" t="s">
        <v>152</v>
      </c>
      <c r="H73" s="10" t="s">
        <v>392</v>
      </c>
      <c r="I73" s="10" t="s">
        <v>393</v>
      </c>
      <c r="J73" s="10" t="s">
        <v>131</v>
      </c>
      <c r="K73" s="10" t="s">
        <v>118</v>
      </c>
      <c r="L73" s="10" t="s">
        <v>132</v>
      </c>
      <c r="M73" s="12">
        <v>26</v>
      </c>
      <c r="N73" s="11">
        <v>46022</v>
      </c>
      <c r="O73" s="11">
        <v>46024</v>
      </c>
      <c r="P73" s="10" t="s">
        <v>109</v>
      </c>
      <c r="Q73" s="10" t="s">
        <v>119</v>
      </c>
      <c r="R73" s="10"/>
      <c r="S73" s="11"/>
      <c r="T73" s="13"/>
      <c r="U73" s="14">
        <v>46.5</v>
      </c>
      <c r="V73" s="15">
        <f t="shared" si="4"/>
        <v>2</v>
      </c>
      <c r="W73" s="15">
        <f t="shared" si="5"/>
        <v>367</v>
      </c>
      <c r="X73" s="16" t="str">
        <f t="shared" si="6"/>
        <v>Atrasada</v>
      </c>
      <c r="Y73" s="16" t="str">
        <f t="shared" si="7"/>
        <v>OK</v>
      </c>
    </row>
    <row r="74" spans="1:25" ht="15" customHeight="1" x14ac:dyDescent="0.3">
      <c r="A74" s="10" t="s">
        <v>394</v>
      </c>
      <c r="B74" s="11">
        <v>46020</v>
      </c>
      <c r="C74" s="10" t="s">
        <v>319</v>
      </c>
      <c r="D74" s="10" t="s">
        <v>144</v>
      </c>
      <c r="E74" s="10" t="s">
        <v>135</v>
      </c>
      <c r="F74" s="10" t="s">
        <v>395</v>
      </c>
      <c r="G74" s="10" t="s">
        <v>104</v>
      </c>
      <c r="H74" s="10" t="s">
        <v>396</v>
      </c>
      <c r="I74" s="10"/>
      <c r="J74" s="10" t="s">
        <v>164</v>
      </c>
      <c r="K74" s="10" t="s">
        <v>118</v>
      </c>
      <c r="L74" s="10" t="s">
        <v>108</v>
      </c>
      <c r="M74" s="12">
        <v>30</v>
      </c>
      <c r="N74" s="11">
        <v>46024</v>
      </c>
      <c r="O74" s="11">
        <v>46029</v>
      </c>
      <c r="P74" s="10" t="s">
        <v>109</v>
      </c>
      <c r="Q74" s="10" t="s">
        <v>119</v>
      </c>
      <c r="R74" s="10"/>
      <c r="S74" s="11">
        <v>46044</v>
      </c>
      <c r="T74" s="13">
        <v>3</v>
      </c>
      <c r="U74" s="14">
        <v>127.5</v>
      </c>
      <c r="V74" s="15">
        <f t="shared" si="4"/>
        <v>4</v>
      </c>
      <c r="W74" s="15">
        <f t="shared" si="5"/>
        <v>24</v>
      </c>
      <c r="X74" s="16" t="str">
        <f t="shared" si="6"/>
        <v>Fechada</v>
      </c>
      <c r="Y74" s="16" t="str">
        <f t="shared" si="7"/>
        <v>Acusação tardia</v>
      </c>
    </row>
    <row r="75" spans="1:25" ht="15" customHeight="1" x14ac:dyDescent="0.3">
      <c r="A75" s="10" t="s">
        <v>397</v>
      </c>
      <c r="B75" s="11">
        <v>46021</v>
      </c>
      <c r="C75" s="10" t="s">
        <v>319</v>
      </c>
      <c r="D75" s="10" t="s">
        <v>247</v>
      </c>
      <c r="E75" s="10" t="s">
        <v>122</v>
      </c>
      <c r="F75" s="10" t="s">
        <v>398</v>
      </c>
      <c r="G75" s="10" t="s">
        <v>152</v>
      </c>
      <c r="H75" s="10" t="s">
        <v>399</v>
      </c>
      <c r="I75" s="10" t="s">
        <v>400</v>
      </c>
      <c r="J75" s="10" t="s">
        <v>117</v>
      </c>
      <c r="K75" s="10" t="s">
        <v>118</v>
      </c>
      <c r="L75" s="10" t="s">
        <v>148</v>
      </c>
      <c r="M75" s="12">
        <v>30</v>
      </c>
      <c r="N75" s="11">
        <v>46022</v>
      </c>
      <c r="O75" s="11">
        <v>46025</v>
      </c>
      <c r="P75" s="10" t="s">
        <v>109</v>
      </c>
      <c r="Q75" s="10" t="s">
        <v>119</v>
      </c>
      <c r="R75" s="10"/>
      <c r="S75" s="11">
        <v>46025</v>
      </c>
      <c r="T75" s="13">
        <v>4</v>
      </c>
      <c r="U75" s="14">
        <v>357.5</v>
      </c>
      <c r="V75" s="15">
        <f t="shared" si="4"/>
        <v>1</v>
      </c>
      <c r="W75" s="15">
        <f t="shared" si="5"/>
        <v>4</v>
      </c>
      <c r="X75" s="16" t="str">
        <f t="shared" si="6"/>
        <v>Fechada</v>
      </c>
      <c r="Y75" s="16" t="str">
        <f t="shared" si="7"/>
        <v>Crítica sem 8D</v>
      </c>
    </row>
    <row r="76" spans="1:25" ht="15" customHeight="1" x14ac:dyDescent="0.3">
      <c r="A76" s="10" t="s">
        <v>401</v>
      </c>
      <c r="B76" s="11">
        <v>46031</v>
      </c>
      <c r="C76" s="10" t="s">
        <v>402</v>
      </c>
      <c r="D76" s="10" t="s">
        <v>144</v>
      </c>
      <c r="E76" s="10" t="s">
        <v>122</v>
      </c>
      <c r="F76" s="10" t="s">
        <v>368</v>
      </c>
      <c r="G76" s="10" t="s">
        <v>152</v>
      </c>
      <c r="H76" s="10" t="s">
        <v>403</v>
      </c>
      <c r="I76" s="10" t="s">
        <v>404</v>
      </c>
      <c r="J76" s="10" t="s">
        <v>177</v>
      </c>
      <c r="K76" s="10" t="s">
        <v>80</v>
      </c>
      <c r="L76" s="10" t="s">
        <v>148</v>
      </c>
      <c r="M76" s="12">
        <v>120</v>
      </c>
      <c r="N76" s="11">
        <v>46032</v>
      </c>
      <c r="O76" s="11">
        <v>46035</v>
      </c>
      <c r="P76" s="10" t="s">
        <v>109</v>
      </c>
      <c r="Q76" s="10" t="s">
        <v>110</v>
      </c>
      <c r="R76" s="10"/>
      <c r="S76" s="11">
        <v>46054</v>
      </c>
      <c r="T76" s="13">
        <v>3</v>
      </c>
      <c r="U76" s="14">
        <v>380</v>
      </c>
      <c r="V76" s="15">
        <f t="shared" si="4"/>
        <v>0</v>
      </c>
      <c r="W76" s="15">
        <f t="shared" si="5"/>
        <v>23</v>
      </c>
      <c r="X76" s="16" t="str">
        <f t="shared" si="6"/>
        <v>Fechada</v>
      </c>
      <c r="Y76" s="16" t="str">
        <f t="shared" si="7"/>
        <v>Crítica sem 8D</v>
      </c>
    </row>
    <row r="77" spans="1:25" ht="15" customHeight="1" x14ac:dyDescent="0.3">
      <c r="A77" s="10" t="s">
        <v>405</v>
      </c>
      <c r="B77" s="11">
        <v>46033</v>
      </c>
      <c r="C77" s="10" t="s">
        <v>402</v>
      </c>
      <c r="D77" s="10" t="s">
        <v>320</v>
      </c>
      <c r="E77" s="10" t="s">
        <v>122</v>
      </c>
      <c r="F77" s="10" t="s">
        <v>406</v>
      </c>
      <c r="G77" s="10" t="s">
        <v>115</v>
      </c>
      <c r="H77" s="10" t="s">
        <v>407</v>
      </c>
      <c r="I77" s="10"/>
      <c r="J77" s="10" t="s">
        <v>164</v>
      </c>
      <c r="K77" s="10" t="s">
        <v>118</v>
      </c>
      <c r="L77" s="10" t="s">
        <v>132</v>
      </c>
      <c r="M77" s="12">
        <v>20</v>
      </c>
      <c r="N77" s="11">
        <v>46036</v>
      </c>
      <c r="O77" s="11">
        <v>46041</v>
      </c>
      <c r="P77" s="10" t="s">
        <v>109</v>
      </c>
      <c r="Q77" s="10" t="s">
        <v>119</v>
      </c>
      <c r="R77" s="10"/>
      <c r="S77" s="11">
        <v>46062</v>
      </c>
      <c r="T77" s="13">
        <v>3</v>
      </c>
      <c r="U77" s="14">
        <v>45</v>
      </c>
      <c r="V77" s="15">
        <f t="shared" si="4"/>
        <v>2</v>
      </c>
      <c r="W77" s="15">
        <f t="shared" si="5"/>
        <v>29</v>
      </c>
      <c r="X77" s="16" t="str">
        <f t="shared" si="6"/>
        <v>Fechada</v>
      </c>
      <c r="Y77" s="16" t="str">
        <f t="shared" si="7"/>
        <v>Sem encomenda (rastreio)</v>
      </c>
    </row>
    <row r="78" spans="1:25" ht="15" customHeight="1" x14ac:dyDescent="0.3">
      <c r="A78" s="10" t="s">
        <v>408</v>
      </c>
      <c r="B78" s="11">
        <v>46045</v>
      </c>
      <c r="C78" s="10" t="s">
        <v>402</v>
      </c>
      <c r="D78" s="10" t="s">
        <v>134</v>
      </c>
      <c r="E78" s="10" t="s">
        <v>102</v>
      </c>
      <c r="F78" s="10" t="s">
        <v>409</v>
      </c>
      <c r="G78" s="10" t="s">
        <v>104</v>
      </c>
      <c r="H78" s="10" t="s">
        <v>410</v>
      </c>
      <c r="I78" s="10" t="s">
        <v>411</v>
      </c>
      <c r="J78" s="10" t="s">
        <v>323</v>
      </c>
      <c r="K78" s="10" t="s">
        <v>80</v>
      </c>
      <c r="L78" s="10" t="s">
        <v>108</v>
      </c>
      <c r="M78" s="12">
        <v>60</v>
      </c>
      <c r="N78" s="11">
        <v>46046</v>
      </c>
      <c r="O78" s="11">
        <v>46052</v>
      </c>
      <c r="P78" s="10" t="s">
        <v>109</v>
      </c>
      <c r="Q78" s="10" t="s">
        <v>110</v>
      </c>
      <c r="R78" s="10"/>
      <c r="S78" s="11">
        <v>46075</v>
      </c>
      <c r="T78" s="13">
        <v>4</v>
      </c>
      <c r="U78" s="14">
        <v>135</v>
      </c>
      <c r="V78" s="15">
        <f t="shared" si="4"/>
        <v>0</v>
      </c>
      <c r="W78" s="15">
        <f t="shared" si="5"/>
        <v>30</v>
      </c>
      <c r="X78" s="16" t="str">
        <f t="shared" si="6"/>
        <v>Fechada</v>
      </c>
      <c r="Y78" s="16" t="str">
        <f t="shared" si="7"/>
        <v>OK</v>
      </c>
    </row>
    <row r="79" spans="1:25" ht="15" customHeight="1" x14ac:dyDescent="0.3">
      <c r="A79" s="10" t="s">
        <v>412</v>
      </c>
      <c r="B79" s="11">
        <v>46046</v>
      </c>
      <c r="C79" s="10" t="s">
        <v>402</v>
      </c>
      <c r="D79" s="10" t="s">
        <v>144</v>
      </c>
      <c r="E79" s="10" t="s">
        <v>135</v>
      </c>
      <c r="F79" s="10" t="s">
        <v>413</v>
      </c>
      <c r="G79" s="10" t="s">
        <v>104</v>
      </c>
      <c r="H79" s="10" t="s">
        <v>414</v>
      </c>
      <c r="I79" s="10" t="s">
        <v>415</v>
      </c>
      <c r="J79" s="10" t="s">
        <v>323</v>
      </c>
      <c r="K79" s="10" t="s">
        <v>80</v>
      </c>
      <c r="L79" s="10" t="s">
        <v>108</v>
      </c>
      <c r="M79" s="12">
        <v>74</v>
      </c>
      <c r="N79" s="11">
        <v>46047</v>
      </c>
      <c r="O79" s="11">
        <v>46053</v>
      </c>
      <c r="P79" s="10" t="s">
        <v>109</v>
      </c>
      <c r="Q79" s="10" t="s">
        <v>110</v>
      </c>
      <c r="R79" s="10"/>
      <c r="S79" s="11">
        <v>46074</v>
      </c>
      <c r="T79" s="13">
        <v>3</v>
      </c>
      <c r="U79" s="14">
        <v>138.5</v>
      </c>
      <c r="V79" s="15">
        <f t="shared" si="4"/>
        <v>-1</v>
      </c>
      <c r="W79" s="15">
        <f t="shared" si="5"/>
        <v>28</v>
      </c>
      <c r="X79" s="16" t="str">
        <f t="shared" si="6"/>
        <v>Fechada</v>
      </c>
      <c r="Y79" s="16" t="str">
        <f t="shared" si="7"/>
        <v>OK</v>
      </c>
    </row>
    <row r="80" spans="1:25" ht="15" customHeight="1" x14ac:dyDescent="0.3">
      <c r="A80" s="10" t="s">
        <v>416</v>
      </c>
      <c r="B80" s="11">
        <v>46047</v>
      </c>
      <c r="C80" s="10" t="s">
        <v>402</v>
      </c>
      <c r="D80" s="10" t="s">
        <v>139</v>
      </c>
      <c r="E80" s="10" t="s">
        <v>135</v>
      </c>
      <c r="F80" s="10" t="s">
        <v>406</v>
      </c>
      <c r="G80" s="10" t="s">
        <v>152</v>
      </c>
      <c r="H80" s="10" t="s">
        <v>417</v>
      </c>
      <c r="I80" s="10"/>
      <c r="J80" s="10" t="s">
        <v>131</v>
      </c>
      <c r="K80" s="10" t="s">
        <v>118</v>
      </c>
      <c r="L80" s="10" t="s">
        <v>132</v>
      </c>
      <c r="M80" s="12">
        <v>25</v>
      </c>
      <c r="N80" s="11">
        <v>46048</v>
      </c>
      <c r="O80" s="11">
        <v>46056</v>
      </c>
      <c r="P80" s="10" t="s">
        <v>109</v>
      </c>
      <c r="Q80" s="10" t="s">
        <v>119</v>
      </c>
      <c r="R80" s="10"/>
      <c r="S80" s="11">
        <v>46057</v>
      </c>
      <c r="T80" s="13">
        <v>2</v>
      </c>
      <c r="U80" s="14">
        <v>46.25</v>
      </c>
      <c r="V80" s="15">
        <f t="shared" si="4"/>
        <v>0</v>
      </c>
      <c r="W80" s="15">
        <f t="shared" si="5"/>
        <v>10</v>
      </c>
      <c r="X80" s="16" t="str">
        <f t="shared" si="6"/>
        <v>Fechada</v>
      </c>
      <c r="Y80" s="16" t="str">
        <f t="shared" si="7"/>
        <v>Sem encomenda (rastreio)</v>
      </c>
    </row>
    <row r="81" spans="1:25" ht="15" customHeight="1" x14ac:dyDescent="0.3">
      <c r="A81" s="10" t="s">
        <v>418</v>
      </c>
      <c r="B81" s="11">
        <v>46047</v>
      </c>
      <c r="C81" s="10" t="s">
        <v>402</v>
      </c>
      <c r="D81" s="10" t="s">
        <v>320</v>
      </c>
      <c r="E81" s="10" t="s">
        <v>122</v>
      </c>
      <c r="F81" s="10" t="s">
        <v>419</v>
      </c>
      <c r="G81" s="10" t="s">
        <v>152</v>
      </c>
      <c r="H81" s="10" t="s">
        <v>420</v>
      </c>
      <c r="I81" s="10" t="s">
        <v>421</v>
      </c>
      <c r="J81" s="10" t="s">
        <v>335</v>
      </c>
      <c r="K81" s="10" t="s">
        <v>80</v>
      </c>
      <c r="L81" s="10" t="s">
        <v>148</v>
      </c>
      <c r="M81" s="12">
        <v>110</v>
      </c>
      <c r="N81" s="11">
        <v>46049</v>
      </c>
      <c r="O81" s="11">
        <v>46050</v>
      </c>
      <c r="P81" s="10" t="s">
        <v>109</v>
      </c>
      <c r="Q81" s="10" t="s">
        <v>110</v>
      </c>
      <c r="R81" s="10" t="s">
        <v>422</v>
      </c>
      <c r="S81" s="11">
        <v>46051</v>
      </c>
      <c r="T81" s="13">
        <v>4</v>
      </c>
      <c r="U81" s="14">
        <v>377.5</v>
      </c>
      <c r="V81" s="15">
        <f t="shared" si="4"/>
        <v>1</v>
      </c>
      <c r="W81" s="15">
        <f t="shared" si="5"/>
        <v>4</v>
      </c>
      <c r="X81" s="16" t="str">
        <f t="shared" si="6"/>
        <v>Fechada</v>
      </c>
      <c r="Y81" s="16" t="str">
        <f t="shared" si="7"/>
        <v>OK</v>
      </c>
    </row>
    <row r="82" spans="1:25" ht="15" customHeight="1" x14ac:dyDescent="0.3">
      <c r="A82" s="10" t="s">
        <v>423</v>
      </c>
      <c r="B82" s="11">
        <v>46051</v>
      </c>
      <c r="C82" s="10" t="s">
        <v>402</v>
      </c>
      <c r="D82" s="10" t="s">
        <v>101</v>
      </c>
      <c r="E82" s="10" t="s">
        <v>102</v>
      </c>
      <c r="F82" s="10" t="s">
        <v>409</v>
      </c>
      <c r="G82" s="10" t="s">
        <v>104</v>
      </c>
      <c r="H82" s="10" t="s">
        <v>424</v>
      </c>
      <c r="I82" s="10" t="s">
        <v>425</v>
      </c>
      <c r="J82" s="10" t="s">
        <v>131</v>
      </c>
      <c r="K82" s="10" t="s">
        <v>118</v>
      </c>
      <c r="L82" s="10" t="s">
        <v>132</v>
      </c>
      <c r="M82" s="12">
        <v>225</v>
      </c>
      <c r="N82" s="11">
        <v>46053</v>
      </c>
      <c r="O82" s="11">
        <v>46054</v>
      </c>
      <c r="P82" s="10" t="s">
        <v>109</v>
      </c>
      <c r="Q82" s="10" t="s">
        <v>119</v>
      </c>
      <c r="R82" s="10"/>
      <c r="S82" s="11">
        <v>46078</v>
      </c>
      <c r="T82" s="13">
        <v>5</v>
      </c>
      <c r="U82" s="14">
        <v>96.25</v>
      </c>
      <c r="V82" s="15">
        <f t="shared" si="4"/>
        <v>1</v>
      </c>
      <c r="W82" s="15">
        <f t="shared" si="5"/>
        <v>27</v>
      </c>
      <c r="X82" s="16" t="str">
        <f t="shared" si="6"/>
        <v>Fechada</v>
      </c>
      <c r="Y82" s="16" t="str">
        <f t="shared" si="7"/>
        <v>OK</v>
      </c>
    </row>
    <row r="83" spans="1:25" ht="15" customHeight="1" x14ac:dyDescent="0.3">
      <c r="A83" s="10" t="s">
        <v>426</v>
      </c>
      <c r="B83" s="11">
        <v>46052</v>
      </c>
      <c r="C83" s="10" t="s">
        <v>402</v>
      </c>
      <c r="D83" s="10" t="s">
        <v>113</v>
      </c>
      <c r="E83" s="10" t="s">
        <v>102</v>
      </c>
      <c r="F83" s="10" t="s">
        <v>103</v>
      </c>
      <c r="G83" s="10" t="s">
        <v>104</v>
      </c>
      <c r="H83" s="10" t="s">
        <v>427</v>
      </c>
      <c r="I83" s="10" t="s">
        <v>428</v>
      </c>
      <c r="J83" s="10" t="s">
        <v>117</v>
      </c>
      <c r="K83" s="10" t="s">
        <v>118</v>
      </c>
      <c r="L83" s="10" t="s">
        <v>148</v>
      </c>
      <c r="M83" s="12">
        <v>77</v>
      </c>
      <c r="N83" s="11">
        <v>46053</v>
      </c>
      <c r="O83" s="11">
        <v>46060</v>
      </c>
      <c r="P83" s="10" t="s">
        <v>109</v>
      </c>
      <c r="Q83" s="10" t="s">
        <v>119</v>
      </c>
      <c r="R83" s="10"/>
      <c r="S83" s="11">
        <v>46060</v>
      </c>
      <c r="T83" s="13">
        <v>5</v>
      </c>
      <c r="U83" s="14">
        <v>369.25</v>
      </c>
      <c r="V83" s="15">
        <f t="shared" si="4"/>
        <v>0</v>
      </c>
      <c r="W83" s="15">
        <f t="shared" si="5"/>
        <v>8</v>
      </c>
      <c r="X83" s="16" t="str">
        <f t="shared" si="6"/>
        <v>Fechada</v>
      </c>
      <c r="Y83" s="16" t="str">
        <f t="shared" si="7"/>
        <v>Crítica sem 8D</v>
      </c>
    </row>
    <row r="84" spans="1:25" ht="15" customHeight="1" x14ac:dyDescent="0.3">
      <c r="A84" s="10" t="s">
        <v>429</v>
      </c>
      <c r="B84" s="11">
        <v>46057</v>
      </c>
      <c r="C84" s="10" t="s">
        <v>430</v>
      </c>
      <c r="D84" s="10" t="s">
        <v>210</v>
      </c>
      <c r="E84" s="10" t="s">
        <v>122</v>
      </c>
      <c r="F84" s="10" t="s">
        <v>169</v>
      </c>
      <c r="G84" s="10" t="s">
        <v>104</v>
      </c>
      <c r="H84" s="10" t="s">
        <v>431</v>
      </c>
      <c r="I84" s="10" t="s">
        <v>432</v>
      </c>
      <c r="J84" s="10" t="s">
        <v>203</v>
      </c>
      <c r="K84" s="10" t="s">
        <v>80</v>
      </c>
      <c r="L84" s="10" t="s">
        <v>108</v>
      </c>
      <c r="M84" s="12">
        <v>40</v>
      </c>
      <c r="N84" s="11">
        <v>46058</v>
      </c>
      <c r="O84" s="11">
        <v>46060</v>
      </c>
      <c r="P84" s="10" t="s">
        <v>109</v>
      </c>
      <c r="Q84" s="10" t="s">
        <v>110</v>
      </c>
      <c r="R84" s="10"/>
      <c r="S84" s="11">
        <v>46060</v>
      </c>
      <c r="T84" s="13">
        <v>3</v>
      </c>
      <c r="U84" s="14">
        <v>130</v>
      </c>
      <c r="V84" s="15">
        <f t="shared" si="4"/>
        <v>1</v>
      </c>
      <c r="W84" s="15">
        <f t="shared" si="5"/>
        <v>3</v>
      </c>
      <c r="X84" s="16" t="str">
        <f t="shared" si="6"/>
        <v>Fechada</v>
      </c>
      <c r="Y84" s="16" t="str">
        <f t="shared" si="7"/>
        <v>OK</v>
      </c>
    </row>
    <row r="85" spans="1:25" ht="15" customHeight="1" x14ac:dyDescent="0.3">
      <c r="A85" s="10" t="s">
        <v>433</v>
      </c>
      <c r="B85" s="11">
        <v>46060</v>
      </c>
      <c r="C85" s="10" t="s">
        <v>430</v>
      </c>
      <c r="D85" s="10" t="s">
        <v>182</v>
      </c>
      <c r="E85" s="10" t="s">
        <v>122</v>
      </c>
      <c r="F85" s="10" t="s">
        <v>301</v>
      </c>
      <c r="G85" s="10" t="s">
        <v>152</v>
      </c>
      <c r="H85" s="10" t="s">
        <v>434</v>
      </c>
      <c r="I85" s="10" t="s">
        <v>435</v>
      </c>
      <c r="J85" s="10" t="s">
        <v>208</v>
      </c>
      <c r="K85" s="10" t="s">
        <v>80</v>
      </c>
      <c r="L85" s="10" t="s">
        <v>108</v>
      </c>
      <c r="M85" s="12">
        <v>129</v>
      </c>
      <c r="N85" s="11">
        <v>46063</v>
      </c>
      <c r="O85" s="11">
        <v>46063</v>
      </c>
      <c r="P85" s="10" t="s">
        <v>109</v>
      </c>
      <c r="Q85" s="10" t="s">
        <v>110</v>
      </c>
      <c r="R85" s="10"/>
      <c r="S85" s="11">
        <v>46090</v>
      </c>
      <c r="T85" s="13">
        <v>4</v>
      </c>
      <c r="U85" s="14">
        <v>152.25</v>
      </c>
      <c r="V85" s="15">
        <f t="shared" si="4"/>
        <v>1</v>
      </c>
      <c r="W85" s="15">
        <f t="shared" si="5"/>
        <v>30</v>
      </c>
      <c r="X85" s="16" t="str">
        <f t="shared" si="6"/>
        <v>Fechada</v>
      </c>
      <c r="Y85" s="16" t="str">
        <f t="shared" si="7"/>
        <v>OK</v>
      </c>
    </row>
    <row r="86" spans="1:25" ht="15" customHeight="1" x14ac:dyDescent="0.3">
      <c r="A86" s="10" t="s">
        <v>436</v>
      </c>
      <c r="B86" s="11">
        <v>46062</v>
      </c>
      <c r="C86" s="10" t="s">
        <v>430</v>
      </c>
      <c r="D86" s="10" t="s">
        <v>155</v>
      </c>
      <c r="E86" s="10" t="s">
        <v>135</v>
      </c>
      <c r="F86" s="10" t="s">
        <v>437</v>
      </c>
      <c r="G86" s="10" t="s">
        <v>152</v>
      </c>
      <c r="H86" s="10" t="s">
        <v>438</v>
      </c>
      <c r="I86" s="10" t="s">
        <v>439</v>
      </c>
      <c r="J86" s="10" t="s">
        <v>386</v>
      </c>
      <c r="K86" s="10" t="s">
        <v>80</v>
      </c>
      <c r="L86" s="10" t="s">
        <v>148</v>
      </c>
      <c r="M86" s="12">
        <v>8</v>
      </c>
      <c r="N86" s="11">
        <v>46063</v>
      </c>
      <c r="O86" s="11">
        <v>46067</v>
      </c>
      <c r="P86" s="10" t="s">
        <v>109</v>
      </c>
      <c r="Q86" s="10" t="s">
        <v>110</v>
      </c>
      <c r="R86" s="10"/>
      <c r="S86" s="11">
        <v>46081</v>
      </c>
      <c r="T86" s="13">
        <v>5</v>
      </c>
      <c r="U86" s="14">
        <v>352</v>
      </c>
      <c r="V86" s="15">
        <f t="shared" si="4"/>
        <v>1</v>
      </c>
      <c r="W86" s="15">
        <f t="shared" si="5"/>
        <v>19</v>
      </c>
      <c r="X86" s="16" t="str">
        <f t="shared" si="6"/>
        <v>Fechada</v>
      </c>
      <c r="Y86" s="16" t="str">
        <f t="shared" si="7"/>
        <v>Crítica sem 8D</v>
      </c>
    </row>
    <row r="87" spans="1:25" ht="15" customHeight="1" x14ac:dyDescent="0.3">
      <c r="A87" s="10" t="s">
        <v>440</v>
      </c>
      <c r="B87" s="11">
        <v>46064</v>
      </c>
      <c r="C87" s="10" t="s">
        <v>430</v>
      </c>
      <c r="D87" s="10" t="s">
        <v>121</v>
      </c>
      <c r="E87" s="10" t="s">
        <v>122</v>
      </c>
      <c r="F87" s="10" t="s">
        <v>343</v>
      </c>
      <c r="G87" s="10" t="s">
        <v>152</v>
      </c>
      <c r="H87" s="10" t="s">
        <v>441</v>
      </c>
      <c r="I87" s="10" t="s">
        <v>442</v>
      </c>
      <c r="J87" s="10" t="s">
        <v>164</v>
      </c>
      <c r="K87" s="10" t="s">
        <v>118</v>
      </c>
      <c r="L87" s="10" t="s">
        <v>108</v>
      </c>
      <c r="M87" s="12">
        <v>50</v>
      </c>
      <c r="N87" s="11">
        <v>46065</v>
      </c>
      <c r="O87" s="11">
        <v>46067</v>
      </c>
      <c r="P87" s="10" t="s">
        <v>109</v>
      </c>
      <c r="Q87" s="10" t="s">
        <v>119</v>
      </c>
      <c r="R87" s="10"/>
      <c r="S87" s="11">
        <v>46083</v>
      </c>
      <c r="T87" s="13">
        <v>3</v>
      </c>
      <c r="U87" s="14">
        <v>132.5</v>
      </c>
      <c r="V87" s="15">
        <f t="shared" si="4"/>
        <v>1</v>
      </c>
      <c r="W87" s="15">
        <f t="shared" si="5"/>
        <v>19</v>
      </c>
      <c r="X87" s="16" t="str">
        <f t="shared" si="6"/>
        <v>Fechada</v>
      </c>
      <c r="Y87" s="16" t="str">
        <f t="shared" si="7"/>
        <v>OK</v>
      </c>
    </row>
    <row r="88" spans="1:25" ht="15" customHeight="1" x14ac:dyDescent="0.3">
      <c r="A88" s="10" t="s">
        <v>443</v>
      </c>
      <c r="B88" s="11">
        <v>46065</v>
      </c>
      <c r="C88" s="10" t="s">
        <v>430</v>
      </c>
      <c r="D88" s="10" t="s">
        <v>210</v>
      </c>
      <c r="E88" s="10" t="s">
        <v>102</v>
      </c>
      <c r="F88" s="10" t="s">
        <v>444</v>
      </c>
      <c r="G88" s="10" t="s">
        <v>152</v>
      </c>
      <c r="H88" s="10" t="s">
        <v>445</v>
      </c>
      <c r="I88" s="10" t="s">
        <v>446</v>
      </c>
      <c r="J88" s="10" t="s">
        <v>191</v>
      </c>
      <c r="K88" s="10" t="s">
        <v>118</v>
      </c>
      <c r="L88" s="10" t="s">
        <v>148</v>
      </c>
      <c r="M88" s="12">
        <v>48</v>
      </c>
      <c r="N88" s="11">
        <v>46066</v>
      </c>
      <c r="O88" s="11">
        <v>46070</v>
      </c>
      <c r="P88" s="10" t="s">
        <v>109</v>
      </c>
      <c r="Q88" s="10" t="s">
        <v>119</v>
      </c>
      <c r="R88" s="10"/>
      <c r="S88" s="11">
        <v>46099</v>
      </c>
      <c r="T88" s="13">
        <v>3</v>
      </c>
      <c r="U88" s="14">
        <v>362</v>
      </c>
      <c r="V88" s="15">
        <f t="shared" si="4"/>
        <v>1</v>
      </c>
      <c r="W88" s="15">
        <f t="shared" si="5"/>
        <v>34</v>
      </c>
      <c r="X88" s="16" t="str">
        <f t="shared" si="6"/>
        <v>Fechada</v>
      </c>
      <c r="Y88" s="16" t="str">
        <f t="shared" si="7"/>
        <v>Crítica sem 8D</v>
      </c>
    </row>
    <row r="89" spans="1:25" ht="15" customHeight="1" x14ac:dyDescent="0.3">
      <c r="A89" s="10" t="s">
        <v>447</v>
      </c>
      <c r="B89" s="11">
        <v>46065</v>
      </c>
      <c r="C89" s="10" t="s">
        <v>430</v>
      </c>
      <c r="D89" s="10" t="s">
        <v>320</v>
      </c>
      <c r="E89" s="10" t="s">
        <v>122</v>
      </c>
      <c r="F89" s="10" t="s">
        <v>169</v>
      </c>
      <c r="G89" s="10" t="s">
        <v>104</v>
      </c>
      <c r="H89" s="10" t="s">
        <v>448</v>
      </c>
      <c r="I89" s="10" t="s">
        <v>449</v>
      </c>
      <c r="J89" s="10" t="s">
        <v>117</v>
      </c>
      <c r="K89" s="10" t="s">
        <v>118</v>
      </c>
      <c r="L89" s="10" t="s">
        <v>132</v>
      </c>
      <c r="M89" s="12">
        <v>134</v>
      </c>
      <c r="N89" s="11">
        <v>46067</v>
      </c>
      <c r="O89" s="11">
        <v>46074</v>
      </c>
      <c r="P89" s="10" t="s">
        <v>109</v>
      </c>
      <c r="Q89" s="10" t="s">
        <v>119</v>
      </c>
      <c r="R89" s="10"/>
      <c r="S89" s="11">
        <v>46085</v>
      </c>
      <c r="T89" s="13">
        <v>5</v>
      </c>
      <c r="U89" s="14">
        <v>73.5</v>
      </c>
      <c r="V89" s="15">
        <f t="shared" si="4"/>
        <v>1</v>
      </c>
      <c r="W89" s="15">
        <f t="shared" si="5"/>
        <v>20</v>
      </c>
      <c r="X89" s="16" t="str">
        <f t="shared" si="6"/>
        <v>Fechada</v>
      </c>
      <c r="Y89" s="16" t="str">
        <f t="shared" si="7"/>
        <v>OK</v>
      </c>
    </row>
    <row r="90" spans="1:25" ht="15" customHeight="1" x14ac:dyDescent="0.3">
      <c r="A90" s="10" t="s">
        <v>450</v>
      </c>
      <c r="B90" s="11">
        <v>46066</v>
      </c>
      <c r="C90" s="10" t="s">
        <v>430</v>
      </c>
      <c r="D90" s="10" t="s">
        <v>144</v>
      </c>
      <c r="E90" s="10" t="s">
        <v>122</v>
      </c>
      <c r="F90" s="10" t="s">
        <v>301</v>
      </c>
      <c r="G90" s="10" t="s">
        <v>152</v>
      </c>
      <c r="H90" s="10" t="s">
        <v>451</v>
      </c>
      <c r="I90" s="10" t="s">
        <v>452</v>
      </c>
      <c r="J90" s="10" t="s">
        <v>386</v>
      </c>
      <c r="K90" s="10" t="s">
        <v>80</v>
      </c>
      <c r="L90" s="10" t="s">
        <v>148</v>
      </c>
      <c r="M90" s="12">
        <v>49</v>
      </c>
      <c r="N90" s="11">
        <v>46068</v>
      </c>
      <c r="O90" s="11">
        <v>46074</v>
      </c>
      <c r="P90" s="10" t="s">
        <v>109</v>
      </c>
      <c r="Q90" s="10" t="s">
        <v>110</v>
      </c>
      <c r="R90" s="10"/>
      <c r="S90" s="11">
        <v>46097</v>
      </c>
      <c r="T90" s="13">
        <v>4</v>
      </c>
      <c r="U90" s="14">
        <v>362.25</v>
      </c>
      <c r="V90" s="15">
        <f t="shared" si="4"/>
        <v>0</v>
      </c>
      <c r="W90" s="15">
        <f t="shared" si="5"/>
        <v>31</v>
      </c>
      <c r="X90" s="16" t="str">
        <f t="shared" si="6"/>
        <v>Fechada</v>
      </c>
      <c r="Y90" s="16" t="str">
        <f t="shared" si="7"/>
        <v>Crítica sem 8D</v>
      </c>
    </row>
    <row r="91" spans="1:25" ht="15" customHeight="1" x14ac:dyDescent="0.3">
      <c r="A91" s="10" t="s">
        <v>453</v>
      </c>
      <c r="B91" s="11">
        <v>46075</v>
      </c>
      <c r="C91" s="10" t="s">
        <v>430</v>
      </c>
      <c r="D91" s="10" t="s">
        <v>182</v>
      </c>
      <c r="E91" s="10" t="s">
        <v>102</v>
      </c>
      <c r="F91" s="10" t="s">
        <v>454</v>
      </c>
      <c r="G91" s="10" t="s">
        <v>152</v>
      </c>
      <c r="H91" s="10" t="s">
        <v>455</v>
      </c>
      <c r="I91" s="10" t="s">
        <v>456</v>
      </c>
      <c r="J91" s="10" t="s">
        <v>164</v>
      </c>
      <c r="K91" s="10" t="s">
        <v>118</v>
      </c>
      <c r="L91" s="10" t="s">
        <v>132</v>
      </c>
      <c r="M91" s="12">
        <v>26</v>
      </c>
      <c r="N91" s="11">
        <v>46078</v>
      </c>
      <c r="O91" s="11">
        <v>46084</v>
      </c>
      <c r="P91" s="10" t="s">
        <v>109</v>
      </c>
      <c r="Q91" s="10" t="s">
        <v>119</v>
      </c>
      <c r="R91" s="10"/>
      <c r="S91" s="11">
        <v>46086</v>
      </c>
      <c r="T91" s="13">
        <v>4</v>
      </c>
      <c r="U91" s="14">
        <v>46.5</v>
      </c>
      <c r="V91" s="15">
        <f t="shared" si="4"/>
        <v>2</v>
      </c>
      <c r="W91" s="15">
        <f t="shared" si="5"/>
        <v>11</v>
      </c>
      <c r="X91" s="16" t="str">
        <f t="shared" si="6"/>
        <v>Fechada</v>
      </c>
      <c r="Y91" s="16" t="str">
        <f t="shared" si="7"/>
        <v>OK</v>
      </c>
    </row>
    <row r="92" spans="1:25" ht="15" customHeight="1" x14ac:dyDescent="0.3">
      <c r="A92" s="10" t="s">
        <v>457</v>
      </c>
      <c r="B92" s="11">
        <v>46078</v>
      </c>
      <c r="C92" s="10" t="s">
        <v>430</v>
      </c>
      <c r="D92" s="10" t="s">
        <v>139</v>
      </c>
      <c r="E92" s="10" t="s">
        <v>102</v>
      </c>
      <c r="F92" s="10" t="s">
        <v>458</v>
      </c>
      <c r="G92" s="10" t="s">
        <v>152</v>
      </c>
      <c r="H92" s="10" t="s">
        <v>459</v>
      </c>
      <c r="I92" s="10"/>
      <c r="J92" s="10" t="s">
        <v>117</v>
      </c>
      <c r="K92" s="10" t="s">
        <v>118</v>
      </c>
      <c r="L92" s="10" t="s">
        <v>132</v>
      </c>
      <c r="M92" s="12">
        <v>9</v>
      </c>
      <c r="N92" s="11">
        <v>46082</v>
      </c>
      <c r="O92" s="11">
        <v>46082</v>
      </c>
      <c r="P92" s="10" t="s">
        <v>109</v>
      </c>
      <c r="Q92" s="10" t="s">
        <v>119</v>
      </c>
      <c r="R92" s="10"/>
      <c r="S92" s="11">
        <v>46094</v>
      </c>
      <c r="T92" s="13">
        <v>4</v>
      </c>
      <c r="U92" s="14">
        <v>42.25</v>
      </c>
      <c r="V92" s="15">
        <f t="shared" si="4"/>
        <v>2</v>
      </c>
      <c r="W92" s="15">
        <f t="shared" si="5"/>
        <v>16</v>
      </c>
      <c r="X92" s="16" t="str">
        <f t="shared" si="6"/>
        <v>Fechada</v>
      </c>
      <c r="Y92" s="16" t="str">
        <f t="shared" si="7"/>
        <v>Sem encomenda (rastreio)</v>
      </c>
    </row>
    <row r="93" spans="1:25" ht="15" customHeight="1" x14ac:dyDescent="0.3">
      <c r="A93" s="10" t="s">
        <v>460</v>
      </c>
      <c r="B93" s="11">
        <v>46082</v>
      </c>
      <c r="C93" s="10" t="s">
        <v>461</v>
      </c>
      <c r="D93" s="10" t="s">
        <v>210</v>
      </c>
      <c r="E93" s="10" t="s">
        <v>135</v>
      </c>
      <c r="F93" s="10" t="s">
        <v>462</v>
      </c>
      <c r="G93" s="10" t="s">
        <v>152</v>
      </c>
      <c r="H93" s="10" t="s">
        <v>463</v>
      </c>
      <c r="I93" s="10" t="s">
        <v>464</v>
      </c>
      <c r="J93" s="10" t="s">
        <v>386</v>
      </c>
      <c r="K93" s="10" t="s">
        <v>80</v>
      </c>
      <c r="L93" s="10" t="s">
        <v>108</v>
      </c>
      <c r="M93" s="12">
        <v>105</v>
      </c>
      <c r="N93" s="11">
        <v>46084</v>
      </c>
      <c r="O93" s="11">
        <v>46085</v>
      </c>
      <c r="P93" s="10" t="s">
        <v>109</v>
      </c>
      <c r="Q93" s="10" t="s">
        <v>110</v>
      </c>
      <c r="R93" s="10"/>
      <c r="S93" s="11">
        <v>46110</v>
      </c>
      <c r="T93" s="13">
        <v>3</v>
      </c>
      <c r="U93" s="14">
        <v>146.25</v>
      </c>
      <c r="V93" s="15">
        <f t="shared" si="4"/>
        <v>1</v>
      </c>
      <c r="W93" s="15">
        <f t="shared" si="5"/>
        <v>28</v>
      </c>
      <c r="X93" s="16" t="str">
        <f t="shared" si="6"/>
        <v>Fechada</v>
      </c>
      <c r="Y93" s="16" t="str">
        <f t="shared" si="7"/>
        <v>OK</v>
      </c>
    </row>
    <row r="94" spans="1:25" ht="15" customHeight="1" x14ac:dyDescent="0.3">
      <c r="A94" s="10" t="s">
        <v>465</v>
      </c>
      <c r="B94" s="11">
        <v>46082</v>
      </c>
      <c r="C94" s="10" t="s">
        <v>461</v>
      </c>
      <c r="D94" s="10" t="s">
        <v>267</v>
      </c>
      <c r="E94" s="10" t="s">
        <v>122</v>
      </c>
      <c r="F94" s="10" t="s">
        <v>128</v>
      </c>
      <c r="G94" s="10" t="s">
        <v>104</v>
      </c>
      <c r="H94" s="10" t="s">
        <v>466</v>
      </c>
      <c r="I94" s="10" t="s">
        <v>467</v>
      </c>
      <c r="J94" s="10" t="s">
        <v>203</v>
      </c>
      <c r="K94" s="10" t="s">
        <v>80</v>
      </c>
      <c r="L94" s="10" t="s">
        <v>108</v>
      </c>
      <c r="M94" s="12">
        <v>112</v>
      </c>
      <c r="N94" s="11">
        <v>46084</v>
      </c>
      <c r="O94" s="11">
        <v>46085</v>
      </c>
      <c r="P94" s="10" t="s">
        <v>109</v>
      </c>
      <c r="Q94" s="10" t="s">
        <v>110</v>
      </c>
      <c r="R94" s="10"/>
      <c r="S94" s="11">
        <v>46087</v>
      </c>
      <c r="T94" s="13">
        <v>5</v>
      </c>
      <c r="U94" s="14">
        <v>148</v>
      </c>
      <c r="V94" s="15">
        <f t="shared" si="4"/>
        <v>1</v>
      </c>
      <c r="W94" s="15">
        <f t="shared" si="5"/>
        <v>5</v>
      </c>
      <c r="X94" s="16" t="str">
        <f t="shared" si="6"/>
        <v>Fechada</v>
      </c>
      <c r="Y94" s="16" t="str">
        <f t="shared" si="7"/>
        <v>OK</v>
      </c>
    </row>
    <row r="95" spans="1:25" ht="15" customHeight="1" x14ac:dyDescent="0.3">
      <c r="A95" s="10" t="s">
        <v>468</v>
      </c>
      <c r="B95" s="11">
        <v>46091</v>
      </c>
      <c r="C95" s="10" t="s">
        <v>461</v>
      </c>
      <c r="D95" s="10" t="s">
        <v>182</v>
      </c>
      <c r="E95" s="10" t="s">
        <v>135</v>
      </c>
      <c r="F95" s="10" t="s">
        <v>284</v>
      </c>
      <c r="G95" s="10" t="s">
        <v>115</v>
      </c>
      <c r="H95" s="10" t="s">
        <v>469</v>
      </c>
      <c r="I95" s="10"/>
      <c r="J95" s="10" t="s">
        <v>117</v>
      </c>
      <c r="K95" s="10" t="s">
        <v>118</v>
      </c>
      <c r="L95" s="10" t="s">
        <v>132</v>
      </c>
      <c r="M95" s="12">
        <v>14</v>
      </c>
      <c r="N95" s="11">
        <v>46091</v>
      </c>
      <c r="O95" s="11">
        <v>46097</v>
      </c>
      <c r="P95" s="10" t="s">
        <v>109</v>
      </c>
      <c r="Q95" s="10" t="s">
        <v>119</v>
      </c>
      <c r="R95" s="10"/>
      <c r="S95" s="11">
        <v>46097</v>
      </c>
      <c r="T95" s="13">
        <v>4</v>
      </c>
      <c r="U95" s="14">
        <v>43.5</v>
      </c>
      <c r="V95" s="15">
        <f t="shared" si="4"/>
        <v>0</v>
      </c>
      <c r="W95" s="15">
        <f t="shared" si="5"/>
        <v>6</v>
      </c>
      <c r="X95" s="16" t="str">
        <f t="shared" si="6"/>
        <v>Fechada</v>
      </c>
      <c r="Y95" s="16" t="str">
        <f t="shared" si="7"/>
        <v>Sem encomenda (rastreio)</v>
      </c>
    </row>
    <row r="96" spans="1:25" ht="15" customHeight="1" x14ac:dyDescent="0.3">
      <c r="A96" s="10" t="s">
        <v>470</v>
      </c>
      <c r="B96" s="11">
        <v>46092</v>
      </c>
      <c r="C96" s="10" t="s">
        <v>461</v>
      </c>
      <c r="D96" s="10" t="s">
        <v>113</v>
      </c>
      <c r="E96" s="10" t="s">
        <v>102</v>
      </c>
      <c r="F96" s="10" t="s">
        <v>471</v>
      </c>
      <c r="G96" s="10" t="s">
        <v>152</v>
      </c>
      <c r="H96" s="10" t="s">
        <v>472</v>
      </c>
      <c r="I96" s="10" t="s">
        <v>473</v>
      </c>
      <c r="J96" s="10" t="s">
        <v>159</v>
      </c>
      <c r="K96" s="10" t="s">
        <v>80</v>
      </c>
      <c r="L96" s="10" t="s">
        <v>108</v>
      </c>
      <c r="M96" s="12">
        <v>11</v>
      </c>
      <c r="N96" s="11">
        <v>46093</v>
      </c>
      <c r="O96" s="11">
        <v>46097</v>
      </c>
      <c r="P96" s="10" t="s">
        <v>109</v>
      </c>
      <c r="Q96" s="10" t="s">
        <v>110</v>
      </c>
      <c r="R96" s="10"/>
      <c r="S96" s="11">
        <v>46106</v>
      </c>
      <c r="T96" s="13">
        <v>3</v>
      </c>
      <c r="U96" s="14">
        <v>122.75</v>
      </c>
      <c r="V96" s="15">
        <f t="shared" si="4"/>
        <v>1</v>
      </c>
      <c r="W96" s="15">
        <f t="shared" si="5"/>
        <v>14</v>
      </c>
      <c r="X96" s="16" t="str">
        <f t="shared" si="6"/>
        <v>Fechada</v>
      </c>
      <c r="Y96" s="16" t="str">
        <f t="shared" si="7"/>
        <v>OK</v>
      </c>
    </row>
    <row r="97" spans="1:25" ht="15" customHeight="1" x14ac:dyDescent="0.3">
      <c r="A97" s="10" t="s">
        <v>474</v>
      </c>
      <c r="B97" s="11">
        <v>46100</v>
      </c>
      <c r="C97" s="10" t="s">
        <v>461</v>
      </c>
      <c r="D97" s="10" t="s">
        <v>144</v>
      </c>
      <c r="E97" s="10" t="s">
        <v>102</v>
      </c>
      <c r="F97" s="10" t="s">
        <v>475</v>
      </c>
      <c r="G97" s="10" t="s">
        <v>152</v>
      </c>
      <c r="H97" s="10" t="s">
        <v>476</v>
      </c>
      <c r="I97" s="10" t="s">
        <v>477</v>
      </c>
      <c r="J97" s="10" t="s">
        <v>159</v>
      </c>
      <c r="K97" s="10" t="s">
        <v>80</v>
      </c>
      <c r="L97" s="10" t="s">
        <v>108</v>
      </c>
      <c r="M97" s="12">
        <v>177</v>
      </c>
      <c r="N97" s="11">
        <v>46104</v>
      </c>
      <c r="O97" s="11">
        <v>46104</v>
      </c>
      <c r="P97" s="10" t="s">
        <v>109</v>
      </c>
      <c r="Q97" s="10" t="s">
        <v>110</v>
      </c>
      <c r="R97" s="10"/>
      <c r="S97" s="11">
        <v>46112</v>
      </c>
      <c r="T97" s="13">
        <v>5</v>
      </c>
      <c r="U97" s="14">
        <v>164.25</v>
      </c>
      <c r="V97" s="15">
        <f t="shared" si="4"/>
        <v>2</v>
      </c>
      <c r="W97" s="15">
        <f t="shared" si="5"/>
        <v>12</v>
      </c>
      <c r="X97" s="16" t="str">
        <f t="shared" si="6"/>
        <v>Fechada</v>
      </c>
      <c r="Y97" s="16" t="str">
        <f t="shared" si="7"/>
        <v>OK</v>
      </c>
    </row>
    <row r="98" spans="1:25" ht="15" customHeight="1" x14ac:dyDescent="0.3">
      <c r="A98" s="10" t="s">
        <v>478</v>
      </c>
      <c r="B98" s="11">
        <v>46102</v>
      </c>
      <c r="C98" s="10" t="s">
        <v>461</v>
      </c>
      <c r="D98" s="10" t="s">
        <v>121</v>
      </c>
      <c r="E98" s="10" t="s">
        <v>122</v>
      </c>
      <c r="F98" s="10" t="s">
        <v>406</v>
      </c>
      <c r="G98" s="10" t="s">
        <v>115</v>
      </c>
      <c r="H98" s="10" t="s">
        <v>479</v>
      </c>
      <c r="I98" s="10"/>
      <c r="J98" s="10" t="s">
        <v>191</v>
      </c>
      <c r="K98" s="10" t="s">
        <v>118</v>
      </c>
      <c r="L98" s="10" t="s">
        <v>132</v>
      </c>
      <c r="M98" s="12">
        <v>12</v>
      </c>
      <c r="N98" s="11">
        <v>46105</v>
      </c>
      <c r="O98" s="11">
        <v>46108</v>
      </c>
      <c r="P98" s="10" t="s">
        <v>109</v>
      </c>
      <c r="Q98" s="10" t="s">
        <v>119</v>
      </c>
      <c r="R98" s="10"/>
      <c r="S98" s="11">
        <v>46113</v>
      </c>
      <c r="T98" s="13">
        <v>4</v>
      </c>
      <c r="U98" s="14">
        <v>43</v>
      </c>
      <c r="V98" s="15">
        <f t="shared" si="4"/>
        <v>1</v>
      </c>
      <c r="W98" s="15">
        <f t="shared" si="5"/>
        <v>11</v>
      </c>
      <c r="X98" s="16" t="str">
        <f t="shared" si="6"/>
        <v>Fechada</v>
      </c>
      <c r="Y98" s="16" t="str">
        <f t="shared" si="7"/>
        <v>Sem encomenda (rastreio)</v>
      </c>
    </row>
    <row r="99" spans="1:25" ht="15" customHeight="1" x14ac:dyDescent="0.3">
      <c r="A99" s="10" t="s">
        <v>480</v>
      </c>
      <c r="B99" s="11">
        <v>46104</v>
      </c>
      <c r="C99" s="10" t="s">
        <v>461</v>
      </c>
      <c r="D99" s="10" t="s">
        <v>155</v>
      </c>
      <c r="E99" s="10" t="s">
        <v>135</v>
      </c>
      <c r="F99" s="10" t="s">
        <v>481</v>
      </c>
      <c r="G99" s="10" t="s">
        <v>152</v>
      </c>
      <c r="H99" s="10" t="s">
        <v>482</v>
      </c>
      <c r="I99" s="10" t="s">
        <v>483</v>
      </c>
      <c r="J99" s="10" t="s">
        <v>191</v>
      </c>
      <c r="K99" s="10" t="s">
        <v>118</v>
      </c>
      <c r="L99" s="10" t="s">
        <v>148</v>
      </c>
      <c r="M99" s="12">
        <v>21</v>
      </c>
      <c r="N99" s="11">
        <v>46104</v>
      </c>
      <c r="O99" s="11">
        <v>46111</v>
      </c>
      <c r="P99" s="10" t="s">
        <v>109</v>
      </c>
      <c r="Q99" s="10" t="s">
        <v>119</v>
      </c>
      <c r="R99" s="10"/>
      <c r="S99" s="11">
        <v>46122</v>
      </c>
      <c r="T99" s="13">
        <v>2</v>
      </c>
      <c r="U99" s="14">
        <v>355.25</v>
      </c>
      <c r="V99" s="15">
        <f t="shared" si="4"/>
        <v>0</v>
      </c>
      <c r="W99" s="15">
        <f t="shared" si="5"/>
        <v>18</v>
      </c>
      <c r="X99" s="16" t="str">
        <f t="shared" si="6"/>
        <v>Fechada</v>
      </c>
      <c r="Y99" s="16" t="str">
        <f t="shared" si="7"/>
        <v>Crítica sem 8D</v>
      </c>
    </row>
    <row r="100" spans="1:25" ht="15" customHeight="1" x14ac:dyDescent="0.3">
      <c r="A100" s="10" t="s">
        <v>484</v>
      </c>
      <c r="B100" s="11">
        <v>46107</v>
      </c>
      <c r="C100" s="10" t="s">
        <v>461</v>
      </c>
      <c r="D100" s="10" t="s">
        <v>210</v>
      </c>
      <c r="E100" s="10" t="s">
        <v>122</v>
      </c>
      <c r="F100" s="10" t="s">
        <v>398</v>
      </c>
      <c r="G100" s="10" t="s">
        <v>152</v>
      </c>
      <c r="H100" s="10" t="s">
        <v>485</v>
      </c>
      <c r="I100" s="10" t="s">
        <v>486</v>
      </c>
      <c r="J100" s="10" t="s">
        <v>335</v>
      </c>
      <c r="K100" s="10" t="s">
        <v>80</v>
      </c>
      <c r="L100" s="10" t="s">
        <v>148</v>
      </c>
      <c r="M100" s="12">
        <v>22</v>
      </c>
      <c r="N100" s="11">
        <v>46111</v>
      </c>
      <c r="O100" s="11">
        <v>46115</v>
      </c>
      <c r="P100" s="10" t="s">
        <v>109</v>
      </c>
      <c r="Q100" s="10" t="s">
        <v>110</v>
      </c>
      <c r="R100" s="10"/>
      <c r="S100" s="11">
        <v>46138</v>
      </c>
      <c r="T100" s="13">
        <v>4</v>
      </c>
      <c r="U100" s="14">
        <v>355.5</v>
      </c>
      <c r="V100" s="15">
        <f t="shared" si="4"/>
        <v>2</v>
      </c>
      <c r="W100" s="15">
        <f t="shared" si="5"/>
        <v>31</v>
      </c>
      <c r="X100" s="16" t="str">
        <f t="shared" si="6"/>
        <v>Fechada</v>
      </c>
      <c r="Y100" s="16" t="str">
        <f t="shared" si="7"/>
        <v>Crítica sem 8D</v>
      </c>
    </row>
    <row r="101" spans="1:25" ht="15" customHeight="1" x14ac:dyDescent="0.3">
      <c r="A101" s="10" t="s">
        <v>487</v>
      </c>
      <c r="B101" s="11">
        <v>46108</v>
      </c>
      <c r="C101" s="10" t="s">
        <v>461</v>
      </c>
      <c r="D101" s="10" t="s">
        <v>155</v>
      </c>
      <c r="E101" s="10" t="s">
        <v>122</v>
      </c>
      <c r="F101" s="10" t="s">
        <v>103</v>
      </c>
      <c r="G101" s="10" t="s">
        <v>104</v>
      </c>
      <c r="H101" s="10" t="s">
        <v>488</v>
      </c>
      <c r="I101" s="10" t="s">
        <v>489</v>
      </c>
      <c r="J101" s="10" t="s">
        <v>117</v>
      </c>
      <c r="K101" s="10" t="s">
        <v>118</v>
      </c>
      <c r="L101" s="10" t="s">
        <v>108</v>
      </c>
      <c r="M101" s="12">
        <v>175</v>
      </c>
      <c r="N101" s="11">
        <v>46109</v>
      </c>
      <c r="O101" s="11">
        <v>46114</v>
      </c>
      <c r="P101" s="10" t="s">
        <v>109</v>
      </c>
      <c r="Q101" s="10" t="s">
        <v>119</v>
      </c>
      <c r="R101" s="10"/>
      <c r="S101" s="11"/>
      <c r="T101" s="13"/>
      <c r="U101" s="14">
        <v>163.75</v>
      </c>
      <c r="V101" s="15">
        <f t="shared" si="4"/>
        <v>0</v>
      </c>
      <c r="W101" s="15">
        <f t="shared" si="5"/>
        <v>279</v>
      </c>
      <c r="X101" s="16" t="str">
        <f t="shared" si="6"/>
        <v>Atrasada</v>
      </c>
      <c r="Y101" s="16" t="str">
        <f t="shared" si="7"/>
        <v>OK</v>
      </c>
    </row>
    <row r="102" spans="1:25" ht="15" customHeight="1" x14ac:dyDescent="0.3">
      <c r="A102" s="10" t="s">
        <v>490</v>
      </c>
      <c r="B102" s="11">
        <v>46111</v>
      </c>
      <c r="C102" s="10" t="s">
        <v>461</v>
      </c>
      <c r="D102" s="10" t="s">
        <v>121</v>
      </c>
      <c r="E102" s="10" t="s">
        <v>122</v>
      </c>
      <c r="F102" s="10" t="s">
        <v>332</v>
      </c>
      <c r="G102" s="10" t="s">
        <v>152</v>
      </c>
      <c r="H102" s="10" t="s">
        <v>491</v>
      </c>
      <c r="I102" s="10" t="s">
        <v>492</v>
      </c>
      <c r="J102" s="10" t="s">
        <v>208</v>
      </c>
      <c r="K102" s="10" t="s">
        <v>80</v>
      </c>
      <c r="L102" s="10" t="s">
        <v>132</v>
      </c>
      <c r="M102" s="12">
        <v>20</v>
      </c>
      <c r="N102" s="11">
        <v>46114</v>
      </c>
      <c r="O102" s="11">
        <v>46117</v>
      </c>
      <c r="P102" s="10" t="s">
        <v>109</v>
      </c>
      <c r="Q102" s="10" t="s">
        <v>110</v>
      </c>
      <c r="R102" s="10"/>
      <c r="S102" s="11"/>
      <c r="T102" s="13"/>
      <c r="U102" s="14">
        <v>45</v>
      </c>
      <c r="V102" s="15">
        <f t="shared" si="4"/>
        <v>3</v>
      </c>
      <c r="W102" s="15">
        <f t="shared" si="5"/>
        <v>276</v>
      </c>
      <c r="X102" s="16" t="str">
        <f t="shared" si="6"/>
        <v>Atrasada</v>
      </c>
      <c r="Y102" s="16" t="str">
        <f t="shared" si="7"/>
        <v>Acusação tardia</v>
      </c>
    </row>
    <row r="103" spans="1:25" ht="15" customHeight="1" x14ac:dyDescent="0.3">
      <c r="A103" s="10" t="s">
        <v>493</v>
      </c>
      <c r="B103" s="11">
        <v>46113</v>
      </c>
      <c r="C103" s="10" t="s">
        <v>494</v>
      </c>
      <c r="D103" s="10" t="s">
        <v>101</v>
      </c>
      <c r="E103" s="10" t="s">
        <v>102</v>
      </c>
      <c r="F103" s="10" t="s">
        <v>495</v>
      </c>
      <c r="G103" s="10" t="s">
        <v>115</v>
      </c>
      <c r="H103" s="10" t="s">
        <v>496</v>
      </c>
      <c r="I103" s="10"/>
      <c r="J103" s="10" t="s">
        <v>191</v>
      </c>
      <c r="K103" s="10" t="s">
        <v>118</v>
      </c>
      <c r="L103" s="10" t="s">
        <v>132</v>
      </c>
      <c r="M103" s="12">
        <v>4</v>
      </c>
      <c r="N103" s="11">
        <v>46114</v>
      </c>
      <c r="O103" s="11">
        <v>46124</v>
      </c>
      <c r="P103" s="10" t="s">
        <v>109</v>
      </c>
      <c r="Q103" s="10" t="s">
        <v>119</v>
      </c>
      <c r="R103" s="10"/>
      <c r="S103" s="11">
        <v>46139</v>
      </c>
      <c r="T103" s="13">
        <v>3</v>
      </c>
      <c r="U103" s="14">
        <v>41</v>
      </c>
      <c r="V103" s="15">
        <f t="shared" si="4"/>
        <v>1</v>
      </c>
      <c r="W103" s="15">
        <f t="shared" si="5"/>
        <v>26</v>
      </c>
      <c r="X103" s="16" t="str">
        <f t="shared" si="6"/>
        <v>Fechada</v>
      </c>
      <c r="Y103" s="16" t="str">
        <f t="shared" si="7"/>
        <v>Sem encomenda (rastreio)</v>
      </c>
    </row>
    <row r="104" spans="1:25" ht="15" customHeight="1" x14ac:dyDescent="0.3">
      <c r="A104" s="10" t="s">
        <v>497</v>
      </c>
      <c r="B104" s="11">
        <v>46113</v>
      </c>
      <c r="C104" s="10" t="s">
        <v>494</v>
      </c>
      <c r="D104" s="10" t="s">
        <v>139</v>
      </c>
      <c r="E104" s="10" t="s">
        <v>102</v>
      </c>
      <c r="F104" s="10" t="s">
        <v>279</v>
      </c>
      <c r="G104" s="10" t="s">
        <v>152</v>
      </c>
      <c r="H104" s="10" t="s">
        <v>498</v>
      </c>
      <c r="I104" s="10" t="s">
        <v>499</v>
      </c>
      <c r="J104" s="10" t="s">
        <v>208</v>
      </c>
      <c r="K104" s="10" t="s">
        <v>80</v>
      </c>
      <c r="L104" s="10" t="s">
        <v>108</v>
      </c>
      <c r="M104" s="12">
        <v>8</v>
      </c>
      <c r="N104" s="11">
        <v>46116</v>
      </c>
      <c r="O104" s="11">
        <v>46118</v>
      </c>
      <c r="P104" s="10" t="s">
        <v>109</v>
      </c>
      <c r="Q104" s="10" t="s">
        <v>110</v>
      </c>
      <c r="R104" s="10"/>
      <c r="S104" s="11">
        <v>46126</v>
      </c>
      <c r="T104" s="13">
        <v>4</v>
      </c>
      <c r="U104" s="14">
        <v>122</v>
      </c>
      <c r="V104" s="15">
        <f t="shared" si="4"/>
        <v>2</v>
      </c>
      <c r="W104" s="15">
        <f t="shared" si="5"/>
        <v>13</v>
      </c>
      <c r="X104" s="16" t="str">
        <f t="shared" si="6"/>
        <v>Fechada</v>
      </c>
      <c r="Y104" s="16" t="str">
        <f t="shared" si="7"/>
        <v>OK</v>
      </c>
    </row>
    <row r="105" spans="1:25" ht="15" customHeight="1" x14ac:dyDescent="0.3">
      <c r="A105" s="10" t="s">
        <v>500</v>
      </c>
      <c r="B105" s="11">
        <v>46114</v>
      </c>
      <c r="C105" s="10" t="s">
        <v>494</v>
      </c>
      <c r="D105" s="10" t="s">
        <v>144</v>
      </c>
      <c r="E105" s="10" t="s">
        <v>102</v>
      </c>
      <c r="F105" s="10" t="s">
        <v>128</v>
      </c>
      <c r="G105" s="10" t="s">
        <v>104</v>
      </c>
      <c r="H105" s="10" t="s">
        <v>501</v>
      </c>
      <c r="I105" s="10" t="s">
        <v>502</v>
      </c>
      <c r="J105" s="10" t="s">
        <v>107</v>
      </c>
      <c r="K105" s="10" t="s">
        <v>80</v>
      </c>
      <c r="L105" s="10" t="s">
        <v>148</v>
      </c>
      <c r="M105" s="12">
        <v>86</v>
      </c>
      <c r="N105" s="11">
        <v>46116</v>
      </c>
      <c r="O105" s="11">
        <v>46117</v>
      </c>
      <c r="P105" s="10" t="s">
        <v>250</v>
      </c>
      <c r="Q105" s="10" t="s">
        <v>251</v>
      </c>
      <c r="R105" s="10"/>
      <c r="S105" s="11">
        <v>46143</v>
      </c>
      <c r="T105" s="13">
        <v>5</v>
      </c>
      <c r="U105" s="14">
        <v>371.5</v>
      </c>
      <c r="V105" s="15">
        <f t="shared" si="4"/>
        <v>1</v>
      </c>
      <c r="W105" s="15">
        <f t="shared" si="5"/>
        <v>29</v>
      </c>
      <c r="X105" s="16" t="str">
        <f t="shared" si="6"/>
        <v>Fechada</v>
      </c>
      <c r="Y105" s="16" t="str">
        <f t="shared" si="7"/>
        <v>Crítica sem 8D</v>
      </c>
    </row>
    <row r="106" spans="1:25" ht="15" customHeight="1" x14ac:dyDescent="0.3">
      <c r="A106" s="10" t="s">
        <v>503</v>
      </c>
      <c r="B106" s="11">
        <v>46121</v>
      </c>
      <c r="C106" s="10" t="s">
        <v>494</v>
      </c>
      <c r="D106" s="10" t="s">
        <v>134</v>
      </c>
      <c r="E106" s="10" t="s">
        <v>135</v>
      </c>
      <c r="F106" s="10" t="s">
        <v>395</v>
      </c>
      <c r="G106" s="10" t="s">
        <v>104</v>
      </c>
      <c r="H106" s="10" t="s">
        <v>504</v>
      </c>
      <c r="I106" s="10" t="s">
        <v>505</v>
      </c>
      <c r="J106" s="10" t="s">
        <v>191</v>
      </c>
      <c r="K106" s="10" t="s">
        <v>118</v>
      </c>
      <c r="L106" s="10" t="s">
        <v>132</v>
      </c>
      <c r="M106" s="12">
        <v>10</v>
      </c>
      <c r="N106" s="11">
        <v>46121</v>
      </c>
      <c r="O106" s="11">
        <v>46124</v>
      </c>
      <c r="P106" s="10" t="s">
        <v>109</v>
      </c>
      <c r="Q106" s="10" t="s">
        <v>119</v>
      </c>
      <c r="R106" s="10"/>
      <c r="S106" s="11">
        <v>46124</v>
      </c>
      <c r="T106" s="13">
        <v>5</v>
      </c>
      <c r="U106" s="14">
        <v>42.5</v>
      </c>
      <c r="V106" s="15">
        <f t="shared" si="4"/>
        <v>0</v>
      </c>
      <c r="W106" s="15">
        <f t="shared" si="5"/>
        <v>3</v>
      </c>
      <c r="X106" s="16" t="str">
        <f t="shared" si="6"/>
        <v>Fechada</v>
      </c>
      <c r="Y106" s="16" t="str">
        <f t="shared" si="7"/>
        <v>OK</v>
      </c>
    </row>
    <row r="107" spans="1:25" ht="15" customHeight="1" x14ac:dyDescent="0.3">
      <c r="A107" s="10" t="s">
        <v>506</v>
      </c>
      <c r="B107" s="11">
        <v>46122</v>
      </c>
      <c r="C107" s="10" t="s">
        <v>494</v>
      </c>
      <c r="D107" s="10" t="s">
        <v>101</v>
      </c>
      <c r="E107" s="10" t="s">
        <v>135</v>
      </c>
      <c r="F107" s="10" t="s">
        <v>253</v>
      </c>
      <c r="G107" s="10" t="s">
        <v>507</v>
      </c>
      <c r="H107" s="10" t="s">
        <v>508</v>
      </c>
      <c r="I107" s="10"/>
      <c r="J107" s="10" t="s">
        <v>131</v>
      </c>
      <c r="K107" s="10" t="s">
        <v>118</v>
      </c>
      <c r="L107" s="10" t="s">
        <v>108</v>
      </c>
      <c r="M107" s="12">
        <v>18</v>
      </c>
      <c r="N107" s="11">
        <v>46122</v>
      </c>
      <c r="O107" s="11">
        <v>46128</v>
      </c>
      <c r="P107" s="10" t="s">
        <v>250</v>
      </c>
      <c r="Q107" s="10" t="s">
        <v>251</v>
      </c>
      <c r="R107" s="10"/>
      <c r="S107" s="11">
        <v>46128</v>
      </c>
      <c r="T107" s="13">
        <v>3</v>
      </c>
      <c r="U107" s="14">
        <v>124.5</v>
      </c>
      <c r="V107" s="15">
        <f t="shared" si="4"/>
        <v>0</v>
      </c>
      <c r="W107" s="15">
        <f t="shared" si="5"/>
        <v>6</v>
      </c>
      <c r="X107" s="16" t="str">
        <f t="shared" si="6"/>
        <v>Fechada</v>
      </c>
      <c r="Y107" s="16" t="str">
        <f t="shared" si="7"/>
        <v>Sem encomenda (rastreio)</v>
      </c>
    </row>
    <row r="108" spans="1:25" ht="15" customHeight="1" x14ac:dyDescent="0.3">
      <c r="A108" s="10" t="s">
        <v>509</v>
      </c>
      <c r="B108" s="11">
        <v>46127</v>
      </c>
      <c r="C108" s="10" t="s">
        <v>494</v>
      </c>
      <c r="D108" s="10" t="s">
        <v>134</v>
      </c>
      <c r="E108" s="10" t="s">
        <v>102</v>
      </c>
      <c r="F108" s="10" t="s">
        <v>510</v>
      </c>
      <c r="G108" s="10" t="s">
        <v>152</v>
      </c>
      <c r="H108" s="10" t="s">
        <v>511</v>
      </c>
      <c r="I108" s="10" t="s">
        <v>512</v>
      </c>
      <c r="J108" s="10" t="s">
        <v>159</v>
      </c>
      <c r="K108" s="10" t="s">
        <v>80</v>
      </c>
      <c r="L108" s="10" t="s">
        <v>132</v>
      </c>
      <c r="M108" s="12">
        <v>51</v>
      </c>
      <c r="N108" s="11">
        <v>46127</v>
      </c>
      <c r="O108" s="11">
        <v>46133</v>
      </c>
      <c r="P108" s="10" t="s">
        <v>109</v>
      </c>
      <c r="Q108" s="10" t="s">
        <v>110</v>
      </c>
      <c r="R108" s="10"/>
      <c r="S108" s="11">
        <v>46149</v>
      </c>
      <c r="T108" s="13">
        <v>2</v>
      </c>
      <c r="U108" s="14">
        <v>52.75</v>
      </c>
      <c r="V108" s="15">
        <f t="shared" si="4"/>
        <v>0</v>
      </c>
      <c r="W108" s="15">
        <f t="shared" si="5"/>
        <v>22</v>
      </c>
      <c r="X108" s="16" t="str">
        <f t="shared" si="6"/>
        <v>Fechada</v>
      </c>
      <c r="Y108" s="16" t="str">
        <f t="shared" si="7"/>
        <v>OK</v>
      </c>
    </row>
    <row r="109" spans="1:25" ht="15" customHeight="1" x14ac:dyDescent="0.3">
      <c r="A109" s="10" t="s">
        <v>513</v>
      </c>
      <c r="B109" s="11">
        <v>46128</v>
      </c>
      <c r="C109" s="10" t="s">
        <v>494</v>
      </c>
      <c r="D109" s="10" t="s">
        <v>328</v>
      </c>
      <c r="E109" s="10" t="s">
        <v>135</v>
      </c>
      <c r="F109" s="10" t="s">
        <v>228</v>
      </c>
      <c r="G109" s="10" t="s">
        <v>152</v>
      </c>
      <c r="H109" s="10" t="s">
        <v>514</v>
      </c>
      <c r="I109" s="10" t="s">
        <v>515</v>
      </c>
      <c r="J109" s="10" t="s">
        <v>386</v>
      </c>
      <c r="K109" s="10" t="s">
        <v>80</v>
      </c>
      <c r="L109" s="10" t="s">
        <v>132</v>
      </c>
      <c r="M109" s="12">
        <v>41</v>
      </c>
      <c r="N109" s="11">
        <v>46129</v>
      </c>
      <c r="O109" s="11">
        <v>46138</v>
      </c>
      <c r="P109" s="10" t="s">
        <v>109</v>
      </c>
      <c r="Q109" s="10" t="s">
        <v>110</v>
      </c>
      <c r="R109" s="10"/>
      <c r="S109" s="11">
        <v>46144</v>
      </c>
      <c r="T109" s="13">
        <v>5</v>
      </c>
      <c r="U109" s="14">
        <v>50.25</v>
      </c>
      <c r="V109" s="15">
        <f t="shared" si="4"/>
        <v>1</v>
      </c>
      <c r="W109" s="15">
        <f t="shared" si="5"/>
        <v>16</v>
      </c>
      <c r="X109" s="16" t="str">
        <f t="shared" si="6"/>
        <v>Fechada</v>
      </c>
      <c r="Y109" s="16" t="str">
        <f t="shared" si="7"/>
        <v>OK</v>
      </c>
    </row>
    <row r="110" spans="1:25" ht="15" customHeight="1" x14ac:dyDescent="0.3">
      <c r="A110" s="10" t="s">
        <v>516</v>
      </c>
      <c r="B110" s="11">
        <v>46129</v>
      </c>
      <c r="C110" s="10" t="s">
        <v>494</v>
      </c>
      <c r="D110" s="10" t="s">
        <v>267</v>
      </c>
      <c r="E110" s="10" t="s">
        <v>135</v>
      </c>
      <c r="F110" s="10" t="s">
        <v>253</v>
      </c>
      <c r="G110" s="10" t="s">
        <v>152</v>
      </c>
      <c r="H110" s="10" t="s">
        <v>517</v>
      </c>
      <c r="I110" s="10" t="s">
        <v>518</v>
      </c>
      <c r="J110" s="10" t="s">
        <v>177</v>
      </c>
      <c r="K110" s="10" t="s">
        <v>80</v>
      </c>
      <c r="L110" s="10" t="s">
        <v>148</v>
      </c>
      <c r="M110" s="12">
        <v>1</v>
      </c>
      <c r="N110" s="11">
        <v>46130</v>
      </c>
      <c r="O110" s="11">
        <v>46140</v>
      </c>
      <c r="P110" s="10" t="s">
        <v>109</v>
      </c>
      <c r="Q110" s="10" t="s">
        <v>110</v>
      </c>
      <c r="R110" s="10"/>
      <c r="S110" s="11">
        <v>46140</v>
      </c>
      <c r="T110" s="13">
        <v>4</v>
      </c>
      <c r="U110" s="14">
        <v>350.25</v>
      </c>
      <c r="V110" s="15">
        <f t="shared" si="4"/>
        <v>0</v>
      </c>
      <c r="W110" s="15">
        <f t="shared" si="5"/>
        <v>11</v>
      </c>
      <c r="X110" s="16" t="str">
        <f t="shared" si="6"/>
        <v>Fechada</v>
      </c>
      <c r="Y110" s="16" t="str">
        <f t="shared" si="7"/>
        <v>Crítica sem 8D</v>
      </c>
    </row>
    <row r="111" spans="1:25" ht="15" customHeight="1" x14ac:dyDescent="0.3">
      <c r="A111" s="10" t="s">
        <v>519</v>
      </c>
      <c r="B111" s="11">
        <v>46131</v>
      </c>
      <c r="C111" s="10" t="s">
        <v>494</v>
      </c>
      <c r="D111" s="10" t="s">
        <v>182</v>
      </c>
      <c r="E111" s="10" t="s">
        <v>102</v>
      </c>
      <c r="F111" s="10" t="s">
        <v>169</v>
      </c>
      <c r="G111" s="10" t="s">
        <v>104</v>
      </c>
      <c r="H111" s="10" t="s">
        <v>520</v>
      </c>
      <c r="I111" s="10" t="s">
        <v>521</v>
      </c>
      <c r="J111" s="10" t="s">
        <v>203</v>
      </c>
      <c r="K111" s="10" t="s">
        <v>80</v>
      </c>
      <c r="L111" s="10" t="s">
        <v>148</v>
      </c>
      <c r="M111" s="12">
        <v>21</v>
      </c>
      <c r="N111" s="11">
        <v>46135</v>
      </c>
      <c r="O111" s="11">
        <v>46140</v>
      </c>
      <c r="P111" s="10" t="s">
        <v>250</v>
      </c>
      <c r="Q111" s="10" t="s">
        <v>251</v>
      </c>
      <c r="R111" s="10"/>
      <c r="S111" s="11"/>
      <c r="T111" s="13"/>
      <c r="U111" s="14">
        <v>355.25</v>
      </c>
      <c r="V111" s="15">
        <f t="shared" si="4"/>
        <v>3</v>
      </c>
      <c r="W111" s="15">
        <f t="shared" si="5"/>
        <v>256</v>
      </c>
      <c r="X111" s="16" t="str">
        <f t="shared" si="6"/>
        <v>Atrasada</v>
      </c>
      <c r="Y111" s="16" t="str">
        <f t="shared" si="7"/>
        <v>Acusação tardia</v>
      </c>
    </row>
    <row r="112" spans="1:25" ht="15" customHeight="1" x14ac:dyDescent="0.3">
      <c r="A112" s="10" t="s">
        <v>522</v>
      </c>
      <c r="B112" s="11">
        <v>46132</v>
      </c>
      <c r="C112" s="10" t="s">
        <v>494</v>
      </c>
      <c r="D112" s="10" t="s">
        <v>328</v>
      </c>
      <c r="E112" s="10" t="s">
        <v>122</v>
      </c>
      <c r="F112" s="10" t="s">
        <v>145</v>
      </c>
      <c r="G112" s="10" t="s">
        <v>104</v>
      </c>
      <c r="H112" s="10" t="s">
        <v>523</v>
      </c>
      <c r="I112" s="10" t="s">
        <v>524</v>
      </c>
      <c r="J112" s="10" t="s">
        <v>203</v>
      </c>
      <c r="K112" s="10" t="s">
        <v>80</v>
      </c>
      <c r="L112" s="10" t="s">
        <v>108</v>
      </c>
      <c r="M112" s="12">
        <v>107</v>
      </c>
      <c r="N112" s="11">
        <v>46132</v>
      </c>
      <c r="O112" s="11">
        <v>46135</v>
      </c>
      <c r="P112" s="10" t="s">
        <v>109</v>
      </c>
      <c r="Q112" s="10" t="s">
        <v>110</v>
      </c>
      <c r="R112" s="10"/>
      <c r="S112" s="11"/>
      <c r="T112" s="13"/>
      <c r="U112" s="14">
        <v>146.75</v>
      </c>
      <c r="V112" s="15">
        <f t="shared" si="4"/>
        <v>0</v>
      </c>
      <c r="W112" s="15">
        <f t="shared" si="5"/>
        <v>255</v>
      </c>
      <c r="X112" s="16" t="str">
        <f t="shared" si="6"/>
        <v>Atrasada</v>
      </c>
      <c r="Y112" s="16" t="str">
        <f t="shared" si="7"/>
        <v>OK</v>
      </c>
    </row>
    <row r="113" spans="1:25" ht="15" customHeight="1" x14ac:dyDescent="0.3">
      <c r="A113" s="10" t="s">
        <v>525</v>
      </c>
      <c r="B113" s="11">
        <v>46134</v>
      </c>
      <c r="C113" s="10" t="s">
        <v>494</v>
      </c>
      <c r="D113" s="10" t="s">
        <v>320</v>
      </c>
      <c r="E113" s="10" t="s">
        <v>122</v>
      </c>
      <c r="F113" s="10" t="s">
        <v>161</v>
      </c>
      <c r="G113" s="10" t="s">
        <v>152</v>
      </c>
      <c r="H113" s="10" t="s">
        <v>526</v>
      </c>
      <c r="I113" s="10" t="s">
        <v>527</v>
      </c>
      <c r="J113" s="10" t="s">
        <v>164</v>
      </c>
      <c r="K113" s="10" t="s">
        <v>118</v>
      </c>
      <c r="L113" s="10" t="s">
        <v>132</v>
      </c>
      <c r="M113" s="12">
        <v>39</v>
      </c>
      <c r="N113" s="11">
        <v>46138</v>
      </c>
      <c r="O113" s="11">
        <v>46141</v>
      </c>
      <c r="P113" s="10" t="s">
        <v>109</v>
      </c>
      <c r="Q113" s="10" t="s">
        <v>119</v>
      </c>
      <c r="R113" s="10"/>
      <c r="S113" s="11">
        <v>46160</v>
      </c>
      <c r="T113" s="13">
        <v>4</v>
      </c>
      <c r="U113" s="14">
        <v>49.75</v>
      </c>
      <c r="V113" s="15">
        <f t="shared" si="4"/>
        <v>2</v>
      </c>
      <c r="W113" s="15">
        <f t="shared" si="5"/>
        <v>26</v>
      </c>
      <c r="X113" s="16" t="str">
        <f t="shared" si="6"/>
        <v>Fechada</v>
      </c>
      <c r="Y113" s="16" t="str">
        <f t="shared" si="7"/>
        <v>OK</v>
      </c>
    </row>
    <row r="114" spans="1:25" ht="15" customHeight="1" x14ac:dyDescent="0.3">
      <c r="A114" s="10" t="s">
        <v>528</v>
      </c>
      <c r="B114" s="11">
        <v>46135</v>
      </c>
      <c r="C114" s="10" t="s">
        <v>494</v>
      </c>
      <c r="D114" s="10" t="s">
        <v>320</v>
      </c>
      <c r="E114" s="10" t="s">
        <v>102</v>
      </c>
      <c r="F114" s="10" t="s">
        <v>145</v>
      </c>
      <c r="G114" s="10" t="s">
        <v>104</v>
      </c>
      <c r="H114" s="10" t="s">
        <v>529</v>
      </c>
      <c r="I114" s="10" t="s">
        <v>530</v>
      </c>
      <c r="J114" s="10" t="s">
        <v>107</v>
      </c>
      <c r="K114" s="10" t="s">
        <v>80</v>
      </c>
      <c r="L114" s="10" t="s">
        <v>132</v>
      </c>
      <c r="M114" s="12">
        <v>33</v>
      </c>
      <c r="N114" s="11">
        <v>46138</v>
      </c>
      <c r="O114" s="11">
        <v>46141</v>
      </c>
      <c r="P114" s="10" t="s">
        <v>109</v>
      </c>
      <c r="Q114" s="10" t="s">
        <v>110</v>
      </c>
      <c r="R114" s="10"/>
      <c r="S114" s="11">
        <v>46142</v>
      </c>
      <c r="T114" s="13">
        <v>4</v>
      </c>
      <c r="U114" s="14">
        <v>48.25</v>
      </c>
      <c r="V114" s="15">
        <f t="shared" si="4"/>
        <v>1</v>
      </c>
      <c r="W114" s="15">
        <f t="shared" si="5"/>
        <v>7</v>
      </c>
      <c r="X114" s="16" t="str">
        <f t="shared" si="6"/>
        <v>Fechada</v>
      </c>
      <c r="Y114" s="16" t="str">
        <f t="shared" si="7"/>
        <v>OK</v>
      </c>
    </row>
    <row r="115" spans="1:25" ht="15" customHeight="1" x14ac:dyDescent="0.3">
      <c r="A115" s="10" t="s">
        <v>531</v>
      </c>
      <c r="B115" s="11">
        <v>46137</v>
      </c>
      <c r="C115" s="10" t="s">
        <v>494</v>
      </c>
      <c r="D115" s="10" t="s">
        <v>328</v>
      </c>
      <c r="E115" s="10" t="s">
        <v>102</v>
      </c>
      <c r="F115" s="10" t="s">
        <v>284</v>
      </c>
      <c r="G115" s="10" t="s">
        <v>152</v>
      </c>
      <c r="H115" s="10" t="s">
        <v>532</v>
      </c>
      <c r="I115" s="10" t="s">
        <v>533</v>
      </c>
      <c r="J115" s="10" t="s">
        <v>191</v>
      </c>
      <c r="K115" s="10" t="s">
        <v>118</v>
      </c>
      <c r="L115" s="10" t="s">
        <v>148</v>
      </c>
      <c r="M115" s="12">
        <v>1</v>
      </c>
      <c r="N115" s="11">
        <v>46141</v>
      </c>
      <c r="O115" s="11">
        <v>46143</v>
      </c>
      <c r="P115" s="10" t="s">
        <v>109</v>
      </c>
      <c r="Q115" s="10" t="s">
        <v>119</v>
      </c>
      <c r="R115" s="10"/>
      <c r="S115" s="11"/>
      <c r="T115" s="13"/>
      <c r="U115" s="14">
        <v>350.25</v>
      </c>
      <c r="V115" s="15">
        <f t="shared" si="4"/>
        <v>2</v>
      </c>
      <c r="W115" s="15">
        <f t="shared" si="5"/>
        <v>250</v>
      </c>
      <c r="X115" s="16" t="str">
        <f t="shared" si="6"/>
        <v>Atrasada</v>
      </c>
      <c r="Y115" s="16" t="str">
        <f t="shared" si="7"/>
        <v>Crítica sem 8D</v>
      </c>
    </row>
    <row r="116" spans="1:25" ht="15" customHeight="1" x14ac:dyDescent="0.3">
      <c r="A116" s="10" t="s">
        <v>534</v>
      </c>
      <c r="B116" s="11">
        <v>46137</v>
      </c>
      <c r="C116" s="10" t="s">
        <v>494</v>
      </c>
      <c r="D116" s="10" t="s">
        <v>155</v>
      </c>
      <c r="E116" s="10" t="s">
        <v>122</v>
      </c>
      <c r="F116" s="10" t="s">
        <v>215</v>
      </c>
      <c r="G116" s="10" t="s">
        <v>104</v>
      </c>
      <c r="H116" s="10" t="s">
        <v>535</v>
      </c>
      <c r="I116" s="10" t="s">
        <v>536</v>
      </c>
      <c r="J116" s="10" t="s">
        <v>323</v>
      </c>
      <c r="K116" s="10" t="s">
        <v>80</v>
      </c>
      <c r="L116" s="10" t="s">
        <v>132</v>
      </c>
      <c r="M116" s="12">
        <v>109</v>
      </c>
      <c r="N116" s="11">
        <v>46138</v>
      </c>
      <c r="O116" s="11">
        <v>46142</v>
      </c>
      <c r="P116" s="10" t="s">
        <v>109</v>
      </c>
      <c r="Q116" s="10" t="s">
        <v>110</v>
      </c>
      <c r="R116" s="10"/>
      <c r="S116" s="11">
        <v>46169</v>
      </c>
      <c r="T116" s="13">
        <v>5</v>
      </c>
      <c r="U116" s="14">
        <v>67.25</v>
      </c>
      <c r="V116" s="15">
        <f t="shared" si="4"/>
        <v>-1</v>
      </c>
      <c r="W116" s="15">
        <f t="shared" si="5"/>
        <v>32</v>
      </c>
      <c r="X116" s="16" t="str">
        <f t="shared" si="6"/>
        <v>Fechada</v>
      </c>
      <c r="Y116" s="16" t="str">
        <f t="shared" si="7"/>
        <v>OK</v>
      </c>
    </row>
    <row r="117" spans="1:25" ht="15" customHeight="1" x14ac:dyDescent="0.3">
      <c r="A117" s="10" t="s">
        <v>537</v>
      </c>
      <c r="B117" s="11">
        <v>46138</v>
      </c>
      <c r="C117" s="10" t="s">
        <v>494</v>
      </c>
      <c r="D117" s="10" t="s">
        <v>182</v>
      </c>
      <c r="E117" s="10" t="s">
        <v>122</v>
      </c>
      <c r="F117" s="10" t="s">
        <v>145</v>
      </c>
      <c r="G117" s="10" t="s">
        <v>104</v>
      </c>
      <c r="H117" s="10" t="s">
        <v>538</v>
      </c>
      <c r="I117" s="10" t="s">
        <v>539</v>
      </c>
      <c r="J117" s="10" t="s">
        <v>117</v>
      </c>
      <c r="K117" s="10" t="s">
        <v>118</v>
      </c>
      <c r="L117" s="10" t="s">
        <v>148</v>
      </c>
      <c r="M117" s="12">
        <v>133</v>
      </c>
      <c r="N117" s="11">
        <v>46138</v>
      </c>
      <c r="O117" s="11">
        <v>46142</v>
      </c>
      <c r="P117" s="10" t="s">
        <v>109</v>
      </c>
      <c r="Q117" s="10" t="s">
        <v>119</v>
      </c>
      <c r="R117" s="10"/>
      <c r="S117" s="11">
        <v>46142</v>
      </c>
      <c r="T117" s="13">
        <v>2</v>
      </c>
      <c r="U117" s="14">
        <v>383.25</v>
      </c>
      <c r="V117" s="15">
        <f t="shared" si="4"/>
        <v>-1</v>
      </c>
      <c r="W117" s="15">
        <f t="shared" si="5"/>
        <v>4</v>
      </c>
      <c r="X117" s="16" t="str">
        <f t="shared" si="6"/>
        <v>Fechada</v>
      </c>
      <c r="Y117" s="16" t="str">
        <f t="shared" si="7"/>
        <v>Crítica sem 8D</v>
      </c>
    </row>
    <row r="118" spans="1:25" ht="15" customHeight="1" x14ac:dyDescent="0.3">
      <c r="A118" s="10" t="s">
        <v>540</v>
      </c>
      <c r="B118" s="11">
        <v>46143</v>
      </c>
      <c r="C118" s="10" t="s">
        <v>541</v>
      </c>
      <c r="D118" s="10" t="s">
        <v>121</v>
      </c>
      <c r="E118" s="10" t="s">
        <v>122</v>
      </c>
      <c r="F118" s="10" t="s">
        <v>413</v>
      </c>
      <c r="G118" s="10" t="s">
        <v>104</v>
      </c>
      <c r="H118" s="10" t="s">
        <v>542</v>
      </c>
      <c r="I118" s="10" t="s">
        <v>543</v>
      </c>
      <c r="J118" s="10" t="s">
        <v>164</v>
      </c>
      <c r="K118" s="10" t="s">
        <v>118</v>
      </c>
      <c r="L118" s="10" t="s">
        <v>132</v>
      </c>
      <c r="M118" s="12">
        <v>77</v>
      </c>
      <c r="N118" s="11">
        <v>46146</v>
      </c>
      <c r="O118" s="11">
        <v>46151</v>
      </c>
      <c r="P118" s="10" t="s">
        <v>109</v>
      </c>
      <c r="Q118" s="10" t="s">
        <v>119</v>
      </c>
      <c r="R118" s="10"/>
      <c r="S118" s="11">
        <v>46167</v>
      </c>
      <c r="T118" s="13">
        <v>4</v>
      </c>
      <c r="U118" s="14">
        <v>59.25</v>
      </c>
      <c r="V118" s="15">
        <f t="shared" si="4"/>
        <v>1</v>
      </c>
      <c r="W118" s="15">
        <f t="shared" si="5"/>
        <v>24</v>
      </c>
      <c r="X118" s="16" t="str">
        <f t="shared" si="6"/>
        <v>Fechada</v>
      </c>
      <c r="Y118" s="16" t="str">
        <f t="shared" si="7"/>
        <v>OK</v>
      </c>
    </row>
    <row r="119" spans="1:25" ht="15" customHeight="1" x14ac:dyDescent="0.3">
      <c r="A119" s="10" t="s">
        <v>544</v>
      </c>
      <c r="B119" s="11">
        <v>46146</v>
      </c>
      <c r="C119" s="10" t="s">
        <v>541</v>
      </c>
      <c r="D119" s="10" t="s">
        <v>267</v>
      </c>
      <c r="E119" s="10" t="s">
        <v>122</v>
      </c>
      <c r="F119" s="10" t="s">
        <v>161</v>
      </c>
      <c r="G119" s="10" t="s">
        <v>152</v>
      </c>
      <c r="H119" s="10" t="s">
        <v>545</v>
      </c>
      <c r="I119" s="10" t="s">
        <v>546</v>
      </c>
      <c r="J119" s="10" t="s">
        <v>208</v>
      </c>
      <c r="K119" s="10" t="s">
        <v>80</v>
      </c>
      <c r="L119" s="10" t="s">
        <v>148</v>
      </c>
      <c r="M119" s="12">
        <v>28</v>
      </c>
      <c r="N119" s="11">
        <v>46148</v>
      </c>
      <c r="O119" s="11">
        <v>46154</v>
      </c>
      <c r="P119" s="10" t="s">
        <v>109</v>
      </c>
      <c r="Q119" s="10" t="s">
        <v>110</v>
      </c>
      <c r="R119" s="10"/>
      <c r="S119" s="11">
        <v>46154</v>
      </c>
      <c r="T119" s="13">
        <v>4</v>
      </c>
      <c r="U119" s="14">
        <v>357</v>
      </c>
      <c r="V119" s="15">
        <f t="shared" si="4"/>
        <v>2</v>
      </c>
      <c r="W119" s="15">
        <f t="shared" si="5"/>
        <v>8</v>
      </c>
      <c r="X119" s="16" t="str">
        <f t="shared" si="6"/>
        <v>Fechada</v>
      </c>
      <c r="Y119" s="16" t="str">
        <f t="shared" si="7"/>
        <v>Crítica sem 8D</v>
      </c>
    </row>
    <row r="120" spans="1:25" ht="15" customHeight="1" x14ac:dyDescent="0.3">
      <c r="A120" s="10" t="s">
        <v>547</v>
      </c>
      <c r="B120" s="11">
        <v>46147</v>
      </c>
      <c r="C120" s="10" t="s">
        <v>541</v>
      </c>
      <c r="D120" s="10" t="s">
        <v>210</v>
      </c>
      <c r="E120" s="10" t="s">
        <v>102</v>
      </c>
      <c r="F120" s="10" t="s">
        <v>548</v>
      </c>
      <c r="G120" s="10" t="s">
        <v>104</v>
      </c>
      <c r="H120" s="10" t="s">
        <v>549</v>
      </c>
      <c r="I120" s="10" t="s">
        <v>550</v>
      </c>
      <c r="J120" s="10" t="s">
        <v>164</v>
      </c>
      <c r="K120" s="10" t="s">
        <v>118</v>
      </c>
      <c r="L120" s="10" t="s">
        <v>108</v>
      </c>
      <c r="M120" s="12">
        <v>101</v>
      </c>
      <c r="N120" s="11">
        <v>46149</v>
      </c>
      <c r="O120" s="11">
        <v>46155</v>
      </c>
      <c r="P120" s="10" t="s">
        <v>109</v>
      </c>
      <c r="Q120" s="10" t="s">
        <v>119</v>
      </c>
      <c r="R120" s="10"/>
      <c r="S120" s="11">
        <v>46180</v>
      </c>
      <c r="T120" s="13">
        <v>4</v>
      </c>
      <c r="U120" s="14">
        <v>145.25</v>
      </c>
      <c r="V120" s="15">
        <f t="shared" si="4"/>
        <v>2</v>
      </c>
      <c r="W120" s="15">
        <f t="shared" si="5"/>
        <v>33</v>
      </c>
      <c r="X120" s="16" t="str">
        <f t="shared" si="6"/>
        <v>Fechada</v>
      </c>
      <c r="Y120" s="16" t="str">
        <f t="shared" si="7"/>
        <v>OK</v>
      </c>
    </row>
    <row r="121" spans="1:25" ht="15" customHeight="1" x14ac:dyDescent="0.3">
      <c r="A121" s="10" t="s">
        <v>551</v>
      </c>
      <c r="B121" s="11">
        <v>46150</v>
      </c>
      <c r="C121" s="10" t="s">
        <v>541</v>
      </c>
      <c r="D121" s="10" t="s">
        <v>210</v>
      </c>
      <c r="E121" s="10" t="s">
        <v>102</v>
      </c>
      <c r="F121" s="10" t="s">
        <v>311</v>
      </c>
      <c r="G121" s="10" t="s">
        <v>152</v>
      </c>
      <c r="H121" s="10" t="s">
        <v>552</v>
      </c>
      <c r="I121" s="10"/>
      <c r="J121" s="10" t="s">
        <v>164</v>
      </c>
      <c r="K121" s="10" t="s">
        <v>118</v>
      </c>
      <c r="L121" s="10" t="s">
        <v>132</v>
      </c>
      <c r="M121" s="12">
        <v>1</v>
      </c>
      <c r="N121" s="11">
        <v>46152</v>
      </c>
      <c r="O121" s="11">
        <v>46157</v>
      </c>
      <c r="P121" s="10" t="s">
        <v>109</v>
      </c>
      <c r="Q121" s="10" t="s">
        <v>119</v>
      </c>
      <c r="R121" s="10"/>
      <c r="S121" s="11">
        <v>46173</v>
      </c>
      <c r="T121" s="13">
        <v>4</v>
      </c>
      <c r="U121" s="14">
        <v>40.25</v>
      </c>
      <c r="V121" s="15">
        <f t="shared" si="4"/>
        <v>0</v>
      </c>
      <c r="W121" s="15">
        <f t="shared" si="5"/>
        <v>23</v>
      </c>
      <c r="X121" s="16" t="str">
        <f t="shared" si="6"/>
        <v>Fechada</v>
      </c>
      <c r="Y121" s="16" t="str">
        <f t="shared" si="7"/>
        <v>Sem encomenda (rastreio)</v>
      </c>
    </row>
    <row r="122" spans="1:25" ht="15" customHeight="1" x14ac:dyDescent="0.3">
      <c r="A122" s="10" t="s">
        <v>553</v>
      </c>
      <c r="B122" s="11">
        <v>46150</v>
      </c>
      <c r="C122" s="10" t="s">
        <v>541</v>
      </c>
      <c r="D122" s="10" t="s">
        <v>155</v>
      </c>
      <c r="E122" s="10" t="s">
        <v>135</v>
      </c>
      <c r="F122" s="10" t="s">
        <v>284</v>
      </c>
      <c r="G122" s="10" t="s">
        <v>152</v>
      </c>
      <c r="H122" s="10" t="s">
        <v>554</v>
      </c>
      <c r="I122" s="10" t="s">
        <v>555</v>
      </c>
      <c r="J122" s="10" t="s">
        <v>177</v>
      </c>
      <c r="K122" s="10" t="s">
        <v>80</v>
      </c>
      <c r="L122" s="10" t="s">
        <v>108</v>
      </c>
      <c r="M122" s="12">
        <v>59</v>
      </c>
      <c r="N122" s="11">
        <v>46152</v>
      </c>
      <c r="O122" s="11">
        <v>46158</v>
      </c>
      <c r="P122" s="10" t="s">
        <v>109</v>
      </c>
      <c r="Q122" s="10" t="s">
        <v>110</v>
      </c>
      <c r="R122" s="10"/>
      <c r="S122" s="11">
        <v>46181</v>
      </c>
      <c r="T122" s="13">
        <v>3</v>
      </c>
      <c r="U122" s="14">
        <v>134.75</v>
      </c>
      <c r="V122" s="15">
        <f t="shared" si="4"/>
        <v>0</v>
      </c>
      <c r="W122" s="15">
        <f t="shared" si="5"/>
        <v>31</v>
      </c>
      <c r="X122" s="16" t="str">
        <f t="shared" si="6"/>
        <v>Fechada</v>
      </c>
      <c r="Y122" s="16" t="str">
        <f t="shared" si="7"/>
        <v>OK</v>
      </c>
    </row>
    <row r="123" spans="1:25" ht="15" customHeight="1" x14ac:dyDescent="0.3">
      <c r="A123" s="10" t="s">
        <v>556</v>
      </c>
      <c r="B123" s="11">
        <v>46154</v>
      </c>
      <c r="C123" s="10" t="s">
        <v>541</v>
      </c>
      <c r="D123" s="10" t="s">
        <v>155</v>
      </c>
      <c r="E123" s="10" t="s">
        <v>135</v>
      </c>
      <c r="F123" s="10" t="s">
        <v>169</v>
      </c>
      <c r="G123" s="10" t="s">
        <v>104</v>
      </c>
      <c r="H123" s="10" t="s">
        <v>557</v>
      </c>
      <c r="I123" s="10" t="s">
        <v>558</v>
      </c>
      <c r="J123" s="10" t="s">
        <v>164</v>
      </c>
      <c r="K123" s="10" t="s">
        <v>118</v>
      </c>
      <c r="L123" s="10" t="s">
        <v>108</v>
      </c>
      <c r="M123" s="12">
        <v>120</v>
      </c>
      <c r="N123" s="11">
        <v>46157</v>
      </c>
      <c r="O123" s="11">
        <v>46161</v>
      </c>
      <c r="P123" s="10" t="s">
        <v>109</v>
      </c>
      <c r="Q123" s="10" t="s">
        <v>119</v>
      </c>
      <c r="R123" s="10"/>
      <c r="S123" s="11">
        <v>46183</v>
      </c>
      <c r="T123" s="13">
        <v>4</v>
      </c>
      <c r="U123" s="14">
        <v>150</v>
      </c>
      <c r="V123" s="15">
        <f t="shared" si="4"/>
        <v>3</v>
      </c>
      <c r="W123" s="15">
        <f t="shared" si="5"/>
        <v>29</v>
      </c>
      <c r="X123" s="16" t="str">
        <f t="shared" si="6"/>
        <v>Fechada</v>
      </c>
      <c r="Y123" s="16" t="str">
        <f t="shared" si="7"/>
        <v>Acusação tardia</v>
      </c>
    </row>
    <row r="124" spans="1:25" ht="15" customHeight="1" x14ac:dyDescent="0.3">
      <c r="A124" s="10" t="s">
        <v>559</v>
      </c>
      <c r="B124" s="11">
        <v>46155</v>
      </c>
      <c r="C124" s="10" t="s">
        <v>541</v>
      </c>
      <c r="D124" s="10" t="s">
        <v>267</v>
      </c>
      <c r="E124" s="10" t="s">
        <v>135</v>
      </c>
      <c r="F124" s="10" t="s">
        <v>260</v>
      </c>
      <c r="G124" s="10" t="s">
        <v>152</v>
      </c>
      <c r="H124" s="10" t="s">
        <v>560</v>
      </c>
      <c r="I124" s="10" t="s">
        <v>561</v>
      </c>
      <c r="J124" s="10" t="s">
        <v>117</v>
      </c>
      <c r="K124" s="10" t="s">
        <v>118</v>
      </c>
      <c r="L124" s="10" t="s">
        <v>132</v>
      </c>
      <c r="M124" s="12">
        <v>22</v>
      </c>
      <c r="N124" s="11">
        <v>46159</v>
      </c>
      <c r="O124" s="11">
        <v>46158</v>
      </c>
      <c r="P124" s="10" t="s">
        <v>109</v>
      </c>
      <c r="Q124" s="10" t="s">
        <v>119</v>
      </c>
      <c r="R124" s="10"/>
      <c r="S124" s="11">
        <v>46161</v>
      </c>
      <c r="T124" s="13">
        <v>3</v>
      </c>
      <c r="U124" s="14">
        <v>45.5</v>
      </c>
      <c r="V124" s="15">
        <f t="shared" si="4"/>
        <v>2</v>
      </c>
      <c r="W124" s="15">
        <f t="shared" si="5"/>
        <v>6</v>
      </c>
      <c r="X124" s="16" t="str">
        <f t="shared" si="6"/>
        <v>Fechada</v>
      </c>
      <c r="Y124" s="16" t="str">
        <f t="shared" si="7"/>
        <v>OK</v>
      </c>
    </row>
    <row r="125" spans="1:25" ht="15" customHeight="1" x14ac:dyDescent="0.3">
      <c r="A125" s="10" t="s">
        <v>562</v>
      </c>
      <c r="B125" s="11">
        <v>46156</v>
      </c>
      <c r="C125" s="10" t="s">
        <v>541</v>
      </c>
      <c r="D125" s="10" t="s">
        <v>134</v>
      </c>
      <c r="E125" s="10" t="s">
        <v>102</v>
      </c>
      <c r="F125" s="10" t="s">
        <v>343</v>
      </c>
      <c r="G125" s="10" t="s">
        <v>152</v>
      </c>
      <c r="H125" s="10" t="s">
        <v>563</v>
      </c>
      <c r="I125" s="10"/>
      <c r="J125" s="10" t="s">
        <v>191</v>
      </c>
      <c r="K125" s="10" t="s">
        <v>118</v>
      </c>
      <c r="L125" s="10" t="s">
        <v>108</v>
      </c>
      <c r="M125" s="12">
        <v>39</v>
      </c>
      <c r="N125" s="11">
        <v>46157</v>
      </c>
      <c r="O125" s="11">
        <v>46160</v>
      </c>
      <c r="P125" s="10" t="s">
        <v>109</v>
      </c>
      <c r="Q125" s="10" t="s">
        <v>119</v>
      </c>
      <c r="R125" s="10"/>
      <c r="S125" s="11"/>
      <c r="T125" s="13"/>
      <c r="U125" s="14">
        <v>129.75</v>
      </c>
      <c r="V125" s="15">
        <f t="shared" si="4"/>
        <v>1</v>
      </c>
      <c r="W125" s="15">
        <f t="shared" si="5"/>
        <v>231</v>
      </c>
      <c r="X125" s="16" t="str">
        <f t="shared" si="6"/>
        <v>Atrasada</v>
      </c>
      <c r="Y125" s="16" t="str">
        <f t="shared" si="7"/>
        <v>Sem encomenda (rastreio)</v>
      </c>
    </row>
    <row r="126" spans="1:25" ht="15" customHeight="1" x14ac:dyDescent="0.3">
      <c r="A126" s="10" t="s">
        <v>564</v>
      </c>
      <c r="B126" s="11">
        <v>46160</v>
      </c>
      <c r="C126" s="10" t="s">
        <v>541</v>
      </c>
      <c r="D126" s="10" t="s">
        <v>182</v>
      </c>
      <c r="E126" s="10" t="s">
        <v>122</v>
      </c>
      <c r="F126" s="10" t="s">
        <v>565</v>
      </c>
      <c r="G126" s="10" t="s">
        <v>507</v>
      </c>
      <c r="H126" s="10" t="s">
        <v>566</v>
      </c>
      <c r="I126" s="10"/>
      <c r="J126" s="10" t="s">
        <v>191</v>
      </c>
      <c r="K126" s="10" t="s">
        <v>118</v>
      </c>
      <c r="L126" s="10" t="s">
        <v>132</v>
      </c>
      <c r="M126" s="12">
        <v>13</v>
      </c>
      <c r="N126" s="11">
        <v>46164</v>
      </c>
      <c r="O126" s="11">
        <v>46167</v>
      </c>
      <c r="P126" s="10" t="s">
        <v>109</v>
      </c>
      <c r="Q126" s="10" t="s">
        <v>119</v>
      </c>
      <c r="R126" s="10"/>
      <c r="S126" s="11">
        <v>46178</v>
      </c>
      <c r="T126" s="13">
        <v>4</v>
      </c>
      <c r="U126" s="14">
        <v>43.25</v>
      </c>
      <c r="V126" s="15">
        <f t="shared" si="4"/>
        <v>4</v>
      </c>
      <c r="W126" s="15">
        <f t="shared" si="5"/>
        <v>18</v>
      </c>
      <c r="X126" s="16" t="str">
        <f t="shared" si="6"/>
        <v>Fechada</v>
      </c>
      <c r="Y126" s="16" t="str">
        <f t="shared" si="7"/>
        <v>Acusação tardia</v>
      </c>
    </row>
    <row r="127" spans="1:25" ht="15" customHeight="1" x14ac:dyDescent="0.3">
      <c r="A127" s="10" t="s">
        <v>567</v>
      </c>
      <c r="B127" s="11">
        <v>46162</v>
      </c>
      <c r="C127" s="10" t="s">
        <v>541</v>
      </c>
      <c r="D127" s="10" t="s">
        <v>210</v>
      </c>
      <c r="E127" s="10" t="s">
        <v>135</v>
      </c>
      <c r="F127" s="10" t="s">
        <v>128</v>
      </c>
      <c r="G127" s="10" t="s">
        <v>104</v>
      </c>
      <c r="H127" s="10" t="s">
        <v>568</v>
      </c>
      <c r="I127" s="10"/>
      <c r="J127" s="10" t="s">
        <v>164</v>
      </c>
      <c r="K127" s="10" t="s">
        <v>118</v>
      </c>
      <c r="L127" s="10" t="s">
        <v>108</v>
      </c>
      <c r="M127" s="12">
        <v>17</v>
      </c>
      <c r="N127" s="11">
        <v>46163</v>
      </c>
      <c r="O127" s="11">
        <v>46168</v>
      </c>
      <c r="P127" s="10" t="s">
        <v>109</v>
      </c>
      <c r="Q127" s="10" t="s">
        <v>119</v>
      </c>
      <c r="R127" s="10"/>
      <c r="S127" s="11"/>
      <c r="T127" s="13"/>
      <c r="U127" s="14">
        <v>124.25</v>
      </c>
      <c r="V127" s="15">
        <f t="shared" si="4"/>
        <v>1</v>
      </c>
      <c r="W127" s="15">
        <f t="shared" si="5"/>
        <v>225</v>
      </c>
      <c r="X127" s="16" t="str">
        <f t="shared" si="6"/>
        <v>Atrasada</v>
      </c>
      <c r="Y127" s="16" t="str">
        <f t="shared" si="7"/>
        <v>Sem encomenda (rastreio)</v>
      </c>
    </row>
    <row r="128" spans="1:25" ht="15" customHeight="1" x14ac:dyDescent="0.3">
      <c r="A128" s="10" t="s">
        <v>569</v>
      </c>
      <c r="B128" s="11">
        <v>46163</v>
      </c>
      <c r="C128" s="10" t="s">
        <v>541</v>
      </c>
      <c r="D128" s="10" t="s">
        <v>328</v>
      </c>
      <c r="E128" s="10" t="s">
        <v>122</v>
      </c>
      <c r="F128" s="10" t="s">
        <v>570</v>
      </c>
      <c r="G128" s="10" t="s">
        <v>152</v>
      </c>
      <c r="H128" s="10" t="s">
        <v>571</v>
      </c>
      <c r="I128" s="10" t="s">
        <v>572</v>
      </c>
      <c r="J128" s="10" t="s">
        <v>131</v>
      </c>
      <c r="K128" s="10" t="s">
        <v>118</v>
      </c>
      <c r="L128" s="10" t="s">
        <v>108</v>
      </c>
      <c r="M128" s="12">
        <v>45</v>
      </c>
      <c r="N128" s="11">
        <v>46166</v>
      </c>
      <c r="O128" s="11">
        <v>46169</v>
      </c>
      <c r="P128" s="10" t="s">
        <v>109</v>
      </c>
      <c r="Q128" s="10" t="s">
        <v>119</v>
      </c>
      <c r="R128" s="10"/>
      <c r="S128" s="11">
        <v>46194</v>
      </c>
      <c r="T128" s="13">
        <v>4</v>
      </c>
      <c r="U128" s="14">
        <v>131.25</v>
      </c>
      <c r="V128" s="15">
        <f t="shared" si="4"/>
        <v>1</v>
      </c>
      <c r="W128" s="15">
        <f t="shared" si="5"/>
        <v>31</v>
      </c>
      <c r="X128" s="16" t="str">
        <f t="shared" si="6"/>
        <v>Fechada</v>
      </c>
      <c r="Y128" s="16" t="str">
        <f t="shared" si="7"/>
        <v>OK</v>
      </c>
    </row>
    <row r="129" spans="1:25" ht="15" customHeight="1" x14ac:dyDescent="0.3">
      <c r="A129" s="10" t="s">
        <v>573</v>
      </c>
      <c r="B129" s="11">
        <v>46168</v>
      </c>
      <c r="C129" s="10" t="s">
        <v>541</v>
      </c>
      <c r="D129" s="10" t="s">
        <v>113</v>
      </c>
      <c r="E129" s="10" t="s">
        <v>135</v>
      </c>
      <c r="F129" s="10" t="s">
        <v>406</v>
      </c>
      <c r="G129" s="10" t="s">
        <v>152</v>
      </c>
      <c r="H129" s="10" t="s">
        <v>574</v>
      </c>
      <c r="I129" s="10" t="s">
        <v>575</v>
      </c>
      <c r="J129" s="10" t="s">
        <v>117</v>
      </c>
      <c r="K129" s="10" t="s">
        <v>118</v>
      </c>
      <c r="L129" s="10" t="s">
        <v>132</v>
      </c>
      <c r="M129" s="12">
        <v>36</v>
      </c>
      <c r="N129" s="11">
        <v>46168</v>
      </c>
      <c r="O129" s="11">
        <v>46179</v>
      </c>
      <c r="P129" s="10" t="s">
        <v>109</v>
      </c>
      <c r="Q129" s="10" t="s">
        <v>119</v>
      </c>
      <c r="R129" s="10"/>
      <c r="S129" s="11">
        <v>46192</v>
      </c>
      <c r="T129" s="13">
        <v>5</v>
      </c>
      <c r="U129" s="14">
        <v>49</v>
      </c>
      <c r="V129" s="15">
        <f t="shared" si="4"/>
        <v>0</v>
      </c>
      <c r="W129" s="15">
        <f t="shared" si="5"/>
        <v>24</v>
      </c>
      <c r="X129" s="16" t="str">
        <f t="shared" si="6"/>
        <v>Fechada</v>
      </c>
      <c r="Y129" s="16" t="str">
        <f t="shared" si="7"/>
        <v>OK</v>
      </c>
    </row>
    <row r="130" spans="1:25" ht="15" customHeight="1" x14ac:dyDescent="0.3">
      <c r="A130" s="10" t="s">
        <v>576</v>
      </c>
      <c r="B130" s="11">
        <v>46169</v>
      </c>
      <c r="C130" s="10" t="s">
        <v>541</v>
      </c>
      <c r="D130" s="10" t="s">
        <v>267</v>
      </c>
      <c r="E130" s="10" t="s">
        <v>122</v>
      </c>
      <c r="F130" s="10" t="s">
        <v>169</v>
      </c>
      <c r="G130" s="10" t="s">
        <v>104</v>
      </c>
      <c r="H130" s="10" t="s">
        <v>577</v>
      </c>
      <c r="I130" s="10" t="s">
        <v>578</v>
      </c>
      <c r="J130" s="10" t="s">
        <v>203</v>
      </c>
      <c r="K130" s="10" t="s">
        <v>80</v>
      </c>
      <c r="L130" s="10" t="s">
        <v>132</v>
      </c>
      <c r="M130" s="12">
        <v>64</v>
      </c>
      <c r="N130" s="11">
        <v>46171</v>
      </c>
      <c r="O130" s="11">
        <v>46178</v>
      </c>
      <c r="P130" s="10" t="s">
        <v>109</v>
      </c>
      <c r="Q130" s="10" t="s">
        <v>110</v>
      </c>
      <c r="R130" s="10"/>
      <c r="S130" s="11">
        <v>46185</v>
      </c>
      <c r="T130" s="13">
        <v>4</v>
      </c>
      <c r="U130" s="14">
        <v>56</v>
      </c>
      <c r="V130" s="15">
        <f t="shared" si="4"/>
        <v>2</v>
      </c>
      <c r="W130" s="15">
        <f t="shared" si="5"/>
        <v>16</v>
      </c>
      <c r="X130" s="16" t="str">
        <f t="shared" si="6"/>
        <v>Fechada</v>
      </c>
      <c r="Y130" s="16" t="str">
        <f t="shared" si="7"/>
        <v>OK</v>
      </c>
    </row>
    <row r="131" spans="1:25" ht="15" customHeight="1" x14ac:dyDescent="0.3">
      <c r="A131" s="10" t="s">
        <v>579</v>
      </c>
      <c r="B131" s="11">
        <v>46170</v>
      </c>
      <c r="C131" s="10" t="s">
        <v>541</v>
      </c>
      <c r="D131" s="10" t="s">
        <v>328</v>
      </c>
      <c r="E131" s="10" t="s">
        <v>122</v>
      </c>
      <c r="F131" s="10" t="s">
        <v>169</v>
      </c>
      <c r="G131" s="10" t="s">
        <v>104</v>
      </c>
      <c r="H131" s="10" t="s">
        <v>580</v>
      </c>
      <c r="I131" s="10" t="s">
        <v>581</v>
      </c>
      <c r="J131" s="10" t="s">
        <v>191</v>
      </c>
      <c r="K131" s="10" t="s">
        <v>118</v>
      </c>
      <c r="L131" s="10" t="s">
        <v>132</v>
      </c>
      <c r="M131" s="12">
        <v>141</v>
      </c>
      <c r="N131" s="11">
        <v>46173</v>
      </c>
      <c r="O131" s="11">
        <v>46178</v>
      </c>
      <c r="P131" s="10" t="s">
        <v>109</v>
      </c>
      <c r="Q131" s="10" t="s">
        <v>119</v>
      </c>
      <c r="R131" s="10"/>
      <c r="S131" s="11">
        <v>46196</v>
      </c>
      <c r="T131" s="13">
        <v>4</v>
      </c>
      <c r="U131" s="14">
        <v>75.25</v>
      </c>
      <c r="V131" s="15">
        <f t="shared" si="4"/>
        <v>1</v>
      </c>
      <c r="W131" s="15">
        <f t="shared" si="5"/>
        <v>26</v>
      </c>
      <c r="X131" s="16" t="str">
        <f t="shared" si="6"/>
        <v>Fechada</v>
      </c>
      <c r="Y131" s="16" t="str">
        <f t="shared" si="7"/>
        <v>OK</v>
      </c>
    </row>
    <row r="132" spans="1:25" ht="15" customHeight="1" x14ac:dyDescent="0.3">
      <c r="A132" s="10" t="s">
        <v>582</v>
      </c>
      <c r="B132" s="11">
        <v>46171</v>
      </c>
      <c r="C132" s="10" t="s">
        <v>541</v>
      </c>
      <c r="D132" s="10" t="s">
        <v>101</v>
      </c>
      <c r="E132" s="10" t="s">
        <v>102</v>
      </c>
      <c r="F132" s="10" t="s">
        <v>193</v>
      </c>
      <c r="G132" s="10" t="s">
        <v>152</v>
      </c>
      <c r="H132" s="10" t="s">
        <v>583</v>
      </c>
      <c r="I132" s="10"/>
      <c r="J132" s="10" t="s">
        <v>164</v>
      </c>
      <c r="K132" s="10" t="s">
        <v>118</v>
      </c>
      <c r="L132" s="10" t="s">
        <v>132</v>
      </c>
      <c r="M132" s="12">
        <v>8</v>
      </c>
      <c r="N132" s="11">
        <v>46174</v>
      </c>
      <c r="O132" s="11">
        <v>46179</v>
      </c>
      <c r="P132" s="10" t="s">
        <v>109</v>
      </c>
      <c r="Q132" s="10" t="s">
        <v>119</v>
      </c>
      <c r="R132" s="10"/>
      <c r="S132" s="11">
        <v>46200</v>
      </c>
      <c r="T132" s="13">
        <v>2</v>
      </c>
      <c r="U132" s="14">
        <v>42</v>
      </c>
      <c r="V132" s="15">
        <f t="shared" si="4"/>
        <v>1</v>
      </c>
      <c r="W132" s="15">
        <f t="shared" si="5"/>
        <v>29</v>
      </c>
      <c r="X132" s="16" t="str">
        <f t="shared" si="6"/>
        <v>Fechada</v>
      </c>
      <c r="Y132" s="16" t="str">
        <f t="shared" si="7"/>
        <v>Sem encomenda (rastreio)</v>
      </c>
    </row>
    <row r="133" spans="1:25" ht="15" customHeight="1" x14ac:dyDescent="0.3">
      <c r="A133" s="10" t="s">
        <v>584</v>
      </c>
      <c r="B133" s="11">
        <v>46174</v>
      </c>
      <c r="C133" s="10" t="s">
        <v>585</v>
      </c>
      <c r="D133" s="10" t="s">
        <v>219</v>
      </c>
      <c r="E133" s="10" t="s">
        <v>102</v>
      </c>
      <c r="F133" s="10" t="s">
        <v>145</v>
      </c>
      <c r="G133" s="10" t="s">
        <v>104</v>
      </c>
      <c r="H133" s="10" t="s">
        <v>586</v>
      </c>
      <c r="I133" s="10" t="s">
        <v>587</v>
      </c>
      <c r="J133" s="10" t="s">
        <v>107</v>
      </c>
      <c r="K133" s="10" t="s">
        <v>80</v>
      </c>
      <c r="L133" s="10" t="s">
        <v>108</v>
      </c>
      <c r="M133" s="12">
        <v>34</v>
      </c>
      <c r="N133" s="11">
        <v>46178</v>
      </c>
      <c r="O133" s="11">
        <v>46178</v>
      </c>
      <c r="P133" s="10" t="s">
        <v>109</v>
      </c>
      <c r="Q133" s="10" t="s">
        <v>110</v>
      </c>
      <c r="R133" s="10"/>
      <c r="S133" s="11"/>
      <c r="T133" s="13"/>
      <c r="U133" s="14">
        <v>128.5</v>
      </c>
      <c r="V133" s="15">
        <f t="shared" ref="V133:V196" si="8">IF(A133="","",NETWORKDAYS(B133,N133)-1)</f>
        <v>4</v>
      </c>
      <c r="W133" s="15">
        <f t="shared" ref="W133:W196" si="9">IF(A133="","",IF(S133="",DataRef-B133,S133-B133))</f>
        <v>213</v>
      </c>
      <c r="X133" s="16" t="str">
        <f t="shared" ref="X133:X196" si="10">IF(A133="","",IF(S133&lt;&gt;"","Fechada",IF(W133&gt;30,"Atrasada","Aberta")))</f>
        <v>Atrasada</v>
      </c>
      <c r="Y133" s="16" t="str">
        <f t="shared" ref="Y133:Y196" si="11">IF(A133="","",IF(V133&gt;2,"Acusação tardia",IF(AND(L133="Crítica",R133=""),"Crítica sem 8D",IF(I133="","Sem encomenda (rastreio)","OK"))))</f>
        <v>Acusação tardia</v>
      </c>
    </row>
    <row r="134" spans="1:25" ht="15" customHeight="1" x14ac:dyDescent="0.3">
      <c r="A134" s="10" t="s">
        <v>588</v>
      </c>
      <c r="B134" s="11">
        <v>46174</v>
      </c>
      <c r="C134" s="10" t="s">
        <v>585</v>
      </c>
      <c r="D134" s="10" t="s">
        <v>210</v>
      </c>
      <c r="E134" s="10" t="s">
        <v>102</v>
      </c>
      <c r="F134" s="10" t="s">
        <v>169</v>
      </c>
      <c r="G134" s="10" t="s">
        <v>104</v>
      </c>
      <c r="H134" s="10" t="s">
        <v>589</v>
      </c>
      <c r="I134" s="10" t="s">
        <v>590</v>
      </c>
      <c r="J134" s="10" t="s">
        <v>198</v>
      </c>
      <c r="K134" s="10" t="s">
        <v>80</v>
      </c>
      <c r="L134" s="10" t="s">
        <v>148</v>
      </c>
      <c r="M134" s="12">
        <v>77</v>
      </c>
      <c r="N134" s="11">
        <v>46176</v>
      </c>
      <c r="O134" s="11">
        <v>46180</v>
      </c>
      <c r="P134" s="10" t="s">
        <v>109</v>
      </c>
      <c r="Q134" s="10" t="s">
        <v>110</v>
      </c>
      <c r="R134" s="10"/>
      <c r="S134" s="11">
        <v>46185</v>
      </c>
      <c r="T134" s="13">
        <v>4</v>
      </c>
      <c r="U134" s="14">
        <v>369.25</v>
      </c>
      <c r="V134" s="15">
        <f t="shared" si="8"/>
        <v>2</v>
      </c>
      <c r="W134" s="15">
        <f t="shared" si="9"/>
        <v>11</v>
      </c>
      <c r="X134" s="16" t="str">
        <f t="shared" si="10"/>
        <v>Fechada</v>
      </c>
      <c r="Y134" s="16" t="str">
        <f t="shared" si="11"/>
        <v>Crítica sem 8D</v>
      </c>
    </row>
    <row r="135" spans="1:25" ht="15" customHeight="1" x14ac:dyDescent="0.3">
      <c r="A135" s="10" t="s">
        <v>591</v>
      </c>
      <c r="B135" s="11">
        <v>46179</v>
      </c>
      <c r="C135" s="10" t="s">
        <v>585</v>
      </c>
      <c r="D135" s="10" t="s">
        <v>113</v>
      </c>
      <c r="E135" s="10" t="s">
        <v>122</v>
      </c>
      <c r="F135" s="10" t="s">
        <v>357</v>
      </c>
      <c r="G135" s="10" t="s">
        <v>152</v>
      </c>
      <c r="H135" s="10" t="s">
        <v>592</v>
      </c>
      <c r="I135" s="10" t="s">
        <v>593</v>
      </c>
      <c r="J135" s="10" t="s">
        <v>386</v>
      </c>
      <c r="K135" s="10" t="s">
        <v>80</v>
      </c>
      <c r="L135" s="10" t="s">
        <v>148</v>
      </c>
      <c r="M135" s="12">
        <v>62</v>
      </c>
      <c r="N135" s="11">
        <v>46180</v>
      </c>
      <c r="O135" s="11">
        <v>46186</v>
      </c>
      <c r="P135" s="10" t="s">
        <v>109</v>
      </c>
      <c r="Q135" s="10" t="s">
        <v>110</v>
      </c>
      <c r="R135" s="10" t="s">
        <v>594</v>
      </c>
      <c r="S135" s="11"/>
      <c r="T135" s="13"/>
      <c r="U135" s="14">
        <v>365.5</v>
      </c>
      <c r="V135" s="15">
        <f t="shared" si="8"/>
        <v>-1</v>
      </c>
      <c r="W135" s="15">
        <f t="shared" si="9"/>
        <v>208</v>
      </c>
      <c r="X135" s="16" t="str">
        <f t="shared" si="10"/>
        <v>Atrasada</v>
      </c>
      <c r="Y135" s="16" t="str">
        <f t="shared" si="11"/>
        <v>OK</v>
      </c>
    </row>
    <row r="136" spans="1:25" ht="15" customHeight="1" x14ac:dyDescent="0.3">
      <c r="A136" s="10" t="s">
        <v>595</v>
      </c>
      <c r="B136" s="11">
        <v>46180</v>
      </c>
      <c r="C136" s="10" t="s">
        <v>585</v>
      </c>
      <c r="D136" s="10" t="s">
        <v>247</v>
      </c>
      <c r="E136" s="10" t="s">
        <v>135</v>
      </c>
      <c r="F136" s="10" t="s">
        <v>200</v>
      </c>
      <c r="G136" s="10" t="s">
        <v>104</v>
      </c>
      <c r="H136" s="10" t="s">
        <v>596</v>
      </c>
      <c r="I136" s="10"/>
      <c r="J136" s="10" t="s">
        <v>131</v>
      </c>
      <c r="K136" s="10" t="s">
        <v>118</v>
      </c>
      <c r="L136" s="10" t="s">
        <v>132</v>
      </c>
      <c r="M136" s="12">
        <v>34</v>
      </c>
      <c r="N136" s="11">
        <v>46181</v>
      </c>
      <c r="O136" s="11">
        <v>46186</v>
      </c>
      <c r="P136" s="10" t="s">
        <v>109</v>
      </c>
      <c r="Q136" s="10" t="s">
        <v>119</v>
      </c>
      <c r="R136" s="10"/>
      <c r="S136" s="11">
        <v>46208</v>
      </c>
      <c r="T136" s="13">
        <v>3</v>
      </c>
      <c r="U136" s="14">
        <v>48.5</v>
      </c>
      <c r="V136" s="15">
        <f t="shared" si="8"/>
        <v>0</v>
      </c>
      <c r="W136" s="15">
        <f t="shared" si="9"/>
        <v>28</v>
      </c>
      <c r="X136" s="16" t="str">
        <f t="shared" si="10"/>
        <v>Fechada</v>
      </c>
      <c r="Y136" s="16" t="str">
        <f t="shared" si="11"/>
        <v>Sem encomenda (rastreio)</v>
      </c>
    </row>
    <row r="137" spans="1:25" ht="15" customHeight="1" x14ac:dyDescent="0.3">
      <c r="A137" s="10" t="s">
        <v>597</v>
      </c>
      <c r="B137" s="11">
        <v>46190</v>
      </c>
      <c r="C137" s="10" t="s">
        <v>585</v>
      </c>
      <c r="D137" s="10" t="s">
        <v>113</v>
      </c>
      <c r="E137" s="10" t="s">
        <v>122</v>
      </c>
      <c r="F137" s="10" t="s">
        <v>598</v>
      </c>
      <c r="G137" s="10" t="s">
        <v>152</v>
      </c>
      <c r="H137" s="10" t="s">
        <v>599</v>
      </c>
      <c r="I137" s="10" t="s">
        <v>600</v>
      </c>
      <c r="J137" s="10" t="s">
        <v>335</v>
      </c>
      <c r="K137" s="10" t="s">
        <v>80</v>
      </c>
      <c r="L137" s="10" t="s">
        <v>132</v>
      </c>
      <c r="M137" s="12">
        <v>4</v>
      </c>
      <c r="N137" s="11">
        <v>46193</v>
      </c>
      <c r="O137" s="11">
        <v>46199</v>
      </c>
      <c r="P137" s="10" t="s">
        <v>109</v>
      </c>
      <c r="Q137" s="10" t="s">
        <v>110</v>
      </c>
      <c r="R137" s="10"/>
      <c r="S137" s="11">
        <v>46218</v>
      </c>
      <c r="T137" s="13">
        <v>4</v>
      </c>
      <c r="U137" s="14">
        <v>41</v>
      </c>
      <c r="V137" s="15">
        <f t="shared" si="8"/>
        <v>2</v>
      </c>
      <c r="W137" s="15">
        <f t="shared" si="9"/>
        <v>28</v>
      </c>
      <c r="X137" s="16" t="str">
        <f t="shared" si="10"/>
        <v>Fechada</v>
      </c>
      <c r="Y137" s="16" t="str">
        <f t="shared" si="11"/>
        <v>OK</v>
      </c>
    </row>
    <row r="138" spans="1:25" ht="15" customHeight="1" x14ac:dyDescent="0.3">
      <c r="A138" s="10" t="s">
        <v>601</v>
      </c>
      <c r="B138" s="11">
        <v>46192</v>
      </c>
      <c r="C138" s="10" t="s">
        <v>585</v>
      </c>
      <c r="D138" s="10" t="s">
        <v>139</v>
      </c>
      <c r="E138" s="10" t="s">
        <v>102</v>
      </c>
      <c r="F138" s="10" t="s">
        <v>228</v>
      </c>
      <c r="G138" s="10" t="s">
        <v>152</v>
      </c>
      <c r="H138" s="10" t="s">
        <v>602</v>
      </c>
      <c r="I138" s="10" t="s">
        <v>603</v>
      </c>
      <c r="J138" s="10" t="s">
        <v>386</v>
      </c>
      <c r="K138" s="10" t="s">
        <v>80</v>
      </c>
      <c r="L138" s="10" t="s">
        <v>108</v>
      </c>
      <c r="M138" s="12">
        <v>33</v>
      </c>
      <c r="N138" s="11">
        <v>46194</v>
      </c>
      <c r="O138" s="11">
        <v>46201</v>
      </c>
      <c r="P138" s="10" t="s">
        <v>109</v>
      </c>
      <c r="Q138" s="10" t="s">
        <v>110</v>
      </c>
      <c r="R138" s="10"/>
      <c r="S138" s="11">
        <v>46206</v>
      </c>
      <c r="T138" s="13">
        <v>5</v>
      </c>
      <c r="U138" s="14">
        <v>128.25</v>
      </c>
      <c r="V138" s="15">
        <f t="shared" si="8"/>
        <v>0</v>
      </c>
      <c r="W138" s="15">
        <f t="shared" si="9"/>
        <v>14</v>
      </c>
      <c r="X138" s="16" t="str">
        <f t="shared" si="10"/>
        <v>Fechada</v>
      </c>
      <c r="Y138" s="16" t="str">
        <f t="shared" si="11"/>
        <v>OK</v>
      </c>
    </row>
    <row r="139" spans="1:25" ht="15" customHeight="1" x14ac:dyDescent="0.3">
      <c r="A139" s="10" t="s">
        <v>604</v>
      </c>
      <c r="B139" s="11">
        <v>46194</v>
      </c>
      <c r="C139" s="10" t="s">
        <v>585</v>
      </c>
      <c r="D139" s="10" t="s">
        <v>328</v>
      </c>
      <c r="E139" s="10" t="s">
        <v>135</v>
      </c>
      <c r="F139" s="10" t="s">
        <v>605</v>
      </c>
      <c r="G139" s="10" t="s">
        <v>104</v>
      </c>
      <c r="H139" s="10" t="s">
        <v>606</v>
      </c>
      <c r="I139" s="10" t="s">
        <v>607</v>
      </c>
      <c r="J139" s="10" t="s">
        <v>198</v>
      </c>
      <c r="K139" s="10" t="s">
        <v>80</v>
      </c>
      <c r="L139" s="10" t="s">
        <v>108</v>
      </c>
      <c r="M139" s="12">
        <v>59</v>
      </c>
      <c r="N139" s="11">
        <v>46196</v>
      </c>
      <c r="O139" s="11">
        <v>46200</v>
      </c>
      <c r="P139" s="10" t="s">
        <v>109</v>
      </c>
      <c r="Q139" s="10" t="s">
        <v>110</v>
      </c>
      <c r="R139" s="10"/>
      <c r="S139" s="11">
        <v>46225</v>
      </c>
      <c r="T139" s="13">
        <v>4</v>
      </c>
      <c r="U139" s="14">
        <v>134.75</v>
      </c>
      <c r="V139" s="15">
        <f t="shared" si="8"/>
        <v>1</v>
      </c>
      <c r="W139" s="15">
        <f t="shared" si="9"/>
        <v>31</v>
      </c>
      <c r="X139" s="16" t="str">
        <f t="shared" si="10"/>
        <v>Fechada</v>
      </c>
      <c r="Y139" s="16" t="str">
        <f t="shared" si="11"/>
        <v>OK</v>
      </c>
    </row>
    <row r="140" spans="1:25" ht="15" customHeight="1" x14ac:dyDescent="0.3">
      <c r="A140" s="10" t="s">
        <v>608</v>
      </c>
      <c r="B140" s="11">
        <v>46199</v>
      </c>
      <c r="C140" s="10" t="s">
        <v>585</v>
      </c>
      <c r="D140" s="10" t="s">
        <v>155</v>
      </c>
      <c r="E140" s="10" t="s">
        <v>102</v>
      </c>
      <c r="F140" s="10" t="s">
        <v>609</v>
      </c>
      <c r="G140" s="10" t="s">
        <v>104</v>
      </c>
      <c r="H140" s="10" t="s">
        <v>610</v>
      </c>
      <c r="I140" s="10" t="s">
        <v>611</v>
      </c>
      <c r="J140" s="10" t="s">
        <v>164</v>
      </c>
      <c r="K140" s="10" t="s">
        <v>118</v>
      </c>
      <c r="L140" s="10" t="s">
        <v>108</v>
      </c>
      <c r="M140" s="12">
        <v>32</v>
      </c>
      <c r="N140" s="11">
        <v>46200</v>
      </c>
      <c r="O140" s="11">
        <v>46203</v>
      </c>
      <c r="P140" s="10" t="s">
        <v>109</v>
      </c>
      <c r="Q140" s="10" t="s">
        <v>119</v>
      </c>
      <c r="R140" s="10"/>
      <c r="S140" s="11"/>
      <c r="T140" s="13"/>
      <c r="U140" s="14">
        <v>128</v>
      </c>
      <c r="V140" s="15">
        <f t="shared" si="8"/>
        <v>0</v>
      </c>
      <c r="W140" s="15">
        <f t="shared" si="9"/>
        <v>188</v>
      </c>
      <c r="X140" s="16" t="str">
        <f t="shared" si="10"/>
        <v>Atrasada</v>
      </c>
      <c r="Y140" s="16" t="str">
        <f t="shared" si="11"/>
        <v>OK</v>
      </c>
    </row>
    <row r="141" spans="1:25" ht="15" customHeight="1" x14ac:dyDescent="0.3">
      <c r="A141" s="10" t="s">
        <v>612</v>
      </c>
      <c r="B141" s="11">
        <v>46201</v>
      </c>
      <c r="C141" s="10" t="s">
        <v>585</v>
      </c>
      <c r="D141" s="10" t="s">
        <v>134</v>
      </c>
      <c r="E141" s="10" t="s">
        <v>122</v>
      </c>
      <c r="F141" s="10" t="s">
        <v>161</v>
      </c>
      <c r="G141" s="10" t="s">
        <v>152</v>
      </c>
      <c r="H141" s="10" t="s">
        <v>613</v>
      </c>
      <c r="I141" s="10" t="s">
        <v>614</v>
      </c>
      <c r="J141" s="10" t="s">
        <v>164</v>
      </c>
      <c r="K141" s="10" t="s">
        <v>118</v>
      </c>
      <c r="L141" s="10" t="s">
        <v>132</v>
      </c>
      <c r="M141" s="12">
        <v>39</v>
      </c>
      <c r="N141" s="11">
        <v>46204</v>
      </c>
      <c r="O141" s="11">
        <v>46209</v>
      </c>
      <c r="P141" s="10" t="s">
        <v>109</v>
      </c>
      <c r="Q141" s="10" t="s">
        <v>119</v>
      </c>
      <c r="R141" s="10"/>
      <c r="S141" s="11"/>
      <c r="T141" s="13"/>
      <c r="U141" s="14">
        <v>49.75</v>
      </c>
      <c r="V141" s="15">
        <f t="shared" si="8"/>
        <v>2</v>
      </c>
      <c r="W141" s="15">
        <f t="shared" si="9"/>
        <v>186</v>
      </c>
      <c r="X141" s="16" t="str">
        <f t="shared" si="10"/>
        <v>Atrasada</v>
      </c>
      <c r="Y141" s="16" t="str">
        <f t="shared" si="11"/>
        <v>OK</v>
      </c>
    </row>
    <row r="142" spans="1:25" ht="15" customHeight="1" x14ac:dyDescent="0.3">
      <c r="A142" s="10" t="s">
        <v>615</v>
      </c>
      <c r="B142" s="11">
        <v>46202</v>
      </c>
      <c r="C142" s="10" t="s">
        <v>585</v>
      </c>
      <c r="D142" s="10" t="s">
        <v>113</v>
      </c>
      <c r="E142" s="10" t="s">
        <v>102</v>
      </c>
      <c r="F142" s="10" t="s">
        <v>616</v>
      </c>
      <c r="G142" s="10" t="s">
        <v>152</v>
      </c>
      <c r="H142" s="10" t="s">
        <v>617</v>
      </c>
      <c r="I142" s="10" t="s">
        <v>618</v>
      </c>
      <c r="J142" s="10" t="s">
        <v>164</v>
      </c>
      <c r="K142" s="10" t="s">
        <v>118</v>
      </c>
      <c r="L142" s="10" t="s">
        <v>108</v>
      </c>
      <c r="M142" s="12">
        <v>36</v>
      </c>
      <c r="N142" s="11">
        <v>46205</v>
      </c>
      <c r="O142" s="11">
        <v>46206</v>
      </c>
      <c r="P142" s="10" t="s">
        <v>250</v>
      </c>
      <c r="Q142" s="10" t="s">
        <v>251</v>
      </c>
      <c r="R142" s="10"/>
      <c r="S142" s="11">
        <v>46231</v>
      </c>
      <c r="T142" s="13">
        <v>4</v>
      </c>
      <c r="U142" s="14">
        <v>129</v>
      </c>
      <c r="V142" s="15">
        <f t="shared" si="8"/>
        <v>3</v>
      </c>
      <c r="W142" s="15">
        <f t="shared" si="9"/>
        <v>29</v>
      </c>
      <c r="X142" s="16" t="str">
        <f t="shared" si="10"/>
        <v>Fechada</v>
      </c>
      <c r="Y142" s="16" t="str">
        <f t="shared" si="11"/>
        <v>Acusação tardia</v>
      </c>
    </row>
    <row r="143" spans="1:25" ht="15" customHeight="1" x14ac:dyDescent="0.3">
      <c r="A143" s="10" t="s">
        <v>619</v>
      </c>
      <c r="B143" s="11">
        <v>46205</v>
      </c>
      <c r="C143" s="10" t="s">
        <v>620</v>
      </c>
      <c r="D143" s="10" t="s">
        <v>267</v>
      </c>
      <c r="E143" s="10" t="s">
        <v>122</v>
      </c>
      <c r="F143" s="10" t="s">
        <v>437</v>
      </c>
      <c r="G143" s="10" t="s">
        <v>152</v>
      </c>
      <c r="H143" s="10" t="s">
        <v>621</v>
      </c>
      <c r="I143" s="10" t="s">
        <v>622</v>
      </c>
      <c r="J143" s="10" t="s">
        <v>386</v>
      </c>
      <c r="K143" s="10" t="s">
        <v>80</v>
      </c>
      <c r="L143" s="10" t="s">
        <v>132</v>
      </c>
      <c r="M143" s="12">
        <v>5</v>
      </c>
      <c r="N143" s="11">
        <v>46207</v>
      </c>
      <c r="O143" s="11">
        <v>46214</v>
      </c>
      <c r="P143" s="10" t="s">
        <v>109</v>
      </c>
      <c r="Q143" s="10" t="s">
        <v>110</v>
      </c>
      <c r="R143" s="10"/>
      <c r="S143" s="11">
        <v>46218</v>
      </c>
      <c r="T143" s="13">
        <v>3</v>
      </c>
      <c r="U143" s="14">
        <v>41.25</v>
      </c>
      <c r="V143" s="15">
        <f t="shared" si="8"/>
        <v>1</v>
      </c>
      <c r="W143" s="15">
        <f t="shared" si="9"/>
        <v>13</v>
      </c>
      <c r="X143" s="16" t="str">
        <f t="shared" si="10"/>
        <v>Fechada</v>
      </c>
      <c r="Y143" s="16" t="str">
        <f t="shared" si="11"/>
        <v>OK</v>
      </c>
    </row>
    <row r="144" spans="1:25" ht="15" customHeight="1" x14ac:dyDescent="0.3">
      <c r="A144" s="10" t="s">
        <v>623</v>
      </c>
      <c r="B144" s="11">
        <v>46213</v>
      </c>
      <c r="C144" s="10" t="s">
        <v>620</v>
      </c>
      <c r="D144" s="10" t="s">
        <v>134</v>
      </c>
      <c r="E144" s="10" t="s">
        <v>122</v>
      </c>
      <c r="F144" s="10" t="s">
        <v>284</v>
      </c>
      <c r="G144" s="10" t="s">
        <v>152</v>
      </c>
      <c r="H144" s="10" t="s">
        <v>624</v>
      </c>
      <c r="I144" s="10" t="s">
        <v>625</v>
      </c>
      <c r="J144" s="10" t="s">
        <v>208</v>
      </c>
      <c r="K144" s="10" t="s">
        <v>80</v>
      </c>
      <c r="L144" s="10" t="s">
        <v>148</v>
      </c>
      <c r="M144" s="12">
        <v>48</v>
      </c>
      <c r="N144" s="11">
        <v>46215</v>
      </c>
      <c r="O144" s="11">
        <v>46223</v>
      </c>
      <c r="P144" s="10" t="s">
        <v>109</v>
      </c>
      <c r="Q144" s="10" t="s">
        <v>110</v>
      </c>
      <c r="R144" s="10"/>
      <c r="S144" s="11">
        <v>46239</v>
      </c>
      <c r="T144" s="13">
        <v>5</v>
      </c>
      <c r="U144" s="14">
        <v>362</v>
      </c>
      <c r="V144" s="15">
        <f t="shared" si="8"/>
        <v>0</v>
      </c>
      <c r="W144" s="15">
        <f t="shared" si="9"/>
        <v>26</v>
      </c>
      <c r="X144" s="16" t="str">
        <f t="shared" si="10"/>
        <v>Fechada</v>
      </c>
      <c r="Y144" s="16" t="str">
        <f t="shared" si="11"/>
        <v>Crítica sem 8D</v>
      </c>
    </row>
    <row r="145" spans="1:25" ht="15" customHeight="1" x14ac:dyDescent="0.3">
      <c r="A145" s="10" t="s">
        <v>626</v>
      </c>
      <c r="B145" s="11">
        <v>46215</v>
      </c>
      <c r="C145" s="10" t="s">
        <v>620</v>
      </c>
      <c r="D145" s="10" t="s">
        <v>182</v>
      </c>
      <c r="E145" s="10" t="s">
        <v>135</v>
      </c>
      <c r="F145" s="10" t="s">
        <v>284</v>
      </c>
      <c r="G145" s="10" t="s">
        <v>152</v>
      </c>
      <c r="H145" s="10" t="s">
        <v>627</v>
      </c>
      <c r="I145" s="10" t="s">
        <v>628</v>
      </c>
      <c r="J145" s="10" t="s">
        <v>386</v>
      </c>
      <c r="K145" s="10" t="s">
        <v>80</v>
      </c>
      <c r="L145" s="10" t="s">
        <v>108</v>
      </c>
      <c r="M145" s="12">
        <v>93</v>
      </c>
      <c r="N145" s="11">
        <v>46216</v>
      </c>
      <c r="O145" s="11">
        <v>46218</v>
      </c>
      <c r="P145" s="10" t="s">
        <v>109</v>
      </c>
      <c r="Q145" s="10" t="s">
        <v>110</v>
      </c>
      <c r="R145" s="10"/>
      <c r="S145" s="11">
        <v>46242</v>
      </c>
      <c r="T145" s="13">
        <v>4</v>
      </c>
      <c r="U145" s="14">
        <v>143.25</v>
      </c>
      <c r="V145" s="15">
        <f t="shared" si="8"/>
        <v>0</v>
      </c>
      <c r="W145" s="15">
        <f t="shared" si="9"/>
        <v>27</v>
      </c>
      <c r="X145" s="16" t="str">
        <f t="shared" si="10"/>
        <v>Fechada</v>
      </c>
      <c r="Y145" s="16" t="str">
        <f t="shared" si="11"/>
        <v>OK</v>
      </c>
    </row>
    <row r="146" spans="1:25" ht="15" customHeight="1" x14ac:dyDescent="0.3">
      <c r="A146" s="10" t="s">
        <v>629</v>
      </c>
      <c r="B146" s="11">
        <v>46223</v>
      </c>
      <c r="C146" s="10" t="s">
        <v>620</v>
      </c>
      <c r="D146" s="10" t="s">
        <v>113</v>
      </c>
      <c r="E146" s="10" t="s">
        <v>102</v>
      </c>
      <c r="F146" s="10" t="s">
        <v>630</v>
      </c>
      <c r="G146" s="10" t="s">
        <v>115</v>
      </c>
      <c r="H146" s="10" t="s">
        <v>631</v>
      </c>
      <c r="I146" s="10"/>
      <c r="J146" s="10" t="s">
        <v>131</v>
      </c>
      <c r="K146" s="10" t="s">
        <v>118</v>
      </c>
      <c r="L146" s="10" t="s">
        <v>132</v>
      </c>
      <c r="M146" s="12">
        <v>35</v>
      </c>
      <c r="N146" s="11">
        <v>46226</v>
      </c>
      <c r="O146" s="11">
        <v>46229</v>
      </c>
      <c r="P146" s="10" t="s">
        <v>109</v>
      </c>
      <c r="Q146" s="10" t="s">
        <v>119</v>
      </c>
      <c r="R146" s="10"/>
      <c r="S146" s="11"/>
      <c r="T146" s="13"/>
      <c r="U146" s="14">
        <v>48.75</v>
      </c>
      <c r="V146" s="15">
        <f t="shared" si="8"/>
        <v>3</v>
      </c>
      <c r="W146" s="15">
        <f t="shared" si="9"/>
        <v>164</v>
      </c>
      <c r="X146" s="16" t="str">
        <f t="shared" si="10"/>
        <v>Atrasada</v>
      </c>
      <c r="Y146" s="16" t="str">
        <f t="shared" si="11"/>
        <v>Acusação tardia</v>
      </c>
    </row>
    <row r="147" spans="1:25" ht="15" customHeight="1" x14ac:dyDescent="0.3">
      <c r="A147" s="10" t="s">
        <v>632</v>
      </c>
      <c r="B147" s="11">
        <v>46224</v>
      </c>
      <c r="C147" s="10" t="s">
        <v>620</v>
      </c>
      <c r="D147" s="10" t="s">
        <v>182</v>
      </c>
      <c r="E147" s="10" t="s">
        <v>135</v>
      </c>
      <c r="F147" s="10" t="s">
        <v>103</v>
      </c>
      <c r="G147" s="10" t="s">
        <v>104</v>
      </c>
      <c r="H147" s="10" t="s">
        <v>633</v>
      </c>
      <c r="I147" s="10" t="s">
        <v>634</v>
      </c>
      <c r="J147" s="10" t="s">
        <v>164</v>
      </c>
      <c r="K147" s="10" t="s">
        <v>118</v>
      </c>
      <c r="L147" s="10" t="s">
        <v>132</v>
      </c>
      <c r="M147" s="12">
        <v>77</v>
      </c>
      <c r="N147" s="11">
        <v>46225</v>
      </c>
      <c r="O147" s="11">
        <v>46227</v>
      </c>
      <c r="P147" s="10" t="s">
        <v>109</v>
      </c>
      <c r="Q147" s="10" t="s">
        <v>119</v>
      </c>
      <c r="R147" s="10"/>
      <c r="S147" s="11">
        <v>46232</v>
      </c>
      <c r="T147" s="13">
        <v>4</v>
      </c>
      <c r="U147" s="14">
        <v>59.25</v>
      </c>
      <c r="V147" s="15">
        <f t="shared" si="8"/>
        <v>1</v>
      </c>
      <c r="W147" s="15">
        <f t="shared" si="9"/>
        <v>8</v>
      </c>
      <c r="X147" s="16" t="str">
        <f t="shared" si="10"/>
        <v>Fechada</v>
      </c>
      <c r="Y147" s="16" t="str">
        <f t="shared" si="11"/>
        <v>OK</v>
      </c>
    </row>
    <row r="148" spans="1:25" ht="15" customHeight="1" x14ac:dyDescent="0.3">
      <c r="A148" s="10" t="s">
        <v>635</v>
      </c>
      <c r="B148" s="11">
        <v>46226</v>
      </c>
      <c r="C148" s="10" t="s">
        <v>620</v>
      </c>
      <c r="D148" s="10" t="s">
        <v>219</v>
      </c>
      <c r="E148" s="10" t="s">
        <v>135</v>
      </c>
      <c r="F148" s="10" t="s">
        <v>636</v>
      </c>
      <c r="G148" s="10" t="s">
        <v>104</v>
      </c>
      <c r="H148" s="10" t="s">
        <v>637</v>
      </c>
      <c r="I148" s="10"/>
      <c r="J148" s="10" t="s">
        <v>191</v>
      </c>
      <c r="K148" s="10" t="s">
        <v>118</v>
      </c>
      <c r="L148" s="10" t="s">
        <v>132</v>
      </c>
      <c r="M148" s="12">
        <v>30</v>
      </c>
      <c r="N148" s="11">
        <v>46228</v>
      </c>
      <c r="O148" s="11">
        <v>46236</v>
      </c>
      <c r="P148" s="10" t="s">
        <v>109</v>
      </c>
      <c r="Q148" s="10" t="s">
        <v>119</v>
      </c>
      <c r="R148" s="10"/>
      <c r="S148" s="11"/>
      <c r="T148" s="13"/>
      <c r="U148" s="14">
        <v>47.5</v>
      </c>
      <c r="V148" s="15">
        <f t="shared" si="8"/>
        <v>1</v>
      </c>
      <c r="W148" s="15">
        <f t="shared" si="9"/>
        <v>161</v>
      </c>
      <c r="X148" s="16" t="str">
        <f t="shared" si="10"/>
        <v>Atrasada</v>
      </c>
      <c r="Y148" s="16" t="str">
        <f t="shared" si="11"/>
        <v>Sem encomenda (rastreio)</v>
      </c>
    </row>
    <row r="149" spans="1:25" ht="15" customHeight="1" x14ac:dyDescent="0.3">
      <c r="A149" s="10" t="s">
        <v>638</v>
      </c>
      <c r="B149" s="11">
        <v>46227</v>
      </c>
      <c r="C149" s="10" t="s">
        <v>620</v>
      </c>
      <c r="D149" s="10" t="s">
        <v>134</v>
      </c>
      <c r="E149" s="10" t="s">
        <v>135</v>
      </c>
      <c r="F149" s="10" t="s">
        <v>598</v>
      </c>
      <c r="G149" s="10" t="s">
        <v>152</v>
      </c>
      <c r="H149" s="10" t="s">
        <v>639</v>
      </c>
      <c r="I149" s="10" t="s">
        <v>640</v>
      </c>
      <c r="J149" s="10" t="s">
        <v>386</v>
      </c>
      <c r="K149" s="10" t="s">
        <v>80</v>
      </c>
      <c r="L149" s="10" t="s">
        <v>108</v>
      </c>
      <c r="M149" s="12">
        <v>4</v>
      </c>
      <c r="N149" s="11">
        <v>46229</v>
      </c>
      <c r="O149" s="11">
        <v>46238</v>
      </c>
      <c r="P149" s="10" t="s">
        <v>109</v>
      </c>
      <c r="Q149" s="10" t="s">
        <v>110</v>
      </c>
      <c r="R149" s="10"/>
      <c r="S149" s="11">
        <v>46241</v>
      </c>
      <c r="T149" s="13">
        <v>4</v>
      </c>
      <c r="U149" s="14">
        <v>121</v>
      </c>
      <c r="V149" s="15">
        <f t="shared" si="8"/>
        <v>0</v>
      </c>
      <c r="W149" s="15">
        <f t="shared" si="9"/>
        <v>14</v>
      </c>
      <c r="X149" s="16" t="str">
        <f t="shared" si="10"/>
        <v>Fechada</v>
      </c>
      <c r="Y149" s="16" t="str">
        <f t="shared" si="11"/>
        <v>OK</v>
      </c>
    </row>
    <row r="150" spans="1:25" ht="15" customHeight="1" x14ac:dyDescent="0.3">
      <c r="A150" s="10" t="s">
        <v>641</v>
      </c>
      <c r="B150" s="11">
        <v>46228</v>
      </c>
      <c r="C150" s="10" t="s">
        <v>620</v>
      </c>
      <c r="D150" s="10" t="s">
        <v>155</v>
      </c>
      <c r="E150" s="10" t="s">
        <v>135</v>
      </c>
      <c r="F150" s="10" t="s">
        <v>642</v>
      </c>
      <c r="G150" s="10" t="s">
        <v>152</v>
      </c>
      <c r="H150" s="10" t="s">
        <v>643</v>
      </c>
      <c r="I150" s="10" t="s">
        <v>644</v>
      </c>
      <c r="J150" s="10" t="s">
        <v>386</v>
      </c>
      <c r="K150" s="10" t="s">
        <v>80</v>
      </c>
      <c r="L150" s="10" t="s">
        <v>148</v>
      </c>
      <c r="M150" s="12">
        <v>68</v>
      </c>
      <c r="N150" s="11">
        <v>46229</v>
      </c>
      <c r="O150" s="11">
        <v>46231</v>
      </c>
      <c r="P150" s="10" t="s">
        <v>109</v>
      </c>
      <c r="Q150" s="10" t="s">
        <v>110</v>
      </c>
      <c r="R150" s="10"/>
      <c r="S150" s="11">
        <v>46231</v>
      </c>
      <c r="T150" s="13">
        <v>3</v>
      </c>
      <c r="U150" s="14">
        <v>367</v>
      </c>
      <c r="V150" s="15">
        <f t="shared" si="8"/>
        <v>-1</v>
      </c>
      <c r="W150" s="15">
        <f t="shared" si="9"/>
        <v>3</v>
      </c>
      <c r="X150" s="16" t="str">
        <f t="shared" si="10"/>
        <v>Fechada</v>
      </c>
      <c r="Y150" s="16" t="str">
        <f t="shared" si="11"/>
        <v>Crítica sem 8D</v>
      </c>
    </row>
    <row r="151" spans="1:25" ht="15" customHeight="1" x14ac:dyDescent="0.3">
      <c r="A151" s="10" t="s">
        <v>645</v>
      </c>
      <c r="B151" s="11">
        <v>46229</v>
      </c>
      <c r="C151" s="10" t="s">
        <v>620</v>
      </c>
      <c r="D151" s="10" t="s">
        <v>134</v>
      </c>
      <c r="E151" s="10" t="s">
        <v>102</v>
      </c>
      <c r="F151" s="10" t="s">
        <v>646</v>
      </c>
      <c r="G151" s="10" t="s">
        <v>104</v>
      </c>
      <c r="H151" s="10" t="s">
        <v>647</v>
      </c>
      <c r="I151" s="10" t="s">
        <v>648</v>
      </c>
      <c r="J151" s="10" t="s">
        <v>126</v>
      </c>
      <c r="K151" s="10" t="s">
        <v>80</v>
      </c>
      <c r="L151" s="10" t="s">
        <v>108</v>
      </c>
      <c r="M151" s="12">
        <v>55</v>
      </c>
      <c r="N151" s="11">
        <v>46233</v>
      </c>
      <c r="O151" s="11">
        <v>46233</v>
      </c>
      <c r="P151" s="10" t="s">
        <v>109</v>
      </c>
      <c r="Q151" s="10" t="s">
        <v>110</v>
      </c>
      <c r="R151" s="10"/>
      <c r="S151" s="11"/>
      <c r="T151" s="13"/>
      <c r="U151" s="14">
        <v>133.75</v>
      </c>
      <c r="V151" s="15">
        <f t="shared" si="8"/>
        <v>3</v>
      </c>
      <c r="W151" s="15">
        <f t="shared" si="9"/>
        <v>158</v>
      </c>
      <c r="X151" s="16" t="str">
        <f t="shared" si="10"/>
        <v>Atrasada</v>
      </c>
      <c r="Y151" s="16" t="str">
        <f t="shared" si="11"/>
        <v>Acusação tardia</v>
      </c>
    </row>
    <row r="152" spans="1:25" ht="15" customHeight="1" x14ac:dyDescent="0.3">
      <c r="A152" s="10" t="s">
        <v>649</v>
      </c>
      <c r="B152" s="11">
        <v>46229</v>
      </c>
      <c r="C152" s="10" t="s">
        <v>620</v>
      </c>
      <c r="D152" s="10" t="s">
        <v>139</v>
      </c>
      <c r="E152" s="10" t="s">
        <v>122</v>
      </c>
      <c r="F152" s="10" t="s">
        <v>156</v>
      </c>
      <c r="G152" s="10" t="s">
        <v>152</v>
      </c>
      <c r="H152" s="10" t="s">
        <v>650</v>
      </c>
      <c r="I152" s="10" t="s">
        <v>651</v>
      </c>
      <c r="J152" s="10" t="s">
        <v>208</v>
      </c>
      <c r="K152" s="10" t="s">
        <v>80</v>
      </c>
      <c r="L152" s="10" t="s">
        <v>132</v>
      </c>
      <c r="M152" s="12">
        <v>41</v>
      </c>
      <c r="N152" s="11">
        <v>46233</v>
      </c>
      <c r="O152" s="11">
        <v>46234</v>
      </c>
      <c r="P152" s="10" t="s">
        <v>109</v>
      </c>
      <c r="Q152" s="10" t="s">
        <v>110</v>
      </c>
      <c r="R152" s="10"/>
      <c r="S152" s="11">
        <v>46234</v>
      </c>
      <c r="T152" s="13">
        <v>4</v>
      </c>
      <c r="U152" s="14">
        <v>50.25</v>
      </c>
      <c r="V152" s="15">
        <f t="shared" si="8"/>
        <v>3</v>
      </c>
      <c r="W152" s="15">
        <f t="shared" si="9"/>
        <v>5</v>
      </c>
      <c r="X152" s="16" t="str">
        <f t="shared" si="10"/>
        <v>Fechada</v>
      </c>
      <c r="Y152" s="16" t="str">
        <f t="shared" si="11"/>
        <v>Acusação tardia</v>
      </c>
    </row>
    <row r="153" spans="1:25" ht="15" customHeight="1" x14ac:dyDescent="0.3">
      <c r="A153" s="10" t="s">
        <v>652</v>
      </c>
      <c r="B153" s="11">
        <v>46234</v>
      </c>
      <c r="C153" s="10" t="s">
        <v>620</v>
      </c>
      <c r="D153" s="10" t="s">
        <v>210</v>
      </c>
      <c r="E153" s="10" t="s">
        <v>102</v>
      </c>
      <c r="F153" s="10" t="s">
        <v>653</v>
      </c>
      <c r="G153" s="10" t="s">
        <v>152</v>
      </c>
      <c r="H153" s="10" t="s">
        <v>654</v>
      </c>
      <c r="I153" s="10" t="s">
        <v>655</v>
      </c>
      <c r="J153" s="10" t="s">
        <v>117</v>
      </c>
      <c r="K153" s="10" t="s">
        <v>118</v>
      </c>
      <c r="L153" s="10" t="s">
        <v>108</v>
      </c>
      <c r="M153" s="12">
        <v>38</v>
      </c>
      <c r="N153" s="11">
        <v>46235</v>
      </c>
      <c r="O153" s="11">
        <v>46239</v>
      </c>
      <c r="P153" s="10" t="s">
        <v>109</v>
      </c>
      <c r="Q153" s="10" t="s">
        <v>119</v>
      </c>
      <c r="R153" s="10"/>
      <c r="S153" s="11">
        <v>46262</v>
      </c>
      <c r="T153" s="13">
        <v>4</v>
      </c>
      <c r="U153" s="14">
        <v>129.5</v>
      </c>
      <c r="V153" s="15">
        <f t="shared" si="8"/>
        <v>0</v>
      </c>
      <c r="W153" s="15">
        <f t="shared" si="9"/>
        <v>28</v>
      </c>
      <c r="X153" s="16" t="str">
        <f t="shared" si="10"/>
        <v>Fechada</v>
      </c>
      <c r="Y153" s="16" t="str">
        <f t="shared" si="11"/>
        <v>OK</v>
      </c>
    </row>
    <row r="154" spans="1:25" ht="15" customHeight="1" x14ac:dyDescent="0.3">
      <c r="A154" s="10" t="s">
        <v>656</v>
      </c>
      <c r="B154" s="11">
        <v>46235</v>
      </c>
      <c r="C154" s="10" t="s">
        <v>657</v>
      </c>
      <c r="D154" s="10" t="s">
        <v>144</v>
      </c>
      <c r="E154" s="10" t="s">
        <v>102</v>
      </c>
      <c r="F154" s="10" t="s">
        <v>145</v>
      </c>
      <c r="G154" s="10" t="s">
        <v>104</v>
      </c>
      <c r="H154" s="10" t="s">
        <v>658</v>
      </c>
      <c r="I154" s="10" t="s">
        <v>659</v>
      </c>
      <c r="J154" s="10" t="s">
        <v>107</v>
      </c>
      <c r="K154" s="10" t="s">
        <v>80</v>
      </c>
      <c r="L154" s="10" t="s">
        <v>108</v>
      </c>
      <c r="M154" s="12">
        <v>94</v>
      </c>
      <c r="N154" s="11">
        <v>46236</v>
      </c>
      <c r="O154" s="11">
        <v>46243</v>
      </c>
      <c r="P154" s="10" t="s">
        <v>109</v>
      </c>
      <c r="Q154" s="10" t="s">
        <v>110</v>
      </c>
      <c r="R154" s="10"/>
      <c r="S154" s="11">
        <v>46248</v>
      </c>
      <c r="T154" s="13">
        <v>4</v>
      </c>
      <c r="U154" s="14">
        <v>143.5</v>
      </c>
      <c r="V154" s="15">
        <f t="shared" si="8"/>
        <v>-1</v>
      </c>
      <c r="W154" s="15">
        <f t="shared" si="9"/>
        <v>13</v>
      </c>
      <c r="X154" s="16" t="str">
        <f t="shared" si="10"/>
        <v>Fechada</v>
      </c>
      <c r="Y154" s="16" t="str">
        <f t="shared" si="11"/>
        <v>OK</v>
      </c>
    </row>
    <row r="155" spans="1:25" ht="15" customHeight="1" x14ac:dyDescent="0.3">
      <c r="A155" s="10" t="s">
        <v>660</v>
      </c>
      <c r="B155" s="11">
        <v>46236</v>
      </c>
      <c r="C155" s="10" t="s">
        <v>657</v>
      </c>
      <c r="D155" s="10" t="s">
        <v>247</v>
      </c>
      <c r="E155" s="10" t="s">
        <v>122</v>
      </c>
      <c r="F155" s="10" t="s">
        <v>228</v>
      </c>
      <c r="G155" s="10" t="s">
        <v>152</v>
      </c>
      <c r="H155" s="10" t="s">
        <v>661</v>
      </c>
      <c r="I155" s="10" t="s">
        <v>662</v>
      </c>
      <c r="J155" s="10" t="s">
        <v>386</v>
      </c>
      <c r="K155" s="10" t="s">
        <v>80</v>
      </c>
      <c r="L155" s="10" t="s">
        <v>148</v>
      </c>
      <c r="M155" s="12">
        <v>30</v>
      </c>
      <c r="N155" s="11">
        <v>46237</v>
      </c>
      <c r="O155" s="11">
        <v>46245</v>
      </c>
      <c r="P155" s="10" t="s">
        <v>109</v>
      </c>
      <c r="Q155" s="10" t="s">
        <v>110</v>
      </c>
      <c r="R155" s="10"/>
      <c r="S155" s="11">
        <v>46252</v>
      </c>
      <c r="T155" s="13">
        <v>2</v>
      </c>
      <c r="U155" s="14">
        <v>357.5</v>
      </c>
      <c r="V155" s="15">
        <f t="shared" si="8"/>
        <v>0</v>
      </c>
      <c r="W155" s="15">
        <f t="shared" si="9"/>
        <v>16</v>
      </c>
      <c r="X155" s="16" t="str">
        <f t="shared" si="10"/>
        <v>Fechada</v>
      </c>
      <c r="Y155" s="16" t="str">
        <f t="shared" si="11"/>
        <v>Crítica sem 8D</v>
      </c>
    </row>
    <row r="156" spans="1:25" ht="15" customHeight="1" x14ac:dyDescent="0.3">
      <c r="A156" s="10" t="s">
        <v>663</v>
      </c>
      <c r="B156" s="11">
        <v>46237</v>
      </c>
      <c r="C156" s="10" t="s">
        <v>657</v>
      </c>
      <c r="D156" s="10" t="s">
        <v>328</v>
      </c>
      <c r="E156" s="10" t="s">
        <v>122</v>
      </c>
      <c r="F156" s="10" t="s">
        <v>253</v>
      </c>
      <c r="G156" s="10" t="s">
        <v>152</v>
      </c>
      <c r="H156" s="10" t="s">
        <v>664</v>
      </c>
      <c r="I156" s="10" t="s">
        <v>665</v>
      </c>
      <c r="J156" s="10" t="s">
        <v>386</v>
      </c>
      <c r="K156" s="10" t="s">
        <v>80</v>
      </c>
      <c r="L156" s="10" t="s">
        <v>108</v>
      </c>
      <c r="M156" s="12">
        <v>6</v>
      </c>
      <c r="N156" s="11">
        <v>46241</v>
      </c>
      <c r="O156" s="11">
        <v>46248</v>
      </c>
      <c r="P156" s="10" t="s">
        <v>109</v>
      </c>
      <c r="Q156" s="10" t="s">
        <v>110</v>
      </c>
      <c r="R156" s="10"/>
      <c r="S156" s="11">
        <v>46270</v>
      </c>
      <c r="T156" s="13">
        <v>3</v>
      </c>
      <c r="U156" s="14">
        <v>121.5</v>
      </c>
      <c r="V156" s="15">
        <f t="shared" si="8"/>
        <v>4</v>
      </c>
      <c r="W156" s="15">
        <f t="shared" si="9"/>
        <v>33</v>
      </c>
      <c r="X156" s="16" t="str">
        <f t="shared" si="10"/>
        <v>Fechada</v>
      </c>
      <c r="Y156" s="16" t="str">
        <f t="shared" si="11"/>
        <v>Acusação tardia</v>
      </c>
    </row>
    <row r="157" spans="1:25" ht="15" customHeight="1" x14ac:dyDescent="0.3">
      <c r="A157" s="10" t="s">
        <v>666</v>
      </c>
      <c r="B157" s="11">
        <v>46240</v>
      </c>
      <c r="C157" s="10" t="s">
        <v>657</v>
      </c>
      <c r="D157" s="10" t="s">
        <v>182</v>
      </c>
      <c r="E157" s="10" t="s">
        <v>135</v>
      </c>
      <c r="F157" s="10" t="s">
        <v>169</v>
      </c>
      <c r="G157" s="10" t="s">
        <v>104</v>
      </c>
      <c r="H157" s="10" t="s">
        <v>667</v>
      </c>
      <c r="I157" s="10" t="s">
        <v>668</v>
      </c>
      <c r="J157" s="10" t="s">
        <v>323</v>
      </c>
      <c r="K157" s="10" t="s">
        <v>80</v>
      </c>
      <c r="L157" s="10" t="s">
        <v>148</v>
      </c>
      <c r="M157" s="12">
        <v>37</v>
      </c>
      <c r="N157" s="11">
        <v>46241</v>
      </c>
      <c r="O157" s="11">
        <v>46245</v>
      </c>
      <c r="P157" s="10" t="s">
        <v>109</v>
      </c>
      <c r="Q157" s="10" t="s">
        <v>110</v>
      </c>
      <c r="R157" s="10"/>
      <c r="S157" s="11">
        <v>46245</v>
      </c>
      <c r="T157" s="13">
        <v>4</v>
      </c>
      <c r="U157" s="14">
        <v>359.25</v>
      </c>
      <c r="V157" s="15">
        <f t="shared" si="8"/>
        <v>1</v>
      </c>
      <c r="W157" s="15">
        <f t="shared" si="9"/>
        <v>5</v>
      </c>
      <c r="X157" s="16" t="str">
        <f t="shared" si="10"/>
        <v>Fechada</v>
      </c>
      <c r="Y157" s="16" t="str">
        <f t="shared" si="11"/>
        <v>Crítica sem 8D</v>
      </c>
    </row>
    <row r="158" spans="1:25" ht="15" customHeight="1" x14ac:dyDescent="0.3">
      <c r="A158" s="10" t="s">
        <v>669</v>
      </c>
      <c r="B158" s="11">
        <v>46249</v>
      </c>
      <c r="C158" s="10" t="s">
        <v>657</v>
      </c>
      <c r="D158" s="10" t="s">
        <v>121</v>
      </c>
      <c r="E158" s="10" t="s">
        <v>122</v>
      </c>
      <c r="F158" s="10" t="s">
        <v>437</v>
      </c>
      <c r="G158" s="10" t="s">
        <v>152</v>
      </c>
      <c r="H158" s="10" t="s">
        <v>670</v>
      </c>
      <c r="I158" s="10" t="s">
        <v>671</v>
      </c>
      <c r="J158" s="10" t="s">
        <v>335</v>
      </c>
      <c r="K158" s="10" t="s">
        <v>80</v>
      </c>
      <c r="L158" s="10" t="s">
        <v>108</v>
      </c>
      <c r="M158" s="12">
        <v>6</v>
      </c>
      <c r="N158" s="11">
        <v>46253</v>
      </c>
      <c r="O158" s="11">
        <v>46260</v>
      </c>
      <c r="P158" s="10" t="s">
        <v>109</v>
      </c>
      <c r="Q158" s="10" t="s">
        <v>110</v>
      </c>
      <c r="R158" s="10"/>
      <c r="S158" s="11"/>
      <c r="T158" s="13"/>
      <c r="U158" s="14">
        <v>121.5</v>
      </c>
      <c r="V158" s="15">
        <f t="shared" si="8"/>
        <v>2</v>
      </c>
      <c r="W158" s="15">
        <f t="shared" si="9"/>
        <v>138</v>
      </c>
      <c r="X158" s="16" t="str">
        <f t="shared" si="10"/>
        <v>Atrasada</v>
      </c>
      <c r="Y158" s="16" t="str">
        <f t="shared" si="11"/>
        <v>OK</v>
      </c>
    </row>
    <row r="159" spans="1:25" ht="15" customHeight="1" x14ac:dyDescent="0.3">
      <c r="A159" s="10" t="s">
        <v>672</v>
      </c>
      <c r="B159" s="11">
        <v>46253</v>
      </c>
      <c r="C159" s="10" t="s">
        <v>657</v>
      </c>
      <c r="D159" s="10" t="s">
        <v>320</v>
      </c>
      <c r="E159" s="10" t="s">
        <v>102</v>
      </c>
      <c r="F159" s="10" t="s">
        <v>253</v>
      </c>
      <c r="G159" s="10" t="s">
        <v>152</v>
      </c>
      <c r="H159" s="10" t="s">
        <v>673</v>
      </c>
      <c r="I159" s="10" t="s">
        <v>674</v>
      </c>
      <c r="J159" s="10" t="s">
        <v>335</v>
      </c>
      <c r="K159" s="10" t="s">
        <v>80</v>
      </c>
      <c r="L159" s="10" t="s">
        <v>132</v>
      </c>
      <c r="M159" s="12">
        <v>13</v>
      </c>
      <c r="N159" s="11">
        <v>46255</v>
      </c>
      <c r="O159" s="11">
        <v>46263</v>
      </c>
      <c r="P159" s="10" t="s">
        <v>109</v>
      </c>
      <c r="Q159" s="10" t="s">
        <v>110</v>
      </c>
      <c r="R159" s="10"/>
      <c r="S159" s="11">
        <v>46266</v>
      </c>
      <c r="T159" s="13">
        <v>4</v>
      </c>
      <c r="U159" s="14">
        <v>43.25</v>
      </c>
      <c r="V159" s="15">
        <f t="shared" si="8"/>
        <v>2</v>
      </c>
      <c r="W159" s="15">
        <f t="shared" si="9"/>
        <v>13</v>
      </c>
      <c r="X159" s="16" t="str">
        <f t="shared" si="10"/>
        <v>Fechada</v>
      </c>
      <c r="Y159" s="16" t="str">
        <f t="shared" si="11"/>
        <v>OK</v>
      </c>
    </row>
    <row r="160" spans="1:25" ht="15" customHeight="1" x14ac:dyDescent="0.3">
      <c r="A160" s="10" t="s">
        <v>675</v>
      </c>
      <c r="B160" s="11">
        <v>46254</v>
      </c>
      <c r="C160" s="10" t="s">
        <v>657</v>
      </c>
      <c r="D160" s="10" t="s">
        <v>121</v>
      </c>
      <c r="E160" s="10" t="s">
        <v>102</v>
      </c>
      <c r="F160" s="10" t="s">
        <v>676</v>
      </c>
      <c r="G160" s="10" t="s">
        <v>152</v>
      </c>
      <c r="H160" s="10" t="s">
        <v>677</v>
      </c>
      <c r="I160" s="10" t="s">
        <v>678</v>
      </c>
      <c r="J160" s="10" t="s">
        <v>131</v>
      </c>
      <c r="K160" s="10" t="s">
        <v>118</v>
      </c>
      <c r="L160" s="10" t="s">
        <v>108</v>
      </c>
      <c r="M160" s="12">
        <v>7</v>
      </c>
      <c r="N160" s="11">
        <v>46255</v>
      </c>
      <c r="O160" s="11">
        <v>46263</v>
      </c>
      <c r="P160" s="10" t="s">
        <v>109</v>
      </c>
      <c r="Q160" s="10" t="s">
        <v>119</v>
      </c>
      <c r="R160" s="10"/>
      <c r="S160" s="11">
        <v>46270</v>
      </c>
      <c r="T160" s="13">
        <v>4</v>
      </c>
      <c r="U160" s="14">
        <v>121.75</v>
      </c>
      <c r="V160" s="15">
        <f t="shared" si="8"/>
        <v>1</v>
      </c>
      <c r="W160" s="15">
        <f t="shared" si="9"/>
        <v>16</v>
      </c>
      <c r="X160" s="16" t="str">
        <f t="shared" si="10"/>
        <v>Fechada</v>
      </c>
      <c r="Y160" s="16" t="str">
        <f t="shared" si="11"/>
        <v>OK</v>
      </c>
    </row>
    <row r="161" spans="1:25" ht="15" customHeight="1" x14ac:dyDescent="0.3">
      <c r="A161" s="10" t="s">
        <v>679</v>
      </c>
      <c r="B161" s="11">
        <v>46254</v>
      </c>
      <c r="C161" s="10" t="s">
        <v>657</v>
      </c>
      <c r="D161" s="10" t="s">
        <v>219</v>
      </c>
      <c r="E161" s="10" t="s">
        <v>135</v>
      </c>
      <c r="F161" s="10" t="s">
        <v>128</v>
      </c>
      <c r="G161" s="10" t="s">
        <v>104</v>
      </c>
      <c r="H161" s="10" t="s">
        <v>680</v>
      </c>
      <c r="I161" s="10" t="s">
        <v>681</v>
      </c>
      <c r="J161" s="10" t="s">
        <v>117</v>
      </c>
      <c r="K161" s="10" t="s">
        <v>118</v>
      </c>
      <c r="L161" s="10" t="s">
        <v>148</v>
      </c>
      <c r="M161" s="12">
        <v>166</v>
      </c>
      <c r="N161" s="11">
        <v>46254</v>
      </c>
      <c r="O161" s="11">
        <v>46258</v>
      </c>
      <c r="P161" s="10" t="s">
        <v>109</v>
      </c>
      <c r="Q161" s="10" t="s">
        <v>119</v>
      </c>
      <c r="R161" s="10"/>
      <c r="S161" s="11">
        <v>46266</v>
      </c>
      <c r="T161" s="13">
        <v>2</v>
      </c>
      <c r="U161" s="14">
        <v>391.5</v>
      </c>
      <c r="V161" s="15">
        <f t="shared" si="8"/>
        <v>0</v>
      </c>
      <c r="W161" s="15">
        <f t="shared" si="9"/>
        <v>12</v>
      </c>
      <c r="X161" s="16" t="str">
        <f t="shared" si="10"/>
        <v>Fechada</v>
      </c>
      <c r="Y161" s="16" t="str">
        <f t="shared" si="11"/>
        <v>Crítica sem 8D</v>
      </c>
    </row>
    <row r="162" spans="1:25" ht="15" customHeight="1" x14ac:dyDescent="0.3">
      <c r="A162" s="10" t="s">
        <v>682</v>
      </c>
      <c r="B162" s="11">
        <v>46258</v>
      </c>
      <c r="C162" s="10" t="s">
        <v>657</v>
      </c>
      <c r="D162" s="10" t="s">
        <v>101</v>
      </c>
      <c r="E162" s="10" t="s">
        <v>135</v>
      </c>
      <c r="F162" s="10" t="s">
        <v>683</v>
      </c>
      <c r="G162" s="10" t="s">
        <v>104</v>
      </c>
      <c r="H162" s="10" t="s">
        <v>684</v>
      </c>
      <c r="I162" s="10" t="s">
        <v>685</v>
      </c>
      <c r="J162" s="10" t="s">
        <v>164</v>
      </c>
      <c r="K162" s="10" t="s">
        <v>118</v>
      </c>
      <c r="L162" s="10" t="s">
        <v>108</v>
      </c>
      <c r="M162" s="12">
        <v>43</v>
      </c>
      <c r="N162" s="11">
        <v>46259</v>
      </c>
      <c r="O162" s="11">
        <v>46268</v>
      </c>
      <c r="P162" s="10" t="s">
        <v>109</v>
      </c>
      <c r="Q162" s="10" t="s">
        <v>119</v>
      </c>
      <c r="R162" s="10"/>
      <c r="S162" s="11">
        <v>46271</v>
      </c>
      <c r="T162" s="13">
        <v>4</v>
      </c>
      <c r="U162" s="14">
        <v>130.75</v>
      </c>
      <c r="V162" s="15">
        <f t="shared" si="8"/>
        <v>1</v>
      </c>
      <c r="W162" s="15">
        <f t="shared" si="9"/>
        <v>13</v>
      </c>
      <c r="X162" s="16" t="str">
        <f t="shared" si="10"/>
        <v>Fechada</v>
      </c>
      <c r="Y162" s="16" t="str">
        <f t="shared" si="11"/>
        <v>OK</v>
      </c>
    </row>
    <row r="163" spans="1:25" ht="15" customHeight="1" x14ac:dyDescent="0.3">
      <c r="A163" s="10" t="s">
        <v>686</v>
      </c>
      <c r="B163" s="11">
        <v>46266</v>
      </c>
      <c r="C163" s="10" t="s">
        <v>687</v>
      </c>
      <c r="D163" s="10" t="s">
        <v>267</v>
      </c>
      <c r="E163" s="10" t="s">
        <v>102</v>
      </c>
      <c r="F163" s="10" t="s">
        <v>169</v>
      </c>
      <c r="G163" s="10" t="s">
        <v>104</v>
      </c>
      <c r="H163" s="10" t="s">
        <v>688</v>
      </c>
      <c r="I163" s="10" t="s">
        <v>689</v>
      </c>
      <c r="J163" s="10" t="s">
        <v>107</v>
      </c>
      <c r="K163" s="10" t="s">
        <v>80</v>
      </c>
      <c r="L163" s="10" t="s">
        <v>132</v>
      </c>
      <c r="M163" s="12">
        <v>4</v>
      </c>
      <c r="N163" s="11">
        <v>46267</v>
      </c>
      <c r="O163" s="11">
        <v>46277</v>
      </c>
      <c r="P163" s="10" t="s">
        <v>250</v>
      </c>
      <c r="Q163" s="10" t="s">
        <v>251</v>
      </c>
      <c r="R163" s="10"/>
      <c r="S163" s="11">
        <v>46278</v>
      </c>
      <c r="T163" s="13">
        <v>5</v>
      </c>
      <c r="U163" s="14">
        <v>41</v>
      </c>
      <c r="V163" s="15">
        <f t="shared" si="8"/>
        <v>1</v>
      </c>
      <c r="W163" s="15">
        <f t="shared" si="9"/>
        <v>12</v>
      </c>
      <c r="X163" s="16" t="str">
        <f t="shared" si="10"/>
        <v>Fechada</v>
      </c>
      <c r="Y163" s="16" t="str">
        <f t="shared" si="11"/>
        <v>OK</v>
      </c>
    </row>
    <row r="164" spans="1:25" ht="15" customHeight="1" x14ac:dyDescent="0.3">
      <c r="A164" s="10" t="s">
        <v>690</v>
      </c>
      <c r="B164" s="11">
        <v>46267</v>
      </c>
      <c r="C164" s="10" t="s">
        <v>687</v>
      </c>
      <c r="D164" s="10" t="s">
        <v>144</v>
      </c>
      <c r="E164" s="10" t="s">
        <v>122</v>
      </c>
      <c r="F164" s="10" t="s">
        <v>279</v>
      </c>
      <c r="G164" s="10" t="s">
        <v>152</v>
      </c>
      <c r="H164" s="10" t="s">
        <v>691</v>
      </c>
      <c r="I164" s="10" t="s">
        <v>692</v>
      </c>
      <c r="J164" s="10" t="s">
        <v>159</v>
      </c>
      <c r="K164" s="10" t="s">
        <v>80</v>
      </c>
      <c r="L164" s="10" t="s">
        <v>108</v>
      </c>
      <c r="M164" s="12">
        <v>36</v>
      </c>
      <c r="N164" s="11">
        <v>46270</v>
      </c>
      <c r="O164" s="11">
        <v>46273</v>
      </c>
      <c r="P164" s="10" t="s">
        <v>109</v>
      </c>
      <c r="Q164" s="10" t="s">
        <v>110</v>
      </c>
      <c r="R164" s="10"/>
      <c r="S164" s="11">
        <v>46293</v>
      </c>
      <c r="T164" s="13">
        <v>2</v>
      </c>
      <c r="U164" s="14">
        <v>129</v>
      </c>
      <c r="V164" s="15">
        <f t="shared" si="8"/>
        <v>2</v>
      </c>
      <c r="W164" s="15">
        <f t="shared" si="9"/>
        <v>26</v>
      </c>
      <c r="X164" s="16" t="str">
        <f t="shared" si="10"/>
        <v>Fechada</v>
      </c>
      <c r="Y164" s="16" t="str">
        <f t="shared" si="11"/>
        <v>OK</v>
      </c>
    </row>
    <row r="165" spans="1:25" ht="15" customHeight="1" x14ac:dyDescent="0.3">
      <c r="A165" s="10" t="s">
        <v>693</v>
      </c>
      <c r="B165" s="11">
        <v>46267</v>
      </c>
      <c r="C165" s="10" t="s">
        <v>687</v>
      </c>
      <c r="D165" s="10" t="s">
        <v>694</v>
      </c>
      <c r="E165" s="10" t="s">
        <v>122</v>
      </c>
      <c r="F165" s="10" t="s">
        <v>695</v>
      </c>
      <c r="G165" s="10" t="s">
        <v>152</v>
      </c>
      <c r="H165" s="10"/>
      <c r="I165" s="10"/>
      <c r="J165" s="10" t="s">
        <v>177</v>
      </c>
      <c r="K165" s="10" t="s">
        <v>80</v>
      </c>
      <c r="L165" s="10" t="s">
        <v>108</v>
      </c>
      <c r="M165" s="12">
        <v>40</v>
      </c>
      <c r="N165" s="11">
        <v>46270</v>
      </c>
      <c r="O165" s="11">
        <v>46274</v>
      </c>
      <c r="P165" s="10" t="s">
        <v>109</v>
      </c>
      <c r="Q165" s="10" t="s">
        <v>110</v>
      </c>
      <c r="R165" s="10"/>
      <c r="S165" s="11">
        <v>46285</v>
      </c>
      <c r="T165" s="13">
        <v>4</v>
      </c>
      <c r="U165" s="14">
        <v>130</v>
      </c>
      <c r="V165" s="15">
        <f t="shared" si="8"/>
        <v>2</v>
      </c>
      <c r="W165" s="15">
        <f t="shared" si="9"/>
        <v>18</v>
      </c>
      <c r="X165" s="16" t="str">
        <f t="shared" si="10"/>
        <v>Fechada</v>
      </c>
      <c r="Y165" s="16" t="str">
        <f t="shared" si="11"/>
        <v>Sem encomenda (rastreio)</v>
      </c>
    </row>
    <row r="166" spans="1:25" ht="15" customHeight="1" x14ac:dyDescent="0.3">
      <c r="A166" s="10" t="s">
        <v>696</v>
      </c>
      <c r="B166" s="11">
        <v>46269</v>
      </c>
      <c r="C166" s="10" t="s">
        <v>687</v>
      </c>
      <c r="D166" s="10" t="s">
        <v>267</v>
      </c>
      <c r="E166" s="10" t="s">
        <v>102</v>
      </c>
      <c r="F166" s="10" t="s">
        <v>697</v>
      </c>
      <c r="G166" s="10" t="s">
        <v>104</v>
      </c>
      <c r="H166" s="10" t="s">
        <v>698</v>
      </c>
      <c r="I166" s="10" t="s">
        <v>699</v>
      </c>
      <c r="J166" s="10" t="s">
        <v>131</v>
      </c>
      <c r="K166" s="10" t="s">
        <v>118</v>
      </c>
      <c r="L166" s="10" t="s">
        <v>148</v>
      </c>
      <c r="M166" s="12">
        <v>232</v>
      </c>
      <c r="N166" s="11">
        <v>46271</v>
      </c>
      <c r="O166" s="11">
        <v>46276</v>
      </c>
      <c r="P166" s="10" t="s">
        <v>109</v>
      </c>
      <c r="Q166" s="10" t="s">
        <v>119</v>
      </c>
      <c r="R166" s="10"/>
      <c r="S166" s="11">
        <v>46294</v>
      </c>
      <c r="T166" s="13">
        <v>5</v>
      </c>
      <c r="U166" s="14">
        <v>408</v>
      </c>
      <c r="V166" s="15">
        <f t="shared" si="8"/>
        <v>0</v>
      </c>
      <c r="W166" s="15">
        <f t="shared" si="9"/>
        <v>25</v>
      </c>
      <c r="X166" s="16" t="str">
        <f t="shared" si="10"/>
        <v>Fechada</v>
      </c>
      <c r="Y166" s="16" t="str">
        <f t="shared" si="11"/>
        <v>Crítica sem 8D</v>
      </c>
    </row>
    <row r="167" spans="1:25" ht="15" customHeight="1" x14ac:dyDescent="0.3">
      <c r="A167" s="10" t="s">
        <v>700</v>
      </c>
      <c r="B167" s="11">
        <v>46269</v>
      </c>
      <c r="C167" s="10" t="s">
        <v>687</v>
      </c>
      <c r="D167" s="10" t="s">
        <v>101</v>
      </c>
      <c r="E167" s="10" t="s">
        <v>122</v>
      </c>
      <c r="F167" s="10" t="s">
        <v>174</v>
      </c>
      <c r="G167" s="10" t="s">
        <v>152</v>
      </c>
      <c r="H167" s="10" t="s">
        <v>701</v>
      </c>
      <c r="I167" s="10" t="s">
        <v>702</v>
      </c>
      <c r="J167" s="10" t="s">
        <v>386</v>
      </c>
      <c r="K167" s="10" t="s">
        <v>80</v>
      </c>
      <c r="L167" s="10" t="s">
        <v>148</v>
      </c>
      <c r="M167" s="12">
        <v>54</v>
      </c>
      <c r="N167" s="11">
        <v>46271</v>
      </c>
      <c r="O167" s="11">
        <v>46274</v>
      </c>
      <c r="P167" s="10" t="s">
        <v>109</v>
      </c>
      <c r="Q167" s="10" t="s">
        <v>110</v>
      </c>
      <c r="R167" s="10"/>
      <c r="S167" s="11">
        <v>46287</v>
      </c>
      <c r="T167" s="13">
        <v>5</v>
      </c>
      <c r="U167" s="14">
        <v>363.5</v>
      </c>
      <c r="V167" s="15">
        <f t="shared" si="8"/>
        <v>0</v>
      </c>
      <c r="W167" s="15">
        <f t="shared" si="9"/>
        <v>18</v>
      </c>
      <c r="X167" s="16" t="str">
        <f t="shared" si="10"/>
        <v>Fechada</v>
      </c>
      <c r="Y167" s="16" t="str">
        <f t="shared" si="11"/>
        <v>Crítica sem 8D</v>
      </c>
    </row>
    <row r="168" spans="1:25" ht="15" customHeight="1" x14ac:dyDescent="0.3">
      <c r="A168" s="10" t="s">
        <v>703</v>
      </c>
      <c r="B168" s="11">
        <v>46272</v>
      </c>
      <c r="C168" s="10" t="s">
        <v>687</v>
      </c>
      <c r="D168" s="10" t="s">
        <v>134</v>
      </c>
      <c r="E168" s="10" t="s">
        <v>135</v>
      </c>
      <c r="F168" s="10" t="s">
        <v>704</v>
      </c>
      <c r="G168" s="10" t="s">
        <v>104</v>
      </c>
      <c r="H168" s="10" t="s">
        <v>705</v>
      </c>
      <c r="I168" s="10" t="s">
        <v>706</v>
      </c>
      <c r="J168" s="10" t="s">
        <v>164</v>
      </c>
      <c r="K168" s="10" t="s">
        <v>118</v>
      </c>
      <c r="L168" s="10" t="s">
        <v>148</v>
      </c>
      <c r="M168" s="12">
        <v>238</v>
      </c>
      <c r="N168" s="11">
        <v>46275</v>
      </c>
      <c r="O168" s="11">
        <v>46276</v>
      </c>
      <c r="P168" s="10" t="s">
        <v>109</v>
      </c>
      <c r="Q168" s="10" t="s">
        <v>119</v>
      </c>
      <c r="R168" s="10"/>
      <c r="S168" s="11">
        <v>46287</v>
      </c>
      <c r="T168" s="13">
        <v>3</v>
      </c>
      <c r="U168" s="14">
        <v>409.5</v>
      </c>
      <c r="V168" s="15">
        <f t="shared" si="8"/>
        <v>3</v>
      </c>
      <c r="W168" s="15">
        <f t="shared" si="9"/>
        <v>15</v>
      </c>
      <c r="X168" s="16" t="str">
        <f t="shared" si="10"/>
        <v>Fechada</v>
      </c>
      <c r="Y168" s="16" t="str">
        <f t="shared" si="11"/>
        <v>Acusação tardia</v>
      </c>
    </row>
    <row r="169" spans="1:25" ht="15" customHeight="1" x14ac:dyDescent="0.3">
      <c r="A169" s="10" t="s">
        <v>707</v>
      </c>
      <c r="B169" s="11">
        <v>46274</v>
      </c>
      <c r="C169" s="10" t="s">
        <v>687</v>
      </c>
      <c r="D169" s="10" t="s">
        <v>134</v>
      </c>
      <c r="E169" s="10" t="s">
        <v>122</v>
      </c>
      <c r="F169" s="10" t="s">
        <v>103</v>
      </c>
      <c r="G169" s="10" t="s">
        <v>104</v>
      </c>
      <c r="H169" s="10" t="s">
        <v>708</v>
      </c>
      <c r="I169" s="10" t="s">
        <v>709</v>
      </c>
      <c r="J169" s="10" t="s">
        <v>131</v>
      </c>
      <c r="K169" s="10" t="s">
        <v>118</v>
      </c>
      <c r="L169" s="10" t="s">
        <v>108</v>
      </c>
      <c r="M169" s="12">
        <v>3</v>
      </c>
      <c r="N169" s="11">
        <v>46275</v>
      </c>
      <c r="O169" s="11">
        <v>46281</v>
      </c>
      <c r="P169" s="10" t="s">
        <v>109</v>
      </c>
      <c r="Q169" s="10" t="s">
        <v>119</v>
      </c>
      <c r="R169" s="10"/>
      <c r="S169" s="11">
        <v>46302</v>
      </c>
      <c r="T169" s="13">
        <v>4</v>
      </c>
      <c r="U169" s="14">
        <v>120.75</v>
      </c>
      <c r="V169" s="15">
        <f t="shared" si="8"/>
        <v>1</v>
      </c>
      <c r="W169" s="15">
        <f t="shared" si="9"/>
        <v>28</v>
      </c>
      <c r="X169" s="16" t="str">
        <f t="shared" si="10"/>
        <v>Fechada</v>
      </c>
      <c r="Y169" s="16" t="str">
        <f t="shared" si="11"/>
        <v>OK</v>
      </c>
    </row>
    <row r="170" spans="1:25" ht="15" customHeight="1" x14ac:dyDescent="0.3">
      <c r="A170" s="10" t="s">
        <v>710</v>
      </c>
      <c r="B170" s="11">
        <v>46275</v>
      </c>
      <c r="C170" s="10" t="s">
        <v>687</v>
      </c>
      <c r="D170" s="10" t="s">
        <v>139</v>
      </c>
      <c r="E170" s="10" t="s">
        <v>102</v>
      </c>
      <c r="F170" s="10" t="s">
        <v>193</v>
      </c>
      <c r="G170" s="10" t="s">
        <v>152</v>
      </c>
      <c r="H170" s="10" t="s">
        <v>711</v>
      </c>
      <c r="I170" s="10" t="s">
        <v>712</v>
      </c>
      <c r="J170" s="10" t="s">
        <v>159</v>
      </c>
      <c r="K170" s="10" t="s">
        <v>80</v>
      </c>
      <c r="L170" s="10" t="s">
        <v>108</v>
      </c>
      <c r="M170" s="12">
        <v>3</v>
      </c>
      <c r="N170" s="11">
        <v>46275</v>
      </c>
      <c r="O170" s="11">
        <v>46278</v>
      </c>
      <c r="P170" s="10" t="s">
        <v>109</v>
      </c>
      <c r="Q170" s="10" t="s">
        <v>110</v>
      </c>
      <c r="R170" s="10"/>
      <c r="S170" s="11">
        <v>46278</v>
      </c>
      <c r="T170" s="13">
        <v>3</v>
      </c>
      <c r="U170" s="14">
        <v>120.75</v>
      </c>
      <c r="V170" s="15">
        <f t="shared" si="8"/>
        <v>0</v>
      </c>
      <c r="W170" s="15">
        <f t="shared" si="9"/>
        <v>3</v>
      </c>
      <c r="X170" s="16" t="str">
        <f t="shared" si="10"/>
        <v>Fechada</v>
      </c>
      <c r="Y170" s="16" t="str">
        <f t="shared" si="11"/>
        <v>OK</v>
      </c>
    </row>
    <row r="171" spans="1:25" ht="15" customHeight="1" x14ac:dyDescent="0.3">
      <c r="A171" s="10" t="s">
        <v>713</v>
      </c>
      <c r="B171" s="11">
        <v>46276</v>
      </c>
      <c r="C171" s="10" t="s">
        <v>687</v>
      </c>
      <c r="D171" s="10" t="s">
        <v>139</v>
      </c>
      <c r="E171" s="10" t="s">
        <v>122</v>
      </c>
      <c r="F171" s="10" t="s">
        <v>169</v>
      </c>
      <c r="G171" s="10" t="s">
        <v>104</v>
      </c>
      <c r="H171" s="10" t="s">
        <v>714</v>
      </c>
      <c r="I171" s="10" t="s">
        <v>715</v>
      </c>
      <c r="J171" s="10" t="s">
        <v>126</v>
      </c>
      <c r="K171" s="10" t="s">
        <v>80</v>
      </c>
      <c r="L171" s="10" t="s">
        <v>148</v>
      </c>
      <c r="M171" s="12">
        <v>29</v>
      </c>
      <c r="N171" s="11">
        <v>46279</v>
      </c>
      <c r="O171" s="11">
        <v>46281</v>
      </c>
      <c r="P171" s="10" t="s">
        <v>109</v>
      </c>
      <c r="Q171" s="10" t="s">
        <v>110</v>
      </c>
      <c r="R171" s="10"/>
      <c r="S171" s="11">
        <v>46281</v>
      </c>
      <c r="T171" s="13">
        <v>4</v>
      </c>
      <c r="U171" s="14">
        <v>357.25</v>
      </c>
      <c r="V171" s="15">
        <f t="shared" si="8"/>
        <v>1</v>
      </c>
      <c r="W171" s="15">
        <f t="shared" si="9"/>
        <v>5</v>
      </c>
      <c r="X171" s="16" t="str">
        <f t="shared" si="10"/>
        <v>Fechada</v>
      </c>
      <c r="Y171" s="16" t="str">
        <f t="shared" si="11"/>
        <v>Crítica sem 8D</v>
      </c>
    </row>
    <row r="172" spans="1:25" ht="15" customHeight="1" x14ac:dyDescent="0.3">
      <c r="A172" s="10" t="s">
        <v>716</v>
      </c>
      <c r="B172" s="11">
        <v>46281</v>
      </c>
      <c r="C172" s="10" t="s">
        <v>687</v>
      </c>
      <c r="D172" s="10" t="s">
        <v>247</v>
      </c>
      <c r="E172" s="10" t="s">
        <v>135</v>
      </c>
      <c r="F172" s="10" t="s">
        <v>169</v>
      </c>
      <c r="G172" s="10" t="s">
        <v>104</v>
      </c>
      <c r="H172" s="10" t="s">
        <v>717</v>
      </c>
      <c r="I172" s="10" t="s">
        <v>718</v>
      </c>
      <c r="J172" s="10" t="s">
        <v>117</v>
      </c>
      <c r="K172" s="10" t="s">
        <v>118</v>
      </c>
      <c r="L172" s="10" t="s">
        <v>132</v>
      </c>
      <c r="M172" s="12">
        <v>95</v>
      </c>
      <c r="N172" s="11">
        <v>46282</v>
      </c>
      <c r="O172" s="11">
        <v>46290</v>
      </c>
      <c r="P172" s="10" t="s">
        <v>109</v>
      </c>
      <c r="Q172" s="10" t="s">
        <v>119</v>
      </c>
      <c r="R172" s="10"/>
      <c r="S172" s="11">
        <v>46311</v>
      </c>
      <c r="T172" s="13">
        <v>4</v>
      </c>
      <c r="U172" s="14">
        <v>63.75</v>
      </c>
      <c r="V172" s="15">
        <f t="shared" si="8"/>
        <v>1</v>
      </c>
      <c r="W172" s="15">
        <f t="shared" si="9"/>
        <v>30</v>
      </c>
      <c r="X172" s="16" t="str">
        <f t="shared" si="10"/>
        <v>Fechada</v>
      </c>
      <c r="Y172" s="16" t="str">
        <f t="shared" si="11"/>
        <v>OK</v>
      </c>
    </row>
    <row r="173" spans="1:25" ht="15" customHeight="1" x14ac:dyDescent="0.3">
      <c r="A173" s="10" t="s">
        <v>719</v>
      </c>
      <c r="B173" s="11">
        <v>46282</v>
      </c>
      <c r="C173" s="10" t="s">
        <v>687</v>
      </c>
      <c r="D173" s="10" t="s">
        <v>247</v>
      </c>
      <c r="E173" s="10" t="s">
        <v>122</v>
      </c>
      <c r="F173" s="10" t="s">
        <v>193</v>
      </c>
      <c r="G173" s="10" t="s">
        <v>152</v>
      </c>
      <c r="H173" s="10" t="s">
        <v>720</v>
      </c>
      <c r="I173" s="10"/>
      <c r="J173" s="10" t="s">
        <v>131</v>
      </c>
      <c r="K173" s="10" t="s">
        <v>118</v>
      </c>
      <c r="L173" s="10" t="s">
        <v>132</v>
      </c>
      <c r="M173" s="12">
        <v>32</v>
      </c>
      <c r="N173" s="11">
        <v>46283</v>
      </c>
      <c r="O173" s="11">
        <v>46288</v>
      </c>
      <c r="P173" s="10" t="s">
        <v>250</v>
      </c>
      <c r="Q173" s="10" t="s">
        <v>251</v>
      </c>
      <c r="R173" s="10"/>
      <c r="S173" s="11">
        <v>46299</v>
      </c>
      <c r="T173" s="13">
        <v>5</v>
      </c>
      <c r="U173" s="14">
        <v>48</v>
      </c>
      <c r="V173" s="15">
        <f t="shared" si="8"/>
        <v>1</v>
      </c>
      <c r="W173" s="15">
        <f t="shared" si="9"/>
        <v>17</v>
      </c>
      <c r="X173" s="16" t="str">
        <f t="shared" si="10"/>
        <v>Fechada</v>
      </c>
      <c r="Y173" s="16" t="str">
        <f t="shared" si="11"/>
        <v>Sem encomenda (rastreio)</v>
      </c>
    </row>
    <row r="174" spans="1:25" ht="15" customHeight="1" x14ac:dyDescent="0.3">
      <c r="A174" s="10" t="s">
        <v>721</v>
      </c>
      <c r="B174" s="11">
        <v>46283</v>
      </c>
      <c r="C174" s="10" t="s">
        <v>687</v>
      </c>
      <c r="D174" s="10" t="s">
        <v>210</v>
      </c>
      <c r="E174" s="10" t="s">
        <v>122</v>
      </c>
      <c r="F174" s="10" t="s">
        <v>211</v>
      </c>
      <c r="G174" s="10" t="s">
        <v>152</v>
      </c>
      <c r="H174" s="10" t="s">
        <v>722</v>
      </c>
      <c r="I174" s="10" t="s">
        <v>723</v>
      </c>
      <c r="J174" s="10" t="s">
        <v>335</v>
      </c>
      <c r="K174" s="10" t="s">
        <v>80</v>
      </c>
      <c r="L174" s="10" t="s">
        <v>132</v>
      </c>
      <c r="M174" s="12">
        <v>44</v>
      </c>
      <c r="N174" s="11">
        <v>46285</v>
      </c>
      <c r="O174" s="11">
        <v>46291</v>
      </c>
      <c r="P174" s="10" t="s">
        <v>109</v>
      </c>
      <c r="Q174" s="10" t="s">
        <v>110</v>
      </c>
      <c r="R174" s="10"/>
      <c r="S174" s="11">
        <v>46291</v>
      </c>
      <c r="T174" s="13">
        <v>4</v>
      </c>
      <c r="U174" s="14">
        <v>51</v>
      </c>
      <c r="V174" s="15">
        <f t="shared" si="8"/>
        <v>0</v>
      </c>
      <c r="W174" s="15">
        <f t="shared" si="9"/>
        <v>8</v>
      </c>
      <c r="X174" s="16" t="str">
        <f t="shared" si="10"/>
        <v>Fechada</v>
      </c>
      <c r="Y174" s="16" t="str">
        <f t="shared" si="11"/>
        <v>OK</v>
      </c>
    </row>
    <row r="175" spans="1:25" ht="15" customHeight="1" x14ac:dyDescent="0.3">
      <c r="A175" s="10" t="s">
        <v>724</v>
      </c>
      <c r="B175" s="11">
        <v>46283</v>
      </c>
      <c r="C175" s="10" t="s">
        <v>687</v>
      </c>
      <c r="D175" s="10" t="s">
        <v>182</v>
      </c>
      <c r="E175" s="10" t="s">
        <v>135</v>
      </c>
      <c r="F175" s="10" t="s">
        <v>279</v>
      </c>
      <c r="G175" s="10" t="s">
        <v>152</v>
      </c>
      <c r="H175" s="10" t="s">
        <v>725</v>
      </c>
      <c r="I175" s="10" t="s">
        <v>726</v>
      </c>
      <c r="J175" s="10" t="s">
        <v>191</v>
      </c>
      <c r="K175" s="10" t="s">
        <v>118</v>
      </c>
      <c r="L175" s="10" t="s">
        <v>148</v>
      </c>
      <c r="M175" s="12">
        <v>34</v>
      </c>
      <c r="N175" s="11">
        <v>46287</v>
      </c>
      <c r="O175" s="11">
        <v>46286</v>
      </c>
      <c r="P175" s="10" t="s">
        <v>109</v>
      </c>
      <c r="Q175" s="10" t="s">
        <v>119</v>
      </c>
      <c r="R175" s="10"/>
      <c r="S175" s="11"/>
      <c r="T175" s="13"/>
      <c r="U175" s="14">
        <v>358.5</v>
      </c>
      <c r="V175" s="15">
        <f t="shared" si="8"/>
        <v>2</v>
      </c>
      <c r="W175" s="15">
        <f t="shared" si="9"/>
        <v>104</v>
      </c>
      <c r="X175" s="16" t="str">
        <f t="shared" si="10"/>
        <v>Atrasada</v>
      </c>
      <c r="Y175" s="16" t="str">
        <f t="shared" si="11"/>
        <v>Crítica sem 8D</v>
      </c>
    </row>
    <row r="176" spans="1:25" ht="15" customHeight="1" x14ac:dyDescent="0.3">
      <c r="A176" s="10" t="s">
        <v>727</v>
      </c>
      <c r="B176" s="11">
        <v>46287</v>
      </c>
      <c r="C176" s="10" t="s">
        <v>687</v>
      </c>
      <c r="D176" s="10" t="s">
        <v>113</v>
      </c>
      <c r="E176" s="10" t="s">
        <v>135</v>
      </c>
      <c r="F176" s="10" t="s">
        <v>169</v>
      </c>
      <c r="G176" s="10" t="s">
        <v>104</v>
      </c>
      <c r="H176" s="10" t="s">
        <v>728</v>
      </c>
      <c r="I176" s="10" t="s">
        <v>729</v>
      </c>
      <c r="J176" s="10" t="s">
        <v>131</v>
      </c>
      <c r="K176" s="10" t="s">
        <v>118</v>
      </c>
      <c r="L176" s="10" t="s">
        <v>108</v>
      </c>
      <c r="M176" s="12">
        <v>78</v>
      </c>
      <c r="N176" s="11">
        <v>46289</v>
      </c>
      <c r="O176" s="11">
        <v>46295</v>
      </c>
      <c r="P176" s="10" t="s">
        <v>109</v>
      </c>
      <c r="Q176" s="10" t="s">
        <v>119</v>
      </c>
      <c r="R176" s="10"/>
      <c r="S176" s="11">
        <v>46315</v>
      </c>
      <c r="T176" s="13">
        <v>2</v>
      </c>
      <c r="U176" s="14">
        <v>139.5</v>
      </c>
      <c r="V176" s="15">
        <f t="shared" si="8"/>
        <v>2</v>
      </c>
      <c r="W176" s="15">
        <f t="shared" si="9"/>
        <v>28</v>
      </c>
      <c r="X176" s="16" t="str">
        <f t="shared" si="10"/>
        <v>Fechada</v>
      </c>
      <c r="Y176" s="16" t="str">
        <f t="shared" si="11"/>
        <v>OK</v>
      </c>
    </row>
    <row r="177" spans="1:25" ht="15" customHeight="1" x14ac:dyDescent="0.3">
      <c r="A177" s="10" t="s">
        <v>730</v>
      </c>
      <c r="B177" s="11">
        <v>46288</v>
      </c>
      <c r="C177" s="10" t="s">
        <v>687</v>
      </c>
      <c r="D177" s="10" t="s">
        <v>113</v>
      </c>
      <c r="E177" s="10" t="s">
        <v>135</v>
      </c>
      <c r="F177" s="10" t="s">
        <v>495</v>
      </c>
      <c r="G177" s="10" t="s">
        <v>152</v>
      </c>
      <c r="H177" s="10" t="s">
        <v>731</v>
      </c>
      <c r="I177" s="10" t="s">
        <v>732</v>
      </c>
      <c r="J177" s="10" t="s">
        <v>386</v>
      </c>
      <c r="K177" s="10" t="s">
        <v>80</v>
      </c>
      <c r="L177" s="10" t="s">
        <v>132</v>
      </c>
      <c r="M177" s="12">
        <v>85</v>
      </c>
      <c r="N177" s="11">
        <v>46292</v>
      </c>
      <c r="O177" s="11">
        <v>46299</v>
      </c>
      <c r="P177" s="10" t="s">
        <v>109</v>
      </c>
      <c r="Q177" s="10" t="s">
        <v>110</v>
      </c>
      <c r="R177" s="10"/>
      <c r="S177" s="11"/>
      <c r="T177" s="13"/>
      <c r="U177" s="14">
        <v>61.25</v>
      </c>
      <c r="V177" s="15">
        <f t="shared" si="8"/>
        <v>2</v>
      </c>
      <c r="W177" s="15">
        <f t="shared" si="9"/>
        <v>99</v>
      </c>
      <c r="X177" s="16" t="str">
        <f t="shared" si="10"/>
        <v>Atrasada</v>
      </c>
      <c r="Y177" s="16" t="str">
        <f t="shared" si="11"/>
        <v>OK</v>
      </c>
    </row>
    <row r="178" spans="1:25" ht="15" customHeight="1" x14ac:dyDescent="0.3">
      <c r="A178" s="10" t="s">
        <v>733</v>
      </c>
      <c r="B178" s="11">
        <v>46291</v>
      </c>
      <c r="C178" s="10" t="s">
        <v>687</v>
      </c>
      <c r="D178" s="10" t="s">
        <v>144</v>
      </c>
      <c r="E178" s="10" t="s">
        <v>102</v>
      </c>
      <c r="F178" s="10" t="s">
        <v>169</v>
      </c>
      <c r="G178" s="10" t="s">
        <v>104</v>
      </c>
      <c r="H178" s="10" t="s">
        <v>734</v>
      </c>
      <c r="I178" s="10" t="s">
        <v>735</v>
      </c>
      <c r="J178" s="10" t="s">
        <v>131</v>
      </c>
      <c r="K178" s="10" t="s">
        <v>118</v>
      </c>
      <c r="L178" s="10" t="s">
        <v>148</v>
      </c>
      <c r="M178" s="12">
        <v>4</v>
      </c>
      <c r="N178" s="11">
        <v>46294</v>
      </c>
      <c r="O178" s="11">
        <v>46295</v>
      </c>
      <c r="P178" s="10" t="s">
        <v>109</v>
      </c>
      <c r="Q178" s="10" t="s">
        <v>119</v>
      </c>
      <c r="R178" s="10"/>
      <c r="S178" s="11">
        <v>46295</v>
      </c>
      <c r="T178" s="13">
        <v>5</v>
      </c>
      <c r="U178" s="14">
        <v>351</v>
      </c>
      <c r="V178" s="15">
        <f t="shared" si="8"/>
        <v>1</v>
      </c>
      <c r="W178" s="15">
        <f t="shared" si="9"/>
        <v>4</v>
      </c>
      <c r="X178" s="16" t="str">
        <f t="shared" si="10"/>
        <v>Fechada</v>
      </c>
      <c r="Y178" s="16" t="str">
        <f t="shared" si="11"/>
        <v>Crítica sem 8D</v>
      </c>
    </row>
    <row r="179" spans="1:25" ht="15" customHeight="1" x14ac:dyDescent="0.3">
      <c r="A179" s="10" t="s">
        <v>736</v>
      </c>
      <c r="B179" s="11">
        <v>46291</v>
      </c>
      <c r="C179" s="10" t="s">
        <v>687</v>
      </c>
      <c r="D179" s="10" t="s">
        <v>121</v>
      </c>
      <c r="E179" s="10" t="s">
        <v>122</v>
      </c>
      <c r="F179" s="10" t="s">
        <v>570</v>
      </c>
      <c r="G179" s="10" t="s">
        <v>152</v>
      </c>
      <c r="H179" s="10" t="s">
        <v>737</v>
      </c>
      <c r="I179" s="10" t="s">
        <v>738</v>
      </c>
      <c r="J179" s="10" t="s">
        <v>117</v>
      </c>
      <c r="K179" s="10" t="s">
        <v>118</v>
      </c>
      <c r="L179" s="10" t="s">
        <v>108</v>
      </c>
      <c r="M179" s="12">
        <v>20</v>
      </c>
      <c r="N179" s="11">
        <v>46292</v>
      </c>
      <c r="O179" s="11">
        <v>46295</v>
      </c>
      <c r="P179" s="10" t="s">
        <v>109</v>
      </c>
      <c r="Q179" s="10" t="s">
        <v>119</v>
      </c>
      <c r="R179" s="10"/>
      <c r="S179" s="11">
        <v>46295</v>
      </c>
      <c r="T179" s="13">
        <v>4</v>
      </c>
      <c r="U179" s="14">
        <v>125</v>
      </c>
      <c r="V179" s="15">
        <f t="shared" si="8"/>
        <v>-1</v>
      </c>
      <c r="W179" s="15">
        <f t="shared" si="9"/>
        <v>4</v>
      </c>
      <c r="X179" s="16" t="str">
        <f t="shared" si="10"/>
        <v>Fechada</v>
      </c>
      <c r="Y179" s="16" t="str">
        <f t="shared" si="11"/>
        <v>OK</v>
      </c>
    </row>
    <row r="180" spans="1:25" ht="15" customHeight="1" x14ac:dyDescent="0.3">
      <c r="A180" s="10" t="s">
        <v>739</v>
      </c>
      <c r="B180" s="11">
        <v>46296</v>
      </c>
      <c r="C180" s="10" t="s">
        <v>740</v>
      </c>
      <c r="D180" s="10" t="s">
        <v>144</v>
      </c>
      <c r="E180" s="10" t="s">
        <v>122</v>
      </c>
      <c r="F180" s="10" t="s">
        <v>169</v>
      </c>
      <c r="G180" s="10" t="s">
        <v>104</v>
      </c>
      <c r="H180" s="10" t="s">
        <v>741</v>
      </c>
      <c r="I180" s="10" t="s">
        <v>742</v>
      </c>
      <c r="J180" s="10" t="s">
        <v>198</v>
      </c>
      <c r="K180" s="10" t="s">
        <v>80</v>
      </c>
      <c r="L180" s="10" t="s">
        <v>148</v>
      </c>
      <c r="M180" s="12">
        <v>126</v>
      </c>
      <c r="N180" s="11">
        <v>46299</v>
      </c>
      <c r="O180" s="11">
        <v>46299</v>
      </c>
      <c r="P180" s="10" t="s">
        <v>109</v>
      </c>
      <c r="Q180" s="10" t="s">
        <v>110</v>
      </c>
      <c r="R180" s="10"/>
      <c r="S180" s="11">
        <v>46322</v>
      </c>
      <c r="T180" s="13">
        <v>4</v>
      </c>
      <c r="U180" s="14">
        <v>381.5</v>
      </c>
      <c r="V180" s="15">
        <f t="shared" si="8"/>
        <v>1</v>
      </c>
      <c r="W180" s="15">
        <f t="shared" si="9"/>
        <v>26</v>
      </c>
      <c r="X180" s="16" t="str">
        <f t="shared" si="10"/>
        <v>Fechada</v>
      </c>
      <c r="Y180" s="16" t="str">
        <f t="shared" si="11"/>
        <v>Crítica sem 8D</v>
      </c>
    </row>
    <row r="181" spans="1:25" ht="15" customHeight="1" x14ac:dyDescent="0.3">
      <c r="A181" s="10" t="s">
        <v>743</v>
      </c>
      <c r="B181" s="11">
        <v>46312</v>
      </c>
      <c r="C181" s="10" t="s">
        <v>740</v>
      </c>
      <c r="D181" s="10" t="s">
        <v>210</v>
      </c>
      <c r="E181" s="10" t="s">
        <v>122</v>
      </c>
      <c r="F181" s="10" t="s">
        <v>343</v>
      </c>
      <c r="G181" s="10" t="s">
        <v>152</v>
      </c>
      <c r="H181" s="10" t="s">
        <v>744</v>
      </c>
      <c r="I181" s="10" t="s">
        <v>745</v>
      </c>
      <c r="J181" s="10" t="s">
        <v>191</v>
      </c>
      <c r="K181" s="10" t="s">
        <v>118</v>
      </c>
      <c r="L181" s="10" t="s">
        <v>108</v>
      </c>
      <c r="M181" s="12">
        <v>58</v>
      </c>
      <c r="N181" s="11">
        <v>46313</v>
      </c>
      <c r="O181" s="11">
        <v>46321</v>
      </c>
      <c r="P181" s="10" t="s">
        <v>109</v>
      </c>
      <c r="Q181" s="10" t="s">
        <v>119</v>
      </c>
      <c r="R181" s="10"/>
      <c r="S181" s="11"/>
      <c r="T181" s="13"/>
      <c r="U181" s="14">
        <v>134.5</v>
      </c>
      <c r="V181" s="15">
        <f t="shared" si="8"/>
        <v>-1</v>
      </c>
      <c r="W181" s="15">
        <f t="shared" si="9"/>
        <v>75</v>
      </c>
      <c r="X181" s="16" t="str">
        <f t="shared" si="10"/>
        <v>Atrasada</v>
      </c>
      <c r="Y181" s="16" t="str">
        <f t="shared" si="11"/>
        <v>OK</v>
      </c>
    </row>
    <row r="182" spans="1:25" ht="15" customHeight="1" x14ac:dyDescent="0.3">
      <c r="A182" s="10" t="s">
        <v>746</v>
      </c>
      <c r="B182" s="11">
        <v>46313</v>
      </c>
      <c r="C182" s="10" t="s">
        <v>740</v>
      </c>
      <c r="D182" s="10" t="s">
        <v>320</v>
      </c>
      <c r="E182" s="10" t="s">
        <v>135</v>
      </c>
      <c r="F182" s="10" t="s">
        <v>145</v>
      </c>
      <c r="G182" s="10" t="s">
        <v>104</v>
      </c>
      <c r="H182" s="10" t="s">
        <v>747</v>
      </c>
      <c r="I182" s="10" t="s">
        <v>748</v>
      </c>
      <c r="J182" s="10" t="s">
        <v>126</v>
      </c>
      <c r="K182" s="10" t="s">
        <v>80</v>
      </c>
      <c r="L182" s="10" t="s">
        <v>148</v>
      </c>
      <c r="M182" s="12">
        <v>78</v>
      </c>
      <c r="N182" s="11">
        <v>46314</v>
      </c>
      <c r="O182" s="11">
        <v>46323</v>
      </c>
      <c r="P182" s="10" t="s">
        <v>109</v>
      </c>
      <c r="Q182" s="10" t="s">
        <v>110</v>
      </c>
      <c r="R182" s="10"/>
      <c r="S182" s="11">
        <v>46330</v>
      </c>
      <c r="T182" s="13">
        <v>2</v>
      </c>
      <c r="U182" s="14">
        <v>369.5</v>
      </c>
      <c r="V182" s="15">
        <f t="shared" si="8"/>
        <v>0</v>
      </c>
      <c r="W182" s="15">
        <f t="shared" si="9"/>
        <v>17</v>
      </c>
      <c r="X182" s="16" t="str">
        <f t="shared" si="10"/>
        <v>Fechada</v>
      </c>
      <c r="Y182" s="16" t="str">
        <f t="shared" si="11"/>
        <v>Crítica sem 8D</v>
      </c>
    </row>
    <row r="183" spans="1:25" ht="15" customHeight="1" x14ac:dyDescent="0.3">
      <c r="A183" s="10" t="s">
        <v>749</v>
      </c>
      <c r="B183" s="11">
        <v>46316</v>
      </c>
      <c r="C183" s="10" t="s">
        <v>740</v>
      </c>
      <c r="D183" s="10" t="s">
        <v>267</v>
      </c>
      <c r="E183" s="10" t="s">
        <v>135</v>
      </c>
      <c r="F183" s="10" t="s">
        <v>683</v>
      </c>
      <c r="G183" s="10" t="s">
        <v>104</v>
      </c>
      <c r="H183" s="10" t="s">
        <v>750</v>
      </c>
      <c r="I183" s="10" t="s">
        <v>751</v>
      </c>
      <c r="J183" s="10" t="s">
        <v>191</v>
      </c>
      <c r="K183" s="10" t="s">
        <v>118</v>
      </c>
      <c r="L183" s="10" t="s">
        <v>132</v>
      </c>
      <c r="M183" s="12">
        <v>28</v>
      </c>
      <c r="N183" s="11">
        <v>46320</v>
      </c>
      <c r="O183" s="11">
        <v>46320</v>
      </c>
      <c r="P183" s="10" t="s">
        <v>109</v>
      </c>
      <c r="Q183" s="10" t="s">
        <v>119</v>
      </c>
      <c r="R183" s="10"/>
      <c r="S183" s="11">
        <v>46321</v>
      </c>
      <c r="T183" s="13">
        <v>4</v>
      </c>
      <c r="U183" s="14">
        <v>47</v>
      </c>
      <c r="V183" s="15">
        <f t="shared" si="8"/>
        <v>2</v>
      </c>
      <c r="W183" s="15">
        <f t="shared" si="9"/>
        <v>5</v>
      </c>
      <c r="X183" s="16" t="str">
        <f t="shared" si="10"/>
        <v>Fechada</v>
      </c>
      <c r="Y183" s="16" t="str">
        <f t="shared" si="11"/>
        <v>OK</v>
      </c>
    </row>
    <row r="184" spans="1:25" ht="15" customHeight="1" x14ac:dyDescent="0.3">
      <c r="A184" s="10" t="s">
        <v>752</v>
      </c>
      <c r="B184" s="11">
        <v>46318</v>
      </c>
      <c r="C184" s="10" t="s">
        <v>740</v>
      </c>
      <c r="D184" s="10" t="s">
        <v>320</v>
      </c>
      <c r="E184" s="10" t="s">
        <v>135</v>
      </c>
      <c r="F184" s="10" t="s">
        <v>343</v>
      </c>
      <c r="G184" s="10" t="s">
        <v>152</v>
      </c>
      <c r="H184" s="10" t="s">
        <v>753</v>
      </c>
      <c r="I184" s="10" t="s">
        <v>754</v>
      </c>
      <c r="J184" s="10" t="s">
        <v>335</v>
      </c>
      <c r="K184" s="10" t="s">
        <v>80</v>
      </c>
      <c r="L184" s="10" t="s">
        <v>108</v>
      </c>
      <c r="M184" s="12">
        <v>65</v>
      </c>
      <c r="N184" s="11">
        <v>46320</v>
      </c>
      <c r="O184" s="11">
        <v>46323</v>
      </c>
      <c r="P184" s="10" t="s">
        <v>109</v>
      </c>
      <c r="Q184" s="10" t="s">
        <v>110</v>
      </c>
      <c r="R184" s="10"/>
      <c r="S184" s="11">
        <v>46347</v>
      </c>
      <c r="T184" s="13">
        <v>3</v>
      </c>
      <c r="U184" s="14">
        <v>136.25</v>
      </c>
      <c r="V184" s="15">
        <f t="shared" si="8"/>
        <v>0</v>
      </c>
      <c r="W184" s="15">
        <f t="shared" si="9"/>
        <v>29</v>
      </c>
      <c r="X184" s="16" t="str">
        <f t="shared" si="10"/>
        <v>Fechada</v>
      </c>
      <c r="Y184" s="16" t="str">
        <f t="shared" si="11"/>
        <v>OK</v>
      </c>
    </row>
    <row r="185" spans="1:25" ht="15" customHeight="1" x14ac:dyDescent="0.3">
      <c r="A185" s="10" t="s">
        <v>755</v>
      </c>
      <c r="B185" s="11">
        <v>46318</v>
      </c>
      <c r="C185" s="10" t="s">
        <v>740</v>
      </c>
      <c r="D185" s="10" t="s">
        <v>320</v>
      </c>
      <c r="E185" s="10" t="s">
        <v>135</v>
      </c>
      <c r="F185" s="10" t="s">
        <v>642</v>
      </c>
      <c r="G185" s="10" t="s">
        <v>152</v>
      </c>
      <c r="H185" s="10" t="s">
        <v>756</v>
      </c>
      <c r="I185" s="10" t="s">
        <v>757</v>
      </c>
      <c r="J185" s="10" t="s">
        <v>131</v>
      </c>
      <c r="K185" s="10" t="s">
        <v>118</v>
      </c>
      <c r="L185" s="10" t="s">
        <v>148</v>
      </c>
      <c r="M185" s="12">
        <v>36</v>
      </c>
      <c r="N185" s="11">
        <v>46320</v>
      </c>
      <c r="O185" s="11">
        <v>46327</v>
      </c>
      <c r="P185" s="10" t="s">
        <v>109</v>
      </c>
      <c r="Q185" s="10" t="s">
        <v>119</v>
      </c>
      <c r="R185" s="10"/>
      <c r="S185" s="11"/>
      <c r="T185" s="13"/>
      <c r="U185" s="14">
        <v>359</v>
      </c>
      <c r="V185" s="15">
        <f t="shared" si="8"/>
        <v>0</v>
      </c>
      <c r="W185" s="15">
        <f t="shared" si="9"/>
        <v>69</v>
      </c>
      <c r="X185" s="16" t="str">
        <f t="shared" si="10"/>
        <v>Atrasada</v>
      </c>
      <c r="Y185" s="16" t="str">
        <f t="shared" si="11"/>
        <v>Crítica sem 8D</v>
      </c>
    </row>
    <row r="186" spans="1:25" ht="15" customHeight="1" x14ac:dyDescent="0.3">
      <c r="A186" s="10" t="s">
        <v>758</v>
      </c>
      <c r="B186" s="11">
        <v>46319</v>
      </c>
      <c r="C186" s="10" t="s">
        <v>740</v>
      </c>
      <c r="D186" s="10" t="s">
        <v>247</v>
      </c>
      <c r="E186" s="10" t="s">
        <v>122</v>
      </c>
      <c r="F186" s="10" t="s">
        <v>475</v>
      </c>
      <c r="G186" s="10" t="s">
        <v>152</v>
      </c>
      <c r="H186" s="10" t="s">
        <v>759</v>
      </c>
      <c r="I186" s="10"/>
      <c r="J186" s="10" t="s">
        <v>131</v>
      </c>
      <c r="K186" s="10" t="s">
        <v>118</v>
      </c>
      <c r="L186" s="10" t="s">
        <v>132</v>
      </c>
      <c r="M186" s="12">
        <v>15</v>
      </c>
      <c r="N186" s="11">
        <v>46321</v>
      </c>
      <c r="O186" s="11">
        <v>46323</v>
      </c>
      <c r="P186" s="10" t="s">
        <v>109</v>
      </c>
      <c r="Q186" s="10" t="s">
        <v>119</v>
      </c>
      <c r="R186" s="10"/>
      <c r="S186" s="11">
        <v>46323</v>
      </c>
      <c r="T186" s="13">
        <v>5</v>
      </c>
      <c r="U186" s="14">
        <v>43.75</v>
      </c>
      <c r="V186" s="15">
        <f t="shared" si="8"/>
        <v>0</v>
      </c>
      <c r="W186" s="15">
        <f t="shared" si="9"/>
        <v>4</v>
      </c>
      <c r="X186" s="16" t="str">
        <f t="shared" si="10"/>
        <v>Fechada</v>
      </c>
      <c r="Y186" s="16" t="str">
        <f t="shared" si="11"/>
        <v>Sem encomenda (rastreio)</v>
      </c>
    </row>
    <row r="187" spans="1:25" ht="15" customHeight="1" x14ac:dyDescent="0.3">
      <c r="A187" s="10" t="s">
        <v>760</v>
      </c>
      <c r="B187" s="11">
        <v>46320</v>
      </c>
      <c r="C187" s="10" t="s">
        <v>740</v>
      </c>
      <c r="D187" s="10" t="s">
        <v>134</v>
      </c>
      <c r="E187" s="10" t="s">
        <v>135</v>
      </c>
      <c r="F187" s="10" t="s">
        <v>350</v>
      </c>
      <c r="G187" s="10" t="s">
        <v>507</v>
      </c>
      <c r="H187" s="10" t="s">
        <v>761</v>
      </c>
      <c r="I187" s="10"/>
      <c r="J187" s="10" t="s">
        <v>131</v>
      </c>
      <c r="K187" s="10" t="s">
        <v>118</v>
      </c>
      <c r="L187" s="10" t="s">
        <v>108</v>
      </c>
      <c r="M187" s="12">
        <v>6</v>
      </c>
      <c r="N187" s="11">
        <v>46321</v>
      </c>
      <c r="O187" s="11">
        <v>46331</v>
      </c>
      <c r="P187" s="10" t="s">
        <v>109</v>
      </c>
      <c r="Q187" s="10" t="s">
        <v>119</v>
      </c>
      <c r="R187" s="10"/>
      <c r="S187" s="11">
        <v>46334</v>
      </c>
      <c r="T187" s="13">
        <v>4</v>
      </c>
      <c r="U187" s="14">
        <v>121.5</v>
      </c>
      <c r="V187" s="15">
        <f t="shared" si="8"/>
        <v>0</v>
      </c>
      <c r="W187" s="15">
        <f t="shared" si="9"/>
        <v>14</v>
      </c>
      <c r="X187" s="16" t="str">
        <f t="shared" si="10"/>
        <v>Fechada</v>
      </c>
      <c r="Y187" s="16" t="str">
        <f t="shared" si="11"/>
        <v>Sem encomenda (rastreio)</v>
      </c>
    </row>
    <row r="188" spans="1:25" ht="15" customHeight="1" x14ac:dyDescent="0.3">
      <c r="A188" s="10" t="s">
        <v>762</v>
      </c>
      <c r="B188" s="11">
        <v>46322</v>
      </c>
      <c r="C188" s="10" t="s">
        <v>740</v>
      </c>
      <c r="D188" s="10" t="s">
        <v>134</v>
      </c>
      <c r="E188" s="10" t="s">
        <v>122</v>
      </c>
      <c r="F188" s="10" t="s">
        <v>636</v>
      </c>
      <c r="G188" s="10" t="s">
        <v>104</v>
      </c>
      <c r="H188" s="10" t="s">
        <v>763</v>
      </c>
      <c r="I188" s="10" t="s">
        <v>764</v>
      </c>
      <c r="J188" s="10" t="s">
        <v>323</v>
      </c>
      <c r="K188" s="10" t="s">
        <v>80</v>
      </c>
      <c r="L188" s="10" t="s">
        <v>132</v>
      </c>
      <c r="M188" s="12">
        <v>157</v>
      </c>
      <c r="N188" s="11">
        <v>46324</v>
      </c>
      <c r="O188" s="11">
        <v>46326</v>
      </c>
      <c r="P188" s="10" t="s">
        <v>109</v>
      </c>
      <c r="Q188" s="10" t="s">
        <v>110</v>
      </c>
      <c r="R188" s="10"/>
      <c r="S188" s="11">
        <v>46353</v>
      </c>
      <c r="T188" s="13">
        <v>5</v>
      </c>
      <c r="U188" s="14">
        <v>79.25</v>
      </c>
      <c r="V188" s="15">
        <f t="shared" si="8"/>
        <v>2</v>
      </c>
      <c r="W188" s="15">
        <f t="shared" si="9"/>
        <v>31</v>
      </c>
      <c r="X188" s="16" t="str">
        <f t="shared" si="10"/>
        <v>Fechada</v>
      </c>
      <c r="Y188" s="16" t="str">
        <f t="shared" si="11"/>
        <v>OK</v>
      </c>
    </row>
    <row r="189" spans="1:25" ht="15" customHeight="1" x14ac:dyDescent="0.3">
      <c r="A189" s="10" t="s">
        <v>765</v>
      </c>
      <c r="B189" s="11">
        <v>46324</v>
      </c>
      <c r="C189" s="10" t="s">
        <v>740</v>
      </c>
      <c r="D189" s="10" t="s">
        <v>101</v>
      </c>
      <c r="E189" s="10" t="s">
        <v>102</v>
      </c>
      <c r="F189" s="10" t="s">
        <v>343</v>
      </c>
      <c r="G189" s="10" t="s">
        <v>152</v>
      </c>
      <c r="H189" s="10" t="s">
        <v>766</v>
      </c>
      <c r="I189" s="10" t="s">
        <v>767</v>
      </c>
      <c r="J189" s="10" t="s">
        <v>208</v>
      </c>
      <c r="K189" s="10" t="s">
        <v>80</v>
      </c>
      <c r="L189" s="10" t="s">
        <v>108</v>
      </c>
      <c r="M189" s="12">
        <v>6</v>
      </c>
      <c r="N189" s="11">
        <v>46326</v>
      </c>
      <c r="O189" s="11">
        <v>46327</v>
      </c>
      <c r="P189" s="10" t="s">
        <v>109</v>
      </c>
      <c r="Q189" s="10" t="s">
        <v>110</v>
      </c>
      <c r="R189" s="10"/>
      <c r="S189" s="11">
        <v>46333</v>
      </c>
      <c r="T189" s="13">
        <v>5</v>
      </c>
      <c r="U189" s="14">
        <v>121.5</v>
      </c>
      <c r="V189" s="15">
        <f t="shared" si="8"/>
        <v>1</v>
      </c>
      <c r="W189" s="15">
        <f t="shared" si="9"/>
        <v>9</v>
      </c>
      <c r="X189" s="16" t="str">
        <f t="shared" si="10"/>
        <v>Fechada</v>
      </c>
      <c r="Y189" s="16" t="str">
        <f t="shared" si="11"/>
        <v>OK</v>
      </c>
    </row>
    <row r="190" spans="1:25" ht="15" customHeight="1" x14ac:dyDescent="0.3">
      <c r="A190" s="10" t="s">
        <v>768</v>
      </c>
      <c r="B190" s="11">
        <v>46326</v>
      </c>
      <c r="C190" s="10" t="s">
        <v>740</v>
      </c>
      <c r="D190" s="10" t="s">
        <v>139</v>
      </c>
      <c r="E190" s="10" t="s">
        <v>135</v>
      </c>
      <c r="F190" s="10" t="s">
        <v>243</v>
      </c>
      <c r="G190" s="10" t="s">
        <v>152</v>
      </c>
      <c r="H190" s="10" t="s">
        <v>769</v>
      </c>
      <c r="I190" s="10" t="s">
        <v>770</v>
      </c>
      <c r="J190" s="10" t="s">
        <v>164</v>
      </c>
      <c r="K190" s="10" t="s">
        <v>118</v>
      </c>
      <c r="L190" s="10" t="s">
        <v>108</v>
      </c>
      <c r="M190" s="12">
        <v>4</v>
      </c>
      <c r="N190" s="11">
        <v>46330</v>
      </c>
      <c r="O190" s="11">
        <v>46330</v>
      </c>
      <c r="P190" s="10" t="s">
        <v>109</v>
      </c>
      <c r="Q190" s="10" t="s">
        <v>119</v>
      </c>
      <c r="R190" s="10"/>
      <c r="S190" s="11">
        <v>46341</v>
      </c>
      <c r="T190" s="13">
        <v>2</v>
      </c>
      <c r="U190" s="14">
        <v>121</v>
      </c>
      <c r="V190" s="15">
        <f t="shared" si="8"/>
        <v>2</v>
      </c>
      <c r="W190" s="15">
        <f t="shared" si="9"/>
        <v>15</v>
      </c>
      <c r="X190" s="16" t="str">
        <f t="shared" si="10"/>
        <v>Fechada</v>
      </c>
      <c r="Y190" s="16" t="str">
        <f t="shared" si="11"/>
        <v>OK</v>
      </c>
    </row>
    <row r="191" spans="1:25" ht="15" customHeight="1" x14ac:dyDescent="0.3">
      <c r="A191" s="10" t="s">
        <v>771</v>
      </c>
      <c r="B191" s="11">
        <v>46330</v>
      </c>
      <c r="C191" s="10" t="s">
        <v>772</v>
      </c>
      <c r="D191" s="10" t="s">
        <v>267</v>
      </c>
      <c r="E191" s="10" t="s">
        <v>135</v>
      </c>
      <c r="F191" s="10" t="s">
        <v>475</v>
      </c>
      <c r="G191" s="10" t="s">
        <v>152</v>
      </c>
      <c r="H191" s="10" t="s">
        <v>773</v>
      </c>
      <c r="I191" s="10" t="s">
        <v>774</v>
      </c>
      <c r="J191" s="10" t="s">
        <v>131</v>
      </c>
      <c r="K191" s="10" t="s">
        <v>118</v>
      </c>
      <c r="L191" s="10" t="s">
        <v>108</v>
      </c>
      <c r="M191" s="12">
        <v>6</v>
      </c>
      <c r="N191" s="11">
        <v>46332</v>
      </c>
      <c r="O191" s="11">
        <v>46337</v>
      </c>
      <c r="P191" s="10" t="s">
        <v>109</v>
      </c>
      <c r="Q191" s="10" t="s">
        <v>119</v>
      </c>
      <c r="R191" s="10"/>
      <c r="S191" s="11">
        <v>46337</v>
      </c>
      <c r="T191" s="13">
        <v>3</v>
      </c>
      <c r="U191" s="14">
        <v>121.5</v>
      </c>
      <c r="V191" s="15">
        <f t="shared" si="8"/>
        <v>2</v>
      </c>
      <c r="W191" s="15">
        <f t="shared" si="9"/>
        <v>7</v>
      </c>
      <c r="X191" s="16" t="str">
        <f t="shared" si="10"/>
        <v>Fechada</v>
      </c>
      <c r="Y191" s="16" t="str">
        <f t="shared" si="11"/>
        <v>OK</v>
      </c>
    </row>
    <row r="192" spans="1:25" ht="15" customHeight="1" x14ac:dyDescent="0.3">
      <c r="A192" s="10" t="s">
        <v>775</v>
      </c>
      <c r="B192" s="11">
        <v>46331</v>
      </c>
      <c r="C192" s="10" t="s">
        <v>772</v>
      </c>
      <c r="D192" s="10" t="s">
        <v>328</v>
      </c>
      <c r="E192" s="10" t="s">
        <v>135</v>
      </c>
      <c r="F192" s="10" t="s">
        <v>776</v>
      </c>
      <c r="G192" s="10" t="s">
        <v>104</v>
      </c>
      <c r="H192" s="10" t="s">
        <v>777</v>
      </c>
      <c r="I192" s="10" t="s">
        <v>778</v>
      </c>
      <c r="J192" s="10" t="s">
        <v>126</v>
      </c>
      <c r="K192" s="10" t="s">
        <v>80</v>
      </c>
      <c r="L192" s="10" t="s">
        <v>108</v>
      </c>
      <c r="M192" s="12">
        <v>259</v>
      </c>
      <c r="N192" s="11">
        <v>46335</v>
      </c>
      <c r="O192" s="11">
        <v>46340</v>
      </c>
      <c r="P192" s="10" t="s">
        <v>109</v>
      </c>
      <c r="Q192" s="10" t="s">
        <v>110</v>
      </c>
      <c r="R192" s="10"/>
      <c r="S192" s="11"/>
      <c r="T192" s="13"/>
      <c r="U192" s="14">
        <v>184.75</v>
      </c>
      <c r="V192" s="15">
        <f t="shared" si="8"/>
        <v>2</v>
      </c>
      <c r="W192" s="15">
        <f t="shared" si="9"/>
        <v>56</v>
      </c>
      <c r="X192" s="16" t="str">
        <f t="shared" si="10"/>
        <v>Atrasada</v>
      </c>
      <c r="Y192" s="16" t="str">
        <f t="shared" si="11"/>
        <v>OK</v>
      </c>
    </row>
    <row r="193" spans="1:25" ht="15" customHeight="1" x14ac:dyDescent="0.3">
      <c r="A193" s="10" t="s">
        <v>779</v>
      </c>
      <c r="B193" s="11">
        <v>46332</v>
      </c>
      <c r="C193" s="10" t="s">
        <v>772</v>
      </c>
      <c r="D193" s="10" t="s">
        <v>155</v>
      </c>
      <c r="E193" s="10" t="s">
        <v>122</v>
      </c>
      <c r="F193" s="10" t="s">
        <v>565</v>
      </c>
      <c r="G193" s="10" t="s">
        <v>152</v>
      </c>
      <c r="H193" s="10" t="s">
        <v>780</v>
      </c>
      <c r="I193" s="10"/>
      <c r="J193" s="10" t="s">
        <v>164</v>
      </c>
      <c r="K193" s="10" t="s">
        <v>118</v>
      </c>
      <c r="L193" s="10" t="s">
        <v>132</v>
      </c>
      <c r="M193" s="12">
        <v>8</v>
      </c>
      <c r="N193" s="11">
        <v>46335</v>
      </c>
      <c r="O193" s="11">
        <v>46337</v>
      </c>
      <c r="P193" s="10" t="s">
        <v>109</v>
      </c>
      <c r="Q193" s="10" t="s">
        <v>119</v>
      </c>
      <c r="R193" s="10"/>
      <c r="S193" s="11">
        <v>46359</v>
      </c>
      <c r="T193" s="13">
        <v>5</v>
      </c>
      <c r="U193" s="14">
        <v>42</v>
      </c>
      <c r="V193" s="15">
        <f t="shared" si="8"/>
        <v>1</v>
      </c>
      <c r="W193" s="15">
        <f t="shared" si="9"/>
        <v>27</v>
      </c>
      <c r="X193" s="16" t="str">
        <f t="shared" si="10"/>
        <v>Fechada</v>
      </c>
      <c r="Y193" s="16" t="str">
        <f t="shared" si="11"/>
        <v>Sem encomenda (rastreio)</v>
      </c>
    </row>
    <row r="194" spans="1:25" ht="15" customHeight="1" x14ac:dyDescent="0.3">
      <c r="A194" s="10" t="s">
        <v>781</v>
      </c>
      <c r="B194" s="11">
        <v>46339</v>
      </c>
      <c r="C194" s="10" t="s">
        <v>772</v>
      </c>
      <c r="D194" s="10" t="s">
        <v>139</v>
      </c>
      <c r="E194" s="10" t="s">
        <v>122</v>
      </c>
      <c r="F194" s="10" t="s">
        <v>630</v>
      </c>
      <c r="G194" s="10" t="s">
        <v>152</v>
      </c>
      <c r="H194" s="10" t="s">
        <v>782</v>
      </c>
      <c r="I194" s="10" t="s">
        <v>783</v>
      </c>
      <c r="J194" s="10" t="s">
        <v>131</v>
      </c>
      <c r="K194" s="10" t="s">
        <v>118</v>
      </c>
      <c r="L194" s="10" t="s">
        <v>108</v>
      </c>
      <c r="M194" s="12">
        <v>5</v>
      </c>
      <c r="N194" s="11">
        <v>46342</v>
      </c>
      <c r="O194" s="11">
        <v>46347</v>
      </c>
      <c r="P194" s="10" t="s">
        <v>109</v>
      </c>
      <c r="Q194" s="10" t="s">
        <v>119</v>
      </c>
      <c r="R194" s="10"/>
      <c r="S194" s="11">
        <v>46373</v>
      </c>
      <c r="T194" s="13">
        <v>2</v>
      </c>
      <c r="U194" s="14">
        <v>121.25</v>
      </c>
      <c r="V194" s="15">
        <f t="shared" si="8"/>
        <v>1</v>
      </c>
      <c r="W194" s="15">
        <f t="shared" si="9"/>
        <v>34</v>
      </c>
      <c r="X194" s="16" t="str">
        <f t="shared" si="10"/>
        <v>Fechada</v>
      </c>
      <c r="Y194" s="16" t="str">
        <f t="shared" si="11"/>
        <v>OK</v>
      </c>
    </row>
    <row r="195" spans="1:25" ht="15" customHeight="1" x14ac:dyDescent="0.3">
      <c r="A195" s="10" t="s">
        <v>784</v>
      </c>
      <c r="B195" s="11">
        <v>46343</v>
      </c>
      <c r="C195" s="10" t="s">
        <v>772</v>
      </c>
      <c r="D195" s="10" t="s">
        <v>267</v>
      </c>
      <c r="E195" s="10" t="s">
        <v>102</v>
      </c>
      <c r="F195" s="10" t="s">
        <v>193</v>
      </c>
      <c r="G195" s="10" t="s">
        <v>152</v>
      </c>
      <c r="H195" s="10" t="s">
        <v>785</v>
      </c>
      <c r="I195" s="10"/>
      <c r="J195" s="10" t="s">
        <v>191</v>
      </c>
      <c r="K195" s="10" t="s">
        <v>118</v>
      </c>
      <c r="L195" s="10" t="s">
        <v>108</v>
      </c>
      <c r="M195" s="12">
        <v>28</v>
      </c>
      <c r="N195" s="11">
        <v>46346</v>
      </c>
      <c r="O195" s="11">
        <v>46347</v>
      </c>
      <c r="P195" s="10" t="s">
        <v>109</v>
      </c>
      <c r="Q195" s="10" t="s">
        <v>119</v>
      </c>
      <c r="R195" s="10"/>
      <c r="S195" s="11">
        <v>46368</v>
      </c>
      <c r="T195" s="13">
        <v>5</v>
      </c>
      <c r="U195" s="14">
        <v>127</v>
      </c>
      <c r="V195" s="15">
        <f t="shared" si="8"/>
        <v>3</v>
      </c>
      <c r="W195" s="15">
        <f t="shared" si="9"/>
        <v>25</v>
      </c>
      <c r="X195" s="16" t="str">
        <f t="shared" si="10"/>
        <v>Fechada</v>
      </c>
      <c r="Y195" s="16" t="str">
        <f t="shared" si="11"/>
        <v>Acusação tardia</v>
      </c>
    </row>
    <row r="196" spans="1:25" ht="15" customHeight="1" x14ac:dyDescent="0.3">
      <c r="A196" s="10" t="s">
        <v>786</v>
      </c>
      <c r="B196" s="11">
        <v>46343</v>
      </c>
      <c r="C196" s="10" t="s">
        <v>772</v>
      </c>
      <c r="D196" s="10" t="s">
        <v>155</v>
      </c>
      <c r="E196" s="10" t="s">
        <v>122</v>
      </c>
      <c r="F196" s="10" t="s">
        <v>565</v>
      </c>
      <c r="G196" s="10" t="s">
        <v>152</v>
      </c>
      <c r="H196" s="10" t="s">
        <v>787</v>
      </c>
      <c r="I196" s="10" t="s">
        <v>788</v>
      </c>
      <c r="J196" s="10" t="s">
        <v>159</v>
      </c>
      <c r="K196" s="10" t="s">
        <v>80</v>
      </c>
      <c r="L196" s="10" t="s">
        <v>108</v>
      </c>
      <c r="M196" s="12">
        <v>49</v>
      </c>
      <c r="N196" s="11">
        <v>46346</v>
      </c>
      <c r="O196" s="11">
        <v>46346</v>
      </c>
      <c r="P196" s="10" t="s">
        <v>250</v>
      </c>
      <c r="Q196" s="10" t="s">
        <v>251</v>
      </c>
      <c r="R196" s="10"/>
      <c r="S196" s="11">
        <v>46365</v>
      </c>
      <c r="T196" s="13">
        <v>4</v>
      </c>
      <c r="U196" s="14">
        <v>132.25</v>
      </c>
      <c r="V196" s="15">
        <f t="shared" si="8"/>
        <v>3</v>
      </c>
      <c r="W196" s="15">
        <f t="shared" si="9"/>
        <v>22</v>
      </c>
      <c r="X196" s="16" t="str">
        <f t="shared" si="10"/>
        <v>Fechada</v>
      </c>
      <c r="Y196" s="16" t="str">
        <f t="shared" si="11"/>
        <v>Acusação tardia</v>
      </c>
    </row>
    <row r="197" spans="1:25" ht="15" customHeight="1" x14ac:dyDescent="0.3">
      <c r="A197" s="10" t="s">
        <v>789</v>
      </c>
      <c r="B197" s="11">
        <v>46344</v>
      </c>
      <c r="C197" s="10" t="s">
        <v>772</v>
      </c>
      <c r="D197" s="10" t="s">
        <v>790</v>
      </c>
      <c r="E197" s="10" t="s">
        <v>135</v>
      </c>
      <c r="F197" s="10" t="s">
        <v>791</v>
      </c>
      <c r="G197" s="10" t="s">
        <v>104</v>
      </c>
      <c r="H197" s="10"/>
      <c r="I197" s="10"/>
      <c r="J197" s="10" t="s">
        <v>792</v>
      </c>
      <c r="K197" s="10" t="s">
        <v>80</v>
      </c>
      <c r="L197" s="10" t="s">
        <v>148</v>
      </c>
      <c r="M197" s="12">
        <v>15</v>
      </c>
      <c r="N197" s="11">
        <v>46347</v>
      </c>
      <c r="O197" s="11">
        <v>46355</v>
      </c>
      <c r="P197" s="10" t="s">
        <v>109</v>
      </c>
      <c r="Q197" s="10" t="s">
        <v>110</v>
      </c>
      <c r="R197" s="10"/>
      <c r="S197" s="11"/>
      <c r="T197" s="13"/>
      <c r="U197" s="14">
        <v>353.75</v>
      </c>
      <c r="V197" s="15">
        <f t="shared" ref="V197:V214" si="12">IF(A197="","",NETWORKDAYS(B197,N197)-1)</f>
        <v>2</v>
      </c>
      <c r="W197" s="15">
        <f t="shared" ref="W197:W214" si="13">IF(A197="","",IF(S197="",DataRef-B197,S197-B197))</f>
        <v>43</v>
      </c>
      <c r="X197" s="16" t="str">
        <f t="shared" ref="X197:X260" si="14">IF(A197="","",IF(S197&lt;&gt;"","Fechada",IF(W197&gt;30,"Atrasada","Aberta")))</f>
        <v>Atrasada</v>
      </c>
      <c r="Y197" s="16" t="str">
        <f t="shared" ref="Y197:Y214" si="15">IF(A197="","",IF(V197&gt;2,"Acusação tardia",IF(AND(L197="Crítica",R197=""),"Crítica sem 8D",IF(I197="","Sem encomenda (rastreio)","OK"))))</f>
        <v>Crítica sem 8D</v>
      </c>
    </row>
    <row r="198" spans="1:25" ht="15" customHeight="1" x14ac:dyDescent="0.3">
      <c r="A198" s="10" t="s">
        <v>793</v>
      </c>
      <c r="B198" s="11">
        <v>46346</v>
      </c>
      <c r="C198" s="10" t="s">
        <v>772</v>
      </c>
      <c r="D198" s="10" t="s">
        <v>320</v>
      </c>
      <c r="E198" s="10" t="s">
        <v>102</v>
      </c>
      <c r="F198" s="10" t="s">
        <v>103</v>
      </c>
      <c r="G198" s="10" t="s">
        <v>104</v>
      </c>
      <c r="H198" s="10" t="s">
        <v>794</v>
      </c>
      <c r="I198" s="10" t="s">
        <v>795</v>
      </c>
      <c r="J198" s="10" t="s">
        <v>107</v>
      </c>
      <c r="K198" s="10" t="s">
        <v>80</v>
      </c>
      <c r="L198" s="10" t="s">
        <v>148</v>
      </c>
      <c r="M198" s="12">
        <v>53</v>
      </c>
      <c r="N198" s="11">
        <v>46349</v>
      </c>
      <c r="O198" s="11">
        <v>46352</v>
      </c>
      <c r="P198" s="10" t="s">
        <v>109</v>
      </c>
      <c r="Q198" s="10" t="s">
        <v>110</v>
      </c>
      <c r="R198" s="10"/>
      <c r="S198" s="11">
        <v>46360</v>
      </c>
      <c r="T198" s="13">
        <v>5</v>
      </c>
      <c r="U198" s="14">
        <v>363.25</v>
      </c>
      <c r="V198" s="15">
        <f t="shared" si="12"/>
        <v>1</v>
      </c>
      <c r="W198" s="15">
        <f t="shared" si="13"/>
        <v>14</v>
      </c>
      <c r="X198" s="16" t="str">
        <f t="shared" si="14"/>
        <v>Fechada</v>
      </c>
      <c r="Y198" s="16" t="str">
        <f t="shared" si="15"/>
        <v>Crítica sem 8D</v>
      </c>
    </row>
    <row r="199" spans="1:25" ht="15" customHeight="1" x14ac:dyDescent="0.3">
      <c r="A199" s="10" t="s">
        <v>796</v>
      </c>
      <c r="B199" s="11">
        <v>46348</v>
      </c>
      <c r="C199" s="10" t="s">
        <v>772</v>
      </c>
      <c r="D199" s="10" t="s">
        <v>247</v>
      </c>
      <c r="E199" s="10" t="s">
        <v>122</v>
      </c>
      <c r="F199" s="10" t="s">
        <v>343</v>
      </c>
      <c r="G199" s="10" t="s">
        <v>152</v>
      </c>
      <c r="H199" s="10" t="s">
        <v>797</v>
      </c>
      <c r="I199" s="10"/>
      <c r="J199" s="10" t="s">
        <v>117</v>
      </c>
      <c r="K199" s="10" t="s">
        <v>118</v>
      </c>
      <c r="L199" s="10" t="s">
        <v>132</v>
      </c>
      <c r="M199" s="12">
        <v>38</v>
      </c>
      <c r="N199" s="11">
        <v>46349</v>
      </c>
      <c r="O199" s="11">
        <v>46353</v>
      </c>
      <c r="P199" s="10" t="s">
        <v>250</v>
      </c>
      <c r="Q199" s="10" t="s">
        <v>251</v>
      </c>
      <c r="R199" s="10"/>
      <c r="S199" s="11"/>
      <c r="T199" s="13"/>
      <c r="U199" s="14">
        <v>49.5</v>
      </c>
      <c r="V199" s="15">
        <f t="shared" si="12"/>
        <v>0</v>
      </c>
      <c r="W199" s="15">
        <f t="shared" si="13"/>
        <v>39</v>
      </c>
      <c r="X199" s="16" t="str">
        <f t="shared" si="14"/>
        <v>Atrasada</v>
      </c>
      <c r="Y199" s="16" t="str">
        <f t="shared" si="15"/>
        <v>Sem encomenda (rastreio)</v>
      </c>
    </row>
    <row r="200" spans="1:25" ht="15" customHeight="1" x14ac:dyDescent="0.3">
      <c r="A200" s="10" t="s">
        <v>798</v>
      </c>
      <c r="B200" s="11">
        <v>46349</v>
      </c>
      <c r="C200" s="10" t="s">
        <v>772</v>
      </c>
      <c r="D200" s="10" t="s">
        <v>144</v>
      </c>
      <c r="E200" s="10" t="s">
        <v>102</v>
      </c>
      <c r="F200" s="10" t="s">
        <v>123</v>
      </c>
      <c r="G200" s="10" t="s">
        <v>104</v>
      </c>
      <c r="H200" s="10" t="s">
        <v>799</v>
      </c>
      <c r="I200" s="10" t="s">
        <v>800</v>
      </c>
      <c r="J200" s="10" t="s">
        <v>323</v>
      </c>
      <c r="K200" s="10" t="s">
        <v>80</v>
      </c>
      <c r="L200" s="10" t="s">
        <v>108</v>
      </c>
      <c r="M200" s="12">
        <v>27</v>
      </c>
      <c r="N200" s="11">
        <v>46351</v>
      </c>
      <c r="O200" s="11">
        <v>46357</v>
      </c>
      <c r="P200" s="10" t="s">
        <v>109</v>
      </c>
      <c r="Q200" s="10" t="s">
        <v>110</v>
      </c>
      <c r="R200" s="10"/>
      <c r="S200" s="11">
        <v>46361</v>
      </c>
      <c r="T200" s="13">
        <v>4</v>
      </c>
      <c r="U200" s="14">
        <v>126.75</v>
      </c>
      <c r="V200" s="15">
        <f t="shared" si="12"/>
        <v>2</v>
      </c>
      <c r="W200" s="15">
        <f t="shared" si="13"/>
        <v>12</v>
      </c>
      <c r="X200" s="16" t="str">
        <f t="shared" si="14"/>
        <v>Fechada</v>
      </c>
      <c r="Y200" s="16" t="str">
        <f t="shared" si="15"/>
        <v>OK</v>
      </c>
    </row>
    <row r="201" spans="1:25" ht="15" customHeight="1" x14ac:dyDescent="0.3">
      <c r="A201" s="10" t="s">
        <v>801</v>
      </c>
      <c r="B201" s="11">
        <v>46350</v>
      </c>
      <c r="C201" s="10" t="s">
        <v>772</v>
      </c>
      <c r="D201" s="10" t="s">
        <v>247</v>
      </c>
      <c r="E201" s="10" t="s">
        <v>135</v>
      </c>
      <c r="F201" s="10" t="s">
        <v>350</v>
      </c>
      <c r="G201" s="10" t="s">
        <v>152</v>
      </c>
      <c r="H201" s="10" t="s">
        <v>802</v>
      </c>
      <c r="I201" s="10" t="s">
        <v>803</v>
      </c>
      <c r="J201" s="10" t="s">
        <v>164</v>
      </c>
      <c r="K201" s="10" t="s">
        <v>118</v>
      </c>
      <c r="L201" s="10" t="s">
        <v>108</v>
      </c>
      <c r="M201" s="12">
        <v>41</v>
      </c>
      <c r="N201" s="11">
        <v>46351</v>
      </c>
      <c r="O201" s="11">
        <v>46358</v>
      </c>
      <c r="P201" s="10" t="s">
        <v>109</v>
      </c>
      <c r="Q201" s="10" t="s">
        <v>119</v>
      </c>
      <c r="R201" s="10"/>
      <c r="S201" s="11">
        <v>46382</v>
      </c>
      <c r="T201" s="13">
        <v>4</v>
      </c>
      <c r="U201" s="14">
        <v>130.25</v>
      </c>
      <c r="V201" s="15">
        <f t="shared" si="12"/>
        <v>1</v>
      </c>
      <c r="W201" s="15">
        <f t="shared" si="13"/>
        <v>32</v>
      </c>
      <c r="X201" s="16" t="str">
        <f t="shared" si="14"/>
        <v>Fechada</v>
      </c>
      <c r="Y201" s="16" t="str">
        <f t="shared" si="15"/>
        <v>OK</v>
      </c>
    </row>
    <row r="202" spans="1:25" ht="15" customHeight="1" x14ac:dyDescent="0.3">
      <c r="A202" s="10" t="s">
        <v>804</v>
      </c>
      <c r="B202" s="11">
        <v>46354</v>
      </c>
      <c r="C202" s="10" t="s">
        <v>772</v>
      </c>
      <c r="D202" s="10" t="s">
        <v>155</v>
      </c>
      <c r="E202" s="10" t="s">
        <v>122</v>
      </c>
      <c r="F202" s="10" t="s">
        <v>174</v>
      </c>
      <c r="G202" s="10" t="s">
        <v>152</v>
      </c>
      <c r="H202" s="10" t="s">
        <v>805</v>
      </c>
      <c r="I202" s="10" t="s">
        <v>806</v>
      </c>
      <c r="J202" s="10" t="s">
        <v>117</v>
      </c>
      <c r="K202" s="10" t="s">
        <v>118</v>
      </c>
      <c r="L202" s="10" t="s">
        <v>108</v>
      </c>
      <c r="M202" s="12">
        <v>59</v>
      </c>
      <c r="N202" s="11">
        <v>46355</v>
      </c>
      <c r="O202" s="11">
        <v>46364</v>
      </c>
      <c r="P202" s="10" t="s">
        <v>109</v>
      </c>
      <c r="Q202" s="10" t="s">
        <v>119</v>
      </c>
      <c r="R202" s="10"/>
      <c r="S202" s="11">
        <v>46378</v>
      </c>
      <c r="T202" s="13">
        <v>2</v>
      </c>
      <c r="U202" s="14">
        <v>134.75</v>
      </c>
      <c r="V202" s="15">
        <f t="shared" si="12"/>
        <v>-1</v>
      </c>
      <c r="W202" s="15">
        <f t="shared" si="13"/>
        <v>24</v>
      </c>
      <c r="X202" s="16" t="str">
        <f t="shared" si="14"/>
        <v>Fechada</v>
      </c>
      <c r="Y202" s="16" t="str">
        <f t="shared" si="15"/>
        <v>OK</v>
      </c>
    </row>
    <row r="203" spans="1:25" ht="15" customHeight="1" x14ac:dyDescent="0.3">
      <c r="A203" s="10" t="s">
        <v>807</v>
      </c>
      <c r="B203" s="11">
        <v>46360</v>
      </c>
      <c r="C203" s="10" t="s">
        <v>808</v>
      </c>
      <c r="D203" s="10" t="s">
        <v>182</v>
      </c>
      <c r="E203" s="10" t="s">
        <v>122</v>
      </c>
      <c r="F203" s="10" t="s">
        <v>809</v>
      </c>
      <c r="G203" s="10" t="s">
        <v>152</v>
      </c>
      <c r="H203" s="10" t="s">
        <v>810</v>
      </c>
      <c r="I203" s="10" t="s">
        <v>811</v>
      </c>
      <c r="J203" s="10" t="s">
        <v>177</v>
      </c>
      <c r="K203" s="10" t="s">
        <v>80</v>
      </c>
      <c r="L203" s="10" t="s">
        <v>148</v>
      </c>
      <c r="M203" s="12">
        <v>41</v>
      </c>
      <c r="N203" s="11">
        <v>46362</v>
      </c>
      <c r="O203" s="11">
        <v>46367</v>
      </c>
      <c r="P203" s="10" t="s">
        <v>109</v>
      </c>
      <c r="Q203" s="10" t="s">
        <v>110</v>
      </c>
      <c r="R203" s="10"/>
      <c r="S203" s="11">
        <v>46367</v>
      </c>
      <c r="T203" s="13">
        <v>2</v>
      </c>
      <c r="U203" s="14">
        <v>360.25</v>
      </c>
      <c r="V203" s="15">
        <f t="shared" si="12"/>
        <v>0</v>
      </c>
      <c r="W203" s="15">
        <f t="shared" si="13"/>
        <v>7</v>
      </c>
      <c r="X203" s="16" t="str">
        <f t="shared" si="14"/>
        <v>Fechada</v>
      </c>
      <c r="Y203" s="16" t="str">
        <f t="shared" si="15"/>
        <v>Crítica sem 8D</v>
      </c>
    </row>
    <row r="204" spans="1:25" ht="15" customHeight="1" x14ac:dyDescent="0.3">
      <c r="A204" s="10" t="s">
        <v>812</v>
      </c>
      <c r="B204" s="11">
        <v>46360</v>
      </c>
      <c r="C204" s="10" t="s">
        <v>808</v>
      </c>
      <c r="D204" s="10" t="s">
        <v>328</v>
      </c>
      <c r="E204" s="10" t="s">
        <v>122</v>
      </c>
      <c r="F204" s="10" t="s">
        <v>406</v>
      </c>
      <c r="G204" s="10" t="s">
        <v>152</v>
      </c>
      <c r="H204" s="10" t="s">
        <v>813</v>
      </c>
      <c r="I204" s="10" t="s">
        <v>814</v>
      </c>
      <c r="J204" s="10" t="s">
        <v>335</v>
      </c>
      <c r="K204" s="10" t="s">
        <v>80</v>
      </c>
      <c r="L204" s="10" t="s">
        <v>108</v>
      </c>
      <c r="M204" s="12">
        <v>49</v>
      </c>
      <c r="N204" s="11">
        <v>46362</v>
      </c>
      <c r="O204" s="11">
        <v>46370</v>
      </c>
      <c r="P204" s="10" t="s">
        <v>109</v>
      </c>
      <c r="Q204" s="10" t="s">
        <v>110</v>
      </c>
      <c r="R204" s="10"/>
      <c r="S204" s="11"/>
      <c r="T204" s="13"/>
      <c r="U204" s="14">
        <v>132.25</v>
      </c>
      <c r="V204" s="15">
        <f t="shared" si="12"/>
        <v>0</v>
      </c>
      <c r="W204" s="15">
        <f t="shared" si="13"/>
        <v>27</v>
      </c>
      <c r="X204" s="16" t="str">
        <f t="shared" si="14"/>
        <v>Aberta</v>
      </c>
      <c r="Y204" s="16" t="str">
        <f t="shared" si="15"/>
        <v>OK</v>
      </c>
    </row>
    <row r="205" spans="1:25" ht="15" customHeight="1" x14ac:dyDescent="0.3">
      <c r="A205" s="10" t="s">
        <v>815</v>
      </c>
      <c r="B205" s="11">
        <v>46360</v>
      </c>
      <c r="C205" s="10" t="s">
        <v>808</v>
      </c>
      <c r="D205" s="10" t="s">
        <v>139</v>
      </c>
      <c r="E205" s="10" t="s">
        <v>135</v>
      </c>
      <c r="F205" s="10" t="s">
        <v>103</v>
      </c>
      <c r="G205" s="10" t="s">
        <v>104</v>
      </c>
      <c r="H205" s="10" t="s">
        <v>816</v>
      </c>
      <c r="I205" s="10" t="s">
        <v>817</v>
      </c>
      <c r="J205" s="10" t="s">
        <v>198</v>
      </c>
      <c r="K205" s="10" t="s">
        <v>80</v>
      </c>
      <c r="L205" s="10" t="s">
        <v>108</v>
      </c>
      <c r="M205" s="12">
        <v>4</v>
      </c>
      <c r="N205" s="11">
        <v>46364</v>
      </c>
      <c r="O205" s="11">
        <v>46369</v>
      </c>
      <c r="P205" s="10" t="s">
        <v>109</v>
      </c>
      <c r="Q205" s="10" t="s">
        <v>110</v>
      </c>
      <c r="R205" s="10"/>
      <c r="S205" s="11"/>
      <c r="T205" s="13"/>
      <c r="U205" s="14">
        <v>121</v>
      </c>
      <c r="V205" s="15">
        <f t="shared" si="12"/>
        <v>2</v>
      </c>
      <c r="W205" s="15">
        <f t="shared" si="13"/>
        <v>27</v>
      </c>
      <c r="X205" s="16" t="str">
        <f t="shared" si="14"/>
        <v>Aberta</v>
      </c>
      <c r="Y205" s="16" t="str">
        <f t="shared" si="15"/>
        <v>OK</v>
      </c>
    </row>
    <row r="206" spans="1:25" ht="15" customHeight="1" x14ac:dyDescent="0.3">
      <c r="A206" s="10" t="s">
        <v>818</v>
      </c>
      <c r="B206" s="11">
        <v>46361</v>
      </c>
      <c r="C206" s="10" t="s">
        <v>808</v>
      </c>
      <c r="D206" s="10" t="s">
        <v>247</v>
      </c>
      <c r="E206" s="10" t="s">
        <v>135</v>
      </c>
      <c r="F206" s="10" t="s">
        <v>188</v>
      </c>
      <c r="G206" s="10" t="s">
        <v>152</v>
      </c>
      <c r="H206" s="10" t="s">
        <v>819</v>
      </c>
      <c r="I206" s="10" t="s">
        <v>820</v>
      </c>
      <c r="J206" s="10" t="s">
        <v>159</v>
      </c>
      <c r="K206" s="10" t="s">
        <v>80</v>
      </c>
      <c r="L206" s="10" t="s">
        <v>148</v>
      </c>
      <c r="M206" s="12">
        <v>9</v>
      </c>
      <c r="N206" s="11">
        <v>46364</v>
      </c>
      <c r="O206" s="11">
        <v>46370</v>
      </c>
      <c r="P206" s="10" t="s">
        <v>250</v>
      </c>
      <c r="Q206" s="10" t="s">
        <v>251</v>
      </c>
      <c r="R206" s="10"/>
      <c r="S206" s="11">
        <v>46378</v>
      </c>
      <c r="T206" s="13">
        <v>5</v>
      </c>
      <c r="U206" s="14">
        <v>352.25</v>
      </c>
      <c r="V206" s="15">
        <f t="shared" si="12"/>
        <v>1</v>
      </c>
      <c r="W206" s="15">
        <f t="shared" si="13"/>
        <v>17</v>
      </c>
      <c r="X206" s="16" t="str">
        <f t="shared" si="14"/>
        <v>Fechada</v>
      </c>
      <c r="Y206" s="16" t="str">
        <f t="shared" si="15"/>
        <v>Crítica sem 8D</v>
      </c>
    </row>
    <row r="207" spans="1:25" ht="15" customHeight="1" x14ac:dyDescent="0.3">
      <c r="A207" s="10" t="s">
        <v>821</v>
      </c>
      <c r="B207" s="11">
        <v>46361</v>
      </c>
      <c r="C207" s="10" t="s">
        <v>808</v>
      </c>
      <c r="D207" s="10" t="s">
        <v>155</v>
      </c>
      <c r="E207" s="10" t="s">
        <v>135</v>
      </c>
      <c r="F207" s="10" t="s">
        <v>161</v>
      </c>
      <c r="G207" s="10" t="s">
        <v>152</v>
      </c>
      <c r="H207" s="10" t="s">
        <v>822</v>
      </c>
      <c r="I207" s="10" t="s">
        <v>823</v>
      </c>
      <c r="J207" s="10" t="s">
        <v>191</v>
      </c>
      <c r="K207" s="10" t="s">
        <v>118</v>
      </c>
      <c r="L207" s="10" t="s">
        <v>132</v>
      </c>
      <c r="M207" s="12">
        <v>40</v>
      </c>
      <c r="N207" s="11">
        <v>46364</v>
      </c>
      <c r="O207" s="11">
        <v>46365</v>
      </c>
      <c r="P207" s="10" t="s">
        <v>109</v>
      </c>
      <c r="Q207" s="10" t="s">
        <v>119</v>
      </c>
      <c r="R207" s="10"/>
      <c r="S207" s="11">
        <v>46374</v>
      </c>
      <c r="T207" s="13">
        <v>3</v>
      </c>
      <c r="U207" s="14">
        <v>50</v>
      </c>
      <c r="V207" s="15">
        <f t="shared" si="12"/>
        <v>1</v>
      </c>
      <c r="W207" s="15">
        <f t="shared" si="13"/>
        <v>13</v>
      </c>
      <c r="X207" s="16" t="str">
        <f t="shared" si="14"/>
        <v>Fechada</v>
      </c>
      <c r="Y207" s="16" t="str">
        <f t="shared" si="15"/>
        <v>OK</v>
      </c>
    </row>
    <row r="208" spans="1:25" ht="15" customHeight="1" x14ac:dyDescent="0.3">
      <c r="A208" s="10" t="s">
        <v>824</v>
      </c>
      <c r="B208" s="11">
        <v>46362</v>
      </c>
      <c r="C208" s="10" t="s">
        <v>808</v>
      </c>
      <c r="D208" s="10" t="s">
        <v>121</v>
      </c>
      <c r="E208" s="10" t="s">
        <v>102</v>
      </c>
      <c r="F208" s="10" t="s">
        <v>161</v>
      </c>
      <c r="G208" s="10" t="s">
        <v>152</v>
      </c>
      <c r="H208" s="10" t="s">
        <v>825</v>
      </c>
      <c r="I208" s="10" t="s">
        <v>826</v>
      </c>
      <c r="J208" s="10" t="s">
        <v>335</v>
      </c>
      <c r="K208" s="10" t="s">
        <v>80</v>
      </c>
      <c r="L208" s="10" t="s">
        <v>108</v>
      </c>
      <c r="M208" s="12">
        <v>14</v>
      </c>
      <c r="N208" s="11">
        <v>46366</v>
      </c>
      <c r="O208" s="11">
        <v>46372</v>
      </c>
      <c r="P208" s="10" t="s">
        <v>109</v>
      </c>
      <c r="Q208" s="10" t="s">
        <v>110</v>
      </c>
      <c r="R208" s="10"/>
      <c r="S208" s="11">
        <v>46385</v>
      </c>
      <c r="T208" s="13">
        <v>4</v>
      </c>
      <c r="U208" s="14">
        <v>123.5</v>
      </c>
      <c r="V208" s="15">
        <f t="shared" si="12"/>
        <v>3</v>
      </c>
      <c r="W208" s="15">
        <f t="shared" si="13"/>
        <v>23</v>
      </c>
      <c r="X208" s="16" t="str">
        <f t="shared" si="14"/>
        <v>Fechada</v>
      </c>
      <c r="Y208" s="16" t="str">
        <f t="shared" si="15"/>
        <v>Acusação tardia</v>
      </c>
    </row>
    <row r="209" spans="1:25" ht="15" customHeight="1" x14ac:dyDescent="0.3">
      <c r="A209" s="10" t="s">
        <v>827</v>
      </c>
      <c r="B209" s="11">
        <v>46373</v>
      </c>
      <c r="C209" s="10" t="s">
        <v>808</v>
      </c>
      <c r="D209" s="10" t="s">
        <v>113</v>
      </c>
      <c r="E209" s="10" t="s">
        <v>102</v>
      </c>
      <c r="F209" s="10" t="s">
        <v>636</v>
      </c>
      <c r="G209" s="10" t="s">
        <v>104</v>
      </c>
      <c r="H209" s="10" t="s">
        <v>828</v>
      </c>
      <c r="I209" s="10" t="s">
        <v>829</v>
      </c>
      <c r="J209" s="10" t="s">
        <v>107</v>
      </c>
      <c r="K209" s="10" t="s">
        <v>80</v>
      </c>
      <c r="L209" s="10" t="s">
        <v>132</v>
      </c>
      <c r="M209" s="12">
        <v>152</v>
      </c>
      <c r="N209" s="11">
        <v>46374</v>
      </c>
      <c r="O209" s="11">
        <v>46384</v>
      </c>
      <c r="P209" s="10" t="s">
        <v>109</v>
      </c>
      <c r="Q209" s="10" t="s">
        <v>110</v>
      </c>
      <c r="R209" s="10"/>
      <c r="S209" s="11"/>
      <c r="T209" s="13"/>
      <c r="U209" s="14">
        <v>78</v>
      </c>
      <c r="V209" s="15">
        <f t="shared" si="12"/>
        <v>1</v>
      </c>
      <c r="W209" s="15">
        <f t="shared" si="13"/>
        <v>14</v>
      </c>
      <c r="X209" s="16" t="str">
        <f t="shared" si="14"/>
        <v>Aberta</v>
      </c>
      <c r="Y209" s="16" t="str">
        <f t="shared" si="15"/>
        <v>OK</v>
      </c>
    </row>
    <row r="210" spans="1:25" ht="15" customHeight="1" x14ac:dyDescent="0.3">
      <c r="A210" s="10" t="s">
        <v>830</v>
      </c>
      <c r="B210" s="11">
        <v>46375</v>
      </c>
      <c r="C210" s="10" t="s">
        <v>808</v>
      </c>
      <c r="D210" s="10" t="s">
        <v>182</v>
      </c>
      <c r="E210" s="10" t="s">
        <v>122</v>
      </c>
      <c r="F210" s="10" t="s">
        <v>368</v>
      </c>
      <c r="G210" s="10" t="s">
        <v>152</v>
      </c>
      <c r="H210" s="10" t="s">
        <v>831</v>
      </c>
      <c r="I210" s="10" t="s">
        <v>832</v>
      </c>
      <c r="J210" s="10" t="s">
        <v>386</v>
      </c>
      <c r="K210" s="10" t="s">
        <v>80</v>
      </c>
      <c r="L210" s="10" t="s">
        <v>148</v>
      </c>
      <c r="M210" s="12">
        <v>98</v>
      </c>
      <c r="N210" s="11">
        <v>46379</v>
      </c>
      <c r="O210" s="11">
        <v>46378</v>
      </c>
      <c r="P210" s="10" t="s">
        <v>109</v>
      </c>
      <c r="Q210" s="10" t="s">
        <v>110</v>
      </c>
      <c r="R210" s="10"/>
      <c r="S210" s="11"/>
      <c r="T210" s="13"/>
      <c r="U210" s="14">
        <v>374.5</v>
      </c>
      <c r="V210" s="15">
        <f t="shared" si="12"/>
        <v>2</v>
      </c>
      <c r="W210" s="15">
        <f t="shared" si="13"/>
        <v>12</v>
      </c>
      <c r="X210" s="16" t="str">
        <f t="shared" si="14"/>
        <v>Aberta</v>
      </c>
      <c r="Y210" s="16" t="str">
        <f t="shared" si="15"/>
        <v>Crítica sem 8D</v>
      </c>
    </row>
    <row r="211" spans="1:25" ht="15" customHeight="1" x14ac:dyDescent="0.3">
      <c r="A211" s="10" t="s">
        <v>833</v>
      </c>
      <c r="B211" s="11">
        <v>46376</v>
      </c>
      <c r="C211" s="10" t="s">
        <v>808</v>
      </c>
      <c r="D211" s="10" t="s">
        <v>219</v>
      </c>
      <c r="E211" s="10" t="s">
        <v>135</v>
      </c>
      <c r="F211" s="10" t="s">
        <v>471</v>
      </c>
      <c r="G211" s="10" t="s">
        <v>152</v>
      </c>
      <c r="H211" s="10" t="s">
        <v>834</v>
      </c>
      <c r="I211" s="10" t="s">
        <v>835</v>
      </c>
      <c r="J211" s="10" t="s">
        <v>208</v>
      </c>
      <c r="K211" s="10" t="s">
        <v>80</v>
      </c>
      <c r="L211" s="10" t="s">
        <v>108</v>
      </c>
      <c r="M211" s="12">
        <v>175</v>
      </c>
      <c r="N211" s="11">
        <v>46379</v>
      </c>
      <c r="O211" s="11">
        <v>46381</v>
      </c>
      <c r="P211" s="10" t="s">
        <v>109</v>
      </c>
      <c r="Q211" s="10" t="s">
        <v>110</v>
      </c>
      <c r="R211" s="10"/>
      <c r="S211" s="11">
        <v>46381</v>
      </c>
      <c r="T211" s="13">
        <v>4</v>
      </c>
      <c r="U211" s="14">
        <v>163.75</v>
      </c>
      <c r="V211" s="15">
        <f t="shared" si="12"/>
        <v>2</v>
      </c>
      <c r="W211" s="15">
        <f t="shared" si="13"/>
        <v>5</v>
      </c>
      <c r="X211" s="16" t="str">
        <f t="shared" si="14"/>
        <v>Fechada</v>
      </c>
      <c r="Y211" s="16" t="str">
        <f t="shared" si="15"/>
        <v>OK</v>
      </c>
    </row>
    <row r="212" spans="1:25" ht="15" customHeight="1" x14ac:dyDescent="0.3">
      <c r="A212" s="10" t="s">
        <v>836</v>
      </c>
      <c r="B212" s="11">
        <v>46380</v>
      </c>
      <c r="C212" s="10" t="s">
        <v>808</v>
      </c>
      <c r="D212" s="10" t="s">
        <v>219</v>
      </c>
      <c r="E212" s="10" t="s">
        <v>102</v>
      </c>
      <c r="F212" s="10" t="s">
        <v>253</v>
      </c>
      <c r="G212" s="10" t="s">
        <v>152</v>
      </c>
      <c r="H212" s="10" t="s">
        <v>837</v>
      </c>
      <c r="I212" s="10" t="s">
        <v>838</v>
      </c>
      <c r="J212" s="10" t="s">
        <v>117</v>
      </c>
      <c r="K212" s="10" t="s">
        <v>118</v>
      </c>
      <c r="L212" s="10" t="s">
        <v>148</v>
      </c>
      <c r="M212" s="12">
        <v>3</v>
      </c>
      <c r="N212" s="11">
        <v>46381</v>
      </c>
      <c r="O212" s="11">
        <v>46384</v>
      </c>
      <c r="P212" s="10" t="s">
        <v>109</v>
      </c>
      <c r="Q212" s="10" t="s">
        <v>119</v>
      </c>
      <c r="R212" s="10"/>
      <c r="S212" s="11"/>
      <c r="T212" s="13"/>
      <c r="U212" s="14">
        <v>350.75</v>
      </c>
      <c r="V212" s="15">
        <f t="shared" si="12"/>
        <v>1</v>
      </c>
      <c r="W212" s="15">
        <f t="shared" si="13"/>
        <v>7</v>
      </c>
      <c r="X212" s="16" t="str">
        <f t="shared" si="14"/>
        <v>Aberta</v>
      </c>
      <c r="Y212" s="16" t="str">
        <f t="shared" si="15"/>
        <v>Crítica sem 8D</v>
      </c>
    </row>
    <row r="213" spans="1:25" ht="15" customHeight="1" x14ac:dyDescent="0.3">
      <c r="A213" s="10" t="s">
        <v>839</v>
      </c>
      <c r="B213" s="11">
        <v>46383</v>
      </c>
      <c r="C213" s="10" t="s">
        <v>808</v>
      </c>
      <c r="D213" s="10" t="s">
        <v>101</v>
      </c>
      <c r="E213" s="10" t="s">
        <v>102</v>
      </c>
      <c r="F213" s="10" t="s">
        <v>462</v>
      </c>
      <c r="G213" s="10" t="s">
        <v>152</v>
      </c>
      <c r="H213" s="10" t="s">
        <v>840</v>
      </c>
      <c r="I213" s="10"/>
      <c r="J213" s="10" t="s">
        <v>131</v>
      </c>
      <c r="K213" s="10" t="s">
        <v>118</v>
      </c>
      <c r="L213" s="10" t="s">
        <v>132</v>
      </c>
      <c r="M213" s="12">
        <v>12</v>
      </c>
      <c r="N213" s="11">
        <v>46384</v>
      </c>
      <c r="O213" s="11">
        <v>46387</v>
      </c>
      <c r="P213" s="10" t="s">
        <v>109</v>
      </c>
      <c r="Q213" s="10" t="s">
        <v>119</v>
      </c>
      <c r="R213" s="10"/>
      <c r="S213" s="11"/>
      <c r="T213" s="13"/>
      <c r="U213" s="14">
        <v>43</v>
      </c>
      <c r="V213" s="15">
        <f t="shared" si="12"/>
        <v>0</v>
      </c>
      <c r="W213" s="15">
        <f t="shared" si="13"/>
        <v>4</v>
      </c>
      <c r="X213" s="16" t="str">
        <f t="shared" si="14"/>
        <v>Aberta</v>
      </c>
      <c r="Y213" s="16" t="str">
        <f t="shared" si="15"/>
        <v>Sem encomenda (rastreio)</v>
      </c>
    </row>
    <row r="214" spans="1:25" ht="15" customHeight="1" x14ac:dyDescent="0.3">
      <c r="A214" s="10" t="s">
        <v>841</v>
      </c>
      <c r="B214" s="11">
        <v>46383</v>
      </c>
      <c r="C214" s="10" t="s">
        <v>808</v>
      </c>
      <c r="D214" s="10" t="s">
        <v>113</v>
      </c>
      <c r="E214" s="10" t="s">
        <v>102</v>
      </c>
      <c r="F214" s="10" t="s">
        <v>128</v>
      </c>
      <c r="G214" s="10" t="s">
        <v>104</v>
      </c>
      <c r="H214" s="10" t="s">
        <v>842</v>
      </c>
      <c r="I214" s="10" t="s">
        <v>843</v>
      </c>
      <c r="J214" s="10" t="s">
        <v>164</v>
      </c>
      <c r="K214" s="10" t="s">
        <v>118</v>
      </c>
      <c r="L214" s="10" t="s">
        <v>108</v>
      </c>
      <c r="M214" s="12">
        <v>35</v>
      </c>
      <c r="N214" s="11">
        <v>46384</v>
      </c>
      <c r="O214" s="11"/>
      <c r="P214" s="10" t="s">
        <v>250</v>
      </c>
      <c r="Q214" s="10" t="s">
        <v>251</v>
      </c>
      <c r="R214" s="10"/>
      <c r="S214" s="11"/>
      <c r="T214" s="13"/>
      <c r="U214" s="14">
        <v>128.75</v>
      </c>
      <c r="V214" s="15">
        <f t="shared" si="12"/>
        <v>0</v>
      </c>
      <c r="W214" s="15">
        <f t="shared" si="13"/>
        <v>4</v>
      </c>
      <c r="X214" s="16" t="str">
        <f t="shared" si="14"/>
        <v>Aberta</v>
      </c>
      <c r="Y214" s="16" t="str">
        <f t="shared" si="15"/>
        <v>OK</v>
      </c>
    </row>
  </sheetData>
  <conditionalFormatting sqref="L5:L414">
    <cfRule type="expression" dxfId="12" priority="4">
      <formula>ISNUMBER(SEARCH("Crítica",L5))</formula>
    </cfRule>
    <cfRule type="expression" dxfId="11" priority="5">
      <formula>ISNUMBER(SEARCH("Maior",L5))</formula>
    </cfRule>
  </conditionalFormatting>
  <conditionalFormatting sqref="X5:X414">
    <cfRule type="expression" dxfId="10" priority="1">
      <formula>ISNUMBER(SEARCH("Atrasada",X5))</formula>
    </cfRule>
    <cfRule type="expression" dxfId="9" priority="2">
      <formula>ISNUMBER(SEARCH("Aberta",X5))</formula>
    </cfRule>
    <cfRule type="expression" dxfId="8" priority="3">
      <formula>ISNUMBER(SEARCH("Fechada",X5))</formula>
    </cfRule>
  </conditionalFormatting>
  <conditionalFormatting sqref="Y5:Y414">
    <cfRule type="expression" dxfId="7" priority="6">
      <formula>ISNUMBER(SEARCH("tardia",Y5))</formula>
    </cfRule>
    <cfRule type="expression" dxfId="6" priority="7">
      <formula>ISNUMBER(SEARCH("sem 8D",Y5))</formula>
    </cfRule>
    <cfRule type="expression" dxfId="5" priority="8">
      <formula>ISNUMBER(SEARCH("Sem encomenda",Y5))</formula>
    </cfRule>
    <cfRule type="expression" dxfId="4" priority="9">
      <formula>ISNUMBER(SEARCH("OK",Y5))</formula>
    </cfRule>
  </conditionalFormatting>
  <dataValidations count="5">
    <dataValidation type="list" allowBlank="1" showErrorMessage="1" errorTitle="Valor inválido" error="Valor fora da lista controlada (ver folha Listas)." sqref="E5:E414" xr:uid="{00000000-0002-0000-0100-000000000000}">
      <formula1>lst_Canal</formula1>
    </dataValidation>
    <dataValidation type="list" allowBlank="1" showErrorMessage="1" errorTitle="Valor inválido" error="Valor fora da lista controlada (ver folha Listas)." sqref="G5:G414" xr:uid="{00000000-0002-0000-0100-000001000000}">
      <formula1>lst_Processo</formula1>
    </dataValidation>
    <dataValidation type="list" allowBlank="1" showErrorMessage="1" errorTitle="Valor inválido" error="Valor fora da lista controlada (ver folha Listas)." sqref="K5:K414" xr:uid="{00000000-0002-0000-0100-000002000000}">
      <formula1>lst_Natureza</formula1>
    </dataValidation>
    <dataValidation type="list" allowBlank="1" showErrorMessage="1" errorTitle="Valor inválido" error="Valor fora da lista controlada (ver folha Listas)." sqref="L5:L414" xr:uid="{00000000-0002-0000-0100-000003000000}">
      <formula1>lst_Severidade</formula1>
    </dataValidation>
    <dataValidation type="list" allowBlank="1" showErrorMessage="1" errorTitle="Valor inválido" error="Valor fora da lista controlada (ver folha Listas)." sqref="P5:P414" xr:uid="{00000000-0002-0000-0100-000004000000}">
      <formula1>lst_Decisao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04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9" customWidth="1"/>
    <col min="3" max="3" width="7" customWidth="1"/>
    <col min="4" max="4" width="36" customWidth="1"/>
    <col min="5" max="6" width="8" customWidth="1"/>
    <col min="7" max="7" width="7" customWidth="1"/>
    <col min="8" max="8" width="8" customWidth="1"/>
  </cols>
  <sheetData>
    <row r="1" spans="1:8" ht="26.4" x14ac:dyDescent="0.3">
      <c r="A1" s="8" t="s">
        <v>844</v>
      </c>
      <c r="B1" s="8" t="s">
        <v>78</v>
      </c>
      <c r="C1" s="8" t="s">
        <v>845</v>
      </c>
      <c r="D1" s="9" t="s">
        <v>846</v>
      </c>
      <c r="E1" s="8" t="s">
        <v>847</v>
      </c>
      <c r="F1" s="8" t="s">
        <v>848</v>
      </c>
      <c r="G1" s="9" t="s">
        <v>849</v>
      </c>
      <c r="H1" s="9" t="s">
        <v>850</v>
      </c>
    </row>
    <row r="2" spans="1:8" ht="15" customHeight="1" x14ac:dyDescent="0.3">
      <c r="A2" s="10" t="s">
        <v>319</v>
      </c>
      <c r="B2" s="10" t="s">
        <v>134</v>
      </c>
      <c r="C2" s="10" t="s">
        <v>851</v>
      </c>
      <c r="D2" s="16" t="str">
        <f>IFERROR(INDEX(tbl_atributos[Atributo],MATCH(C2,tbl_atributos[ID_Atributo],0)),"")</f>
        <v>Qualidade do produto (conformidade, defeitos)</v>
      </c>
      <c r="E2" s="13">
        <v>5</v>
      </c>
      <c r="F2" s="13">
        <v>4</v>
      </c>
      <c r="G2" s="15">
        <f t="shared" ref="G2:G65" si="0">E2-F2</f>
        <v>1</v>
      </c>
      <c r="H2" s="15">
        <f t="shared" ref="H2:H65" si="1">E2*F2</f>
        <v>20</v>
      </c>
    </row>
    <row r="3" spans="1:8" ht="15" customHeight="1" x14ac:dyDescent="0.3">
      <c r="A3" s="10" t="s">
        <v>319</v>
      </c>
      <c r="B3" s="10" t="s">
        <v>134</v>
      </c>
      <c r="C3" s="10" t="s">
        <v>852</v>
      </c>
      <c r="D3" s="16" t="str">
        <f>IFERROR(INDEX(tbl_atributos[Atributo],MATCH(C3,tbl_atributos[ID_Atributo],0)),"")</f>
        <v>Cumprimento de prazos e quantidades</v>
      </c>
      <c r="E3" s="13">
        <v>4</v>
      </c>
      <c r="F3" s="13">
        <v>3</v>
      </c>
      <c r="G3" s="15">
        <f t="shared" si="0"/>
        <v>1</v>
      </c>
      <c r="H3" s="15">
        <f t="shared" si="1"/>
        <v>12</v>
      </c>
    </row>
    <row r="4" spans="1:8" ht="15" customHeight="1" x14ac:dyDescent="0.3">
      <c r="A4" s="10" t="s">
        <v>319</v>
      </c>
      <c r="B4" s="10" t="s">
        <v>134</v>
      </c>
      <c r="C4" s="10" t="s">
        <v>853</v>
      </c>
      <c r="D4" s="16" t="str">
        <f>IFERROR(INDEX(tbl_atributos[Atributo],MATCH(C4,tbl_atributos[ID_Atributo],0)),"")</f>
        <v>Resposta a reclamações</v>
      </c>
      <c r="E4" s="13">
        <v>5</v>
      </c>
      <c r="F4" s="13">
        <v>4</v>
      </c>
      <c r="G4" s="15">
        <f t="shared" si="0"/>
        <v>1</v>
      </c>
      <c r="H4" s="15">
        <f t="shared" si="1"/>
        <v>20</v>
      </c>
    </row>
    <row r="5" spans="1:8" ht="15" customHeight="1" x14ac:dyDescent="0.3">
      <c r="A5" s="10" t="s">
        <v>319</v>
      </c>
      <c r="B5" s="10" t="s">
        <v>134</v>
      </c>
      <c r="C5" s="10" t="s">
        <v>854</v>
      </c>
      <c r="D5" s="16" t="str">
        <f>IFERROR(INDEX(tbl_atributos[Atributo],MATCH(C5,tbl_atributos[ID_Atributo],0)),"")</f>
        <v>Apoio técnico e desenvolvimento</v>
      </c>
      <c r="E5" s="13">
        <v>4</v>
      </c>
      <c r="F5" s="13">
        <v>4</v>
      </c>
      <c r="G5" s="15">
        <f t="shared" si="0"/>
        <v>0</v>
      </c>
      <c r="H5" s="15">
        <f t="shared" si="1"/>
        <v>16</v>
      </c>
    </row>
    <row r="6" spans="1:8" ht="15" customHeight="1" x14ac:dyDescent="0.3">
      <c r="A6" s="10" t="s">
        <v>319</v>
      </c>
      <c r="B6" s="10" t="s">
        <v>134</v>
      </c>
      <c r="C6" s="10" t="s">
        <v>855</v>
      </c>
      <c r="D6" s="16" t="str">
        <f>IFERROR(INDEX(tbl_atributos[Atributo],MATCH(C6,tbl_atributos[ID_Atributo],0)),"")</f>
        <v>Documentação e certificados (FCM, PPWR, CoC)</v>
      </c>
      <c r="E6" s="13">
        <v>4</v>
      </c>
      <c r="F6" s="13">
        <v>3</v>
      </c>
      <c r="G6" s="15">
        <f t="shared" si="0"/>
        <v>1</v>
      </c>
      <c r="H6" s="15">
        <f t="shared" si="1"/>
        <v>12</v>
      </c>
    </row>
    <row r="7" spans="1:8" ht="15" customHeight="1" x14ac:dyDescent="0.3">
      <c r="A7" s="10" t="s">
        <v>319</v>
      </c>
      <c r="B7" s="10" t="s">
        <v>134</v>
      </c>
      <c r="C7" s="10" t="s">
        <v>856</v>
      </c>
      <c r="D7" s="16" t="str">
        <f>IFERROR(INDEX(tbl_atributos[Atributo],MATCH(C7,tbl_atributos[ID_Atributo],0)),"")</f>
        <v>Comunicação comercial</v>
      </c>
      <c r="E7" s="13">
        <v>4</v>
      </c>
      <c r="F7" s="13">
        <v>4</v>
      </c>
      <c r="G7" s="15">
        <f t="shared" si="0"/>
        <v>0</v>
      </c>
      <c r="H7" s="15">
        <f t="shared" si="1"/>
        <v>16</v>
      </c>
    </row>
    <row r="8" spans="1:8" ht="15" customHeight="1" x14ac:dyDescent="0.3">
      <c r="A8" s="10" t="s">
        <v>319</v>
      </c>
      <c r="B8" s="10" t="s">
        <v>134</v>
      </c>
      <c r="C8" s="10" t="s">
        <v>857</v>
      </c>
      <c r="D8" s="16" t="str">
        <f>IFERROR(INDEX(tbl_atributos[Atributo],MATCH(C8,tbl_atributos[ID_Atributo],0)),"")</f>
        <v>Preço / valor</v>
      </c>
      <c r="E8" s="13">
        <v>4</v>
      </c>
      <c r="F8" s="13">
        <v>3</v>
      </c>
      <c r="G8" s="15">
        <f t="shared" si="0"/>
        <v>1</v>
      </c>
      <c r="H8" s="15">
        <f t="shared" si="1"/>
        <v>12</v>
      </c>
    </row>
    <row r="9" spans="1:8" ht="15" customHeight="1" x14ac:dyDescent="0.3">
      <c r="A9" s="10" t="s">
        <v>319</v>
      </c>
      <c r="B9" s="10" t="s">
        <v>144</v>
      </c>
      <c r="C9" s="10" t="s">
        <v>851</v>
      </c>
      <c r="D9" s="16" t="str">
        <f>IFERROR(INDEX(tbl_atributos[Atributo],MATCH(C9,tbl_atributos[ID_Atributo],0)),"")</f>
        <v>Qualidade do produto (conformidade, defeitos)</v>
      </c>
      <c r="E9" s="13">
        <v>5</v>
      </c>
      <c r="F9" s="13">
        <v>3</v>
      </c>
      <c r="G9" s="15">
        <f t="shared" si="0"/>
        <v>2</v>
      </c>
      <c r="H9" s="15">
        <f t="shared" si="1"/>
        <v>15</v>
      </c>
    </row>
    <row r="10" spans="1:8" ht="15" customHeight="1" x14ac:dyDescent="0.3">
      <c r="A10" s="10" t="s">
        <v>319</v>
      </c>
      <c r="B10" s="10" t="s">
        <v>144</v>
      </c>
      <c r="C10" s="10" t="s">
        <v>852</v>
      </c>
      <c r="D10" s="16" t="str">
        <f>IFERROR(INDEX(tbl_atributos[Atributo],MATCH(C10,tbl_atributos[ID_Atributo],0)),"")</f>
        <v>Cumprimento de prazos e quantidades</v>
      </c>
      <c r="E10" s="13">
        <v>5</v>
      </c>
      <c r="F10" s="13">
        <v>3</v>
      </c>
      <c r="G10" s="15">
        <f t="shared" si="0"/>
        <v>2</v>
      </c>
      <c r="H10" s="15">
        <f t="shared" si="1"/>
        <v>15</v>
      </c>
    </row>
    <row r="11" spans="1:8" ht="15" customHeight="1" x14ac:dyDescent="0.3">
      <c r="A11" s="10" t="s">
        <v>319</v>
      </c>
      <c r="B11" s="10" t="s">
        <v>144</v>
      </c>
      <c r="C11" s="10" t="s">
        <v>853</v>
      </c>
      <c r="D11" s="16" t="str">
        <f>IFERROR(INDEX(tbl_atributos[Atributo],MATCH(C11,tbl_atributos[ID_Atributo],0)),"")</f>
        <v>Resposta a reclamações</v>
      </c>
      <c r="E11" s="13">
        <v>5</v>
      </c>
      <c r="F11" s="13">
        <v>4</v>
      </c>
      <c r="G11" s="15">
        <f t="shared" si="0"/>
        <v>1</v>
      </c>
      <c r="H11" s="15">
        <f t="shared" si="1"/>
        <v>20</v>
      </c>
    </row>
    <row r="12" spans="1:8" ht="15" customHeight="1" x14ac:dyDescent="0.3">
      <c r="A12" s="10" t="s">
        <v>319</v>
      </c>
      <c r="B12" s="10" t="s">
        <v>144</v>
      </c>
      <c r="C12" s="10" t="s">
        <v>854</v>
      </c>
      <c r="D12" s="16" t="str">
        <f>IFERROR(INDEX(tbl_atributos[Atributo],MATCH(C12,tbl_atributos[ID_Atributo],0)),"")</f>
        <v>Apoio técnico e desenvolvimento</v>
      </c>
      <c r="E12" s="13">
        <v>4</v>
      </c>
      <c r="F12" s="13">
        <v>3</v>
      </c>
      <c r="G12" s="15">
        <f t="shared" si="0"/>
        <v>1</v>
      </c>
      <c r="H12" s="15">
        <f t="shared" si="1"/>
        <v>12</v>
      </c>
    </row>
    <row r="13" spans="1:8" ht="15" customHeight="1" x14ac:dyDescent="0.3">
      <c r="A13" s="10" t="s">
        <v>319</v>
      </c>
      <c r="B13" s="10" t="s">
        <v>144</v>
      </c>
      <c r="C13" s="10" t="s">
        <v>855</v>
      </c>
      <c r="D13" s="16" t="str">
        <f>IFERROR(INDEX(tbl_atributos[Atributo],MATCH(C13,tbl_atributos[ID_Atributo],0)),"")</f>
        <v>Documentação e certificados (FCM, PPWR, CoC)</v>
      </c>
      <c r="E13" s="13">
        <v>4</v>
      </c>
      <c r="F13" s="13">
        <v>4</v>
      </c>
      <c r="G13" s="15">
        <f t="shared" si="0"/>
        <v>0</v>
      </c>
      <c r="H13" s="15">
        <f t="shared" si="1"/>
        <v>16</v>
      </c>
    </row>
    <row r="14" spans="1:8" ht="15" customHeight="1" x14ac:dyDescent="0.3">
      <c r="A14" s="10" t="s">
        <v>319</v>
      </c>
      <c r="B14" s="10" t="s">
        <v>144</v>
      </c>
      <c r="C14" s="10" t="s">
        <v>856</v>
      </c>
      <c r="D14" s="16" t="str">
        <f>IFERROR(INDEX(tbl_atributos[Atributo],MATCH(C14,tbl_atributos[ID_Atributo],0)),"")</f>
        <v>Comunicação comercial</v>
      </c>
      <c r="E14" s="13">
        <v>4</v>
      </c>
      <c r="F14" s="13">
        <v>4</v>
      </c>
      <c r="G14" s="15">
        <f t="shared" si="0"/>
        <v>0</v>
      </c>
      <c r="H14" s="15">
        <f t="shared" si="1"/>
        <v>16</v>
      </c>
    </row>
    <row r="15" spans="1:8" ht="15" customHeight="1" x14ac:dyDescent="0.3">
      <c r="A15" s="10" t="s">
        <v>319</v>
      </c>
      <c r="B15" s="10" t="s">
        <v>144</v>
      </c>
      <c r="C15" s="10" t="s">
        <v>857</v>
      </c>
      <c r="D15" s="16" t="str">
        <f>IFERROR(INDEX(tbl_atributos[Atributo],MATCH(C15,tbl_atributos[ID_Atributo],0)),"")</f>
        <v>Preço / valor</v>
      </c>
      <c r="E15" s="13">
        <v>5</v>
      </c>
      <c r="F15" s="13">
        <v>4</v>
      </c>
      <c r="G15" s="15">
        <f t="shared" si="0"/>
        <v>1</v>
      </c>
      <c r="H15" s="15">
        <f t="shared" si="1"/>
        <v>20</v>
      </c>
    </row>
    <row r="16" spans="1:8" ht="15" customHeight="1" x14ac:dyDescent="0.3">
      <c r="A16" s="10" t="s">
        <v>319</v>
      </c>
      <c r="B16" s="10" t="s">
        <v>155</v>
      </c>
      <c r="C16" s="10" t="s">
        <v>851</v>
      </c>
      <c r="D16" s="16" t="str">
        <f>IFERROR(INDEX(tbl_atributos[Atributo],MATCH(C16,tbl_atributos[ID_Atributo],0)),"")</f>
        <v>Qualidade do produto (conformidade, defeitos)</v>
      </c>
      <c r="E16" s="13">
        <v>5</v>
      </c>
      <c r="F16" s="13">
        <v>3</v>
      </c>
      <c r="G16" s="15">
        <f t="shared" si="0"/>
        <v>2</v>
      </c>
      <c r="H16" s="15">
        <f t="shared" si="1"/>
        <v>15</v>
      </c>
    </row>
    <row r="17" spans="1:8" ht="15" customHeight="1" x14ac:dyDescent="0.3">
      <c r="A17" s="10" t="s">
        <v>319</v>
      </c>
      <c r="B17" s="10" t="s">
        <v>155</v>
      </c>
      <c r="C17" s="10" t="s">
        <v>852</v>
      </c>
      <c r="D17" s="16" t="str">
        <f>IFERROR(INDEX(tbl_atributos[Atributo],MATCH(C17,tbl_atributos[ID_Atributo],0)),"")</f>
        <v>Cumprimento de prazos e quantidades</v>
      </c>
      <c r="E17" s="13">
        <v>5</v>
      </c>
      <c r="F17" s="13">
        <v>3</v>
      </c>
      <c r="G17" s="15">
        <f t="shared" si="0"/>
        <v>2</v>
      </c>
      <c r="H17" s="15">
        <f t="shared" si="1"/>
        <v>15</v>
      </c>
    </row>
    <row r="18" spans="1:8" ht="15" customHeight="1" x14ac:dyDescent="0.3">
      <c r="A18" s="10" t="s">
        <v>319</v>
      </c>
      <c r="B18" s="10" t="s">
        <v>155</v>
      </c>
      <c r="C18" s="10" t="s">
        <v>853</v>
      </c>
      <c r="D18" s="16" t="str">
        <f>IFERROR(INDEX(tbl_atributos[Atributo],MATCH(C18,tbl_atributos[ID_Atributo],0)),"")</f>
        <v>Resposta a reclamações</v>
      </c>
      <c r="E18" s="13">
        <v>4</v>
      </c>
      <c r="F18" s="13">
        <v>3</v>
      </c>
      <c r="G18" s="15">
        <f t="shared" si="0"/>
        <v>1</v>
      </c>
      <c r="H18" s="15">
        <f t="shared" si="1"/>
        <v>12</v>
      </c>
    </row>
    <row r="19" spans="1:8" ht="15" customHeight="1" x14ac:dyDescent="0.3">
      <c r="A19" s="10" t="s">
        <v>319</v>
      </c>
      <c r="B19" s="10" t="s">
        <v>155</v>
      </c>
      <c r="C19" s="10" t="s">
        <v>854</v>
      </c>
      <c r="D19" s="16" t="str">
        <f>IFERROR(INDEX(tbl_atributos[Atributo],MATCH(C19,tbl_atributos[ID_Atributo],0)),"")</f>
        <v>Apoio técnico e desenvolvimento</v>
      </c>
      <c r="E19" s="13">
        <v>3</v>
      </c>
      <c r="F19" s="13">
        <v>3</v>
      </c>
      <c r="G19" s="15">
        <f t="shared" si="0"/>
        <v>0</v>
      </c>
      <c r="H19" s="15">
        <f t="shared" si="1"/>
        <v>9</v>
      </c>
    </row>
    <row r="20" spans="1:8" ht="15" customHeight="1" x14ac:dyDescent="0.3">
      <c r="A20" s="10" t="s">
        <v>319</v>
      </c>
      <c r="B20" s="10" t="s">
        <v>155</v>
      </c>
      <c r="C20" s="10" t="s">
        <v>855</v>
      </c>
      <c r="D20" s="16" t="str">
        <f>IFERROR(INDEX(tbl_atributos[Atributo],MATCH(C20,tbl_atributos[ID_Atributo],0)),"")</f>
        <v>Documentação e certificados (FCM, PPWR, CoC)</v>
      </c>
      <c r="E20" s="13">
        <v>4</v>
      </c>
      <c r="F20" s="13">
        <v>3</v>
      </c>
      <c r="G20" s="15">
        <f t="shared" si="0"/>
        <v>1</v>
      </c>
      <c r="H20" s="15">
        <f t="shared" si="1"/>
        <v>12</v>
      </c>
    </row>
    <row r="21" spans="1:8" ht="15" customHeight="1" x14ac:dyDescent="0.3">
      <c r="A21" s="10" t="s">
        <v>319</v>
      </c>
      <c r="B21" s="10" t="s">
        <v>155</v>
      </c>
      <c r="C21" s="10" t="s">
        <v>856</v>
      </c>
      <c r="D21" s="16" t="str">
        <f>IFERROR(INDEX(tbl_atributos[Atributo],MATCH(C21,tbl_atributos[ID_Atributo],0)),"")</f>
        <v>Comunicação comercial</v>
      </c>
      <c r="E21" s="13">
        <v>3</v>
      </c>
      <c r="F21" s="13">
        <v>4</v>
      </c>
      <c r="G21" s="15">
        <f t="shared" si="0"/>
        <v>-1</v>
      </c>
      <c r="H21" s="15">
        <f t="shared" si="1"/>
        <v>12</v>
      </c>
    </row>
    <row r="22" spans="1:8" ht="15" customHeight="1" x14ac:dyDescent="0.3">
      <c r="A22" s="10" t="s">
        <v>319</v>
      </c>
      <c r="B22" s="10" t="s">
        <v>155</v>
      </c>
      <c r="C22" s="10" t="s">
        <v>857</v>
      </c>
      <c r="D22" s="16" t="str">
        <f>IFERROR(INDEX(tbl_atributos[Atributo],MATCH(C22,tbl_atributos[ID_Atributo],0)),"")</f>
        <v>Preço / valor</v>
      </c>
      <c r="E22" s="13">
        <v>4</v>
      </c>
      <c r="F22" s="13">
        <v>4</v>
      </c>
      <c r="G22" s="15">
        <f t="shared" si="0"/>
        <v>0</v>
      </c>
      <c r="H22" s="15">
        <f t="shared" si="1"/>
        <v>16</v>
      </c>
    </row>
    <row r="23" spans="1:8" ht="15" customHeight="1" x14ac:dyDescent="0.3">
      <c r="A23" s="10" t="s">
        <v>319</v>
      </c>
      <c r="B23" s="10" t="s">
        <v>121</v>
      </c>
      <c r="C23" s="10" t="s">
        <v>851</v>
      </c>
      <c r="D23" s="16" t="str">
        <f>IFERROR(INDEX(tbl_atributos[Atributo],MATCH(C23,tbl_atributos[ID_Atributo],0)),"")</f>
        <v>Qualidade do produto (conformidade, defeitos)</v>
      </c>
      <c r="E23" s="13">
        <v>5</v>
      </c>
      <c r="F23" s="13">
        <v>4</v>
      </c>
      <c r="G23" s="15">
        <f t="shared" si="0"/>
        <v>1</v>
      </c>
      <c r="H23" s="15">
        <f t="shared" si="1"/>
        <v>20</v>
      </c>
    </row>
    <row r="24" spans="1:8" ht="15" customHeight="1" x14ac:dyDescent="0.3">
      <c r="A24" s="10" t="s">
        <v>319</v>
      </c>
      <c r="B24" s="10" t="s">
        <v>121</v>
      </c>
      <c r="C24" s="10" t="s">
        <v>852</v>
      </c>
      <c r="D24" s="16" t="str">
        <f>IFERROR(INDEX(tbl_atributos[Atributo],MATCH(C24,tbl_atributos[ID_Atributo],0)),"")</f>
        <v>Cumprimento de prazos e quantidades</v>
      </c>
      <c r="E24" s="13">
        <v>5</v>
      </c>
      <c r="F24" s="13">
        <v>3</v>
      </c>
      <c r="G24" s="15">
        <f t="shared" si="0"/>
        <v>2</v>
      </c>
      <c r="H24" s="15">
        <f t="shared" si="1"/>
        <v>15</v>
      </c>
    </row>
    <row r="25" spans="1:8" ht="15" customHeight="1" x14ac:dyDescent="0.3">
      <c r="A25" s="10" t="s">
        <v>319</v>
      </c>
      <c r="B25" s="10" t="s">
        <v>121</v>
      </c>
      <c r="C25" s="10" t="s">
        <v>853</v>
      </c>
      <c r="D25" s="16" t="str">
        <f>IFERROR(INDEX(tbl_atributos[Atributo],MATCH(C25,tbl_atributos[ID_Atributo],0)),"")</f>
        <v>Resposta a reclamações</v>
      </c>
      <c r="E25" s="13">
        <v>5</v>
      </c>
      <c r="F25" s="13">
        <v>4</v>
      </c>
      <c r="G25" s="15">
        <f t="shared" si="0"/>
        <v>1</v>
      </c>
      <c r="H25" s="15">
        <f t="shared" si="1"/>
        <v>20</v>
      </c>
    </row>
    <row r="26" spans="1:8" ht="15" customHeight="1" x14ac:dyDescent="0.3">
      <c r="A26" s="10" t="s">
        <v>319</v>
      </c>
      <c r="B26" s="10" t="s">
        <v>121</v>
      </c>
      <c r="C26" s="10" t="s">
        <v>854</v>
      </c>
      <c r="D26" s="16" t="str">
        <f>IFERROR(INDEX(tbl_atributos[Atributo],MATCH(C26,tbl_atributos[ID_Atributo],0)),"")</f>
        <v>Apoio técnico e desenvolvimento</v>
      </c>
      <c r="E26" s="13">
        <v>4</v>
      </c>
      <c r="F26" s="13">
        <v>4</v>
      </c>
      <c r="G26" s="15">
        <f t="shared" si="0"/>
        <v>0</v>
      </c>
      <c r="H26" s="15">
        <f t="shared" si="1"/>
        <v>16</v>
      </c>
    </row>
    <row r="27" spans="1:8" ht="15" customHeight="1" x14ac:dyDescent="0.3">
      <c r="A27" s="10" t="s">
        <v>319</v>
      </c>
      <c r="B27" s="10" t="s">
        <v>121</v>
      </c>
      <c r="C27" s="10" t="s">
        <v>855</v>
      </c>
      <c r="D27" s="16" t="str">
        <f>IFERROR(INDEX(tbl_atributos[Atributo],MATCH(C27,tbl_atributos[ID_Atributo],0)),"")</f>
        <v>Documentação e certificados (FCM, PPWR, CoC)</v>
      </c>
      <c r="E27" s="13">
        <v>3</v>
      </c>
      <c r="F27" s="13">
        <v>4</v>
      </c>
      <c r="G27" s="15">
        <f t="shared" si="0"/>
        <v>-1</v>
      </c>
      <c r="H27" s="15">
        <f t="shared" si="1"/>
        <v>12</v>
      </c>
    </row>
    <row r="28" spans="1:8" ht="15" customHeight="1" x14ac:dyDescent="0.3">
      <c r="A28" s="10" t="s">
        <v>319</v>
      </c>
      <c r="B28" s="10" t="s">
        <v>121</v>
      </c>
      <c r="C28" s="10" t="s">
        <v>856</v>
      </c>
      <c r="D28" s="16" t="str">
        <f>IFERROR(INDEX(tbl_atributos[Atributo],MATCH(C28,tbl_atributos[ID_Atributo],0)),"")</f>
        <v>Comunicação comercial</v>
      </c>
      <c r="E28" s="13">
        <v>4</v>
      </c>
      <c r="F28" s="13">
        <v>4</v>
      </c>
      <c r="G28" s="15">
        <f t="shared" si="0"/>
        <v>0</v>
      </c>
      <c r="H28" s="15">
        <f t="shared" si="1"/>
        <v>16</v>
      </c>
    </row>
    <row r="29" spans="1:8" ht="15" customHeight="1" x14ac:dyDescent="0.3">
      <c r="A29" s="10" t="s">
        <v>319</v>
      </c>
      <c r="B29" s="10" t="s">
        <v>121</v>
      </c>
      <c r="C29" s="10" t="s">
        <v>857</v>
      </c>
      <c r="D29" s="16" t="str">
        <f>IFERROR(INDEX(tbl_atributos[Atributo],MATCH(C29,tbl_atributos[ID_Atributo],0)),"")</f>
        <v>Preço / valor</v>
      </c>
      <c r="E29" s="13">
        <v>4</v>
      </c>
      <c r="F29" s="13">
        <v>4</v>
      </c>
      <c r="G29" s="15">
        <f t="shared" si="0"/>
        <v>0</v>
      </c>
      <c r="H29" s="15">
        <f t="shared" si="1"/>
        <v>16</v>
      </c>
    </row>
    <row r="30" spans="1:8" ht="15" customHeight="1" x14ac:dyDescent="0.3">
      <c r="A30" s="10" t="s">
        <v>319</v>
      </c>
      <c r="B30" s="10" t="s">
        <v>210</v>
      </c>
      <c r="C30" s="10" t="s">
        <v>851</v>
      </c>
      <c r="D30" s="16" t="str">
        <f>IFERROR(INDEX(tbl_atributos[Atributo],MATCH(C30,tbl_atributos[ID_Atributo],0)),"")</f>
        <v>Qualidade do produto (conformidade, defeitos)</v>
      </c>
      <c r="E30" s="13">
        <v>5</v>
      </c>
      <c r="F30" s="13">
        <v>4</v>
      </c>
      <c r="G30" s="15">
        <f t="shared" si="0"/>
        <v>1</v>
      </c>
      <c r="H30" s="15">
        <f t="shared" si="1"/>
        <v>20</v>
      </c>
    </row>
    <row r="31" spans="1:8" ht="15" customHeight="1" x14ac:dyDescent="0.3">
      <c r="A31" s="10" t="s">
        <v>319</v>
      </c>
      <c r="B31" s="10" t="s">
        <v>210</v>
      </c>
      <c r="C31" s="10" t="s">
        <v>852</v>
      </c>
      <c r="D31" s="16" t="str">
        <f>IFERROR(INDEX(tbl_atributos[Atributo],MATCH(C31,tbl_atributos[ID_Atributo],0)),"")</f>
        <v>Cumprimento de prazos e quantidades</v>
      </c>
      <c r="E31" s="13">
        <v>5</v>
      </c>
      <c r="F31" s="13">
        <v>2</v>
      </c>
      <c r="G31" s="15">
        <f t="shared" si="0"/>
        <v>3</v>
      </c>
      <c r="H31" s="15">
        <f t="shared" si="1"/>
        <v>10</v>
      </c>
    </row>
    <row r="32" spans="1:8" ht="15" customHeight="1" x14ac:dyDescent="0.3">
      <c r="A32" s="10" t="s">
        <v>319</v>
      </c>
      <c r="B32" s="10" t="s">
        <v>210</v>
      </c>
      <c r="C32" s="10" t="s">
        <v>853</v>
      </c>
      <c r="D32" s="16" t="str">
        <f>IFERROR(INDEX(tbl_atributos[Atributo],MATCH(C32,tbl_atributos[ID_Atributo],0)),"")</f>
        <v>Resposta a reclamações</v>
      </c>
      <c r="E32" s="13">
        <v>4</v>
      </c>
      <c r="F32" s="13">
        <v>3</v>
      </c>
      <c r="G32" s="15">
        <f t="shared" si="0"/>
        <v>1</v>
      </c>
      <c r="H32" s="15">
        <f t="shared" si="1"/>
        <v>12</v>
      </c>
    </row>
    <row r="33" spans="1:8" ht="15" customHeight="1" x14ac:dyDescent="0.3">
      <c r="A33" s="10" t="s">
        <v>319</v>
      </c>
      <c r="B33" s="10" t="s">
        <v>210</v>
      </c>
      <c r="C33" s="10" t="s">
        <v>854</v>
      </c>
      <c r="D33" s="16" t="str">
        <f>IFERROR(INDEX(tbl_atributos[Atributo],MATCH(C33,tbl_atributos[ID_Atributo],0)),"")</f>
        <v>Apoio técnico e desenvolvimento</v>
      </c>
      <c r="E33" s="13">
        <v>4</v>
      </c>
      <c r="F33" s="13">
        <v>4</v>
      </c>
      <c r="G33" s="15">
        <f t="shared" si="0"/>
        <v>0</v>
      </c>
      <c r="H33" s="15">
        <f t="shared" si="1"/>
        <v>16</v>
      </c>
    </row>
    <row r="34" spans="1:8" ht="15" customHeight="1" x14ac:dyDescent="0.3">
      <c r="A34" s="10" t="s">
        <v>319</v>
      </c>
      <c r="B34" s="10" t="s">
        <v>210</v>
      </c>
      <c r="C34" s="10" t="s">
        <v>855</v>
      </c>
      <c r="D34" s="16" t="str">
        <f>IFERROR(INDEX(tbl_atributos[Atributo],MATCH(C34,tbl_atributos[ID_Atributo],0)),"")</f>
        <v>Documentação e certificados (FCM, PPWR, CoC)</v>
      </c>
      <c r="E34" s="13">
        <v>4</v>
      </c>
      <c r="F34" s="13">
        <v>3</v>
      </c>
      <c r="G34" s="15">
        <f t="shared" si="0"/>
        <v>1</v>
      </c>
      <c r="H34" s="15">
        <f t="shared" si="1"/>
        <v>12</v>
      </c>
    </row>
    <row r="35" spans="1:8" ht="15" customHeight="1" x14ac:dyDescent="0.3">
      <c r="A35" s="10" t="s">
        <v>319</v>
      </c>
      <c r="B35" s="10" t="s">
        <v>210</v>
      </c>
      <c r="C35" s="10" t="s">
        <v>856</v>
      </c>
      <c r="D35" s="16" t="str">
        <f>IFERROR(INDEX(tbl_atributos[Atributo],MATCH(C35,tbl_atributos[ID_Atributo],0)),"")</f>
        <v>Comunicação comercial</v>
      </c>
      <c r="E35" s="13">
        <v>4</v>
      </c>
      <c r="F35" s="13">
        <v>3</v>
      </c>
      <c r="G35" s="15">
        <f t="shared" si="0"/>
        <v>1</v>
      </c>
      <c r="H35" s="15">
        <f t="shared" si="1"/>
        <v>12</v>
      </c>
    </row>
    <row r="36" spans="1:8" ht="15" customHeight="1" x14ac:dyDescent="0.3">
      <c r="A36" s="10" t="s">
        <v>319</v>
      </c>
      <c r="B36" s="10" t="s">
        <v>210</v>
      </c>
      <c r="C36" s="10" t="s">
        <v>857</v>
      </c>
      <c r="D36" s="16" t="str">
        <f>IFERROR(INDEX(tbl_atributos[Atributo],MATCH(C36,tbl_atributos[ID_Atributo],0)),"")</f>
        <v>Preço / valor</v>
      </c>
      <c r="E36" s="13">
        <v>4</v>
      </c>
      <c r="F36" s="13">
        <v>4</v>
      </c>
      <c r="G36" s="15">
        <f t="shared" si="0"/>
        <v>0</v>
      </c>
      <c r="H36" s="15">
        <f t="shared" si="1"/>
        <v>16</v>
      </c>
    </row>
    <row r="37" spans="1:8" ht="15" customHeight="1" x14ac:dyDescent="0.3">
      <c r="A37" s="10" t="s">
        <v>319</v>
      </c>
      <c r="B37" s="10" t="s">
        <v>328</v>
      </c>
      <c r="C37" s="10" t="s">
        <v>851</v>
      </c>
      <c r="D37" s="16" t="str">
        <f>IFERROR(INDEX(tbl_atributos[Atributo],MATCH(C37,tbl_atributos[ID_Atributo],0)),"")</f>
        <v>Qualidade do produto (conformidade, defeitos)</v>
      </c>
      <c r="E37" s="13">
        <v>4</v>
      </c>
      <c r="F37" s="13">
        <v>4</v>
      </c>
      <c r="G37" s="15">
        <f t="shared" si="0"/>
        <v>0</v>
      </c>
      <c r="H37" s="15">
        <f t="shared" si="1"/>
        <v>16</v>
      </c>
    </row>
    <row r="38" spans="1:8" ht="15" customHeight="1" x14ac:dyDescent="0.3">
      <c r="A38" s="10" t="s">
        <v>319</v>
      </c>
      <c r="B38" s="10" t="s">
        <v>328</v>
      </c>
      <c r="C38" s="10" t="s">
        <v>852</v>
      </c>
      <c r="D38" s="16" t="str">
        <f>IFERROR(INDEX(tbl_atributos[Atributo],MATCH(C38,tbl_atributos[ID_Atributo],0)),"")</f>
        <v>Cumprimento de prazos e quantidades</v>
      </c>
      <c r="E38" s="13">
        <v>5</v>
      </c>
      <c r="F38" s="13">
        <v>4</v>
      </c>
      <c r="G38" s="15">
        <f t="shared" si="0"/>
        <v>1</v>
      </c>
      <c r="H38" s="15">
        <f t="shared" si="1"/>
        <v>20</v>
      </c>
    </row>
    <row r="39" spans="1:8" ht="15" customHeight="1" x14ac:dyDescent="0.3">
      <c r="A39" s="10" t="s">
        <v>319</v>
      </c>
      <c r="B39" s="10" t="s">
        <v>328</v>
      </c>
      <c r="C39" s="10" t="s">
        <v>853</v>
      </c>
      <c r="D39" s="16" t="str">
        <f>IFERROR(INDEX(tbl_atributos[Atributo],MATCH(C39,tbl_atributos[ID_Atributo],0)),"")</f>
        <v>Resposta a reclamações</v>
      </c>
      <c r="E39" s="13">
        <v>5</v>
      </c>
      <c r="F39" s="13">
        <v>4</v>
      </c>
      <c r="G39" s="15">
        <f t="shared" si="0"/>
        <v>1</v>
      </c>
      <c r="H39" s="15">
        <f t="shared" si="1"/>
        <v>20</v>
      </c>
    </row>
    <row r="40" spans="1:8" ht="15" customHeight="1" x14ac:dyDescent="0.3">
      <c r="A40" s="10" t="s">
        <v>319</v>
      </c>
      <c r="B40" s="10" t="s">
        <v>328</v>
      </c>
      <c r="C40" s="10" t="s">
        <v>854</v>
      </c>
      <c r="D40" s="16" t="str">
        <f>IFERROR(INDEX(tbl_atributos[Atributo],MATCH(C40,tbl_atributos[ID_Atributo],0)),"")</f>
        <v>Apoio técnico e desenvolvimento</v>
      </c>
      <c r="E40" s="13">
        <v>4</v>
      </c>
      <c r="F40" s="13">
        <v>4</v>
      </c>
      <c r="G40" s="15">
        <f t="shared" si="0"/>
        <v>0</v>
      </c>
      <c r="H40" s="15">
        <f t="shared" si="1"/>
        <v>16</v>
      </c>
    </row>
    <row r="41" spans="1:8" ht="15" customHeight="1" x14ac:dyDescent="0.3">
      <c r="A41" s="10" t="s">
        <v>319</v>
      </c>
      <c r="B41" s="10" t="s">
        <v>328</v>
      </c>
      <c r="C41" s="10" t="s">
        <v>855</v>
      </c>
      <c r="D41" s="16" t="str">
        <f>IFERROR(INDEX(tbl_atributos[Atributo],MATCH(C41,tbl_atributos[ID_Atributo],0)),"")</f>
        <v>Documentação e certificados (FCM, PPWR, CoC)</v>
      </c>
      <c r="E41" s="13">
        <v>4</v>
      </c>
      <c r="F41" s="13">
        <v>4</v>
      </c>
      <c r="G41" s="15">
        <f t="shared" si="0"/>
        <v>0</v>
      </c>
      <c r="H41" s="15">
        <f t="shared" si="1"/>
        <v>16</v>
      </c>
    </row>
    <row r="42" spans="1:8" ht="15" customHeight="1" x14ac:dyDescent="0.3">
      <c r="A42" s="10" t="s">
        <v>319</v>
      </c>
      <c r="B42" s="10" t="s">
        <v>328</v>
      </c>
      <c r="C42" s="10" t="s">
        <v>856</v>
      </c>
      <c r="D42" s="16" t="str">
        <f>IFERROR(INDEX(tbl_atributos[Atributo],MATCH(C42,tbl_atributos[ID_Atributo],0)),"")</f>
        <v>Comunicação comercial</v>
      </c>
      <c r="E42" s="13">
        <v>4</v>
      </c>
      <c r="F42" s="13">
        <v>4</v>
      </c>
      <c r="G42" s="15">
        <f t="shared" si="0"/>
        <v>0</v>
      </c>
      <c r="H42" s="15">
        <f t="shared" si="1"/>
        <v>16</v>
      </c>
    </row>
    <row r="43" spans="1:8" ht="15" customHeight="1" x14ac:dyDescent="0.3">
      <c r="A43" s="10" t="s">
        <v>319</v>
      </c>
      <c r="B43" s="10" t="s">
        <v>328</v>
      </c>
      <c r="C43" s="10" t="s">
        <v>857</v>
      </c>
      <c r="D43" s="16" t="str">
        <f>IFERROR(INDEX(tbl_atributos[Atributo],MATCH(C43,tbl_atributos[ID_Atributo],0)),"")</f>
        <v>Preço / valor</v>
      </c>
      <c r="E43" s="13">
        <v>4</v>
      </c>
      <c r="F43" s="13">
        <v>4</v>
      </c>
      <c r="G43" s="15">
        <f t="shared" si="0"/>
        <v>0</v>
      </c>
      <c r="H43" s="15">
        <f t="shared" si="1"/>
        <v>16</v>
      </c>
    </row>
    <row r="44" spans="1:8" ht="15" customHeight="1" x14ac:dyDescent="0.3">
      <c r="A44" s="10" t="s">
        <v>319</v>
      </c>
      <c r="B44" s="10" t="s">
        <v>139</v>
      </c>
      <c r="C44" s="10" t="s">
        <v>851</v>
      </c>
      <c r="D44" s="16" t="str">
        <f>IFERROR(INDEX(tbl_atributos[Atributo],MATCH(C44,tbl_atributos[ID_Atributo],0)),"")</f>
        <v>Qualidade do produto (conformidade, defeitos)</v>
      </c>
      <c r="E44" s="13">
        <v>5</v>
      </c>
      <c r="F44" s="13">
        <v>3</v>
      </c>
      <c r="G44" s="15">
        <f t="shared" si="0"/>
        <v>2</v>
      </c>
      <c r="H44" s="15">
        <f t="shared" si="1"/>
        <v>15</v>
      </c>
    </row>
    <row r="45" spans="1:8" ht="15" customHeight="1" x14ac:dyDescent="0.3">
      <c r="A45" s="10" t="s">
        <v>319</v>
      </c>
      <c r="B45" s="10" t="s">
        <v>139</v>
      </c>
      <c r="C45" s="10" t="s">
        <v>852</v>
      </c>
      <c r="D45" s="16" t="str">
        <f>IFERROR(INDEX(tbl_atributos[Atributo],MATCH(C45,tbl_atributos[ID_Atributo],0)),"")</f>
        <v>Cumprimento de prazos e quantidades</v>
      </c>
      <c r="E45" s="13">
        <v>5</v>
      </c>
      <c r="F45" s="13">
        <v>3</v>
      </c>
      <c r="G45" s="15">
        <f t="shared" si="0"/>
        <v>2</v>
      </c>
      <c r="H45" s="15">
        <f t="shared" si="1"/>
        <v>15</v>
      </c>
    </row>
    <row r="46" spans="1:8" ht="15" customHeight="1" x14ac:dyDescent="0.3">
      <c r="A46" s="10" t="s">
        <v>319</v>
      </c>
      <c r="B46" s="10" t="s">
        <v>139</v>
      </c>
      <c r="C46" s="10" t="s">
        <v>853</v>
      </c>
      <c r="D46" s="16" t="str">
        <f>IFERROR(INDEX(tbl_atributos[Atributo],MATCH(C46,tbl_atributos[ID_Atributo],0)),"")</f>
        <v>Resposta a reclamações</v>
      </c>
      <c r="E46" s="13">
        <v>4</v>
      </c>
      <c r="F46" s="13">
        <v>3</v>
      </c>
      <c r="G46" s="15">
        <f t="shared" si="0"/>
        <v>1</v>
      </c>
      <c r="H46" s="15">
        <f t="shared" si="1"/>
        <v>12</v>
      </c>
    </row>
    <row r="47" spans="1:8" ht="15" customHeight="1" x14ac:dyDescent="0.3">
      <c r="A47" s="10" t="s">
        <v>319</v>
      </c>
      <c r="B47" s="10" t="s">
        <v>139</v>
      </c>
      <c r="C47" s="10" t="s">
        <v>854</v>
      </c>
      <c r="D47" s="16" t="str">
        <f>IFERROR(INDEX(tbl_atributos[Atributo],MATCH(C47,tbl_atributos[ID_Atributo],0)),"")</f>
        <v>Apoio técnico e desenvolvimento</v>
      </c>
      <c r="E47" s="13">
        <v>4</v>
      </c>
      <c r="F47" s="13">
        <v>4</v>
      </c>
      <c r="G47" s="15">
        <f t="shared" si="0"/>
        <v>0</v>
      </c>
      <c r="H47" s="15">
        <f t="shared" si="1"/>
        <v>16</v>
      </c>
    </row>
    <row r="48" spans="1:8" ht="15" customHeight="1" x14ac:dyDescent="0.3">
      <c r="A48" s="10" t="s">
        <v>319</v>
      </c>
      <c r="B48" s="10" t="s">
        <v>139</v>
      </c>
      <c r="C48" s="10" t="s">
        <v>855</v>
      </c>
      <c r="D48" s="16" t="str">
        <f>IFERROR(INDEX(tbl_atributos[Atributo],MATCH(C48,tbl_atributos[ID_Atributo],0)),"")</f>
        <v>Documentação e certificados (FCM, PPWR, CoC)</v>
      </c>
      <c r="E48" s="13">
        <v>4</v>
      </c>
      <c r="F48" s="13">
        <v>4</v>
      </c>
      <c r="G48" s="15">
        <f t="shared" si="0"/>
        <v>0</v>
      </c>
      <c r="H48" s="15">
        <f t="shared" si="1"/>
        <v>16</v>
      </c>
    </row>
    <row r="49" spans="1:8" ht="15" customHeight="1" x14ac:dyDescent="0.3">
      <c r="A49" s="10" t="s">
        <v>319</v>
      </c>
      <c r="B49" s="10" t="s">
        <v>139</v>
      </c>
      <c r="C49" s="10" t="s">
        <v>856</v>
      </c>
      <c r="D49" s="16" t="str">
        <f>IFERROR(INDEX(tbl_atributos[Atributo],MATCH(C49,tbl_atributos[ID_Atributo],0)),"")</f>
        <v>Comunicação comercial</v>
      </c>
      <c r="E49" s="13">
        <v>3</v>
      </c>
      <c r="F49" s="13">
        <v>4</v>
      </c>
      <c r="G49" s="15">
        <f t="shared" si="0"/>
        <v>-1</v>
      </c>
      <c r="H49" s="15">
        <f t="shared" si="1"/>
        <v>12</v>
      </c>
    </row>
    <row r="50" spans="1:8" ht="15" customHeight="1" x14ac:dyDescent="0.3">
      <c r="A50" s="10" t="s">
        <v>319</v>
      </c>
      <c r="B50" s="10" t="s">
        <v>139</v>
      </c>
      <c r="C50" s="10" t="s">
        <v>857</v>
      </c>
      <c r="D50" s="16" t="str">
        <f>IFERROR(INDEX(tbl_atributos[Atributo],MATCH(C50,tbl_atributos[ID_Atributo],0)),"")</f>
        <v>Preço / valor</v>
      </c>
      <c r="E50" s="13">
        <v>4</v>
      </c>
      <c r="F50" s="13">
        <v>4</v>
      </c>
      <c r="G50" s="15">
        <f t="shared" si="0"/>
        <v>0</v>
      </c>
      <c r="H50" s="15">
        <f t="shared" si="1"/>
        <v>16</v>
      </c>
    </row>
    <row r="51" spans="1:8" ht="15" customHeight="1" x14ac:dyDescent="0.3">
      <c r="A51" s="10" t="s">
        <v>319</v>
      </c>
      <c r="B51" s="10" t="s">
        <v>101</v>
      </c>
      <c r="C51" s="10" t="s">
        <v>851</v>
      </c>
      <c r="D51" s="16" t="str">
        <f>IFERROR(INDEX(tbl_atributos[Atributo],MATCH(C51,tbl_atributos[ID_Atributo],0)),"")</f>
        <v>Qualidade do produto (conformidade, defeitos)</v>
      </c>
      <c r="E51" s="13">
        <v>5</v>
      </c>
      <c r="F51" s="13">
        <v>4</v>
      </c>
      <c r="G51" s="15">
        <f t="shared" si="0"/>
        <v>1</v>
      </c>
      <c r="H51" s="15">
        <f t="shared" si="1"/>
        <v>20</v>
      </c>
    </row>
    <row r="52" spans="1:8" ht="15" customHeight="1" x14ac:dyDescent="0.3">
      <c r="A52" s="10" t="s">
        <v>319</v>
      </c>
      <c r="B52" s="10" t="s">
        <v>101</v>
      </c>
      <c r="C52" s="10" t="s">
        <v>852</v>
      </c>
      <c r="D52" s="16" t="str">
        <f>IFERROR(INDEX(tbl_atributos[Atributo],MATCH(C52,tbl_atributos[ID_Atributo],0)),"")</f>
        <v>Cumprimento de prazos e quantidades</v>
      </c>
      <c r="E52" s="13">
        <v>5</v>
      </c>
      <c r="F52" s="13">
        <v>3</v>
      </c>
      <c r="G52" s="15">
        <f t="shared" si="0"/>
        <v>2</v>
      </c>
      <c r="H52" s="15">
        <f t="shared" si="1"/>
        <v>15</v>
      </c>
    </row>
    <row r="53" spans="1:8" ht="15" customHeight="1" x14ac:dyDescent="0.3">
      <c r="A53" s="10" t="s">
        <v>319</v>
      </c>
      <c r="B53" s="10" t="s">
        <v>101</v>
      </c>
      <c r="C53" s="10" t="s">
        <v>853</v>
      </c>
      <c r="D53" s="16" t="str">
        <f>IFERROR(INDEX(tbl_atributos[Atributo],MATCH(C53,tbl_atributos[ID_Atributo],0)),"")</f>
        <v>Resposta a reclamações</v>
      </c>
      <c r="E53" s="13">
        <v>3</v>
      </c>
      <c r="F53" s="13">
        <v>4</v>
      </c>
      <c r="G53" s="15">
        <f t="shared" si="0"/>
        <v>-1</v>
      </c>
      <c r="H53" s="15">
        <f t="shared" si="1"/>
        <v>12</v>
      </c>
    </row>
    <row r="54" spans="1:8" ht="15" customHeight="1" x14ac:dyDescent="0.3">
      <c r="A54" s="10" t="s">
        <v>319</v>
      </c>
      <c r="B54" s="10" t="s">
        <v>101</v>
      </c>
      <c r="C54" s="10" t="s">
        <v>854</v>
      </c>
      <c r="D54" s="16" t="str">
        <f>IFERROR(INDEX(tbl_atributos[Atributo],MATCH(C54,tbl_atributos[ID_Atributo],0)),"")</f>
        <v>Apoio técnico e desenvolvimento</v>
      </c>
      <c r="E54" s="13">
        <v>5</v>
      </c>
      <c r="F54" s="13">
        <v>4</v>
      </c>
      <c r="G54" s="15">
        <f t="shared" si="0"/>
        <v>1</v>
      </c>
      <c r="H54" s="15">
        <f t="shared" si="1"/>
        <v>20</v>
      </c>
    </row>
    <row r="55" spans="1:8" ht="15" customHeight="1" x14ac:dyDescent="0.3">
      <c r="A55" s="10" t="s">
        <v>319</v>
      </c>
      <c r="B55" s="10" t="s">
        <v>101</v>
      </c>
      <c r="C55" s="10" t="s">
        <v>855</v>
      </c>
      <c r="D55" s="16" t="str">
        <f>IFERROR(INDEX(tbl_atributos[Atributo],MATCH(C55,tbl_atributos[ID_Atributo],0)),"")</f>
        <v>Documentação e certificados (FCM, PPWR, CoC)</v>
      </c>
      <c r="E55" s="13">
        <v>4</v>
      </c>
      <c r="F55" s="13">
        <v>3</v>
      </c>
      <c r="G55" s="15">
        <f t="shared" si="0"/>
        <v>1</v>
      </c>
      <c r="H55" s="15">
        <f t="shared" si="1"/>
        <v>12</v>
      </c>
    </row>
    <row r="56" spans="1:8" ht="15" customHeight="1" x14ac:dyDescent="0.3">
      <c r="A56" s="10" t="s">
        <v>319</v>
      </c>
      <c r="B56" s="10" t="s">
        <v>101</v>
      </c>
      <c r="C56" s="10" t="s">
        <v>856</v>
      </c>
      <c r="D56" s="16" t="str">
        <f>IFERROR(INDEX(tbl_atributos[Atributo],MATCH(C56,tbl_atributos[ID_Atributo],0)),"")</f>
        <v>Comunicação comercial</v>
      </c>
      <c r="E56" s="13">
        <v>3</v>
      </c>
      <c r="F56" s="13">
        <v>4</v>
      </c>
      <c r="G56" s="15">
        <f t="shared" si="0"/>
        <v>-1</v>
      </c>
      <c r="H56" s="15">
        <f t="shared" si="1"/>
        <v>12</v>
      </c>
    </row>
    <row r="57" spans="1:8" ht="15" customHeight="1" x14ac:dyDescent="0.3">
      <c r="A57" s="10" t="s">
        <v>319</v>
      </c>
      <c r="B57" s="10" t="s">
        <v>101</v>
      </c>
      <c r="C57" s="10" t="s">
        <v>857</v>
      </c>
      <c r="D57" s="16" t="str">
        <f>IFERROR(INDEX(tbl_atributos[Atributo],MATCH(C57,tbl_atributos[ID_Atributo],0)),"")</f>
        <v>Preço / valor</v>
      </c>
      <c r="E57" s="13">
        <v>4</v>
      </c>
      <c r="F57" s="13">
        <v>4</v>
      </c>
      <c r="G57" s="15">
        <f t="shared" si="0"/>
        <v>0</v>
      </c>
      <c r="H57" s="15">
        <f t="shared" si="1"/>
        <v>16</v>
      </c>
    </row>
    <row r="58" spans="1:8" ht="15" customHeight="1" x14ac:dyDescent="0.3">
      <c r="A58" s="10" t="s">
        <v>319</v>
      </c>
      <c r="B58" s="10" t="s">
        <v>182</v>
      </c>
      <c r="C58" s="10" t="s">
        <v>851</v>
      </c>
      <c r="D58" s="16" t="str">
        <f>IFERROR(INDEX(tbl_atributos[Atributo],MATCH(C58,tbl_atributos[ID_Atributo],0)),"")</f>
        <v>Qualidade do produto (conformidade, defeitos)</v>
      </c>
      <c r="E58" s="13">
        <v>5</v>
      </c>
      <c r="F58" s="13">
        <v>3</v>
      </c>
      <c r="G58" s="15">
        <f t="shared" si="0"/>
        <v>2</v>
      </c>
      <c r="H58" s="15">
        <f t="shared" si="1"/>
        <v>15</v>
      </c>
    </row>
    <row r="59" spans="1:8" ht="15" customHeight="1" x14ac:dyDescent="0.3">
      <c r="A59" s="10" t="s">
        <v>319</v>
      </c>
      <c r="B59" s="10" t="s">
        <v>182</v>
      </c>
      <c r="C59" s="10" t="s">
        <v>852</v>
      </c>
      <c r="D59" s="16" t="str">
        <f>IFERROR(INDEX(tbl_atributos[Atributo],MATCH(C59,tbl_atributos[ID_Atributo],0)),"")</f>
        <v>Cumprimento de prazos e quantidades</v>
      </c>
      <c r="E59" s="13">
        <v>5</v>
      </c>
      <c r="F59" s="13">
        <v>3</v>
      </c>
      <c r="G59" s="15">
        <f t="shared" si="0"/>
        <v>2</v>
      </c>
      <c r="H59" s="15">
        <f t="shared" si="1"/>
        <v>15</v>
      </c>
    </row>
    <row r="60" spans="1:8" ht="15" customHeight="1" x14ac:dyDescent="0.3">
      <c r="A60" s="10" t="s">
        <v>319</v>
      </c>
      <c r="B60" s="10" t="s">
        <v>182</v>
      </c>
      <c r="C60" s="10" t="s">
        <v>853</v>
      </c>
      <c r="D60" s="16" t="str">
        <f>IFERROR(INDEX(tbl_atributos[Atributo],MATCH(C60,tbl_atributos[ID_Atributo],0)),"")</f>
        <v>Resposta a reclamações</v>
      </c>
      <c r="E60" s="13">
        <v>4</v>
      </c>
      <c r="F60" s="13">
        <v>3</v>
      </c>
      <c r="G60" s="15">
        <f t="shared" si="0"/>
        <v>1</v>
      </c>
      <c r="H60" s="15">
        <f t="shared" si="1"/>
        <v>12</v>
      </c>
    </row>
    <row r="61" spans="1:8" ht="15" customHeight="1" x14ac:dyDescent="0.3">
      <c r="A61" s="10" t="s">
        <v>319</v>
      </c>
      <c r="B61" s="10" t="s">
        <v>182</v>
      </c>
      <c r="C61" s="10" t="s">
        <v>854</v>
      </c>
      <c r="D61" s="16" t="str">
        <f>IFERROR(INDEX(tbl_atributos[Atributo],MATCH(C61,tbl_atributos[ID_Atributo],0)),"")</f>
        <v>Apoio técnico e desenvolvimento</v>
      </c>
      <c r="E61" s="13">
        <v>4</v>
      </c>
      <c r="F61" s="13">
        <v>4</v>
      </c>
      <c r="G61" s="15">
        <f t="shared" si="0"/>
        <v>0</v>
      </c>
      <c r="H61" s="15">
        <f t="shared" si="1"/>
        <v>16</v>
      </c>
    </row>
    <row r="62" spans="1:8" ht="15" customHeight="1" x14ac:dyDescent="0.3">
      <c r="A62" s="10" t="s">
        <v>319</v>
      </c>
      <c r="B62" s="10" t="s">
        <v>182</v>
      </c>
      <c r="C62" s="10" t="s">
        <v>855</v>
      </c>
      <c r="D62" s="16" t="str">
        <f>IFERROR(INDEX(tbl_atributos[Atributo],MATCH(C62,tbl_atributos[ID_Atributo],0)),"")</f>
        <v>Documentação e certificados (FCM, PPWR, CoC)</v>
      </c>
      <c r="E62" s="13">
        <v>4</v>
      </c>
      <c r="F62" s="13">
        <v>4</v>
      </c>
      <c r="G62" s="15">
        <f t="shared" si="0"/>
        <v>0</v>
      </c>
      <c r="H62" s="15">
        <f t="shared" si="1"/>
        <v>16</v>
      </c>
    </row>
    <row r="63" spans="1:8" ht="15" customHeight="1" x14ac:dyDescent="0.3">
      <c r="A63" s="10" t="s">
        <v>319</v>
      </c>
      <c r="B63" s="10" t="s">
        <v>182</v>
      </c>
      <c r="C63" s="10" t="s">
        <v>856</v>
      </c>
      <c r="D63" s="16" t="str">
        <f>IFERROR(INDEX(tbl_atributos[Atributo],MATCH(C63,tbl_atributos[ID_Atributo],0)),"")</f>
        <v>Comunicação comercial</v>
      </c>
      <c r="E63" s="13">
        <v>3</v>
      </c>
      <c r="F63" s="13">
        <v>4</v>
      </c>
      <c r="G63" s="15">
        <f t="shared" si="0"/>
        <v>-1</v>
      </c>
      <c r="H63" s="15">
        <f t="shared" si="1"/>
        <v>12</v>
      </c>
    </row>
    <row r="64" spans="1:8" ht="15" customHeight="1" x14ac:dyDescent="0.3">
      <c r="A64" s="10" t="s">
        <v>319</v>
      </c>
      <c r="B64" s="10" t="s">
        <v>182</v>
      </c>
      <c r="C64" s="10" t="s">
        <v>857</v>
      </c>
      <c r="D64" s="16" t="str">
        <f>IFERROR(INDEX(tbl_atributos[Atributo],MATCH(C64,tbl_atributos[ID_Atributo],0)),"")</f>
        <v>Preço / valor</v>
      </c>
      <c r="E64" s="13">
        <v>4</v>
      </c>
      <c r="F64" s="13">
        <v>3</v>
      </c>
      <c r="G64" s="15">
        <f t="shared" si="0"/>
        <v>1</v>
      </c>
      <c r="H64" s="15">
        <f t="shared" si="1"/>
        <v>12</v>
      </c>
    </row>
    <row r="65" spans="1:8" ht="15" customHeight="1" x14ac:dyDescent="0.3">
      <c r="A65" s="10" t="s">
        <v>319</v>
      </c>
      <c r="B65" s="10" t="s">
        <v>219</v>
      </c>
      <c r="C65" s="10" t="s">
        <v>851</v>
      </c>
      <c r="D65" s="16" t="str">
        <f>IFERROR(INDEX(tbl_atributos[Atributo],MATCH(C65,tbl_atributos[ID_Atributo],0)),"")</f>
        <v>Qualidade do produto (conformidade, defeitos)</v>
      </c>
      <c r="E65" s="13">
        <v>5</v>
      </c>
      <c r="F65" s="13">
        <v>4</v>
      </c>
      <c r="G65" s="15">
        <f t="shared" si="0"/>
        <v>1</v>
      </c>
      <c r="H65" s="15">
        <f t="shared" si="1"/>
        <v>20</v>
      </c>
    </row>
    <row r="66" spans="1:8" ht="15" customHeight="1" x14ac:dyDescent="0.3">
      <c r="A66" s="10" t="s">
        <v>319</v>
      </c>
      <c r="B66" s="10" t="s">
        <v>219</v>
      </c>
      <c r="C66" s="10" t="s">
        <v>852</v>
      </c>
      <c r="D66" s="16" t="str">
        <f>IFERROR(INDEX(tbl_atributos[Atributo],MATCH(C66,tbl_atributos[ID_Atributo],0)),"")</f>
        <v>Cumprimento de prazos e quantidades</v>
      </c>
      <c r="E66" s="13">
        <v>4</v>
      </c>
      <c r="F66" s="13">
        <v>4</v>
      </c>
      <c r="G66" s="15">
        <f t="shared" ref="G66:G129" si="2">E66-F66</f>
        <v>0</v>
      </c>
      <c r="H66" s="15">
        <f t="shared" ref="H66:H129" si="3">E66*F66</f>
        <v>16</v>
      </c>
    </row>
    <row r="67" spans="1:8" ht="15" customHeight="1" x14ac:dyDescent="0.3">
      <c r="A67" s="10" t="s">
        <v>319</v>
      </c>
      <c r="B67" s="10" t="s">
        <v>219</v>
      </c>
      <c r="C67" s="10" t="s">
        <v>853</v>
      </c>
      <c r="D67" s="16" t="str">
        <f>IFERROR(INDEX(tbl_atributos[Atributo],MATCH(C67,tbl_atributos[ID_Atributo],0)),"")</f>
        <v>Resposta a reclamações</v>
      </c>
      <c r="E67" s="13">
        <v>4</v>
      </c>
      <c r="F67" s="13">
        <v>4</v>
      </c>
      <c r="G67" s="15">
        <f t="shared" si="2"/>
        <v>0</v>
      </c>
      <c r="H67" s="15">
        <f t="shared" si="3"/>
        <v>16</v>
      </c>
    </row>
    <row r="68" spans="1:8" ht="15" customHeight="1" x14ac:dyDescent="0.3">
      <c r="A68" s="10" t="s">
        <v>319</v>
      </c>
      <c r="B68" s="10" t="s">
        <v>219</v>
      </c>
      <c r="C68" s="10" t="s">
        <v>854</v>
      </c>
      <c r="D68" s="16" t="str">
        <f>IFERROR(INDEX(tbl_atributos[Atributo],MATCH(C68,tbl_atributos[ID_Atributo],0)),"")</f>
        <v>Apoio técnico e desenvolvimento</v>
      </c>
      <c r="E68" s="13">
        <v>3</v>
      </c>
      <c r="F68" s="13">
        <v>4</v>
      </c>
      <c r="G68" s="15">
        <f t="shared" si="2"/>
        <v>-1</v>
      </c>
      <c r="H68" s="15">
        <f t="shared" si="3"/>
        <v>12</v>
      </c>
    </row>
    <row r="69" spans="1:8" ht="15" customHeight="1" x14ac:dyDescent="0.3">
      <c r="A69" s="10" t="s">
        <v>319</v>
      </c>
      <c r="B69" s="10" t="s">
        <v>219</v>
      </c>
      <c r="C69" s="10" t="s">
        <v>855</v>
      </c>
      <c r="D69" s="16" t="str">
        <f>IFERROR(INDEX(tbl_atributos[Atributo],MATCH(C69,tbl_atributos[ID_Atributo],0)),"")</f>
        <v>Documentação e certificados (FCM, PPWR, CoC)</v>
      </c>
      <c r="E69" s="13">
        <v>5</v>
      </c>
      <c r="F69" s="13">
        <v>4</v>
      </c>
      <c r="G69" s="15">
        <f t="shared" si="2"/>
        <v>1</v>
      </c>
      <c r="H69" s="15">
        <f t="shared" si="3"/>
        <v>20</v>
      </c>
    </row>
    <row r="70" spans="1:8" ht="15" customHeight="1" x14ac:dyDescent="0.3">
      <c r="A70" s="10" t="s">
        <v>319</v>
      </c>
      <c r="B70" s="10" t="s">
        <v>219</v>
      </c>
      <c r="C70" s="10" t="s">
        <v>856</v>
      </c>
      <c r="D70" s="16" t="str">
        <f>IFERROR(INDEX(tbl_atributos[Atributo],MATCH(C70,tbl_atributos[ID_Atributo],0)),"")</f>
        <v>Comunicação comercial</v>
      </c>
      <c r="E70" s="13">
        <v>3</v>
      </c>
      <c r="F70" s="13">
        <v>4</v>
      </c>
      <c r="G70" s="15">
        <f t="shared" si="2"/>
        <v>-1</v>
      </c>
      <c r="H70" s="15">
        <f t="shared" si="3"/>
        <v>12</v>
      </c>
    </row>
    <row r="71" spans="1:8" ht="15" customHeight="1" x14ac:dyDescent="0.3">
      <c r="A71" s="10" t="s">
        <v>319</v>
      </c>
      <c r="B71" s="10" t="s">
        <v>219</v>
      </c>
      <c r="C71" s="10" t="s">
        <v>857</v>
      </c>
      <c r="D71" s="16" t="str">
        <f>IFERROR(INDEX(tbl_atributos[Atributo],MATCH(C71,tbl_atributos[ID_Atributo],0)),"")</f>
        <v>Preço / valor</v>
      </c>
      <c r="E71" s="13">
        <v>4</v>
      </c>
      <c r="F71" s="13">
        <v>4</v>
      </c>
      <c r="G71" s="15">
        <f t="shared" si="2"/>
        <v>0</v>
      </c>
      <c r="H71" s="15">
        <f t="shared" si="3"/>
        <v>16</v>
      </c>
    </row>
    <row r="72" spans="1:8" ht="15" customHeight="1" x14ac:dyDescent="0.3">
      <c r="A72" s="10" t="s">
        <v>319</v>
      </c>
      <c r="B72" s="10" t="s">
        <v>113</v>
      </c>
      <c r="C72" s="10" t="s">
        <v>851</v>
      </c>
      <c r="D72" s="16" t="str">
        <f>IFERROR(INDEX(tbl_atributos[Atributo],MATCH(C72,tbl_atributos[ID_Atributo],0)),"")</f>
        <v>Qualidade do produto (conformidade, defeitos)</v>
      </c>
      <c r="E72" s="13">
        <v>5</v>
      </c>
      <c r="F72" s="13">
        <v>4</v>
      </c>
      <c r="G72" s="15">
        <f t="shared" si="2"/>
        <v>1</v>
      </c>
      <c r="H72" s="15">
        <f t="shared" si="3"/>
        <v>20</v>
      </c>
    </row>
    <row r="73" spans="1:8" ht="15" customHeight="1" x14ac:dyDescent="0.3">
      <c r="A73" s="10" t="s">
        <v>319</v>
      </c>
      <c r="B73" s="10" t="s">
        <v>113</v>
      </c>
      <c r="C73" s="10" t="s">
        <v>852</v>
      </c>
      <c r="D73" s="16" t="str">
        <f>IFERROR(INDEX(tbl_atributos[Atributo],MATCH(C73,tbl_atributos[ID_Atributo],0)),"")</f>
        <v>Cumprimento de prazos e quantidades</v>
      </c>
      <c r="E73" s="13">
        <v>4</v>
      </c>
      <c r="F73" s="13">
        <v>3</v>
      </c>
      <c r="G73" s="15">
        <f t="shared" si="2"/>
        <v>1</v>
      </c>
      <c r="H73" s="15">
        <f t="shared" si="3"/>
        <v>12</v>
      </c>
    </row>
    <row r="74" spans="1:8" ht="15" customHeight="1" x14ac:dyDescent="0.3">
      <c r="A74" s="10" t="s">
        <v>319</v>
      </c>
      <c r="B74" s="10" t="s">
        <v>113</v>
      </c>
      <c r="C74" s="10" t="s">
        <v>853</v>
      </c>
      <c r="D74" s="16" t="str">
        <f>IFERROR(INDEX(tbl_atributos[Atributo],MATCH(C74,tbl_atributos[ID_Atributo],0)),"")</f>
        <v>Resposta a reclamações</v>
      </c>
      <c r="E74" s="13">
        <v>4</v>
      </c>
      <c r="F74" s="13">
        <v>3</v>
      </c>
      <c r="G74" s="15">
        <f t="shared" si="2"/>
        <v>1</v>
      </c>
      <c r="H74" s="15">
        <f t="shared" si="3"/>
        <v>12</v>
      </c>
    </row>
    <row r="75" spans="1:8" ht="15" customHeight="1" x14ac:dyDescent="0.3">
      <c r="A75" s="10" t="s">
        <v>319</v>
      </c>
      <c r="B75" s="10" t="s">
        <v>113</v>
      </c>
      <c r="C75" s="10" t="s">
        <v>854</v>
      </c>
      <c r="D75" s="16" t="str">
        <f>IFERROR(INDEX(tbl_atributos[Atributo],MATCH(C75,tbl_atributos[ID_Atributo],0)),"")</f>
        <v>Apoio técnico e desenvolvimento</v>
      </c>
      <c r="E75" s="13">
        <v>4</v>
      </c>
      <c r="F75" s="13">
        <v>4</v>
      </c>
      <c r="G75" s="15">
        <f t="shared" si="2"/>
        <v>0</v>
      </c>
      <c r="H75" s="15">
        <f t="shared" si="3"/>
        <v>16</v>
      </c>
    </row>
    <row r="76" spans="1:8" ht="15" customHeight="1" x14ac:dyDescent="0.3">
      <c r="A76" s="10" t="s">
        <v>319</v>
      </c>
      <c r="B76" s="10" t="s">
        <v>113</v>
      </c>
      <c r="C76" s="10" t="s">
        <v>855</v>
      </c>
      <c r="D76" s="16" t="str">
        <f>IFERROR(INDEX(tbl_atributos[Atributo],MATCH(C76,tbl_atributos[ID_Atributo],0)),"")</f>
        <v>Documentação e certificados (FCM, PPWR, CoC)</v>
      </c>
      <c r="E76" s="13">
        <v>3</v>
      </c>
      <c r="F76" s="13">
        <v>4</v>
      </c>
      <c r="G76" s="15">
        <f t="shared" si="2"/>
        <v>-1</v>
      </c>
      <c r="H76" s="15">
        <f t="shared" si="3"/>
        <v>12</v>
      </c>
    </row>
    <row r="77" spans="1:8" ht="15" customHeight="1" x14ac:dyDescent="0.3">
      <c r="A77" s="10" t="s">
        <v>319</v>
      </c>
      <c r="B77" s="10" t="s">
        <v>113</v>
      </c>
      <c r="C77" s="10" t="s">
        <v>856</v>
      </c>
      <c r="D77" s="16" t="str">
        <f>IFERROR(INDEX(tbl_atributos[Atributo],MATCH(C77,tbl_atributos[ID_Atributo],0)),"")</f>
        <v>Comunicação comercial</v>
      </c>
      <c r="E77" s="13">
        <v>4</v>
      </c>
      <c r="F77" s="13">
        <v>4</v>
      </c>
      <c r="G77" s="15">
        <f t="shared" si="2"/>
        <v>0</v>
      </c>
      <c r="H77" s="15">
        <f t="shared" si="3"/>
        <v>16</v>
      </c>
    </row>
    <row r="78" spans="1:8" ht="15" customHeight="1" x14ac:dyDescent="0.3">
      <c r="A78" s="10" t="s">
        <v>319</v>
      </c>
      <c r="B78" s="10" t="s">
        <v>113</v>
      </c>
      <c r="C78" s="10" t="s">
        <v>857</v>
      </c>
      <c r="D78" s="16" t="str">
        <f>IFERROR(INDEX(tbl_atributos[Atributo],MATCH(C78,tbl_atributos[ID_Atributo],0)),"")</f>
        <v>Preço / valor</v>
      </c>
      <c r="E78" s="13">
        <v>5</v>
      </c>
      <c r="F78" s="13">
        <v>3</v>
      </c>
      <c r="G78" s="15">
        <f t="shared" si="2"/>
        <v>2</v>
      </c>
      <c r="H78" s="15">
        <f t="shared" si="3"/>
        <v>15</v>
      </c>
    </row>
    <row r="79" spans="1:8" ht="15" customHeight="1" x14ac:dyDescent="0.3">
      <c r="A79" s="10" t="s">
        <v>319</v>
      </c>
      <c r="B79" s="10" t="s">
        <v>247</v>
      </c>
      <c r="C79" s="10" t="s">
        <v>851</v>
      </c>
      <c r="D79" s="16" t="str">
        <f>IFERROR(INDEX(tbl_atributos[Atributo],MATCH(C79,tbl_atributos[ID_Atributo],0)),"")</f>
        <v>Qualidade do produto (conformidade, defeitos)</v>
      </c>
      <c r="E79" s="13">
        <v>5</v>
      </c>
      <c r="F79" s="13">
        <v>4</v>
      </c>
      <c r="G79" s="15">
        <f t="shared" si="2"/>
        <v>1</v>
      </c>
      <c r="H79" s="15">
        <f t="shared" si="3"/>
        <v>20</v>
      </c>
    </row>
    <row r="80" spans="1:8" ht="15" customHeight="1" x14ac:dyDescent="0.3">
      <c r="A80" s="10" t="s">
        <v>319</v>
      </c>
      <c r="B80" s="10" t="s">
        <v>247</v>
      </c>
      <c r="C80" s="10" t="s">
        <v>852</v>
      </c>
      <c r="D80" s="16" t="str">
        <f>IFERROR(INDEX(tbl_atributos[Atributo],MATCH(C80,tbl_atributos[ID_Atributo],0)),"")</f>
        <v>Cumprimento de prazos e quantidades</v>
      </c>
      <c r="E80" s="13">
        <v>5</v>
      </c>
      <c r="F80" s="13">
        <v>3</v>
      </c>
      <c r="G80" s="15">
        <f t="shared" si="2"/>
        <v>2</v>
      </c>
      <c r="H80" s="15">
        <f t="shared" si="3"/>
        <v>15</v>
      </c>
    </row>
    <row r="81" spans="1:8" ht="15" customHeight="1" x14ac:dyDescent="0.3">
      <c r="A81" s="10" t="s">
        <v>319</v>
      </c>
      <c r="B81" s="10" t="s">
        <v>247</v>
      </c>
      <c r="C81" s="10" t="s">
        <v>853</v>
      </c>
      <c r="D81" s="16" t="str">
        <f>IFERROR(INDEX(tbl_atributos[Atributo],MATCH(C81,tbl_atributos[ID_Atributo],0)),"")</f>
        <v>Resposta a reclamações</v>
      </c>
      <c r="E81" s="13">
        <v>5</v>
      </c>
      <c r="F81" s="13">
        <v>4</v>
      </c>
      <c r="G81" s="15">
        <f t="shared" si="2"/>
        <v>1</v>
      </c>
      <c r="H81" s="15">
        <f t="shared" si="3"/>
        <v>20</v>
      </c>
    </row>
    <row r="82" spans="1:8" ht="15" customHeight="1" x14ac:dyDescent="0.3">
      <c r="A82" s="10" t="s">
        <v>319</v>
      </c>
      <c r="B82" s="10" t="s">
        <v>247</v>
      </c>
      <c r="C82" s="10" t="s">
        <v>854</v>
      </c>
      <c r="D82" s="16" t="str">
        <f>IFERROR(INDEX(tbl_atributos[Atributo],MATCH(C82,tbl_atributos[ID_Atributo],0)),"")</f>
        <v>Apoio técnico e desenvolvimento</v>
      </c>
      <c r="E82" s="13">
        <v>5</v>
      </c>
      <c r="F82" s="13">
        <v>4</v>
      </c>
      <c r="G82" s="15">
        <f t="shared" si="2"/>
        <v>1</v>
      </c>
      <c r="H82" s="15">
        <f t="shared" si="3"/>
        <v>20</v>
      </c>
    </row>
    <row r="83" spans="1:8" ht="15" customHeight="1" x14ac:dyDescent="0.3">
      <c r="A83" s="10" t="s">
        <v>319</v>
      </c>
      <c r="B83" s="10" t="s">
        <v>247</v>
      </c>
      <c r="C83" s="10" t="s">
        <v>855</v>
      </c>
      <c r="D83" s="16" t="str">
        <f>IFERROR(INDEX(tbl_atributos[Atributo],MATCH(C83,tbl_atributos[ID_Atributo],0)),"")</f>
        <v>Documentação e certificados (FCM, PPWR, CoC)</v>
      </c>
      <c r="E83" s="13">
        <v>3</v>
      </c>
      <c r="F83" s="13">
        <v>4</v>
      </c>
      <c r="G83" s="15">
        <f t="shared" si="2"/>
        <v>-1</v>
      </c>
      <c r="H83" s="15">
        <f t="shared" si="3"/>
        <v>12</v>
      </c>
    </row>
    <row r="84" spans="1:8" ht="15" customHeight="1" x14ac:dyDescent="0.3">
      <c r="A84" s="10" t="s">
        <v>319</v>
      </c>
      <c r="B84" s="10" t="s">
        <v>247</v>
      </c>
      <c r="C84" s="10" t="s">
        <v>856</v>
      </c>
      <c r="D84" s="16" t="str">
        <f>IFERROR(INDEX(tbl_atributos[Atributo],MATCH(C84,tbl_atributos[ID_Atributo],0)),"")</f>
        <v>Comunicação comercial</v>
      </c>
      <c r="E84" s="13">
        <v>3</v>
      </c>
      <c r="F84" s="13">
        <v>4</v>
      </c>
      <c r="G84" s="15">
        <f t="shared" si="2"/>
        <v>-1</v>
      </c>
      <c r="H84" s="15">
        <f t="shared" si="3"/>
        <v>12</v>
      </c>
    </row>
    <row r="85" spans="1:8" ht="15" customHeight="1" x14ac:dyDescent="0.3">
      <c r="A85" s="10" t="s">
        <v>319</v>
      </c>
      <c r="B85" s="10" t="s">
        <v>247</v>
      </c>
      <c r="C85" s="10" t="s">
        <v>857</v>
      </c>
      <c r="D85" s="16" t="str">
        <f>IFERROR(INDEX(tbl_atributos[Atributo],MATCH(C85,tbl_atributos[ID_Atributo],0)),"")</f>
        <v>Preço / valor</v>
      </c>
      <c r="E85" s="13">
        <v>4</v>
      </c>
      <c r="F85" s="13">
        <v>4</v>
      </c>
      <c r="G85" s="15">
        <f t="shared" si="2"/>
        <v>0</v>
      </c>
      <c r="H85" s="15">
        <f t="shared" si="3"/>
        <v>16</v>
      </c>
    </row>
    <row r="86" spans="1:8" ht="15" customHeight="1" x14ac:dyDescent="0.3">
      <c r="A86" s="10" t="s">
        <v>319</v>
      </c>
      <c r="B86" s="10" t="s">
        <v>267</v>
      </c>
      <c r="C86" s="10" t="s">
        <v>851</v>
      </c>
      <c r="D86" s="16" t="str">
        <f>IFERROR(INDEX(tbl_atributos[Atributo],MATCH(C86,tbl_atributos[ID_Atributo],0)),"")</f>
        <v>Qualidade do produto (conformidade, defeitos)</v>
      </c>
      <c r="E86" s="13">
        <v>5</v>
      </c>
      <c r="F86" s="13">
        <v>4</v>
      </c>
      <c r="G86" s="15">
        <f t="shared" si="2"/>
        <v>1</v>
      </c>
      <c r="H86" s="15">
        <f t="shared" si="3"/>
        <v>20</v>
      </c>
    </row>
    <row r="87" spans="1:8" ht="15" customHeight="1" x14ac:dyDescent="0.3">
      <c r="A87" s="10" t="s">
        <v>319</v>
      </c>
      <c r="B87" s="10" t="s">
        <v>267</v>
      </c>
      <c r="C87" s="10" t="s">
        <v>852</v>
      </c>
      <c r="D87" s="16" t="str">
        <f>IFERROR(INDEX(tbl_atributos[Atributo],MATCH(C87,tbl_atributos[ID_Atributo],0)),"")</f>
        <v>Cumprimento de prazos e quantidades</v>
      </c>
      <c r="E87" s="13">
        <v>5</v>
      </c>
      <c r="F87" s="13">
        <v>3</v>
      </c>
      <c r="G87" s="15">
        <f t="shared" si="2"/>
        <v>2</v>
      </c>
      <c r="H87" s="15">
        <f t="shared" si="3"/>
        <v>15</v>
      </c>
    </row>
    <row r="88" spans="1:8" ht="15" customHeight="1" x14ac:dyDescent="0.3">
      <c r="A88" s="10" t="s">
        <v>319</v>
      </c>
      <c r="B88" s="10" t="s">
        <v>267</v>
      </c>
      <c r="C88" s="10" t="s">
        <v>853</v>
      </c>
      <c r="D88" s="16" t="str">
        <f>IFERROR(INDEX(tbl_atributos[Atributo],MATCH(C88,tbl_atributos[ID_Atributo],0)),"")</f>
        <v>Resposta a reclamações</v>
      </c>
      <c r="E88" s="13">
        <v>4</v>
      </c>
      <c r="F88" s="13">
        <v>3</v>
      </c>
      <c r="G88" s="15">
        <f t="shared" si="2"/>
        <v>1</v>
      </c>
      <c r="H88" s="15">
        <f t="shared" si="3"/>
        <v>12</v>
      </c>
    </row>
    <row r="89" spans="1:8" ht="15" customHeight="1" x14ac:dyDescent="0.3">
      <c r="A89" s="10" t="s">
        <v>319</v>
      </c>
      <c r="B89" s="10" t="s">
        <v>267</v>
      </c>
      <c r="C89" s="10" t="s">
        <v>854</v>
      </c>
      <c r="D89" s="16" t="str">
        <f>IFERROR(INDEX(tbl_atributos[Atributo],MATCH(C89,tbl_atributos[ID_Atributo],0)),"")</f>
        <v>Apoio técnico e desenvolvimento</v>
      </c>
      <c r="E89" s="13">
        <v>3</v>
      </c>
      <c r="F89" s="13">
        <v>4</v>
      </c>
      <c r="G89" s="15">
        <f t="shared" si="2"/>
        <v>-1</v>
      </c>
      <c r="H89" s="15">
        <f t="shared" si="3"/>
        <v>12</v>
      </c>
    </row>
    <row r="90" spans="1:8" ht="15" customHeight="1" x14ac:dyDescent="0.3">
      <c r="A90" s="10" t="s">
        <v>319</v>
      </c>
      <c r="B90" s="10" t="s">
        <v>267</v>
      </c>
      <c r="C90" s="10" t="s">
        <v>855</v>
      </c>
      <c r="D90" s="16" t="str">
        <f>IFERROR(INDEX(tbl_atributos[Atributo],MATCH(C90,tbl_atributos[ID_Atributo],0)),"")</f>
        <v>Documentação e certificados (FCM, PPWR, CoC)</v>
      </c>
      <c r="E90" s="13">
        <v>4</v>
      </c>
      <c r="F90" s="13">
        <v>4</v>
      </c>
      <c r="G90" s="15">
        <f t="shared" si="2"/>
        <v>0</v>
      </c>
      <c r="H90" s="15">
        <f t="shared" si="3"/>
        <v>16</v>
      </c>
    </row>
    <row r="91" spans="1:8" ht="15" customHeight="1" x14ac:dyDescent="0.3">
      <c r="A91" s="10" t="s">
        <v>319</v>
      </c>
      <c r="B91" s="10" t="s">
        <v>267</v>
      </c>
      <c r="C91" s="10" t="s">
        <v>856</v>
      </c>
      <c r="D91" s="16" t="str">
        <f>IFERROR(INDEX(tbl_atributos[Atributo],MATCH(C91,tbl_atributos[ID_Atributo],0)),"")</f>
        <v>Comunicação comercial</v>
      </c>
      <c r="E91" s="13">
        <v>3</v>
      </c>
      <c r="F91" s="13">
        <v>4</v>
      </c>
      <c r="G91" s="15">
        <f t="shared" si="2"/>
        <v>-1</v>
      </c>
      <c r="H91" s="15">
        <f t="shared" si="3"/>
        <v>12</v>
      </c>
    </row>
    <row r="92" spans="1:8" ht="15" customHeight="1" x14ac:dyDescent="0.3">
      <c r="A92" s="10" t="s">
        <v>319</v>
      </c>
      <c r="B92" s="10" t="s">
        <v>267</v>
      </c>
      <c r="C92" s="10" t="s">
        <v>857</v>
      </c>
      <c r="D92" s="16" t="str">
        <f>IFERROR(INDEX(tbl_atributos[Atributo],MATCH(C92,tbl_atributos[ID_Atributo],0)),"")</f>
        <v>Preço / valor</v>
      </c>
      <c r="E92" s="13">
        <v>4</v>
      </c>
      <c r="F92" s="13">
        <v>4</v>
      </c>
      <c r="G92" s="15">
        <f t="shared" si="2"/>
        <v>0</v>
      </c>
      <c r="H92" s="15">
        <f t="shared" si="3"/>
        <v>16</v>
      </c>
    </row>
    <row r="93" spans="1:8" ht="15" customHeight="1" x14ac:dyDescent="0.3">
      <c r="A93" s="10" t="s">
        <v>585</v>
      </c>
      <c r="B93" s="10" t="s">
        <v>134</v>
      </c>
      <c r="C93" s="10" t="s">
        <v>851</v>
      </c>
      <c r="D93" s="16" t="str">
        <f>IFERROR(INDEX(tbl_atributos[Atributo],MATCH(C93,tbl_atributos[ID_Atributo],0)),"")</f>
        <v>Qualidade do produto (conformidade, defeitos)</v>
      </c>
      <c r="E93" s="13">
        <v>4</v>
      </c>
      <c r="F93" s="13">
        <v>4</v>
      </c>
      <c r="G93" s="15">
        <f t="shared" si="2"/>
        <v>0</v>
      </c>
      <c r="H93" s="15">
        <f t="shared" si="3"/>
        <v>16</v>
      </c>
    </row>
    <row r="94" spans="1:8" ht="15" customHeight="1" x14ac:dyDescent="0.3">
      <c r="A94" s="10" t="s">
        <v>585</v>
      </c>
      <c r="B94" s="10" t="s">
        <v>134</v>
      </c>
      <c r="C94" s="10" t="s">
        <v>852</v>
      </c>
      <c r="D94" s="16" t="str">
        <f>IFERROR(INDEX(tbl_atributos[Atributo],MATCH(C94,tbl_atributos[ID_Atributo],0)),"")</f>
        <v>Cumprimento de prazos e quantidades</v>
      </c>
      <c r="E94" s="13">
        <v>5</v>
      </c>
      <c r="F94" s="13">
        <v>3</v>
      </c>
      <c r="G94" s="15">
        <f t="shared" si="2"/>
        <v>2</v>
      </c>
      <c r="H94" s="15">
        <f t="shared" si="3"/>
        <v>15</v>
      </c>
    </row>
    <row r="95" spans="1:8" ht="15" customHeight="1" x14ac:dyDescent="0.3">
      <c r="A95" s="10" t="s">
        <v>585</v>
      </c>
      <c r="B95" s="10" t="s">
        <v>134</v>
      </c>
      <c r="C95" s="10" t="s">
        <v>853</v>
      </c>
      <c r="D95" s="16" t="str">
        <f>IFERROR(INDEX(tbl_atributos[Atributo],MATCH(C95,tbl_atributos[ID_Atributo],0)),"")</f>
        <v>Resposta a reclamações</v>
      </c>
      <c r="E95" s="13">
        <v>4</v>
      </c>
      <c r="F95" s="13">
        <v>4</v>
      </c>
      <c r="G95" s="15">
        <f t="shared" si="2"/>
        <v>0</v>
      </c>
      <c r="H95" s="15">
        <f t="shared" si="3"/>
        <v>16</v>
      </c>
    </row>
    <row r="96" spans="1:8" ht="15" customHeight="1" x14ac:dyDescent="0.3">
      <c r="A96" s="10" t="s">
        <v>585</v>
      </c>
      <c r="B96" s="10" t="s">
        <v>134</v>
      </c>
      <c r="C96" s="10" t="s">
        <v>854</v>
      </c>
      <c r="D96" s="16" t="str">
        <f>IFERROR(INDEX(tbl_atributos[Atributo],MATCH(C96,tbl_atributos[ID_Atributo],0)),"")</f>
        <v>Apoio técnico e desenvolvimento</v>
      </c>
      <c r="E96" s="13">
        <v>4</v>
      </c>
      <c r="F96" s="13">
        <v>4</v>
      </c>
      <c r="G96" s="15">
        <f t="shared" si="2"/>
        <v>0</v>
      </c>
      <c r="H96" s="15">
        <f t="shared" si="3"/>
        <v>16</v>
      </c>
    </row>
    <row r="97" spans="1:8" ht="15" customHeight="1" x14ac:dyDescent="0.3">
      <c r="A97" s="10" t="s">
        <v>585</v>
      </c>
      <c r="B97" s="10" t="s">
        <v>134</v>
      </c>
      <c r="C97" s="10" t="s">
        <v>855</v>
      </c>
      <c r="D97" s="16" t="str">
        <f>IFERROR(INDEX(tbl_atributos[Atributo],MATCH(C97,tbl_atributos[ID_Atributo],0)),"")</f>
        <v>Documentação e certificados (FCM, PPWR, CoC)</v>
      </c>
      <c r="E97" s="13">
        <v>4</v>
      </c>
      <c r="F97" s="13">
        <v>4</v>
      </c>
      <c r="G97" s="15">
        <f t="shared" si="2"/>
        <v>0</v>
      </c>
      <c r="H97" s="15">
        <f t="shared" si="3"/>
        <v>16</v>
      </c>
    </row>
    <row r="98" spans="1:8" ht="15" customHeight="1" x14ac:dyDescent="0.3">
      <c r="A98" s="10" t="s">
        <v>585</v>
      </c>
      <c r="B98" s="10" t="s">
        <v>134</v>
      </c>
      <c r="C98" s="10" t="s">
        <v>856</v>
      </c>
      <c r="D98" s="16" t="str">
        <f>IFERROR(INDEX(tbl_atributos[Atributo],MATCH(C98,tbl_atributos[ID_Atributo],0)),"")</f>
        <v>Comunicação comercial</v>
      </c>
      <c r="E98" s="13">
        <v>3</v>
      </c>
      <c r="F98" s="13">
        <v>4</v>
      </c>
      <c r="G98" s="15">
        <f t="shared" si="2"/>
        <v>-1</v>
      </c>
      <c r="H98" s="15">
        <f t="shared" si="3"/>
        <v>12</v>
      </c>
    </row>
    <row r="99" spans="1:8" ht="15" customHeight="1" x14ac:dyDescent="0.3">
      <c r="A99" s="10" t="s">
        <v>585</v>
      </c>
      <c r="B99" s="10" t="s">
        <v>134</v>
      </c>
      <c r="C99" s="10" t="s">
        <v>857</v>
      </c>
      <c r="D99" s="16" t="str">
        <f>IFERROR(INDEX(tbl_atributos[Atributo],MATCH(C99,tbl_atributos[ID_Atributo],0)),"")</f>
        <v>Preço / valor</v>
      </c>
      <c r="E99" s="13">
        <v>4</v>
      </c>
      <c r="F99" s="13">
        <v>4</v>
      </c>
      <c r="G99" s="15">
        <f t="shared" si="2"/>
        <v>0</v>
      </c>
      <c r="H99" s="15">
        <f t="shared" si="3"/>
        <v>16</v>
      </c>
    </row>
    <row r="100" spans="1:8" ht="15" customHeight="1" x14ac:dyDescent="0.3">
      <c r="A100" s="10" t="s">
        <v>585</v>
      </c>
      <c r="B100" s="10" t="s">
        <v>144</v>
      </c>
      <c r="C100" s="10" t="s">
        <v>851</v>
      </c>
      <c r="D100" s="16" t="str">
        <f>IFERROR(INDEX(tbl_atributos[Atributo],MATCH(C100,tbl_atributos[ID_Atributo],0)),"")</f>
        <v>Qualidade do produto (conformidade, defeitos)</v>
      </c>
      <c r="E100" s="13">
        <v>5</v>
      </c>
      <c r="F100" s="13">
        <v>3</v>
      </c>
      <c r="G100" s="15">
        <f t="shared" si="2"/>
        <v>2</v>
      </c>
      <c r="H100" s="15">
        <f t="shared" si="3"/>
        <v>15</v>
      </c>
    </row>
    <row r="101" spans="1:8" ht="15" customHeight="1" x14ac:dyDescent="0.3">
      <c r="A101" s="10" t="s">
        <v>585</v>
      </c>
      <c r="B101" s="10" t="s">
        <v>144</v>
      </c>
      <c r="C101" s="10" t="s">
        <v>852</v>
      </c>
      <c r="D101" s="16" t="str">
        <f>IFERROR(INDEX(tbl_atributos[Atributo],MATCH(C101,tbl_atributos[ID_Atributo],0)),"")</f>
        <v>Cumprimento de prazos e quantidades</v>
      </c>
      <c r="E101" s="13">
        <v>5</v>
      </c>
      <c r="F101" s="13">
        <v>3</v>
      </c>
      <c r="G101" s="15">
        <f t="shared" si="2"/>
        <v>2</v>
      </c>
      <c r="H101" s="15">
        <f t="shared" si="3"/>
        <v>15</v>
      </c>
    </row>
    <row r="102" spans="1:8" ht="15" customHeight="1" x14ac:dyDescent="0.3">
      <c r="A102" s="10" t="s">
        <v>585</v>
      </c>
      <c r="B102" s="10" t="s">
        <v>144</v>
      </c>
      <c r="C102" s="10" t="s">
        <v>853</v>
      </c>
      <c r="D102" s="16" t="str">
        <f>IFERROR(INDEX(tbl_atributos[Atributo],MATCH(C102,tbl_atributos[ID_Atributo],0)),"")</f>
        <v>Resposta a reclamações</v>
      </c>
      <c r="E102" s="13">
        <v>4</v>
      </c>
      <c r="F102" s="13">
        <v>4</v>
      </c>
      <c r="G102" s="15">
        <f t="shared" si="2"/>
        <v>0</v>
      </c>
      <c r="H102" s="15">
        <f t="shared" si="3"/>
        <v>16</v>
      </c>
    </row>
    <row r="103" spans="1:8" ht="15" customHeight="1" x14ac:dyDescent="0.3">
      <c r="A103" s="10" t="s">
        <v>585</v>
      </c>
      <c r="B103" s="10" t="s">
        <v>144</v>
      </c>
      <c r="C103" s="10" t="s">
        <v>854</v>
      </c>
      <c r="D103" s="16" t="str">
        <f>IFERROR(INDEX(tbl_atributos[Atributo],MATCH(C103,tbl_atributos[ID_Atributo],0)),"")</f>
        <v>Apoio técnico e desenvolvimento</v>
      </c>
      <c r="E103" s="13">
        <v>4</v>
      </c>
      <c r="F103" s="13">
        <v>4</v>
      </c>
      <c r="G103" s="15">
        <f t="shared" si="2"/>
        <v>0</v>
      </c>
      <c r="H103" s="15">
        <f t="shared" si="3"/>
        <v>16</v>
      </c>
    </row>
    <row r="104" spans="1:8" ht="15" customHeight="1" x14ac:dyDescent="0.3">
      <c r="A104" s="10" t="s">
        <v>585</v>
      </c>
      <c r="B104" s="10" t="s">
        <v>144</v>
      </c>
      <c r="C104" s="10" t="s">
        <v>855</v>
      </c>
      <c r="D104" s="16" t="str">
        <f>IFERROR(INDEX(tbl_atributos[Atributo],MATCH(C104,tbl_atributos[ID_Atributo],0)),"")</f>
        <v>Documentação e certificados (FCM, PPWR, CoC)</v>
      </c>
      <c r="E104" s="13">
        <v>4</v>
      </c>
      <c r="F104" s="13">
        <v>4</v>
      </c>
      <c r="G104" s="15">
        <f t="shared" si="2"/>
        <v>0</v>
      </c>
      <c r="H104" s="15">
        <f t="shared" si="3"/>
        <v>16</v>
      </c>
    </row>
    <row r="105" spans="1:8" ht="15" customHeight="1" x14ac:dyDescent="0.3">
      <c r="A105" s="10" t="s">
        <v>585</v>
      </c>
      <c r="B105" s="10" t="s">
        <v>144</v>
      </c>
      <c r="C105" s="10" t="s">
        <v>856</v>
      </c>
      <c r="D105" s="16" t="str">
        <f>IFERROR(INDEX(tbl_atributos[Atributo],MATCH(C105,tbl_atributos[ID_Atributo],0)),"")</f>
        <v>Comunicação comercial</v>
      </c>
      <c r="E105" s="13">
        <v>4</v>
      </c>
      <c r="F105" s="13">
        <v>4</v>
      </c>
      <c r="G105" s="15">
        <f t="shared" si="2"/>
        <v>0</v>
      </c>
      <c r="H105" s="15">
        <f t="shared" si="3"/>
        <v>16</v>
      </c>
    </row>
    <row r="106" spans="1:8" ht="15" customHeight="1" x14ac:dyDescent="0.3">
      <c r="A106" s="10" t="s">
        <v>585</v>
      </c>
      <c r="B106" s="10" t="s">
        <v>144</v>
      </c>
      <c r="C106" s="10" t="s">
        <v>857</v>
      </c>
      <c r="D106" s="16" t="str">
        <f>IFERROR(INDEX(tbl_atributos[Atributo],MATCH(C106,tbl_atributos[ID_Atributo],0)),"")</f>
        <v>Preço / valor</v>
      </c>
      <c r="E106" s="13">
        <v>4</v>
      </c>
      <c r="F106" s="13">
        <v>4</v>
      </c>
      <c r="G106" s="15">
        <f t="shared" si="2"/>
        <v>0</v>
      </c>
      <c r="H106" s="15">
        <f t="shared" si="3"/>
        <v>16</v>
      </c>
    </row>
    <row r="107" spans="1:8" ht="15" customHeight="1" x14ac:dyDescent="0.3">
      <c r="A107" s="10" t="s">
        <v>585</v>
      </c>
      <c r="B107" s="10" t="s">
        <v>155</v>
      </c>
      <c r="C107" s="10" t="s">
        <v>851</v>
      </c>
      <c r="D107" s="16" t="str">
        <f>IFERROR(INDEX(tbl_atributos[Atributo],MATCH(C107,tbl_atributos[ID_Atributo],0)),"")</f>
        <v>Qualidade do produto (conformidade, defeitos)</v>
      </c>
      <c r="E107" s="13">
        <v>5</v>
      </c>
      <c r="F107" s="13">
        <v>4</v>
      </c>
      <c r="G107" s="15">
        <f t="shared" si="2"/>
        <v>1</v>
      </c>
      <c r="H107" s="15">
        <f t="shared" si="3"/>
        <v>20</v>
      </c>
    </row>
    <row r="108" spans="1:8" ht="15" customHeight="1" x14ac:dyDescent="0.3">
      <c r="A108" s="10" t="s">
        <v>585</v>
      </c>
      <c r="B108" s="10" t="s">
        <v>155</v>
      </c>
      <c r="C108" s="10" t="s">
        <v>852</v>
      </c>
      <c r="D108" s="16" t="str">
        <f>IFERROR(INDEX(tbl_atributos[Atributo],MATCH(C108,tbl_atributos[ID_Atributo],0)),"")</f>
        <v>Cumprimento de prazos e quantidades</v>
      </c>
      <c r="E108" s="13">
        <v>5</v>
      </c>
      <c r="F108" s="13">
        <v>2</v>
      </c>
      <c r="G108" s="15">
        <f t="shared" si="2"/>
        <v>3</v>
      </c>
      <c r="H108" s="15">
        <f t="shared" si="3"/>
        <v>10</v>
      </c>
    </row>
    <row r="109" spans="1:8" ht="15" customHeight="1" x14ac:dyDescent="0.3">
      <c r="A109" s="10" t="s">
        <v>585</v>
      </c>
      <c r="B109" s="10" t="s">
        <v>155</v>
      </c>
      <c r="C109" s="10" t="s">
        <v>853</v>
      </c>
      <c r="D109" s="16" t="str">
        <f>IFERROR(INDEX(tbl_atributos[Atributo],MATCH(C109,tbl_atributos[ID_Atributo],0)),"")</f>
        <v>Resposta a reclamações</v>
      </c>
      <c r="E109" s="13">
        <v>4</v>
      </c>
      <c r="F109" s="13">
        <v>4</v>
      </c>
      <c r="G109" s="15">
        <f t="shared" si="2"/>
        <v>0</v>
      </c>
      <c r="H109" s="15">
        <f t="shared" si="3"/>
        <v>16</v>
      </c>
    </row>
    <row r="110" spans="1:8" ht="15" customHeight="1" x14ac:dyDescent="0.3">
      <c r="A110" s="10" t="s">
        <v>585</v>
      </c>
      <c r="B110" s="10" t="s">
        <v>155</v>
      </c>
      <c r="C110" s="10" t="s">
        <v>854</v>
      </c>
      <c r="D110" s="16" t="str">
        <f>IFERROR(INDEX(tbl_atributos[Atributo],MATCH(C110,tbl_atributos[ID_Atributo],0)),"")</f>
        <v>Apoio técnico e desenvolvimento</v>
      </c>
      <c r="E110" s="13">
        <v>4</v>
      </c>
      <c r="F110" s="13">
        <v>4</v>
      </c>
      <c r="G110" s="15">
        <f t="shared" si="2"/>
        <v>0</v>
      </c>
      <c r="H110" s="15">
        <f t="shared" si="3"/>
        <v>16</v>
      </c>
    </row>
    <row r="111" spans="1:8" ht="15" customHeight="1" x14ac:dyDescent="0.3">
      <c r="A111" s="10" t="s">
        <v>585</v>
      </c>
      <c r="B111" s="10" t="s">
        <v>155</v>
      </c>
      <c r="C111" s="10" t="s">
        <v>855</v>
      </c>
      <c r="D111" s="16" t="str">
        <f>IFERROR(INDEX(tbl_atributos[Atributo],MATCH(C111,tbl_atributos[ID_Atributo],0)),"")</f>
        <v>Documentação e certificados (FCM, PPWR, CoC)</v>
      </c>
      <c r="E111" s="13">
        <v>4</v>
      </c>
      <c r="F111" s="13">
        <v>4</v>
      </c>
      <c r="G111" s="15">
        <f t="shared" si="2"/>
        <v>0</v>
      </c>
      <c r="H111" s="15">
        <f t="shared" si="3"/>
        <v>16</v>
      </c>
    </row>
    <row r="112" spans="1:8" ht="15" customHeight="1" x14ac:dyDescent="0.3">
      <c r="A112" s="10" t="s">
        <v>585</v>
      </c>
      <c r="B112" s="10" t="s">
        <v>155</v>
      </c>
      <c r="C112" s="10" t="s">
        <v>856</v>
      </c>
      <c r="D112" s="16" t="str">
        <f>IFERROR(INDEX(tbl_atributos[Atributo],MATCH(C112,tbl_atributos[ID_Atributo],0)),"")</f>
        <v>Comunicação comercial</v>
      </c>
      <c r="E112" s="13">
        <v>3</v>
      </c>
      <c r="F112" s="13">
        <v>4</v>
      </c>
      <c r="G112" s="15">
        <f t="shared" si="2"/>
        <v>-1</v>
      </c>
      <c r="H112" s="15">
        <f t="shared" si="3"/>
        <v>12</v>
      </c>
    </row>
    <row r="113" spans="1:8" ht="15" customHeight="1" x14ac:dyDescent="0.3">
      <c r="A113" s="10" t="s">
        <v>585</v>
      </c>
      <c r="B113" s="10" t="s">
        <v>155</v>
      </c>
      <c r="C113" s="10" t="s">
        <v>857</v>
      </c>
      <c r="D113" s="16" t="str">
        <f>IFERROR(INDEX(tbl_atributos[Atributo],MATCH(C113,tbl_atributos[ID_Atributo],0)),"")</f>
        <v>Preço / valor</v>
      </c>
      <c r="E113" s="13">
        <v>5</v>
      </c>
      <c r="F113" s="13">
        <v>4</v>
      </c>
      <c r="G113" s="15">
        <f t="shared" si="2"/>
        <v>1</v>
      </c>
      <c r="H113" s="15">
        <f t="shared" si="3"/>
        <v>20</v>
      </c>
    </row>
    <row r="114" spans="1:8" ht="15" customHeight="1" x14ac:dyDescent="0.3">
      <c r="A114" s="10" t="s">
        <v>585</v>
      </c>
      <c r="B114" s="10" t="s">
        <v>210</v>
      </c>
      <c r="C114" s="10" t="s">
        <v>851</v>
      </c>
      <c r="D114" s="16" t="str">
        <f>IFERROR(INDEX(tbl_atributos[Atributo],MATCH(C114,tbl_atributos[ID_Atributo],0)),"")</f>
        <v>Qualidade do produto (conformidade, defeitos)</v>
      </c>
      <c r="E114" s="13">
        <v>5</v>
      </c>
      <c r="F114" s="13">
        <v>3</v>
      </c>
      <c r="G114" s="15">
        <f t="shared" si="2"/>
        <v>2</v>
      </c>
      <c r="H114" s="15">
        <f t="shared" si="3"/>
        <v>15</v>
      </c>
    </row>
    <row r="115" spans="1:8" ht="15" customHeight="1" x14ac:dyDescent="0.3">
      <c r="A115" s="10" t="s">
        <v>585</v>
      </c>
      <c r="B115" s="10" t="s">
        <v>210</v>
      </c>
      <c r="C115" s="10" t="s">
        <v>852</v>
      </c>
      <c r="D115" s="16" t="str">
        <f>IFERROR(INDEX(tbl_atributos[Atributo],MATCH(C115,tbl_atributos[ID_Atributo],0)),"")</f>
        <v>Cumprimento de prazos e quantidades</v>
      </c>
      <c r="E115" s="13">
        <v>4</v>
      </c>
      <c r="F115" s="13">
        <v>3</v>
      </c>
      <c r="G115" s="15">
        <f t="shared" si="2"/>
        <v>1</v>
      </c>
      <c r="H115" s="15">
        <f t="shared" si="3"/>
        <v>12</v>
      </c>
    </row>
    <row r="116" spans="1:8" ht="15" customHeight="1" x14ac:dyDescent="0.3">
      <c r="A116" s="10" t="s">
        <v>585</v>
      </c>
      <c r="B116" s="10" t="s">
        <v>210</v>
      </c>
      <c r="C116" s="10" t="s">
        <v>853</v>
      </c>
      <c r="D116" s="16" t="str">
        <f>IFERROR(INDEX(tbl_atributos[Atributo],MATCH(C116,tbl_atributos[ID_Atributo],0)),"")</f>
        <v>Resposta a reclamações</v>
      </c>
      <c r="E116" s="13">
        <v>4</v>
      </c>
      <c r="F116" s="13">
        <v>4</v>
      </c>
      <c r="G116" s="15">
        <f t="shared" si="2"/>
        <v>0</v>
      </c>
      <c r="H116" s="15">
        <f t="shared" si="3"/>
        <v>16</v>
      </c>
    </row>
    <row r="117" spans="1:8" ht="15" customHeight="1" x14ac:dyDescent="0.3">
      <c r="A117" s="10" t="s">
        <v>585</v>
      </c>
      <c r="B117" s="10" t="s">
        <v>210</v>
      </c>
      <c r="C117" s="10" t="s">
        <v>854</v>
      </c>
      <c r="D117" s="16" t="str">
        <f>IFERROR(INDEX(tbl_atributos[Atributo],MATCH(C117,tbl_atributos[ID_Atributo],0)),"")</f>
        <v>Apoio técnico e desenvolvimento</v>
      </c>
      <c r="E117" s="13">
        <v>4</v>
      </c>
      <c r="F117" s="13">
        <v>4</v>
      </c>
      <c r="G117" s="15">
        <f t="shared" si="2"/>
        <v>0</v>
      </c>
      <c r="H117" s="15">
        <f t="shared" si="3"/>
        <v>16</v>
      </c>
    </row>
    <row r="118" spans="1:8" ht="15" customHeight="1" x14ac:dyDescent="0.3">
      <c r="A118" s="10" t="s">
        <v>585</v>
      </c>
      <c r="B118" s="10" t="s">
        <v>210</v>
      </c>
      <c r="C118" s="10" t="s">
        <v>855</v>
      </c>
      <c r="D118" s="16" t="str">
        <f>IFERROR(INDEX(tbl_atributos[Atributo],MATCH(C118,tbl_atributos[ID_Atributo],0)),"")</f>
        <v>Documentação e certificados (FCM, PPWR, CoC)</v>
      </c>
      <c r="E118" s="13">
        <v>4</v>
      </c>
      <c r="F118" s="13">
        <v>3</v>
      </c>
      <c r="G118" s="15">
        <f t="shared" si="2"/>
        <v>1</v>
      </c>
      <c r="H118" s="15">
        <f t="shared" si="3"/>
        <v>12</v>
      </c>
    </row>
    <row r="119" spans="1:8" ht="15" customHeight="1" x14ac:dyDescent="0.3">
      <c r="A119" s="10" t="s">
        <v>585</v>
      </c>
      <c r="B119" s="10" t="s">
        <v>210</v>
      </c>
      <c r="C119" s="10" t="s">
        <v>856</v>
      </c>
      <c r="D119" s="16" t="str">
        <f>IFERROR(INDEX(tbl_atributos[Atributo],MATCH(C119,tbl_atributos[ID_Atributo],0)),"")</f>
        <v>Comunicação comercial</v>
      </c>
      <c r="E119" s="13">
        <v>5</v>
      </c>
      <c r="F119" s="13">
        <v>4</v>
      </c>
      <c r="G119" s="15">
        <f t="shared" si="2"/>
        <v>1</v>
      </c>
      <c r="H119" s="15">
        <f t="shared" si="3"/>
        <v>20</v>
      </c>
    </row>
    <row r="120" spans="1:8" ht="15" customHeight="1" x14ac:dyDescent="0.3">
      <c r="A120" s="10" t="s">
        <v>585</v>
      </c>
      <c r="B120" s="10" t="s">
        <v>210</v>
      </c>
      <c r="C120" s="10" t="s">
        <v>857</v>
      </c>
      <c r="D120" s="16" t="str">
        <f>IFERROR(INDEX(tbl_atributos[Atributo],MATCH(C120,tbl_atributos[ID_Atributo],0)),"")</f>
        <v>Preço / valor</v>
      </c>
      <c r="E120" s="13">
        <v>4</v>
      </c>
      <c r="F120" s="13">
        <v>4</v>
      </c>
      <c r="G120" s="15">
        <f t="shared" si="2"/>
        <v>0</v>
      </c>
      <c r="H120" s="15">
        <f t="shared" si="3"/>
        <v>16</v>
      </c>
    </row>
    <row r="121" spans="1:8" ht="15" customHeight="1" x14ac:dyDescent="0.3">
      <c r="A121" s="10" t="s">
        <v>585</v>
      </c>
      <c r="B121" s="10" t="s">
        <v>328</v>
      </c>
      <c r="C121" s="10" t="s">
        <v>851</v>
      </c>
      <c r="D121" s="16" t="str">
        <f>IFERROR(INDEX(tbl_atributos[Atributo],MATCH(C121,tbl_atributos[ID_Atributo],0)),"")</f>
        <v>Qualidade do produto (conformidade, defeitos)</v>
      </c>
      <c r="E121" s="13">
        <v>5</v>
      </c>
      <c r="F121" s="13">
        <v>4</v>
      </c>
      <c r="G121" s="15">
        <f t="shared" si="2"/>
        <v>1</v>
      </c>
      <c r="H121" s="15">
        <f t="shared" si="3"/>
        <v>20</v>
      </c>
    </row>
    <row r="122" spans="1:8" ht="15" customHeight="1" x14ac:dyDescent="0.3">
      <c r="A122" s="10" t="s">
        <v>585</v>
      </c>
      <c r="B122" s="10" t="s">
        <v>328</v>
      </c>
      <c r="C122" s="10" t="s">
        <v>852</v>
      </c>
      <c r="D122" s="16" t="str">
        <f>IFERROR(INDEX(tbl_atributos[Atributo],MATCH(C122,tbl_atributos[ID_Atributo],0)),"")</f>
        <v>Cumprimento de prazos e quantidades</v>
      </c>
      <c r="E122" s="13">
        <v>5</v>
      </c>
      <c r="F122" s="13">
        <v>3</v>
      </c>
      <c r="G122" s="15">
        <f t="shared" si="2"/>
        <v>2</v>
      </c>
      <c r="H122" s="15">
        <f t="shared" si="3"/>
        <v>15</v>
      </c>
    </row>
    <row r="123" spans="1:8" ht="15" customHeight="1" x14ac:dyDescent="0.3">
      <c r="A123" s="10" t="s">
        <v>585</v>
      </c>
      <c r="B123" s="10" t="s">
        <v>328</v>
      </c>
      <c r="C123" s="10" t="s">
        <v>853</v>
      </c>
      <c r="D123" s="16" t="str">
        <f>IFERROR(INDEX(tbl_atributos[Atributo],MATCH(C123,tbl_atributos[ID_Atributo],0)),"")</f>
        <v>Resposta a reclamações</v>
      </c>
      <c r="E123" s="13">
        <v>4</v>
      </c>
      <c r="F123" s="13">
        <v>4</v>
      </c>
      <c r="G123" s="15">
        <f t="shared" si="2"/>
        <v>0</v>
      </c>
      <c r="H123" s="15">
        <f t="shared" si="3"/>
        <v>16</v>
      </c>
    </row>
    <row r="124" spans="1:8" ht="15" customHeight="1" x14ac:dyDescent="0.3">
      <c r="A124" s="10" t="s">
        <v>585</v>
      </c>
      <c r="B124" s="10" t="s">
        <v>328</v>
      </c>
      <c r="C124" s="10" t="s">
        <v>854</v>
      </c>
      <c r="D124" s="16" t="str">
        <f>IFERROR(INDEX(tbl_atributos[Atributo],MATCH(C124,tbl_atributos[ID_Atributo],0)),"")</f>
        <v>Apoio técnico e desenvolvimento</v>
      </c>
      <c r="E124" s="13">
        <v>4</v>
      </c>
      <c r="F124" s="13">
        <v>4</v>
      </c>
      <c r="G124" s="15">
        <f t="shared" si="2"/>
        <v>0</v>
      </c>
      <c r="H124" s="15">
        <f t="shared" si="3"/>
        <v>16</v>
      </c>
    </row>
    <row r="125" spans="1:8" ht="15" customHeight="1" x14ac:dyDescent="0.3">
      <c r="A125" s="10" t="s">
        <v>585</v>
      </c>
      <c r="B125" s="10" t="s">
        <v>328</v>
      </c>
      <c r="C125" s="10" t="s">
        <v>855</v>
      </c>
      <c r="D125" s="16" t="str">
        <f>IFERROR(INDEX(tbl_atributos[Atributo],MATCH(C125,tbl_atributos[ID_Atributo],0)),"")</f>
        <v>Documentação e certificados (FCM, PPWR, CoC)</v>
      </c>
      <c r="E125" s="13">
        <v>4</v>
      </c>
      <c r="F125" s="13">
        <v>5</v>
      </c>
      <c r="G125" s="15">
        <f t="shared" si="2"/>
        <v>-1</v>
      </c>
      <c r="H125" s="15">
        <f t="shared" si="3"/>
        <v>20</v>
      </c>
    </row>
    <row r="126" spans="1:8" ht="15" customHeight="1" x14ac:dyDescent="0.3">
      <c r="A126" s="10" t="s">
        <v>585</v>
      </c>
      <c r="B126" s="10" t="s">
        <v>328</v>
      </c>
      <c r="C126" s="10" t="s">
        <v>856</v>
      </c>
      <c r="D126" s="16" t="str">
        <f>IFERROR(INDEX(tbl_atributos[Atributo],MATCH(C126,tbl_atributos[ID_Atributo],0)),"")</f>
        <v>Comunicação comercial</v>
      </c>
      <c r="E126" s="13">
        <v>3</v>
      </c>
      <c r="F126" s="13">
        <v>4</v>
      </c>
      <c r="G126" s="15">
        <f t="shared" si="2"/>
        <v>-1</v>
      </c>
      <c r="H126" s="15">
        <f t="shared" si="3"/>
        <v>12</v>
      </c>
    </row>
    <row r="127" spans="1:8" ht="15" customHeight="1" x14ac:dyDescent="0.3">
      <c r="A127" s="10" t="s">
        <v>585</v>
      </c>
      <c r="B127" s="10" t="s">
        <v>328</v>
      </c>
      <c r="C127" s="10" t="s">
        <v>857</v>
      </c>
      <c r="D127" s="16" t="str">
        <f>IFERROR(INDEX(tbl_atributos[Atributo],MATCH(C127,tbl_atributos[ID_Atributo],0)),"")</f>
        <v>Preço / valor</v>
      </c>
      <c r="E127" s="13">
        <v>4</v>
      </c>
      <c r="F127" s="13">
        <v>4</v>
      </c>
      <c r="G127" s="15">
        <f t="shared" si="2"/>
        <v>0</v>
      </c>
      <c r="H127" s="15">
        <f t="shared" si="3"/>
        <v>16</v>
      </c>
    </row>
    <row r="128" spans="1:8" ht="15" customHeight="1" x14ac:dyDescent="0.3">
      <c r="A128" s="10" t="s">
        <v>585</v>
      </c>
      <c r="B128" s="10" t="s">
        <v>139</v>
      </c>
      <c r="C128" s="10" t="s">
        <v>851</v>
      </c>
      <c r="D128" s="16" t="str">
        <f>IFERROR(INDEX(tbl_atributos[Atributo],MATCH(C128,tbl_atributos[ID_Atributo],0)),"")</f>
        <v>Qualidade do produto (conformidade, defeitos)</v>
      </c>
      <c r="E128" s="13">
        <v>5</v>
      </c>
      <c r="F128" s="13">
        <v>4</v>
      </c>
      <c r="G128" s="15">
        <f t="shared" si="2"/>
        <v>1</v>
      </c>
      <c r="H128" s="15">
        <f t="shared" si="3"/>
        <v>20</v>
      </c>
    </row>
    <row r="129" spans="1:8" ht="15" customHeight="1" x14ac:dyDescent="0.3">
      <c r="A129" s="10" t="s">
        <v>585</v>
      </c>
      <c r="B129" s="10" t="s">
        <v>139</v>
      </c>
      <c r="C129" s="10" t="s">
        <v>852</v>
      </c>
      <c r="D129" s="16" t="str">
        <f>IFERROR(INDEX(tbl_atributos[Atributo],MATCH(C129,tbl_atributos[ID_Atributo],0)),"")</f>
        <v>Cumprimento de prazos e quantidades</v>
      </c>
      <c r="E129" s="13">
        <v>5</v>
      </c>
      <c r="F129" s="13">
        <v>3</v>
      </c>
      <c r="G129" s="15">
        <f t="shared" si="2"/>
        <v>2</v>
      </c>
      <c r="H129" s="15">
        <f t="shared" si="3"/>
        <v>15</v>
      </c>
    </row>
    <row r="130" spans="1:8" ht="15" customHeight="1" x14ac:dyDescent="0.3">
      <c r="A130" s="10" t="s">
        <v>585</v>
      </c>
      <c r="B130" s="10" t="s">
        <v>139</v>
      </c>
      <c r="C130" s="10" t="s">
        <v>853</v>
      </c>
      <c r="D130" s="16" t="str">
        <f>IFERROR(INDEX(tbl_atributos[Atributo],MATCH(C130,tbl_atributos[ID_Atributo],0)),"")</f>
        <v>Resposta a reclamações</v>
      </c>
      <c r="E130" s="13">
        <v>4</v>
      </c>
      <c r="F130" s="13">
        <v>4</v>
      </c>
      <c r="G130" s="15">
        <f t="shared" ref="G130:G193" si="4">E130-F130</f>
        <v>0</v>
      </c>
      <c r="H130" s="15">
        <f t="shared" ref="H130:H193" si="5">E130*F130</f>
        <v>16</v>
      </c>
    </row>
    <row r="131" spans="1:8" ht="15" customHeight="1" x14ac:dyDescent="0.3">
      <c r="A131" s="10" t="s">
        <v>585</v>
      </c>
      <c r="B131" s="10" t="s">
        <v>139</v>
      </c>
      <c r="C131" s="10" t="s">
        <v>854</v>
      </c>
      <c r="D131" s="16" t="str">
        <f>IFERROR(INDEX(tbl_atributos[Atributo],MATCH(C131,tbl_atributos[ID_Atributo],0)),"")</f>
        <v>Apoio técnico e desenvolvimento</v>
      </c>
      <c r="E131" s="13">
        <v>4</v>
      </c>
      <c r="F131" s="13">
        <v>4</v>
      </c>
      <c r="G131" s="15">
        <f t="shared" si="4"/>
        <v>0</v>
      </c>
      <c r="H131" s="15">
        <f t="shared" si="5"/>
        <v>16</v>
      </c>
    </row>
    <row r="132" spans="1:8" ht="15" customHeight="1" x14ac:dyDescent="0.3">
      <c r="A132" s="10" t="s">
        <v>585</v>
      </c>
      <c r="B132" s="10" t="s">
        <v>139</v>
      </c>
      <c r="C132" s="10" t="s">
        <v>855</v>
      </c>
      <c r="D132" s="16" t="str">
        <f>IFERROR(INDEX(tbl_atributos[Atributo],MATCH(C132,tbl_atributos[ID_Atributo],0)),"")</f>
        <v>Documentação e certificados (FCM, PPWR, CoC)</v>
      </c>
      <c r="E132" s="13">
        <v>5</v>
      </c>
      <c r="F132" s="13">
        <v>4</v>
      </c>
      <c r="G132" s="15">
        <f t="shared" si="4"/>
        <v>1</v>
      </c>
      <c r="H132" s="15">
        <f t="shared" si="5"/>
        <v>20</v>
      </c>
    </row>
    <row r="133" spans="1:8" ht="15" customHeight="1" x14ac:dyDescent="0.3">
      <c r="A133" s="10" t="s">
        <v>585</v>
      </c>
      <c r="B133" s="10" t="s">
        <v>139</v>
      </c>
      <c r="C133" s="10" t="s">
        <v>856</v>
      </c>
      <c r="D133" s="16" t="str">
        <f>IFERROR(INDEX(tbl_atributos[Atributo],MATCH(C133,tbl_atributos[ID_Atributo],0)),"")</f>
        <v>Comunicação comercial</v>
      </c>
      <c r="E133" s="13">
        <v>4</v>
      </c>
      <c r="F133" s="13">
        <v>4</v>
      </c>
      <c r="G133" s="15">
        <f t="shared" si="4"/>
        <v>0</v>
      </c>
      <c r="H133" s="15">
        <f t="shared" si="5"/>
        <v>16</v>
      </c>
    </row>
    <row r="134" spans="1:8" ht="15" customHeight="1" x14ac:dyDescent="0.3">
      <c r="A134" s="10" t="s">
        <v>585</v>
      </c>
      <c r="B134" s="10" t="s">
        <v>139</v>
      </c>
      <c r="C134" s="10" t="s">
        <v>857</v>
      </c>
      <c r="D134" s="16" t="str">
        <f>IFERROR(INDEX(tbl_atributos[Atributo],MATCH(C134,tbl_atributos[ID_Atributo],0)),"")</f>
        <v>Preço / valor</v>
      </c>
      <c r="E134" s="13">
        <v>4</v>
      </c>
      <c r="F134" s="13">
        <v>4</v>
      </c>
      <c r="G134" s="15">
        <f t="shared" si="4"/>
        <v>0</v>
      </c>
      <c r="H134" s="15">
        <f t="shared" si="5"/>
        <v>16</v>
      </c>
    </row>
    <row r="135" spans="1:8" ht="15" customHeight="1" x14ac:dyDescent="0.3">
      <c r="A135" s="10" t="s">
        <v>585</v>
      </c>
      <c r="B135" s="10" t="s">
        <v>101</v>
      </c>
      <c r="C135" s="10" t="s">
        <v>851</v>
      </c>
      <c r="D135" s="16" t="str">
        <f>IFERROR(INDEX(tbl_atributos[Atributo],MATCH(C135,tbl_atributos[ID_Atributo],0)),"")</f>
        <v>Qualidade do produto (conformidade, defeitos)</v>
      </c>
      <c r="E135" s="13">
        <v>5</v>
      </c>
      <c r="F135" s="13">
        <v>4</v>
      </c>
      <c r="G135" s="15">
        <f t="shared" si="4"/>
        <v>1</v>
      </c>
      <c r="H135" s="15">
        <f t="shared" si="5"/>
        <v>20</v>
      </c>
    </row>
    <row r="136" spans="1:8" ht="15" customHeight="1" x14ac:dyDescent="0.3">
      <c r="A136" s="10" t="s">
        <v>585</v>
      </c>
      <c r="B136" s="10" t="s">
        <v>101</v>
      </c>
      <c r="C136" s="10" t="s">
        <v>852</v>
      </c>
      <c r="D136" s="16" t="str">
        <f>IFERROR(INDEX(tbl_atributos[Atributo],MATCH(C136,tbl_atributos[ID_Atributo],0)),"")</f>
        <v>Cumprimento de prazos e quantidades</v>
      </c>
      <c r="E136" s="13">
        <v>4</v>
      </c>
      <c r="F136" s="13">
        <v>3</v>
      </c>
      <c r="G136" s="15">
        <f t="shared" si="4"/>
        <v>1</v>
      </c>
      <c r="H136" s="15">
        <f t="shared" si="5"/>
        <v>12</v>
      </c>
    </row>
    <row r="137" spans="1:8" ht="15" customHeight="1" x14ac:dyDescent="0.3">
      <c r="A137" s="10" t="s">
        <v>585</v>
      </c>
      <c r="B137" s="10" t="s">
        <v>101</v>
      </c>
      <c r="C137" s="10" t="s">
        <v>853</v>
      </c>
      <c r="D137" s="16" t="str">
        <f>IFERROR(INDEX(tbl_atributos[Atributo],MATCH(C137,tbl_atributos[ID_Atributo],0)),"")</f>
        <v>Resposta a reclamações</v>
      </c>
      <c r="E137" s="13">
        <v>5</v>
      </c>
      <c r="F137" s="13">
        <v>3</v>
      </c>
      <c r="G137" s="15">
        <f t="shared" si="4"/>
        <v>2</v>
      </c>
      <c r="H137" s="15">
        <f t="shared" si="5"/>
        <v>15</v>
      </c>
    </row>
    <row r="138" spans="1:8" ht="15" customHeight="1" x14ac:dyDescent="0.3">
      <c r="A138" s="10" t="s">
        <v>585</v>
      </c>
      <c r="B138" s="10" t="s">
        <v>101</v>
      </c>
      <c r="C138" s="10" t="s">
        <v>854</v>
      </c>
      <c r="D138" s="16" t="str">
        <f>IFERROR(INDEX(tbl_atributos[Atributo],MATCH(C138,tbl_atributos[ID_Atributo],0)),"")</f>
        <v>Apoio técnico e desenvolvimento</v>
      </c>
      <c r="E138" s="13">
        <v>3</v>
      </c>
      <c r="F138" s="13">
        <v>4</v>
      </c>
      <c r="G138" s="15">
        <f t="shared" si="4"/>
        <v>-1</v>
      </c>
      <c r="H138" s="15">
        <f t="shared" si="5"/>
        <v>12</v>
      </c>
    </row>
    <row r="139" spans="1:8" ht="15" customHeight="1" x14ac:dyDescent="0.3">
      <c r="A139" s="10" t="s">
        <v>585</v>
      </c>
      <c r="B139" s="10" t="s">
        <v>101</v>
      </c>
      <c r="C139" s="10" t="s">
        <v>855</v>
      </c>
      <c r="D139" s="16" t="str">
        <f>IFERROR(INDEX(tbl_atributos[Atributo],MATCH(C139,tbl_atributos[ID_Atributo],0)),"")</f>
        <v>Documentação e certificados (FCM, PPWR, CoC)</v>
      </c>
      <c r="E139" s="13">
        <v>4</v>
      </c>
      <c r="F139" s="13">
        <v>4</v>
      </c>
      <c r="G139" s="15">
        <f t="shared" si="4"/>
        <v>0</v>
      </c>
      <c r="H139" s="15">
        <f t="shared" si="5"/>
        <v>16</v>
      </c>
    </row>
    <row r="140" spans="1:8" ht="15" customHeight="1" x14ac:dyDescent="0.3">
      <c r="A140" s="10" t="s">
        <v>585</v>
      </c>
      <c r="B140" s="10" t="s">
        <v>101</v>
      </c>
      <c r="C140" s="10" t="s">
        <v>856</v>
      </c>
      <c r="D140" s="16" t="str">
        <f>IFERROR(INDEX(tbl_atributos[Atributo],MATCH(C140,tbl_atributos[ID_Atributo],0)),"")</f>
        <v>Comunicação comercial</v>
      </c>
      <c r="E140" s="13">
        <v>4</v>
      </c>
      <c r="F140" s="13">
        <v>3</v>
      </c>
      <c r="G140" s="15">
        <f t="shared" si="4"/>
        <v>1</v>
      </c>
      <c r="H140" s="15">
        <f t="shared" si="5"/>
        <v>12</v>
      </c>
    </row>
    <row r="141" spans="1:8" ht="15" customHeight="1" x14ac:dyDescent="0.3">
      <c r="A141" s="10" t="s">
        <v>585</v>
      </c>
      <c r="B141" s="10" t="s">
        <v>101</v>
      </c>
      <c r="C141" s="10" t="s">
        <v>857</v>
      </c>
      <c r="D141" s="16" t="str">
        <f>IFERROR(INDEX(tbl_atributos[Atributo],MATCH(C141,tbl_atributos[ID_Atributo],0)),"")</f>
        <v>Preço / valor</v>
      </c>
      <c r="E141" s="13">
        <v>4</v>
      </c>
      <c r="F141" s="13">
        <v>4</v>
      </c>
      <c r="G141" s="15">
        <f t="shared" si="4"/>
        <v>0</v>
      </c>
      <c r="H141" s="15">
        <f t="shared" si="5"/>
        <v>16</v>
      </c>
    </row>
    <row r="142" spans="1:8" ht="15" customHeight="1" x14ac:dyDescent="0.3">
      <c r="A142" s="10" t="s">
        <v>585</v>
      </c>
      <c r="B142" s="10" t="s">
        <v>182</v>
      </c>
      <c r="C142" s="10" t="s">
        <v>851</v>
      </c>
      <c r="D142" s="16" t="str">
        <f>IFERROR(INDEX(tbl_atributos[Atributo],MATCH(C142,tbl_atributos[ID_Atributo],0)),"")</f>
        <v>Qualidade do produto (conformidade, defeitos)</v>
      </c>
      <c r="E142" s="13">
        <v>4</v>
      </c>
      <c r="F142" s="13">
        <v>4</v>
      </c>
      <c r="G142" s="15">
        <f t="shared" si="4"/>
        <v>0</v>
      </c>
      <c r="H142" s="15">
        <f t="shared" si="5"/>
        <v>16</v>
      </c>
    </row>
    <row r="143" spans="1:8" ht="15" customHeight="1" x14ac:dyDescent="0.3">
      <c r="A143" s="10" t="s">
        <v>585</v>
      </c>
      <c r="B143" s="10" t="s">
        <v>182</v>
      </c>
      <c r="C143" s="10" t="s">
        <v>852</v>
      </c>
      <c r="D143" s="16" t="str">
        <f>IFERROR(INDEX(tbl_atributos[Atributo],MATCH(C143,tbl_atributos[ID_Atributo],0)),"")</f>
        <v>Cumprimento de prazos e quantidades</v>
      </c>
      <c r="E143" s="13">
        <v>5</v>
      </c>
      <c r="F143" s="13">
        <v>3</v>
      </c>
      <c r="G143" s="15">
        <f t="shared" si="4"/>
        <v>2</v>
      </c>
      <c r="H143" s="15">
        <f t="shared" si="5"/>
        <v>15</v>
      </c>
    </row>
    <row r="144" spans="1:8" ht="15" customHeight="1" x14ac:dyDescent="0.3">
      <c r="A144" s="10" t="s">
        <v>585</v>
      </c>
      <c r="B144" s="10" t="s">
        <v>182</v>
      </c>
      <c r="C144" s="10" t="s">
        <v>853</v>
      </c>
      <c r="D144" s="16" t="str">
        <f>IFERROR(INDEX(tbl_atributos[Atributo],MATCH(C144,tbl_atributos[ID_Atributo],0)),"")</f>
        <v>Resposta a reclamações</v>
      </c>
      <c r="E144" s="13">
        <v>5</v>
      </c>
      <c r="F144" s="13">
        <v>4</v>
      </c>
      <c r="G144" s="15">
        <f t="shared" si="4"/>
        <v>1</v>
      </c>
      <c r="H144" s="15">
        <f t="shared" si="5"/>
        <v>20</v>
      </c>
    </row>
    <row r="145" spans="1:8" ht="15" customHeight="1" x14ac:dyDescent="0.3">
      <c r="A145" s="10" t="s">
        <v>585</v>
      </c>
      <c r="B145" s="10" t="s">
        <v>182</v>
      </c>
      <c r="C145" s="10" t="s">
        <v>854</v>
      </c>
      <c r="D145" s="16" t="str">
        <f>IFERROR(INDEX(tbl_atributos[Atributo],MATCH(C145,tbl_atributos[ID_Atributo],0)),"")</f>
        <v>Apoio técnico e desenvolvimento</v>
      </c>
      <c r="E145" s="13">
        <v>3</v>
      </c>
      <c r="F145" s="13">
        <v>4</v>
      </c>
      <c r="G145" s="15">
        <f t="shared" si="4"/>
        <v>-1</v>
      </c>
      <c r="H145" s="15">
        <f t="shared" si="5"/>
        <v>12</v>
      </c>
    </row>
    <row r="146" spans="1:8" ht="15" customHeight="1" x14ac:dyDescent="0.3">
      <c r="A146" s="10" t="s">
        <v>585</v>
      </c>
      <c r="B146" s="10" t="s">
        <v>182</v>
      </c>
      <c r="C146" s="10" t="s">
        <v>855</v>
      </c>
      <c r="D146" s="16" t="str">
        <f>IFERROR(INDEX(tbl_atributos[Atributo],MATCH(C146,tbl_atributos[ID_Atributo],0)),"")</f>
        <v>Documentação e certificados (FCM, PPWR, CoC)</v>
      </c>
      <c r="E146" s="13">
        <v>4</v>
      </c>
      <c r="F146" s="13">
        <v>4</v>
      </c>
      <c r="G146" s="15">
        <f t="shared" si="4"/>
        <v>0</v>
      </c>
      <c r="H146" s="15">
        <f t="shared" si="5"/>
        <v>16</v>
      </c>
    </row>
    <row r="147" spans="1:8" ht="15" customHeight="1" x14ac:dyDescent="0.3">
      <c r="A147" s="10" t="s">
        <v>585</v>
      </c>
      <c r="B147" s="10" t="s">
        <v>182</v>
      </c>
      <c r="C147" s="10" t="s">
        <v>856</v>
      </c>
      <c r="D147" s="16" t="str">
        <f>IFERROR(INDEX(tbl_atributos[Atributo],MATCH(C147,tbl_atributos[ID_Atributo],0)),"")</f>
        <v>Comunicação comercial</v>
      </c>
      <c r="E147" s="13">
        <v>3</v>
      </c>
      <c r="F147" s="13">
        <v>3</v>
      </c>
      <c r="G147" s="15">
        <f t="shared" si="4"/>
        <v>0</v>
      </c>
      <c r="H147" s="15">
        <f t="shared" si="5"/>
        <v>9</v>
      </c>
    </row>
    <row r="148" spans="1:8" ht="15" customHeight="1" x14ac:dyDescent="0.3">
      <c r="A148" s="10" t="s">
        <v>585</v>
      </c>
      <c r="B148" s="10" t="s">
        <v>182</v>
      </c>
      <c r="C148" s="10" t="s">
        <v>857</v>
      </c>
      <c r="D148" s="16" t="str">
        <f>IFERROR(INDEX(tbl_atributos[Atributo],MATCH(C148,tbl_atributos[ID_Atributo],0)),"")</f>
        <v>Preço / valor</v>
      </c>
      <c r="E148" s="13">
        <v>3</v>
      </c>
      <c r="F148" s="13">
        <v>4</v>
      </c>
      <c r="G148" s="15">
        <f t="shared" si="4"/>
        <v>-1</v>
      </c>
      <c r="H148" s="15">
        <f t="shared" si="5"/>
        <v>12</v>
      </c>
    </row>
    <row r="149" spans="1:8" ht="15" customHeight="1" x14ac:dyDescent="0.3">
      <c r="A149" s="10" t="s">
        <v>585</v>
      </c>
      <c r="B149" s="10" t="s">
        <v>320</v>
      </c>
      <c r="C149" s="10" t="s">
        <v>851</v>
      </c>
      <c r="D149" s="16" t="str">
        <f>IFERROR(INDEX(tbl_atributos[Atributo],MATCH(C149,tbl_atributos[ID_Atributo],0)),"")</f>
        <v>Qualidade do produto (conformidade, defeitos)</v>
      </c>
      <c r="E149" s="13">
        <v>5</v>
      </c>
      <c r="F149" s="13">
        <v>4</v>
      </c>
      <c r="G149" s="15">
        <f t="shared" si="4"/>
        <v>1</v>
      </c>
      <c r="H149" s="15">
        <f t="shared" si="5"/>
        <v>20</v>
      </c>
    </row>
    <row r="150" spans="1:8" ht="15" customHeight="1" x14ac:dyDescent="0.3">
      <c r="A150" s="10" t="s">
        <v>585</v>
      </c>
      <c r="B150" s="10" t="s">
        <v>320</v>
      </c>
      <c r="C150" s="10" t="s">
        <v>852</v>
      </c>
      <c r="D150" s="16" t="str">
        <f>IFERROR(INDEX(tbl_atributos[Atributo],MATCH(C150,tbl_atributos[ID_Atributo],0)),"")</f>
        <v>Cumprimento de prazos e quantidades</v>
      </c>
      <c r="E150" s="13">
        <v>4</v>
      </c>
      <c r="F150" s="13">
        <v>4</v>
      </c>
      <c r="G150" s="15">
        <f t="shared" si="4"/>
        <v>0</v>
      </c>
      <c r="H150" s="15">
        <f t="shared" si="5"/>
        <v>16</v>
      </c>
    </row>
    <row r="151" spans="1:8" ht="15" customHeight="1" x14ac:dyDescent="0.3">
      <c r="A151" s="10" t="s">
        <v>585</v>
      </c>
      <c r="B151" s="10" t="s">
        <v>320</v>
      </c>
      <c r="C151" s="10" t="s">
        <v>853</v>
      </c>
      <c r="D151" s="16" t="str">
        <f>IFERROR(INDEX(tbl_atributos[Atributo],MATCH(C151,tbl_atributos[ID_Atributo],0)),"")</f>
        <v>Resposta a reclamações</v>
      </c>
      <c r="E151" s="13">
        <v>4</v>
      </c>
      <c r="F151" s="13">
        <v>4</v>
      </c>
      <c r="G151" s="15">
        <f t="shared" si="4"/>
        <v>0</v>
      </c>
      <c r="H151" s="15">
        <f t="shared" si="5"/>
        <v>16</v>
      </c>
    </row>
    <row r="152" spans="1:8" ht="15" customHeight="1" x14ac:dyDescent="0.3">
      <c r="A152" s="10" t="s">
        <v>585</v>
      </c>
      <c r="B152" s="10" t="s">
        <v>320</v>
      </c>
      <c r="C152" s="10" t="s">
        <v>854</v>
      </c>
      <c r="D152" s="16" t="str">
        <f>IFERROR(INDEX(tbl_atributos[Atributo],MATCH(C152,tbl_atributos[ID_Atributo],0)),"")</f>
        <v>Apoio técnico e desenvolvimento</v>
      </c>
      <c r="E152" s="13">
        <v>3</v>
      </c>
      <c r="F152" s="13">
        <v>4</v>
      </c>
      <c r="G152" s="15">
        <f t="shared" si="4"/>
        <v>-1</v>
      </c>
      <c r="H152" s="15">
        <f t="shared" si="5"/>
        <v>12</v>
      </c>
    </row>
    <row r="153" spans="1:8" ht="15" customHeight="1" x14ac:dyDescent="0.3">
      <c r="A153" s="10" t="s">
        <v>585</v>
      </c>
      <c r="B153" s="10" t="s">
        <v>320</v>
      </c>
      <c r="C153" s="10" t="s">
        <v>855</v>
      </c>
      <c r="D153" s="16" t="str">
        <f>IFERROR(INDEX(tbl_atributos[Atributo],MATCH(C153,tbl_atributos[ID_Atributo],0)),"")</f>
        <v>Documentação e certificados (FCM, PPWR, CoC)</v>
      </c>
      <c r="E153" s="13">
        <v>4</v>
      </c>
      <c r="F153" s="13">
        <v>4</v>
      </c>
      <c r="G153" s="15">
        <f t="shared" si="4"/>
        <v>0</v>
      </c>
      <c r="H153" s="15">
        <f t="shared" si="5"/>
        <v>16</v>
      </c>
    </row>
    <row r="154" spans="1:8" ht="15" customHeight="1" x14ac:dyDescent="0.3">
      <c r="A154" s="10" t="s">
        <v>585</v>
      </c>
      <c r="B154" s="10" t="s">
        <v>320</v>
      </c>
      <c r="C154" s="10" t="s">
        <v>856</v>
      </c>
      <c r="D154" s="16" t="str">
        <f>IFERROR(INDEX(tbl_atributos[Atributo],MATCH(C154,tbl_atributos[ID_Atributo],0)),"")</f>
        <v>Comunicação comercial</v>
      </c>
      <c r="E154" s="13">
        <v>4</v>
      </c>
      <c r="F154" s="13">
        <v>4</v>
      </c>
      <c r="G154" s="15">
        <f t="shared" si="4"/>
        <v>0</v>
      </c>
      <c r="H154" s="15">
        <f t="shared" si="5"/>
        <v>16</v>
      </c>
    </row>
    <row r="155" spans="1:8" ht="15" customHeight="1" x14ac:dyDescent="0.3">
      <c r="A155" s="10" t="s">
        <v>585</v>
      </c>
      <c r="B155" s="10" t="s">
        <v>320</v>
      </c>
      <c r="C155" s="10" t="s">
        <v>857</v>
      </c>
      <c r="D155" s="16" t="str">
        <f>IFERROR(INDEX(tbl_atributos[Atributo],MATCH(C155,tbl_atributos[ID_Atributo],0)),"")</f>
        <v>Preço / valor</v>
      </c>
      <c r="E155" s="13">
        <v>4</v>
      </c>
      <c r="F155" s="13">
        <v>4</v>
      </c>
      <c r="G155" s="15">
        <f t="shared" si="4"/>
        <v>0</v>
      </c>
      <c r="H155" s="15">
        <f t="shared" si="5"/>
        <v>16</v>
      </c>
    </row>
    <row r="156" spans="1:8" ht="15" customHeight="1" x14ac:dyDescent="0.3">
      <c r="A156" s="10" t="s">
        <v>585</v>
      </c>
      <c r="B156" s="10" t="s">
        <v>113</v>
      </c>
      <c r="C156" s="10" t="s">
        <v>851</v>
      </c>
      <c r="D156" s="16" t="str">
        <f>IFERROR(INDEX(tbl_atributos[Atributo],MATCH(C156,tbl_atributos[ID_Atributo],0)),"")</f>
        <v>Qualidade do produto (conformidade, defeitos)</v>
      </c>
      <c r="E156" s="13">
        <v>5</v>
      </c>
      <c r="F156" s="13">
        <v>4</v>
      </c>
      <c r="G156" s="15">
        <f t="shared" si="4"/>
        <v>1</v>
      </c>
      <c r="H156" s="15">
        <f t="shared" si="5"/>
        <v>20</v>
      </c>
    </row>
    <row r="157" spans="1:8" ht="15" customHeight="1" x14ac:dyDescent="0.3">
      <c r="A157" s="10" t="s">
        <v>585</v>
      </c>
      <c r="B157" s="10" t="s">
        <v>113</v>
      </c>
      <c r="C157" s="10" t="s">
        <v>852</v>
      </c>
      <c r="D157" s="16" t="str">
        <f>IFERROR(INDEX(tbl_atributos[Atributo],MATCH(C157,tbl_atributos[ID_Atributo],0)),"")</f>
        <v>Cumprimento de prazos e quantidades</v>
      </c>
      <c r="E157" s="13">
        <v>5</v>
      </c>
      <c r="F157" s="13">
        <v>2</v>
      </c>
      <c r="G157" s="15">
        <f t="shared" si="4"/>
        <v>3</v>
      </c>
      <c r="H157" s="15">
        <f t="shared" si="5"/>
        <v>10</v>
      </c>
    </row>
    <row r="158" spans="1:8" ht="15" customHeight="1" x14ac:dyDescent="0.3">
      <c r="A158" s="10" t="s">
        <v>585</v>
      </c>
      <c r="B158" s="10" t="s">
        <v>113</v>
      </c>
      <c r="C158" s="10" t="s">
        <v>853</v>
      </c>
      <c r="D158" s="16" t="str">
        <f>IFERROR(INDEX(tbl_atributos[Atributo],MATCH(C158,tbl_atributos[ID_Atributo],0)),"")</f>
        <v>Resposta a reclamações</v>
      </c>
      <c r="E158" s="13">
        <v>4</v>
      </c>
      <c r="F158" s="13">
        <v>4</v>
      </c>
      <c r="G158" s="15">
        <f t="shared" si="4"/>
        <v>0</v>
      </c>
      <c r="H158" s="15">
        <f t="shared" si="5"/>
        <v>16</v>
      </c>
    </row>
    <row r="159" spans="1:8" ht="15" customHeight="1" x14ac:dyDescent="0.3">
      <c r="A159" s="10" t="s">
        <v>585</v>
      </c>
      <c r="B159" s="10" t="s">
        <v>113</v>
      </c>
      <c r="C159" s="10" t="s">
        <v>854</v>
      </c>
      <c r="D159" s="16" t="str">
        <f>IFERROR(INDEX(tbl_atributos[Atributo],MATCH(C159,tbl_atributos[ID_Atributo],0)),"")</f>
        <v>Apoio técnico e desenvolvimento</v>
      </c>
      <c r="E159" s="13">
        <v>4</v>
      </c>
      <c r="F159" s="13">
        <v>4</v>
      </c>
      <c r="G159" s="15">
        <f t="shared" si="4"/>
        <v>0</v>
      </c>
      <c r="H159" s="15">
        <f t="shared" si="5"/>
        <v>16</v>
      </c>
    </row>
    <row r="160" spans="1:8" ht="15" customHeight="1" x14ac:dyDescent="0.3">
      <c r="A160" s="10" t="s">
        <v>585</v>
      </c>
      <c r="B160" s="10" t="s">
        <v>113</v>
      </c>
      <c r="C160" s="10" t="s">
        <v>855</v>
      </c>
      <c r="D160" s="16" t="str">
        <f>IFERROR(INDEX(tbl_atributos[Atributo],MATCH(C160,tbl_atributos[ID_Atributo],0)),"")</f>
        <v>Documentação e certificados (FCM, PPWR, CoC)</v>
      </c>
      <c r="E160" s="13">
        <v>4</v>
      </c>
      <c r="F160" s="13">
        <v>4</v>
      </c>
      <c r="G160" s="15">
        <f t="shared" si="4"/>
        <v>0</v>
      </c>
      <c r="H160" s="15">
        <f t="shared" si="5"/>
        <v>16</v>
      </c>
    </row>
    <row r="161" spans="1:8" ht="15" customHeight="1" x14ac:dyDescent="0.3">
      <c r="A161" s="10" t="s">
        <v>585</v>
      </c>
      <c r="B161" s="10" t="s">
        <v>113</v>
      </c>
      <c r="C161" s="10" t="s">
        <v>856</v>
      </c>
      <c r="D161" s="16" t="str">
        <f>IFERROR(INDEX(tbl_atributos[Atributo],MATCH(C161,tbl_atributos[ID_Atributo],0)),"")</f>
        <v>Comunicação comercial</v>
      </c>
      <c r="E161" s="13">
        <v>4</v>
      </c>
      <c r="F161" s="13">
        <v>4</v>
      </c>
      <c r="G161" s="15">
        <f t="shared" si="4"/>
        <v>0</v>
      </c>
      <c r="H161" s="15">
        <f t="shared" si="5"/>
        <v>16</v>
      </c>
    </row>
    <row r="162" spans="1:8" ht="15" customHeight="1" x14ac:dyDescent="0.3">
      <c r="A162" s="10" t="s">
        <v>585</v>
      </c>
      <c r="B162" s="10" t="s">
        <v>113</v>
      </c>
      <c r="C162" s="10" t="s">
        <v>857</v>
      </c>
      <c r="D162" s="16" t="str">
        <f>IFERROR(INDEX(tbl_atributos[Atributo],MATCH(C162,tbl_atributos[ID_Atributo],0)),"")</f>
        <v>Preço / valor</v>
      </c>
      <c r="E162" s="13">
        <v>4</v>
      </c>
      <c r="F162" s="13">
        <v>4</v>
      </c>
      <c r="G162" s="15">
        <f t="shared" si="4"/>
        <v>0</v>
      </c>
      <c r="H162" s="15">
        <f t="shared" si="5"/>
        <v>16</v>
      </c>
    </row>
    <row r="163" spans="1:8" ht="15" customHeight="1" x14ac:dyDescent="0.3">
      <c r="A163" s="10" t="s">
        <v>585</v>
      </c>
      <c r="B163" s="10" t="s">
        <v>247</v>
      </c>
      <c r="C163" s="10" t="s">
        <v>851</v>
      </c>
      <c r="D163" s="16" t="str">
        <f>IFERROR(INDEX(tbl_atributos[Atributo],MATCH(C163,tbl_atributos[ID_Atributo],0)),"")</f>
        <v>Qualidade do produto (conformidade, defeitos)</v>
      </c>
      <c r="E163" s="13">
        <v>5</v>
      </c>
      <c r="F163" s="13">
        <v>4</v>
      </c>
      <c r="G163" s="15">
        <f t="shared" si="4"/>
        <v>1</v>
      </c>
      <c r="H163" s="15">
        <f t="shared" si="5"/>
        <v>20</v>
      </c>
    </row>
    <row r="164" spans="1:8" ht="15" customHeight="1" x14ac:dyDescent="0.3">
      <c r="A164" s="10" t="s">
        <v>585</v>
      </c>
      <c r="B164" s="10" t="s">
        <v>247</v>
      </c>
      <c r="C164" s="10" t="s">
        <v>852</v>
      </c>
      <c r="D164" s="16" t="str">
        <f>IFERROR(INDEX(tbl_atributos[Atributo],MATCH(C164,tbl_atributos[ID_Atributo],0)),"")</f>
        <v>Cumprimento de prazos e quantidades</v>
      </c>
      <c r="E164" s="13">
        <v>5</v>
      </c>
      <c r="F164" s="13">
        <v>2</v>
      </c>
      <c r="G164" s="15">
        <f t="shared" si="4"/>
        <v>3</v>
      </c>
      <c r="H164" s="15">
        <f t="shared" si="5"/>
        <v>10</v>
      </c>
    </row>
    <row r="165" spans="1:8" ht="15" customHeight="1" x14ac:dyDescent="0.3">
      <c r="A165" s="10" t="s">
        <v>585</v>
      </c>
      <c r="B165" s="10" t="s">
        <v>247</v>
      </c>
      <c r="C165" s="10" t="s">
        <v>853</v>
      </c>
      <c r="D165" s="16" t="str">
        <f>IFERROR(INDEX(tbl_atributos[Atributo],MATCH(C165,tbl_atributos[ID_Atributo],0)),"")</f>
        <v>Resposta a reclamações</v>
      </c>
      <c r="E165" s="13">
        <v>4</v>
      </c>
      <c r="F165" s="13">
        <v>4</v>
      </c>
      <c r="G165" s="15">
        <f t="shared" si="4"/>
        <v>0</v>
      </c>
      <c r="H165" s="15">
        <f t="shared" si="5"/>
        <v>16</v>
      </c>
    </row>
    <row r="166" spans="1:8" ht="15" customHeight="1" x14ac:dyDescent="0.3">
      <c r="A166" s="10" t="s">
        <v>585</v>
      </c>
      <c r="B166" s="10" t="s">
        <v>247</v>
      </c>
      <c r="C166" s="10" t="s">
        <v>854</v>
      </c>
      <c r="D166" s="16" t="str">
        <f>IFERROR(INDEX(tbl_atributos[Atributo],MATCH(C166,tbl_atributos[ID_Atributo],0)),"")</f>
        <v>Apoio técnico e desenvolvimento</v>
      </c>
      <c r="E166" s="13">
        <v>4</v>
      </c>
      <c r="F166" s="13">
        <v>4</v>
      </c>
      <c r="G166" s="15">
        <f t="shared" si="4"/>
        <v>0</v>
      </c>
      <c r="H166" s="15">
        <f t="shared" si="5"/>
        <v>16</v>
      </c>
    </row>
    <row r="167" spans="1:8" ht="15" customHeight="1" x14ac:dyDescent="0.3">
      <c r="A167" s="10" t="s">
        <v>585</v>
      </c>
      <c r="B167" s="10" t="s">
        <v>247</v>
      </c>
      <c r="C167" s="10" t="s">
        <v>855</v>
      </c>
      <c r="D167" s="16" t="str">
        <f>IFERROR(INDEX(tbl_atributos[Atributo],MATCH(C167,tbl_atributos[ID_Atributo],0)),"")</f>
        <v>Documentação e certificados (FCM, PPWR, CoC)</v>
      </c>
      <c r="E167" s="13">
        <v>4</v>
      </c>
      <c r="F167" s="13">
        <v>4</v>
      </c>
      <c r="G167" s="15">
        <f t="shared" si="4"/>
        <v>0</v>
      </c>
      <c r="H167" s="15">
        <f t="shared" si="5"/>
        <v>16</v>
      </c>
    </row>
    <row r="168" spans="1:8" ht="15" customHeight="1" x14ac:dyDescent="0.3">
      <c r="A168" s="10" t="s">
        <v>585</v>
      </c>
      <c r="B168" s="10" t="s">
        <v>247</v>
      </c>
      <c r="C168" s="10" t="s">
        <v>856</v>
      </c>
      <c r="D168" s="16" t="str">
        <f>IFERROR(INDEX(tbl_atributos[Atributo],MATCH(C168,tbl_atributos[ID_Atributo],0)),"")</f>
        <v>Comunicação comercial</v>
      </c>
      <c r="E168" s="13">
        <v>4</v>
      </c>
      <c r="F168" s="13">
        <v>4</v>
      </c>
      <c r="G168" s="15">
        <f t="shared" si="4"/>
        <v>0</v>
      </c>
      <c r="H168" s="15">
        <f t="shared" si="5"/>
        <v>16</v>
      </c>
    </row>
    <row r="169" spans="1:8" ht="15" customHeight="1" x14ac:dyDescent="0.3">
      <c r="A169" s="10" t="s">
        <v>585</v>
      </c>
      <c r="B169" s="10" t="s">
        <v>247</v>
      </c>
      <c r="C169" s="10" t="s">
        <v>857</v>
      </c>
      <c r="D169" s="16" t="str">
        <f>IFERROR(INDEX(tbl_atributos[Atributo],MATCH(C169,tbl_atributos[ID_Atributo],0)),"")</f>
        <v>Preço / valor</v>
      </c>
      <c r="E169" s="13">
        <v>4</v>
      </c>
      <c r="F169" s="13">
        <v>4</v>
      </c>
      <c r="G169" s="15">
        <f t="shared" si="4"/>
        <v>0</v>
      </c>
      <c r="H169" s="15">
        <f t="shared" si="5"/>
        <v>16</v>
      </c>
    </row>
    <row r="170" spans="1:8" ht="15" customHeight="1" x14ac:dyDescent="0.3">
      <c r="A170" s="10" t="s">
        <v>585</v>
      </c>
      <c r="B170" s="10" t="s">
        <v>267</v>
      </c>
      <c r="C170" s="10" t="s">
        <v>851</v>
      </c>
      <c r="D170" s="16" t="str">
        <f>IFERROR(INDEX(tbl_atributos[Atributo],MATCH(C170,tbl_atributos[ID_Atributo],0)),"")</f>
        <v>Qualidade do produto (conformidade, defeitos)</v>
      </c>
      <c r="E170" s="13">
        <v>5</v>
      </c>
      <c r="F170" s="13">
        <v>4</v>
      </c>
      <c r="G170" s="15">
        <f t="shared" si="4"/>
        <v>1</v>
      </c>
      <c r="H170" s="15">
        <f t="shared" si="5"/>
        <v>20</v>
      </c>
    </row>
    <row r="171" spans="1:8" ht="15" customHeight="1" x14ac:dyDescent="0.3">
      <c r="A171" s="10" t="s">
        <v>585</v>
      </c>
      <c r="B171" s="10" t="s">
        <v>267</v>
      </c>
      <c r="C171" s="10" t="s">
        <v>852</v>
      </c>
      <c r="D171" s="16" t="str">
        <f>IFERROR(INDEX(tbl_atributos[Atributo],MATCH(C171,tbl_atributos[ID_Atributo],0)),"")</f>
        <v>Cumprimento de prazos e quantidades</v>
      </c>
      <c r="E171" s="13">
        <v>5</v>
      </c>
      <c r="F171" s="13">
        <v>3</v>
      </c>
      <c r="G171" s="15">
        <f t="shared" si="4"/>
        <v>2</v>
      </c>
      <c r="H171" s="15">
        <f t="shared" si="5"/>
        <v>15</v>
      </c>
    </row>
    <row r="172" spans="1:8" ht="15" customHeight="1" x14ac:dyDescent="0.3">
      <c r="A172" s="10" t="s">
        <v>585</v>
      </c>
      <c r="B172" s="10" t="s">
        <v>267</v>
      </c>
      <c r="C172" s="10" t="s">
        <v>853</v>
      </c>
      <c r="D172" s="16" t="str">
        <f>IFERROR(INDEX(tbl_atributos[Atributo],MATCH(C172,tbl_atributos[ID_Atributo],0)),"")</f>
        <v>Resposta a reclamações</v>
      </c>
      <c r="E172" s="13">
        <v>5</v>
      </c>
      <c r="F172" s="13">
        <v>4</v>
      </c>
      <c r="G172" s="15">
        <f t="shared" si="4"/>
        <v>1</v>
      </c>
      <c r="H172" s="15">
        <f t="shared" si="5"/>
        <v>20</v>
      </c>
    </row>
    <row r="173" spans="1:8" ht="15" customHeight="1" x14ac:dyDescent="0.3">
      <c r="A173" s="10" t="s">
        <v>585</v>
      </c>
      <c r="B173" s="10" t="s">
        <v>267</v>
      </c>
      <c r="C173" s="10" t="s">
        <v>854</v>
      </c>
      <c r="D173" s="16" t="str">
        <f>IFERROR(INDEX(tbl_atributos[Atributo],MATCH(C173,tbl_atributos[ID_Atributo],0)),"")</f>
        <v>Apoio técnico e desenvolvimento</v>
      </c>
      <c r="E173" s="13">
        <v>4</v>
      </c>
      <c r="F173" s="13">
        <v>4</v>
      </c>
      <c r="G173" s="15">
        <f t="shared" si="4"/>
        <v>0</v>
      </c>
      <c r="H173" s="15">
        <f t="shared" si="5"/>
        <v>16</v>
      </c>
    </row>
    <row r="174" spans="1:8" ht="15" customHeight="1" x14ac:dyDescent="0.3">
      <c r="A174" s="10" t="s">
        <v>585</v>
      </c>
      <c r="B174" s="10" t="s">
        <v>267</v>
      </c>
      <c r="C174" s="10" t="s">
        <v>855</v>
      </c>
      <c r="D174" s="16" t="str">
        <f>IFERROR(INDEX(tbl_atributos[Atributo],MATCH(C174,tbl_atributos[ID_Atributo],0)),"")</f>
        <v>Documentação e certificados (FCM, PPWR, CoC)</v>
      </c>
      <c r="E174" s="13">
        <v>4</v>
      </c>
      <c r="F174" s="13">
        <v>4</v>
      </c>
      <c r="G174" s="15">
        <f t="shared" si="4"/>
        <v>0</v>
      </c>
      <c r="H174" s="15">
        <f t="shared" si="5"/>
        <v>16</v>
      </c>
    </row>
    <row r="175" spans="1:8" ht="15" customHeight="1" x14ac:dyDescent="0.3">
      <c r="A175" s="10" t="s">
        <v>585</v>
      </c>
      <c r="B175" s="10" t="s">
        <v>267</v>
      </c>
      <c r="C175" s="10" t="s">
        <v>856</v>
      </c>
      <c r="D175" s="16" t="str">
        <f>IFERROR(INDEX(tbl_atributos[Atributo],MATCH(C175,tbl_atributos[ID_Atributo],0)),"")</f>
        <v>Comunicação comercial</v>
      </c>
      <c r="E175" s="13">
        <v>3</v>
      </c>
      <c r="F175" s="13">
        <v>4</v>
      </c>
      <c r="G175" s="15">
        <f t="shared" si="4"/>
        <v>-1</v>
      </c>
      <c r="H175" s="15">
        <f t="shared" si="5"/>
        <v>12</v>
      </c>
    </row>
    <row r="176" spans="1:8" ht="15" customHeight="1" x14ac:dyDescent="0.3">
      <c r="A176" s="10" t="s">
        <v>585</v>
      </c>
      <c r="B176" s="10" t="s">
        <v>267</v>
      </c>
      <c r="C176" s="10" t="s">
        <v>857</v>
      </c>
      <c r="D176" s="16" t="str">
        <f>IFERROR(INDEX(tbl_atributos[Atributo],MATCH(C176,tbl_atributos[ID_Atributo],0)),"")</f>
        <v>Preço / valor</v>
      </c>
      <c r="E176" s="13">
        <v>4</v>
      </c>
      <c r="F176" s="13">
        <v>4</v>
      </c>
      <c r="G176" s="15">
        <f t="shared" si="4"/>
        <v>0</v>
      </c>
      <c r="H176" s="15">
        <f t="shared" si="5"/>
        <v>16</v>
      </c>
    </row>
    <row r="177" spans="1:8" ht="15" customHeight="1" x14ac:dyDescent="0.3">
      <c r="A177" s="10" t="s">
        <v>585</v>
      </c>
      <c r="B177" s="10" t="s">
        <v>858</v>
      </c>
      <c r="C177" s="10" t="s">
        <v>851</v>
      </c>
      <c r="D177" s="16" t="str">
        <f>IFERROR(INDEX(tbl_atributos[Atributo],MATCH(C177,tbl_atributos[ID_Atributo],0)),"")</f>
        <v>Qualidade do produto (conformidade, defeitos)</v>
      </c>
      <c r="E177" s="13">
        <v>5</v>
      </c>
      <c r="F177" s="13">
        <v>5</v>
      </c>
      <c r="G177" s="15">
        <f t="shared" si="4"/>
        <v>0</v>
      </c>
      <c r="H177" s="15">
        <f t="shared" si="5"/>
        <v>25</v>
      </c>
    </row>
    <row r="178" spans="1:8" ht="15" customHeight="1" x14ac:dyDescent="0.3">
      <c r="A178" s="10" t="s">
        <v>585</v>
      </c>
      <c r="B178" s="10" t="s">
        <v>858</v>
      </c>
      <c r="C178" s="10" t="s">
        <v>852</v>
      </c>
      <c r="D178" s="16" t="str">
        <f>IFERROR(INDEX(tbl_atributos[Atributo],MATCH(C178,tbl_atributos[ID_Atributo],0)),"")</f>
        <v>Cumprimento de prazos e quantidades</v>
      </c>
      <c r="E178" s="13">
        <v>5</v>
      </c>
      <c r="F178" s="13">
        <v>4</v>
      </c>
      <c r="G178" s="15">
        <f t="shared" si="4"/>
        <v>1</v>
      </c>
      <c r="H178" s="15">
        <f t="shared" si="5"/>
        <v>20</v>
      </c>
    </row>
    <row r="179" spans="1:8" ht="15" customHeight="1" x14ac:dyDescent="0.3">
      <c r="A179" s="10" t="s">
        <v>585</v>
      </c>
      <c r="B179" s="10" t="s">
        <v>858</v>
      </c>
      <c r="C179" s="10" t="s">
        <v>853</v>
      </c>
      <c r="D179" s="16" t="str">
        <f>IFERROR(INDEX(tbl_atributos[Atributo],MATCH(C179,tbl_atributos[ID_Atributo],0)),"")</f>
        <v>Resposta a reclamações</v>
      </c>
      <c r="E179" s="13">
        <v>3</v>
      </c>
      <c r="F179" s="13">
        <v>4</v>
      </c>
      <c r="G179" s="15">
        <f t="shared" si="4"/>
        <v>-1</v>
      </c>
      <c r="H179" s="15">
        <f t="shared" si="5"/>
        <v>12</v>
      </c>
    </row>
    <row r="180" spans="1:8" ht="15" customHeight="1" x14ac:dyDescent="0.3">
      <c r="A180" s="10" t="s">
        <v>585</v>
      </c>
      <c r="B180" s="10" t="s">
        <v>858</v>
      </c>
      <c r="C180" s="10" t="s">
        <v>854</v>
      </c>
      <c r="D180" s="16" t="str">
        <f>IFERROR(INDEX(tbl_atributos[Atributo],MATCH(C180,tbl_atributos[ID_Atributo],0)),"")</f>
        <v>Apoio técnico e desenvolvimento</v>
      </c>
      <c r="E180" s="13">
        <v>3</v>
      </c>
      <c r="F180" s="13">
        <v>5</v>
      </c>
      <c r="G180" s="15">
        <f t="shared" si="4"/>
        <v>-2</v>
      </c>
      <c r="H180" s="15">
        <f t="shared" si="5"/>
        <v>15</v>
      </c>
    </row>
    <row r="181" spans="1:8" ht="15" customHeight="1" x14ac:dyDescent="0.3">
      <c r="A181" s="10" t="s">
        <v>585</v>
      </c>
      <c r="B181" s="10" t="s">
        <v>858</v>
      </c>
      <c r="C181" s="10" t="s">
        <v>855</v>
      </c>
      <c r="D181" s="16" t="str">
        <f>IFERROR(INDEX(tbl_atributos[Atributo],MATCH(C181,tbl_atributos[ID_Atributo],0)),"")</f>
        <v>Documentação e certificados (FCM, PPWR, CoC)</v>
      </c>
      <c r="E181" s="13">
        <v>4</v>
      </c>
      <c r="F181" s="13">
        <v>4</v>
      </c>
      <c r="G181" s="15">
        <f t="shared" si="4"/>
        <v>0</v>
      </c>
      <c r="H181" s="15">
        <f t="shared" si="5"/>
        <v>16</v>
      </c>
    </row>
    <row r="182" spans="1:8" ht="15" customHeight="1" x14ac:dyDescent="0.3">
      <c r="A182" s="10" t="s">
        <v>585</v>
      </c>
      <c r="B182" s="10" t="s">
        <v>858</v>
      </c>
      <c r="C182" s="10" t="s">
        <v>856</v>
      </c>
      <c r="D182" s="16" t="str">
        <f>IFERROR(INDEX(tbl_atributos[Atributo],MATCH(C182,tbl_atributos[ID_Atributo],0)),"")</f>
        <v>Comunicação comercial</v>
      </c>
      <c r="E182" s="13">
        <v>4</v>
      </c>
      <c r="F182" s="13">
        <v>4</v>
      </c>
      <c r="G182" s="15">
        <f t="shared" si="4"/>
        <v>0</v>
      </c>
      <c r="H182" s="15">
        <f t="shared" si="5"/>
        <v>16</v>
      </c>
    </row>
    <row r="183" spans="1:8" ht="15" customHeight="1" x14ac:dyDescent="0.3">
      <c r="A183" s="10" t="s">
        <v>585</v>
      </c>
      <c r="B183" s="10" t="s">
        <v>858</v>
      </c>
      <c r="C183" s="10" t="s">
        <v>857</v>
      </c>
      <c r="D183" s="16" t="str">
        <f>IFERROR(INDEX(tbl_atributos[Atributo],MATCH(C183,tbl_atributos[ID_Atributo],0)),"")</f>
        <v>Preço / valor</v>
      </c>
      <c r="E183" s="13">
        <v>4</v>
      </c>
      <c r="F183" s="13">
        <v>5</v>
      </c>
      <c r="G183" s="15">
        <f t="shared" si="4"/>
        <v>-1</v>
      </c>
      <c r="H183" s="15">
        <f t="shared" si="5"/>
        <v>20</v>
      </c>
    </row>
    <row r="184" spans="1:8" ht="15" customHeight="1" x14ac:dyDescent="0.3">
      <c r="A184" s="10" t="s">
        <v>585</v>
      </c>
      <c r="B184" s="10" t="s">
        <v>859</v>
      </c>
      <c r="C184" s="10" t="s">
        <v>851</v>
      </c>
      <c r="D184" s="16" t="str">
        <f>IFERROR(INDEX(tbl_atributos[Atributo],MATCH(C184,tbl_atributos[ID_Atributo],0)),"")</f>
        <v>Qualidade do produto (conformidade, defeitos)</v>
      </c>
      <c r="E184" s="13">
        <v>5</v>
      </c>
      <c r="F184" s="13">
        <v>4</v>
      </c>
      <c r="G184" s="15">
        <f t="shared" si="4"/>
        <v>1</v>
      </c>
      <c r="H184" s="15">
        <f t="shared" si="5"/>
        <v>20</v>
      </c>
    </row>
    <row r="185" spans="1:8" ht="15" customHeight="1" x14ac:dyDescent="0.3">
      <c r="A185" s="10" t="s">
        <v>585</v>
      </c>
      <c r="B185" s="10" t="s">
        <v>859</v>
      </c>
      <c r="C185" s="10" t="s">
        <v>852</v>
      </c>
      <c r="D185" s="16" t="str">
        <f>IFERROR(INDEX(tbl_atributos[Atributo],MATCH(C185,tbl_atributos[ID_Atributo],0)),"")</f>
        <v>Cumprimento de prazos e quantidades</v>
      </c>
      <c r="E185" s="13">
        <v>5</v>
      </c>
      <c r="F185" s="13">
        <v>4</v>
      </c>
      <c r="G185" s="15">
        <f t="shared" si="4"/>
        <v>1</v>
      </c>
      <c r="H185" s="15">
        <f t="shared" si="5"/>
        <v>20</v>
      </c>
    </row>
    <row r="186" spans="1:8" ht="15" customHeight="1" x14ac:dyDescent="0.3">
      <c r="A186" s="10" t="s">
        <v>585</v>
      </c>
      <c r="B186" s="10" t="s">
        <v>859</v>
      </c>
      <c r="C186" s="10" t="s">
        <v>853</v>
      </c>
      <c r="D186" s="16" t="str">
        <f>IFERROR(INDEX(tbl_atributos[Atributo],MATCH(C186,tbl_atributos[ID_Atributo],0)),"")</f>
        <v>Resposta a reclamações</v>
      </c>
      <c r="E186" s="13">
        <v>4</v>
      </c>
      <c r="F186" s="13">
        <v>4</v>
      </c>
      <c r="G186" s="15">
        <f t="shared" si="4"/>
        <v>0</v>
      </c>
      <c r="H186" s="15">
        <f t="shared" si="5"/>
        <v>16</v>
      </c>
    </row>
    <row r="187" spans="1:8" ht="15" customHeight="1" x14ac:dyDescent="0.3">
      <c r="A187" s="10" t="s">
        <v>585</v>
      </c>
      <c r="B187" s="10" t="s">
        <v>859</v>
      </c>
      <c r="C187" s="10" t="s">
        <v>854</v>
      </c>
      <c r="D187" s="16" t="str">
        <f>IFERROR(INDEX(tbl_atributos[Atributo],MATCH(C187,tbl_atributos[ID_Atributo],0)),"")</f>
        <v>Apoio técnico e desenvolvimento</v>
      </c>
      <c r="E187" s="13">
        <v>4</v>
      </c>
      <c r="F187" s="13">
        <v>5</v>
      </c>
      <c r="G187" s="15">
        <f t="shared" si="4"/>
        <v>-1</v>
      </c>
      <c r="H187" s="15">
        <f t="shared" si="5"/>
        <v>20</v>
      </c>
    </row>
    <row r="188" spans="1:8" ht="15" customHeight="1" x14ac:dyDescent="0.3">
      <c r="A188" s="10" t="s">
        <v>585</v>
      </c>
      <c r="B188" s="10" t="s">
        <v>859</v>
      </c>
      <c r="C188" s="10" t="s">
        <v>855</v>
      </c>
      <c r="D188" s="16" t="str">
        <f>IFERROR(INDEX(tbl_atributos[Atributo],MATCH(C188,tbl_atributos[ID_Atributo],0)),"")</f>
        <v>Documentação e certificados (FCM, PPWR, CoC)</v>
      </c>
      <c r="E188" s="13">
        <v>4</v>
      </c>
      <c r="F188" s="13">
        <v>4</v>
      </c>
      <c r="G188" s="15">
        <f t="shared" si="4"/>
        <v>0</v>
      </c>
      <c r="H188" s="15">
        <f t="shared" si="5"/>
        <v>16</v>
      </c>
    </row>
    <row r="189" spans="1:8" ht="15" customHeight="1" x14ac:dyDescent="0.3">
      <c r="A189" s="10" t="s">
        <v>585</v>
      </c>
      <c r="B189" s="10" t="s">
        <v>859</v>
      </c>
      <c r="C189" s="10" t="s">
        <v>856</v>
      </c>
      <c r="D189" s="16" t="str">
        <f>IFERROR(INDEX(tbl_atributos[Atributo],MATCH(C189,tbl_atributos[ID_Atributo],0)),"")</f>
        <v>Comunicação comercial</v>
      </c>
      <c r="E189" s="13">
        <v>4</v>
      </c>
      <c r="F189" s="13">
        <v>5</v>
      </c>
      <c r="G189" s="15">
        <f t="shared" si="4"/>
        <v>-1</v>
      </c>
      <c r="H189" s="15">
        <f t="shared" si="5"/>
        <v>20</v>
      </c>
    </row>
    <row r="190" spans="1:8" ht="15" customHeight="1" x14ac:dyDescent="0.3">
      <c r="A190" s="10" t="s">
        <v>585</v>
      </c>
      <c r="B190" s="10" t="s">
        <v>859</v>
      </c>
      <c r="C190" s="10" t="s">
        <v>857</v>
      </c>
      <c r="D190" s="16" t="str">
        <f>IFERROR(INDEX(tbl_atributos[Atributo],MATCH(C190,tbl_atributos[ID_Atributo],0)),"")</f>
        <v>Preço / valor</v>
      </c>
      <c r="E190" s="13">
        <v>4</v>
      </c>
      <c r="F190" s="13">
        <v>4</v>
      </c>
      <c r="G190" s="15">
        <f t="shared" si="4"/>
        <v>0</v>
      </c>
      <c r="H190" s="15">
        <f t="shared" si="5"/>
        <v>16</v>
      </c>
    </row>
    <row r="191" spans="1:8" ht="15" customHeight="1" x14ac:dyDescent="0.3">
      <c r="A191" s="10" t="s">
        <v>585</v>
      </c>
      <c r="B191" s="10" t="s">
        <v>694</v>
      </c>
      <c r="C191" s="10" t="s">
        <v>851</v>
      </c>
      <c r="D191" s="16" t="str">
        <f>IFERROR(INDEX(tbl_atributos[Atributo],MATCH(C191,tbl_atributos[ID_Atributo],0)),"")</f>
        <v>Qualidade do produto (conformidade, defeitos)</v>
      </c>
      <c r="E191" s="13">
        <v>4</v>
      </c>
      <c r="F191" s="13">
        <v>4</v>
      </c>
      <c r="G191" s="15">
        <f t="shared" si="4"/>
        <v>0</v>
      </c>
      <c r="H191" s="15">
        <f t="shared" si="5"/>
        <v>16</v>
      </c>
    </row>
    <row r="192" spans="1:8" ht="15" customHeight="1" x14ac:dyDescent="0.3">
      <c r="A192" s="10" t="s">
        <v>585</v>
      </c>
      <c r="B192" s="10" t="s">
        <v>694</v>
      </c>
      <c r="C192" s="10" t="s">
        <v>852</v>
      </c>
      <c r="D192" s="16" t="str">
        <f>IFERROR(INDEX(tbl_atributos[Atributo],MATCH(C192,tbl_atributos[ID_Atributo],0)),"")</f>
        <v>Cumprimento de prazos e quantidades</v>
      </c>
      <c r="E192" s="13">
        <v>4</v>
      </c>
      <c r="F192" s="13">
        <v>5</v>
      </c>
      <c r="G192" s="15">
        <f t="shared" si="4"/>
        <v>-1</v>
      </c>
      <c r="H192" s="15">
        <f t="shared" si="5"/>
        <v>20</v>
      </c>
    </row>
    <row r="193" spans="1:8" ht="15" customHeight="1" x14ac:dyDescent="0.3">
      <c r="A193" s="10" t="s">
        <v>585</v>
      </c>
      <c r="B193" s="10" t="s">
        <v>694</v>
      </c>
      <c r="C193" s="10" t="s">
        <v>853</v>
      </c>
      <c r="D193" s="16" t="str">
        <f>IFERROR(INDEX(tbl_atributos[Atributo],MATCH(C193,tbl_atributos[ID_Atributo],0)),"")</f>
        <v>Resposta a reclamações</v>
      </c>
      <c r="E193" s="13">
        <v>5</v>
      </c>
      <c r="F193" s="13">
        <v>4</v>
      </c>
      <c r="G193" s="15">
        <f t="shared" si="4"/>
        <v>1</v>
      </c>
      <c r="H193" s="15">
        <f t="shared" si="5"/>
        <v>20</v>
      </c>
    </row>
    <row r="194" spans="1:8" ht="15" customHeight="1" x14ac:dyDescent="0.3">
      <c r="A194" s="10" t="s">
        <v>585</v>
      </c>
      <c r="B194" s="10" t="s">
        <v>694</v>
      </c>
      <c r="C194" s="10" t="s">
        <v>854</v>
      </c>
      <c r="D194" s="16" t="str">
        <f>IFERROR(INDEX(tbl_atributos[Atributo],MATCH(C194,tbl_atributos[ID_Atributo],0)),"")</f>
        <v>Apoio técnico e desenvolvimento</v>
      </c>
      <c r="E194" s="13">
        <v>4</v>
      </c>
      <c r="F194" s="13">
        <v>4</v>
      </c>
      <c r="G194" s="15">
        <f t="shared" ref="G194:G257" si="6">E194-F194</f>
        <v>0</v>
      </c>
      <c r="H194" s="15">
        <f t="shared" ref="H194:H204" si="7">E194*F194</f>
        <v>16</v>
      </c>
    </row>
    <row r="195" spans="1:8" ht="15" customHeight="1" x14ac:dyDescent="0.3">
      <c r="A195" s="10" t="s">
        <v>585</v>
      </c>
      <c r="B195" s="10" t="s">
        <v>694</v>
      </c>
      <c r="C195" s="10" t="s">
        <v>855</v>
      </c>
      <c r="D195" s="16" t="str">
        <f>IFERROR(INDEX(tbl_atributos[Atributo],MATCH(C195,tbl_atributos[ID_Atributo],0)),"")</f>
        <v>Documentação e certificados (FCM, PPWR, CoC)</v>
      </c>
      <c r="E195" s="13">
        <v>4</v>
      </c>
      <c r="F195" s="13">
        <v>4</v>
      </c>
      <c r="G195" s="15">
        <f t="shared" si="6"/>
        <v>0</v>
      </c>
      <c r="H195" s="15">
        <f t="shared" si="7"/>
        <v>16</v>
      </c>
    </row>
    <row r="196" spans="1:8" ht="15" customHeight="1" x14ac:dyDescent="0.3">
      <c r="A196" s="10" t="s">
        <v>585</v>
      </c>
      <c r="B196" s="10" t="s">
        <v>694</v>
      </c>
      <c r="C196" s="10" t="s">
        <v>856</v>
      </c>
      <c r="D196" s="16" t="str">
        <f>IFERROR(INDEX(tbl_atributos[Atributo],MATCH(C196,tbl_atributos[ID_Atributo],0)),"")</f>
        <v>Comunicação comercial</v>
      </c>
      <c r="E196" s="13">
        <v>4</v>
      </c>
      <c r="F196" s="13">
        <v>4</v>
      </c>
      <c r="G196" s="15">
        <f t="shared" si="6"/>
        <v>0</v>
      </c>
      <c r="H196" s="15">
        <f t="shared" si="7"/>
        <v>16</v>
      </c>
    </row>
    <row r="197" spans="1:8" ht="15" customHeight="1" x14ac:dyDescent="0.3">
      <c r="A197" s="10" t="s">
        <v>585</v>
      </c>
      <c r="B197" s="10" t="s">
        <v>694</v>
      </c>
      <c r="C197" s="10" t="s">
        <v>857</v>
      </c>
      <c r="D197" s="16" t="str">
        <f>IFERROR(INDEX(tbl_atributos[Atributo],MATCH(C197,tbl_atributos[ID_Atributo],0)),"")</f>
        <v>Preço / valor</v>
      </c>
      <c r="E197" s="13">
        <v>5</v>
      </c>
      <c r="F197" s="13">
        <v>4</v>
      </c>
      <c r="G197" s="15">
        <f t="shared" si="6"/>
        <v>1</v>
      </c>
      <c r="H197" s="15">
        <f t="shared" si="7"/>
        <v>20</v>
      </c>
    </row>
    <row r="198" spans="1:8" ht="15" customHeight="1" x14ac:dyDescent="0.3">
      <c r="A198" s="10" t="s">
        <v>585</v>
      </c>
      <c r="B198" s="10" t="s">
        <v>790</v>
      </c>
      <c r="C198" s="10" t="s">
        <v>851</v>
      </c>
      <c r="D198" s="16" t="str">
        <f>IFERROR(INDEX(tbl_atributos[Atributo],MATCH(C198,tbl_atributos[ID_Atributo],0)),"")</f>
        <v>Qualidade do produto (conformidade, defeitos)</v>
      </c>
      <c r="E198" s="13">
        <v>5</v>
      </c>
      <c r="F198" s="13">
        <v>4</v>
      </c>
      <c r="G198" s="15">
        <f t="shared" si="6"/>
        <v>1</v>
      </c>
      <c r="H198" s="15">
        <f t="shared" si="7"/>
        <v>20</v>
      </c>
    </row>
    <row r="199" spans="1:8" ht="15" customHeight="1" x14ac:dyDescent="0.3">
      <c r="A199" s="10" t="s">
        <v>585</v>
      </c>
      <c r="B199" s="10" t="s">
        <v>790</v>
      </c>
      <c r="C199" s="10" t="s">
        <v>852</v>
      </c>
      <c r="D199" s="16" t="str">
        <f>IFERROR(INDEX(tbl_atributos[Atributo],MATCH(C199,tbl_atributos[ID_Atributo],0)),"")</f>
        <v>Cumprimento de prazos e quantidades</v>
      </c>
      <c r="E199" s="13">
        <v>4</v>
      </c>
      <c r="F199" s="13">
        <v>4</v>
      </c>
      <c r="G199" s="15">
        <f t="shared" si="6"/>
        <v>0</v>
      </c>
      <c r="H199" s="15">
        <f t="shared" si="7"/>
        <v>16</v>
      </c>
    </row>
    <row r="200" spans="1:8" ht="15" customHeight="1" x14ac:dyDescent="0.3">
      <c r="A200" s="10" t="s">
        <v>585</v>
      </c>
      <c r="B200" s="10" t="s">
        <v>790</v>
      </c>
      <c r="C200" s="10" t="s">
        <v>853</v>
      </c>
      <c r="D200" s="16" t="str">
        <f>IFERROR(INDEX(tbl_atributos[Atributo],MATCH(C200,tbl_atributos[ID_Atributo],0)),"")</f>
        <v>Resposta a reclamações</v>
      </c>
      <c r="E200" s="13">
        <v>3</v>
      </c>
      <c r="F200" s="13">
        <v>4</v>
      </c>
      <c r="G200" s="15">
        <f t="shared" si="6"/>
        <v>-1</v>
      </c>
      <c r="H200" s="15">
        <f t="shared" si="7"/>
        <v>12</v>
      </c>
    </row>
    <row r="201" spans="1:8" ht="15" customHeight="1" x14ac:dyDescent="0.3">
      <c r="A201" s="10" t="s">
        <v>585</v>
      </c>
      <c r="B201" s="10" t="s">
        <v>790</v>
      </c>
      <c r="C201" s="10" t="s">
        <v>854</v>
      </c>
      <c r="D201" s="16" t="str">
        <f>IFERROR(INDEX(tbl_atributos[Atributo],MATCH(C201,tbl_atributos[ID_Atributo],0)),"")</f>
        <v>Apoio técnico e desenvolvimento</v>
      </c>
      <c r="E201" s="13">
        <v>4</v>
      </c>
      <c r="F201" s="13">
        <v>4</v>
      </c>
      <c r="G201" s="15">
        <f t="shared" si="6"/>
        <v>0</v>
      </c>
      <c r="H201" s="15">
        <f t="shared" si="7"/>
        <v>16</v>
      </c>
    </row>
    <row r="202" spans="1:8" ht="15" customHeight="1" x14ac:dyDescent="0.3">
      <c r="A202" s="10" t="s">
        <v>585</v>
      </c>
      <c r="B202" s="10" t="s">
        <v>790</v>
      </c>
      <c r="C202" s="10" t="s">
        <v>855</v>
      </c>
      <c r="D202" s="16" t="str">
        <f>IFERROR(INDEX(tbl_atributos[Atributo],MATCH(C202,tbl_atributos[ID_Atributo],0)),"")</f>
        <v>Documentação e certificados (FCM, PPWR, CoC)</v>
      </c>
      <c r="E202" s="13">
        <v>4</v>
      </c>
      <c r="F202" s="13">
        <v>4</v>
      </c>
      <c r="G202" s="15">
        <f t="shared" si="6"/>
        <v>0</v>
      </c>
      <c r="H202" s="15">
        <f t="shared" si="7"/>
        <v>16</v>
      </c>
    </row>
    <row r="203" spans="1:8" ht="15" customHeight="1" x14ac:dyDescent="0.3">
      <c r="A203" s="10" t="s">
        <v>585</v>
      </c>
      <c r="B203" s="10" t="s">
        <v>790</v>
      </c>
      <c r="C203" s="10" t="s">
        <v>856</v>
      </c>
      <c r="D203" s="16" t="str">
        <f>IFERROR(INDEX(tbl_atributos[Atributo],MATCH(C203,tbl_atributos[ID_Atributo],0)),"")</f>
        <v>Comunicação comercial</v>
      </c>
      <c r="E203" s="13">
        <v>4</v>
      </c>
      <c r="F203" s="13">
        <v>4</v>
      </c>
      <c r="G203" s="15">
        <f t="shared" si="6"/>
        <v>0</v>
      </c>
      <c r="H203" s="15">
        <f t="shared" si="7"/>
        <v>16</v>
      </c>
    </row>
    <row r="204" spans="1:8" ht="15" customHeight="1" x14ac:dyDescent="0.3">
      <c r="A204" s="10" t="s">
        <v>585</v>
      </c>
      <c r="B204" s="10" t="s">
        <v>790</v>
      </c>
      <c r="C204" s="10" t="s">
        <v>857</v>
      </c>
      <c r="D204" s="16" t="str">
        <f>IFERROR(INDEX(tbl_atributos[Atributo],MATCH(C204,tbl_atributos[ID_Atributo],0)),"")</f>
        <v>Preço / valor</v>
      </c>
      <c r="E204" s="13">
        <v>4</v>
      </c>
      <c r="F204" s="13">
        <v>4</v>
      </c>
      <c r="G204" s="15">
        <f t="shared" si="6"/>
        <v>0</v>
      </c>
      <c r="H204" s="15">
        <f t="shared" si="7"/>
        <v>16</v>
      </c>
    </row>
  </sheetData>
  <dataValidations count="1">
    <dataValidation type="list" allowBlank="1" showErrorMessage="1" errorTitle="Valor inválido" error="Valor fora da lista controlada (ver folha Listas)." sqref="A2:A404" xr:uid="{00000000-0002-0000-0200-000000000000}">
      <formula1>lst_Onda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1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44" customWidth="1"/>
    <col min="3" max="5" width="9" customWidth="1"/>
    <col min="6" max="7" width="8" customWidth="1"/>
    <col min="8" max="8" width="22" customWidth="1"/>
  </cols>
  <sheetData>
    <row r="1" spans="1:8" ht="17.399999999999999" x14ac:dyDescent="0.3">
      <c r="A1" s="1" t="s">
        <v>860</v>
      </c>
    </row>
    <row r="4" spans="1:8" ht="39.6" x14ac:dyDescent="0.3">
      <c r="A4" s="8" t="s">
        <v>845</v>
      </c>
      <c r="B4" s="8" t="s">
        <v>846</v>
      </c>
      <c r="C4" s="9" t="s">
        <v>861</v>
      </c>
      <c r="D4" s="9" t="s">
        <v>862</v>
      </c>
      <c r="E4" s="9" t="s">
        <v>863</v>
      </c>
      <c r="F4" s="9" t="s">
        <v>864</v>
      </c>
      <c r="G4" s="9" t="s">
        <v>849</v>
      </c>
      <c r="H4" s="9" t="s">
        <v>865</v>
      </c>
    </row>
    <row r="5" spans="1:8" ht="19.95" customHeight="1" x14ac:dyDescent="0.3">
      <c r="A5" s="10" t="s">
        <v>851</v>
      </c>
      <c r="B5" s="10" t="s">
        <v>866</v>
      </c>
      <c r="C5" s="17">
        <f>AVERAGEIFS(tbl_inquerito[Importancia],tbl_inquerito[ID_Atributo],A5,tbl_inquerito[Onda],"2026-06")</f>
        <v>4.8125</v>
      </c>
      <c r="D5" s="17">
        <f>AVERAGEIFS(tbl_inquerito[Satisfacao],tbl_inquerito[ID_Atributo],A5,tbl_inquerito[Onda],"2025-12")</f>
        <v>3.6923076923076925</v>
      </c>
      <c r="E5" s="17">
        <f>AVERAGEIFS(tbl_inquerito[Satisfacao],tbl_inquerito[ID_Atributo],A5,tbl_inquerito[Onda],"2026-06")</f>
        <v>3.9375</v>
      </c>
      <c r="F5" s="17">
        <f t="shared" ref="F5:F11" si="0">E5-D5</f>
        <v>0.24519230769230749</v>
      </c>
      <c r="G5" s="17">
        <f t="shared" ref="G5:G11" si="1">C5-E5</f>
        <v>0.875</v>
      </c>
      <c r="H5" s="16" t="str">
        <f t="shared" ref="H5:H11" si="2">IF(C5&gt;=4,IF(E5&lt;4,"Prioridade de melhoria","Manter o desempenho"),IF(E5&lt;4,"Baixa prioridade","Possível excesso"))</f>
        <v>Prioridade de melhoria</v>
      </c>
    </row>
    <row r="6" spans="1:8" ht="19.95" customHeight="1" x14ac:dyDescent="0.3">
      <c r="A6" s="10" t="s">
        <v>852</v>
      </c>
      <c r="B6" s="10" t="s">
        <v>867</v>
      </c>
      <c r="C6" s="17">
        <f>AVERAGEIFS(tbl_inquerito[Importancia],tbl_inquerito[ID_Atributo],A6,tbl_inquerito[Onda],"2026-06")</f>
        <v>4.6875</v>
      </c>
      <c r="D6" s="17">
        <f>AVERAGEIFS(tbl_inquerito[Satisfacao],tbl_inquerito[ID_Atributo],A6,tbl_inquerito[Onda],"2025-12")</f>
        <v>3.0769230769230771</v>
      </c>
      <c r="E6" s="17">
        <f>AVERAGEIFS(tbl_inquerito[Satisfacao],tbl_inquerito[ID_Atributo],A6,tbl_inquerito[Onda],"2026-06")</f>
        <v>3.1875</v>
      </c>
      <c r="F6" s="17">
        <f t="shared" si="0"/>
        <v>0.11057692307692291</v>
      </c>
      <c r="G6" s="17">
        <f t="shared" si="1"/>
        <v>1.5</v>
      </c>
      <c r="H6" s="16" t="str">
        <f t="shared" si="2"/>
        <v>Prioridade de melhoria</v>
      </c>
    </row>
    <row r="7" spans="1:8" ht="19.95" customHeight="1" x14ac:dyDescent="0.3">
      <c r="A7" s="10" t="s">
        <v>853</v>
      </c>
      <c r="B7" s="10" t="s">
        <v>868</v>
      </c>
      <c r="C7" s="17">
        <f>AVERAGEIFS(tbl_inquerito[Importancia],tbl_inquerito[ID_Atributo],A7,tbl_inquerito[Onda],"2026-06")</f>
        <v>4.125</v>
      </c>
      <c r="D7" s="17">
        <f>AVERAGEIFS(tbl_inquerito[Satisfacao],tbl_inquerito[ID_Atributo],A7,tbl_inquerito[Onda],"2025-12")</f>
        <v>3.5384615384615383</v>
      </c>
      <c r="E7" s="17">
        <f>AVERAGEIFS(tbl_inquerito[Satisfacao],tbl_inquerito[ID_Atributo],A7,tbl_inquerito[Onda],"2026-06")</f>
        <v>3.9375</v>
      </c>
      <c r="F7" s="17">
        <f t="shared" si="0"/>
        <v>0.39903846153846168</v>
      </c>
      <c r="G7" s="17">
        <f t="shared" si="1"/>
        <v>0.1875</v>
      </c>
      <c r="H7" s="16" t="str">
        <f t="shared" si="2"/>
        <v>Prioridade de melhoria</v>
      </c>
    </row>
    <row r="8" spans="1:8" ht="19.95" customHeight="1" x14ac:dyDescent="0.3">
      <c r="A8" s="10" t="s">
        <v>854</v>
      </c>
      <c r="B8" s="10" t="s">
        <v>869</v>
      </c>
      <c r="C8" s="17">
        <f>AVERAGEIFS(tbl_inquerito[Importancia],tbl_inquerito[ID_Atributo],A8,tbl_inquerito[Onda],"2026-06")</f>
        <v>3.75</v>
      </c>
      <c r="D8" s="17">
        <f>AVERAGEIFS(tbl_inquerito[Satisfacao],tbl_inquerito[ID_Atributo],A8,tbl_inquerito[Onda],"2025-12")</f>
        <v>3.8461538461538463</v>
      </c>
      <c r="E8" s="17">
        <f>AVERAGEIFS(tbl_inquerito[Satisfacao],tbl_inquerito[ID_Atributo],A8,tbl_inquerito[Onda],"2026-06")</f>
        <v>4.125</v>
      </c>
      <c r="F8" s="17">
        <f t="shared" si="0"/>
        <v>0.27884615384615374</v>
      </c>
      <c r="G8" s="17">
        <f t="shared" si="1"/>
        <v>-0.375</v>
      </c>
      <c r="H8" s="16" t="str">
        <f t="shared" si="2"/>
        <v>Possível excesso</v>
      </c>
    </row>
    <row r="9" spans="1:8" ht="19.95" customHeight="1" x14ac:dyDescent="0.3">
      <c r="A9" s="10" t="s">
        <v>855</v>
      </c>
      <c r="B9" s="10" t="s">
        <v>870</v>
      </c>
      <c r="C9" s="17">
        <f>AVERAGEIFS(tbl_inquerito[Importancia],tbl_inquerito[ID_Atributo],A9,tbl_inquerito[Onda],"2026-06")</f>
        <v>4.0625</v>
      </c>
      <c r="D9" s="17">
        <f>AVERAGEIFS(tbl_inquerito[Satisfacao],tbl_inquerito[ID_Atributo],A9,tbl_inquerito[Onda],"2025-12")</f>
        <v>3.6923076923076925</v>
      </c>
      <c r="E9" s="17">
        <f>AVERAGEIFS(tbl_inquerito[Satisfacao],tbl_inquerito[ID_Atributo],A9,tbl_inquerito[Onda],"2026-06")</f>
        <v>4</v>
      </c>
      <c r="F9" s="17">
        <f t="shared" si="0"/>
        <v>0.30769230769230749</v>
      </c>
      <c r="G9" s="17">
        <f t="shared" si="1"/>
        <v>6.25E-2</v>
      </c>
      <c r="H9" s="16" t="str">
        <f t="shared" si="2"/>
        <v>Manter o desempenho</v>
      </c>
    </row>
    <row r="10" spans="1:8" ht="19.95" customHeight="1" x14ac:dyDescent="0.3">
      <c r="A10" s="10" t="s">
        <v>856</v>
      </c>
      <c r="B10" s="10" t="s">
        <v>871</v>
      </c>
      <c r="C10" s="17">
        <f>AVERAGEIFS(tbl_inquerito[Importancia],tbl_inquerito[ID_Atributo],A10,tbl_inquerito[Onda],"2026-06")</f>
        <v>3.75</v>
      </c>
      <c r="D10" s="17">
        <f>AVERAGEIFS(tbl_inquerito[Satisfacao],tbl_inquerito[ID_Atributo],A10,tbl_inquerito[Onda],"2025-12")</f>
        <v>3.9230769230769229</v>
      </c>
      <c r="E10" s="17">
        <f>AVERAGEIFS(tbl_inquerito[Satisfacao],tbl_inquerito[ID_Atributo],A10,tbl_inquerito[Onda],"2026-06")</f>
        <v>3.9375</v>
      </c>
      <c r="F10" s="17">
        <f t="shared" si="0"/>
        <v>1.4423076923077094E-2</v>
      </c>
      <c r="G10" s="17">
        <f t="shared" si="1"/>
        <v>-0.1875</v>
      </c>
      <c r="H10" s="16" t="str">
        <f t="shared" si="2"/>
        <v>Baixa prioridade</v>
      </c>
    </row>
    <row r="11" spans="1:8" ht="19.95" customHeight="1" x14ac:dyDescent="0.3">
      <c r="A11" s="10" t="s">
        <v>857</v>
      </c>
      <c r="B11" s="10" t="s">
        <v>872</v>
      </c>
      <c r="C11" s="17">
        <f>AVERAGEIFS(tbl_inquerito[Importancia],tbl_inquerito[ID_Atributo],A11,tbl_inquerito[Onda],"2026-06")</f>
        <v>4.0625</v>
      </c>
      <c r="D11" s="17">
        <f>AVERAGEIFS(tbl_inquerito[Satisfacao],tbl_inquerito[ID_Atributo],A11,tbl_inquerito[Onda],"2025-12")</f>
        <v>3.7692307692307692</v>
      </c>
      <c r="E11" s="17">
        <f>AVERAGEIFS(tbl_inquerito[Satisfacao],tbl_inquerito[ID_Atributo],A11,tbl_inquerito[Onda],"2026-06")</f>
        <v>4.0625</v>
      </c>
      <c r="F11" s="17">
        <f t="shared" si="0"/>
        <v>0.29326923076923084</v>
      </c>
      <c r="G11" s="17">
        <f t="shared" si="1"/>
        <v>0</v>
      </c>
      <c r="H11" s="16" t="str">
        <f t="shared" si="2"/>
        <v>Manter o desempenho</v>
      </c>
    </row>
  </sheetData>
  <conditionalFormatting sqref="F5:F211">
    <cfRule type="expression" dxfId="3" priority="4">
      <formula>F5&lt;0</formula>
    </cfRule>
  </conditionalFormatting>
  <conditionalFormatting sqref="H5:H211">
    <cfRule type="expression" dxfId="2" priority="1">
      <formula>ISNUMBER(SEARCH("Prioridade",H5))</formula>
    </cfRule>
    <cfRule type="expression" dxfId="1" priority="2">
      <formula>ISNUMBER(SEARCH("Manter",H5))</formula>
    </cfRule>
    <cfRule type="expression" dxfId="0" priority="3">
      <formula>ISNUMBER(SEARCH("excesso",H5))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0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9" customWidth="1"/>
    <col min="3" max="3" width="11" customWidth="1"/>
    <col min="4" max="4" width="10" customWidth="1"/>
    <col min="5" max="5" width="7" customWidth="1"/>
    <col min="6" max="6" width="44" customWidth="1"/>
  </cols>
  <sheetData>
    <row r="1" spans="1:6" ht="39.6" x14ac:dyDescent="0.3">
      <c r="A1" s="8" t="s">
        <v>844</v>
      </c>
      <c r="B1" s="8" t="s">
        <v>78</v>
      </c>
      <c r="C1" s="8" t="s">
        <v>873</v>
      </c>
      <c r="D1" s="9" t="s">
        <v>874</v>
      </c>
      <c r="E1" s="8" t="s">
        <v>875</v>
      </c>
      <c r="F1" s="8" t="s">
        <v>876</v>
      </c>
    </row>
    <row r="2" spans="1:6" ht="15" customHeight="1" x14ac:dyDescent="0.3">
      <c r="A2" s="10" t="s">
        <v>319</v>
      </c>
      <c r="B2" s="10" t="s">
        <v>134</v>
      </c>
      <c r="C2" s="13">
        <v>7</v>
      </c>
      <c r="D2" s="16" t="str">
        <f t="shared" ref="D2:D30" si="0">IF(C2&gt;=9,"Promotor",IF(C2&gt;=7,"Neutro","Detrator"))</f>
        <v>Neutro</v>
      </c>
      <c r="E2" s="13">
        <v>5</v>
      </c>
      <c r="F2" s="10"/>
    </row>
    <row r="3" spans="1:6" ht="15" customHeight="1" x14ac:dyDescent="0.3">
      <c r="A3" s="10" t="s">
        <v>319</v>
      </c>
      <c r="B3" s="10" t="s">
        <v>144</v>
      </c>
      <c r="C3" s="13">
        <v>9</v>
      </c>
      <c r="D3" s="16" t="str">
        <f t="shared" si="0"/>
        <v>Promotor</v>
      </c>
      <c r="E3" s="13">
        <v>4</v>
      </c>
      <c r="F3" s="10"/>
    </row>
    <row r="4" spans="1:6" ht="15" customHeight="1" x14ac:dyDescent="0.3">
      <c r="A4" s="10" t="s">
        <v>319</v>
      </c>
      <c r="B4" s="10" t="s">
        <v>155</v>
      </c>
      <c r="C4" s="13">
        <v>7</v>
      </c>
      <c r="D4" s="16" t="str">
        <f t="shared" si="0"/>
        <v>Neutro</v>
      </c>
      <c r="E4" s="13">
        <v>4</v>
      </c>
      <c r="F4" s="10"/>
    </row>
    <row r="5" spans="1:6" ht="15" customHeight="1" x14ac:dyDescent="0.3">
      <c r="A5" s="10" t="s">
        <v>319</v>
      </c>
      <c r="B5" s="10" t="s">
        <v>121</v>
      </c>
      <c r="C5" s="13">
        <v>7</v>
      </c>
      <c r="D5" s="16" t="str">
        <f t="shared" si="0"/>
        <v>Neutro</v>
      </c>
      <c r="E5" s="13">
        <v>4</v>
      </c>
      <c r="F5" s="10" t="s">
        <v>877</v>
      </c>
    </row>
    <row r="6" spans="1:6" ht="15" customHeight="1" x14ac:dyDescent="0.3">
      <c r="A6" s="10" t="s">
        <v>319</v>
      </c>
      <c r="B6" s="10" t="s">
        <v>210</v>
      </c>
      <c r="C6" s="13">
        <v>8</v>
      </c>
      <c r="D6" s="16" t="str">
        <f t="shared" si="0"/>
        <v>Neutro</v>
      </c>
      <c r="E6" s="13">
        <v>5</v>
      </c>
      <c r="F6" s="10"/>
    </row>
    <row r="7" spans="1:6" ht="15" customHeight="1" x14ac:dyDescent="0.3">
      <c r="A7" s="10" t="s">
        <v>319</v>
      </c>
      <c r="B7" s="10" t="s">
        <v>328</v>
      </c>
      <c r="C7" s="13">
        <v>8</v>
      </c>
      <c r="D7" s="16" t="str">
        <f t="shared" si="0"/>
        <v>Neutro</v>
      </c>
      <c r="E7" s="13">
        <v>4</v>
      </c>
      <c r="F7" s="10"/>
    </row>
    <row r="8" spans="1:6" ht="15" customHeight="1" x14ac:dyDescent="0.3">
      <c r="A8" s="10" t="s">
        <v>319</v>
      </c>
      <c r="B8" s="10" t="s">
        <v>139</v>
      </c>
      <c r="C8" s="13">
        <v>6</v>
      </c>
      <c r="D8" s="16" t="str">
        <f t="shared" si="0"/>
        <v>Detrator</v>
      </c>
      <c r="E8" s="13">
        <v>4</v>
      </c>
      <c r="F8" s="10"/>
    </row>
    <row r="9" spans="1:6" ht="15" customHeight="1" x14ac:dyDescent="0.3">
      <c r="A9" s="10" t="s">
        <v>319</v>
      </c>
      <c r="B9" s="10" t="s">
        <v>101</v>
      </c>
      <c r="C9" s="13">
        <v>7</v>
      </c>
      <c r="D9" s="16" t="str">
        <f t="shared" si="0"/>
        <v>Neutro</v>
      </c>
      <c r="E9" s="13">
        <v>5</v>
      </c>
      <c r="F9" s="10"/>
    </row>
    <row r="10" spans="1:6" ht="15" customHeight="1" x14ac:dyDescent="0.3">
      <c r="A10" s="10" t="s">
        <v>319</v>
      </c>
      <c r="B10" s="10" t="s">
        <v>182</v>
      </c>
      <c r="C10" s="13">
        <v>7</v>
      </c>
      <c r="D10" s="16" t="str">
        <f t="shared" si="0"/>
        <v>Neutro</v>
      </c>
      <c r="E10" s="13">
        <v>4</v>
      </c>
      <c r="F10" s="10"/>
    </row>
    <row r="11" spans="1:6" ht="15" customHeight="1" x14ac:dyDescent="0.3">
      <c r="A11" s="10" t="s">
        <v>319</v>
      </c>
      <c r="B11" s="10" t="s">
        <v>219</v>
      </c>
      <c r="C11" s="13">
        <v>10</v>
      </c>
      <c r="D11" s="16" t="str">
        <f t="shared" si="0"/>
        <v>Promotor</v>
      </c>
      <c r="E11" s="13">
        <v>6</v>
      </c>
      <c r="F11" s="10"/>
    </row>
    <row r="12" spans="1:6" ht="15" customHeight="1" x14ac:dyDescent="0.3">
      <c r="A12" s="10" t="s">
        <v>319</v>
      </c>
      <c r="B12" s="10" t="s">
        <v>113</v>
      </c>
      <c r="C12" s="13">
        <v>6</v>
      </c>
      <c r="D12" s="16" t="str">
        <f t="shared" si="0"/>
        <v>Detrator</v>
      </c>
      <c r="E12" s="13">
        <v>3</v>
      </c>
      <c r="F12" s="10"/>
    </row>
    <row r="13" spans="1:6" ht="15" customHeight="1" x14ac:dyDescent="0.3">
      <c r="A13" s="10" t="s">
        <v>319</v>
      </c>
      <c r="B13" s="10" t="s">
        <v>247</v>
      </c>
      <c r="C13" s="13">
        <v>9</v>
      </c>
      <c r="D13" s="16" t="str">
        <f t="shared" si="0"/>
        <v>Promotor</v>
      </c>
      <c r="E13" s="13">
        <v>5</v>
      </c>
      <c r="F13" s="10"/>
    </row>
    <row r="14" spans="1:6" ht="15" customHeight="1" x14ac:dyDescent="0.3">
      <c r="A14" s="10" t="s">
        <v>319</v>
      </c>
      <c r="B14" s="10" t="s">
        <v>267</v>
      </c>
      <c r="C14" s="13">
        <v>7</v>
      </c>
      <c r="D14" s="16" t="str">
        <f t="shared" si="0"/>
        <v>Neutro</v>
      </c>
      <c r="E14" s="13">
        <v>4</v>
      </c>
      <c r="F14" s="10"/>
    </row>
    <row r="15" spans="1:6" ht="15" customHeight="1" x14ac:dyDescent="0.3">
      <c r="A15" s="10" t="s">
        <v>585</v>
      </c>
      <c r="B15" s="10" t="s">
        <v>134</v>
      </c>
      <c r="C15" s="13">
        <v>8</v>
      </c>
      <c r="D15" s="16" t="str">
        <f t="shared" si="0"/>
        <v>Neutro</v>
      </c>
      <c r="E15" s="13">
        <v>4</v>
      </c>
      <c r="F15" s="10"/>
    </row>
    <row r="16" spans="1:6" ht="15" customHeight="1" x14ac:dyDescent="0.3">
      <c r="A16" s="10" t="s">
        <v>585</v>
      </c>
      <c r="B16" s="10" t="s">
        <v>144</v>
      </c>
      <c r="C16" s="13">
        <v>6</v>
      </c>
      <c r="D16" s="16" t="str">
        <f t="shared" si="0"/>
        <v>Detrator</v>
      </c>
      <c r="E16" s="13">
        <v>5</v>
      </c>
      <c r="F16" s="10"/>
    </row>
    <row r="17" spans="1:6" ht="15" customHeight="1" x14ac:dyDescent="0.3">
      <c r="A17" s="10" t="s">
        <v>585</v>
      </c>
      <c r="B17" s="10" t="s">
        <v>155</v>
      </c>
      <c r="C17" s="13">
        <v>9</v>
      </c>
      <c r="D17" s="16" t="str">
        <f t="shared" si="0"/>
        <v>Promotor</v>
      </c>
      <c r="E17" s="13">
        <v>4</v>
      </c>
      <c r="F17" s="10"/>
    </row>
    <row r="18" spans="1:6" ht="15" customHeight="1" x14ac:dyDescent="0.3">
      <c r="A18" s="10" t="s">
        <v>585</v>
      </c>
      <c r="B18" s="10" t="s">
        <v>210</v>
      </c>
      <c r="C18" s="13">
        <v>10</v>
      </c>
      <c r="D18" s="16" t="str">
        <f t="shared" si="0"/>
        <v>Promotor</v>
      </c>
      <c r="E18" s="13">
        <v>5</v>
      </c>
      <c r="F18" s="10"/>
    </row>
    <row r="19" spans="1:6" ht="15" customHeight="1" x14ac:dyDescent="0.3">
      <c r="A19" s="10" t="s">
        <v>585</v>
      </c>
      <c r="B19" s="10" t="s">
        <v>328</v>
      </c>
      <c r="C19" s="13">
        <v>9</v>
      </c>
      <c r="D19" s="16" t="str">
        <f t="shared" si="0"/>
        <v>Promotor</v>
      </c>
      <c r="E19" s="13">
        <v>5</v>
      </c>
      <c r="F19" s="10"/>
    </row>
    <row r="20" spans="1:6" ht="15" customHeight="1" x14ac:dyDescent="0.3">
      <c r="A20" s="10" t="s">
        <v>585</v>
      </c>
      <c r="B20" s="10" t="s">
        <v>139</v>
      </c>
      <c r="C20" s="13">
        <v>9</v>
      </c>
      <c r="D20" s="16" t="str">
        <f t="shared" si="0"/>
        <v>Promotor</v>
      </c>
      <c r="E20" s="13">
        <v>5</v>
      </c>
      <c r="F20" s="10"/>
    </row>
    <row r="21" spans="1:6" ht="15" customHeight="1" x14ac:dyDescent="0.3">
      <c r="A21" s="10" t="s">
        <v>585</v>
      </c>
      <c r="B21" s="10" t="s">
        <v>101</v>
      </c>
      <c r="C21" s="13">
        <v>8</v>
      </c>
      <c r="D21" s="16" t="str">
        <f t="shared" si="0"/>
        <v>Neutro</v>
      </c>
      <c r="E21" s="13">
        <v>4</v>
      </c>
      <c r="F21" s="10"/>
    </row>
    <row r="22" spans="1:6" ht="15" customHeight="1" x14ac:dyDescent="0.3">
      <c r="A22" s="10" t="s">
        <v>585</v>
      </c>
      <c r="B22" s="10" t="s">
        <v>182</v>
      </c>
      <c r="C22" s="13">
        <v>7</v>
      </c>
      <c r="D22" s="16" t="str">
        <f t="shared" si="0"/>
        <v>Neutro</v>
      </c>
      <c r="E22" s="13">
        <v>5</v>
      </c>
      <c r="F22" s="10"/>
    </row>
    <row r="23" spans="1:6" ht="15" customHeight="1" x14ac:dyDescent="0.3">
      <c r="A23" s="10" t="s">
        <v>585</v>
      </c>
      <c r="B23" s="10" t="s">
        <v>320</v>
      </c>
      <c r="C23" s="13">
        <v>9</v>
      </c>
      <c r="D23" s="16" t="str">
        <f t="shared" si="0"/>
        <v>Promotor</v>
      </c>
      <c r="E23" s="13">
        <v>5</v>
      </c>
      <c r="F23" s="10"/>
    </row>
    <row r="24" spans="1:6" ht="15" customHeight="1" x14ac:dyDescent="0.3">
      <c r="A24" s="10" t="s">
        <v>585</v>
      </c>
      <c r="B24" s="10" t="s">
        <v>113</v>
      </c>
      <c r="C24" s="13">
        <v>8</v>
      </c>
      <c r="D24" s="16" t="str">
        <f t="shared" si="0"/>
        <v>Neutro</v>
      </c>
      <c r="E24" s="13">
        <v>5</v>
      </c>
      <c r="F24" s="10"/>
    </row>
    <row r="25" spans="1:6" ht="15" customHeight="1" x14ac:dyDescent="0.3">
      <c r="A25" s="10" t="s">
        <v>585</v>
      </c>
      <c r="B25" s="10" t="s">
        <v>247</v>
      </c>
      <c r="C25" s="13">
        <v>7</v>
      </c>
      <c r="D25" s="16" t="str">
        <f t="shared" si="0"/>
        <v>Neutro</v>
      </c>
      <c r="E25" s="13">
        <v>6</v>
      </c>
      <c r="F25" s="10"/>
    </row>
    <row r="26" spans="1:6" ht="15" customHeight="1" x14ac:dyDescent="0.3">
      <c r="A26" s="10" t="s">
        <v>585</v>
      </c>
      <c r="B26" s="10" t="s">
        <v>267</v>
      </c>
      <c r="C26" s="13">
        <v>7</v>
      </c>
      <c r="D26" s="16" t="str">
        <f t="shared" si="0"/>
        <v>Neutro</v>
      </c>
      <c r="E26" s="13">
        <v>5</v>
      </c>
      <c r="F26" s="10"/>
    </row>
    <row r="27" spans="1:6" ht="15" customHeight="1" x14ac:dyDescent="0.3">
      <c r="A27" s="10" t="s">
        <v>585</v>
      </c>
      <c r="B27" s="10" t="s">
        <v>858</v>
      </c>
      <c r="C27" s="13">
        <v>7</v>
      </c>
      <c r="D27" s="16" t="str">
        <f t="shared" si="0"/>
        <v>Neutro</v>
      </c>
      <c r="E27" s="13">
        <v>6</v>
      </c>
      <c r="F27" s="10"/>
    </row>
    <row r="28" spans="1:6" ht="15" customHeight="1" x14ac:dyDescent="0.3">
      <c r="A28" s="10" t="s">
        <v>585</v>
      </c>
      <c r="B28" s="10" t="s">
        <v>859</v>
      </c>
      <c r="C28" s="13">
        <v>10</v>
      </c>
      <c r="D28" s="16" t="str">
        <f t="shared" si="0"/>
        <v>Promotor</v>
      </c>
      <c r="E28" s="13">
        <v>6</v>
      </c>
      <c r="F28" s="10"/>
    </row>
    <row r="29" spans="1:6" ht="15" customHeight="1" x14ac:dyDescent="0.3">
      <c r="A29" s="10" t="s">
        <v>585</v>
      </c>
      <c r="B29" s="10" t="s">
        <v>694</v>
      </c>
      <c r="C29" s="13">
        <v>9</v>
      </c>
      <c r="D29" s="16" t="str">
        <f t="shared" si="0"/>
        <v>Promotor</v>
      </c>
      <c r="E29" s="13">
        <v>5</v>
      </c>
      <c r="F29" s="10"/>
    </row>
    <row r="30" spans="1:6" ht="15" customHeight="1" x14ac:dyDescent="0.3">
      <c r="A30" s="10" t="s">
        <v>585</v>
      </c>
      <c r="B30" s="10" t="s">
        <v>790</v>
      </c>
      <c r="C30" s="13">
        <v>9</v>
      </c>
      <c r="D30" s="16" t="str">
        <f t="shared" si="0"/>
        <v>Promotor</v>
      </c>
      <c r="E30" s="13">
        <v>6</v>
      </c>
      <c r="F30" s="10" t="s">
        <v>878</v>
      </c>
    </row>
  </sheetData>
  <dataValidations count="1">
    <dataValidation type="list" allowBlank="1" showErrorMessage="1" errorTitle="Valor inválido" error="Valor fora da lista controlada (ver folha Listas)." sqref="A2:A230" xr:uid="{00000000-0002-0000-0400-000000000000}">
      <formula1>lst_Onda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9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60" customWidth="1"/>
    <col min="3" max="3" width="26" customWidth="1"/>
    <col min="4" max="4" width="11" customWidth="1"/>
    <col min="5" max="5" width="26" customWidth="1"/>
    <col min="6" max="6" width="18" customWidth="1"/>
  </cols>
  <sheetData>
    <row r="1" spans="1:6" ht="26.4" x14ac:dyDescent="0.3">
      <c r="A1" s="8" t="s">
        <v>879</v>
      </c>
      <c r="B1" s="8" t="s">
        <v>880</v>
      </c>
      <c r="C1" s="8" t="s">
        <v>881</v>
      </c>
      <c r="D1" s="8" t="s">
        <v>882</v>
      </c>
      <c r="E1" s="8" t="s">
        <v>883</v>
      </c>
      <c r="F1" s="8" t="s">
        <v>884</v>
      </c>
    </row>
    <row r="2" spans="1:6" ht="30" customHeight="1" x14ac:dyDescent="0.3">
      <c r="A2" s="10" t="s">
        <v>885</v>
      </c>
      <c r="B2" s="10" t="s">
        <v>886</v>
      </c>
      <c r="C2" s="10" t="s">
        <v>887</v>
      </c>
      <c r="D2" s="10" t="s">
        <v>888</v>
      </c>
      <c r="E2" s="10" t="s">
        <v>889</v>
      </c>
      <c r="F2" s="10" t="s">
        <v>890</v>
      </c>
    </row>
    <row r="3" spans="1:6" ht="30" customHeight="1" x14ac:dyDescent="0.3">
      <c r="A3" s="10" t="s">
        <v>891</v>
      </c>
      <c r="B3" s="10" t="s">
        <v>892</v>
      </c>
      <c r="C3" s="10" t="s">
        <v>893</v>
      </c>
      <c r="D3" s="10" t="s">
        <v>894</v>
      </c>
      <c r="E3" s="10" t="s">
        <v>889</v>
      </c>
      <c r="F3" s="10" t="s">
        <v>895</v>
      </c>
    </row>
    <row r="4" spans="1:6" ht="30" customHeight="1" x14ac:dyDescent="0.3">
      <c r="A4" s="10" t="s">
        <v>896</v>
      </c>
      <c r="B4" s="10" t="s">
        <v>897</v>
      </c>
      <c r="C4" s="10" t="s">
        <v>898</v>
      </c>
      <c r="D4" s="10" t="s">
        <v>899</v>
      </c>
      <c r="E4" s="10" t="s">
        <v>900</v>
      </c>
      <c r="F4" s="10" t="s">
        <v>901</v>
      </c>
    </row>
    <row r="5" spans="1:6" ht="30" customHeight="1" x14ac:dyDescent="0.3">
      <c r="A5" s="10" t="s">
        <v>902</v>
      </c>
      <c r="B5" s="10" t="s">
        <v>903</v>
      </c>
      <c r="C5" s="10" t="s">
        <v>904</v>
      </c>
      <c r="D5" s="10" t="s">
        <v>888</v>
      </c>
      <c r="E5" s="10" t="s">
        <v>889</v>
      </c>
      <c r="F5" s="10" t="s">
        <v>905</v>
      </c>
    </row>
    <row r="6" spans="1:6" ht="30" customHeight="1" x14ac:dyDescent="0.3">
      <c r="A6" s="10" t="s">
        <v>906</v>
      </c>
      <c r="B6" s="10" t="s">
        <v>907</v>
      </c>
      <c r="C6" s="10" t="s">
        <v>908</v>
      </c>
      <c r="D6" s="10" t="s">
        <v>909</v>
      </c>
      <c r="E6" s="10" t="s">
        <v>11</v>
      </c>
      <c r="F6" s="10" t="s">
        <v>910</v>
      </c>
    </row>
    <row r="7" spans="1:6" ht="30" customHeight="1" x14ac:dyDescent="0.3">
      <c r="A7" s="10" t="s">
        <v>911</v>
      </c>
      <c r="B7" s="10" t="s">
        <v>912</v>
      </c>
      <c r="C7" s="10" t="s">
        <v>913</v>
      </c>
      <c r="D7" s="10" t="s">
        <v>894</v>
      </c>
      <c r="E7" s="10" t="s">
        <v>889</v>
      </c>
      <c r="F7" s="10" t="s">
        <v>914</v>
      </c>
    </row>
    <row r="8" spans="1:6" ht="30" customHeight="1" x14ac:dyDescent="0.3">
      <c r="A8" s="10" t="s">
        <v>915</v>
      </c>
      <c r="B8" s="10" t="s">
        <v>916</v>
      </c>
      <c r="C8" s="10" t="s">
        <v>917</v>
      </c>
      <c r="D8" s="10" t="s">
        <v>918</v>
      </c>
      <c r="E8" s="10" t="s">
        <v>919</v>
      </c>
      <c r="F8" s="10" t="s">
        <v>920</v>
      </c>
    </row>
    <row r="9" spans="1:6" ht="30" customHeight="1" x14ac:dyDescent="0.3">
      <c r="A9" s="10" t="s">
        <v>921</v>
      </c>
      <c r="B9" s="10" t="s">
        <v>922</v>
      </c>
      <c r="C9" s="10" t="s">
        <v>923</v>
      </c>
      <c r="D9" s="10" t="s">
        <v>909</v>
      </c>
      <c r="E9" s="10" t="s">
        <v>889</v>
      </c>
      <c r="F9" s="10" t="s">
        <v>924</v>
      </c>
    </row>
  </sheetData>
  <dataValidations count="1">
    <dataValidation type="list" allowBlank="1" showErrorMessage="1" errorTitle="Valor inválido" error="Valor fora da lista controlada (ver folha Listas)." sqref="E2:E209" xr:uid="{00000000-0002-0000-0500-000000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pageSetUpPr fitToPage="1"/>
  </sheetPr>
  <dimension ref="A1:D37"/>
  <sheetViews>
    <sheetView showGridLines="0" workbookViewId="0"/>
  </sheetViews>
  <sheetFormatPr defaultRowHeight="14.4" x14ac:dyDescent="0.3"/>
  <cols>
    <col min="1" max="1" width="50" customWidth="1"/>
    <col min="2" max="3" width="12" customWidth="1"/>
    <col min="4" max="4" width="10" customWidth="1"/>
  </cols>
  <sheetData>
    <row r="1" spans="1:4" ht="17.399999999999999" x14ac:dyDescent="0.3">
      <c r="A1" s="1" t="s">
        <v>925</v>
      </c>
    </row>
    <row r="2" spans="1:4" x14ac:dyDescent="0.3">
      <c r="A2" s="2" t="s">
        <v>926</v>
      </c>
    </row>
    <row r="4" spans="1:4" x14ac:dyDescent="0.3">
      <c r="A4" s="8" t="s">
        <v>927</v>
      </c>
      <c r="B4" s="8" t="s">
        <v>319</v>
      </c>
      <c r="C4" s="8" t="s">
        <v>585</v>
      </c>
      <c r="D4" s="8" t="s">
        <v>928</v>
      </c>
    </row>
    <row r="5" spans="1:4" x14ac:dyDescent="0.3">
      <c r="A5" s="18" t="s">
        <v>929</v>
      </c>
      <c r="B5" s="19">
        <f>SUMIFS(tbl_inquerito[Ponderado],tbl_inquerito[Onda],"2025-12")/(5*SUMIFS(tbl_inquerito[Importancia],tbl_inquerito[Onda],"2025-12"))</f>
        <v>0.7256544502617801</v>
      </c>
      <c r="C5" s="19">
        <f>SUMIFS(tbl_inquerito[Ponderado],tbl_inquerito[Onda],"2026-06")/(5*SUMIFS(tbl_inquerito[Importancia],tbl_inquerito[Onda],"2026-06"))</f>
        <v>0.77179487179487183</v>
      </c>
      <c r="D5" s="19">
        <v>0.8</v>
      </c>
    </row>
    <row r="6" spans="1:4" x14ac:dyDescent="0.3">
      <c r="A6" s="18" t="s">
        <v>930</v>
      </c>
      <c r="B6" s="13">
        <f>(COUNTIFS(tbl_nps[Onda],"2025-12",tbl_nps[Categoria_NPS],"Promotor")-COUNTIFS(tbl_nps[Onda],"2025-12",tbl_nps[Categoria_NPS],"Detrator"))/COUNTIF(tbl_nps[Onda],"2025-12")*100</f>
        <v>7.6923076923076925</v>
      </c>
      <c r="C6" s="13">
        <f>(COUNTIFS(tbl_nps[Onda],"2026-06",tbl_nps[Categoria_NPS],"Promotor")-COUNTIFS(tbl_nps[Onda],"2026-06",tbl_nps[Categoria_NPS],"Detrator"))/COUNTIF(tbl_nps[Onda],"2026-06")*100</f>
        <v>43.75</v>
      </c>
      <c r="D6" s="13">
        <v>30</v>
      </c>
    </row>
    <row r="7" spans="1:4" x14ac:dyDescent="0.3">
      <c r="A7" s="18" t="s">
        <v>931</v>
      </c>
      <c r="B7" s="20">
        <f>AVERAGEIFS(tbl_nps[CES_1_7],tbl_nps[Onda],"2025-12")</f>
        <v>4.384615384615385</v>
      </c>
      <c r="C7" s="20">
        <f>AVERAGEIFS(tbl_nps[CES_1_7],tbl_nps[Onda],"2026-06")</f>
        <v>5.0625</v>
      </c>
      <c r="D7" s="20">
        <v>5.5</v>
      </c>
    </row>
    <row r="8" spans="1:4" x14ac:dyDescent="0.3">
      <c r="A8" s="18" t="s">
        <v>932</v>
      </c>
      <c r="B8" s="13">
        <f>COUNTIF(tbl_nps[Onda],"2025-12")</f>
        <v>13</v>
      </c>
      <c r="C8" s="13">
        <f>COUNTIF(tbl_nps[Onda],"2026-06")</f>
        <v>16</v>
      </c>
      <c r="D8" s="13"/>
    </row>
    <row r="9" spans="1:4" ht="26.4" x14ac:dyDescent="0.3">
      <c r="A9" s="18" t="s">
        <v>933</v>
      </c>
      <c r="B9" s="21">
        <f>COUNTIF(tbl_nps[Onda],"2025-12")/14</f>
        <v>0.9285714285714286</v>
      </c>
      <c r="C9" s="21">
        <f>COUNTIF(tbl_nps[Onda],"2026-06")/18</f>
        <v>0.88888888888888884</v>
      </c>
      <c r="D9" s="21">
        <v>0.8</v>
      </c>
    </row>
    <row r="12" spans="1:4" x14ac:dyDescent="0.3">
      <c r="A12" s="8" t="s">
        <v>934</v>
      </c>
      <c r="B12" s="8" t="s">
        <v>935</v>
      </c>
      <c r="C12" s="8"/>
      <c r="D12" s="8" t="s">
        <v>928</v>
      </c>
    </row>
    <row r="13" spans="1:4" x14ac:dyDescent="0.3">
      <c r="A13" s="18" t="s">
        <v>936</v>
      </c>
      <c r="B13" s="13">
        <f>COUNTA(tbl_reclamacoes[ID_Reclamacao])</f>
        <v>210</v>
      </c>
      <c r="D13" s="13"/>
    </row>
    <row r="14" spans="1:4" x14ac:dyDescent="0.3">
      <c r="A14" s="18" t="s">
        <v>937</v>
      </c>
      <c r="B14" s="21">
        <f>COUNTIFS(tbl_reclamacoes[Dias_Acusacao],"&lt;=2",tbl_reclamacoes[ID_Reclamacao],"&lt;&gt;")/COUNTA(tbl_reclamacoes[ID_Reclamacao])</f>
        <v>0.90952380952380951</v>
      </c>
      <c r="D14" s="21">
        <v>0.95</v>
      </c>
    </row>
    <row r="15" spans="1:4" x14ac:dyDescent="0.3">
      <c r="A15" s="18" t="s">
        <v>938</v>
      </c>
      <c r="B15" s="20">
        <f>AVERAGEIFS(tbl_reclamacoes[Dias_Resolucao],tbl_reclamacoes[Estado],"Fechada")</f>
        <v>18.187878787878788</v>
      </c>
      <c r="D15" s="20">
        <v>20</v>
      </c>
    </row>
    <row r="16" spans="1:4" x14ac:dyDescent="0.3">
      <c r="A16" s="18" t="s">
        <v>939</v>
      </c>
      <c r="B16" s="13">
        <f>COUNTIF(tbl_reclamacoes[Estado],"Aberta")+COUNTIF(tbl_reclamacoes[Estado],"Atrasada")</f>
        <v>45</v>
      </c>
      <c r="D16" s="13"/>
    </row>
    <row r="17" spans="1:4" x14ac:dyDescent="0.3">
      <c r="A17" s="18" t="s">
        <v>940</v>
      </c>
      <c r="B17" s="20">
        <f>AVERAGE(tbl_reclamacoes[Satisfacao_Tratamento])</f>
        <v>3.7515151515151515</v>
      </c>
      <c r="D17" s="20">
        <v>4</v>
      </c>
    </row>
    <row r="18" spans="1:4" x14ac:dyDescent="0.3">
      <c r="A18" s="18" t="s">
        <v>941</v>
      </c>
      <c r="B18" s="21">
        <f>COUNTIF(tbl_reclamacoes[Natureza],"Serviço / logística")/COUNTA(tbl_reclamacoes[ID_Reclamacao])</f>
        <v>0.51428571428571423</v>
      </c>
      <c r="D18" s="21"/>
    </row>
    <row r="19" spans="1:4" x14ac:dyDescent="0.3">
      <c r="A19" s="18" t="s">
        <v>942</v>
      </c>
      <c r="B19" s="14">
        <f>SUM(tbl_reclamacoes[Custo_EUR])</f>
        <v>35092.75</v>
      </c>
      <c r="D19" s="14"/>
    </row>
    <row r="22" spans="1:4" ht="26.4" x14ac:dyDescent="0.3">
      <c r="A22" s="8" t="s">
        <v>943</v>
      </c>
      <c r="B22" s="8" t="s">
        <v>944</v>
      </c>
      <c r="C22" s="8" t="s">
        <v>945</v>
      </c>
      <c r="D22" s="8" t="s">
        <v>85</v>
      </c>
    </row>
    <row r="23" spans="1:4" x14ac:dyDescent="0.3">
      <c r="A23" s="18" t="s">
        <v>131</v>
      </c>
      <c r="B23" s="13">
        <f>COUNTIF(tbl_reclamacoes[Tipo_Defeito],A23)</f>
        <v>32</v>
      </c>
      <c r="C23" s="21">
        <f>SUM($B$23:B23)/SUM($B$23:$B$37)</f>
        <v>0.15238095238095239</v>
      </c>
      <c r="D23" s="18" t="str">
        <f>IFERROR(INDEX(tbl_reclamacoes[Natureza],MATCH(A23,tbl_reclamacoes[Tipo_Defeito],0)),"")</f>
        <v>Serviço / logística</v>
      </c>
    </row>
    <row r="24" spans="1:4" x14ac:dyDescent="0.3">
      <c r="A24" s="18" t="s">
        <v>164</v>
      </c>
      <c r="B24" s="13">
        <f>COUNTIF(tbl_reclamacoes[Tipo_Defeito],A24)</f>
        <v>29</v>
      </c>
      <c r="C24" s="21">
        <f>SUM($B$23:B24)/SUM($B$23:$B$37)</f>
        <v>0.2904761904761905</v>
      </c>
      <c r="D24" s="18" t="str">
        <f>IFERROR(INDEX(tbl_reclamacoes[Natureza],MATCH(A24,tbl_reclamacoes[Tipo_Defeito],0)),"")</f>
        <v>Serviço / logística</v>
      </c>
    </row>
    <row r="25" spans="1:4" x14ac:dyDescent="0.3">
      <c r="A25" s="18" t="s">
        <v>117</v>
      </c>
      <c r="B25" s="13">
        <f>COUNTIF(tbl_reclamacoes[Tipo_Defeito],A25)</f>
        <v>25</v>
      </c>
      <c r="C25" s="21">
        <f>SUM($B$23:B25)/SUM($B$23:$B$37)</f>
        <v>0.40952380952380951</v>
      </c>
      <c r="D25" s="18" t="str">
        <f>IFERROR(INDEX(tbl_reclamacoes[Natureza],MATCH(A25,tbl_reclamacoes[Tipo_Defeito],0)),"")</f>
        <v>Serviço / logística</v>
      </c>
    </row>
    <row r="26" spans="1:4" x14ac:dyDescent="0.3">
      <c r="A26" s="18" t="s">
        <v>191</v>
      </c>
      <c r="B26" s="13">
        <f>COUNTIF(tbl_reclamacoes[Tipo_Defeito],A26)</f>
        <v>22</v>
      </c>
      <c r="C26" s="21">
        <f>SUM($B$23:B26)/SUM($B$23:$B$37)</f>
        <v>0.51428571428571423</v>
      </c>
      <c r="D26" s="18" t="str">
        <f>IFERROR(INDEX(tbl_reclamacoes[Natureza],MATCH(A26,tbl_reclamacoes[Tipo_Defeito],0)),"")</f>
        <v>Serviço / logística</v>
      </c>
    </row>
    <row r="27" spans="1:4" x14ac:dyDescent="0.3">
      <c r="A27" s="18" t="s">
        <v>386</v>
      </c>
      <c r="B27" s="13">
        <f>COUNTIF(tbl_reclamacoes[Tipo_Defeito],A27)</f>
        <v>16</v>
      </c>
      <c r="C27" s="21">
        <f>SUM($B$23:B27)/SUM($B$23:$B$37)</f>
        <v>0.59047619047619049</v>
      </c>
      <c r="D27" s="18" t="str">
        <f>IFERROR(INDEX(tbl_reclamacoes[Natureza],MATCH(A27,tbl_reclamacoes[Tipo_Defeito],0)),"")</f>
        <v>Produto</v>
      </c>
    </row>
    <row r="28" spans="1:4" x14ac:dyDescent="0.3">
      <c r="A28" s="18" t="s">
        <v>159</v>
      </c>
      <c r="B28" s="13">
        <f>COUNTIF(tbl_reclamacoes[Tipo_Defeito],A28)</f>
        <v>13</v>
      </c>
      <c r="C28" s="21">
        <f>SUM($B$23:B28)/SUM($B$23:$B$37)</f>
        <v>0.65238095238095239</v>
      </c>
      <c r="D28" s="18" t="str">
        <f>IFERROR(INDEX(tbl_reclamacoes[Natureza],MATCH(A28,tbl_reclamacoes[Tipo_Defeito],0)),"")</f>
        <v>Produto</v>
      </c>
    </row>
    <row r="29" spans="1:4" x14ac:dyDescent="0.3">
      <c r="A29" s="18" t="s">
        <v>107</v>
      </c>
      <c r="B29" s="13">
        <f>COUNTIF(tbl_reclamacoes[Tipo_Defeito],A29)</f>
        <v>13</v>
      </c>
      <c r="C29" s="21">
        <f>SUM($B$23:B29)/SUM($B$23:$B$37)</f>
        <v>0.7142857142857143</v>
      </c>
      <c r="D29" s="18" t="str">
        <f>IFERROR(INDEX(tbl_reclamacoes[Natureza],MATCH(A29,tbl_reclamacoes[Tipo_Defeito],0)),"")</f>
        <v>Produto</v>
      </c>
    </row>
    <row r="30" spans="1:4" x14ac:dyDescent="0.3">
      <c r="A30" s="18" t="s">
        <v>335</v>
      </c>
      <c r="B30" s="13">
        <f>COUNTIF(tbl_reclamacoes[Tipo_Defeito],A30)</f>
        <v>11</v>
      </c>
      <c r="C30" s="21">
        <f>SUM($B$23:B30)/SUM($B$23:$B$37)</f>
        <v>0.76666666666666672</v>
      </c>
      <c r="D30" s="18" t="str">
        <f>IFERROR(INDEX(tbl_reclamacoes[Natureza],MATCH(A30,tbl_reclamacoes[Tipo_Defeito],0)),"")</f>
        <v>Produto</v>
      </c>
    </row>
    <row r="31" spans="1:4" x14ac:dyDescent="0.3">
      <c r="A31" s="18" t="s">
        <v>177</v>
      </c>
      <c r="B31" s="13">
        <f>COUNTIF(tbl_reclamacoes[Tipo_Defeito],A31)</f>
        <v>10</v>
      </c>
      <c r="C31" s="21">
        <f>SUM($B$23:B31)/SUM($B$23:$B$37)</f>
        <v>0.81428571428571428</v>
      </c>
      <c r="D31" s="18" t="str">
        <f>IFERROR(INDEX(tbl_reclamacoes[Natureza],MATCH(A31,tbl_reclamacoes[Tipo_Defeito],0)),"")</f>
        <v>Produto</v>
      </c>
    </row>
    <row r="32" spans="1:4" x14ac:dyDescent="0.3">
      <c r="A32" s="18" t="s">
        <v>208</v>
      </c>
      <c r="B32" s="13">
        <f>COUNTIF(tbl_reclamacoes[Tipo_Defeito],A32)</f>
        <v>10</v>
      </c>
      <c r="C32" s="21">
        <f>SUM($B$23:B32)/SUM($B$23:$B$37)</f>
        <v>0.86190476190476195</v>
      </c>
      <c r="D32" s="18" t="str">
        <f>IFERROR(INDEX(tbl_reclamacoes[Natureza],MATCH(A32,tbl_reclamacoes[Tipo_Defeito],0)),"")</f>
        <v>Produto</v>
      </c>
    </row>
    <row r="33" spans="1:4" x14ac:dyDescent="0.3">
      <c r="A33" s="18" t="s">
        <v>323</v>
      </c>
      <c r="B33" s="13">
        <f>COUNTIF(tbl_reclamacoes[Tipo_Defeito],A33)</f>
        <v>8</v>
      </c>
      <c r="C33" s="21">
        <f>SUM($B$23:B33)/SUM($B$23:$B$37)</f>
        <v>0.9</v>
      </c>
      <c r="D33" s="18" t="str">
        <f>IFERROR(INDEX(tbl_reclamacoes[Natureza],MATCH(A33,tbl_reclamacoes[Tipo_Defeito],0)),"")</f>
        <v>Produto</v>
      </c>
    </row>
    <row r="34" spans="1:4" x14ac:dyDescent="0.3">
      <c r="A34" s="18" t="s">
        <v>126</v>
      </c>
      <c r="B34" s="13">
        <f>COUNTIF(tbl_reclamacoes[Tipo_Defeito],A34)</f>
        <v>7</v>
      </c>
      <c r="C34" s="21">
        <f>SUM($B$23:B34)/SUM($B$23:$B$37)</f>
        <v>0.93333333333333335</v>
      </c>
      <c r="D34" s="18" t="str">
        <f>IFERROR(INDEX(tbl_reclamacoes[Natureza],MATCH(A34,tbl_reclamacoes[Tipo_Defeito],0)),"")</f>
        <v>Produto</v>
      </c>
    </row>
    <row r="35" spans="1:4" x14ac:dyDescent="0.3">
      <c r="A35" s="18" t="s">
        <v>203</v>
      </c>
      <c r="B35" s="13">
        <f>COUNTIF(tbl_reclamacoes[Tipo_Defeito],A35)</f>
        <v>7</v>
      </c>
      <c r="C35" s="21">
        <f>SUM($B$23:B35)/SUM($B$23:$B$37)</f>
        <v>0.96666666666666667</v>
      </c>
      <c r="D35" s="18" t="str">
        <f>IFERROR(INDEX(tbl_reclamacoes[Natureza],MATCH(A35,tbl_reclamacoes[Tipo_Defeito],0)),"")</f>
        <v>Produto</v>
      </c>
    </row>
    <row r="36" spans="1:4" x14ac:dyDescent="0.3">
      <c r="A36" s="18" t="s">
        <v>198</v>
      </c>
      <c r="B36" s="13">
        <f>COUNTIF(tbl_reclamacoes[Tipo_Defeito],A36)</f>
        <v>6</v>
      </c>
      <c r="C36" s="21">
        <f>SUM($B$23:B36)/SUM($B$23:$B$37)</f>
        <v>0.99523809523809526</v>
      </c>
      <c r="D36" s="18" t="str">
        <f>IFERROR(INDEX(tbl_reclamacoes[Natureza],MATCH(A36,tbl_reclamacoes[Tipo_Defeito],0)),"")</f>
        <v>Produto</v>
      </c>
    </row>
    <row r="37" spans="1:4" x14ac:dyDescent="0.3">
      <c r="A37" s="18" t="s">
        <v>792</v>
      </c>
      <c r="B37" s="13">
        <f>COUNTIF(tbl_reclamacoes[Tipo_Defeito],A37)</f>
        <v>1</v>
      </c>
      <c r="C37" s="21">
        <f>SUM($B$23:B37)/SUM($B$23:$B$37)</f>
        <v>1</v>
      </c>
      <c r="D37" s="18" t="str">
        <f>IFERROR(INDEX(tbl_reclamacoes[Natureza],MATCH(A37,tbl_reclamacoes[Tipo_Defeito],0)),"")</f>
        <v>Produto</v>
      </c>
    </row>
  </sheetData>
  <pageMargins left="0.75" right="0.75" top="1" bottom="1" header="0.5" footer="0.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21" customWidth="1"/>
    <col min="3" max="4" width="16" customWidth="1"/>
    <col min="5" max="5" width="20" customWidth="1"/>
    <col min="6" max="7" width="16" customWidth="1"/>
    <col min="8" max="8" width="45" customWidth="1"/>
  </cols>
  <sheetData>
    <row r="1" spans="1:8" x14ac:dyDescent="0.3">
      <c r="A1" s="22" t="s">
        <v>946</v>
      </c>
    </row>
    <row r="2" spans="1:8" x14ac:dyDescent="0.3">
      <c r="A2" s="23" t="s">
        <v>947</v>
      </c>
      <c r="B2" s="23" t="s">
        <v>85</v>
      </c>
      <c r="C2" s="23" t="s">
        <v>86</v>
      </c>
      <c r="D2" s="23" t="s">
        <v>90</v>
      </c>
      <c r="E2" s="23" t="s">
        <v>79</v>
      </c>
      <c r="F2" s="23" t="s">
        <v>844</v>
      </c>
      <c r="G2" s="23" t="s">
        <v>81</v>
      </c>
      <c r="H2" s="23" t="s">
        <v>948</v>
      </c>
    </row>
    <row r="3" spans="1:8" x14ac:dyDescent="0.3">
      <c r="A3" s="24">
        <v>46387</v>
      </c>
      <c r="B3" s="6" t="s">
        <v>80</v>
      </c>
      <c r="C3" s="6" t="s">
        <v>148</v>
      </c>
      <c r="D3" s="6" t="s">
        <v>109</v>
      </c>
      <c r="E3" s="6" t="s">
        <v>122</v>
      </c>
      <c r="F3" s="6" t="s">
        <v>319</v>
      </c>
      <c r="G3" s="6" t="s">
        <v>949</v>
      </c>
      <c r="H3" s="6" t="s">
        <v>950</v>
      </c>
    </row>
    <row r="4" spans="1:8" x14ac:dyDescent="0.3">
      <c r="B4" s="6" t="s">
        <v>118</v>
      </c>
      <c r="C4" s="6" t="s">
        <v>108</v>
      </c>
      <c r="D4" s="6" t="s">
        <v>250</v>
      </c>
      <c r="E4" s="6" t="s">
        <v>102</v>
      </c>
      <c r="F4" s="6" t="s">
        <v>585</v>
      </c>
      <c r="G4" s="6" t="s">
        <v>951</v>
      </c>
      <c r="H4" s="6" t="s">
        <v>952</v>
      </c>
    </row>
    <row r="5" spans="1:8" x14ac:dyDescent="0.3">
      <c r="C5" s="6" t="s">
        <v>132</v>
      </c>
      <c r="E5" s="6" t="s">
        <v>135</v>
      </c>
      <c r="G5" s="6" t="s">
        <v>953</v>
      </c>
      <c r="H5" s="6" t="s">
        <v>11</v>
      </c>
    </row>
    <row r="6" spans="1:8" x14ac:dyDescent="0.3">
      <c r="E6" s="6" t="s">
        <v>954</v>
      </c>
      <c r="G6" s="6" t="s">
        <v>955</v>
      </c>
      <c r="H6" s="6" t="s">
        <v>956</v>
      </c>
    </row>
    <row r="7" spans="1:8" x14ac:dyDescent="0.3">
      <c r="G7" s="6" t="s">
        <v>957</v>
      </c>
      <c r="H7" s="6" t="s">
        <v>958</v>
      </c>
    </row>
    <row r="8" spans="1:8" x14ac:dyDescent="0.3">
      <c r="G8" s="6" t="s">
        <v>959</v>
      </c>
      <c r="H8" s="6" t="s">
        <v>889</v>
      </c>
    </row>
    <row r="9" spans="1:8" x14ac:dyDescent="0.3">
      <c r="G9" s="6" t="s">
        <v>960</v>
      </c>
      <c r="H9" s="6" t="s">
        <v>961</v>
      </c>
    </row>
    <row r="10" spans="1:8" x14ac:dyDescent="0.3">
      <c r="G10" s="6" t="s">
        <v>104</v>
      </c>
      <c r="H10" s="6" t="s">
        <v>962</v>
      </c>
    </row>
    <row r="11" spans="1:8" x14ac:dyDescent="0.3">
      <c r="G11" s="6" t="s">
        <v>152</v>
      </c>
      <c r="H11" s="6" t="s">
        <v>963</v>
      </c>
    </row>
    <row r="12" spans="1:8" x14ac:dyDescent="0.3">
      <c r="G12" s="6" t="s">
        <v>507</v>
      </c>
      <c r="H12" s="6" t="s">
        <v>964</v>
      </c>
    </row>
    <row r="13" spans="1:8" x14ac:dyDescent="0.3">
      <c r="G13" s="6" t="s">
        <v>115</v>
      </c>
      <c r="H13" s="6" t="s">
        <v>965</v>
      </c>
    </row>
    <row r="14" spans="1:8" x14ac:dyDescent="0.3">
      <c r="G14" s="6" t="s">
        <v>966</v>
      </c>
      <c r="H14" s="6" t="s">
        <v>967</v>
      </c>
    </row>
    <row r="15" spans="1:8" x14ac:dyDescent="0.3">
      <c r="G15" s="6" t="s">
        <v>968</v>
      </c>
      <c r="H15" s="6" t="s">
        <v>969</v>
      </c>
    </row>
    <row r="16" spans="1:8" x14ac:dyDescent="0.3">
      <c r="G16" s="6" t="s">
        <v>970</v>
      </c>
      <c r="H16" s="6" t="s">
        <v>971</v>
      </c>
    </row>
    <row r="17" spans="7:8" x14ac:dyDescent="0.3">
      <c r="G17" s="6" t="s">
        <v>972</v>
      </c>
      <c r="H17" s="6" t="s">
        <v>973</v>
      </c>
    </row>
    <row r="18" spans="7:8" x14ac:dyDescent="0.3">
      <c r="G18" s="6" t="s">
        <v>974</v>
      </c>
      <c r="H18" s="6" t="s">
        <v>975</v>
      </c>
    </row>
    <row r="19" spans="7:8" x14ac:dyDescent="0.3">
      <c r="G19" s="6" t="s">
        <v>976</v>
      </c>
      <c r="H19" s="6" t="s">
        <v>977</v>
      </c>
    </row>
    <row r="20" spans="7:8" x14ac:dyDescent="0.3">
      <c r="G20" s="6" t="s">
        <v>978</v>
      </c>
      <c r="H20" s="6" t="s">
        <v>979</v>
      </c>
    </row>
    <row r="21" spans="7:8" x14ac:dyDescent="0.3">
      <c r="H21" s="6" t="s">
        <v>980</v>
      </c>
    </row>
    <row r="22" spans="7:8" x14ac:dyDescent="0.3">
      <c r="H22" s="6" t="s">
        <v>981</v>
      </c>
    </row>
    <row r="23" spans="7:8" x14ac:dyDescent="0.3">
      <c r="H23" s="6" t="s">
        <v>982</v>
      </c>
    </row>
    <row r="24" spans="7:8" x14ac:dyDescent="0.3">
      <c r="H24" s="6" t="s">
        <v>983</v>
      </c>
    </row>
    <row r="25" spans="7:8" x14ac:dyDescent="0.3">
      <c r="H25" s="6" t="s">
        <v>900</v>
      </c>
    </row>
    <row r="26" spans="7:8" x14ac:dyDescent="0.3">
      <c r="H26" s="6" t="s">
        <v>984</v>
      </c>
    </row>
    <row r="27" spans="7:8" x14ac:dyDescent="0.3">
      <c r="H27" s="6" t="s">
        <v>985</v>
      </c>
    </row>
    <row r="28" spans="7:8" x14ac:dyDescent="0.3">
      <c r="H28" s="6" t="s">
        <v>986</v>
      </c>
    </row>
    <row r="29" spans="7:8" x14ac:dyDescent="0.3">
      <c r="H29" s="6" t="s">
        <v>919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987</v>
      </c>
      <c r="B1" s="8" t="s">
        <v>988</v>
      </c>
      <c r="C1" s="8" t="s">
        <v>989</v>
      </c>
      <c r="D1" s="8" t="s">
        <v>881</v>
      </c>
      <c r="E1" s="8" t="s">
        <v>990</v>
      </c>
      <c r="F1" s="8" t="s">
        <v>991</v>
      </c>
      <c r="G1" s="8" t="s">
        <v>992</v>
      </c>
      <c r="H1" s="8" t="s">
        <v>993</v>
      </c>
      <c r="I1" s="8" t="s">
        <v>994</v>
      </c>
    </row>
    <row r="2" spans="1:9" x14ac:dyDescent="0.3">
      <c r="A2" s="18" t="s">
        <v>37</v>
      </c>
      <c r="B2" s="18" t="s">
        <v>895</v>
      </c>
      <c r="C2" s="18" t="s">
        <v>75</v>
      </c>
      <c r="D2" s="18" t="s">
        <v>995</v>
      </c>
      <c r="E2" s="18" t="s">
        <v>996</v>
      </c>
      <c r="F2" s="18" t="s">
        <v>997</v>
      </c>
      <c r="G2" s="18"/>
      <c r="H2" s="18" t="s">
        <v>998</v>
      </c>
      <c r="I2" s="18" t="s">
        <v>999</v>
      </c>
    </row>
    <row r="3" spans="1:9" ht="26.4" x14ac:dyDescent="0.3">
      <c r="A3" s="18" t="s">
        <v>37</v>
      </c>
      <c r="B3" s="18" t="s">
        <v>895</v>
      </c>
      <c r="C3" s="18" t="s">
        <v>76</v>
      </c>
      <c r="D3" s="18" t="s">
        <v>1000</v>
      </c>
      <c r="E3" s="18" t="s">
        <v>996</v>
      </c>
      <c r="F3" s="18" t="s">
        <v>1001</v>
      </c>
      <c r="G3" s="18"/>
      <c r="H3" s="18" t="s">
        <v>998</v>
      </c>
      <c r="I3" s="18"/>
    </row>
    <row r="4" spans="1:9" x14ac:dyDescent="0.3">
      <c r="A4" s="18" t="s">
        <v>37</v>
      </c>
      <c r="B4" s="18" t="s">
        <v>895</v>
      </c>
      <c r="C4" s="18" t="s">
        <v>77</v>
      </c>
      <c r="D4" s="18" t="s">
        <v>995</v>
      </c>
      <c r="E4" s="18" t="s">
        <v>996</v>
      </c>
      <c r="F4" s="18" t="s">
        <v>1002</v>
      </c>
      <c r="G4" s="18"/>
      <c r="H4" s="18" t="s">
        <v>998</v>
      </c>
      <c r="I4" s="18"/>
    </row>
    <row r="5" spans="1:9" ht="26.4" x14ac:dyDescent="0.3">
      <c r="A5" s="18" t="s">
        <v>37</v>
      </c>
      <c r="B5" s="18" t="s">
        <v>895</v>
      </c>
      <c r="C5" s="18" t="s">
        <v>78</v>
      </c>
      <c r="D5" s="18" t="s">
        <v>995</v>
      </c>
      <c r="E5" s="18" t="s">
        <v>996</v>
      </c>
      <c r="F5" s="18" t="s">
        <v>1003</v>
      </c>
      <c r="G5" s="18"/>
      <c r="H5" s="18" t="s">
        <v>998</v>
      </c>
      <c r="I5" s="18" t="s">
        <v>1004</v>
      </c>
    </row>
    <row r="6" spans="1:9" x14ac:dyDescent="0.3">
      <c r="A6" s="18" t="s">
        <v>37</v>
      </c>
      <c r="B6" s="18" t="s">
        <v>895</v>
      </c>
      <c r="C6" s="18" t="s">
        <v>79</v>
      </c>
      <c r="D6" s="18" t="s">
        <v>995</v>
      </c>
      <c r="E6" s="18" t="s">
        <v>996</v>
      </c>
      <c r="F6" s="18" t="s">
        <v>1005</v>
      </c>
      <c r="G6" s="18" t="s">
        <v>1006</v>
      </c>
      <c r="H6" s="18" t="s">
        <v>998</v>
      </c>
      <c r="I6" s="18"/>
    </row>
    <row r="7" spans="1:9" x14ac:dyDescent="0.3">
      <c r="A7" s="18" t="s">
        <v>37</v>
      </c>
      <c r="B7" s="18" t="s">
        <v>895</v>
      </c>
      <c r="C7" s="18" t="s">
        <v>80</v>
      </c>
      <c r="D7" s="18" t="s">
        <v>995</v>
      </c>
      <c r="E7" s="18" t="s">
        <v>996</v>
      </c>
      <c r="F7" s="18" t="s">
        <v>1007</v>
      </c>
      <c r="G7" s="18"/>
      <c r="H7" s="18" t="s">
        <v>998</v>
      </c>
      <c r="I7" s="18"/>
    </row>
    <row r="8" spans="1:9" x14ac:dyDescent="0.3">
      <c r="A8" s="18" t="s">
        <v>37</v>
      </c>
      <c r="B8" s="18" t="s">
        <v>895</v>
      </c>
      <c r="C8" s="18" t="s">
        <v>81</v>
      </c>
      <c r="D8" s="18" t="s">
        <v>995</v>
      </c>
      <c r="E8" s="18" t="s">
        <v>996</v>
      </c>
      <c r="F8" s="18" t="s">
        <v>1008</v>
      </c>
      <c r="G8" s="18" t="s">
        <v>1009</v>
      </c>
      <c r="H8" s="18" t="s">
        <v>998</v>
      </c>
      <c r="I8" s="18"/>
    </row>
    <row r="9" spans="1:9" x14ac:dyDescent="0.3">
      <c r="A9" s="18" t="s">
        <v>37</v>
      </c>
      <c r="B9" s="18" t="s">
        <v>895</v>
      </c>
      <c r="C9" s="18" t="s">
        <v>82</v>
      </c>
      <c r="D9" s="18" t="s">
        <v>995</v>
      </c>
      <c r="E9" s="18" t="s">
        <v>996</v>
      </c>
      <c r="F9" s="18" t="s">
        <v>1010</v>
      </c>
      <c r="G9" s="18"/>
      <c r="H9" s="18" t="s">
        <v>998</v>
      </c>
      <c r="I9" s="18"/>
    </row>
    <row r="10" spans="1:9" x14ac:dyDescent="0.3">
      <c r="A10" s="18" t="s">
        <v>37</v>
      </c>
      <c r="B10" s="18" t="s">
        <v>895</v>
      </c>
      <c r="C10" s="18" t="s">
        <v>83</v>
      </c>
      <c r="D10" s="18" t="s">
        <v>995</v>
      </c>
      <c r="E10" s="18" t="s">
        <v>996</v>
      </c>
      <c r="F10" s="18" t="s">
        <v>1011</v>
      </c>
      <c r="G10" s="18"/>
      <c r="H10" s="18" t="s">
        <v>1012</v>
      </c>
      <c r="I10" s="18"/>
    </row>
    <row r="11" spans="1:9" x14ac:dyDescent="0.3">
      <c r="A11" s="18" t="s">
        <v>37</v>
      </c>
      <c r="B11" s="18" t="s">
        <v>895</v>
      </c>
      <c r="C11" s="18" t="s">
        <v>84</v>
      </c>
      <c r="D11" s="18" t="s">
        <v>995</v>
      </c>
      <c r="E11" s="18" t="s">
        <v>996</v>
      </c>
      <c r="F11" s="18" t="s">
        <v>1013</v>
      </c>
      <c r="G11" s="18"/>
      <c r="H11" s="18" t="s">
        <v>998</v>
      </c>
      <c r="I11" s="18"/>
    </row>
    <row r="12" spans="1:9" x14ac:dyDescent="0.3">
      <c r="A12" s="18" t="s">
        <v>37</v>
      </c>
      <c r="B12" s="18" t="s">
        <v>895</v>
      </c>
      <c r="C12" s="18" t="s">
        <v>85</v>
      </c>
      <c r="D12" s="18" t="s">
        <v>995</v>
      </c>
      <c r="E12" s="18" t="s">
        <v>996</v>
      </c>
      <c r="F12" s="18" t="s">
        <v>1014</v>
      </c>
      <c r="G12" s="18" t="s">
        <v>1015</v>
      </c>
      <c r="H12" s="18" t="s">
        <v>998</v>
      </c>
      <c r="I12" s="18"/>
    </row>
    <row r="13" spans="1:9" x14ac:dyDescent="0.3">
      <c r="A13" s="18" t="s">
        <v>37</v>
      </c>
      <c r="B13" s="18" t="s">
        <v>895</v>
      </c>
      <c r="C13" s="18" t="s">
        <v>86</v>
      </c>
      <c r="D13" s="18" t="s">
        <v>995</v>
      </c>
      <c r="E13" s="18" t="s">
        <v>996</v>
      </c>
      <c r="F13" s="18" t="s">
        <v>1016</v>
      </c>
      <c r="G13" s="18" t="s">
        <v>1017</v>
      </c>
      <c r="H13" s="18" t="s">
        <v>998</v>
      </c>
      <c r="I13" s="18"/>
    </row>
    <row r="14" spans="1:9" x14ac:dyDescent="0.3">
      <c r="A14" s="18" t="s">
        <v>37</v>
      </c>
      <c r="B14" s="18" t="s">
        <v>895</v>
      </c>
      <c r="C14" s="18" t="s">
        <v>87</v>
      </c>
      <c r="D14" s="18" t="s">
        <v>1018</v>
      </c>
      <c r="E14" s="18" t="s">
        <v>996</v>
      </c>
      <c r="F14" s="18" t="s">
        <v>1019</v>
      </c>
      <c r="G14" s="18"/>
      <c r="H14" s="18" t="s">
        <v>998</v>
      </c>
      <c r="I14" s="18"/>
    </row>
    <row r="15" spans="1:9" ht="26.4" x14ac:dyDescent="0.3">
      <c r="A15" s="18" t="s">
        <v>37</v>
      </c>
      <c r="B15" s="18" t="s">
        <v>895</v>
      </c>
      <c r="C15" s="18" t="s">
        <v>88</v>
      </c>
      <c r="D15" s="18" t="s">
        <v>1000</v>
      </c>
      <c r="E15" s="18" t="s">
        <v>996</v>
      </c>
      <c r="F15" s="18" t="s">
        <v>1020</v>
      </c>
      <c r="G15" s="18"/>
      <c r="H15" s="18" t="s">
        <v>998</v>
      </c>
      <c r="I15" s="18"/>
    </row>
    <row r="16" spans="1:9" ht="26.4" x14ac:dyDescent="0.3">
      <c r="A16" s="18" t="s">
        <v>37</v>
      </c>
      <c r="B16" s="18" t="s">
        <v>895</v>
      </c>
      <c r="C16" s="18" t="s">
        <v>89</v>
      </c>
      <c r="D16" s="18" t="s">
        <v>1000</v>
      </c>
      <c r="E16" s="18" t="s">
        <v>996</v>
      </c>
      <c r="F16" s="18" t="s">
        <v>1021</v>
      </c>
      <c r="G16" s="18"/>
      <c r="H16" s="18" t="s">
        <v>998</v>
      </c>
      <c r="I16" s="18"/>
    </row>
    <row r="17" spans="1:9" x14ac:dyDescent="0.3">
      <c r="A17" s="18" t="s">
        <v>37</v>
      </c>
      <c r="B17" s="18" t="s">
        <v>895</v>
      </c>
      <c r="C17" s="18" t="s">
        <v>90</v>
      </c>
      <c r="D17" s="18" t="s">
        <v>995</v>
      </c>
      <c r="E17" s="18" t="s">
        <v>996</v>
      </c>
      <c r="F17" s="18" t="s">
        <v>1022</v>
      </c>
      <c r="G17" s="18" t="s">
        <v>1023</v>
      </c>
      <c r="H17" s="18" t="s">
        <v>998</v>
      </c>
      <c r="I17" s="18"/>
    </row>
    <row r="18" spans="1:9" x14ac:dyDescent="0.3">
      <c r="A18" s="18" t="s">
        <v>37</v>
      </c>
      <c r="B18" s="18" t="s">
        <v>895</v>
      </c>
      <c r="C18" s="18" t="s">
        <v>91</v>
      </c>
      <c r="D18" s="18" t="s">
        <v>995</v>
      </c>
      <c r="E18" s="18" t="s">
        <v>996</v>
      </c>
      <c r="F18" s="18" t="s">
        <v>1024</v>
      </c>
      <c r="G18" s="18"/>
      <c r="H18" s="18" t="s">
        <v>998</v>
      </c>
      <c r="I18" s="18"/>
    </row>
    <row r="19" spans="1:9" ht="26.4" x14ac:dyDescent="0.3">
      <c r="A19" s="18" t="s">
        <v>37</v>
      </c>
      <c r="B19" s="18" t="s">
        <v>895</v>
      </c>
      <c r="C19" s="18" t="s">
        <v>92</v>
      </c>
      <c r="D19" s="18" t="s">
        <v>995</v>
      </c>
      <c r="E19" s="18" t="s">
        <v>996</v>
      </c>
      <c r="F19" s="18" t="s">
        <v>1025</v>
      </c>
      <c r="G19" s="18"/>
      <c r="H19" s="18" t="s">
        <v>1012</v>
      </c>
      <c r="I19" s="18" t="s">
        <v>1026</v>
      </c>
    </row>
    <row r="20" spans="1:9" ht="26.4" x14ac:dyDescent="0.3">
      <c r="A20" s="18" t="s">
        <v>37</v>
      </c>
      <c r="B20" s="18" t="s">
        <v>895</v>
      </c>
      <c r="C20" s="18" t="s">
        <v>93</v>
      </c>
      <c r="D20" s="18" t="s">
        <v>1000</v>
      </c>
      <c r="E20" s="18" t="s">
        <v>996</v>
      </c>
      <c r="F20" s="18" t="s">
        <v>1027</v>
      </c>
      <c r="G20" s="18"/>
      <c r="H20" s="18" t="s">
        <v>1012</v>
      </c>
      <c r="I20" s="18"/>
    </row>
    <row r="21" spans="1:9" x14ac:dyDescent="0.3">
      <c r="A21" s="18" t="s">
        <v>37</v>
      </c>
      <c r="B21" s="18" t="s">
        <v>895</v>
      </c>
      <c r="C21" s="18" t="s">
        <v>94</v>
      </c>
      <c r="D21" s="18" t="s">
        <v>1028</v>
      </c>
      <c r="E21" s="18" t="s">
        <v>996</v>
      </c>
      <c r="F21" s="18" t="s">
        <v>1029</v>
      </c>
      <c r="G21" s="18"/>
      <c r="H21" s="18" t="s">
        <v>1012</v>
      </c>
      <c r="I21" s="18"/>
    </row>
    <row r="22" spans="1:9" x14ac:dyDescent="0.3">
      <c r="A22" s="18" t="s">
        <v>37</v>
      </c>
      <c r="B22" s="18" t="s">
        <v>895</v>
      </c>
      <c r="C22" s="18" t="s">
        <v>95</v>
      </c>
      <c r="D22" s="18" t="s">
        <v>1030</v>
      </c>
      <c r="E22" s="18" t="s">
        <v>996</v>
      </c>
      <c r="F22" s="18" t="s">
        <v>1031</v>
      </c>
      <c r="G22" s="18"/>
      <c r="H22" s="18" t="s">
        <v>998</v>
      </c>
      <c r="I22" s="18"/>
    </row>
    <row r="23" spans="1:9" x14ac:dyDescent="0.3">
      <c r="A23" s="18" t="s">
        <v>37</v>
      </c>
      <c r="B23" s="18" t="s">
        <v>895</v>
      </c>
      <c r="C23" s="18" t="s">
        <v>96</v>
      </c>
      <c r="D23" s="18" t="s">
        <v>1028</v>
      </c>
      <c r="E23" s="18" t="s">
        <v>1032</v>
      </c>
      <c r="F23" s="18" t="s">
        <v>1033</v>
      </c>
      <c r="G23" s="18"/>
      <c r="H23" s="18" t="s">
        <v>998</v>
      </c>
      <c r="I23" s="18"/>
    </row>
    <row r="24" spans="1:9" x14ac:dyDescent="0.3">
      <c r="A24" s="18" t="s">
        <v>37</v>
      </c>
      <c r="B24" s="18" t="s">
        <v>895</v>
      </c>
      <c r="C24" s="18" t="s">
        <v>97</v>
      </c>
      <c r="D24" s="18" t="s">
        <v>1028</v>
      </c>
      <c r="E24" s="18" t="s">
        <v>1032</v>
      </c>
      <c r="F24" s="18" t="s">
        <v>1034</v>
      </c>
      <c r="G24" s="18"/>
      <c r="H24" s="18" t="s">
        <v>998</v>
      </c>
      <c r="I24" s="18"/>
    </row>
    <row r="25" spans="1:9" x14ac:dyDescent="0.3">
      <c r="A25" s="18" t="s">
        <v>37</v>
      </c>
      <c r="B25" s="18" t="s">
        <v>895</v>
      </c>
      <c r="C25" s="18" t="s">
        <v>14</v>
      </c>
      <c r="D25" s="18" t="s">
        <v>995</v>
      </c>
      <c r="E25" s="18" t="s">
        <v>1032</v>
      </c>
      <c r="F25" s="18" t="s">
        <v>1035</v>
      </c>
      <c r="G25" s="18"/>
      <c r="H25" s="18" t="s">
        <v>998</v>
      </c>
      <c r="I25" s="18"/>
    </row>
    <row r="26" spans="1:9" x14ac:dyDescent="0.3">
      <c r="A26" s="18" t="s">
        <v>37</v>
      </c>
      <c r="B26" s="18" t="s">
        <v>895</v>
      </c>
      <c r="C26" s="18" t="s">
        <v>98</v>
      </c>
      <c r="D26" s="18" t="s">
        <v>995</v>
      </c>
      <c r="E26" s="18" t="s">
        <v>1032</v>
      </c>
      <c r="F26" s="18" t="s">
        <v>1036</v>
      </c>
      <c r="G26" s="18"/>
      <c r="H26" s="18" t="s">
        <v>998</v>
      </c>
      <c r="I26" s="18"/>
    </row>
    <row r="27" spans="1:9" x14ac:dyDescent="0.3">
      <c r="A27" s="18" t="s">
        <v>39</v>
      </c>
      <c r="B27" s="18" t="s">
        <v>890</v>
      </c>
      <c r="C27" s="18" t="s">
        <v>844</v>
      </c>
      <c r="D27" s="18" t="s">
        <v>995</v>
      </c>
      <c r="E27" s="18" t="s">
        <v>996</v>
      </c>
      <c r="F27" s="18" t="s">
        <v>1037</v>
      </c>
      <c r="G27" s="18" t="s">
        <v>1038</v>
      </c>
      <c r="H27" s="18" t="s">
        <v>998</v>
      </c>
      <c r="I27" s="18"/>
    </row>
    <row r="28" spans="1:9" x14ac:dyDescent="0.3">
      <c r="A28" s="18" t="s">
        <v>39</v>
      </c>
      <c r="B28" s="18" t="s">
        <v>890</v>
      </c>
      <c r="C28" s="18" t="s">
        <v>78</v>
      </c>
      <c r="D28" s="18" t="s">
        <v>995</v>
      </c>
      <c r="E28" s="18" t="s">
        <v>996</v>
      </c>
      <c r="F28" s="18" t="s">
        <v>1003</v>
      </c>
      <c r="G28" s="18"/>
      <c r="H28" s="18" t="s">
        <v>998</v>
      </c>
      <c r="I28" s="18" t="s">
        <v>1039</v>
      </c>
    </row>
    <row r="29" spans="1:9" ht="26.4" x14ac:dyDescent="0.3">
      <c r="A29" s="18" t="s">
        <v>39</v>
      </c>
      <c r="B29" s="18" t="s">
        <v>890</v>
      </c>
      <c r="C29" s="18" t="s">
        <v>845</v>
      </c>
      <c r="D29" s="18" t="s">
        <v>995</v>
      </c>
      <c r="E29" s="18" t="s">
        <v>996</v>
      </c>
      <c r="F29" s="18" t="s">
        <v>1040</v>
      </c>
      <c r="G29" s="18"/>
      <c r="H29" s="18" t="s">
        <v>998</v>
      </c>
      <c r="I29" s="18" t="s">
        <v>1041</v>
      </c>
    </row>
    <row r="30" spans="1:9" x14ac:dyDescent="0.3">
      <c r="A30" s="18" t="s">
        <v>39</v>
      </c>
      <c r="B30" s="18" t="s">
        <v>890</v>
      </c>
      <c r="C30" s="18" t="s">
        <v>846</v>
      </c>
      <c r="D30" s="18" t="s">
        <v>995</v>
      </c>
      <c r="E30" s="18" t="s">
        <v>1032</v>
      </c>
      <c r="F30" s="18" t="s">
        <v>1042</v>
      </c>
      <c r="G30" s="18"/>
      <c r="H30" s="18" t="s">
        <v>998</v>
      </c>
      <c r="I30" s="18"/>
    </row>
    <row r="31" spans="1:9" x14ac:dyDescent="0.3">
      <c r="A31" s="18" t="s">
        <v>39</v>
      </c>
      <c r="B31" s="18" t="s">
        <v>890</v>
      </c>
      <c r="C31" s="18" t="s">
        <v>847</v>
      </c>
      <c r="D31" s="18" t="s">
        <v>1028</v>
      </c>
      <c r="E31" s="18" t="s">
        <v>996</v>
      </c>
      <c r="F31" s="18" t="s">
        <v>1043</v>
      </c>
      <c r="G31" s="18"/>
      <c r="H31" s="18" t="s">
        <v>998</v>
      </c>
      <c r="I31" s="18"/>
    </row>
    <row r="32" spans="1:9" x14ac:dyDescent="0.3">
      <c r="A32" s="18" t="s">
        <v>39</v>
      </c>
      <c r="B32" s="18" t="s">
        <v>890</v>
      </c>
      <c r="C32" s="18" t="s">
        <v>848</v>
      </c>
      <c r="D32" s="18" t="s">
        <v>1028</v>
      </c>
      <c r="E32" s="18" t="s">
        <v>996</v>
      </c>
      <c r="F32" s="18" t="s">
        <v>1044</v>
      </c>
      <c r="G32" s="18"/>
      <c r="H32" s="18" t="s">
        <v>998</v>
      </c>
      <c r="I32" s="18"/>
    </row>
    <row r="33" spans="1:9" x14ac:dyDescent="0.3">
      <c r="A33" s="18" t="s">
        <v>39</v>
      </c>
      <c r="B33" s="18" t="s">
        <v>890</v>
      </c>
      <c r="C33" s="18" t="s">
        <v>849</v>
      </c>
      <c r="D33" s="18" t="s">
        <v>1028</v>
      </c>
      <c r="E33" s="18" t="s">
        <v>1032</v>
      </c>
      <c r="F33" s="18" t="s">
        <v>1045</v>
      </c>
      <c r="G33" s="18"/>
      <c r="H33" s="18" t="s">
        <v>998</v>
      </c>
      <c r="I33" s="18"/>
    </row>
    <row r="34" spans="1:9" x14ac:dyDescent="0.3">
      <c r="A34" s="18" t="s">
        <v>39</v>
      </c>
      <c r="B34" s="18" t="s">
        <v>890</v>
      </c>
      <c r="C34" s="18" t="s">
        <v>850</v>
      </c>
      <c r="D34" s="18" t="s">
        <v>1028</v>
      </c>
      <c r="E34" s="18" t="s">
        <v>1032</v>
      </c>
      <c r="F34" s="18" t="s">
        <v>1046</v>
      </c>
      <c r="G34" s="18"/>
      <c r="H34" s="18" t="s">
        <v>998</v>
      </c>
      <c r="I34" s="18"/>
    </row>
    <row r="35" spans="1:9" x14ac:dyDescent="0.3">
      <c r="A35" s="18" t="s">
        <v>41</v>
      </c>
      <c r="B35" s="18" t="s">
        <v>1047</v>
      </c>
      <c r="C35" s="18" t="s">
        <v>845</v>
      </c>
      <c r="D35" s="18" t="s">
        <v>995</v>
      </c>
      <c r="E35" s="18" t="s">
        <v>996</v>
      </c>
      <c r="F35" s="18" t="s">
        <v>1040</v>
      </c>
      <c r="G35" s="18"/>
      <c r="H35" s="18" t="s">
        <v>998</v>
      </c>
      <c r="I35" s="18" t="s">
        <v>999</v>
      </c>
    </row>
    <row r="36" spans="1:9" x14ac:dyDescent="0.3">
      <c r="A36" s="18" t="s">
        <v>41</v>
      </c>
      <c r="B36" s="18" t="s">
        <v>1047</v>
      </c>
      <c r="C36" s="18" t="s">
        <v>846</v>
      </c>
      <c r="D36" s="18" t="s">
        <v>995</v>
      </c>
      <c r="E36" s="18" t="s">
        <v>996</v>
      </c>
      <c r="F36" s="18" t="s">
        <v>1048</v>
      </c>
      <c r="G36" s="18"/>
      <c r="H36" s="18" t="s">
        <v>998</v>
      </c>
      <c r="I36" s="18"/>
    </row>
    <row r="37" spans="1:9" x14ac:dyDescent="0.3">
      <c r="A37" s="18" t="s">
        <v>41</v>
      </c>
      <c r="B37" s="18" t="s">
        <v>1047</v>
      </c>
      <c r="C37" s="18" t="s">
        <v>861</v>
      </c>
      <c r="D37" s="18" t="s">
        <v>1018</v>
      </c>
      <c r="E37" s="18" t="s">
        <v>1032</v>
      </c>
      <c r="F37" s="18" t="s">
        <v>1049</v>
      </c>
      <c r="G37" s="18"/>
      <c r="H37" s="18" t="s">
        <v>998</v>
      </c>
      <c r="I37" s="18"/>
    </row>
    <row r="38" spans="1:9" x14ac:dyDescent="0.3">
      <c r="A38" s="18" t="s">
        <v>41</v>
      </c>
      <c r="B38" s="18" t="s">
        <v>1047</v>
      </c>
      <c r="C38" s="18" t="s">
        <v>862</v>
      </c>
      <c r="D38" s="18" t="s">
        <v>1018</v>
      </c>
      <c r="E38" s="18" t="s">
        <v>1032</v>
      </c>
      <c r="F38" s="18" t="s">
        <v>1050</v>
      </c>
      <c r="G38" s="18"/>
      <c r="H38" s="18" t="s">
        <v>998</v>
      </c>
      <c r="I38" s="18"/>
    </row>
    <row r="39" spans="1:9" x14ac:dyDescent="0.3">
      <c r="A39" s="18" t="s">
        <v>41</v>
      </c>
      <c r="B39" s="18" t="s">
        <v>1047</v>
      </c>
      <c r="C39" s="18" t="s">
        <v>863</v>
      </c>
      <c r="D39" s="18" t="s">
        <v>1018</v>
      </c>
      <c r="E39" s="18" t="s">
        <v>1032</v>
      </c>
      <c r="F39" s="18" t="s">
        <v>1051</v>
      </c>
      <c r="G39" s="18"/>
      <c r="H39" s="18" t="s">
        <v>998</v>
      </c>
      <c r="I39" s="18"/>
    </row>
    <row r="40" spans="1:9" x14ac:dyDescent="0.3">
      <c r="A40" s="18" t="s">
        <v>41</v>
      </c>
      <c r="B40" s="18" t="s">
        <v>1047</v>
      </c>
      <c r="C40" s="18" t="s">
        <v>864</v>
      </c>
      <c r="D40" s="18" t="s">
        <v>1018</v>
      </c>
      <c r="E40" s="18" t="s">
        <v>1032</v>
      </c>
      <c r="F40" s="18" t="s">
        <v>1052</v>
      </c>
      <c r="G40" s="18"/>
      <c r="H40" s="18" t="s">
        <v>998</v>
      </c>
      <c r="I40" s="18"/>
    </row>
    <row r="41" spans="1:9" x14ac:dyDescent="0.3">
      <c r="A41" s="18" t="s">
        <v>41</v>
      </c>
      <c r="B41" s="18" t="s">
        <v>1047</v>
      </c>
      <c r="C41" s="18" t="s">
        <v>849</v>
      </c>
      <c r="D41" s="18" t="s">
        <v>1018</v>
      </c>
      <c r="E41" s="18" t="s">
        <v>1032</v>
      </c>
      <c r="F41" s="18" t="s">
        <v>1053</v>
      </c>
      <c r="G41" s="18"/>
      <c r="H41" s="18" t="s">
        <v>998</v>
      </c>
      <c r="I41" s="18"/>
    </row>
    <row r="42" spans="1:9" x14ac:dyDescent="0.3">
      <c r="A42" s="18" t="s">
        <v>41</v>
      </c>
      <c r="B42" s="18" t="s">
        <v>1047</v>
      </c>
      <c r="C42" s="18" t="s">
        <v>865</v>
      </c>
      <c r="D42" s="18" t="s">
        <v>995</v>
      </c>
      <c r="E42" s="18" t="s">
        <v>1032</v>
      </c>
      <c r="F42" s="18" t="s">
        <v>1054</v>
      </c>
      <c r="G42" s="18"/>
      <c r="H42" s="18" t="s">
        <v>998</v>
      </c>
      <c r="I42" s="18"/>
    </row>
    <row r="43" spans="1:9" x14ac:dyDescent="0.3">
      <c r="A43" s="18" t="s">
        <v>43</v>
      </c>
      <c r="B43" s="18" t="s">
        <v>1055</v>
      </c>
      <c r="C43" s="18" t="s">
        <v>844</v>
      </c>
      <c r="D43" s="18" t="s">
        <v>995</v>
      </c>
      <c r="E43" s="18" t="s">
        <v>996</v>
      </c>
      <c r="F43" s="18" t="s">
        <v>1056</v>
      </c>
      <c r="G43" s="18" t="s">
        <v>1038</v>
      </c>
      <c r="H43" s="18" t="s">
        <v>998</v>
      </c>
      <c r="I43" s="18"/>
    </row>
    <row r="44" spans="1:9" x14ac:dyDescent="0.3">
      <c r="A44" s="18" t="s">
        <v>43</v>
      </c>
      <c r="B44" s="18" t="s">
        <v>1055</v>
      </c>
      <c r="C44" s="18" t="s">
        <v>78</v>
      </c>
      <c r="D44" s="18" t="s">
        <v>995</v>
      </c>
      <c r="E44" s="18" t="s">
        <v>996</v>
      </c>
      <c r="F44" s="18" t="s">
        <v>1003</v>
      </c>
      <c r="G44" s="18"/>
      <c r="H44" s="18" t="s">
        <v>998</v>
      </c>
      <c r="I44" s="18"/>
    </row>
    <row r="45" spans="1:9" x14ac:dyDescent="0.3">
      <c r="A45" s="18" t="s">
        <v>43</v>
      </c>
      <c r="B45" s="18" t="s">
        <v>1055</v>
      </c>
      <c r="C45" s="18" t="s">
        <v>873</v>
      </c>
      <c r="D45" s="18" t="s">
        <v>1028</v>
      </c>
      <c r="E45" s="18" t="s">
        <v>996</v>
      </c>
      <c r="F45" s="18" t="s">
        <v>1057</v>
      </c>
      <c r="G45" s="18"/>
      <c r="H45" s="18" t="s">
        <v>998</v>
      </c>
      <c r="I45" s="18"/>
    </row>
    <row r="46" spans="1:9" x14ac:dyDescent="0.3">
      <c r="A46" s="18" t="s">
        <v>43</v>
      </c>
      <c r="B46" s="18" t="s">
        <v>1055</v>
      </c>
      <c r="C46" s="18" t="s">
        <v>874</v>
      </c>
      <c r="D46" s="18" t="s">
        <v>995</v>
      </c>
      <c r="E46" s="18" t="s">
        <v>1032</v>
      </c>
      <c r="F46" s="18" t="s">
        <v>1058</v>
      </c>
      <c r="G46" s="18"/>
      <c r="H46" s="18" t="s">
        <v>998</v>
      </c>
      <c r="I46" s="18"/>
    </row>
    <row r="47" spans="1:9" x14ac:dyDescent="0.3">
      <c r="A47" s="18" t="s">
        <v>43</v>
      </c>
      <c r="B47" s="18" t="s">
        <v>1055</v>
      </c>
      <c r="C47" s="18" t="s">
        <v>875</v>
      </c>
      <c r="D47" s="18" t="s">
        <v>1028</v>
      </c>
      <c r="E47" s="18" t="s">
        <v>996</v>
      </c>
      <c r="F47" s="18" t="s">
        <v>1059</v>
      </c>
      <c r="G47" s="18"/>
      <c r="H47" s="18" t="s">
        <v>998</v>
      </c>
      <c r="I47" s="18"/>
    </row>
    <row r="48" spans="1:9" x14ac:dyDescent="0.3">
      <c r="A48" s="18" t="s">
        <v>43</v>
      </c>
      <c r="B48" s="18" t="s">
        <v>1055</v>
      </c>
      <c r="C48" s="18" t="s">
        <v>876</v>
      </c>
      <c r="D48" s="18" t="s">
        <v>995</v>
      </c>
      <c r="E48" s="18" t="s">
        <v>996</v>
      </c>
      <c r="F48" s="18" t="s">
        <v>1060</v>
      </c>
      <c r="G48" s="18"/>
      <c r="H48" s="18" t="s">
        <v>1012</v>
      </c>
      <c r="I48" s="18"/>
    </row>
    <row r="49" spans="1:9" x14ac:dyDescent="0.3">
      <c r="A49" s="18" t="s">
        <v>45</v>
      </c>
      <c r="B49" s="18" t="s">
        <v>1061</v>
      </c>
      <c r="C49" s="18" t="s">
        <v>879</v>
      </c>
      <c r="D49" s="18" t="s">
        <v>995</v>
      </c>
      <c r="E49" s="18" t="s">
        <v>996</v>
      </c>
      <c r="F49" s="18" t="s">
        <v>1062</v>
      </c>
      <c r="G49" s="18"/>
      <c r="H49" s="18" t="s">
        <v>998</v>
      </c>
      <c r="I49" s="18" t="s">
        <v>999</v>
      </c>
    </row>
    <row r="50" spans="1:9" x14ac:dyDescent="0.3">
      <c r="A50" s="18" t="s">
        <v>45</v>
      </c>
      <c r="B50" s="18" t="s">
        <v>1061</v>
      </c>
      <c r="C50" s="18" t="s">
        <v>880</v>
      </c>
      <c r="D50" s="18" t="s">
        <v>995</v>
      </c>
      <c r="E50" s="18" t="s">
        <v>996</v>
      </c>
      <c r="F50" s="18" t="s">
        <v>1063</v>
      </c>
      <c r="G50" s="18"/>
      <c r="H50" s="18" t="s">
        <v>998</v>
      </c>
      <c r="I50" s="18"/>
    </row>
    <row r="51" spans="1:9" x14ac:dyDescent="0.3">
      <c r="A51" s="18" t="s">
        <v>45</v>
      </c>
      <c r="B51" s="18" t="s">
        <v>1061</v>
      </c>
      <c r="C51" s="18" t="s">
        <v>881</v>
      </c>
      <c r="D51" s="18" t="s">
        <v>995</v>
      </c>
      <c r="E51" s="18" t="s">
        <v>996</v>
      </c>
      <c r="F51" s="18" t="s">
        <v>1064</v>
      </c>
      <c r="G51" s="18"/>
      <c r="H51" s="18" t="s">
        <v>998</v>
      </c>
      <c r="I51" s="18"/>
    </row>
    <row r="52" spans="1:9" x14ac:dyDescent="0.3">
      <c r="A52" s="18" t="s">
        <v>45</v>
      </c>
      <c r="B52" s="18" t="s">
        <v>1061</v>
      </c>
      <c r="C52" s="18" t="s">
        <v>882</v>
      </c>
      <c r="D52" s="18" t="s">
        <v>995</v>
      </c>
      <c r="E52" s="18" t="s">
        <v>996</v>
      </c>
      <c r="F52" s="18" t="s">
        <v>1065</v>
      </c>
      <c r="G52" s="18"/>
      <c r="H52" s="18" t="s">
        <v>998</v>
      </c>
      <c r="I52" s="18"/>
    </row>
    <row r="53" spans="1:9" x14ac:dyDescent="0.3">
      <c r="A53" s="18" t="s">
        <v>45</v>
      </c>
      <c r="B53" s="18" t="s">
        <v>1061</v>
      </c>
      <c r="C53" s="18" t="s">
        <v>883</v>
      </c>
      <c r="D53" s="18" t="s">
        <v>995</v>
      </c>
      <c r="E53" s="18" t="s">
        <v>996</v>
      </c>
      <c r="F53" s="18" t="s">
        <v>1066</v>
      </c>
      <c r="G53" s="18" t="s">
        <v>1067</v>
      </c>
      <c r="H53" s="18" t="s">
        <v>998</v>
      </c>
      <c r="I53" s="18"/>
    </row>
    <row r="54" spans="1:9" x14ac:dyDescent="0.3">
      <c r="A54" s="18" t="s">
        <v>45</v>
      </c>
      <c r="B54" s="18" t="s">
        <v>1061</v>
      </c>
      <c r="C54" s="18" t="s">
        <v>884</v>
      </c>
      <c r="D54" s="18" t="s">
        <v>995</v>
      </c>
      <c r="E54" s="18" t="s">
        <v>996</v>
      </c>
      <c r="F54" s="18" t="s">
        <v>1068</v>
      </c>
      <c r="G54" s="18"/>
      <c r="H54" s="18" t="s">
        <v>998</v>
      </c>
      <c r="I54" s="18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9</vt:i4>
      </vt:variant>
      <vt:variant>
        <vt:lpstr>Intervalos com Nome</vt:lpstr>
      </vt:variant>
      <vt:variant>
        <vt:i4>14</vt:i4>
      </vt:variant>
    </vt:vector>
  </HeadingPairs>
  <TitlesOfParts>
    <vt:vector size="23" baseType="lpstr">
      <vt:lpstr>00_LEIA-ME</vt:lpstr>
      <vt:lpstr>Reclamacoes</vt:lpstr>
      <vt:lpstr>Inquerito_Respostas</vt:lpstr>
      <vt:lpstr>Atributos</vt:lpstr>
      <vt:lpstr>NPS_CES</vt:lpstr>
      <vt:lpstr>Fontes_Satisfacao</vt:lpstr>
      <vt:lpstr>Indices_Satisfacao</vt:lpstr>
      <vt:lpstr>Listas</vt:lpstr>
      <vt:lpstr>Dicionario_Dados</vt:lpstr>
      <vt:lpstr>DataRef</vt:lpstr>
      <vt:lpstr>lst_Canal</vt:lpstr>
      <vt:lpstr>lst_DataReferencia</vt:lpstr>
      <vt:lpstr>lst_Decisao</vt:lpstr>
      <vt:lpstr>lst_Funcao</vt:lpstr>
      <vt:lpstr>lst_Natureza</vt:lpstr>
      <vt:lpstr>lst_Onda</vt:lpstr>
      <vt:lpstr>lst_Processo</vt:lpstr>
      <vt:lpstr>lst_Severidade</vt:lpstr>
      <vt:lpstr>Atributos!Títulos_de_Impressão</vt:lpstr>
      <vt:lpstr>Fontes_Satisfacao!Títulos_de_Impressão</vt:lpstr>
      <vt:lpstr>Inquerito_Respostas!Títulos_de_Impressão</vt:lpstr>
      <vt:lpstr>NPS_CES!Títulos_de_Impressão</vt:lpstr>
      <vt:lpstr>Reclamacoes!Títulos_de_Impressão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RG-SGQ-15 Reclamações de Clientes e Satisfação do Cliente</dc:title>
  <dc:subject>SGQ NP EN ISO 9001:2026 — Plasticom</dc:subject>
  <dc:creator>Gerente da Qualidade</dc:creator>
  <cp:lastModifiedBy>Aline Meireles</cp:lastModifiedBy>
  <dcterms:created xsi:type="dcterms:W3CDTF">2026-09-30T16:47:01Z</dcterms:created>
  <dcterms:modified xsi:type="dcterms:W3CDTF">2026-09-30T16:47:14Z</dcterms:modified>
</cp:coreProperties>
</file>