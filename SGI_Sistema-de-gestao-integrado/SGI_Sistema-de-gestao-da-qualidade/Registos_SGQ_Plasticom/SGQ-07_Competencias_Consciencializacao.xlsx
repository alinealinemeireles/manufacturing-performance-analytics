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FFA58E84-85A4-4B11-B170-13475E99A4CE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quisitos_Funcao" sheetId="2" r:id="rId2"/>
    <sheet name="Competencias" sheetId="3" r:id="rId3"/>
    <sheet name="Pessoas" sheetId="4" r:id="rId4"/>
    <sheet name="Matriz_Competencias" sheetId="5" r:id="rId5"/>
    <sheet name="Plano_Formacao" sheetId="6" r:id="rId6"/>
    <sheet name="Registo_Formacao" sheetId="7" r:id="rId7"/>
    <sheet name="Consciencializacao" sheetId="8" r:id="rId8"/>
    <sheet name="Conhecimento_Organizacional" sheetId="9" r:id="rId9"/>
    <sheet name="Resumo_Competencias" sheetId="10" r:id="rId10"/>
    <sheet name="Listas" sheetId="11" r:id="rId11"/>
    <sheet name="Dicionario_Dados" sheetId="12" r:id="rId12"/>
  </sheets>
  <definedNames>
    <definedName name="DataRef">Listas!$A$3</definedName>
    <definedName name="lst_DataReferencia">Listas!$A$3:$A$3</definedName>
    <definedName name="lst_EstadoForm">Listas!$D$3:$D$6</definedName>
    <definedName name="lst_Funcao">Listas!$B$3:$B$30</definedName>
    <definedName name="lst_Processo">Listas!$C$3:$C$20</definedName>
    <definedName name="lst_SimNao">Listas!$E$3:$E$4</definedName>
    <definedName name="lst_TipoConhec">Listas!$F$3:$F$7</definedName>
    <definedName name="lst_Vinculo">Listas!$G$3:$G$4</definedName>
    <definedName name="_xlnm.Print_Titles" localSheetId="2">Competencias!$1:$1</definedName>
    <definedName name="_xlnm.Print_Titles" localSheetId="8">Conhecimento_Organizacional!$4:$4</definedName>
    <definedName name="_xlnm.Print_Titles" localSheetId="7">Consciencializacao!$4:$4</definedName>
    <definedName name="_xlnm.Print_Titles" localSheetId="4">Matriz_Competencias!$4:$4</definedName>
    <definedName name="_xlnm.Print_Titles" localSheetId="3">Pessoas!$1:$1</definedName>
    <definedName name="_xlnm.Print_Titles" localSheetId="5">Plano_Formacao!$4:$4</definedName>
    <definedName name="_xlnm.Print_Titles" localSheetId="6">Registo_Formacao!$1:$1</definedName>
    <definedName name="_xlnm.Print_Titles" localSheetId="1">Requisitos_Funcao!$4:$4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0" l="1"/>
  <c r="B4" i="10"/>
  <c r="G13" i="9"/>
  <c r="G12" i="9"/>
  <c r="G11" i="9"/>
  <c r="G10" i="9"/>
  <c r="G9" i="9"/>
  <c r="G8" i="9"/>
  <c r="G7" i="9"/>
  <c r="G6" i="9"/>
  <c r="G5" i="9"/>
  <c r="H10" i="8"/>
  <c r="H9" i="8"/>
  <c r="H8" i="8"/>
  <c r="H7" i="8"/>
  <c r="H6" i="8"/>
  <c r="H5" i="8"/>
  <c r="K61" i="7"/>
  <c r="L61" i="7" s="1"/>
  <c r="L60" i="7"/>
  <c r="K60" i="7"/>
  <c r="K59" i="7"/>
  <c r="L59" i="7" s="1"/>
  <c r="L58" i="7"/>
  <c r="K58" i="7"/>
  <c r="K57" i="7"/>
  <c r="L57" i="7" s="1"/>
  <c r="K56" i="7"/>
  <c r="L56" i="7" s="1"/>
  <c r="K55" i="7"/>
  <c r="L55" i="7" s="1"/>
  <c r="K54" i="7"/>
  <c r="L54" i="7" s="1"/>
  <c r="K53" i="7"/>
  <c r="L53" i="7" s="1"/>
  <c r="L52" i="7"/>
  <c r="K52" i="7"/>
  <c r="K51" i="7"/>
  <c r="L51" i="7" s="1"/>
  <c r="L50" i="7"/>
  <c r="K50" i="7"/>
  <c r="K49" i="7"/>
  <c r="L49" i="7" s="1"/>
  <c r="K48" i="7"/>
  <c r="L48" i="7" s="1"/>
  <c r="K47" i="7"/>
  <c r="L47" i="7" s="1"/>
  <c r="K46" i="7"/>
  <c r="L46" i="7" s="1"/>
  <c r="K45" i="7"/>
  <c r="L45" i="7" s="1"/>
  <c r="K44" i="7"/>
  <c r="L44" i="7" s="1"/>
  <c r="K43" i="7"/>
  <c r="L43" i="7" s="1"/>
  <c r="L42" i="7"/>
  <c r="K42" i="7"/>
  <c r="K41" i="7"/>
  <c r="L41" i="7" s="1"/>
  <c r="K40" i="7"/>
  <c r="L40" i="7" s="1"/>
  <c r="K39" i="7"/>
  <c r="L39" i="7" s="1"/>
  <c r="K38" i="7"/>
  <c r="L38" i="7" s="1"/>
  <c r="K37" i="7"/>
  <c r="L37" i="7" s="1"/>
  <c r="K36" i="7"/>
  <c r="L36" i="7" s="1"/>
  <c r="K35" i="7"/>
  <c r="L35" i="7" s="1"/>
  <c r="L34" i="7"/>
  <c r="K34" i="7"/>
  <c r="K33" i="7"/>
  <c r="L33" i="7" s="1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L26" i="7"/>
  <c r="K26" i="7"/>
  <c r="K25" i="7"/>
  <c r="L25" i="7" s="1"/>
  <c r="K24" i="7"/>
  <c r="L24" i="7" s="1"/>
  <c r="K23" i="7"/>
  <c r="L23" i="7" s="1"/>
  <c r="K22" i="7"/>
  <c r="L22" i="7" s="1"/>
  <c r="K21" i="7"/>
  <c r="L21" i="7" s="1"/>
  <c r="K20" i="7"/>
  <c r="L20" i="7" s="1"/>
  <c r="K19" i="7"/>
  <c r="L19" i="7" s="1"/>
  <c r="L18" i="7"/>
  <c r="K18" i="7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L10" i="7"/>
  <c r="K10" i="7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K3" i="7"/>
  <c r="L3" i="7" s="1"/>
  <c r="L2" i="7"/>
  <c r="K2" i="7"/>
  <c r="B6" i="10" s="1"/>
  <c r="J20" i="6"/>
  <c r="I20" i="6"/>
  <c r="J19" i="6"/>
  <c r="I19" i="6"/>
  <c r="I18" i="6"/>
  <c r="J17" i="6"/>
  <c r="I17" i="6"/>
  <c r="I16" i="6"/>
  <c r="J15" i="6"/>
  <c r="I15" i="6"/>
  <c r="I14" i="6"/>
  <c r="J13" i="6"/>
  <c r="I13" i="6"/>
  <c r="J12" i="6"/>
  <c r="I12" i="6"/>
  <c r="J11" i="6"/>
  <c r="I11" i="6"/>
  <c r="I10" i="6"/>
  <c r="J9" i="6"/>
  <c r="I9" i="6"/>
  <c r="I8" i="6"/>
  <c r="J7" i="6"/>
  <c r="I7" i="6"/>
  <c r="I6" i="6"/>
  <c r="J5" i="6"/>
  <c r="I5" i="6"/>
  <c r="M142" i="5"/>
  <c r="I142" i="5"/>
  <c r="J142" i="5" s="1"/>
  <c r="F142" i="5"/>
  <c r="M141" i="5"/>
  <c r="I141" i="5"/>
  <c r="J141" i="5" s="1"/>
  <c r="F141" i="5"/>
  <c r="M140" i="5"/>
  <c r="I140" i="5"/>
  <c r="J140" i="5" s="1"/>
  <c r="F140" i="5"/>
  <c r="M139" i="5"/>
  <c r="I139" i="5"/>
  <c r="J139" i="5" s="1"/>
  <c r="F139" i="5"/>
  <c r="M138" i="5"/>
  <c r="I138" i="5"/>
  <c r="J138" i="5" s="1"/>
  <c r="F138" i="5"/>
  <c r="M137" i="5"/>
  <c r="I137" i="5"/>
  <c r="F137" i="5"/>
  <c r="M136" i="5"/>
  <c r="I136" i="5"/>
  <c r="J136" i="5" s="1"/>
  <c r="F136" i="5"/>
  <c r="M135" i="5"/>
  <c r="I135" i="5"/>
  <c r="J135" i="5" s="1"/>
  <c r="F135" i="5"/>
  <c r="M134" i="5"/>
  <c r="I134" i="5"/>
  <c r="F134" i="5"/>
  <c r="M133" i="5"/>
  <c r="I133" i="5"/>
  <c r="J133" i="5" s="1"/>
  <c r="F133" i="5"/>
  <c r="M132" i="5"/>
  <c r="I132" i="5"/>
  <c r="J132" i="5" s="1"/>
  <c r="F132" i="5"/>
  <c r="M131" i="5"/>
  <c r="I131" i="5"/>
  <c r="J131" i="5" s="1"/>
  <c r="F131" i="5"/>
  <c r="M130" i="5"/>
  <c r="I130" i="5"/>
  <c r="J130" i="5" s="1"/>
  <c r="F130" i="5"/>
  <c r="M129" i="5"/>
  <c r="I129" i="5"/>
  <c r="J129" i="5" s="1"/>
  <c r="F129" i="5"/>
  <c r="M128" i="5"/>
  <c r="I128" i="5"/>
  <c r="J128" i="5" s="1"/>
  <c r="F128" i="5"/>
  <c r="M127" i="5"/>
  <c r="I127" i="5"/>
  <c r="J127" i="5" s="1"/>
  <c r="F127" i="5"/>
  <c r="M126" i="5"/>
  <c r="I126" i="5"/>
  <c r="J126" i="5" s="1"/>
  <c r="F126" i="5"/>
  <c r="M125" i="5"/>
  <c r="I125" i="5"/>
  <c r="J125" i="5" s="1"/>
  <c r="F125" i="5"/>
  <c r="M124" i="5"/>
  <c r="I124" i="5"/>
  <c r="J124" i="5" s="1"/>
  <c r="F124" i="5"/>
  <c r="M123" i="5"/>
  <c r="I123" i="5"/>
  <c r="J123" i="5" s="1"/>
  <c r="F123" i="5"/>
  <c r="M122" i="5"/>
  <c r="I122" i="5"/>
  <c r="J122" i="5" s="1"/>
  <c r="F122" i="5"/>
  <c r="M121" i="5"/>
  <c r="I121" i="5"/>
  <c r="F121" i="5"/>
  <c r="M120" i="5"/>
  <c r="I120" i="5"/>
  <c r="J120" i="5" s="1"/>
  <c r="F120" i="5"/>
  <c r="M119" i="5"/>
  <c r="I119" i="5"/>
  <c r="J119" i="5" s="1"/>
  <c r="F119" i="5"/>
  <c r="M118" i="5"/>
  <c r="I118" i="5"/>
  <c r="J118" i="5" s="1"/>
  <c r="F118" i="5"/>
  <c r="M117" i="5"/>
  <c r="I117" i="5"/>
  <c r="J117" i="5" s="1"/>
  <c r="F117" i="5"/>
  <c r="M116" i="5"/>
  <c r="I116" i="5"/>
  <c r="F116" i="5"/>
  <c r="M115" i="5"/>
  <c r="I115" i="5"/>
  <c r="J115" i="5" s="1"/>
  <c r="F115" i="5"/>
  <c r="M114" i="5"/>
  <c r="I114" i="5"/>
  <c r="J114" i="5" s="1"/>
  <c r="F114" i="5"/>
  <c r="M113" i="5"/>
  <c r="I113" i="5"/>
  <c r="J113" i="5" s="1"/>
  <c r="F113" i="5"/>
  <c r="M112" i="5"/>
  <c r="I112" i="5"/>
  <c r="J112" i="5" s="1"/>
  <c r="F112" i="5"/>
  <c r="M111" i="5"/>
  <c r="I111" i="5"/>
  <c r="J111" i="5" s="1"/>
  <c r="F111" i="5"/>
  <c r="M110" i="5"/>
  <c r="I110" i="5"/>
  <c r="J110" i="5" s="1"/>
  <c r="F110" i="5"/>
  <c r="M109" i="5"/>
  <c r="I109" i="5"/>
  <c r="J109" i="5" s="1"/>
  <c r="F109" i="5"/>
  <c r="M108" i="5"/>
  <c r="I108" i="5"/>
  <c r="J108" i="5" s="1"/>
  <c r="F108" i="5"/>
  <c r="M107" i="5"/>
  <c r="I107" i="5"/>
  <c r="J107" i="5" s="1"/>
  <c r="F107" i="5"/>
  <c r="M106" i="5"/>
  <c r="I106" i="5"/>
  <c r="J106" i="5" s="1"/>
  <c r="F106" i="5"/>
  <c r="M105" i="5"/>
  <c r="I105" i="5"/>
  <c r="J105" i="5" s="1"/>
  <c r="F105" i="5"/>
  <c r="M104" i="5"/>
  <c r="I104" i="5"/>
  <c r="J104" i="5" s="1"/>
  <c r="F104" i="5"/>
  <c r="M103" i="5"/>
  <c r="I103" i="5"/>
  <c r="J103" i="5" s="1"/>
  <c r="F103" i="5"/>
  <c r="M102" i="5"/>
  <c r="I102" i="5"/>
  <c r="J102" i="5" s="1"/>
  <c r="F102" i="5"/>
  <c r="M101" i="5"/>
  <c r="I101" i="5"/>
  <c r="H21" i="4" s="1"/>
  <c r="I21" i="4" s="1"/>
  <c r="F101" i="5"/>
  <c r="M100" i="5"/>
  <c r="I100" i="5"/>
  <c r="J100" i="5" s="1"/>
  <c r="F100" i="5"/>
  <c r="M99" i="5"/>
  <c r="I99" i="5"/>
  <c r="J99" i="5" s="1"/>
  <c r="F99" i="5"/>
  <c r="M98" i="5"/>
  <c r="I98" i="5"/>
  <c r="J98" i="5" s="1"/>
  <c r="F98" i="5"/>
  <c r="M97" i="5"/>
  <c r="I97" i="5"/>
  <c r="J97" i="5" s="1"/>
  <c r="F97" i="5"/>
  <c r="M96" i="5"/>
  <c r="I96" i="5"/>
  <c r="F96" i="5"/>
  <c r="M95" i="5"/>
  <c r="I95" i="5"/>
  <c r="J95" i="5" s="1"/>
  <c r="F95" i="5"/>
  <c r="M94" i="5"/>
  <c r="I94" i="5"/>
  <c r="J94" i="5" s="1"/>
  <c r="F94" i="5"/>
  <c r="M93" i="5"/>
  <c r="I93" i="5"/>
  <c r="J93" i="5" s="1"/>
  <c r="F93" i="5"/>
  <c r="M92" i="5"/>
  <c r="I92" i="5"/>
  <c r="J92" i="5" s="1"/>
  <c r="F92" i="5"/>
  <c r="M91" i="5"/>
  <c r="I91" i="5"/>
  <c r="J91" i="5" s="1"/>
  <c r="F91" i="5"/>
  <c r="M90" i="5"/>
  <c r="I90" i="5"/>
  <c r="J90" i="5" s="1"/>
  <c r="F90" i="5"/>
  <c r="M89" i="5"/>
  <c r="I89" i="5"/>
  <c r="J89" i="5" s="1"/>
  <c r="F89" i="5"/>
  <c r="M88" i="5"/>
  <c r="I88" i="5"/>
  <c r="J88" i="5" s="1"/>
  <c r="F88" i="5"/>
  <c r="M87" i="5"/>
  <c r="I87" i="5"/>
  <c r="J87" i="5" s="1"/>
  <c r="F87" i="5"/>
  <c r="M86" i="5"/>
  <c r="I86" i="5"/>
  <c r="J86" i="5" s="1"/>
  <c r="F86" i="5"/>
  <c r="M85" i="5"/>
  <c r="I85" i="5"/>
  <c r="J85" i="5" s="1"/>
  <c r="F85" i="5"/>
  <c r="M84" i="5"/>
  <c r="I84" i="5"/>
  <c r="J84" i="5" s="1"/>
  <c r="F84" i="5"/>
  <c r="M83" i="5"/>
  <c r="I83" i="5"/>
  <c r="J83" i="5" s="1"/>
  <c r="F83" i="5"/>
  <c r="M82" i="5"/>
  <c r="I82" i="5"/>
  <c r="J82" i="5" s="1"/>
  <c r="F82" i="5"/>
  <c r="M81" i="5"/>
  <c r="I81" i="5"/>
  <c r="F81" i="5"/>
  <c r="M80" i="5"/>
  <c r="I80" i="5"/>
  <c r="J80" i="5" s="1"/>
  <c r="F80" i="5"/>
  <c r="M79" i="5"/>
  <c r="I79" i="5"/>
  <c r="J79" i="5" s="1"/>
  <c r="F79" i="5"/>
  <c r="M78" i="5"/>
  <c r="I78" i="5"/>
  <c r="J78" i="5" s="1"/>
  <c r="F78" i="5"/>
  <c r="M77" i="5"/>
  <c r="I77" i="5"/>
  <c r="J77" i="5" s="1"/>
  <c r="F77" i="5"/>
  <c r="M76" i="5"/>
  <c r="I76" i="5"/>
  <c r="J76" i="5" s="1"/>
  <c r="F76" i="5"/>
  <c r="M75" i="5"/>
  <c r="I75" i="5"/>
  <c r="J75" i="5" s="1"/>
  <c r="F75" i="5"/>
  <c r="M74" i="5"/>
  <c r="I74" i="5"/>
  <c r="J74" i="5" s="1"/>
  <c r="F74" i="5"/>
  <c r="M73" i="5"/>
  <c r="I73" i="5"/>
  <c r="J73" i="5" s="1"/>
  <c r="F73" i="5"/>
  <c r="M72" i="5"/>
  <c r="I72" i="5"/>
  <c r="J72" i="5" s="1"/>
  <c r="F72" i="5"/>
  <c r="M71" i="5"/>
  <c r="I71" i="5"/>
  <c r="J71" i="5" s="1"/>
  <c r="F71" i="5"/>
  <c r="M70" i="5"/>
  <c r="I70" i="5"/>
  <c r="J70" i="5" s="1"/>
  <c r="F70" i="5"/>
  <c r="M69" i="5"/>
  <c r="I69" i="5"/>
  <c r="J69" i="5" s="1"/>
  <c r="F69" i="5"/>
  <c r="M68" i="5"/>
  <c r="I68" i="5"/>
  <c r="J68" i="5" s="1"/>
  <c r="F68" i="5"/>
  <c r="M67" i="5"/>
  <c r="I67" i="5"/>
  <c r="J67" i="5" s="1"/>
  <c r="F67" i="5"/>
  <c r="M66" i="5"/>
  <c r="I66" i="5"/>
  <c r="J66" i="5" s="1"/>
  <c r="F66" i="5"/>
  <c r="M65" i="5"/>
  <c r="I65" i="5"/>
  <c r="F65" i="5"/>
  <c r="M64" i="5"/>
  <c r="I64" i="5"/>
  <c r="J64" i="5" s="1"/>
  <c r="F64" i="5"/>
  <c r="M63" i="5"/>
  <c r="I63" i="5"/>
  <c r="J63" i="5" s="1"/>
  <c r="F63" i="5"/>
  <c r="M62" i="5"/>
  <c r="I62" i="5"/>
  <c r="J62" i="5" s="1"/>
  <c r="F62" i="5"/>
  <c r="M61" i="5"/>
  <c r="I61" i="5"/>
  <c r="J61" i="5" s="1"/>
  <c r="F61" i="5"/>
  <c r="M60" i="5"/>
  <c r="I60" i="5"/>
  <c r="J60" i="5" s="1"/>
  <c r="F60" i="5"/>
  <c r="M59" i="5"/>
  <c r="I59" i="5"/>
  <c r="J59" i="5" s="1"/>
  <c r="F59" i="5"/>
  <c r="M58" i="5"/>
  <c r="I58" i="5"/>
  <c r="J58" i="5" s="1"/>
  <c r="F58" i="5"/>
  <c r="M57" i="5"/>
  <c r="I57" i="5"/>
  <c r="J57" i="5" s="1"/>
  <c r="F57" i="5"/>
  <c r="M56" i="5"/>
  <c r="I56" i="5"/>
  <c r="J56" i="5" s="1"/>
  <c r="F56" i="5"/>
  <c r="M55" i="5"/>
  <c r="I55" i="5"/>
  <c r="J55" i="5" s="1"/>
  <c r="F55" i="5"/>
  <c r="M54" i="5"/>
  <c r="I54" i="5"/>
  <c r="J54" i="5" s="1"/>
  <c r="F54" i="5"/>
  <c r="M53" i="5"/>
  <c r="I53" i="5"/>
  <c r="F53" i="5"/>
  <c r="M52" i="5"/>
  <c r="I52" i="5"/>
  <c r="J52" i="5" s="1"/>
  <c r="F52" i="5"/>
  <c r="M51" i="5"/>
  <c r="I51" i="5"/>
  <c r="J51" i="5" s="1"/>
  <c r="F51" i="5"/>
  <c r="M50" i="5"/>
  <c r="I50" i="5"/>
  <c r="J50" i="5" s="1"/>
  <c r="F50" i="5"/>
  <c r="M49" i="5"/>
  <c r="I49" i="5"/>
  <c r="J49" i="5" s="1"/>
  <c r="F49" i="5"/>
  <c r="M48" i="5"/>
  <c r="I48" i="5"/>
  <c r="J48" i="5" s="1"/>
  <c r="F48" i="5"/>
  <c r="M47" i="5"/>
  <c r="I47" i="5"/>
  <c r="J47" i="5" s="1"/>
  <c r="F47" i="5"/>
  <c r="M46" i="5"/>
  <c r="I46" i="5"/>
  <c r="J46" i="5" s="1"/>
  <c r="F46" i="5"/>
  <c r="M45" i="5"/>
  <c r="I45" i="5"/>
  <c r="J45" i="5" s="1"/>
  <c r="F45" i="5"/>
  <c r="M44" i="5"/>
  <c r="I44" i="5"/>
  <c r="J44" i="5" s="1"/>
  <c r="F44" i="5"/>
  <c r="M43" i="5"/>
  <c r="I43" i="5"/>
  <c r="J43" i="5" s="1"/>
  <c r="F43" i="5"/>
  <c r="M42" i="5"/>
  <c r="I42" i="5"/>
  <c r="J42" i="5" s="1"/>
  <c r="F42" i="5"/>
  <c r="M41" i="5"/>
  <c r="I41" i="5"/>
  <c r="J41" i="5" s="1"/>
  <c r="F41" i="5"/>
  <c r="M40" i="5"/>
  <c r="I40" i="5"/>
  <c r="J40" i="5" s="1"/>
  <c r="F40" i="5"/>
  <c r="M39" i="5"/>
  <c r="I39" i="5"/>
  <c r="J39" i="5" s="1"/>
  <c r="F39" i="5"/>
  <c r="M38" i="5"/>
  <c r="I38" i="5"/>
  <c r="J38" i="5" s="1"/>
  <c r="F38" i="5"/>
  <c r="M37" i="5"/>
  <c r="I37" i="5"/>
  <c r="J37" i="5" s="1"/>
  <c r="F37" i="5"/>
  <c r="M36" i="5"/>
  <c r="I36" i="5"/>
  <c r="J36" i="5" s="1"/>
  <c r="F36" i="5"/>
  <c r="M35" i="5"/>
  <c r="I35" i="5"/>
  <c r="J35" i="5" s="1"/>
  <c r="F35" i="5"/>
  <c r="M34" i="5"/>
  <c r="I34" i="5"/>
  <c r="J34" i="5" s="1"/>
  <c r="F34" i="5"/>
  <c r="M33" i="5"/>
  <c r="I33" i="5"/>
  <c r="J33" i="5" s="1"/>
  <c r="F33" i="5"/>
  <c r="M32" i="5"/>
  <c r="I32" i="5"/>
  <c r="J32" i="5" s="1"/>
  <c r="F32" i="5"/>
  <c r="M31" i="5"/>
  <c r="I31" i="5"/>
  <c r="F31" i="5"/>
  <c r="M30" i="5"/>
  <c r="I30" i="5"/>
  <c r="J30" i="5" s="1"/>
  <c r="F30" i="5"/>
  <c r="M29" i="5"/>
  <c r="I29" i="5"/>
  <c r="J29" i="5" s="1"/>
  <c r="F29" i="5"/>
  <c r="M28" i="5"/>
  <c r="I28" i="5"/>
  <c r="J28" i="5" s="1"/>
  <c r="F28" i="5"/>
  <c r="M27" i="5"/>
  <c r="I27" i="5"/>
  <c r="J27" i="5" s="1"/>
  <c r="F27" i="5"/>
  <c r="M26" i="5"/>
  <c r="J26" i="5"/>
  <c r="I26" i="5"/>
  <c r="F26" i="5"/>
  <c r="M25" i="5"/>
  <c r="J25" i="5"/>
  <c r="I25" i="5"/>
  <c r="F25" i="5"/>
  <c r="M24" i="5"/>
  <c r="J24" i="5"/>
  <c r="I24" i="5"/>
  <c r="F24" i="5"/>
  <c r="M23" i="5"/>
  <c r="J23" i="5"/>
  <c r="I23" i="5"/>
  <c r="F23" i="5"/>
  <c r="M22" i="5"/>
  <c r="J22" i="5"/>
  <c r="I22" i="5"/>
  <c r="F22" i="5"/>
  <c r="M21" i="5"/>
  <c r="J21" i="5"/>
  <c r="I21" i="5"/>
  <c r="F21" i="5"/>
  <c r="M20" i="5"/>
  <c r="J20" i="5"/>
  <c r="I20" i="5"/>
  <c r="F20" i="5"/>
  <c r="M19" i="5"/>
  <c r="J19" i="5"/>
  <c r="I19" i="5"/>
  <c r="F19" i="5"/>
  <c r="M18" i="5"/>
  <c r="J18" i="5"/>
  <c r="I18" i="5"/>
  <c r="F18" i="5"/>
  <c r="M17" i="5"/>
  <c r="J17" i="5"/>
  <c r="I17" i="5"/>
  <c r="F17" i="5"/>
  <c r="M16" i="5"/>
  <c r="J16" i="5"/>
  <c r="I16" i="5"/>
  <c r="F16" i="5"/>
  <c r="M15" i="5"/>
  <c r="J15" i="5"/>
  <c r="I15" i="5"/>
  <c r="F15" i="5"/>
  <c r="M14" i="5"/>
  <c r="J14" i="5"/>
  <c r="I14" i="5"/>
  <c r="F14" i="5"/>
  <c r="M13" i="5"/>
  <c r="J13" i="5"/>
  <c r="I13" i="5"/>
  <c r="F13" i="5"/>
  <c r="M12" i="5"/>
  <c r="J12" i="5"/>
  <c r="I12" i="5"/>
  <c r="F12" i="5"/>
  <c r="M11" i="5"/>
  <c r="J11" i="5"/>
  <c r="I11" i="5"/>
  <c r="F11" i="5"/>
  <c r="M10" i="5"/>
  <c r="J10" i="5"/>
  <c r="I10" i="5"/>
  <c r="F10" i="5"/>
  <c r="M9" i="5"/>
  <c r="J9" i="5"/>
  <c r="I9" i="5"/>
  <c r="F9" i="5"/>
  <c r="M8" i="5"/>
  <c r="J8" i="5"/>
  <c r="I8" i="5"/>
  <c r="F8" i="5"/>
  <c r="M7" i="5"/>
  <c r="J7" i="5"/>
  <c r="I7" i="5"/>
  <c r="F7" i="5"/>
  <c r="M6" i="5"/>
  <c r="J6" i="5"/>
  <c r="I6" i="5"/>
  <c r="F6" i="5"/>
  <c r="M5" i="5"/>
  <c r="J5" i="5"/>
  <c r="I5" i="5"/>
  <c r="F5" i="5"/>
  <c r="H30" i="4"/>
  <c r="I30" i="4" s="1"/>
  <c r="G30" i="4"/>
  <c r="G29" i="4"/>
  <c r="G28" i="4"/>
  <c r="G27" i="4"/>
  <c r="H26" i="4"/>
  <c r="I26" i="4" s="1"/>
  <c r="G26" i="4"/>
  <c r="G25" i="4"/>
  <c r="G24" i="4"/>
  <c r="G23" i="4"/>
  <c r="H22" i="4"/>
  <c r="I22" i="4" s="1"/>
  <c r="G22" i="4"/>
  <c r="G21" i="4"/>
  <c r="G20" i="4"/>
  <c r="G19" i="4"/>
  <c r="G18" i="4"/>
  <c r="G17" i="4"/>
  <c r="H16" i="4"/>
  <c r="I16" i="4" s="1"/>
  <c r="G16" i="4"/>
  <c r="G15" i="4"/>
  <c r="G14" i="4"/>
  <c r="G13" i="4"/>
  <c r="G12" i="4"/>
  <c r="G11" i="4"/>
  <c r="G10" i="4"/>
  <c r="G9" i="4"/>
  <c r="H8" i="4"/>
  <c r="I8" i="4" s="1"/>
  <c r="G8" i="4"/>
  <c r="H7" i="4"/>
  <c r="I7" i="4" s="1"/>
  <c r="G7" i="4"/>
  <c r="G6" i="4"/>
  <c r="G5" i="4"/>
  <c r="G4" i="4"/>
  <c r="H3" i="4"/>
  <c r="I3" i="4" s="1"/>
  <c r="G3" i="4"/>
  <c r="H2" i="4"/>
  <c r="I2" i="4" s="1"/>
  <c r="G2" i="4"/>
  <c r="B12" i="10" l="1"/>
  <c r="B13" i="10"/>
  <c r="H10" i="4"/>
  <c r="I10" i="4" s="1"/>
  <c r="H29" i="4"/>
  <c r="I29" i="4" s="1"/>
  <c r="J137" i="5"/>
  <c r="H4" i="4"/>
  <c r="I4" i="4" s="1"/>
  <c r="H12" i="4"/>
  <c r="I12" i="4" s="1"/>
  <c r="H20" i="4"/>
  <c r="I20" i="4" s="1"/>
  <c r="J96" i="5"/>
  <c r="H24" i="4"/>
  <c r="I24" i="4" s="1"/>
  <c r="J116" i="5"/>
  <c r="H15" i="4"/>
  <c r="I15" i="4" s="1"/>
  <c r="H18" i="4"/>
  <c r="I18" i="4" s="1"/>
  <c r="H9" i="4"/>
  <c r="I9" i="4" s="1"/>
  <c r="J53" i="5"/>
  <c r="H13" i="4"/>
  <c r="I13" i="4" s="1"/>
  <c r="J65" i="5"/>
  <c r="H17" i="4"/>
  <c r="I17" i="4" s="1"/>
  <c r="J81" i="5"/>
  <c r="H25" i="4"/>
  <c r="I25" i="4" s="1"/>
  <c r="J121" i="5"/>
  <c r="H6" i="4"/>
  <c r="I6" i="4" s="1"/>
  <c r="H11" i="4"/>
  <c r="I11" i="4" s="1"/>
  <c r="H14" i="4"/>
  <c r="I14" i="4" s="1"/>
  <c r="H19" i="4"/>
  <c r="I19" i="4" s="1"/>
  <c r="H23" i="4"/>
  <c r="I23" i="4" s="1"/>
  <c r="H27" i="4"/>
  <c r="I27" i="4" s="1"/>
  <c r="H5" i="4"/>
  <c r="I5" i="4" s="1"/>
  <c r="J31" i="5"/>
  <c r="J101" i="5"/>
  <c r="H28" i="4"/>
  <c r="I28" i="4" s="1"/>
  <c r="J134" i="5"/>
  <c r="J6" i="6"/>
  <c r="J8" i="6"/>
  <c r="J10" i="6"/>
  <c r="J14" i="6"/>
  <c r="J16" i="6"/>
  <c r="J18" i="6"/>
  <c r="B9" i="10" l="1"/>
  <c r="B11" i="10"/>
  <c r="B8" i="10"/>
  <c r="B10" i="10" s="1"/>
  <c r="B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Requisito de função.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Educação.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Formação requerida.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Experiência.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Qualificação/validação específica.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Competência técnica.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Processo principal.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 da pessoa (IDs de operador do dataset).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Nome (operadores identificados pelo ID).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Admissão.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Efetivo / temporário.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Anos na empresa.
[calculado]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Competências abaixo do requerido.
[calculado]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Sem lacunas = autónomo; com lacunas = tutor obrigatório (AMB-08).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Pessoa.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Nome.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Competência.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Descrição (calculada).
[calculado]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0 sem conhecimento · 1 em formação · 2 executa com supervisão · 3 autónomo · 4 forma outros.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Nível avaliado.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Requerido − atual.
[calculado]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Estado.
[calculado]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Data da validação no posto / avaliação.</t>
        </r>
      </text>
    </comment>
    <comment ref="L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Quem validou.</t>
        </r>
      </text>
    </comment>
    <comment ref="M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Revalidação a cada 24 meses.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Ação de formação.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Designação / tema.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Duração (horas).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[Só SGQ] Destinatários.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Competência desenvolvida.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Data (planeada ou realizada).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Interna / externa.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N.º de registos individuais (participantes).
[calculado]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% de participantes com formação eficaz.
[calculado]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Registo de presença.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ID da pessoa (IDs de operador do dataset).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[Só SGQ] Nome.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Formação.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Data em que concluiu.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Horas.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Nível 1 — satisfação (1–5).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Nível 2 — resultado do teste.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Nível 3 — aplica no posto (observação 30 dias depois).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Nível 4 — efeito no KPI (quando mensurável).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Eficácia: teste ≥ 70% e aplicação no posto.
[calculado]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Ação quando não eficaz.
[calculado]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Sessão de consciencialização.</t>
        </r>
      </text>
    </comment>
    <comment ref="B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D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Alíneas de 7.3 cobertas.</t>
        </r>
      </text>
    </comment>
    <comment ref="E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Público.</t>
        </r>
      </text>
    </comment>
    <comment ref="F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Presentes.</t>
        </r>
      </text>
    </comment>
    <comment ref="G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Convocados.</t>
        </r>
      </text>
    </comment>
    <comment ref="H4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Presentes ÷ convocados.
[calculado]</t>
        </r>
      </text>
    </comment>
    <comment ref="I4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Evidência da compreensão.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Conhecimento crítico.</t>
        </r>
      </text>
    </comment>
    <comment ref="B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Conhecimento necessário à operação (7.1.6).</t>
        </r>
      </text>
    </comment>
    <comment ref="C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Forma do conhecimento (7.1.6 Nota).</t>
        </r>
      </text>
    </comment>
    <comment ref="D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Onde está conservado.</t>
        </r>
      </text>
    </comment>
    <comment ref="E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Quem o detém.</t>
        </r>
      </text>
    </comment>
    <comment ref="F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N.º de pessoas que o dominam.</t>
        </r>
      </text>
    </comment>
    <comment ref="G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Risco de perda do conhecimento.
[calculado]</t>
        </r>
      </text>
    </comment>
    <comment ref="H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Como se partilha / adquire (7.1.6).</t>
        </r>
      </text>
    </comment>
    <comment ref="I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Lição aprendida associada.</t>
        </r>
      </text>
    </comment>
  </commentList>
</comments>
</file>

<file path=xl/sharedStrings.xml><?xml version="1.0" encoding="utf-8"?>
<sst xmlns="http://schemas.openxmlformats.org/spreadsheetml/2006/main" count="2339" uniqueCount="627">
  <si>
    <t>RG-SGQ-07 — Competências, Formação, Consciencialização e Conhecimento Organizacional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</si>
  <si>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</si>
  <si>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</si>
  <si>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</si>
  <si>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RG-SGQ-07</t>
  </si>
  <si>
    <t>Título</t>
  </si>
  <si>
    <t>Competências, Formação, Consciencialização e Conhecimento Organizacional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</si>
  <si>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</si>
  <si>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</si>
  <si>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</si>
  <si>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</si>
  <si>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</si>
  <si>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</si>
  <si>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</si>
  <si>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</si>
  <si>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</si>
  <si>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</si>
  <si>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</si>
  <si>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</si>
  <si>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</si>
  <si>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</si>
  <si>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</si>
  <si>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Matriz de competências pessoa × competência (29 pessoas do dataset e da estrutura), com lacunas calculadas; plano e registos de formação com avaliação da eficácia em 4 níveis (ISO 10015); sessões de consciencialização com cobertura; registo do conhecimento organizacional crítico e risco de perda.</t>
  </si>
  <si>
    <t>Utilização / atividades</t>
  </si>
  <si>
    <t>Determinar a competência necessária por função, avaliar cada pessoa, planear e registar a formação com avaliação da eficácia, evidenciar a consciencialização (7.3 a–e) e gerir o conhecimento crítico.</t>
  </si>
  <si>
    <t>Requisitos ISO 9001:2026</t>
  </si>
  <si>
    <t>7.1.2 Pessoas; 7.1.6 Conhecimento organizacional; 7.2 a)–c) Competência (informação documentada como evidência); 7.3 a)–e) Consciencialização (2026: e) cultura da qualidade e comportamento ético)</t>
  </si>
  <si>
    <t>REFERÊNCIAS DE BOAS PRÁTICAS APLICADAS (orientação — não são requisitos auditáveis da ISO 9001)</t>
  </si>
  <si>
    <t>ISO 10015:2019 — Competence management and people development</t>
  </si>
  <si>
    <t>Ciclo: determinar necessidades (tbl_requisitos_funcao, matriz) → planear (tbl_formacoes) → implementar → avaliar os resultados (tbl_registo_formacao N1–N4).</t>
  </si>
  <si>
    <t>ISO/TC 176 APG — Competence</t>
  </si>
  <si>
    <t>O auditor verifica a competência para o trabalho real (validação no posto), não só certificados de presença; a eficácia das ações tem de ser avaliada (7.2 c).</t>
  </si>
  <si>
    <t>ISO/TC 176 APG — Organizational knowledge</t>
  </si>
  <si>
    <t>Conhecimento crítico identificado, retido e partilhado; risco de perda quando só uma ou duas pessoas o detêm.</t>
  </si>
  <si>
    <t>Academy — cap. 15 (Formação da qualidade)</t>
  </si>
  <si>
    <t>Avaliação de Kirkpatrick em 4 níveis.</t>
  </si>
  <si>
    <t>ESTRUTURA DO FICHEIRO</t>
  </si>
  <si>
    <t>Requisitos_Funcao</t>
  </si>
  <si>
    <t>Competência necessária por função (7.2 a): educação, formação e experiência.</t>
  </si>
  <si>
    <t>Competencias</t>
  </si>
  <si>
    <t>Catálogo de competências técnicas do SGQ.</t>
  </si>
  <si>
    <t>Pessoas</t>
  </si>
  <si>
    <t>Pessoas que fazem trabalho que afeta o desempenho do SGQ (7.2 a).</t>
  </si>
  <si>
    <t>Matriz_Competencias</t>
  </si>
  <si>
    <t>Matriz de competências pessoa × competência (formato longo), evidência de 7.2 b).</t>
  </si>
  <si>
    <t>Plano_Formacao</t>
  </si>
  <si>
    <t>Plano de formação 2026 (7.2 c).</t>
  </si>
  <si>
    <t>Registo_Formacao</t>
  </si>
  <si>
    <t>Registos de formação com avaliação da eficácia em 4 níveis (evidência de 7.2 c).</t>
  </si>
  <si>
    <t>Consciencializacao</t>
  </si>
  <si>
    <t>Consciencialização das pessoas (7.3 a–e), incluindo cultura da qualidade e comportamento ético (novo 2026).</t>
  </si>
  <si>
    <t>Conhecimento_Organizacional</t>
  </si>
  <si>
    <t>Conhecimento organizacional crítico, retenção, partilha e lições aprendidas (7.1.6).</t>
  </si>
  <si>
    <t>Resumo_Competencias</t>
  </si>
  <si>
    <t>Indicadores calculados: cumprimento do plano (KPI-Q-18), eficácia, lacunas por processo.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</si>
  <si>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</si>
  <si>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</si>
  <si>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</si>
  <si>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</si>
  <si>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</si>
  <si>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</si>
  <si>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</si>
  <si>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</si>
  <si>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</si>
  <si>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</si>
  <si>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</si>
  <si>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</si>
  <si>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</si>
  <si>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</si>
  <si>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</si>
  <si>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</si>
  <si>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</si>
  <si>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</si>
  <si>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RG-SGQ-03</t>
  </si>
  <si>
    <t>Consciencialização sobre cultura e ética (7.3 e).</t>
  </si>
  <si>
    <t>RG-SGQ-16 tbl_auditores</t>
  </si>
  <si>
    <t>Competência dos auditores internos (CQ-16).</t>
  </si>
  <si>
    <t>RG-SGA-08</t>
  </si>
  <si>
    <t>Formação ambiental (SGI) — mesma estrutura de registos.</t>
  </si>
  <si>
    <t>RG-SGQ-04 R10, R23</t>
  </si>
  <si>
    <t>Riscos de competência.</t>
  </si>
  <si>
    <t>COMPETÊNCIA NECESSÁRIA POR FUNÇÃO (7.2 a)</t>
  </si>
  <si>
    <t>ID_Req</t>
  </si>
  <si>
    <t>Funcao</t>
  </si>
  <si>
    <t>Educacao</t>
  </si>
  <si>
    <t>Formacao</t>
  </si>
  <si>
    <t>Experiencia</t>
  </si>
  <si>
    <t>Qualificacao_Especifica</t>
  </si>
  <si>
    <t>RF-01</t>
  </si>
  <si>
    <t>Licenciatura em engenharia ou ciências</t>
  </si>
  <si>
    <t>ISO 9001:2026; ISO 19011:2026 (auditor coordenador); estatística (CQE/Black Belt)</t>
  </si>
  <si>
    <t>5 anos em qualidade industrial</t>
  </si>
  <si>
    <t>Auditor coordenador qualificado</t>
  </si>
  <si>
    <t>RF-02</t>
  </si>
  <si>
    <t>Técnico(a) da Qualidade / Inspetor(a)</t>
  </si>
  <si>
    <t>12.º ano (técnico)</t>
  </si>
  <si>
    <t>CQ-01 a CQ-05; integridade de dados</t>
  </si>
  <si>
    <t>1 ano em inspeção (ou 6 meses com tutor)</t>
  </si>
  <si>
    <t>Validação no posto + teste de acuidade visual e de cor (Ishihara) anual</t>
  </si>
  <si>
    <t>RF-03</t>
  </si>
  <si>
    <t>Técnico(a) de Laboratório</t>
  </si>
  <si>
    <t>Licenciatura em química ou materiais</t>
  </si>
  <si>
    <t>Ensaios de migração, estanquidade, anel; metrologia</t>
  </si>
  <si>
    <t>2 anos em laboratório</t>
  </si>
  <si>
    <t>Participação em ensaio interlaboratorial</t>
  </si>
  <si>
    <t>RF-04</t>
  </si>
  <si>
    <t>Técnico(a) de Metrologia</t>
  </si>
  <si>
    <t>Curso técnico de metrologia</t>
  </si>
  <si>
    <t>ISO 10012:2026; MSA (AIAG); incerteza de medição</t>
  </si>
  <si>
    <t>2 anos</t>
  </si>
  <si>
    <t>—</t>
  </si>
  <si>
    <t>RF-05</t>
  </si>
  <si>
    <t>Operador(a) de Injeção</t>
  </si>
  <si>
    <t>9.º ano</t>
  </si>
  <si>
    <t>CQ-08; autocontrolo; BPF</t>
  </si>
  <si>
    <t>Validação no posto (40 h com tutor)</t>
  </si>
  <si>
    <t>Validação por chefe de turno + inspetor</t>
  </si>
  <si>
    <t>RF-06</t>
  </si>
  <si>
    <t>Operador(a) de Sopro (ISBM)</t>
  </si>
  <si>
    <t>CQ-09; autocontrolo; BPF</t>
  </si>
  <si>
    <t>RF-07</t>
  </si>
  <si>
    <t>Operador(a) de Serigrafia</t>
  </si>
  <si>
    <t>CQ-10; colorimetria básica</t>
  </si>
  <si>
    <t>Validação no posto (60 h com tutor)</t>
  </si>
  <si>
    <t>RF-08</t>
  </si>
  <si>
    <t>Operador(a) de Hot Foil</t>
  </si>
  <si>
    <t>CQ-11</t>
  </si>
  <si>
    <t>Validação no posto (30 h com tutor)</t>
  </si>
  <si>
    <t>RF-09</t>
  </si>
  <si>
    <t>Técnico(a) de Manutenção</t>
  </si>
  <si>
    <t>Curso profissional de eletromecânica</t>
  </si>
  <si>
    <t>CQ-12; hidráulica; segurança de máquinas</t>
  </si>
  <si>
    <t>Habilitação elétrica quando aplicável</t>
  </si>
  <si>
    <t>RF-10</t>
  </si>
  <si>
    <t>Auditor(a) Interno(a) do SGQ</t>
  </si>
  <si>
    <t>12.º ano + formação ISO 9001</t>
  </si>
  <si>
    <t>ISO 19011:2026 (16 h); ISO 9001:2026 (16 h)</t>
  </si>
  <si>
    <t>2 auditorias como observador</t>
  </si>
  <si>
    <t>Independência da área auditada</t>
  </si>
  <si>
    <t>RF-11</t>
  </si>
  <si>
    <t>Engenheiro(a) de Processo</t>
  </si>
  <si>
    <t>Licenciatura em engenharia</t>
  </si>
  <si>
    <t>DOE, SPC, PFMEA, validação de processos</t>
  </si>
  <si>
    <t>3 anos</t>
  </si>
  <si>
    <t>RF-12</t>
  </si>
  <si>
    <t>Chefe de Turno</t>
  </si>
  <si>
    <t>12.º ano</t>
  </si>
  <si>
    <t>Liderança de equipas; SPC básico; 8D</t>
  </si>
  <si>
    <t>3 anos na produção</t>
  </si>
  <si>
    <t>ID_Competencia</t>
  </si>
  <si>
    <t>Competencia</t>
  </si>
  <si>
    <t>Processo</t>
  </si>
  <si>
    <t>CQ-01</t>
  </si>
  <si>
    <t>Inspeção visual em cabine D65 (defeitos por atributos)</t>
  </si>
  <si>
    <t>LAB</t>
  </si>
  <si>
    <t>CQ-02</t>
  </si>
  <si>
    <t>Amostragem de aceitação ISO 2859-1:2026 e ISO 3951</t>
  </si>
  <si>
    <t>CQ-03</t>
  </si>
  <si>
    <t>Medição dimensional e de peso (paquímetro, calibres, balança)</t>
  </si>
  <si>
    <t>CQ-04</t>
  </si>
  <si>
    <t>SPC: cartas X̄-R e reação a pontos fora de controlo</t>
  </si>
  <si>
    <t>CQ-05</t>
  </si>
  <si>
    <t>Ensaios de estanquidade e de anel de inviolabilidade</t>
  </si>
  <si>
    <t>CQ-06</t>
  </si>
  <si>
    <t>Ensaio de migração (contacto alimentar) EN 1186</t>
  </si>
  <si>
    <t>CQ-07</t>
  </si>
  <si>
    <t>Metrologia: verificação, calibração e MSA (Gage R&amp;R)</t>
  </si>
  <si>
    <t>MET</t>
  </si>
  <si>
    <t>CQ-08</t>
  </si>
  <si>
    <t>Operação e autocontrolo de injeção (setup, arranque, parâmetros)</t>
  </si>
  <si>
    <t>INJ</t>
  </si>
  <si>
    <t>CQ-09</t>
  </si>
  <si>
    <t>Operação e autocontrolo de sopro ISBM (preformas, perfil de aquecimento)</t>
  </si>
  <si>
    <t>SOP</t>
  </si>
  <si>
    <t>CQ-10</t>
  </si>
  <si>
    <t>Serigrafia: registo, cor, cura e aderência</t>
  </si>
  <si>
    <t>SER</t>
  </si>
  <si>
    <t>Hot foil: temperatura, pressão, transferência</t>
  </si>
  <si>
    <t>HFS</t>
  </si>
  <si>
    <t>CQ-12</t>
  </si>
  <si>
    <t>Afinação e manutenção de moldes</t>
  </si>
  <si>
    <t>MAN</t>
  </si>
  <si>
    <t>CQ-13</t>
  </si>
  <si>
    <t>Boas práticas de fabrico e higiene (alimentar / farmacêutico)</t>
  </si>
  <si>
    <t>EXP</t>
  </si>
  <si>
    <t>CQ-14</t>
  </si>
  <si>
    <t>Integridade de dados (ALCOA+) nos registos de qualidade</t>
  </si>
  <si>
    <t>QUA</t>
  </si>
  <si>
    <t>CQ-15</t>
  </si>
  <si>
    <t>Resolução de problemas: 5 Porquês, Ishikawa, 8D</t>
  </si>
  <si>
    <t>CQ-16</t>
  </si>
  <si>
    <t>Auditoria interna ISO 19011:2026</t>
  </si>
  <si>
    <t>ID_Pessoa</t>
  </si>
  <si>
    <t>Nome</t>
  </si>
  <si>
    <t>Data_Admissao</t>
  </si>
  <si>
    <t>Vinculo</t>
  </si>
  <si>
    <t>Anos_Casa</t>
  </si>
  <si>
    <t>N_Lacunas</t>
  </si>
  <si>
    <t>Pode_Trabalhar_Sozinho</t>
  </si>
  <si>
    <t>P-001</t>
  </si>
  <si>
    <t>Ana Silva</t>
  </si>
  <si>
    <t>Efetivo</t>
  </si>
  <si>
    <t>P-002</t>
  </si>
  <si>
    <t>Beatriz Costa</t>
  </si>
  <si>
    <t>P-003</t>
  </si>
  <si>
    <t>Carlos Mendes</t>
  </si>
  <si>
    <t>P-004</t>
  </si>
  <si>
    <t>Diogo Ferreira</t>
  </si>
  <si>
    <t>P-005</t>
  </si>
  <si>
    <t>Elena Santos</t>
  </si>
  <si>
    <t>P-006</t>
  </si>
  <si>
    <t>Sandra Reis</t>
  </si>
  <si>
    <t>P-007</t>
  </si>
  <si>
    <t>Hugo Marques</t>
  </si>
  <si>
    <t>P-008</t>
  </si>
  <si>
    <t>Patrícia Lima</t>
  </si>
  <si>
    <t>P-009</t>
  </si>
  <si>
    <t>José Pinto</t>
  </si>
  <si>
    <t>P-010</t>
  </si>
  <si>
    <t>Vitor Sousa</t>
  </si>
  <si>
    <t>P-011</t>
  </si>
  <si>
    <t>Camila Duarte</t>
  </si>
  <si>
    <t>P-012</t>
  </si>
  <si>
    <t>Rui Fonseca</t>
  </si>
  <si>
    <t>P-013</t>
  </si>
  <si>
    <t>Marta Nogueira</t>
  </si>
  <si>
    <t>OP-INJ-001</t>
  </si>
  <si>
    <t>OP-INJ-002</t>
  </si>
  <si>
    <t>OP-INJ-003</t>
  </si>
  <si>
    <t>Temporário</t>
  </si>
  <si>
    <t>OP-INJ-004</t>
  </si>
  <si>
    <t>OP-INJ-005</t>
  </si>
  <si>
    <t>AUX-INJ-001</t>
  </si>
  <si>
    <t>OP-SOP-001</t>
  </si>
  <si>
    <t>OP-SOP-002</t>
  </si>
  <si>
    <t>OP-SOP-003</t>
  </si>
  <si>
    <t>OP-SOP-004</t>
  </si>
  <si>
    <t>OP-SOP-005</t>
  </si>
  <si>
    <t>OP-SOP-006</t>
  </si>
  <si>
    <t>OP-SK-001</t>
  </si>
  <si>
    <t>OP-SK-002</t>
  </si>
  <si>
    <t>OP-HF-001</t>
  </si>
  <si>
    <t>OP-HF-002</t>
  </si>
  <si>
    <t>MATRIZ DE COMPETÊNCIAS — PESSOA × COMPETÊNCIA (7.2)</t>
  </si>
  <si>
    <t>Escala 0–4 · Lacuna, estado e revalidação calculados · Níveis avaliados pelo chefe de turno / Gerente da Qualidade</t>
  </si>
  <si>
    <t>Nivel_Requerido</t>
  </si>
  <si>
    <t>Nivel_Atual</t>
  </si>
  <si>
    <t>Lacuna</t>
  </si>
  <si>
    <t>Data_Validacao</t>
  </si>
  <si>
    <t>Validado_Por</t>
  </si>
  <si>
    <t>Revalidar_Ate</t>
  </si>
  <si>
    <t>PLANO DE FORMAÇÃO DA QUALIDADE 2026</t>
  </si>
  <si>
    <t>ID_Formacao</t>
  </si>
  <si>
    <t>Duracao_h</t>
  </si>
  <si>
    <t>Publico</t>
  </si>
  <si>
    <t>Data</t>
  </si>
  <si>
    <t>Tipo</t>
  </si>
  <si>
    <t>N_Registos</t>
  </si>
  <si>
    <t>Eficacia_Pct</t>
  </si>
  <si>
    <t>FOR-Q-01</t>
  </si>
  <si>
    <t>ISO 9001:2026 — novidades e impacto nos processos</t>
  </si>
  <si>
    <t>Donos de processo e chefias</t>
  </si>
  <si>
    <t>Interna</t>
  </si>
  <si>
    <t>Realizada</t>
  </si>
  <si>
    <t>FOR-Q-02</t>
  </si>
  <si>
    <t>Auditor interno ISO 19011:2026 (atualização)</t>
  </si>
  <si>
    <t>Auditores internos</t>
  </si>
  <si>
    <t>Externa</t>
  </si>
  <si>
    <t>FOR-Q-03</t>
  </si>
  <si>
    <t>Amostragem ISO 2859-1:2026 — inspeção normal, reforçada e reduzida</t>
  </si>
  <si>
    <t>Inspetores</t>
  </si>
  <si>
    <t>FOR-Q-04</t>
  </si>
  <si>
    <t>Ensaio do anel de inviolabilidade (TE-012) e de estanquidade</t>
  </si>
  <si>
    <t>Inspetores e laboratório</t>
  </si>
  <si>
    <t>FOR-Q-05</t>
  </si>
  <si>
    <t>Boas práticas de fabrico e higiene — linhas alimentar e farmacêutica</t>
  </si>
  <si>
    <t>Operadores ISBM-009/010, IM-007/008, armazém</t>
  </si>
  <si>
    <t>FOR-Q-06</t>
  </si>
  <si>
    <t>Integridade de dados ALCOA+ nos registos de qualidade</t>
  </si>
  <si>
    <t>Operadores e inspetores</t>
  </si>
  <si>
    <t>FOR-Q-07</t>
  </si>
  <si>
    <t>Nova janela de parâmetros da IM-002 (DOE)</t>
  </si>
  <si>
    <t>Operadores de injeção</t>
  </si>
  <si>
    <t>FOR-Q-08</t>
  </si>
  <si>
    <t>Retreino em autocontrolo de peso (injeção)</t>
  </si>
  <si>
    <t>Interna (tutor)</t>
  </si>
  <si>
    <t>FOR-Q-09</t>
  </si>
  <si>
    <t>Serigrafia: ensaio de aderência no arranque e cura UV</t>
  </si>
  <si>
    <t>Operadores de serigrafia</t>
  </si>
  <si>
    <t>FOR-Q-10</t>
  </si>
  <si>
    <t>8D e 5 Porquês para donos de CAPA</t>
  </si>
  <si>
    <t>Donos de CAPA</t>
  </si>
  <si>
    <t>FOR-Q-11</t>
  </si>
  <si>
    <t>Gage R&amp;R por ANOVA e MSA por atributos (kappa)</t>
  </si>
  <si>
    <t>Laboratório e metrologia</t>
  </si>
  <si>
    <t>FOR-Q-12</t>
  </si>
  <si>
    <t>Liderança de equipas e passagem de turno</t>
  </si>
  <si>
    <t>Chefes de turno</t>
  </si>
  <si>
    <t>FOR-Q-13</t>
  </si>
  <si>
    <t>Acolhimento de temporários: qualidade, higiene e parar para corrigir</t>
  </si>
  <si>
    <t>Operadores temporários</t>
  </si>
  <si>
    <t>FOR-Q-14</t>
  </si>
  <si>
    <t>Inspeção visual D65 e catálogo de defeitos</t>
  </si>
  <si>
    <t>Inspetores e operadores</t>
  </si>
  <si>
    <t>FOR-Q-15</t>
  </si>
  <si>
    <t>Parâmetros e SPC do peso nas ISBM-009/010 (estabilização, CON-Q-26-18)</t>
  </si>
  <si>
    <t>Operadores de sopro</t>
  </si>
  <si>
    <t>FOR-Q-16</t>
  </si>
  <si>
    <t>ISO 9001:2026 — preparação da auditoria de transição (mar/2027)</t>
  </si>
  <si>
    <t>Donos de processo</t>
  </si>
  <si>
    <t>Planeada</t>
  </si>
  <si>
    <t>ID_Registo</t>
  </si>
  <si>
    <t>Colaborador</t>
  </si>
  <si>
    <t>Data_Realizacao</t>
  </si>
  <si>
    <t>N1_Reacao</t>
  </si>
  <si>
    <t>N2_Aprendizagem_Pct</t>
  </si>
  <si>
    <t>N3_Comportamento_Posto</t>
  </si>
  <si>
    <t>N4_Resultado</t>
  </si>
  <si>
    <t>Eficaz</t>
  </si>
  <si>
    <t>Acao_Se_Nao_Eficaz</t>
  </si>
  <si>
    <t>RF-001</t>
  </si>
  <si>
    <t>Sim</t>
  </si>
  <si>
    <t>RF-002</t>
  </si>
  <si>
    <t>RF-003</t>
  </si>
  <si>
    <t>RF-004</t>
  </si>
  <si>
    <t>RF-005</t>
  </si>
  <si>
    <t>RF-006</t>
  </si>
  <si>
    <t>RF-007</t>
  </si>
  <si>
    <t>RF-008</t>
  </si>
  <si>
    <t>RF-009</t>
  </si>
  <si>
    <t>RF-010</t>
  </si>
  <si>
    <t>RF-011</t>
  </si>
  <si>
    <t>RF-012</t>
  </si>
  <si>
    <t>RF-013</t>
  </si>
  <si>
    <t>RF-014</t>
  </si>
  <si>
    <t>RF-015</t>
  </si>
  <si>
    <t>RF-016</t>
  </si>
  <si>
    <t>RF-017</t>
  </si>
  <si>
    <t>RF-018</t>
  </si>
  <si>
    <t>RF-019</t>
  </si>
  <si>
    <t>RF-020</t>
  </si>
  <si>
    <t>RF-021</t>
  </si>
  <si>
    <t>KPI da área melhorou</t>
  </si>
  <si>
    <t>RF-022</t>
  </si>
  <si>
    <t>RF-023</t>
  </si>
  <si>
    <t>Não</t>
  </si>
  <si>
    <t>RF-024</t>
  </si>
  <si>
    <t>RF-025</t>
  </si>
  <si>
    <t>RF-026</t>
  </si>
  <si>
    <t>RF-027</t>
  </si>
  <si>
    <t>RF-028</t>
  </si>
  <si>
    <t>RF-029</t>
  </si>
  <si>
    <t>RF-030</t>
  </si>
  <si>
    <t>RF-031</t>
  </si>
  <si>
    <t>RF-032</t>
  </si>
  <si>
    <t>RF-033</t>
  </si>
  <si>
    <t>RF-034</t>
  </si>
  <si>
    <t>RF-035</t>
  </si>
  <si>
    <t>RF-036</t>
  </si>
  <si>
    <t>RF-037</t>
  </si>
  <si>
    <t>RF-038</t>
  </si>
  <si>
    <t>RF-039</t>
  </si>
  <si>
    <t>RF-040</t>
  </si>
  <si>
    <t>RF-041</t>
  </si>
  <si>
    <t>RF-042</t>
  </si>
  <si>
    <t>RF-043</t>
  </si>
  <si>
    <t>RF-044</t>
  </si>
  <si>
    <t>RF-045</t>
  </si>
  <si>
    <t>RF-046</t>
  </si>
  <si>
    <t>RF-047</t>
  </si>
  <si>
    <t>RF-048</t>
  </si>
  <si>
    <t>RF-049</t>
  </si>
  <si>
    <t>RF-050</t>
  </si>
  <si>
    <t>RF-051</t>
  </si>
  <si>
    <t>RF-052</t>
  </si>
  <si>
    <t>RF-053</t>
  </si>
  <si>
    <t>RF-054</t>
  </si>
  <si>
    <t>RF-055</t>
  </si>
  <si>
    <t>RF-056</t>
  </si>
  <si>
    <t>RF-057</t>
  </si>
  <si>
    <t>RF-058</t>
  </si>
  <si>
    <t>RF-059</t>
  </si>
  <si>
    <t>RF-060</t>
  </si>
  <si>
    <t>CONSCIENCIALIZAÇÃO (7.3 a–e)</t>
  </si>
  <si>
    <t>ID_Sessao</t>
  </si>
  <si>
    <t>Tema</t>
  </si>
  <si>
    <t>Alineas_7_3</t>
  </si>
  <si>
    <t>Presentes</t>
  </si>
  <si>
    <t>Convocados</t>
  </si>
  <si>
    <t>Cobertura</t>
  </si>
  <si>
    <t>Evidencia</t>
  </si>
  <si>
    <t>CON-26-01</t>
  </si>
  <si>
    <t>Política da qualidade e objetivos 2026</t>
  </si>
  <si>
    <t>a) política; d) objetivos</t>
  </si>
  <si>
    <t>Todos os turnos</t>
  </si>
  <si>
    <t>Quiz de 5 perguntas (média 82%)</t>
  </si>
  <si>
    <t>CON-26-02</t>
  </si>
  <si>
    <t>O custo de uma reclamação: do defeito ao cliente (casos reais CC-20000, CC-20181)</t>
  </si>
  <si>
    <t>b) contribuição; c) implicações de não cumprir</t>
  </si>
  <si>
    <t>Produção e expedição</t>
  </si>
  <si>
    <t>Discussão por turno; registo de presenças</t>
  </si>
  <si>
    <t>CON-26-03</t>
  </si>
  <si>
    <t>Cultura da qualidade e comportamento ético: 'nunca libertar produto duvidoso'</t>
  </si>
  <si>
    <t>e) cultura da qualidade e ética (novo 2026)</t>
  </si>
  <si>
    <t>Quiz (média 76%); canal de relatos divulgado</t>
  </si>
  <si>
    <t>CON-26-04</t>
  </si>
  <si>
    <t>Linhas alimentar e farmacêutica: porque a higiene e a rastreabilidade importam</t>
  </si>
  <si>
    <t>b) contribuição; c) implicações</t>
  </si>
  <si>
    <t>Novas linhas</t>
  </si>
  <si>
    <t>Perguntas no posto</t>
  </si>
  <si>
    <t>CON-26-06</t>
  </si>
  <si>
    <t>Resultados de 2026 e objetivos 2027: reclamações, CAPA e lições das linhas novas</t>
  </si>
  <si>
    <t>a) política; d) objetivos; b) benefícios da melhoria</t>
  </si>
  <si>
    <t>Quiz (média 81%)</t>
  </si>
  <si>
    <t>CON-26-05</t>
  </si>
  <si>
    <t>Resultados do 1.º semestre e benefícios da melhoria (DMAIC IM-002)</t>
  </si>
  <si>
    <t>b) benefícios da melhoria do desempenho; d) objetivos</t>
  </si>
  <si>
    <t>Injeção</t>
  </si>
  <si>
    <t>Quadro de KPI da área</t>
  </si>
  <si>
    <t>CONHECIMENTO ORGANIZACIONAL (7.1.6)</t>
  </si>
  <si>
    <t>ID_Conhecimento</t>
  </si>
  <si>
    <t>Conhecimento</t>
  </si>
  <si>
    <t>Forma</t>
  </si>
  <si>
    <t>Onde_Esta_Retido</t>
  </si>
  <si>
    <t>Detentores</t>
  </si>
  <si>
    <t>N_Detentores</t>
  </si>
  <si>
    <t>Risco_Perda</t>
  </si>
  <si>
    <t>Acao_Partilha</t>
  </si>
  <si>
    <t>Licao_Aprendida</t>
  </si>
  <si>
    <t>KNW-01</t>
  </si>
  <si>
    <t>Janela de processo da IM-002 (DOE 2³: temperatura × velocidade)</t>
  </si>
  <si>
    <t>Métodos e processos</t>
  </si>
  <si>
    <t>IT-INJ-02 rev. 03; relatório DOE</t>
  </si>
  <si>
    <t>Engenheiro(a) de Processo; Rui Fonseca</t>
  </si>
  <si>
    <t>Replicar às outras injetoras (O1)</t>
  </si>
  <si>
    <t>Lição: interação temperatura×velocidade explica o short shot</t>
  </si>
  <si>
    <t>KNW-02</t>
  </si>
  <si>
    <t>Afinação de moldes de sopro (perfil de aquecimento por cavidade)</t>
  </si>
  <si>
    <t>Experiência das pessoas</t>
  </si>
  <si>
    <t>Só na experiência dos técnicos</t>
  </si>
  <si>
    <t>Vitor Sousa; Rui Fonseca</t>
  </si>
  <si>
    <t>Gravar vídeo-instruções e fichas de afinação por molde</t>
  </si>
  <si>
    <t>Risco de perda: 2 detentores com &gt; 13 anos de casa</t>
  </si>
  <si>
    <t>KNW-03</t>
  </si>
  <si>
    <t>Estudo Gage R&amp;R do peso das tampas (%GRR 3,5% da variação total)</t>
  </si>
  <si>
    <t>Informação documentada</t>
  </si>
  <si>
    <t>RG-SGQ-09 tbl_grr</t>
  </si>
  <si>
    <t>Ana Silva; Beatriz Costa; Carlos Mendes</t>
  </si>
  <si>
    <t>Estender a espessura e binário</t>
  </si>
  <si>
    <t>O sistema de medição do peso é adequado</t>
  </si>
  <si>
    <t>KNW-04</t>
  </si>
  <si>
    <t>Reforma do molde M-SOP-007 (flash e fuga)</t>
  </si>
  <si>
    <t>Relatório de reforma; PFMEA</t>
  </si>
  <si>
    <t>Registar na ficha do molde; manutenção por ciclos</t>
  </si>
  <si>
    <t>Desgaste acumulado previsível pelos ciclos</t>
  </si>
  <si>
    <t>KNW-05</t>
  </si>
  <si>
    <t>Especificação única por SKU (erro de clonagem de especificações)</t>
  </si>
  <si>
    <t>Sistemas digitais</t>
  </si>
  <si>
    <t>MOC-Q-26-09; script de correção</t>
  </si>
  <si>
    <t>Gerente de Dados / TI</t>
  </si>
  <si>
    <t>Regra no ERP: um nominal por característica e SKU</t>
  </si>
  <si>
    <t>Validação de dados mestre antes de lançar produtos</t>
  </si>
  <si>
    <t>KNW-06</t>
  </si>
  <si>
    <t>Ensaio do anel de inviolabilidade (21 CFR 211.132)</t>
  </si>
  <si>
    <t>Formação e aprendizagem</t>
  </si>
  <si>
    <t>Método de ensaio LAB-M-12</t>
  </si>
  <si>
    <t>Elena Santos; Ana Silva</t>
  </si>
  <si>
    <t>Formar os 4 inspetores</t>
  </si>
  <si>
    <t>Ferramenta TE-012 com pontes a rever</t>
  </si>
  <si>
    <t>KNW-07</t>
  </si>
  <si>
    <t>Tratamento de reclamações com 8D</t>
  </si>
  <si>
    <t>PR-SGQ-09; RG-SGQ-18 tbl_8d</t>
  </si>
  <si>
    <t>Gerente da Qualidade; donos de CAPA</t>
  </si>
  <si>
    <t>Biblioteca de 8D fechados</t>
  </si>
  <si>
    <t>31% das CAPA não eficazes: causa raiz superficial</t>
  </si>
  <si>
    <t>KNW-08</t>
  </si>
  <si>
    <t>Requisitos de clientes farmacêuticos (acordos de qualidade)</t>
  </si>
  <si>
    <t>RG-SGQ-10 tbl_requisitos_cliente</t>
  </si>
  <si>
    <t>Gerente da Qualidade; Key Account</t>
  </si>
  <si>
    <t>Resumo de requisitos por cliente no ERP</t>
  </si>
  <si>
    <t>Notificação prévia de alterações é obrigatória</t>
  </si>
  <si>
    <t>KNW-09</t>
  </si>
  <si>
    <t>Pipeline de dados da qualidade (bronze → silver → gold)</t>
  </si>
  <si>
    <t>Repositório do projeto; notebook</t>
  </si>
  <si>
    <t>Documentar e formar um 2.º responsável</t>
  </si>
  <si>
    <t>Pessoa única: risco R26</t>
  </si>
  <si>
    <t>RESUMO DE COMPETÊNCIAS E FORMAÇÃO — calculado</t>
  </si>
  <si>
    <t>Indicador</t>
  </si>
  <si>
    <t>Valor</t>
  </si>
  <si>
    <t>Cumprimento do plano de formação até à data (KPI-Q-18)</t>
  </si>
  <si>
    <t>Formações com eficácia avaliada ≥ 80%</t>
  </si>
  <si>
    <t>Participações não eficazes (retreino)</t>
  </si>
  <si>
    <t>Pares pessoa × competência avaliados</t>
  </si>
  <si>
    <t xml:space="preserve">  qualificados ou formadores</t>
  </si>
  <si>
    <t xml:space="preserve">  com lacuna</t>
  </si>
  <si>
    <t>% de cobertura de competências</t>
  </si>
  <si>
    <t>Pessoas que só podem trabalhar com tutor</t>
  </si>
  <si>
    <t>Conhecimentos críticos com risco de perda alto</t>
  </si>
  <si>
    <t>Cobertura média da consciencialização</t>
  </si>
  <si>
    <t>LISTAS CONTROLADAS (domínios de validação de dados) — editar aqui para alterar opções</t>
  </si>
  <si>
    <t>DataReferencia</t>
  </si>
  <si>
    <t>EstadoForm</t>
  </si>
  <si>
    <t>SimNao</t>
  </si>
  <si>
    <t>TipoConhec</t>
  </si>
  <si>
    <t>Diretor Geral (Gestão de Topo)</t>
  </si>
  <si>
    <t>GES</t>
  </si>
  <si>
    <t>Diretor Industrial</t>
  </si>
  <si>
    <t>COM</t>
  </si>
  <si>
    <t>Adiada</t>
  </si>
  <si>
    <t>Gerente de Produção</t>
  </si>
  <si>
    <t>RD</t>
  </si>
  <si>
    <t>Cancelada</t>
  </si>
  <si>
    <t>Gerente de Manutenção</t>
  </si>
  <si>
    <t>PCP</t>
  </si>
  <si>
    <t>Diretor Comercial</t>
  </si>
  <si>
    <t>CMP</t>
  </si>
  <si>
    <t>Responsável de Compras</t>
  </si>
  <si>
    <t>REC</t>
  </si>
  <si>
    <t>Responsável de R&amp;D</t>
  </si>
  <si>
    <t>Responsável de Armazém e Logística</t>
  </si>
  <si>
    <t>Responsável de Recursos Humanos</t>
  </si>
  <si>
    <t>RH</t>
  </si>
  <si>
    <t>TI</t>
  </si>
  <si>
    <t>DOC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</si>
  <si>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</si>
  <si>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</si>
  <si>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</si>
  <si>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</si>
  <si>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</si>
  <si>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</si>
  <si>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</si>
  <si>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</si>
  <si>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</si>
  <si>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</si>
  <si>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</si>
  <si>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</si>
  <si>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tbl_requisitos_funcao</t>
  </si>
  <si>
    <t>Texto</t>
  </si>
  <si>
    <t>Entrada</t>
  </si>
  <si>
    <t>Requisito de função.</t>
  </si>
  <si>
    <t>PK</t>
  </si>
  <si>
    <t>Função.</t>
  </si>
  <si>
    <t>Lista lst_Funcao</t>
  </si>
  <si>
    <t>Educação.</t>
  </si>
  <si>
    <t>Formação requerida.</t>
  </si>
  <si>
    <t>Experiência.</t>
  </si>
  <si>
    <t>Qualificação/validação específica.</t>
  </si>
  <si>
    <t>tbl_competencias</t>
  </si>
  <si>
    <t>Competência técnica.</t>
  </si>
  <si>
    <t>Descrição.</t>
  </si>
  <si>
    <t>Processo principal.</t>
  </si>
  <si>
    <t>Lista lst_Processo</t>
  </si>
  <si>
    <t>tbl_pessoas</t>
  </si>
  <si>
    <t>ID da pessoa (IDs de operador do dataset).</t>
  </si>
  <si>
    <t>Nome (operadores identificados pelo ID).</t>
  </si>
  <si>
    <t>Processo.</t>
  </si>
  <si>
    <t>Data (aaaa-mm-dd)</t>
  </si>
  <si>
    <t>Admissão.</t>
  </si>
  <si>
    <t>Efetivo / temporário.</t>
  </si>
  <si>
    <t>Lista lst_Vinculo</t>
  </si>
  <si>
    <t>Decimal</t>
  </si>
  <si>
    <t>Calculado (fórmula)</t>
  </si>
  <si>
    <t>Anos na empresa.</t>
  </si>
  <si>
    <t>Inteiro</t>
  </si>
  <si>
    <t>Competências abaixo do requerido.</t>
  </si>
  <si>
    <t>Sem lacunas = autónomo; com lacunas = tutor obrigatório (AMB-08).</t>
  </si>
  <si>
    <t>tbl_matriz</t>
  </si>
  <si>
    <t>Pessoa.</t>
  </si>
  <si>
    <t>FK → tbl_pessoas</t>
  </si>
  <si>
    <t>Nome.</t>
  </si>
  <si>
    <t>Competência.</t>
  </si>
  <si>
    <t>FK → tbl_competencias</t>
  </si>
  <si>
    <t>Descrição (calculada).</t>
  </si>
  <si>
    <t>0 sem conhecimento · 1 em formação · 2 executa com supervisão · 3 autónomo · 4 forma outros.</t>
  </si>
  <si>
    <t>Nível avaliado.</t>
  </si>
  <si>
    <t>Requerido − atual.</t>
  </si>
  <si>
    <t>Estado.</t>
  </si>
  <si>
    <t>Data da validação no posto / avaliação.</t>
  </si>
  <si>
    <t>Quem validou.</t>
  </si>
  <si>
    <t>Revalidação a cada 24 meses.</t>
  </si>
  <si>
    <t>tbl_formacoes</t>
  </si>
  <si>
    <t>Ação de formação.</t>
  </si>
  <si>
    <t>Designação / tema.</t>
  </si>
  <si>
    <t>Duração (horas).</t>
  </si>
  <si>
    <t>[Só SGQ] Destinatários.</t>
  </si>
  <si>
    <t>Competência desenvolvida.</t>
  </si>
  <si>
    <t>Data (planeada ou realizada).</t>
  </si>
  <si>
    <t>Interna / externa.</t>
  </si>
  <si>
    <t>Lista lst_EstadoForm</t>
  </si>
  <si>
    <t>N.º de registos individuais (participantes).</t>
  </si>
  <si>
    <t>Percentagem (fração 0-1)</t>
  </si>
  <si>
    <t>% de participantes com formação eficaz.</t>
  </si>
  <si>
    <t>tbl_registo_formacao</t>
  </si>
  <si>
    <t>Registo de presença.</t>
  </si>
  <si>
    <t>[Só SGQ] Nome.</t>
  </si>
  <si>
    <t>Formação.</t>
  </si>
  <si>
    <t>FK → tbl_formacoes</t>
  </si>
  <si>
    <t>Data em que concluiu.</t>
  </si>
  <si>
    <t>Horas.</t>
  </si>
  <si>
    <t>Nível 1 — satisfação (1–5).</t>
  </si>
  <si>
    <t>Nível 2 — resultado do teste.</t>
  </si>
  <si>
    <t>Nível 3 — aplica no posto (observação 30 dias depois).</t>
  </si>
  <si>
    <t>Lista lst_SimNao</t>
  </si>
  <si>
    <t>Nível 4 — efeito no KPI (quando mensurável).</t>
  </si>
  <si>
    <t>Eficácia: teste ≥ 70% e aplicação no posto.</t>
  </si>
  <si>
    <t>Ação quando não eficaz.</t>
  </si>
  <si>
    <t>tbl_consciencializacao</t>
  </si>
  <si>
    <t>Sessão de consciencialização.</t>
  </si>
  <si>
    <t>Data.</t>
  </si>
  <si>
    <t>Tema.</t>
  </si>
  <si>
    <t>Alíneas de 7.3 cobertas.</t>
  </si>
  <si>
    <t>Público.</t>
  </si>
  <si>
    <t>Presentes.</t>
  </si>
  <si>
    <t>Convocados.</t>
  </si>
  <si>
    <t>Presentes ÷ convocados.</t>
  </si>
  <si>
    <t>Evidência da compreensão.</t>
  </si>
  <si>
    <t>tbl_conhecimento</t>
  </si>
  <si>
    <t>Conhecimento crítico.</t>
  </si>
  <si>
    <t>Conhecimento necessário à operação (7.1.6).</t>
  </si>
  <si>
    <t>Forma do conhecimento (7.1.6 Nota).</t>
  </si>
  <si>
    <t>Lista lst_TipoConhec</t>
  </si>
  <si>
    <t>Onde está conservado.</t>
  </si>
  <si>
    <t>Quem o detém.</t>
  </si>
  <si>
    <t>N.º de pessoas que o dominam.</t>
  </si>
  <si>
    <t>Risco de perda do conhecimento.</t>
  </si>
  <si>
    <t>Como se partilha / adquire (7.1.6).</t>
  </si>
  <si>
    <t>Lição aprendida associada.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</si>
</sst>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64" fontId="3" fillId="4" borderId="1" xfId="0" applyNumberFormat="1" applyFont="1" applyFill="1" applyBorder="1" applyAlignment="1">
      <alignment vertical="top" wrapText="1"/>
    </xf>
    <xf numFmtId="9" fontId="3" fillId="4" borderId="1" xfId="0" applyNumberFormat="1" applyFont="1" applyFill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18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quisitos_funcao" displayName="tbl_requisitos_funcao" ref="A4:F16">
  <autoFilter ref="A4:F16" xr:uid="{00000000-0009-0000-0100-000001000000}"/>
  <tableColumns count="6">
    <tableColumn id="1" xr3:uid="{00000000-0010-0000-0000-000001000000}" name="ID_Req"/>
    <tableColumn id="2" xr3:uid="{00000000-0010-0000-0000-000002000000}" name="Funcao"/>
    <tableColumn id="3" xr3:uid="{00000000-0010-0000-0000-000003000000}" name="Educacao"/>
    <tableColumn id="4" xr3:uid="{00000000-0010-0000-0000-000004000000}" name="Formacao"/>
    <tableColumn id="5" xr3:uid="{00000000-0010-0000-0000-000005000000}" name="Experiencia"/>
    <tableColumn id="6" xr3:uid="{00000000-0010-0000-0000-000006000000}" name="Qualificacao_Especific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mpetencias" displayName="tbl_competencias" ref="A1:C17">
  <autoFilter ref="A1:C17" xr:uid="{00000000-0009-0000-0100-000002000000}"/>
  <tableColumns count="3">
    <tableColumn id="1" xr3:uid="{00000000-0010-0000-0100-000001000000}" name="ID_Competencia"/>
    <tableColumn id="2" xr3:uid="{00000000-0010-0000-0100-000002000000}" name="Competencia"/>
    <tableColumn id="3" xr3:uid="{00000000-0010-0000-0100-000003000000}" name="Process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essoas" displayName="tbl_pessoas" ref="A1:I30">
  <autoFilter ref="A1:I30" xr:uid="{00000000-0009-0000-0100-000003000000}"/>
  <tableColumns count="9">
    <tableColumn id="1" xr3:uid="{00000000-0010-0000-0200-000001000000}" name="ID_Pessoa"/>
    <tableColumn id="2" xr3:uid="{00000000-0010-0000-0200-000002000000}" name="Nome"/>
    <tableColumn id="3" xr3:uid="{00000000-0010-0000-0200-000003000000}" name="Funcao"/>
    <tableColumn id="4" xr3:uid="{00000000-0010-0000-0200-000004000000}" name="Processo"/>
    <tableColumn id="5" xr3:uid="{00000000-0010-0000-0200-000005000000}" name="Data_Admissao"/>
    <tableColumn id="6" xr3:uid="{00000000-0010-0000-0200-000006000000}" name="Vinculo"/>
    <tableColumn id="7" xr3:uid="{00000000-0010-0000-0200-000007000000}" name="Anos_Casa"/>
    <tableColumn id="8" xr3:uid="{00000000-0010-0000-0200-000008000000}" name="N_Lacunas"/>
    <tableColumn id="9" xr3:uid="{00000000-0010-0000-0200-000009000000}" name="Pode_Trabalhar_Sozinh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matriz" displayName="tbl_matriz" ref="A4:M142">
  <autoFilter ref="A4:M142" xr:uid="{00000000-0009-0000-0100-000004000000}"/>
  <tableColumns count="13">
    <tableColumn id="1" xr3:uid="{00000000-0010-0000-0300-000001000000}" name="ID_Pessoa"/>
    <tableColumn id="2" xr3:uid="{00000000-0010-0000-0300-000002000000}" name="Nome"/>
    <tableColumn id="3" xr3:uid="{00000000-0010-0000-0300-000003000000}" name="Funcao"/>
    <tableColumn id="4" xr3:uid="{00000000-0010-0000-0300-000004000000}" name="Processo"/>
    <tableColumn id="5" xr3:uid="{00000000-0010-0000-0300-000005000000}" name="ID_Competencia"/>
    <tableColumn id="6" xr3:uid="{00000000-0010-0000-0300-000006000000}" name="Competencia"/>
    <tableColumn id="7" xr3:uid="{00000000-0010-0000-0300-000007000000}" name="Nivel_Requerido"/>
    <tableColumn id="8" xr3:uid="{00000000-0010-0000-0300-000008000000}" name="Nivel_Atual"/>
    <tableColumn id="9" xr3:uid="{00000000-0010-0000-0300-000009000000}" name="Lacuna"/>
    <tableColumn id="10" xr3:uid="{00000000-0010-0000-0300-00000A000000}" name="Estado"/>
    <tableColumn id="11" xr3:uid="{00000000-0010-0000-0300-00000B000000}" name="Data_Validacao"/>
    <tableColumn id="12" xr3:uid="{00000000-0010-0000-0300-00000C000000}" name="Validado_Por"/>
    <tableColumn id="13" xr3:uid="{00000000-0010-0000-0300-00000D000000}" name="Revalidar_At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formacoes" displayName="tbl_formacoes" ref="A4:J20">
  <autoFilter ref="A4:J20" xr:uid="{00000000-0009-0000-0100-000005000000}"/>
  <tableColumns count="10">
    <tableColumn id="1" xr3:uid="{00000000-0010-0000-0400-000001000000}" name="ID_Formacao"/>
    <tableColumn id="2" xr3:uid="{00000000-0010-0000-0400-000002000000}" name="Formacao"/>
    <tableColumn id="3" xr3:uid="{00000000-0010-0000-0400-000003000000}" name="Duracao_h"/>
    <tableColumn id="4" xr3:uid="{00000000-0010-0000-0400-000004000000}" name="Publico"/>
    <tableColumn id="5" xr3:uid="{00000000-0010-0000-0400-000005000000}" name="ID_Competencia"/>
    <tableColumn id="6" xr3:uid="{00000000-0010-0000-0400-000006000000}" name="Data"/>
    <tableColumn id="7" xr3:uid="{00000000-0010-0000-0400-000007000000}" name="Tipo"/>
    <tableColumn id="8" xr3:uid="{00000000-0010-0000-0400-000008000000}" name="Estado"/>
    <tableColumn id="9" xr3:uid="{00000000-0010-0000-0400-000009000000}" name="N_Registos"/>
    <tableColumn id="10" xr3:uid="{00000000-0010-0000-0400-00000A000000}" name="Eficacia_Pc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registo_formacao" displayName="tbl_registo_formacao" ref="A1:L61">
  <autoFilter ref="A1:L61" xr:uid="{00000000-0009-0000-0100-000006000000}"/>
  <tableColumns count="12">
    <tableColumn id="1" xr3:uid="{00000000-0010-0000-0500-000001000000}" name="ID_Registo"/>
    <tableColumn id="2" xr3:uid="{00000000-0010-0000-0500-000002000000}" name="Colaborador"/>
    <tableColumn id="3" xr3:uid="{00000000-0010-0000-0500-000003000000}" name="Nome"/>
    <tableColumn id="4" xr3:uid="{00000000-0010-0000-0500-000004000000}" name="ID_Formacao"/>
    <tableColumn id="5" xr3:uid="{00000000-0010-0000-0500-000005000000}" name="Data_Realizacao"/>
    <tableColumn id="6" xr3:uid="{00000000-0010-0000-0500-000006000000}" name="Duracao_h"/>
    <tableColumn id="7" xr3:uid="{00000000-0010-0000-0500-000007000000}" name="N1_Reacao"/>
    <tableColumn id="8" xr3:uid="{00000000-0010-0000-0500-000008000000}" name="N2_Aprendizagem_Pct"/>
    <tableColumn id="9" xr3:uid="{00000000-0010-0000-0500-000009000000}" name="N3_Comportamento_Posto"/>
    <tableColumn id="10" xr3:uid="{00000000-0010-0000-0500-00000A000000}" name="N4_Resultado"/>
    <tableColumn id="11" xr3:uid="{00000000-0010-0000-0500-00000B000000}" name="Eficaz"/>
    <tableColumn id="12" xr3:uid="{00000000-0010-0000-0500-00000C000000}" name="Acao_Se_Nao_Eficaz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consciencializacao" displayName="tbl_consciencializacao" ref="A4:I10">
  <autoFilter ref="A4:I10" xr:uid="{00000000-0009-0000-0100-000007000000}"/>
  <tableColumns count="9">
    <tableColumn id="1" xr3:uid="{00000000-0010-0000-0600-000001000000}" name="ID_Sessao"/>
    <tableColumn id="2" xr3:uid="{00000000-0010-0000-0600-000002000000}" name="Data"/>
    <tableColumn id="3" xr3:uid="{00000000-0010-0000-0600-000003000000}" name="Tema"/>
    <tableColumn id="4" xr3:uid="{00000000-0010-0000-0600-000004000000}" name="Alineas_7_3"/>
    <tableColumn id="5" xr3:uid="{00000000-0010-0000-0600-000005000000}" name="Publico"/>
    <tableColumn id="6" xr3:uid="{00000000-0010-0000-0600-000006000000}" name="Presentes"/>
    <tableColumn id="7" xr3:uid="{00000000-0010-0000-0600-000007000000}" name="Convocados"/>
    <tableColumn id="8" xr3:uid="{00000000-0010-0000-0600-000008000000}" name="Cobertura"/>
    <tableColumn id="9" xr3:uid="{00000000-0010-0000-0600-000009000000}" name="Evidencia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conhecimento" displayName="tbl_conhecimento" ref="A4:I13">
  <autoFilter ref="A4:I13" xr:uid="{00000000-0009-0000-0100-000008000000}"/>
  <tableColumns count="9">
    <tableColumn id="1" xr3:uid="{00000000-0010-0000-0700-000001000000}" name="ID_Conhecimento"/>
    <tableColumn id="2" xr3:uid="{00000000-0010-0000-0700-000002000000}" name="Conhecimento"/>
    <tableColumn id="3" xr3:uid="{00000000-0010-0000-0700-000003000000}" name="Forma"/>
    <tableColumn id="4" xr3:uid="{00000000-0010-0000-0700-000004000000}" name="Onde_Esta_Retido"/>
    <tableColumn id="5" xr3:uid="{00000000-0010-0000-0700-000005000000}" name="Detentores"/>
    <tableColumn id="6" xr3:uid="{00000000-0010-0000-0700-000006000000}" name="N_Detentores"/>
    <tableColumn id="7" xr3:uid="{00000000-0010-0000-0700-000007000000}" name="Risco_Perda"/>
    <tableColumn id="8" xr3:uid="{00000000-0010-0000-0700-000008000000}" name="Acao_Partilha"/>
    <tableColumn id="9" xr3:uid="{00000000-0010-0000-0700-000009000000}" name="Licao_Aprendida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cionario" displayName="tbl_dicionario" ref="A1:I72">
  <autoFilter ref="A1:I72" xr:uid="{00000000-0009-0000-0100-000009000000}"/>
  <tableColumns count="9">
    <tableColumn id="1" xr3:uid="{00000000-0010-0000-0800-000001000000}" name="Folha"/>
    <tableColumn id="2" xr3:uid="{00000000-0010-0000-0800-000002000000}" name="Tabela"/>
    <tableColumn id="3" xr3:uid="{00000000-0010-0000-0800-000003000000}" name="Coluna"/>
    <tableColumn id="4" xr3:uid="{00000000-0010-0000-0800-000004000000}" name="Tipo"/>
    <tableColumn id="5" xr3:uid="{00000000-0010-0000-0800-000005000000}" name="Origem"/>
    <tableColumn id="6" xr3:uid="{00000000-0010-0000-0800-000006000000}" name="Descricao"/>
    <tableColumn id="7" xr3:uid="{00000000-0010-0000-0800-000007000000}" name="Dominio_Unidade"/>
    <tableColumn id="8" xr3:uid="{00000000-0010-0000-0800-000008000000}" name="Obrigatorio"/>
    <tableColumn id="9" xr3:uid="{00000000-0010-0000-08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39.6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6" spans="1:2" x14ac:dyDescent="0.3">
      <c r="A36" s="5" t="s">
        <v>55</v>
      </c>
      <c r="B36" s="6" t="s">
        <v>56</v>
      </c>
    </row>
    <row r="37" spans="1:2" x14ac:dyDescent="0.3">
      <c r="A37" s="5" t="s">
        <v>57</v>
      </c>
      <c r="B37" s="6" t="s">
        <v>58</v>
      </c>
    </row>
    <row r="39" spans="1:2" x14ac:dyDescent="0.3">
      <c r="A39" s="3" t="s">
        <v>59</v>
      </c>
      <c r="B39" s="4"/>
    </row>
    <row r="40" spans="1:2" ht="26.4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ht="26.4" x14ac:dyDescent="0.3">
      <c r="A43" s="5" t="s">
        <v>66</v>
      </c>
      <c r="B43" s="6" t="s">
        <v>67</v>
      </c>
    </row>
    <row r="44" spans="1:2" ht="26.4" x14ac:dyDescent="0.3">
      <c r="A44" s="5" t="s">
        <v>68</v>
      </c>
      <c r="B44" s="6" t="s">
        <v>69</v>
      </c>
    </row>
    <row r="45" spans="1:2" ht="39.6" x14ac:dyDescent="0.3">
      <c r="A45" s="5" t="s">
        <v>70</v>
      </c>
      <c r="B45" s="6" t="s">
        <v>71</v>
      </c>
    </row>
    <row r="47" spans="1:2" x14ac:dyDescent="0.3">
      <c r="A47" s="3" t="s">
        <v>72</v>
      </c>
      <c r="B47" s="4"/>
    </row>
    <row r="48" spans="1:2" x14ac:dyDescent="0.3">
      <c r="A48" s="5" t="s">
        <v>73</v>
      </c>
      <c r="B48" s="6" t="s">
        <v>74</v>
      </c>
    </row>
    <row r="49" spans="1:2" x14ac:dyDescent="0.3">
      <c r="A49" s="5" t="s">
        <v>75</v>
      </c>
      <c r="B49" s="6" t="s">
        <v>76</v>
      </c>
    </row>
    <row r="50" spans="1:2" x14ac:dyDescent="0.3">
      <c r="A50" s="5" t="s">
        <v>77</v>
      </c>
      <c r="B50" s="6" t="s">
        <v>78</v>
      </c>
    </row>
    <row r="51" spans="1:2" x14ac:dyDescent="0.3">
      <c r="A51" s="5" t="s">
        <v>79</v>
      </c>
      <c r="B51" s="6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28" customWidth="1"/>
    <col min="3" max="3" width="26" customWidth="1"/>
    <col min="4" max="4" width="40" customWidth="1"/>
    <col min="5" max="5" width="24" customWidth="1"/>
    <col min="6" max="6" width="34" customWidth="1"/>
  </cols>
  <sheetData>
    <row r="1" spans="1:6" ht="17.399999999999999" x14ac:dyDescent="0.3">
      <c r="A1" s="1" t="s">
        <v>81</v>
      </c>
    </row>
    <row r="4" spans="1:6" ht="26.4" x14ac:dyDescent="0.3">
      <c r="A4" s="8" t="s">
        <v>82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</row>
    <row r="5" spans="1:6" ht="31.95" customHeight="1" x14ac:dyDescent="0.3">
      <c r="A5" s="9" t="s">
        <v>88</v>
      </c>
      <c r="B5" s="9" t="s">
        <v>11</v>
      </c>
      <c r="C5" s="9" t="s">
        <v>89</v>
      </c>
      <c r="D5" s="9" t="s">
        <v>90</v>
      </c>
      <c r="E5" s="9" t="s">
        <v>91</v>
      </c>
      <c r="F5" s="9" t="s">
        <v>92</v>
      </c>
    </row>
    <row r="6" spans="1:6" ht="31.95" customHeight="1" x14ac:dyDescent="0.3">
      <c r="A6" s="9" t="s">
        <v>93</v>
      </c>
      <c r="B6" s="9" t="s">
        <v>94</v>
      </c>
      <c r="C6" s="9" t="s">
        <v>95</v>
      </c>
      <c r="D6" s="9" t="s">
        <v>96</v>
      </c>
      <c r="E6" s="9" t="s">
        <v>97</v>
      </c>
      <c r="F6" s="9" t="s">
        <v>98</v>
      </c>
    </row>
    <row r="7" spans="1:6" ht="31.95" customHeight="1" x14ac:dyDescent="0.3">
      <c r="A7" s="9" t="s">
        <v>99</v>
      </c>
      <c r="B7" s="9" t="s">
        <v>100</v>
      </c>
      <c r="C7" s="9" t="s">
        <v>101</v>
      </c>
      <c r="D7" s="9" t="s">
        <v>102</v>
      </c>
      <c r="E7" s="9" t="s">
        <v>103</v>
      </c>
      <c r="F7" s="9" t="s">
        <v>104</v>
      </c>
    </row>
    <row r="8" spans="1:6" ht="31.95" customHeight="1" x14ac:dyDescent="0.3">
      <c r="A8" s="9" t="s">
        <v>105</v>
      </c>
      <c r="B8" s="9" t="s">
        <v>106</v>
      </c>
      <c r="C8" s="9" t="s">
        <v>107</v>
      </c>
      <c r="D8" s="9" t="s">
        <v>108</v>
      </c>
      <c r="E8" s="9" t="s">
        <v>109</v>
      </c>
      <c r="F8" s="9" t="s">
        <v>110</v>
      </c>
    </row>
    <row r="9" spans="1:6" ht="31.95" customHeight="1" x14ac:dyDescent="0.3">
      <c r="A9" s="9" t="s">
        <v>111</v>
      </c>
      <c r="B9" s="9" t="s">
        <v>112</v>
      </c>
      <c r="C9" s="9" t="s">
        <v>113</v>
      </c>
      <c r="D9" s="9" t="s">
        <v>114</v>
      </c>
      <c r="E9" s="9" t="s">
        <v>115</v>
      </c>
      <c r="F9" s="9" t="s">
        <v>116</v>
      </c>
    </row>
    <row r="10" spans="1:6" ht="31.95" customHeight="1" x14ac:dyDescent="0.3">
      <c r="A10" s="9" t="s">
        <v>117</v>
      </c>
      <c r="B10" s="9" t="s">
        <v>118</v>
      </c>
      <c r="C10" s="9" t="s">
        <v>113</v>
      </c>
      <c r="D10" s="9" t="s">
        <v>119</v>
      </c>
      <c r="E10" s="9" t="s">
        <v>115</v>
      </c>
      <c r="F10" s="9" t="s">
        <v>116</v>
      </c>
    </row>
    <row r="11" spans="1:6" ht="31.95" customHeight="1" x14ac:dyDescent="0.3">
      <c r="A11" s="9" t="s">
        <v>120</v>
      </c>
      <c r="B11" s="9" t="s">
        <v>121</v>
      </c>
      <c r="C11" s="9" t="s">
        <v>113</v>
      </c>
      <c r="D11" s="9" t="s">
        <v>122</v>
      </c>
      <c r="E11" s="9" t="s">
        <v>123</v>
      </c>
      <c r="F11" s="9" t="s">
        <v>110</v>
      </c>
    </row>
    <row r="12" spans="1:6" ht="31.95" customHeight="1" x14ac:dyDescent="0.3">
      <c r="A12" s="9" t="s">
        <v>124</v>
      </c>
      <c r="B12" s="9" t="s">
        <v>125</v>
      </c>
      <c r="C12" s="9" t="s">
        <v>113</v>
      </c>
      <c r="D12" s="9" t="s">
        <v>126</v>
      </c>
      <c r="E12" s="9" t="s">
        <v>127</v>
      </c>
      <c r="F12" s="9" t="s">
        <v>110</v>
      </c>
    </row>
    <row r="13" spans="1:6" ht="31.95" customHeight="1" x14ac:dyDescent="0.3">
      <c r="A13" s="9" t="s">
        <v>128</v>
      </c>
      <c r="B13" s="9" t="s">
        <v>129</v>
      </c>
      <c r="C13" s="9" t="s">
        <v>130</v>
      </c>
      <c r="D13" s="9" t="s">
        <v>131</v>
      </c>
      <c r="E13" s="9" t="s">
        <v>109</v>
      </c>
      <c r="F13" s="9" t="s">
        <v>132</v>
      </c>
    </row>
    <row r="14" spans="1:6" ht="31.95" customHeight="1" x14ac:dyDescent="0.3">
      <c r="A14" s="9" t="s">
        <v>133</v>
      </c>
      <c r="B14" s="9" t="s">
        <v>134</v>
      </c>
      <c r="C14" s="9" t="s">
        <v>135</v>
      </c>
      <c r="D14" s="9" t="s">
        <v>136</v>
      </c>
      <c r="E14" s="9" t="s">
        <v>137</v>
      </c>
      <c r="F14" s="9" t="s">
        <v>138</v>
      </c>
    </row>
    <row r="15" spans="1:6" ht="31.95" customHeight="1" x14ac:dyDescent="0.3">
      <c r="A15" s="9" t="s">
        <v>139</v>
      </c>
      <c r="B15" s="9" t="s">
        <v>140</v>
      </c>
      <c r="C15" s="9" t="s">
        <v>141</v>
      </c>
      <c r="D15" s="9" t="s">
        <v>142</v>
      </c>
      <c r="E15" s="9" t="s">
        <v>143</v>
      </c>
      <c r="F15" s="9" t="s">
        <v>110</v>
      </c>
    </row>
    <row r="16" spans="1:6" ht="31.95" customHeight="1" x14ac:dyDescent="0.3">
      <c r="A16" s="9" t="s">
        <v>144</v>
      </c>
      <c r="B16" s="9" t="s">
        <v>145</v>
      </c>
      <c r="C16" s="9" t="s">
        <v>146</v>
      </c>
      <c r="D16" s="9" t="s">
        <v>147</v>
      </c>
      <c r="E16" s="9" t="s">
        <v>148</v>
      </c>
      <c r="F16" s="9" t="s">
        <v>110</v>
      </c>
    </row>
  </sheetData>
  <dataValidations count="1">
    <dataValidation type="list" allowBlank="1" showErrorMessage="1" errorTitle="Valor inválido" error="Valor fora da lista controlada (ver folha Listas)." sqref="B5:B216" xr:uid="{00000000-0002-0000-01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7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54" customWidth="1"/>
    <col min="3" max="3" width="7" customWidth="1"/>
  </cols>
  <sheetData>
    <row r="1" spans="1:3" ht="26.4" x14ac:dyDescent="0.3">
      <c r="A1" s="8" t="s">
        <v>149</v>
      </c>
      <c r="B1" s="8" t="s">
        <v>150</v>
      </c>
      <c r="C1" s="8" t="s">
        <v>151</v>
      </c>
    </row>
    <row r="2" spans="1:3" ht="16.05" customHeight="1" x14ac:dyDescent="0.3">
      <c r="A2" s="9" t="s">
        <v>152</v>
      </c>
      <c r="B2" s="9" t="s">
        <v>153</v>
      </c>
      <c r="C2" s="9" t="s">
        <v>154</v>
      </c>
    </row>
    <row r="3" spans="1:3" ht="16.05" customHeight="1" x14ac:dyDescent="0.3">
      <c r="A3" s="9" t="s">
        <v>155</v>
      </c>
      <c r="B3" s="9" t="s">
        <v>156</v>
      </c>
      <c r="C3" s="9" t="s">
        <v>154</v>
      </c>
    </row>
    <row r="4" spans="1:3" ht="16.05" customHeight="1" x14ac:dyDescent="0.3">
      <c r="A4" s="9" t="s">
        <v>157</v>
      </c>
      <c r="B4" s="9" t="s">
        <v>158</v>
      </c>
      <c r="C4" s="9" t="s">
        <v>154</v>
      </c>
    </row>
    <row r="5" spans="1:3" ht="16.05" customHeight="1" x14ac:dyDescent="0.3">
      <c r="A5" s="9" t="s">
        <v>159</v>
      </c>
      <c r="B5" s="9" t="s">
        <v>160</v>
      </c>
      <c r="C5" s="9" t="s">
        <v>154</v>
      </c>
    </row>
    <row r="6" spans="1:3" ht="16.05" customHeight="1" x14ac:dyDescent="0.3">
      <c r="A6" s="9" t="s">
        <v>161</v>
      </c>
      <c r="B6" s="9" t="s">
        <v>162</v>
      </c>
      <c r="C6" s="9" t="s">
        <v>154</v>
      </c>
    </row>
    <row r="7" spans="1:3" ht="16.05" customHeight="1" x14ac:dyDescent="0.3">
      <c r="A7" s="9" t="s">
        <v>163</v>
      </c>
      <c r="B7" s="9" t="s">
        <v>164</v>
      </c>
      <c r="C7" s="9" t="s">
        <v>154</v>
      </c>
    </row>
    <row r="8" spans="1:3" ht="16.05" customHeight="1" x14ac:dyDescent="0.3">
      <c r="A8" s="9" t="s">
        <v>165</v>
      </c>
      <c r="B8" s="9" t="s">
        <v>166</v>
      </c>
      <c r="C8" s="9" t="s">
        <v>167</v>
      </c>
    </row>
    <row r="9" spans="1:3" ht="16.05" customHeight="1" x14ac:dyDescent="0.3">
      <c r="A9" s="9" t="s">
        <v>168</v>
      </c>
      <c r="B9" s="9" t="s">
        <v>169</v>
      </c>
      <c r="C9" s="9" t="s">
        <v>170</v>
      </c>
    </row>
    <row r="10" spans="1:3" ht="16.05" customHeight="1" x14ac:dyDescent="0.3">
      <c r="A10" s="9" t="s">
        <v>171</v>
      </c>
      <c r="B10" s="9" t="s">
        <v>172</v>
      </c>
      <c r="C10" s="9" t="s">
        <v>173</v>
      </c>
    </row>
    <row r="11" spans="1:3" ht="16.05" customHeight="1" x14ac:dyDescent="0.3">
      <c r="A11" s="9" t="s">
        <v>174</v>
      </c>
      <c r="B11" s="9" t="s">
        <v>175</v>
      </c>
      <c r="C11" s="9" t="s">
        <v>176</v>
      </c>
    </row>
    <row r="12" spans="1:3" ht="16.05" customHeight="1" x14ac:dyDescent="0.3">
      <c r="A12" s="9" t="s">
        <v>126</v>
      </c>
      <c r="B12" s="9" t="s">
        <v>177</v>
      </c>
      <c r="C12" s="9" t="s">
        <v>178</v>
      </c>
    </row>
    <row r="13" spans="1:3" ht="16.05" customHeight="1" x14ac:dyDescent="0.3">
      <c r="A13" s="9" t="s">
        <v>179</v>
      </c>
      <c r="B13" s="9" t="s">
        <v>180</v>
      </c>
      <c r="C13" s="9" t="s">
        <v>181</v>
      </c>
    </row>
    <row r="14" spans="1:3" ht="16.05" customHeight="1" x14ac:dyDescent="0.3">
      <c r="A14" s="9" t="s">
        <v>182</v>
      </c>
      <c r="B14" s="9" t="s">
        <v>183</v>
      </c>
      <c r="C14" s="9" t="s">
        <v>184</v>
      </c>
    </row>
    <row r="15" spans="1:3" ht="16.05" customHeight="1" x14ac:dyDescent="0.3">
      <c r="A15" s="9" t="s">
        <v>185</v>
      </c>
      <c r="B15" s="9" t="s">
        <v>186</v>
      </c>
      <c r="C15" s="9" t="s">
        <v>187</v>
      </c>
    </row>
    <row r="16" spans="1:3" ht="16.05" customHeight="1" x14ac:dyDescent="0.3">
      <c r="A16" s="9" t="s">
        <v>188</v>
      </c>
      <c r="B16" s="9" t="s">
        <v>189</v>
      </c>
      <c r="C16" s="9" t="s">
        <v>187</v>
      </c>
    </row>
    <row r="17" spans="1:3" ht="16.05" customHeight="1" x14ac:dyDescent="0.3">
      <c r="A17" s="9" t="s">
        <v>190</v>
      </c>
      <c r="B17" s="9" t="s">
        <v>191</v>
      </c>
      <c r="C17" s="9" t="s">
        <v>187</v>
      </c>
    </row>
  </sheetData>
  <dataValidations count="1">
    <dataValidation type="list" allowBlank="1" showErrorMessage="1" errorTitle="Valor inválido" error="Valor fora da lista controlada (ver folha Listas)." sqref="C2:C217" xr:uid="{00000000-0002-0000-0200-000000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6" customWidth="1"/>
    <col min="3" max="3" width="26" customWidth="1"/>
    <col min="4" max="4" width="7" customWidth="1"/>
    <col min="5" max="5" width="11" customWidth="1"/>
    <col min="6" max="6" width="10" customWidth="1"/>
    <col min="7" max="7" width="7" customWidth="1"/>
    <col min="8" max="8" width="8" customWidth="1"/>
    <col min="9" max="9" width="12" customWidth="1"/>
  </cols>
  <sheetData>
    <row r="1" spans="1:9" ht="26.4" x14ac:dyDescent="0.3">
      <c r="A1" s="8" t="s">
        <v>192</v>
      </c>
      <c r="B1" s="8" t="s">
        <v>193</v>
      </c>
      <c r="C1" s="8" t="s">
        <v>83</v>
      </c>
      <c r="D1" s="8" t="s">
        <v>151</v>
      </c>
      <c r="E1" s="8" t="s">
        <v>194</v>
      </c>
      <c r="F1" s="8" t="s">
        <v>195</v>
      </c>
      <c r="G1" s="10" t="s">
        <v>196</v>
      </c>
      <c r="H1" s="10" t="s">
        <v>197</v>
      </c>
      <c r="I1" s="10" t="s">
        <v>198</v>
      </c>
    </row>
    <row r="2" spans="1:9" ht="16.05" customHeight="1" x14ac:dyDescent="0.3">
      <c r="A2" s="9" t="s">
        <v>199</v>
      </c>
      <c r="B2" s="9" t="s">
        <v>200</v>
      </c>
      <c r="C2" s="9" t="s">
        <v>94</v>
      </c>
      <c r="D2" s="9" t="s">
        <v>154</v>
      </c>
      <c r="E2" s="11">
        <v>42430</v>
      </c>
      <c r="F2" s="9" t="s">
        <v>201</v>
      </c>
      <c r="G2" s="12">
        <f t="shared" ref="G2:G30" si="0">(DataRef-E2)/365</f>
        <v>10.841095890410958</v>
      </c>
      <c r="H2" s="13">
        <f>COUNTIFS(tbl_matriz[ID_Pessoa],A2,tbl_matriz[Lacuna],"&gt;0")</f>
        <v>0</v>
      </c>
      <c r="I2" s="14" t="str">
        <f t="shared" ref="I2:I30" si="1">IF(H2=0,"Sim","Com tutor")</f>
        <v>Sim</v>
      </c>
    </row>
    <row r="3" spans="1:9" ht="16.05" customHeight="1" x14ac:dyDescent="0.3">
      <c r="A3" s="9" t="s">
        <v>202</v>
      </c>
      <c r="B3" s="9" t="s">
        <v>203</v>
      </c>
      <c r="C3" s="9" t="s">
        <v>94</v>
      </c>
      <c r="D3" s="9" t="s">
        <v>154</v>
      </c>
      <c r="E3" s="11">
        <v>43724</v>
      </c>
      <c r="F3" s="9" t="s">
        <v>201</v>
      </c>
      <c r="G3" s="12">
        <f t="shared" si="0"/>
        <v>7.2958904109589042</v>
      </c>
      <c r="H3" s="13">
        <f>COUNTIFS(tbl_matriz[ID_Pessoa],A3,tbl_matriz[Lacuna],"&gt;0")</f>
        <v>1</v>
      </c>
      <c r="I3" s="14" t="str">
        <f t="shared" si="1"/>
        <v>Com tutor</v>
      </c>
    </row>
    <row r="4" spans="1:9" ht="16.05" customHeight="1" x14ac:dyDescent="0.3">
      <c r="A4" s="9" t="s">
        <v>204</v>
      </c>
      <c r="B4" s="9" t="s">
        <v>205</v>
      </c>
      <c r="C4" s="9" t="s">
        <v>94</v>
      </c>
      <c r="D4" s="9" t="s">
        <v>154</v>
      </c>
      <c r="E4" s="11">
        <v>41673</v>
      </c>
      <c r="F4" s="9" t="s">
        <v>201</v>
      </c>
      <c r="G4" s="12">
        <f t="shared" si="0"/>
        <v>12.915068493150685</v>
      </c>
      <c r="H4" s="13">
        <f>COUNTIFS(tbl_matriz[ID_Pessoa],A4,tbl_matriz[Lacuna],"&gt;0")</f>
        <v>0</v>
      </c>
      <c r="I4" s="14" t="str">
        <f t="shared" si="1"/>
        <v>Sim</v>
      </c>
    </row>
    <row r="5" spans="1:9" ht="16.05" customHeight="1" x14ac:dyDescent="0.3">
      <c r="A5" s="9" t="s">
        <v>206</v>
      </c>
      <c r="B5" s="9" t="s">
        <v>207</v>
      </c>
      <c r="C5" s="9" t="s">
        <v>94</v>
      </c>
      <c r="D5" s="9" t="s">
        <v>154</v>
      </c>
      <c r="E5" s="11">
        <v>44326</v>
      </c>
      <c r="F5" s="9" t="s">
        <v>201</v>
      </c>
      <c r="G5" s="12">
        <f t="shared" si="0"/>
        <v>5.646575342465753</v>
      </c>
      <c r="H5" s="13">
        <f>COUNTIFS(tbl_matriz[ID_Pessoa],A5,tbl_matriz[Lacuna],"&gt;0")</f>
        <v>1</v>
      </c>
      <c r="I5" s="14" t="str">
        <f t="shared" si="1"/>
        <v>Com tutor</v>
      </c>
    </row>
    <row r="6" spans="1:9" ht="16.05" customHeight="1" x14ac:dyDescent="0.3">
      <c r="A6" s="9" t="s">
        <v>208</v>
      </c>
      <c r="B6" s="9" t="s">
        <v>209</v>
      </c>
      <c r="C6" s="9" t="s">
        <v>100</v>
      </c>
      <c r="D6" s="9" t="s">
        <v>154</v>
      </c>
      <c r="E6" s="11">
        <v>41183</v>
      </c>
      <c r="F6" s="9" t="s">
        <v>201</v>
      </c>
      <c r="G6" s="12">
        <f t="shared" si="0"/>
        <v>14.257534246575343</v>
      </c>
      <c r="H6" s="13">
        <f>COUNTIFS(tbl_matriz[ID_Pessoa],A6,tbl_matriz[Lacuna],"&gt;0")</f>
        <v>0</v>
      </c>
      <c r="I6" s="14" t="str">
        <f t="shared" si="1"/>
        <v>Sim</v>
      </c>
    </row>
    <row r="7" spans="1:9" ht="16.05" customHeight="1" x14ac:dyDescent="0.3">
      <c r="A7" s="9" t="s">
        <v>210</v>
      </c>
      <c r="B7" s="9" t="s">
        <v>211</v>
      </c>
      <c r="C7" s="9" t="s">
        <v>129</v>
      </c>
      <c r="D7" s="9" t="s">
        <v>181</v>
      </c>
      <c r="E7" s="11">
        <v>41442</v>
      </c>
      <c r="F7" s="9" t="s">
        <v>201</v>
      </c>
      <c r="G7" s="12">
        <f t="shared" si="0"/>
        <v>13.547945205479452</v>
      </c>
      <c r="H7" s="13">
        <f>COUNTIFS(tbl_matriz[ID_Pessoa],A7,tbl_matriz[Lacuna],"&gt;0")</f>
        <v>0</v>
      </c>
      <c r="I7" s="14" t="str">
        <f t="shared" si="1"/>
        <v>Sim</v>
      </c>
    </row>
    <row r="8" spans="1:9" ht="16.05" customHeight="1" x14ac:dyDescent="0.3">
      <c r="A8" s="9" t="s">
        <v>212</v>
      </c>
      <c r="B8" s="9" t="s">
        <v>213</v>
      </c>
      <c r="C8" s="9" t="s">
        <v>129</v>
      </c>
      <c r="D8" s="9" t="s">
        <v>181</v>
      </c>
      <c r="E8" s="11">
        <v>43108</v>
      </c>
      <c r="F8" s="9" t="s">
        <v>201</v>
      </c>
      <c r="G8" s="12">
        <f t="shared" si="0"/>
        <v>8.9835616438356158</v>
      </c>
      <c r="H8" s="13">
        <f>COUNTIFS(tbl_matriz[ID_Pessoa],A8,tbl_matriz[Lacuna],"&gt;0")</f>
        <v>0</v>
      </c>
      <c r="I8" s="14" t="str">
        <f t="shared" si="1"/>
        <v>Sim</v>
      </c>
    </row>
    <row r="9" spans="1:9" ht="16.05" customHeight="1" x14ac:dyDescent="0.3">
      <c r="A9" s="9" t="s">
        <v>214</v>
      </c>
      <c r="B9" s="9" t="s">
        <v>215</v>
      </c>
      <c r="C9" s="9" t="s">
        <v>129</v>
      </c>
      <c r="D9" s="9" t="s">
        <v>181</v>
      </c>
      <c r="E9" s="11">
        <v>42114</v>
      </c>
      <c r="F9" s="9" t="s">
        <v>201</v>
      </c>
      <c r="G9" s="12">
        <f t="shared" si="0"/>
        <v>11.706849315068494</v>
      </c>
      <c r="H9" s="13">
        <f>COUNTIFS(tbl_matriz[ID_Pessoa],A9,tbl_matriz[Lacuna],"&gt;0")</f>
        <v>0</v>
      </c>
      <c r="I9" s="14" t="str">
        <f t="shared" si="1"/>
        <v>Sim</v>
      </c>
    </row>
    <row r="10" spans="1:9" ht="16.05" customHeight="1" x14ac:dyDescent="0.3">
      <c r="A10" s="9" t="s">
        <v>216</v>
      </c>
      <c r="B10" s="9" t="s">
        <v>217</v>
      </c>
      <c r="C10" s="9" t="s">
        <v>129</v>
      </c>
      <c r="D10" s="9" t="s">
        <v>181</v>
      </c>
      <c r="E10" s="11">
        <v>44137</v>
      </c>
      <c r="F10" s="9" t="s">
        <v>201</v>
      </c>
      <c r="G10" s="12">
        <f t="shared" si="0"/>
        <v>6.1643835616438354</v>
      </c>
      <c r="H10" s="13">
        <f>COUNTIFS(tbl_matriz[ID_Pessoa],A10,tbl_matriz[Lacuna],"&gt;0")</f>
        <v>0</v>
      </c>
      <c r="I10" s="14" t="str">
        <f t="shared" si="1"/>
        <v>Sim</v>
      </c>
    </row>
    <row r="11" spans="1:9" ht="16.05" customHeight="1" x14ac:dyDescent="0.3">
      <c r="A11" s="9" t="s">
        <v>218</v>
      </c>
      <c r="B11" s="9" t="s">
        <v>219</v>
      </c>
      <c r="C11" s="9" t="s">
        <v>129</v>
      </c>
      <c r="D11" s="9" t="s">
        <v>181</v>
      </c>
      <c r="E11" s="11">
        <v>40791</v>
      </c>
      <c r="F11" s="9" t="s">
        <v>201</v>
      </c>
      <c r="G11" s="12">
        <f t="shared" si="0"/>
        <v>15.331506849315069</v>
      </c>
      <c r="H11" s="13">
        <f>COUNTIFS(tbl_matriz[ID_Pessoa],A11,tbl_matriz[Lacuna],"&gt;0")</f>
        <v>0</v>
      </c>
      <c r="I11" s="14" t="str">
        <f t="shared" si="1"/>
        <v>Sim</v>
      </c>
    </row>
    <row r="12" spans="1:9" ht="16.05" customHeight="1" x14ac:dyDescent="0.3">
      <c r="A12" s="9" t="s">
        <v>220</v>
      </c>
      <c r="B12" s="9" t="s">
        <v>221</v>
      </c>
      <c r="C12" s="9" t="s">
        <v>129</v>
      </c>
      <c r="D12" s="9" t="s">
        <v>181</v>
      </c>
      <c r="E12" s="11">
        <v>44606</v>
      </c>
      <c r="F12" s="9" t="s">
        <v>201</v>
      </c>
      <c r="G12" s="12">
        <f t="shared" si="0"/>
        <v>4.8794520547945206</v>
      </c>
      <c r="H12" s="13">
        <f>COUNTIFS(tbl_matriz[ID_Pessoa],A12,tbl_matriz[Lacuna],"&gt;0")</f>
        <v>0</v>
      </c>
      <c r="I12" s="14" t="str">
        <f t="shared" si="1"/>
        <v>Sim</v>
      </c>
    </row>
    <row r="13" spans="1:9" ht="16.05" customHeight="1" x14ac:dyDescent="0.3">
      <c r="A13" s="9" t="s">
        <v>222</v>
      </c>
      <c r="B13" s="9" t="s">
        <v>223</v>
      </c>
      <c r="C13" s="9" t="s">
        <v>129</v>
      </c>
      <c r="D13" s="9" t="s">
        <v>181</v>
      </c>
      <c r="E13" s="11">
        <v>40371</v>
      </c>
      <c r="F13" s="9" t="s">
        <v>201</v>
      </c>
      <c r="G13" s="12">
        <f t="shared" si="0"/>
        <v>16.482191780821918</v>
      </c>
      <c r="H13" s="13">
        <f>COUNTIFS(tbl_matriz[ID_Pessoa],A13,tbl_matriz[Lacuna],"&gt;0")</f>
        <v>0</v>
      </c>
      <c r="I13" s="14" t="str">
        <f t="shared" si="1"/>
        <v>Sim</v>
      </c>
    </row>
    <row r="14" spans="1:9" ht="16.05" customHeight="1" x14ac:dyDescent="0.3">
      <c r="A14" s="9" t="s">
        <v>224</v>
      </c>
      <c r="B14" s="9" t="s">
        <v>225</v>
      </c>
      <c r="C14" s="9" t="s">
        <v>129</v>
      </c>
      <c r="D14" s="9" t="s">
        <v>181</v>
      </c>
      <c r="E14" s="11">
        <v>42821</v>
      </c>
      <c r="F14" s="9" t="s">
        <v>201</v>
      </c>
      <c r="G14" s="12">
        <f t="shared" si="0"/>
        <v>9.7698630136986306</v>
      </c>
      <c r="H14" s="13">
        <f>COUNTIFS(tbl_matriz[ID_Pessoa],A14,tbl_matriz[Lacuna],"&gt;0")</f>
        <v>0</v>
      </c>
      <c r="I14" s="14" t="str">
        <f t="shared" si="1"/>
        <v>Sim</v>
      </c>
    </row>
    <row r="15" spans="1:9" ht="16.05" customHeight="1" x14ac:dyDescent="0.3">
      <c r="A15" s="9" t="s">
        <v>226</v>
      </c>
      <c r="B15" s="9" t="s">
        <v>226</v>
      </c>
      <c r="C15" s="9" t="s">
        <v>112</v>
      </c>
      <c r="D15" s="9" t="s">
        <v>170</v>
      </c>
      <c r="E15" s="11">
        <v>43556</v>
      </c>
      <c r="F15" s="9" t="s">
        <v>201</v>
      </c>
      <c r="G15" s="12">
        <f t="shared" si="0"/>
        <v>7.7561643835616438</v>
      </c>
      <c r="H15" s="13">
        <f>COUNTIFS(tbl_matriz[ID_Pessoa],A15,tbl_matriz[Lacuna],"&gt;0")</f>
        <v>0</v>
      </c>
      <c r="I15" s="14" t="str">
        <f t="shared" si="1"/>
        <v>Sim</v>
      </c>
    </row>
    <row r="16" spans="1:9" ht="16.05" customHeight="1" x14ac:dyDescent="0.3">
      <c r="A16" s="9" t="s">
        <v>227</v>
      </c>
      <c r="B16" s="9" t="s">
        <v>227</v>
      </c>
      <c r="C16" s="9" t="s">
        <v>112</v>
      </c>
      <c r="D16" s="9" t="s">
        <v>170</v>
      </c>
      <c r="E16" s="11">
        <v>44207</v>
      </c>
      <c r="F16" s="9" t="s">
        <v>201</v>
      </c>
      <c r="G16" s="12">
        <f t="shared" si="0"/>
        <v>5.9726027397260273</v>
      </c>
      <c r="H16" s="13">
        <f>COUNTIFS(tbl_matriz[ID_Pessoa],A16,tbl_matriz[Lacuna],"&gt;0")</f>
        <v>0</v>
      </c>
      <c r="I16" s="14" t="str">
        <f t="shared" si="1"/>
        <v>Sim</v>
      </c>
    </row>
    <row r="17" spans="1:9" ht="16.05" customHeight="1" x14ac:dyDescent="0.3">
      <c r="A17" s="9" t="s">
        <v>228</v>
      </c>
      <c r="B17" s="9" t="s">
        <v>228</v>
      </c>
      <c r="C17" s="9" t="s">
        <v>112</v>
      </c>
      <c r="D17" s="9" t="s">
        <v>170</v>
      </c>
      <c r="E17" s="11">
        <v>45691</v>
      </c>
      <c r="F17" s="9" t="s">
        <v>229</v>
      </c>
      <c r="G17" s="12">
        <f t="shared" si="0"/>
        <v>1.9068493150684931</v>
      </c>
      <c r="H17" s="13">
        <f>COUNTIFS(tbl_matriz[ID_Pessoa],A17,tbl_matriz[Lacuna],"&gt;0")</f>
        <v>2</v>
      </c>
      <c r="I17" s="14" t="str">
        <f t="shared" si="1"/>
        <v>Com tutor</v>
      </c>
    </row>
    <row r="18" spans="1:9" ht="16.05" customHeight="1" x14ac:dyDescent="0.3">
      <c r="A18" s="9" t="s">
        <v>230</v>
      </c>
      <c r="B18" s="9" t="s">
        <v>230</v>
      </c>
      <c r="C18" s="9" t="s">
        <v>112</v>
      </c>
      <c r="D18" s="9" t="s">
        <v>170</v>
      </c>
      <c r="E18" s="11">
        <v>42527</v>
      </c>
      <c r="F18" s="9" t="s">
        <v>201</v>
      </c>
      <c r="G18" s="12">
        <f t="shared" si="0"/>
        <v>10.575342465753424</v>
      </c>
      <c r="H18" s="13">
        <f>COUNTIFS(tbl_matriz[ID_Pessoa],A18,tbl_matriz[Lacuna],"&gt;0")</f>
        <v>0</v>
      </c>
      <c r="I18" s="14" t="str">
        <f t="shared" si="1"/>
        <v>Sim</v>
      </c>
    </row>
    <row r="19" spans="1:9" ht="16.05" customHeight="1" x14ac:dyDescent="0.3">
      <c r="A19" s="9" t="s">
        <v>231</v>
      </c>
      <c r="B19" s="9" t="s">
        <v>231</v>
      </c>
      <c r="C19" s="9" t="s">
        <v>112</v>
      </c>
      <c r="D19" s="9" t="s">
        <v>170</v>
      </c>
      <c r="E19" s="11">
        <v>46188</v>
      </c>
      <c r="F19" s="9" t="s">
        <v>229</v>
      </c>
      <c r="G19" s="12">
        <f t="shared" si="0"/>
        <v>0.54520547945205478</v>
      </c>
      <c r="H19" s="13">
        <f>COUNTIFS(tbl_matriz[ID_Pessoa],A19,tbl_matriz[Lacuna],"&gt;0")</f>
        <v>0</v>
      </c>
      <c r="I19" s="14" t="str">
        <f t="shared" si="1"/>
        <v>Sim</v>
      </c>
    </row>
    <row r="20" spans="1:9" ht="16.05" customHeight="1" x14ac:dyDescent="0.3">
      <c r="A20" s="9" t="s">
        <v>232</v>
      </c>
      <c r="B20" s="9" t="s">
        <v>232</v>
      </c>
      <c r="C20" s="9" t="s">
        <v>112</v>
      </c>
      <c r="D20" s="9" t="s">
        <v>170</v>
      </c>
      <c r="E20" s="11">
        <v>45537</v>
      </c>
      <c r="F20" s="9" t="s">
        <v>201</v>
      </c>
      <c r="G20" s="12">
        <f t="shared" si="0"/>
        <v>2.3287671232876712</v>
      </c>
      <c r="H20" s="13">
        <f>COUNTIFS(tbl_matriz[ID_Pessoa],A20,tbl_matriz[Lacuna],"&gt;0")</f>
        <v>0</v>
      </c>
      <c r="I20" s="14" t="str">
        <f t="shared" si="1"/>
        <v>Sim</v>
      </c>
    </row>
    <row r="21" spans="1:9" ht="16.05" customHeight="1" x14ac:dyDescent="0.3">
      <c r="A21" s="9" t="s">
        <v>233</v>
      </c>
      <c r="B21" s="9" t="s">
        <v>233</v>
      </c>
      <c r="C21" s="9" t="s">
        <v>118</v>
      </c>
      <c r="D21" s="9" t="s">
        <v>173</v>
      </c>
      <c r="E21" s="11">
        <v>42289</v>
      </c>
      <c r="F21" s="9" t="s">
        <v>201</v>
      </c>
      <c r="G21" s="12">
        <f t="shared" si="0"/>
        <v>11.227397260273973</v>
      </c>
      <c r="H21" s="13">
        <f>COUNTIFS(tbl_matriz[ID_Pessoa],A21,tbl_matriz[Lacuna],"&gt;0")</f>
        <v>0</v>
      </c>
      <c r="I21" s="14" t="str">
        <f t="shared" si="1"/>
        <v>Sim</v>
      </c>
    </row>
    <row r="22" spans="1:9" ht="16.05" customHeight="1" x14ac:dyDescent="0.3">
      <c r="A22" s="9" t="s">
        <v>234</v>
      </c>
      <c r="B22" s="9" t="s">
        <v>234</v>
      </c>
      <c r="C22" s="9" t="s">
        <v>118</v>
      </c>
      <c r="D22" s="9" t="s">
        <v>173</v>
      </c>
      <c r="E22" s="11">
        <v>43241</v>
      </c>
      <c r="F22" s="9" t="s">
        <v>201</v>
      </c>
      <c r="G22" s="12">
        <f t="shared" si="0"/>
        <v>8.6191780821917803</v>
      </c>
      <c r="H22" s="13">
        <f>COUNTIFS(tbl_matriz[ID_Pessoa],A22,tbl_matriz[Lacuna],"&gt;0")</f>
        <v>0</v>
      </c>
      <c r="I22" s="14" t="str">
        <f t="shared" si="1"/>
        <v>Sim</v>
      </c>
    </row>
    <row r="23" spans="1:9" ht="16.05" customHeight="1" x14ac:dyDescent="0.3">
      <c r="A23" s="9" t="s">
        <v>235</v>
      </c>
      <c r="B23" s="9" t="s">
        <v>235</v>
      </c>
      <c r="C23" s="9" t="s">
        <v>118</v>
      </c>
      <c r="D23" s="9" t="s">
        <v>173</v>
      </c>
      <c r="E23" s="11">
        <v>43878</v>
      </c>
      <c r="F23" s="9" t="s">
        <v>201</v>
      </c>
      <c r="G23" s="12">
        <f t="shared" si="0"/>
        <v>6.8739726027397259</v>
      </c>
      <c r="H23" s="13">
        <f>COUNTIFS(tbl_matriz[ID_Pessoa],A23,tbl_matriz[Lacuna],"&gt;0")</f>
        <v>0</v>
      </c>
      <c r="I23" s="14" t="str">
        <f t="shared" si="1"/>
        <v>Sim</v>
      </c>
    </row>
    <row r="24" spans="1:9" ht="16.05" customHeight="1" x14ac:dyDescent="0.3">
      <c r="A24" s="9" t="s">
        <v>236</v>
      </c>
      <c r="B24" s="9" t="s">
        <v>236</v>
      </c>
      <c r="C24" s="9" t="s">
        <v>118</v>
      </c>
      <c r="D24" s="9" t="s">
        <v>173</v>
      </c>
      <c r="E24" s="11">
        <v>44991</v>
      </c>
      <c r="F24" s="9" t="s">
        <v>201</v>
      </c>
      <c r="G24" s="12">
        <f t="shared" si="0"/>
        <v>3.8246575342465752</v>
      </c>
      <c r="H24" s="13">
        <f>COUNTIFS(tbl_matriz[ID_Pessoa],A24,tbl_matriz[Lacuna],"&gt;0")</f>
        <v>2</v>
      </c>
      <c r="I24" s="14" t="str">
        <f t="shared" si="1"/>
        <v>Com tutor</v>
      </c>
    </row>
    <row r="25" spans="1:9" ht="16.05" customHeight="1" x14ac:dyDescent="0.3">
      <c r="A25" s="9" t="s">
        <v>237</v>
      </c>
      <c r="B25" s="9" t="s">
        <v>237</v>
      </c>
      <c r="C25" s="9" t="s">
        <v>118</v>
      </c>
      <c r="D25" s="9" t="s">
        <v>173</v>
      </c>
      <c r="E25" s="11">
        <v>46188</v>
      </c>
      <c r="F25" s="9" t="s">
        <v>229</v>
      </c>
      <c r="G25" s="12">
        <f t="shared" si="0"/>
        <v>0.54520547945205478</v>
      </c>
      <c r="H25" s="13">
        <f>COUNTIFS(tbl_matriz[ID_Pessoa],A25,tbl_matriz[Lacuna],"&gt;0")</f>
        <v>1</v>
      </c>
      <c r="I25" s="14" t="str">
        <f t="shared" si="1"/>
        <v>Com tutor</v>
      </c>
    </row>
    <row r="26" spans="1:9" ht="16.05" customHeight="1" x14ac:dyDescent="0.3">
      <c r="A26" s="9" t="s">
        <v>238</v>
      </c>
      <c r="B26" s="9" t="s">
        <v>238</v>
      </c>
      <c r="C26" s="9" t="s">
        <v>118</v>
      </c>
      <c r="D26" s="9" t="s">
        <v>173</v>
      </c>
      <c r="E26" s="11">
        <v>46188</v>
      </c>
      <c r="F26" s="9" t="s">
        <v>229</v>
      </c>
      <c r="G26" s="12">
        <f t="shared" si="0"/>
        <v>0.54520547945205478</v>
      </c>
      <c r="H26" s="13">
        <f>COUNTIFS(tbl_matriz[ID_Pessoa],A26,tbl_matriz[Lacuna],"&gt;0")</f>
        <v>0</v>
      </c>
      <c r="I26" s="14" t="str">
        <f t="shared" si="1"/>
        <v>Sim</v>
      </c>
    </row>
    <row r="27" spans="1:9" ht="16.05" customHeight="1" x14ac:dyDescent="0.3">
      <c r="A27" s="9" t="s">
        <v>239</v>
      </c>
      <c r="B27" s="9" t="s">
        <v>239</v>
      </c>
      <c r="C27" s="9" t="s">
        <v>121</v>
      </c>
      <c r="D27" s="9" t="s">
        <v>176</v>
      </c>
      <c r="E27" s="11">
        <v>41883</v>
      </c>
      <c r="F27" s="9" t="s">
        <v>201</v>
      </c>
      <c r="G27" s="12">
        <f t="shared" si="0"/>
        <v>12.33972602739726</v>
      </c>
      <c r="H27" s="13">
        <f>COUNTIFS(tbl_matriz[ID_Pessoa],A27,tbl_matriz[Lacuna],"&gt;0")</f>
        <v>0</v>
      </c>
      <c r="I27" s="14" t="str">
        <f t="shared" si="1"/>
        <v>Sim</v>
      </c>
    </row>
    <row r="28" spans="1:9" ht="16.05" customHeight="1" x14ac:dyDescent="0.3">
      <c r="A28" s="9" t="s">
        <v>240</v>
      </c>
      <c r="B28" s="9" t="s">
        <v>240</v>
      </c>
      <c r="C28" s="9" t="s">
        <v>121</v>
      </c>
      <c r="D28" s="9" t="s">
        <v>176</v>
      </c>
      <c r="E28" s="11">
        <v>45964</v>
      </c>
      <c r="F28" s="9" t="s">
        <v>229</v>
      </c>
      <c r="G28" s="12">
        <f t="shared" si="0"/>
        <v>1.1589041095890411</v>
      </c>
      <c r="H28" s="13">
        <f>COUNTIFS(tbl_matriz[ID_Pessoa],A28,tbl_matriz[Lacuna],"&gt;0")</f>
        <v>0</v>
      </c>
      <c r="I28" s="14" t="str">
        <f t="shared" si="1"/>
        <v>Sim</v>
      </c>
    </row>
    <row r="29" spans="1:9" ht="16.05" customHeight="1" x14ac:dyDescent="0.3">
      <c r="A29" s="9" t="s">
        <v>241</v>
      </c>
      <c r="B29" s="9" t="s">
        <v>241</v>
      </c>
      <c r="C29" s="9" t="s">
        <v>125</v>
      </c>
      <c r="D29" s="9" t="s">
        <v>178</v>
      </c>
      <c r="E29" s="11">
        <v>42751</v>
      </c>
      <c r="F29" s="9" t="s">
        <v>201</v>
      </c>
      <c r="G29" s="12">
        <f t="shared" si="0"/>
        <v>9.9616438356164387</v>
      </c>
      <c r="H29" s="13">
        <f>COUNTIFS(tbl_matriz[ID_Pessoa],A29,tbl_matriz[Lacuna],"&gt;0")</f>
        <v>0</v>
      </c>
      <c r="I29" s="14" t="str">
        <f t="shared" si="1"/>
        <v>Sim</v>
      </c>
    </row>
    <row r="30" spans="1:9" ht="16.05" customHeight="1" x14ac:dyDescent="0.3">
      <c r="A30" s="9" t="s">
        <v>242</v>
      </c>
      <c r="B30" s="9" t="s">
        <v>242</v>
      </c>
      <c r="C30" s="9" t="s">
        <v>125</v>
      </c>
      <c r="D30" s="9" t="s">
        <v>178</v>
      </c>
      <c r="E30" s="11">
        <v>44802</v>
      </c>
      <c r="F30" s="9" t="s">
        <v>201</v>
      </c>
      <c r="G30" s="12">
        <f t="shared" si="0"/>
        <v>4.3424657534246576</v>
      </c>
      <c r="H30" s="13">
        <f>COUNTIFS(tbl_matriz[ID_Pessoa],A30,tbl_matriz[Lacuna],"&gt;0")</f>
        <v>0</v>
      </c>
      <c r="I30" s="14" t="str">
        <f t="shared" si="1"/>
        <v>Sim</v>
      </c>
    </row>
  </sheetData>
  <conditionalFormatting sqref="F2:F230">
    <cfRule type="expression" dxfId="17" priority="3">
      <formula>ISNUMBER(SEARCH("Temporário",F2))</formula>
    </cfRule>
  </conditionalFormatting>
  <conditionalFormatting sqref="I2:I230">
    <cfRule type="expression" dxfId="16" priority="1">
      <formula>ISNUMBER(SEARCH("tutor",I2))</formula>
    </cfRule>
    <cfRule type="expression" dxfId="15" priority="2">
      <formula>ISNUMBER(SEARCH("Sim",I2))</formula>
    </cfRule>
  </conditionalFormatting>
  <dataValidations count="3">
    <dataValidation type="list" allowBlank="1" showErrorMessage="1" errorTitle="Valor inválido" error="Valor fora da lista controlada (ver folha Listas)." sqref="C2:C230" xr:uid="{00000000-0002-0000-0300-000000000000}">
      <formula1>lst_Funcao</formula1>
    </dataValidation>
    <dataValidation type="list" allowBlank="1" showErrorMessage="1" errorTitle="Valor inválido" error="Valor fora da lista controlada (ver folha Listas)." sqref="D2:D230" xr:uid="{00000000-0002-0000-0300-000001000000}">
      <formula1>lst_Processo</formula1>
    </dataValidation>
    <dataValidation type="list" allowBlank="1" showErrorMessage="1" errorTitle="Valor inválido" error="Valor fora da lista controlada (ver folha Listas)." sqref="F2:F230" xr:uid="{00000000-0002-0000-0300-000002000000}">
      <formula1>lst_Vinculo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4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6" customWidth="1"/>
    <col min="3" max="3" width="24" customWidth="1"/>
    <col min="4" max="4" width="7" customWidth="1"/>
    <col min="5" max="5" width="9" customWidth="1"/>
    <col min="6" max="6" width="34" customWidth="1"/>
    <col min="7" max="8" width="8" customWidth="1"/>
    <col min="9" max="9" width="7" customWidth="1"/>
    <col min="10" max="10" width="12" customWidth="1"/>
    <col min="11" max="11" width="11" customWidth="1"/>
    <col min="12" max="12" width="22" customWidth="1"/>
    <col min="13" max="13" width="11" customWidth="1"/>
  </cols>
  <sheetData>
    <row r="1" spans="1:13" ht="17.399999999999999" x14ac:dyDescent="0.3">
      <c r="A1" s="1" t="s">
        <v>243</v>
      </c>
    </row>
    <row r="2" spans="1:13" x14ac:dyDescent="0.3">
      <c r="A2" s="2" t="s">
        <v>244</v>
      </c>
    </row>
    <row r="4" spans="1:13" ht="39.6" x14ac:dyDescent="0.3">
      <c r="A4" s="8" t="s">
        <v>192</v>
      </c>
      <c r="B4" s="8" t="s">
        <v>193</v>
      </c>
      <c r="C4" s="8" t="s">
        <v>83</v>
      </c>
      <c r="D4" s="8" t="s">
        <v>151</v>
      </c>
      <c r="E4" s="8" t="s">
        <v>149</v>
      </c>
      <c r="F4" s="10" t="s">
        <v>150</v>
      </c>
      <c r="G4" s="8" t="s">
        <v>245</v>
      </c>
      <c r="H4" s="8" t="s">
        <v>246</v>
      </c>
      <c r="I4" s="10" t="s">
        <v>247</v>
      </c>
      <c r="J4" s="10" t="s">
        <v>14</v>
      </c>
      <c r="K4" s="8" t="s">
        <v>248</v>
      </c>
      <c r="L4" s="8" t="s">
        <v>249</v>
      </c>
      <c r="M4" s="10" t="s">
        <v>250</v>
      </c>
    </row>
    <row r="5" spans="1:13" ht="16.05" customHeight="1" x14ac:dyDescent="0.3">
      <c r="A5" s="9" t="s">
        <v>199</v>
      </c>
      <c r="B5" s="9" t="s">
        <v>200</v>
      </c>
      <c r="C5" s="9" t="s">
        <v>94</v>
      </c>
      <c r="D5" s="9" t="s">
        <v>154</v>
      </c>
      <c r="E5" s="9" t="s">
        <v>152</v>
      </c>
      <c r="F5" s="14" t="str">
        <f>IFERROR(INDEX(tbl_competencias[Competencia],MATCH(E5,tbl_competencias[ID_Competencia],0)),"")</f>
        <v>Inspeção visual em cabine D65 (defeitos por atributos)</v>
      </c>
      <c r="G5" s="15">
        <v>3</v>
      </c>
      <c r="H5" s="15">
        <v>4</v>
      </c>
      <c r="I5" s="13">
        <f t="shared" ref="I5:I36" si="0">MAX(0,G5-H5)</f>
        <v>0</v>
      </c>
      <c r="J5" s="14" t="str">
        <f t="shared" ref="J5:J36" si="1">IF(I5=0,IF(H5&gt;=4,"Formador","Qualificado"),IF(H5&gt;=G5-1,"Em formação","Lacuna"))</f>
        <v>Formador</v>
      </c>
      <c r="K5" s="11">
        <v>46184</v>
      </c>
      <c r="L5" s="9" t="s">
        <v>11</v>
      </c>
      <c r="M5" s="16">
        <f t="shared" ref="M5:M36" si="2">IF(K5="","",EDATE(K5,24))</f>
        <v>46915</v>
      </c>
    </row>
    <row r="6" spans="1:13" ht="16.05" customHeight="1" x14ac:dyDescent="0.3">
      <c r="A6" s="9" t="s">
        <v>199</v>
      </c>
      <c r="B6" s="9" t="s">
        <v>200</v>
      </c>
      <c r="C6" s="9" t="s">
        <v>94</v>
      </c>
      <c r="D6" s="9" t="s">
        <v>154</v>
      </c>
      <c r="E6" s="9" t="s">
        <v>155</v>
      </c>
      <c r="F6" s="14" t="str">
        <f>IFERROR(INDEX(tbl_competencias[Competencia],MATCH(E6,tbl_competencias[ID_Competencia],0)),"")</f>
        <v>Amostragem de aceitação ISO 2859-1:2026 e ISO 3951</v>
      </c>
      <c r="G6" s="15">
        <v>3</v>
      </c>
      <c r="H6" s="15">
        <v>4</v>
      </c>
      <c r="I6" s="13">
        <f t="shared" si="0"/>
        <v>0</v>
      </c>
      <c r="J6" s="14" t="str">
        <f t="shared" si="1"/>
        <v>Formador</v>
      </c>
      <c r="K6" s="11">
        <v>46250</v>
      </c>
      <c r="L6" s="9" t="s">
        <v>11</v>
      </c>
      <c r="M6" s="16">
        <f t="shared" si="2"/>
        <v>46981</v>
      </c>
    </row>
    <row r="7" spans="1:13" ht="16.05" customHeight="1" x14ac:dyDescent="0.3">
      <c r="A7" s="9" t="s">
        <v>199</v>
      </c>
      <c r="B7" s="9" t="s">
        <v>200</v>
      </c>
      <c r="C7" s="9" t="s">
        <v>94</v>
      </c>
      <c r="D7" s="9" t="s">
        <v>154</v>
      </c>
      <c r="E7" s="9" t="s">
        <v>157</v>
      </c>
      <c r="F7" s="14" t="str">
        <f>IFERROR(INDEX(tbl_competencias[Competencia],MATCH(E7,tbl_competencias[ID_Competencia],0)),"")</f>
        <v>Medição dimensional e de peso (paquímetro, calibres, balança)</v>
      </c>
      <c r="G7" s="15">
        <v>3</v>
      </c>
      <c r="H7" s="15">
        <v>3</v>
      </c>
      <c r="I7" s="13">
        <f t="shared" si="0"/>
        <v>0</v>
      </c>
      <c r="J7" s="14" t="str">
        <f t="shared" si="1"/>
        <v>Qualificado</v>
      </c>
      <c r="K7" s="11">
        <v>46285</v>
      </c>
      <c r="L7" s="9" t="s">
        <v>11</v>
      </c>
      <c r="M7" s="16">
        <f t="shared" si="2"/>
        <v>47016</v>
      </c>
    </row>
    <row r="8" spans="1:13" ht="16.05" customHeight="1" x14ac:dyDescent="0.3">
      <c r="A8" s="9" t="s">
        <v>199</v>
      </c>
      <c r="B8" s="9" t="s">
        <v>200</v>
      </c>
      <c r="C8" s="9" t="s">
        <v>94</v>
      </c>
      <c r="D8" s="9" t="s">
        <v>154</v>
      </c>
      <c r="E8" s="9" t="s">
        <v>159</v>
      </c>
      <c r="F8" s="14" t="str">
        <f>IFERROR(INDEX(tbl_competencias[Competencia],MATCH(E8,tbl_competencias[ID_Competencia],0)),"")</f>
        <v>SPC: cartas X̄-R e reação a pontos fora de controlo</v>
      </c>
      <c r="G8" s="15">
        <v>2</v>
      </c>
      <c r="H8" s="15">
        <v>2</v>
      </c>
      <c r="I8" s="13">
        <f t="shared" si="0"/>
        <v>0</v>
      </c>
      <c r="J8" s="14" t="str">
        <f t="shared" si="1"/>
        <v>Qualificado</v>
      </c>
      <c r="K8" s="11">
        <v>46241</v>
      </c>
      <c r="L8" s="9" t="s">
        <v>11</v>
      </c>
      <c r="M8" s="16">
        <f t="shared" si="2"/>
        <v>46972</v>
      </c>
    </row>
    <row r="9" spans="1:13" ht="16.05" customHeight="1" x14ac:dyDescent="0.3">
      <c r="A9" s="9" t="s">
        <v>199</v>
      </c>
      <c r="B9" s="9" t="s">
        <v>200</v>
      </c>
      <c r="C9" s="9" t="s">
        <v>94</v>
      </c>
      <c r="D9" s="9" t="s">
        <v>154</v>
      </c>
      <c r="E9" s="9" t="s">
        <v>161</v>
      </c>
      <c r="F9" s="14" t="str">
        <f>IFERROR(INDEX(tbl_competencias[Competencia],MATCH(E9,tbl_competencias[ID_Competencia],0)),"")</f>
        <v>Ensaios de estanquidade e de anel de inviolabilidade</v>
      </c>
      <c r="G9" s="15">
        <v>2</v>
      </c>
      <c r="H9" s="15">
        <v>2</v>
      </c>
      <c r="I9" s="13">
        <f t="shared" si="0"/>
        <v>0</v>
      </c>
      <c r="J9" s="14" t="str">
        <f t="shared" si="1"/>
        <v>Qualificado</v>
      </c>
      <c r="K9" s="11">
        <v>46348</v>
      </c>
      <c r="L9" s="9" t="s">
        <v>11</v>
      </c>
      <c r="M9" s="16">
        <f t="shared" si="2"/>
        <v>47079</v>
      </c>
    </row>
    <row r="10" spans="1:13" ht="16.05" customHeight="1" x14ac:dyDescent="0.3">
      <c r="A10" s="9" t="s">
        <v>199</v>
      </c>
      <c r="B10" s="9" t="s">
        <v>200</v>
      </c>
      <c r="C10" s="9" t="s">
        <v>94</v>
      </c>
      <c r="D10" s="9" t="s">
        <v>154</v>
      </c>
      <c r="E10" s="9" t="s">
        <v>182</v>
      </c>
      <c r="F10" s="14" t="str">
        <f>IFERROR(INDEX(tbl_competencias[Competencia],MATCH(E10,tbl_competencias[ID_Competencia],0)),"")</f>
        <v>Boas práticas de fabrico e higiene (alimentar / farmacêutico)</v>
      </c>
      <c r="G10" s="15">
        <v>2</v>
      </c>
      <c r="H10" s="15">
        <v>3</v>
      </c>
      <c r="I10" s="13">
        <f t="shared" si="0"/>
        <v>0</v>
      </c>
      <c r="J10" s="14" t="str">
        <f t="shared" si="1"/>
        <v>Qualificado</v>
      </c>
      <c r="K10" s="11">
        <v>46258</v>
      </c>
      <c r="L10" s="9" t="s">
        <v>11</v>
      </c>
      <c r="M10" s="16">
        <f t="shared" si="2"/>
        <v>46989</v>
      </c>
    </row>
    <row r="11" spans="1:13" ht="16.05" customHeight="1" x14ac:dyDescent="0.3">
      <c r="A11" s="9" t="s">
        <v>199</v>
      </c>
      <c r="B11" s="9" t="s">
        <v>200</v>
      </c>
      <c r="C11" s="9" t="s">
        <v>94</v>
      </c>
      <c r="D11" s="9" t="s">
        <v>154</v>
      </c>
      <c r="E11" s="9" t="s">
        <v>185</v>
      </c>
      <c r="F11" s="14" t="str">
        <f>IFERROR(INDEX(tbl_competencias[Competencia],MATCH(E11,tbl_competencias[ID_Competencia],0)),"")</f>
        <v>Integridade de dados (ALCOA+) nos registos de qualidade</v>
      </c>
      <c r="G11" s="15">
        <v>3</v>
      </c>
      <c r="H11" s="15">
        <v>3</v>
      </c>
      <c r="I11" s="13">
        <f t="shared" si="0"/>
        <v>0</v>
      </c>
      <c r="J11" s="14" t="str">
        <f t="shared" si="1"/>
        <v>Qualificado</v>
      </c>
      <c r="K11" s="11">
        <v>46205</v>
      </c>
      <c r="L11" s="9" t="s">
        <v>11</v>
      </c>
      <c r="M11" s="16">
        <f t="shared" si="2"/>
        <v>46936</v>
      </c>
    </row>
    <row r="12" spans="1:13" ht="16.05" customHeight="1" x14ac:dyDescent="0.3">
      <c r="A12" s="9" t="s">
        <v>199</v>
      </c>
      <c r="B12" s="9" t="s">
        <v>200</v>
      </c>
      <c r="C12" s="9" t="s">
        <v>94</v>
      </c>
      <c r="D12" s="9" t="s">
        <v>154</v>
      </c>
      <c r="E12" s="9" t="s">
        <v>188</v>
      </c>
      <c r="F12" s="14" t="str">
        <f>IFERROR(INDEX(tbl_competencias[Competencia],MATCH(E12,tbl_competencias[ID_Competencia],0)),"")</f>
        <v>Resolução de problemas: 5 Porquês, Ishikawa, 8D</v>
      </c>
      <c r="G12" s="15">
        <v>2</v>
      </c>
      <c r="H12" s="15">
        <v>2</v>
      </c>
      <c r="I12" s="13">
        <f t="shared" si="0"/>
        <v>0</v>
      </c>
      <c r="J12" s="14" t="str">
        <f t="shared" si="1"/>
        <v>Qualificado</v>
      </c>
      <c r="K12" s="11">
        <v>46048</v>
      </c>
      <c r="L12" s="9" t="s">
        <v>11</v>
      </c>
      <c r="M12" s="16">
        <f t="shared" si="2"/>
        <v>46778</v>
      </c>
    </row>
    <row r="13" spans="1:13" ht="16.05" customHeight="1" x14ac:dyDescent="0.3">
      <c r="A13" s="9" t="s">
        <v>199</v>
      </c>
      <c r="B13" s="9" t="s">
        <v>200</v>
      </c>
      <c r="C13" s="9" t="s">
        <v>94</v>
      </c>
      <c r="D13" s="9" t="s">
        <v>154</v>
      </c>
      <c r="E13" s="9" t="s">
        <v>190</v>
      </c>
      <c r="F13" s="14" t="str">
        <f>IFERROR(INDEX(tbl_competencias[Competencia],MATCH(E13,tbl_competencias[ID_Competencia],0)),"")</f>
        <v>Auditoria interna ISO 19011:2026</v>
      </c>
      <c r="G13" s="15">
        <v>2</v>
      </c>
      <c r="H13" s="15">
        <v>3</v>
      </c>
      <c r="I13" s="13">
        <f t="shared" si="0"/>
        <v>0</v>
      </c>
      <c r="J13" s="14" t="str">
        <f t="shared" si="1"/>
        <v>Qualificado</v>
      </c>
      <c r="K13" s="11">
        <v>46169</v>
      </c>
      <c r="L13" s="9" t="s">
        <v>11</v>
      </c>
      <c r="M13" s="16">
        <f t="shared" si="2"/>
        <v>46900</v>
      </c>
    </row>
    <row r="14" spans="1:13" ht="16.05" customHeight="1" x14ac:dyDescent="0.3">
      <c r="A14" s="9" t="s">
        <v>202</v>
      </c>
      <c r="B14" s="9" t="s">
        <v>203</v>
      </c>
      <c r="C14" s="9" t="s">
        <v>94</v>
      </c>
      <c r="D14" s="9" t="s">
        <v>154</v>
      </c>
      <c r="E14" s="9" t="s">
        <v>152</v>
      </c>
      <c r="F14" s="14" t="str">
        <f>IFERROR(INDEX(tbl_competencias[Competencia],MATCH(E14,tbl_competencias[ID_Competencia],0)),"")</f>
        <v>Inspeção visual em cabine D65 (defeitos por atributos)</v>
      </c>
      <c r="G14" s="15">
        <v>3</v>
      </c>
      <c r="H14" s="15">
        <v>4</v>
      </c>
      <c r="I14" s="13">
        <f t="shared" si="0"/>
        <v>0</v>
      </c>
      <c r="J14" s="14" t="str">
        <f t="shared" si="1"/>
        <v>Formador</v>
      </c>
      <c r="K14" s="11">
        <v>46287</v>
      </c>
      <c r="L14" s="9" t="s">
        <v>11</v>
      </c>
      <c r="M14" s="16">
        <f t="shared" si="2"/>
        <v>47018</v>
      </c>
    </row>
    <row r="15" spans="1:13" ht="16.05" customHeight="1" x14ac:dyDescent="0.3">
      <c r="A15" s="9" t="s">
        <v>202</v>
      </c>
      <c r="B15" s="9" t="s">
        <v>203</v>
      </c>
      <c r="C15" s="9" t="s">
        <v>94</v>
      </c>
      <c r="D15" s="9" t="s">
        <v>154</v>
      </c>
      <c r="E15" s="9" t="s">
        <v>155</v>
      </c>
      <c r="F15" s="14" t="str">
        <f>IFERROR(INDEX(tbl_competencias[Competencia],MATCH(E15,tbl_competencias[ID_Competencia],0)),"")</f>
        <v>Amostragem de aceitação ISO 2859-1:2026 e ISO 3951</v>
      </c>
      <c r="G15" s="15">
        <v>3</v>
      </c>
      <c r="H15" s="15">
        <v>3</v>
      </c>
      <c r="I15" s="13">
        <f t="shared" si="0"/>
        <v>0</v>
      </c>
      <c r="J15" s="14" t="str">
        <f t="shared" si="1"/>
        <v>Qualificado</v>
      </c>
      <c r="K15" s="11">
        <v>46349</v>
      </c>
      <c r="L15" s="9" t="s">
        <v>11</v>
      </c>
      <c r="M15" s="16">
        <f t="shared" si="2"/>
        <v>47080</v>
      </c>
    </row>
    <row r="16" spans="1:13" ht="16.05" customHeight="1" x14ac:dyDescent="0.3">
      <c r="A16" s="9" t="s">
        <v>202</v>
      </c>
      <c r="B16" s="9" t="s">
        <v>203</v>
      </c>
      <c r="C16" s="9" t="s">
        <v>94</v>
      </c>
      <c r="D16" s="9" t="s">
        <v>154</v>
      </c>
      <c r="E16" s="9" t="s">
        <v>157</v>
      </c>
      <c r="F16" s="14" t="str">
        <f>IFERROR(INDEX(tbl_competencias[Competencia],MATCH(E16,tbl_competencias[ID_Competencia],0)),"")</f>
        <v>Medição dimensional e de peso (paquímetro, calibres, balança)</v>
      </c>
      <c r="G16" s="15">
        <v>3</v>
      </c>
      <c r="H16" s="15">
        <v>4</v>
      </c>
      <c r="I16" s="13">
        <f t="shared" si="0"/>
        <v>0</v>
      </c>
      <c r="J16" s="14" t="str">
        <f t="shared" si="1"/>
        <v>Formador</v>
      </c>
      <c r="K16" s="11">
        <v>46139</v>
      </c>
      <c r="L16" s="9" t="s">
        <v>11</v>
      </c>
      <c r="M16" s="16">
        <f t="shared" si="2"/>
        <v>46870</v>
      </c>
    </row>
    <row r="17" spans="1:13" ht="16.05" customHeight="1" x14ac:dyDescent="0.3">
      <c r="A17" s="9" t="s">
        <v>202</v>
      </c>
      <c r="B17" s="9" t="s">
        <v>203</v>
      </c>
      <c r="C17" s="9" t="s">
        <v>94</v>
      </c>
      <c r="D17" s="9" t="s">
        <v>154</v>
      </c>
      <c r="E17" s="9" t="s">
        <v>159</v>
      </c>
      <c r="F17" s="14" t="str">
        <f>IFERROR(INDEX(tbl_competencias[Competencia],MATCH(E17,tbl_competencias[ID_Competencia],0)),"")</f>
        <v>SPC: cartas X̄-R e reação a pontos fora de controlo</v>
      </c>
      <c r="G17" s="15">
        <v>2</v>
      </c>
      <c r="H17" s="15">
        <v>3</v>
      </c>
      <c r="I17" s="13">
        <f t="shared" si="0"/>
        <v>0</v>
      </c>
      <c r="J17" s="14" t="str">
        <f t="shared" si="1"/>
        <v>Qualificado</v>
      </c>
      <c r="K17" s="11">
        <v>46152</v>
      </c>
      <c r="L17" s="9" t="s">
        <v>11</v>
      </c>
      <c r="M17" s="16">
        <f t="shared" si="2"/>
        <v>46883</v>
      </c>
    </row>
    <row r="18" spans="1:13" ht="16.05" customHeight="1" x14ac:dyDescent="0.3">
      <c r="A18" s="9" t="s">
        <v>202</v>
      </c>
      <c r="B18" s="9" t="s">
        <v>203</v>
      </c>
      <c r="C18" s="9" t="s">
        <v>94</v>
      </c>
      <c r="D18" s="9" t="s">
        <v>154</v>
      </c>
      <c r="E18" s="9" t="s">
        <v>161</v>
      </c>
      <c r="F18" s="14" t="str">
        <f>IFERROR(INDEX(tbl_competencias[Competencia],MATCH(E18,tbl_competencias[ID_Competencia],0)),"")</f>
        <v>Ensaios de estanquidade e de anel de inviolabilidade</v>
      </c>
      <c r="G18" s="15">
        <v>2</v>
      </c>
      <c r="H18" s="15">
        <v>1</v>
      </c>
      <c r="I18" s="13">
        <f t="shared" si="0"/>
        <v>1</v>
      </c>
      <c r="J18" s="14" t="str">
        <f t="shared" si="1"/>
        <v>Em formação</v>
      </c>
      <c r="K18" s="11"/>
      <c r="L18" s="9"/>
      <c r="M18" s="16" t="str">
        <f t="shared" si="2"/>
        <v/>
      </c>
    </row>
    <row r="19" spans="1:13" ht="16.05" customHeight="1" x14ac:dyDescent="0.3">
      <c r="A19" s="9" t="s">
        <v>202</v>
      </c>
      <c r="B19" s="9" t="s">
        <v>203</v>
      </c>
      <c r="C19" s="9" t="s">
        <v>94</v>
      </c>
      <c r="D19" s="9" t="s">
        <v>154</v>
      </c>
      <c r="E19" s="9" t="s">
        <v>182</v>
      </c>
      <c r="F19" s="14" t="str">
        <f>IFERROR(INDEX(tbl_competencias[Competencia],MATCH(E19,tbl_competencias[ID_Competencia],0)),"")</f>
        <v>Boas práticas de fabrico e higiene (alimentar / farmacêutico)</v>
      </c>
      <c r="G19" s="15">
        <v>2</v>
      </c>
      <c r="H19" s="15">
        <v>3</v>
      </c>
      <c r="I19" s="13">
        <f t="shared" si="0"/>
        <v>0</v>
      </c>
      <c r="J19" s="14" t="str">
        <f t="shared" si="1"/>
        <v>Qualificado</v>
      </c>
      <c r="K19" s="11">
        <v>46166</v>
      </c>
      <c r="L19" s="9" t="s">
        <v>11</v>
      </c>
      <c r="M19" s="16">
        <f t="shared" si="2"/>
        <v>46897</v>
      </c>
    </row>
    <row r="20" spans="1:13" ht="16.05" customHeight="1" x14ac:dyDescent="0.3">
      <c r="A20" s="9" t="s">
        <v>202</v>
      </c>
      <c r="B20" s="9" t="s">
        <v>203</v>
      </c>
      <c r="C20" s="9" t="s">
        <v>94</v>
      </c>
      <c r="D20" s="9" t="s">
        <v>154</v>
      </c>
      <c r="E20" s="9" t="s">
        <v>185</v>
      </c>
      <c r="F20" s="14" t="str">
        <f>IFERROR(INDEX(tbl_competencias[Competencia],MATCH(E20,tbl_competencias[ID_Competencia],0)),"")</f>
        <v>Integridade de dados (ALCOA+) nos registos de qualidade</v>
      </c>
      <c r="G20" s="15">
        <v>3</v>
      </c>
      <c r="H20" s="15">
        <v>4</v>
      </c>
      <c r="I20" s="13">
        <f t="shared" si="0"/>
        <v>0</v>
      </c>
      <c r="J20" s="14" t="str">
        <f t="shared" si="1"/>
        <v>Formador</v>
      </c>
      <c r="K20" s="11">
        <v>46019</v>
      </c>
      <c r="L20" s="9" t="s">
        <v>11</v>
      </c>
      <c r="M20" s="16">
        <f t="shared" si="2"/>
        <v>46749</v>
      </c>
    </row>
    <row r="21" spans="1:13" ht="16.05" customHeight="1" x14ac:dyDescent="0.3">
      <c r="A21" s="9" t="s">
        <v>202</v>
      </c>
      <c r="B21" s="9" t="s">
        <v>203</v>
      </c>
      <c r="C21" s="9" t="s">
        <v>94</v>
      </c>
      <c r="D21" s="9" t="s">
        <v>154</v>
      </c>
      <c r="E21" s="9" t="s">
        <v>188</v>
      </c>
      <c r="F21" s="14" t="str">
        <f>IFERROR(INDEX(tbl_competencias[Competencia],MATCH(E21,tbl_competencias[ID_Competencia],0)),"")</f>
        <v>Resolução de problemas: 5 Porquês, Ishikawa, 8D</v>
      </c>
      <c r="G21" s="15">
        <v>2</v>
      </c>
      <c r="H21" s="15">
        <v>3</v>
      </c>
      <c r="I21" s="13">
        <f t="shared" si="0"/>
        <v>0</v>
      </c>
      <c r="J21" s="14" t="str">
        <f t="shared" si="1"/>
        <v>Qualificado</v>
      </c>
      <c r="K21" s="11">
        <v>45991</v>
      </c>
      <c r="L21" s="9" t="s">
        <v>11</v>
      </c>
      <c r="M21" s="16">
        <f t="shared" si="2"/>
        <v>46721</v>
      </c>
    </row>
    <row r="22" spans="1:13" ht="16.05" customHeight="1" x14ac:dyDescent="0.3">
      <c r="A22" s="9" t="s">
        <v>204</v>
      </c>
      <c r="B22" s="9" t="s">
        <v>205</v>
      </c>
      <c r="C22" s="9" t="s">
        <v>94</v>
      </c>
      <c r="D22" s="9" t="s">
        <v>154</v>
      </c>
      <c r="E22" s="9" t="s">
        <v>152</v>
      </c>
      <c r="F22" s="14" t="str">
        <f>IFERROR(INDEX(tbl_competencias[Competencia],MATCH(E22,tbl_competencias[ID_Competencia],0)),"")</f>
        <v>Inspeção visual em cabine D65 (defeitos por atributos)</v>
      </c>
      <c r="G22" s="15">
        <v>3</v>
      </c>
      <c r="H22" s="15">
        <v>4</v>
      </c>
      <c r="I22" s="13">
        <f t="shared" si="0"/>
        <v>0</v>
      </c>
      <c r="J22" s="14" t="str">
        <f t="shared" si="1"/>
        <v>Formador</v>
      </c>
      <c r="K22" s="11">
        <v>46096</v>
      </c>
      <c r="L22" s="9" t="s">
        <v>11</v>
      </c>
      <c r="M22" s="16">
        <f t="shared" si="2"/>
        <v>46827</v>
      </c>
    </row>
    <row r="23" spans="1:13" ht="16.05" customHeight="1" x14ac:dyDescent="0.3">
      <c r="A23" s="9" t="s">
        <v>204</v>
      </c>
      <c r="B23" s="9" t="s">
        <v>205</v>
      </c>
      <c r="C23" s="9" t="s">
        <v>94</v>
      </c>
      <c r="D23" s="9" t="s">
        <v>154</v>
      </c>
      <c r="E23" s="9" t="s">
        <v>155</v>
      </c>
      <c r="F23" s="14" t="str">
        <f>IFERROR(INDEX(tbl_competencias[Competencia],MATCH(E23,tbl_competencias[ID_Competencia],0)),"")</f>
        <v>Amostragem de aceitação ISO 2859-1:2026 e ISO 3951</v>
      </c>
      <c r="G23" s="15">
        <v>3</v>
      </c>
      <c r="H23" s="15">
        <v>4</v>
      </c>
      <c r="I23" s="13">
        <f t="shared" si="0"/>
        <v>0</v>
      </c>
      <c r="J23" s="14" t="str">
        <f t="shared" si="1"/>
        <v>Formador</v>
      </c>
      <c r="K23" s="11">
        <v>46318</v>
      </c>
      <c r="L23" s="9" t="s">
        <v>11</v>
      </c>
      <c r="M23" s="16">
        <f t="shared" si="2"/>
        <v>47049</v>
      </c>
    </row>
    <row r="24" spans="1:13" ht="16.05" customHeight="1" x14ac:dyDescent="0.3">
      <c r="A24" s="9" t="s">
        <v>204</v>
      </c>
      <c r="B24" s="9" t="s">
        <v>205</v>
      </c>
      <c r="C24" s="9" t="s">
        <v>94</v>
      </c>
      <c r="D24" s="9" t="s">
        <v>154</v>
      </c>
      <c r="E24" s="9" t="s">
        <v>157</v>
      </c>
      <c r="F24" s="14" t="str">
        <f>IFERROR(INDEX(tbl_competencias[Competencia],MATCH(E24,tbl_competencias[ID_Competencia],0)),"")</f>
        <v>Medição dimensional e de peso (paquímetro, calibres, balança)</v>
      </c>
      <c r="G24" s="15">
        <v>3</v>
      </c>
      <c r="H24" s="15">
        <v>3</v>
      </c>
      <c r="I24" s="13">
        <f t="shared" si="0"/>
        <v>0</v>
      </c>
      <c r="J24" s="14" t="str">
        <f t="shared" si="1"/>
        <v>Qualificado</v>
      </c>
      <c r="K24" s="11">
        <v>46074</v>
      </c>
      <c r="L24" s="9" t="s">
        <v>11</v>
      </c>
      <c r="M24" s="16">
        <f t="shared" si="2"/>
        <v>46804</v>
      </c>
    </row>
    <row r="25" spans="1:13" ht="16.05" customHeight="1" x14ac:dyDescent="0.3">
      <c r="A25" s="9" t="s">
        <v>204</v>
      </c>
      <c r="B25" s="9" t="s">
        <v>205</v>
      </c>
      <c r="C25" s="9" t="s">
        <v>94</v>
      </c>
      <c r="D25" s="9" t="s">
        <v>154</v>
      </c>
      <c r="E25" s="9" t="s">
        <v>159</v>
      </c>
      <c r="F25" s="14" t="str">
        <f>IFERROR(INDEX(tbl_competencias[Competencia],MATCH(E25,tbl_competencias[ID_Competencia],0)),"")</f>
        <v>SPC: cartas X̄-R e reação a pontos fora de controlo</v>
      </c>
      <c r="G25" s="15">
        <v>2</v>
      </c>
      <c r="H25" s="15">
        <v>3</v>
      </c>
      <c r="I25" s="13">
        <f t="shared" si="0"/>
        <v>0</v>
      </c>
      <c r="J25" s="14" t="str">
        <f t="shared" si="1"/>
        <v>Qualificado</v>
      </c>
      <c r="K25" s="11">
        <v>46123</v>
      </c>
      <c r="L25" s="9" t="s">
        <v>11</v>
      </c>
      <c r="M25" s="16">
        <f t="shared" si="2"/>
        <v>46854</v>
      </c>
    </row>
    <row r="26" spans="1:13" ht="16.05" customHeight="1" x14ac:dyDescent="0.3">
      <c r="A26" s="9" t="s">
        <v>204</v>
      </c>
      <c r="B26" s="9" t="s">
        <v>205</v>
      </c>
      <c r="C26" s="9" t="s">
        <v>94</v>
      </c>
      <c r="D26" s="9" t="s">
        <v>154</v>
      </c>
      <c r="E26" s="9" t="s">
        <v>161</v>
      </c>
      <c r="F26" s="14" t="str">
        <f>IFERROR(INDEX(tbl_competencias[Competencia],MATCH(E26,tbl_competencias[ID_Competencia],0)),"")</f>
        <v>Ensaios de estanquidade e de anel de inviolabilidade</v>
      </c>
      <c r="G26" s="15">
        <v>2</v>
      </c>
      <c r="H26" s="15">
        <v>2</v>
      </c>
      <c r="I26" s="13">
        <f t="shared" si="0"/>
        <v>0</v>
      </c>
      <c r="J26" s="14" t="str">
        <f t="shared" si="1"/>
        <v>Qualificado</v>
      </c>
      <c r="K26" s="11">
        <v>46322</v>
      </c>
      <c r="L26" s="9" t="s">
        <v>11</v>
      </c>
      <c r="M26" s="16">
        <f t="shared" si="2"/>
        <v>47053</v>
      </c>
    </row>
    <row r="27" spans="1:13" ht="16.05" customHeight="1" x14ac:dyDescent="0.3">
      <c r="A27" s="9" t="s">
        <v>204</v>
      </c>
      <c r="B27" s="9" t="s">
        <v>205</v>
      </c>
      <c r="C27" s="9" t="s">
        <v>94</v>
      </c>
      <c r="D27" s="9" t="s">
        <v>154</v>
      </c>
      <c r="E27" s="9" t="s">
        <v>182</v>
      </c>
      <c r="F27" s="14" t="str">
        <f>IFERROR(INDEX(tbl_competencias[Competencia],MATCH(E27,tbl_competencias[ID_Competencia],0)),"")</f>
        <v>Boas práticas de fabrico e higiene (alimentar / farmacêutico)</v>
      </c>
      <c r="G27" s="15">
        <v>2</v>
      </c>
      <c r="H27" s="15">
        <v>3</v>
      </c>
      <c r="I27" s="13">
        <f t="shared" si="0"/>
        <v>0</v>
      </c>
      <c r="J27" s="14" t="str">
        <f t="shared" si="1"/>
        <v>Qualificado</v>
      </c>
      <c r="K27" s="11">
        <v>46112</v>
      </c>
      <c r="L27" s="9" t="s">
        <v>11</v>
      </c>
      <c r="M27" s="16">
        <f t="shared" si="2"/>
        <v>46843</v>
      </c>
    </row>
    <row r="28" spans="1:13" ht="16.05" customHeight="1" x14ac:dyDescent="0.3">
      <c r="A28" s="9" t="s">
        <v>204</v>
      </c>
      <c r="B28" s="9" t="s">
        <v>205</v>
      </c>
      <c r="C28" s="9" t="s">
        <v>94</v>
      </c>
      <c r="D28" s="9" t="s">
        <v>154</v>
      </c>
      <c r="E28" s="9" t="s">
        <v>185</v>
      </c>
      <c r="F28" s="14" t="str">
        <f>IFERROR(INDEX(tbl_competencias[Competencia],MATCH(E28,tbl_competencias[ID_Competencia],0)),"")</f>
        <v>Integridade de dados (ALCOA+) nos registos de qualidade</v>
      </c>
      <c r="G28" s="15">
        <v>3</v>
      </c>
      <c r="H28" s="15">
        <v>4</v>
      </c>
      <c r="I28" s="13">
        <f t="shared" si="0"/>
        <v>0</v>
      </c>
      <c r="J28" s="14" t="str">
        <f t="shared" si="1"/>
        <v>Formador</v>
      </c>
      <c r="K28" s="11">
        <v>46095</v>
      </c>
      <c r="L28" s="9" t="s">
        <v>11</v>
      </c>
      <c r="M28" s="16">
        <f t="shared" si="2"/>
        <v>46826</v>
      </c>
    </row>
    <row r="29" spans="1:13" ht="16.05" customHeight="1" x14ac:dyDescent="0.3">
      <c r="A29" s="9" t="s">
        <v>204</v>
      </c>
      <c r="B29" s="9" t="s">
        <v>205</v>
      </c>
      <c r="C29" s="9" t="s">
        <v>94</v>
      </c>
      <c r="D29" s="9" t="s">
        <v>154</v>
      </c>
      <c r="E29" s="9" t="s">
        <v>188</v>
      </c>
      <c r="F29" s="14" t="str">
        <f>IFERROR(INDEX(tbl_competencias[Competencia],MATCH(E29,tbl_competencias[ID_Competencia],0)),"")</f>
        <v>Resolução de problemas: 5 Porquês, Ishikawa, 8D</v>
      </c>
      <c r="G29" s="15">
        <v>2</v>
      </c>
      <c r="H29" s="15">
        <v>3</v>
      </c>
      <c r="I29" s="13">
        <f t="shared" si="0"/>
        <v>0</v>
      </c>
      <c r="J29" s="14" t="str">
        <f t="shared" si="1"/>
        <v>Qualificado</v>
      </c>
      <c r="K29" s="11">
        <v>46126</v>
      </c>
      <c r="L29" s="9" t="s">
        <v>11</v>
      </c>
      <c r="M29" s="16">
        <f t="shared" si="2"/>
        <v>46857</v>
      </c>
    </row>
    <row r="30" spans="1:13" ht="16.05" customHeight="1" x14ac:dyDescent="0.3">
      <c r="A30" s="9" t="s">
        <v>204</v>
      </c>
      <c r="B30" s="9" t="s">
        <v>205</v>
      </c>
      <c r="C30" s="9" t="s">
        <v>94</v>
      </c>
      <c r="D30" s="9" t="s">
        <v>154</v>
      </c>
      <c r="E30" s="9" t="s">
        <v>190</v>
      </c>
      <c r="F30" s="14" t="str">
        <f>IFERROR(INDEX(tbl_competencias[Competencia],MATCH(E30,tbl_competencias[ID_Competencia],0)),"")</f>
        <v>Auditoria interna ISO 19011:2026</v>
      </c>
      <c r="G30" s="15">
        <v>2</v>
      </c>
      <c r="H30" s="15">
        <v>3</v>
      </c>
      <c r="I30" s="13">
        <f t="shared" si="0"/>
        <v>0</v>
      </c>
      <c r="J30" s="14" t="str">
        <f t="shared" si="1"/>
        <v>Qualificado</v>
      </c>
      <c r="K30" s="11">
        <v>46349</v>
      </c>
      <c r="L30" s="9" t="s">
        <v>11</v>
      </c>
      <c r="M30" s="16">
        <f t="shared" si="2"/>
        <v>47080</v>
      </c>
    </row>
    <row r="31" spans="1:13" ht="16.05" customHeight="1" x14ac:dyDescent="0.3">
      <c r="A31" s="9" t="s">
        <v>206</v>
      </c>
      <c r="B31" s="9" t="s">
        <v>207</v>
      </c>
      <c r="C31" s="9" t="s">
        <v>94</v>
      </c>
      <c r="D31" s="9" t="s">
        <v>154</v>
      </c>
      <c r="E31" s="9" t="s">
        <v>152</v>
      </c>
      <c r="F31" s="14" t="str">
        <f>IFERROR(INDEX(tbl_competencias[Competencia],MATCH(E31,tbl_competencias[ID_Competencia],0)),"")</f>
        <v>Inspeção visual em cabine D65 (defeitos por atributos)</v>
      </c>
      <c r="G31" s="15">
        <v>3</v>
      </c>
      <c r="H31" s="15">
        <v>4</v>
      </c>
      <c r="I31" s="13">
        <f t="shared" si="0"/>
        <v>0</v>
      </c>
      <c r="J31" s="14" t="str">
        <f t="shared" si="1"/>
        <v>Formador</v>
      </c>
      <c r="K31" s="11">
        <v>46033</v>
      </c>
      <c r="L31" s="9" t="s">
        <v>11</v>
      </c>
      <c r="M31" s="16">
        <f t="shared" si="2"/>
        <v>46763</v>
      </c>
    </row>
    <row r="32" spans="1:13" ht="16.05" customHeight="1" x14ac:dyDescent="0.3">
      <c r="A32" s="9" t="s">
        <v>206</v>
      </c>
      <c r="B32" s="9" t="s">
        <v>207</v>
      </c>
      <c r="C32" s="9" t="s">
        <v>94</v>
      </c>
      <c r="D32" s="9" t="s">
        <v>154</v>
      </c>
      <c r="E32" s="9" t="s">
        <v>155</v>
      </c>
      <c r="F32" s="14" t="str">
        <f>IFERROR(INDEX(tbl_competencias[Competencia],MATCH(E32,tbl_competencias[ID_Competencia],0)),"")</f>
        <v>Amostragem de aceitação ISO 2859-1:2026 e ISO 3951</v>
      </c>
      <c r="G32" s="15">
        <v>3</v>
      </c>
      <c r="H32" s="15">
        <v>3</v>
      </c>
      <c r="I32" s="13">
        <f t="shared" si="0"/>
        <v>0</v>
      </c>
      <c r="J32" s="14" t="str">
        <f t="shared" si="1"/>
        <v>Qualificado</v>
      </c>
      <c r="K32" s="11">
        <v>46266</v>
      </c>
      <c r="L32" s="9" t="s">
        <v>11</v>
      </c>
      <c r="M32" s="16">
        <f t="shared" si="2"/>
        <v>46997</v>
      </c>
    </row>
    <row r="33" spans="1:13" ht="16.05" customHeight="1" x14ac:dyDescent="0.3">
      <c r="A33" s="9" t="s">
        <v>206</v>
      </c>
      <c r="B33" s="9" t="s">
        <v>207</v>
      </c>
      <c r="C33" s="9" t="s">
        <v>94</v>
      </c>
      <c r="D33" s="9" t="s">
        <v>154</v>
      </c>
      <c r="E33" s="9" t="s">
        <v>157</v>
      </c>
      <c r="F33" s="14" t="str">
        <f>IFERROR(INDEX(tbl_competencias[Competencia],MATCH(E33,tbl_competencias[ID_Competencia],0)),"")</f>
        <v>Medição dimensional e de peso (paquímetro, calibres, balança)</v>
      </c>
      <c r="G33" s="15">
        <v>3</v>
      </c>
      <c r="H33" s="15">
        <v>3</v>
      </c>
      <c r="I33" s="13">
        <f t="shared" si="0"/>
        <v>0</v>
      </c>
      <c r="J33" s="14" t="str">
        <f t="shared" si="1"/>
        <v>Qualificado</v>
      </c>
      <c r="K33" s="11">
        <v>46152</v>
      </c>
      <c r="L33" s="9" t="s">
        <v>11</v>
      </c>
      <c r="M33" s="16">
        <f t="shared" si="2"/>
        <v>46883</v>
      </c>
    </row>
    <row r="34" spans="1:13" ht="16.05" customHeight="1" x14ac:dyDescent="0.3">
      <c r="A34" s="9" t="s">
        <v>206</v>
      </c>
      <c r="B34" s="9" t="s">
        <v>207</v>
      </c>
      <c r="C34" s="9" t="s">
        <v>94</v>
      </c>
      <c r="D34" s="9" t="s">
        <v>154</v>
      </c>
      <c r="E34" s="9" t="s">
        <v>159</v>
      </c>
      <c r="F34" s="14" t="str">
        <f>IFERROR(INDEX(tbl_competencias[Competencia],MATCH(E34,tbl_competencias[ID_Competencia],0)),"")</f>
        <v>SPC: cartas X̄-R e reação a pontos fora de controlo</v>
      </c>
      <c r="G34" s="15">
        <v>2</v>
      </c>
      <c r="H34" s="15">
        <v>2</v>
      </c>
      <c r="I34" s="13">
        <f t="shared" si="0"/>
        <v>0</v>
      </c>
      <c r="J34" s="14" t="str">
        <f t="shared" si="1"/>
        <v>Qualificado</v>
      </c>
      <c r="K34" s="11">
        <v>46166</v>
      </c>
      <c r="L34" s="9" t="s">
        <v>11</v>
      </c>
      <c r="M34" s="16">
        <f t="shared" si="2"/>
        <v>46897</v>
      </c>
    </row>
    <row r="35" spans="1:13" ht="16.05" customHeight="1" x14ac:dyDescent="0.3">
      <c r="A35" s="9" t="s">
        <v>206</v>
      </c>
      <c r="B35" s="9" t="s">
        <v>207</v>
      </c>
      <c r="C35" s="9" t="s">
        <v>94</v>
      </c>
      <c r="D35" s="9" t="s">
        <v>154</v>
      </c>
      <c r="E35" s="9" t="s">
        <v>161</v>
      </c>
      <c r="F35" s="14" t="str">
        <f>IFERROR(INDEX(tbl_competencias[Competencia],MATCH(E35,tbl_competencias[ID_Competencia],0)),"")</f>
        <v>Ensaios de estanquidade e de anel de inviolabilidade</v>
      </c>
      <c r="G35" s="15">
        <v>2</v>
      </c>
      <c r="H35" s="15">
        <v>1</v>
      </c>
      <c r="I35" s="13">
        <f t="shared" si="0"/>
        <v>1</v>
      </c>
      <c r="J35" s="14" t="str">
        <f t="shared" si="1"/>
        <v>Em formação</v>
      </c>
      <c r="K35" s="11"/>
      <c r="L35" s="9"/>
      <c r="M35" s="16" t="str">
        <f t="shared" si="2"/>
        <v/>
      </c>
    </row>
    <row r="36" spans="1:13" ht="16.05" customHeight="1" x14ac:dyDescent="0.3">
      <c r="A36" s="9" t="s">
        <v>206</v>
      </c>
      <c r="B36" s="9" t="s">
        <v>207</v>
      </c>
      <c r="C36" s="9" t="s">
        <v>94</v>
      </c>
      <c r="D36" s="9" t="s">
        <v>154</v>
      </c>
      <c r="E36" s="9" t="s">
        <v>182</v>
      </c>
      <c r="F36" s="14" t="str">
        <f>IFERROR(INDEX(tbl_competencias[Competencia],MATCH(E36,tbl_competencias[ID_Competencia],0)),"")</f>
        <v>Boas práticas de fabrico e higiene (alimentar / farmacêutico)</v>
      </c>
      <c r="G36" s="15">
        <v>2</v>
      </c>
      <c r="H36" s="15">
        <v>2</v>
      </c>
      <c r="I36" s="13">
        <f t="shared" si="0"/>
        <v>0</v>
      </c>
      <c r="J36" s="14" t="str">
        <f t="shared" si="1"/>
        <v>Qualificado</v>
      </c>
      <c r="K36" s="11">
        <v>46305</v>
      </c>
      <c r="L36" s="9" t="s">
        <v>11</v>
      </c>
      <c r="M36" s="16">
        <f t="shared" si="2"/>
        <v>47036</v>
      </c>
    </row>
    <row r="37" spans="1:13" ht="16.05" customHeight="1" x14ac:dyDescent="0.3">
      <c r="A37" s="9" t="s">
        <v>206</v>
      </c>
      <c r="B37" s="9" t="s">
        <v>207</v>
      </c>
      <c r="C37" s="9" t="s">
        <v>94</v>
      </c>
      <c r="D37" s="9" t="s">
        <v>154</v>
      </c>
      <c r="E37" s="9" t="s">
        <v>185</v>
      </c>
      <c r="F37" s="14" t="str">
        <f>IFERROR(INDEX(tbl_competencias[Competencia],MATCH(E37,tbl_competencias[ID_Competencia],0)),"")</f>
        <v>Integridade de dados (ALCOA+) nos registos de qualidade</v>
      </c>
      <c r="G37" s="15">
        <v>3</v>
      </c>
      <c r="H37" s="15">
        <v>3</v>
      </c>
      <c r="I37" s="13">
        <f t="shared" ref="I37:I68" si="3">MAX(0,G37-H37)</f>
        <v>0</v>
      </c>
      <c r="J37" s="14" t="str">
        <f t="shared" ref="J37:J68" si="4">IF(I37=0,IF(H37&gt;=4,"Formador","Qualificado"),IF(H37&gt;=G37-1,"Em formação","Lacuna"))</f>
        <v>Qualificado</v>
      </c>
      <c r="K37" s="11">
        <v>46078</v>
      </c>
      <c r="L37" s="9" t="s">
        <v>11</v>
      </c>
      <c r="M37" s="16">
        <f t="shared" ref="M37:M68" si="5">IF(K37="","",EDATE(K37,24))</f>
        <v>46808</v>
      </c>
    </row>
    <row r="38" spans="1:13" ht="16.05" customHeight="1" x14ac:dyDescent="0.3">
      <c r="A38" s="9" t="s">
        <v>206</v>
      </c>
      <c r="B38" s="9" t="s">
        <v>207</v>
      </c>
      <c r="C38" s="9" t="s">
        <v>94</v>
      </c>
      <c r="D38" s="9" t="s">
        <v>154</v>
      </c>
      <c r="E38" s="9" t="s">
        <v>188</v>
      </c>
      <c r="F38" s="14" t="str">
        <f>IFERROR(INDEX(tbl_competencias[Competencia],MATCH(E38,tbl_competencias[ID_Competencia],0)),"")</f>
        <v>Resolução de problemas: 5 Porquês, Ishikawa, 8D</v>
      </c>
      <c r="G38" s="15">
        <v>2</v>
      </c>
      <c r="H38" s="15">
        <v>3</v>
      </c>
      <c r="I38" s="13">
        <f t="shared" si="3"/>
        <v>0</v>
      </c>
      <c r="J38" s="14" t="str">
        <f t="shared" si="4"/>
        <v>Qualificado</v>
      </c>
      <c r="K38" s="11">
        <v>46068</v>
      </c>
      <c r="L38" s="9" t="s">
        <v>11</v>
      </c>
      <c r="M38" s="16">
        <f t="shared" si="5"/>
        <v>46798</v>
      </c>
    </row>
    <row r="39" spans="1:13" ht="16.05" customHeight="1" x14ac:dyDescent="0.3">
      <c r="A39" s="9" t="s">
        <v>208</v>
      </c>
      <c r="B39" s="9" t="s">
        <v>209</v>
      </c>
      <c r="C39" s="9" t="s">
        <v>100</v>
      </c>
      <c r="D39" s="9" t="s">
        <v>154</v>
      </c>
      <c r="E39" s="9" t="s">
        <v>157</v>
      </c>
      <c r="F39" s="14" t="str">
        <f>IFERROR(INDEX(tbl_competencias[Competencia],MATCH(E39,tbl_competencias[ID_Competencia],0)),"")</f>
        <v>Medição dimensional e de peso (paquímetro, calibres, balança)</v>
      </c>
      <c r="G39" s="15">
        <v>3</v>
      </c>
      <c r="H39" s="15">
        <v>3</v>
      </c>
      <c r="I39" s="13">
        <f t="shared" si="3"/>
        <v>0</v>
      </c>
      <c r="J39" s="14" t="str">
        <f t="shared" si="4"/>
        <v>Qualificado</v>
      </c>
      <c r="K39" s="11">
        <v>46124</v>
      </c>
      <c r="L39" s="9" t="s">
        <v>11</v>
      </c>
      <c r="M39" s="16">
        <f t="shared" si="5"/>
        <v>46855</v>
      </c>
    </row>
    <row r="40" spans="1:13" ht="16.05" customHeight="1" x14ac:dyDescent="0.3">
      <c r="A40" s="9" t="s">
        <v>208</v>
      </c>
      <c r="B40" s="9" t="s">
        <v>209</v>
      </c>
      <c r="C40" s="9" t="s">
        <v>100</v>
      </c>
      <c r="D40" s="9" t="s">
        <v>154</v>
      </c>
      <c r="E40" s="9" t="s">
        <v>161</v>
      </c>
      <c r="F40" s="14" t="str">
        <f>IFERROR(INDEX(tbl_competencias[Competencia],MATCH(E40,tbl_competencias[ID_Competencia],0)),"")</f>
        <v>Ensaios de estanquidade e de anel de inviolabilidade</v>
      </c>
      <c r="G40" s="15">
        <v>3</v>
      </c>
      <c r="H40" s="15">
        <v>3</v>
      </c>
      <c r="I40" s="13">
        <f t="shared" si="3"/>
        <v>0</v>
      </c>
      <c r="J40" s="14" t="str">
        <f t="shared" si="4"/>
        <v>Qualificado</v>
      </c>
      <c r="K40" s="11">
        <v>46303</v>
      </c>
      <c r="L40" s="9" t="s">
        <v>11</v>
      </c>
      <c r="M40" s="16">
        <f t="shared" si="5"/>
        <v>47034</v>
      </c>
    </row>
    <row r="41" spans="1:13" ht="16.05" customHeight="1" x14ac:dyDescent="0.3">
      <c r="A41" s="9" t="s">
        <v>208</v>
      </c>
      <c r="B41" s="9" t="s">
        <v>209</v>
      </c>
      <c r="C41" s="9" t="s">
        <v>100</v>
      </c>
      <c r="D41" s="9" t="s">
        <v>154</v>
      </c>
      <c r="E41" s="9" t="s">
        <v>163</v>
      </c>
      <c r="F41" s="14" t="str">
        <f>IFERROR(INDEX(tbl_competencias[Competencia],MATCH(E41,tbl_competencias[ID_Competencia],0)),"")</f>
        <v>Ensaio de migração (contacto alimentar) EN 1186</v>
      </c>
      <c r="G41" s="15">
        <v>3</v>
      </c>
      <c r="H41" s="15">
        <v>4</v>
      </c>
      <c r="I41" s="13">
        <f t="shared" si="3"/>
        <v>0</v>
      </c>
      <c r="J41" s="14" t="str">
        <f t="shared" si="4"/>
        <v>Formador</v>
      </c>
      <c r="K41" s="11">
        <v>46341</v>
      </c>
      <c r="L41" s="9" t="s">
        <v>11</v>
      </c>
      <c r="M41" s="16">
        <f t="shared" si="5"/>
        <v>47072</v>
      </c>
    </row>
    <row r="42" spans="1:13" ht="16.05" customHeight="1" x14ac:dyDescent="0.3">
      <c r="A42" s="9" t="s">
        <v>208</v>
      </c>
      <c r="B42" s="9" t="s">
        <v>209</v>
      </c>
      <c r="C42" s="9" t="s">
        <v>100</v>
      </c>
      <c r="D42" s="9" t="s">
        <v>154</v>
      </c>
      <c r="E42" s="9" t="s">
        <v>165</v>
      </c>
      <c r="F42" s="14" t="str">
        <f>IFERROR(INDEX(tbl_competencias[Competencia],MATCH(E42,tbl_competencias[ID_Competencia],0)),"")</f>
        <v>Metrologia: verificação, calibração e MSA (Gage R&amp;R)</v>
      </c>
      <c r="G42" s="15">
        <v>3</v>
      </c>
      <c r="H42" s="15">
        <v>4</v>
      </c>
      <c r="I42" s="13">
        <f t="shared" si="3"/>
        <v>0</v>
      </c>
      <c r="J42" s="14" t="str">
        <f t="shared" si="4"/>
        <v>Formador</v>
      </c>
      <c r="K42" s="11">
        <v>46136</v>
      </c>
      <c r="L42" s="9" t="s">
        <v>11</v>
      </c>
      <c r="M42" s="16">
        <f t="shared" si="5"/>
        <v>46867</v>
      </c>
    </row>
    <row r="43" spans="1:13" ht="16.05" customHeight="1" x14ac:dyDescent="0.3">
      <c r="A43" s="9" t="s">
        <v>208</v>
      </c>
      <c r="B43" s="9" t="s">
        <v>209</v>
      </c>
      <c r="C43" s="9" t="s">
        <v>100</v>
      </c>
      <c r="D43" s="9" t="s">
        <v>154</v>
      </c>
      <c r="E43" s="9" t="s">
        <v>182</v>
      </c>
      <c r="F43" s="14" t="str">
        <f>IFERROR(INDEX(tbl_competencias[Competencia],MATCH(E43,tbl_competencias[ID_Competencia],0)),"")</f>
        <v>Boas práticas de fabrico e higiene (alimentar / farmacêutico)</v>
      </c>
      <c r="G43" s="15">
        <v>2</v>
      </c>
      <c r="H43" s="15">
        <v>3</v>
      </c>
      <c r="I43" s="13">
        <f t="shared" si="3"/>
        <v>0</v>
      </c>
      <c r="J43" s="14" t="str">
        <f t="shared" si="4"/>
        <v>Qualificado</v>
      </c>
      <c r="K43" s="11">
        <v>46141</v>
      </c>
      <c r="L43" s="9" t="s">
        <v>11</v>
      </c>
      <c r="M43" s="16">
        <f t="shared" si="5"/>
        <v>46872</v>
      </c>
    </row>
    <row r="44" spans="1:13" ht="16.05" customHeight="1" x14ac:dyDescent="0.3">
      <c r="A44" s="9" t="s">
        <v>208</v>
      </c>
      <c r="B44" s="9" t="s">
        <v>209</v>
      </c>
      <c r="C44" s="9" t="s">
        <v>100</v>
      </c>
      <c r="D44" s="9" t="s">
        <v>154</v>
      </c>
      <c r="E44" s="9" t="s">
        <v>185</v>
      </c>
      <c r="F44" s="14" t="str">
        <f>IFERROR(INDEX(tbl_competencias[Competencia],MATCH(E44,tbl_competencias[ID_Competencia],0)),"")</f>
        <v>Integridade de dados (ALCOA+) nos registos de qualidade</v>
      </c>
      <c r="G44" s="15">
        <v>3</v>
      </c>
      <c r="H44" s="15">
        <v>3</v>
      </c>
      <c r="I44" s="13">
        <f t="shared" si="3"/>
        <v>0</v>
      </c>
      <c r="J44" s="14" t="str">
        <f t="shared" si="4"/>
        <v>Qualificado</v>
      </c>
      <c r="K44" s="11">
        <v>46021</v>
      </c>
      <c r="L44" s="9" t="s">
        <v>11</v>
      </c>
      <c r="M44" s="16">
        <f t="shared" si="5"/>
        <v>46751</v>
      </c>
    </row>
    <row r="45" spans="1:13" ht="16.05" customHeight="1" x14ac:dyDescent="0.3">
      <c r="A45" s="9" t="s">
        <v>208</v>
      </c>
      <c r="B45" s="9" t="s">
        <v>209</v>
      </c>
      <c r="C45" s="9" t="s">
        <v>100</v>
      </c>
      <c r="D45" s="9" t="s">
        <v>154</v>
      </c>
      <c r="E45" s="9" t="s">
        <v>188</v>
      </c>
      <c r="F45" s="14" t="str">
        <f>IFERROR(INDEX(tbl_competencias[Competencia],MATCH(E45,tbl_competencias[ID_Competencia],0)),"")</f>
        <v>Resolução de problemas: 5 Porquês, Ishikawa, 8D</v>
      </c>
      <c r="G45" s="15">
        <v>2</v>
      </c>
      <c r="H45" s="15">
        <v>3</v>
      </c>
      <c r="I45" s="13">
        <f t="shared" si="3"/>
        <v>0</v>
      </c>
      <c r="J45" s="14" t="str">
        <f t="shared" si="4"/>
        <v>Qualificado</v>
      </c>
      <c r="K45" s="11">
        <v>46096</v>
      </c>
      <c r="L45" s="9" t="s">
        <v>11</v>
      </c>
      <c r="M45" s="16">
        <f t="shared" si="5"/>
        <v>46827</v>
      </c>
    </row>
    <row r="46" spans="1:13" ht="16.05" customHeight="1" x14ac:dyDescent="0.3">
      <c r="A46" s="9" t="s">
        <v>208</v>
      </c>
      <c r="B46" s="9" t="s">
        <v>209</v>
      </c>
      <c r="C46" s="9" t="s">
        <v>100</v>
      </c>
      <c r="D46" s="9" t="s">
        <v>154</v>
      </c>
      <c r="E46" s="9" t="s">
        <v>190</v>
      </c>
      <c r="F46" s="14" t="str">
        <f>IFERROR(INDEX(tbl_competencias[Competencia],MATCH(E46,tbl_competencias[ID_Competencia],0)),"")</f>
        <v>Auditoria interna ISO 19011:2026</v>
      </c>
      <c r="G46" s="15">
        <v>2</v>
      </c>
      <c r="H46" s="15">
        <v>2</v>
      </c>
      <c r="I46" s="13">
        <f t="shared" si="3"/>
        <v>0</v>
      </c>
      <c r="J46" s="14" t="str">
        <f t="shared" si="4"/>
        <v>Qualificado</v>
      </c>
      <c r="K46" s="11">
        <v>46177</v>
      </c>
      <c r="L46" s="9" t="s">
        <v>11</v>
      </c>
      <c r="M46" s="16">
        <f t="shared" si="5"/>
        <v>46908</v>
      </c>
    </row>
    <row r="47" spans="1:13" ht="16.05" customHeight="1" x14ac:dyDescent="0.3">
      <c r="A47" s="9" t="s">
        <v>210</v>
      </c>
      <c r="B47" s="9" t="s">
        <v>211</v>
      </c>
      <c r="C47" s="9" t="s">
        <v>129</v>
      </c>
      <c r="D47" s="9" t="s">
        <v>181</v>
      </c>
      <c r="E47" s="9" t="s">
        <v>179</v>
      </c>
      <c r="F47" s="14" t="str">
        <f>IFERROR(INDEX(tbl_competencias[Competencia],MATCH(E47,tbl_competencias[ID_Competencia],0)),"")</f>
        <v>Afinação e manutenção de moldes</v>
      </c>
      <c r="G47" s="15">
        <v>3</v>
      </c>
      <c r="H47" s="15">
        <v>3</v>
      </c>
      <c r="I47" s="13">
        <f t="shared" si="3"/>
        <v>0</v>
      </c>
      <c r="J47" s="14" t="str">
        <f t="shared" si="4"/>
        <v>Qualificado</v>
      </c>
      <c r="K47" s="11">
        <v>46193</v>
      </c>
      <c r="L47" s="9" t="s">
        <v>11</v>
      </c>
      <c r="M47" s="16">
        <f t="shared" si="5"/>
        <v>46924</v>
      </c>
    </row>
    <row r="48" spans="1:13" ht="16.05" customHeight="1" x14ac:dyDescent="0.3">
      <c r="A48" s="9" t="s">
        <v>210</v>
      </c>
      <c r="B48" s="9" t="s">
        <v>211</v>
      </c>
      <c r="C48" s="9" t="s">
        <v>129</v>
      </c>
      <c r="D48" s="9" t="s">
        <v>181</v>
      </c>
      <c r="E48" s="9" t="s">
        <v>188</v>
      </c>
      <c r="F48" s="14" t="str">
        <f>IFERROR(INDEX(tbl_competencias[Competencia],MATCH(E48,tbl_competencias[ID_Competencia],0)),"")</f>
        <v>Resolução de problemas: 5 Porquês, Ishikawa, 8D</v>
      </c>
      <c r="G48" s="15">
        <v>2</v>
      </c>
      <c r="H48" s="15">
        <v>2</v>
      </c>
      <c r="I48" s="13">
        <f t="shared" si="3"/>
        <v>0</v>
      </c>
      <c r="J48" s="14" t="str">
        <f t="shared" si="4"/>
        <v>Qualificado</v>
      </c>
      <c r="K48" s="11">
        <v>46263</v>
      </c>
      <c r="L48" s="9" t="s">
        <v>11</v>
      </c>
      <c r="M48" s="16">
        <f t="shared" si="5"/>
        <v>46994</v>
      </c>
    </row>
    <row r="49" spans="1:13" ht="16.05" customHeight="1" x14ac:dyDescent="0.3">
      <c r="A49" s="9" t="s">
        <v>210</v>
      </c>
      <c r="B49" s="9" t="s">
        <v>211</v>
      </c>
      <c r="C49" s="9" t="s">
        <v>129</v>
      </c>
      <c r="D49" s="9" t="s">
        <v>181</v>
      </c>
      <c r="E49" s="9" t="s">
        <v>182</v>
      </c>
      <c r="F49" s="14" t="str">
        <f>IFERROR(INDEX(tbl_competencias[Competencia],MATCH(E49,tbl_competencias[ID_Competencia],0)),"")</f>
        <v>Boas práticas de fabrico e higiene (alimentar / farmacêutico)</v>
      </c>
      <c r="G49" s="15">
        <v>1</v>
      </c>
      <c r="H49" s="15">
        <v>2</v>
      </c>
      <c r="I49" s="13">
        <f t="shared" si="3"/>
        <v>0</v>
      </c>
      <c r="J49" s="14" t="str">
        <f t="shared" si="4"/>
        <v>Qualificado</v>
      </c>
      <c r="K49" s="11">
        <v>46203</v>
      </c>
      <c r="L49" s="9" t="s">
        <v>11</v>
      </c>
      <c r="M49" s="16">
        <f t="shared" si="5"/>
        <v>46934</v>
      </c>
    </row>
    <row r="50" spans="1:13" ht="16.05" customHeight="1" x14ac:dyDescent="0.3">
      <c r="A50" s="9" t="s">
        <v>212</v>
      </c>
      <c r="B50" s="9" t="s">
        <v>213</v>
      </c>
      <c r="C50" s="9" t="s">
        <v>129</v>
      </c>
      <c r="D50" s="9" t="s">
        <v>181</v>
      </c>
      <c r="E50" s="9" t="s">
        <v>179</v>
      </c>
      <c r="F50" s="14" t="str">
        <f>IFERROR(INDEX(tbl_competencias[Competencia],MATCH(E50,tbl_competencias[ID_Competencia],0)),"")</f>
        <v>Afinação e manutenção de moldes</v>
      </c>
      <c r="G50" s="15">
        <v>3</v>
      </c>
      <c r="H50" s="15">
        <v>3</v>
      </c>
      <c r="I50" s="13">
        <f t="shared" si="3"/>
        <v>0</v>
      </c>
      <c r="J50" s="14" t="str">
        <f t="shared" si="4"/>
        <v>Qualificado</v>
      </c>
      <c r="K50" s="11">
        <v>46326</v>
      </c>
      <c r="L50" s="9" t="s">
        <v>11</v>
      </c>
      <c r="M50" s="16">
        <f t="shared" si="5"/>
        <v>47057</v>
      </c>
    </row>
    <row r="51" spans="1:13" ht="16.05" customHeight="1" x14ac:dyDescent="0.3">
      <c r="A51" s="9" t="s">
        <v>212</v>
      </c>
      <c r="B51" s="9" t="s">
        <v>213</v>
      </c>
      <c r="C51" s="9" t="s">
        <v>129</v>
      </c>
      <c r="D51" s="9" t="s">
        <v>181</v>
      </c>
      <c r="E51" s="9" t="s">
        <v>188</v>
      </c>
      <c r="F51" s="14" t="str">
        <f>IFERROR(INDEX(tbl_competencias[Competencia],MATCH(E51,tbl_competencias[ID_Competencia],0)),"")</f>
        <v>Resolução de problemas: 5 Porquês, Ishikawa, 8D</v>
      </c>
      <c r="G51" s="15">
        <v>2</v>
      </c>
      <c r="H51" s="15">
        <v>3</v>
      </c>
      <c r="I51" s="13">
        <f t="shared" si="3"/>
        <v>0</v>
      </c>
      <c r="J51" s="14" t="str">
        <f t="shared" si="4"/>
        <v>Qualificado</v>
      </c>
      <c r="K51" s="11">
        <v>46121</v>
      </c>
      <c r="L51" s="9" t="s">
        <v>11</v>
      </c>
      <c r="M51" s="16">
        <f t="shared" si="5"/>
        <v>46852</v>
      </c>
    </row>
    <row r="52" spans="1:13" ht="16.05" customHeight="1" x14ac:dyDescent="0.3">
      <c r="A52" s="9" t="s">
        <v>212</v>
      </c>
      <c r="B52" s="9" t="s">
        <v>213</v>
      </c>
      <c r="C52" s="9" t="s">
        <v>129</v>
      </c>
      <c r="D52" s="9" t="s">
        <v>181</v>
      </c>
      <c r="E52" s="9" t="s">
        <v>182</v>
      </c>
      <c r="F52" s="14" t="str">
        <f>IFERROR(INDEX(tbl_competencias[Competencia],MATCH(E52,tbl_competencias[ID_Competencia],0)),"")</f>
        <v>Boas práticas de fabrico e higiene (alimentar / farmacêutico)</v>
      </c>
      <c r="G52" s="15">
        <v>1</v>
      </c>
      <c r="H52" s="15">
        <v>1</v>
      </c>
      <c r="I52" s="13">
        <f t="shared" si="3"/>
        <v>0</v>
      </c>
      <c r="J52" s="14" t="str">
        <f t="shared" si="4"/>
        <v>Qualificado</v>
      </c>
      <c r="K52" s="11">
        <v>46265</v>
      </c>
      <c r="L52" s="9" t="s">
        <v>11</v>
      </c>
      <c r="M52" s="16">
        <f t="shared" si="5"/>
        <v>46996</v>
      </c>
    </row>
    <row r="53" spans="1:13" ht="16.05" customHeight="1" x14ac:dyDescent="0.3">
      <c r="A53" s="9" t="s">
        <v>214</v>
      </c>
      <c r="B53" s="9" t="s">
        <v>215</v>
      </c>
      <c r="C53" s="9" t="s">
        <v>129</v>
      </c>
      <c r="D53" s="9" t="s">
        <v>181</v>
      </c>
      <c r="E53" s="9" t="s">
        <v>179</v>
      </c>
      <c r="F53" s="14" t="str">
        <f>IFERROR(INDEX(tbl_competencias[Competencia],MATCH(E53,tbl_competencias[ID_Competencia],0)),"")</f>
        <v>Afinação e manutenção de moldes</v>
      </c>
      <c r="G53" s="15">
        <v>3</v>
      </c>
      <c r="H53" s="15">
        <v>3</v>
      </c>
      <c r="I53" s="13">
        <f t="shared" si="3"/>
        <v>0</v>
      </c>
      <c r="J53" s="14" t="str">
        <f t="shared" si="4"/>
        <v>Qualificado</v>
      </c>
      <c r="K53" s="11">
        <v>46158</v>
      </c>
      <c r="L53" s="9" t="s">
        <v>11</v>
      </c>
      <c r="M53" s="16">
        <f t="shared" si="5"/>
        <v>46889</v>
      </c>
    </row>
    <row r="54" spans="1:13" ht="16.05" customHeight="1" x14ac:dyDescent="0.3">
      <c r="A54" s="9" t="s">
        <v>214</v>
      </c>
      <c r="B54" s="9" t="s">
        <v>215</v>
      </c>
      <c r="C54" s="9" t="s">
        <v>129</v>
      </c>
      <c r="D54" s="9" t="s">
        <v>181</v>
      </c>
      <c r="E54" s="9" t="s">
        <v>188</v>
      </c>
      <c r="F54" s="14" t="str">
        <f>IFERROR(INDEX(tbl_competencias[Competencia],MATCH(E54,tbl_competencias[ID_Competencia],0)),"")</f>
        <v>Resolução de problemas: 5 Porquês, Ishikawa, 8D</v>
      </c>
      <c r="G54" s="15">
        <v>2</v>
      </c>
      <c r="H54" s="15">
        <v>3</v>
      </c>
      <c r="I54" s="13">
        <f t="shared" si="3"/>
        <v>0</v>
      </c>
      <c r="J54" s="14" t="str">
        <f t="shared" si="4"/>
        <v>Qualificado</v>
      </c>
      <c r="K54" s="11">
        <v>46131</v>
      </c>
      <c r="L54" s="9" t="s">
        <v>11</v>
      </c>
      <c r="M54" s="16">
        <f t="shared" si="5"/>
        <v>46862</v>
      </c>
    </row>
    <row r="55" spans="1:13" ht="16.05" customHeight="1" x14ac:dyDescent="0.3">
      <c r="A55" s="9" t="s">
        <v>214</v>
      </c>
      <c r="B55" s="9" t="s">
        <v>215</v>
      </c>
      <c r="C55" s="9" t="s">
        <v>129</v>
      </c>
      <c r="D55" s="9" t="s">
        <v>181</v>
      </c>
      <c r="E55" s="9" t="s">
        <v>182</v>
      </c>
      <c r="F55" s="14" t="str">
        <f>IFERROR(INDEX(tbl_competencias[Competencia],MATCH(E55,tbl_competencias[ID_Competencia],0)),"")</f>
        <v>Boas práticas de fabrico e higiene (alimentar / farmacêutico)</v>
      </c>
      <c r="G55" s="15">
        <v>1</v>
      </c>
      <c r="H55" s="15">
        <v>2</v>
      </c>
      <c r="I55" s="13">
        <f t="shared" si="3"/>
        <v>0</v>
      </c>
      <c r="J55" s="14" t="str">
        <f t="shared" si="4"/>
        <v>Qualificado</v>
      </c>
      <c r="K55" s="11">
        <v>46263</v>
      </c>
      <c r="L55" s="9" t="s">
        <v>11</v>
      </c>
      <c r="M55" s="16">
        <f t="shared" si="5"/>
        <v>46994</v>
      </c>
    </row>
    <row r="56" spans="1:13" ht="16.05" customHeight="1" x14ac:dyDescent="0.3">
      <c r="A56" s="9" t="s">
        <v>216</v>
      </c>
      <c r="B56" s="9" t="s">
        <v>217</v>
      </c>
      <c r="C56" s="9" t="s">
        <v>129</v>
      </c>
      <c r="D56" s="9" t="s">
        <v>181</v>
      </c>
      <c r="E56" s="9" t="s">
        <v>179</v>
      </c>
      <c r="F56" s="14" t="str">
        <f>IFERROR(INDEX(tbl_competencias[Competencia],MATCH(E56,tbl_competencias[ID_Competencia],0)),"")</f>
        <v>Afinação e manutenção de moldes</v>
      </c>
      <c r="G56" s="15">
        <v>3</v>
      </c>
      <c r="H56" s="15">
        <v>3</v>
      </c>
      <c r="I56" s="13">
        <f t="shared" si="3"/>
        <v>0</v>
      </c>
      <c r="J56" s="14" t="str">
        <f t="shared" si="4"/>
        <v>Qualificado</v>
      </c>
      <c r="K56" s="11">
        <v>46266</v>
      </c>
      <c r="L56" s="9" t="s">
        <v>11</v>
      </c>
      <c r="M56" s="16">
        <f t="shared" si="5"/>
        <v>46997</v>
      </c>
    </row>
    <row r="57" spans="1:13" ht="16.05" customHeight="1" x14ac:dyDescent="0.3">
      <c r="A57" s="9" t="s">
        <v>216</v>
      </c>
      <c r="B57" s="9" t="s">
        <v>217</v>
      </c>
      <c r="C57" s="9" t="s">
        <v>129</v>
      </c>
      <c r="D57" s="9" t="s">
        <v>181</v>
      </c>
      <c r="E57" s="9" t="s">
        <v>188</v>
      </c>
      <c r="F57" s="14" t="str">
        <f>IFERROR(INDEX(tbl_competencias[Competencia],MATCH(E57,tbl_competencias[ID_Competencia],0)),"")</f>
        <v>Resolução de problemas: 5 Porquês, Ishikawa, 8D</v>
      </c>
      <c r="G57" s="15">
        <v>2</v>
      </c>
      <c r="H57" s="15">
        <v>3</v>
      </c>
      <c r="I57" s="13">
        <f t="shared" si="3"/>
        <v>0</v>
      </c>
      <c r="J57" s="14" t="str">
        <f t="shared" si="4"/>
        <v>Qualificado</v>
      </c>
      <c r="K57" s="11">
        <v>46249</v>
      </c>
      <c r="L57" s="9" t="s">
        <v>11</v>
      </c>
      <c r="M57" s="16">
        <f t="shared" si="5"/>
        <v>46980</v>
      </c>
    </row>
    <row r="58" spans="1:13" ht="16.05" customHeight="1" x14ac:dyDescent="0.3">
      <c r="A58" s="9" t="s">
        <v>216</v>
      </c>
      <c r="B58" s="9" t="s">
        <v>217</v>
      </c>
      <c r="C58" s="9" t="s">
        <v>129</v>
      </c>
      <c r="D58" s="9" t="s">
        <v>181</v>
      </c>
      <c r="E58" s="9" t="s">
        <v>182</v>
      </c>
      <c r="F58" s="14" t="str">
        <f>IFERROR(INDEX(tbl_competencias[Competencia],MATCH(E58,tbl_competencias[ID_Competencia],0)),"")</f>
        <v>Boas práticas de fabrico e higiene (alimentar / farmacêutico)</v>
      </c>
      <c r="G58" s="15">
        <v>1</v>
      </c>
      <c r="H58" s="15">
        <v>2</v>
      </c>
      <c r="I58" s="13">
        <f t="shared" si="3"/>
        <v>0</v>
      </c>
      <c r="J58" s="14" t="str">
        <f t="shared" si="4"/>
        <v>Qualificado</v>
      </c>
      <c r="K58" s="11">
        <v>46040</v>
      </c>
      <c r="L58" s="9" t="s">
        <v>11</v>
      </c>
      <c r="M58" s="16">
        <f t="shared" si="5"/>
        <v>46770</v>
      </c>
    </row>
    <row r="59" spans="1:13" ht="16.05" customHeight="1" x14ac:dyDescent="0.3">
      <c r="A59" s="9" t="s">
        <v>218</v>
      </c>
      <c r="B59" s="9" t="s">
        <v>219</v>
      </c>
      <c r="C59" s="9" t="s">
        <v>129</v>
      </c>
      <c r="D59" s="9" t="s">
        <v>181</v>
      </c>
      <c r="E59" s="9" t="s">
        <v>179</v>
      </c>
      <c r="F59" s="14" t="str">
        <f>IFERROR(INDEX(tbl_competencias[Competencia],MATCH(E59,tbl_competencias[ID_Competencia],0)),"")</f>
        <v>Afinação e manutenção de moldes</v>
      </c>
      <c r="G59" s="15">
        <v>3</v>
      </c>
      <c r="H59" s="15">
        <v>3</v>
      </c>
      <c r="I59" s="13">
        <f t="shared" si="3"/>
        <v>0</v>
      </c>
      <c r="J59" s="14" t="str">
        <f t="shared" si="4"/>
        <v>Qualificado</v>
      </c>
      <c r="K59" s="11">
        <v>46345</v>
      </c>
      <c r="L59" s="9" t="s">
        <v>11</v>
      </c>
      <c r="M59" s="16">
        <f t="shared" si="5"/>
        <v>47076</v>
      </c>
    </row>
    <row r="60" spans="1:13" ht="16.05" customHeight="1" x14ac:dyDescent="0.3">
      <c r="A60" s="9" t="s">
        <v>218</v>
      </c>
      <c r="B60" s="9" t="s">
        <v>219</v>
      </c>
      <c r="C60" s="9" t="s">
        <v>129</v>
      </c>
      <c r="D60" s="9" t="s">
        <v>181</v>
      </c>
      <c r="E60" s="9" t="s">
        <v>188</v>
      </c>
      <c r="F60" s="14" t="str">
        <f>IFERROR(INDEX(tbl_competencias[Competencia],MATCH(E60,tbl_competencias[ID_Competencia],0)),"")</f>
        <v>Resolução de problemas: 5 Porquês, Ishikawa, 8D</v>
      </c>
      <c r="G60" s="15">
        <v>2</v>
      </c>
      <c r="H60" s="15">
        <v>3</v>
      </c>
      <c r="I60" s="13">
        <f t="shared" si="3"/>
        <v>0</v>
      </c>
      <c r="J60" s="14" t="str">
        <f t="shared" si="4"/>
        <v>Qualificado</v>
      </c>
      <c r="K60" s="11">
        <v>46182</v>
      </c>
      <c r="L60" s="9" t="s">
        <v>11</v>
      </c>
      <c r="M60" s="16">
        <f t="shared" si="5"/>
        <v>46913</v>
      </c>
    </row>
    <row r="61" spans="1:13" ht="16.05" customHeight="1" x14ac:dyDescent="0.3">
      <c r="A61" s="9" t="s">
        <v>218</v>
      </c>
      <c r="B61" s="9" t="s">
        <v>219</v>
      </c>
      <c r="C61" s="9" t="s">
        <v>129</v>
      </c>
      <c r="D61" s="9" t="s">
        <v>181</v>
      </c>
      <c r="E61" s="9" t="s">
        <v>182</v>
      </c>
      <c r="F61" s="14" t="str">
        <f>IFERROR(INDEX(tbl_competencias[Competencia],MATCH(E61,tbl_competencias[ID_Competencia],0)),"")</f>
        <v>Boas práticas de fabrico e higiene (alimentar / farmacêutico)</v>
      </c>
      <c r="G61" s="15">
        <v>1</v>
      </c>
      <c r="H61" s="15">
        <v>2</v>
      </c>
      <c r="I61" s="13">
        <f t="shared" si="3"/>
        <v>0</v>
      </c>
      <c r="J61" s="14" t="str">
        <f t="shared" si="4"/>
        <v>Qualificado</v>
      </c>
      <c r="K61" s="11">
        <v>46132</v>
      </c>
      <c r="L61" s="9" t="s">
        <v>11</v>
      </c>
      <c r="M61" s="16">
        <f t="shared" si="5"/>
        <v>46863</v>
      </c>
    </row>
    <row r="62" spans="1:13" ht="16.05" customHeight="1" x14ac:dyDescent="0.3">
      <c r="A62" s="9" t="s">
        <v>220</v>
      </c>
      <c r="B62" s="9" t="s">
        <v>221</v>
      </c>
      <c r="C62" s="9" t="s">
        <v>129</v>
      </c>
      <c r="D62" s="9" t="s">
        <v>181</v>
      </c>
      <c r="E62" s="9" t="s">
        <v>179</v>
      </c>
      <c r="F62" s="14" t="str">
        <f>IFERROR(INDEX(tbl_competencias[Competencia],MATCH(E62,tbl_competencias[ID_Competencia],0)),"")</f>
        <v>Afinação e manutenção de moldes</v>
      </c>
      <c r="G62" s="15">
        <v>3</v>
      </c>
      <c r="H62" s="15">
        <v>3</v>
      </c>
      <c r="I62" s="13">
        <f t="shared" si="3"/>
        <v>0</v>
      </c>
      <c r="J62" s="14" t="str">
        <f t="shared" si="4"/>
        <v>Qualificado</v>
      </c>
      <c r="K62" s="11">
        <v>46258</v>
      </c>
      <c r="L62" s="9" t="s">
        <v>11</v>
      </c>
      <c r="M62" s="16">
        <f t="shared" si="5"/>
        <v>46989</v>
      </c>
    </row>
    <row r="63" spans="1:13" ht="16.05" customHeight="1" x14ac:dyDescent="0.3">
      <c r="A63" s="9" t="s">
        <v>220</v>
      </c>
      <c r="B63" s="9" t="s">
        <v>221</v>
      </c>
      <c r="C63" s="9" t="s">
        <v>129</v>
      </c>
      <c r="D63" s="9" t="s">
        <v>181</v>
      </c>
      <c r="E63" s="9" t="s">
        <v>188</v>
      </c>
      <c r="F63" s="14" t="str">
        <f>IFERROR(INDEX(tbl_competencias[Competencia],MATCH(E63,tbl_competencias[ID_Competencia],0)),"")</f>
        <v>Resolução de problemas: 5 Porquês, Ishikawa, 8D</v>
      </c>
      <c r="G63" s="15">
        <v>2</v>
      </c>
      <c r="H63" s="15">
        <v>2</v>
      </c>
      <c r="I63" s="13">
        <f t="shared" si="3"/>
        <v>0</v>
      </c>
      <c r="J63" s="14" t="str">
        <f t="shared" si="4"/>
        <v>Qualificado</v>
      </c>
      <c r="K63" s="11">
        <v>46172</v>
      </c>
      <c r="L63" s="9" t="s">
        <v>11</v>
      </c>
      <c r="M63" s="16">
        <f t="shared" si="5"/>
        <v>46903</v>
      </c>
    </row>
    <row r="64" spans="1:13" ht="16.05" customHeight="1" x14ac:dyDescent="0.3">
      <c r="A64" s="9" t="s">
        <v>220</v>
      </c>
      <c r="B64" s="9" t="s">
        <v>221</v>
      </c>
      <c r="C64" s="9" t="s">
        <v>129</v>
      </c>
      <c r="D64" s="9" t="s">
        <v>181</v>
      </c>
      <c r="E64" s="9" t="s">
        <v>182</v>
      </c>
      <c r="F64" s="14" t="str">
        <f>IFERROR(INDEX(tbl_competencias[Competencia],MATCH(E64,tbl_competencias[ID_Competencia],0)),"")</f>
        <v>Boas práticas de fabrico e higiene (alimentar / farmacêutico)</v>
      </c>
      <c r="G64" s="15">
        <v>1</v>
      </c>
      <c r="H64" s="15">
        <v>1</v>
      </c>
      <c r="I64" s="13">
        <f t="shared" si="3"/>
        <v>0</v>
      </c>
      <c r="J64" s="14" t="str">
        <f t="shared" si="4"/>
        <v>Qualificado</v>
      </c>
      <c r="K64" s="11">
        <v>46171</v>
      </c>
      <c r="L64" s="9" t="s">
        <v>11</v>
      </c>
      <c r="M64" s="16">
        <f t="shared" si="5"/>
        <v>46902</v>
      </c>
    </row>
    <row r="65" spans="1:13" ht="16.05" customHeight="1" x14ac:dyDescent="0.3">
      <c r="A65" s="9" t="s">
        <v>222</v>
      </c>
      <c r="B65" s="9" t="s">
        <v>223</v>
      </c>
      <c r="C65" s="9" t="s">
        <v>129</v>
      </c>
      <c r="D65" s="9" t="s">
        <v>181</v>
      </c>
      <c r="E65" s="9" t="s">
        <v>179</v>
      </c>
      <c r="F65" s="14" t="str">
        <f>IFERROR(INDEX(tbl_competencias[Competencia],MATCH(E65,tbl_competencias[ID_Competencia],0)),"")</f>
        <v>Afinação e manutenção de moldes</v>
      </c>
      <c r="G65" s="15">
        <v>3</v>
      </c>
      <c r="H65" s="15">
        <v>4</v>
      </c>
      <c r="I65" s="13">
        <f t="shared" si="3"/>
        <v>0</v>
      </c>
      <c r="J65" s="14" t="str">
        <f t="shared" si="4"/>
        <v>Formador</v>
      </c>
      <c r="K65" s="11">
        <v>46099</v>
      </c>
      <c r="L65" s="9" t="s">
        <v>11</v>
      </c>
      <c r="M65" s="16">
        <f t="shared" si="5"/>
        <v>46830</v>
      </c>
    </row>
    <row r="66" spans="1:13" ht="16.05" customHeight="1" x14ac:dyDescent="0.3">
      <c r="A66" s="9" t="s">
        <v>222</v>
      </c>
      <c r="B66" s="9" t="s">
        <v>223</v>
      </c>
      <c r="C66" s="9" t="s">
        <v>129</v>
      </c>
      <c r="D66" s="9" t="s">
        <v>181</v>
      </c>
      <c r="E66" s="9" t="s">
        <v>188</v>
      </c>
      <c r="F66" s="14" t="str">
        <f>IFERROR(INDEX(tbl_competencias[Competencia],MATCH(E66,tbl_competencias[ID_Competencia],0)),"")</f>
        <v>Resolução de problemas: 5 Porquês, Ishikawa, 8D</v>
      </c>
      <c r="G66" s="15">
        <v>2</v>
      </c>
      <c r="H66" s="15">
        <v>2</v>
      </c>
      <c r="I66" s="13">
        <f t="shared" si="3"/>
        <v>0</v>
      </c>
      <c r="J66" s="14" t="str">
        <f t="shared" si="4"/>
        <v>Qualificado</v>
      </c>
      <c r="K66" s="11">
        <v>46218</v>
      </c>
      <c r="L66" s="9" t="s">
        <v>11</v>
      </c>
      <c r="M66" s="16">
        <f t="shared" si="5"/>
        <v>46949</v>
      </c>
    </row>
    <row r="67" spans="1:13" ht="16.05" customHeight="1" x14ac:dyDescent="0.3">
      <c r="A67" s="9" t="s">
        <v>222</v>
      </c>
      <c r="B67" s="9" t="s">
        <v>223</v>
      </c>
      <c r="C67" s="9" t="s">
        <v>129</v>
      </c>
      <c r="D67" s="9" t="s">
        <v>181</v>
      </c>
      <c r="E67" s="9" t="s">
        <v>182</v>
      </c>
      <c r="F67" s="14" t="str">
        <f>IFERROR(INDEX(tbl_competencias[Competencia],MATCH(E67,tbl_competencias[ID_Competencia],0)),"")</f>
        <v>Boas práticas de fabrico e higiene (alimentar / farmacêutico)</v>
      </c>
      <c r="G67" s="15">
        <v>1</v>
      </c>
      <c r="H67" s="15">
        <v>2</v>
      </c>
      <c r="I67" s="13">
        <f t="shared" si="3"/>
        <v>0</v>
      </c>
      <c r="J67" s="14" t="str">
        <f t="shared" si="4"/>
        <v>Qualificado</v>
      </c>
      <c r="K67" s="11">
        <v>46037</v>
      </c>
      <c r="L67" s="9" t="s">
        <v>11</v>
      </c>
      <c r="M67" s="16">
        <f t="shared" si="5"/>
        <v>46767</v>
      </c>
    </row>
    <row r="68" spans="1:13" ht="16.05" customHeight="1" x14ac:dyDescent="0.3">
      <c r="A68" s="9" t="s">
        <v>224</v>
      </c>
      <c r="B68" s="9" t="s">
        <v>225</v>
      </c>
      <c r="C68" s="9" t="s">
        <v>129</v>
      </c>
      <c r="D68" s="9" t="s">
        <v>181</v>
      </c>
      <c r="E68" s="9" t="s">
        <v>179</v>
      </c>
      <c r="F68" s="14" t="str">
        <f>IFERROR(INDEX(tbl_competencias[Competencia],MATCH(E68,tbl_competencias[ID_Competencia],0)),"")</f>
        <v>Afinação e manutenção de moldes</v>
      </c>
      <c r="G68" s="15">
        <v>3</v>
      </c>
      <c r="H68" s="15">
        <v>4</v>
      </c>
      <c r="I68" s="13">
        <f t="shared" si="3"/>
        <v>0</v>
      </c>
      <c r="J68" s="14" t="str">
        <f t="shared" si="4"/>
        <v>Formador</v>
      </c>
      <c r="K68" s="11">
        <v>46364</v>
      </c>
      <c r="L68" s="9" t="s">
        <v>11</v>
      </c>
      <c r="M68" s="16">
        <f t="shared" si="5"/>
        <v>47095</v>
      </c>
    </row>
    <row r="69" spans="1:13" ht="16.05" customHeight="1" x14ac:dyDescent="0.3">
      <c r="A69" s="9" t="s">
        <v>224</v>
      </c>
      <c r="B69" s="9" t="s">
        <v>225</v>
      </c>
      <c r="C69" s="9" t="s">
        <v>129</v>
      </c>
      <c r="D69" s="9" t="s">
        <v>181</v>
      </c>
      <c r="E69" s="9" t="s">
        <v>188</v>
      </c>
      <c r="F69" s="14" t="str">
        <f>IFERROR(INDEX(tbl_competencias[Competencia],MATCH(E69,tbl_competencias[ID_Competencia],0)),"")</f>
        <v>Resolução de problemas: 5 Porquês, Ishikawa, 8D</v>
      </c>
      <c r="G69" s="15">
        <v>2</v>
      </c>
      <c r="H69" s="15">
        <v>3</v>
      </c>
      <c r="I69" s="13">
        <f t="shared" ref="I69:I100" si="6">MAX(0,G69-H69)</f>
        <v>0</v>
      </c>
      <c r="J69" s="14" t="str">
        <f t="shared" ref="J69:J100" si="7">IF(I69=0,IF(H69&gt;=4,"Formador","Qualificado"),IF(H69&gt;=G69-1,"Em formação","Lacuna"))</f>
        <v>Qualificado</v>
      </c>
      <c r="K69" s="11">
        <v>46176</v>
      </c>
      <c r="L69" s="9" t="s">
        <v>11</v>
      </c>
      <c r="M69" s="16">
        <f t="shared" ref="M69:M100" si="8">IF(K69="","",EDATE(K69,24))</f>
        <v>46907</v>
      </c>
    </row>
    <row r="70" spans="1:13" ht="16.05" customHeight="1" x14ac:dyDescent="0.3">
      <c r="A70" s="9" t="s">
        <v>224</v>
      </c>
      <c r="B70" s="9" t="s">
        <v>225</v>
      </c>
      <c r="C70" s="9" t="s">
        <v>129</v>
      </c>
      <c r="D70" s="9" t="s">
        <v>181</v>
      </c>
      <c r="E70" s="9" t="s">
        <v>182</v>
      </c>
      <c r="F70" s="14" t="str">
        <f>IFERROR(INDEX(tbl_competencias[Competencia],MATCH(E70,tbl_competencias[ID_Competencia],0)),"")</f>
        <v>Boas práticas de fabrico e higiene (alimentar / farmacêutico)</v>
      </c>
      <c r="G70" s="15">
        <v>1</v>
      </c>
      <c r="H70" s="15">
        <v>2</v>
      </c>
      <c r="I70" s="13">
        <f t="shared" si="6"/>
        <v>0</v>
      </c>
      <c r="J70" s="14" t="str">
        <f t="shared" si="7"/>
        <v>Qualificado</v>
      </c>
      <c r="K70" s="11">
        <v>46354</v>
      </c>
      <c r="L70" s="9" t="s">
        <v>11</v>
      </c>
      <c r="M70" s="16">
        <f t="shared" si="8"/>
        <v>47085</v>
      </c>
    </row>
    <row r="71" spans="1:13" ht="16.05" customHeight="1" x14ac:dyDescent="0.3">
      <c r="A71" s="9" t="s">
        <v>226</v>
      </c>
      <c r="B71" s="9" t="s">
        <v>226</v>
      </c>
      <c r="C71" s="9" t="s">
        <v>112</v>
      </c>
      <c r="D71" s="9" t="s">
        <v>170</v>
      </c>
      <c r="E71" s="9" t="s">
        <v>168</v>
      </c>
      <c r="F71" s="14" t="str">
        <f>IFERROR(INDEX(tbl_competencias[Competencia],MATCH(E71,tbl_competencias[ID_Competencia],0)),"")</f>
        <v>Operação e autocontrolo de injeção (setup, arranque, parâmetros)</v>
      </c>
      <c r="G71" s="15">
        <v>3</v>
      </c>
      <c r="H71" s="15">
        <v>3</v>
      </c>
      <c r="I71" s="13">
        <f t="shared" si="6"/>
        <v>0</v>
      </c>
      <c r="J71" s="14" t="str">
        <f t="shared" si="7"/>
        <v>Qualificado</v>
      </c>
      <c r="K71" s="11">
        <v>45997</v>
      </c>
      <c r="L71" s="9" t="s">
        <v>145</v>
      </c>
      <c r="M71" s="16">
        <f t="shared" si="8"/>
        <v>46727</v>
      </c>
    </row>
    <row r="72" spans="1:13" ht="16.05" customHeight="1" x14ac:dyDescent="0.3">
      <c r="A72" s="9" t="s">
        <v>226</v>
      </c>
      <c r="B72" s="9" t="s">
        <v>226</v>
      </c>
      <c r="C72" s="9" t="s">
        <v>112</v>
      </c>
      <c r="D72" s="9" t="s">
        <v>170</v>
      </c>
      <c r="E72" s="9" t="s">
        <v>152</v>
      </c>
      <c r="F72" s="14" t="str">
        <f>IFERROR(INDEX(tbl_competencias[Competencia],MATCH(E72,tbl_competencias[ID_Competencia],0)),"")</f>
        <v>Inspeção visual em cabine D65 (defeitos por atributos)</v>
      </c>
      <c r="G72" s="15">
        <v>2</v>
      </c>
      <c r="H72" s="15">
        <v>2</v>
      </c>
      <c r="I72" s="13">
        <f t="shared" si="6"/>
        <v>0</v>
      </c>
      <c r="J72" s="14" t="str">
        <f t="shared" si="7"/>
        <v>Qualificado</v>
      </c>
      <c r="K72" s="11">
        <v>46029</v>
      </c>
      <c r="L72" s="9" t="s">
        <v>145</v>
      </c>
      <c r="M72" s="16">
        <f t="shared" si="8"/>
        <v>46759</v>
      </c>
    </row>
    <row r="73" spans="1:13" ht="16.05" customHeight="1" x14ac:dyDescent="0.3">
      <c r="A73" s="9" t="s">
        <v>226</v>
      </c>
      <c r="B73" s="9" t="s">
        <v>226</v>
      </c>
      <c r="C73" s="9" t="s">
        <v>112</v>
      </c>
      <c r="D73" s="9" t="s">
        <v>170</v>
      </c>
      <c r="E73" s="9" t="s">
        <v>157</v>
      </c>
      <c r="F73" s="14" t="str">
        <f>IFERROR(INDEX(tbl_competencias[Competencia],MATCH(E73,tbl_competencias[ID_Competencia],0)),"")</f>
        <v>Medição dimensional e de peso (paquímetro, calibres, balança)</v>
      </c>
      <c r="G73" s="15">
        <v>2</v>
      </c>
      <c r="H73" s="15">
        <v>3</v>
      </c>
      <c r="I73" s="13">
        <f t="shared" si="6"/>
        <v>0</v>
      </c>
      <c r="J73" s="14" t="str">
        <f t="shared" si="7"/>
        <v>Qualificado</v>
      </c>
      <c r="K73" s="11">
        <v>46353</v>
      </c>
      <c r="L73" s="9" t="s">
        <v>145</v>
      </c>
      <c r="M73" s="16">
        <f t="shared" si="8"/>
        <v>47084</v>
      </c>
    </row>
    <row r="74" spans="1:13" ht="16.05" customHeight="1" x14ac:dyDescent="0.3">
      <c r="A74" s="9" t="s">
        <v>226</v>
      </c>
      <c r="B74" s="9" t="s">
        <v>226</v>
      </c>
      <c r="C74" s="9" t="s">
        <v>112</v>
      </c>
      <c r="D74" s="9" t="s">
        <v>170</v>
      </c>
      <c r="E74" s="9" t="s">
        <v>182</v>
      </c>
      <c r="F74" s="14" t="str">
        <f>IFERROR(INDEX(tbl_competencias[Competencia],MATCH(E74,tbl_competencias[ID_Competencia],0)),"")</f>
        <v>Boas práticas de fabrico e higiene (alimentar / farmacêutico)</v>
      </c>
      <c r="G74" s="15">
        <v>2</v>
      </c>
      <c r="H74" s="15">
        <v>3</v>
      </c>
      <c r="I74" s="13">
        <f t="shared" si="6"/>
        <v>0</v>
      </c>
      <c r="J74" s="14" t="str">
        <f t="shared" si="7"/>
        <v>Qualificado</v>
      </c>
      <c r="K74" s="11">
        <v>46287</v>
      </c>
      <c r="L74" s="9" t="s">
        <v>145</v>
      </c>
      <c r="M74" s="16">
        <f t="shared" si="8"/>
        <v>47018</v>
      </c>
    </row>
    <row r="75" spans="1:13" ht="16.05" customHeight="1" x14ac:dyDescent="0.3">
      <c r="A75" s="9" t="s">
        <v>226</v>
      </c>
      <c r="B75" s="9" t="s">
        <v>226</v>
      </c>
      <c r="C75" s="9" t="s">
        <v>112</v>
      </c>
      <c r="D75" s="9" t="s">
        <v>170</v>
      </c>
      <c r="E75" s="9" t="s">
        <v>185</v>
      </c>
      <c r="F75" s="14" t="str">
        <f>IFERROR(INDEX(tbl_competencias[Competencia],MATCH(E75,tbl_competencias[ID_Competencia],0)),"")</f>
        <v>Integridade de dados (ALCOA+) nos registos de qualidade</v>
      </c>
      <c r="G75" s="15">
        <v>2</v>
      </c>
      <c r="H75" s="15">
        <v>2</v>
      </c>
      <c r="I75" s="13">
        <f t="shared" si="6"/>
        <v>0</v>
      </c>
      <c r="J75" s="14" t="str">
        <f t="shared" si="7"/>
        <v>Qualificado</v>
      </c>
      <c r="K75" s="11">
        <v>46085</v>
      </c>
      <c r="L75" s="9" t="s">
        <v>145</v>
      </c>
      <c r="M75" s="16">
        <f t="shared" si="8"/>
        <v>46816</v>
      </c>
    </row>
    <row r="76" spans="1:13" ht="16.05" customHeight="1" x14ac:dyDescent="0.3">
      <c r="A76" s="9" t="s">
        <v>227</v>
      </c>
      <c r="B76" s="9" t="s">
        <v>227</v>
      </c>
      <c r="C76" s="9" t="s">
        <v>112</v>
      </c>
      <c r="D76" s="9" t="s">
        <v>170</v>
      </c>
      <c r="E76" s="9" t="s">
        <v>168</v>
      </c>
      <c r="F76" s="14" t="str">
        <f>IFERROR(INDEX(tbl_competencias[Competencia],MATCH(E76,tbl_competencias[ID_Competencia],0)),"")</f>
        <v>Operação e autocontrolo de injeção (setup, arranque, parâmetros)</v>
      </c>
      <c r="G76" s="15">
        <v>3</v>
      </c>
      <c r="H76" s="15">
        <v>4</v>
      </c>
      <c r="I76" s="13">
        <f t="shared" si="6"/>
        <v>0</v>
      </c>
      <c r="J76" s="14" t="str">
        <f t="shared" si="7"/>
        <v>Formador</v>
      </c>
      <c r="K76" s="11">
        <v>46102</v>
      </c>
      <c r="L76" s="9" t="s">
        <v>145</v>
      </c>
      <c r="M76" s="16">
        <f t="shared" si="8"/>
        <v>46833</v>
      </c>
    </row>
    <row r="77" spans="1:13" ht="16.05" customHeight="1" x14ac:dyDescent="0.3">
      <c r="A77" s="9" t="s">
        <v>227</v>
      </c>
      <c r="B77" s="9" t="s">
        <v>227</v>
      </c>
      <c r="C77" s="9" t="s">
        <v>112</v>
      </c>
      <c r="D77" s="9" t="s">
        <v>170</v>
      </c>
      <c r="E77" s="9" t="s">
        <v>152</v>
      </c>
      <c r="F77" s="14" t="str">
        <f>IFERROR(INDEX(tbl_competencias[Competencia],MATCH(E77,tbl_competencias[ID_Competencia],0)),"")</f>
        <v>Inspeção visual em cabine D65 (defeitos por atributos)</v>
      </c>
      <c r="G77" s="15">
        <v>2</v>
      </c>
      <c r="H77" s="15">
        <v>3</v>
      </c>
      <c r="I77" s="13">
        <f t="shared" si="6"/>
        <v>0</v>
      </c>
      <c r="J77" s="14" t="str">
        <f t="shared" si="7"/>
        <v>Qualificado</v>
      </c>
      <c r="K77" s="11">
        <v>46168</v>
      </c>
      <c r="L77" s="9" t="s">
        <v>145</v>
      </c>
      <c r="M77" s="16">
        <f t="shared" si="8"/>
        <v>46899</v>
      </c>
    </row>
    <row r="78" spans="1:13" ht="16.05" customHeight="1" x14ac:dyDescent="0.3">
      <c r="A78" s="9" t="s">
        <v>227</v>
      </c>
      <c r="B78" s="9" t="s">
        <v>227</v>
      </c>
      <c r="C78" s="9" t="s">
        <v>112</v>
      </c>
      <c r="D78" s="9" t="s">
        <v>170</v>
      </c>
      <c r="E78" s="9" t="s">
        <v>157</v>
      </c>
      <c r="F78" s="14" t="str">
        <f>IFERROR(INDEX(tbl_competencias[Competencia],MATCH(E78,tbl_competencias[ID_Competencia],0)),"")</f>
        <v>Medição dimensional e de peso (paquímetro, calibres, balança)</v>
      </c>
      <c r="G78" s="15">
        <v>2</v>
      </c>
      <c r="H78" s="15">
        <v>3</v>
      </c>
      <c r="I78" s="13">
        <f t="shared" si="6"/>
        <v>0</v>
      </c>
      <c r="J78" s="14" t="str">
        <f t="shared" si="7"/>
        <v>Qualificado</v>
      </c>
      <c r="K78" s="11">
        <v>46141</v>
      </c>
      <c r="L78" s="9" t="s">
        <v>145</v>
      </c>
      <c r="M78" s="16">
        <f t="shared" si="8"/>
        <v>46872</v>
      </c>
    </row>
    <row r="79" spans="1:13" ht="16.05" customHeight="1" x14ac:dyDescent="0.3">
      <c r="A79" s="9" t="s">
        <v>227</v>
      </c>
      <c r="B79" s="9" t="s">
        <v>227</v>
      </c>
      <c r="C79" s="9" t="s">
        <v>112</v>
      </c>
      <c r="D79" s="9" t="s">
        <v>170</v>
      </c>
      <c r="E79" s="9" t="s">
        <v>182</v>
      </c>
      <c r="F79" s="14" t="str">
        <f>IFERROR(INDEX(tbl_competencias[Competencia],MATCH(E79,tbl_competencias[ID_Competencia],0)),"")</f>
        <v>Boas práticas de fabrico e higiene (alimentar / farmacêutico)</v>
      </c>
      <c r="G79" s="15">
        <v>2</v>
      </c>
      <c r="H79" s="15">
        <v>3</v>
      </c>
      <c r="I79" s="13">
        <f t="shared" si="6"/>
        <v>0</v>
      </c>
      <c r="J79" s="14" t="str">
        <f t="shared" si="7"/>
        <v>Qualificado</v>
      </c>
      <c r="K79" s="11">
        <v>46222</v>
      </c>
      <c r="L79" s="9" t="s">
        <v>145</v>
      </c>
      <c r="M79" s="16">
        <f t="shared" si="8"/>
        <v>46953</v>
      </c>
    </row>
    <row r="80" spans="1:13" ht="16.05" customHeight="1" x14ac:dyDescent="0.3">
      <c r="A80" s="9" t="s">
        <v>227</v>
      </c>
      <c r="B80" s="9" t="s">
        <v>227</v>
      </c>
      <c r="C80" s="9" t="s">
        <v>112</v>
      </c>
      <c r="D80" s="9" t="s">
        <v>170</v>
      </c>
      <c r="E80" s="9" t="s">
        <v>185</v>
      </c>
      <c r="F80" s="14" t="str">
        <f>IFERROR(INDEX(tbl_competencias[Competencia],MATCH(E80,tbl_competencias[ID_Competencia],0)),"")</f>
        <v>Integridade de dados (ALCOA+) nos registos de qualidade</v>
      </c>
      <c r="G80" s="15">
        <v>2</v>
      </c>
      <c r="H80" s="15">
        <v>2</v>
      </c>
      <c r="I80" s="13">
        <f t="shared" si="6"/>
        <v>0</v>
      </c>
      <c r="J80" s="14" t="str">
        <f t="shared" si="7"/>
        <v>Qualificado</v>
      </c>
      <c r="K80" s="11">
        <v>46211</v>
      </c>
      <c r="L80" s="9" t="s">
        <v>145</v>
      </c>
      <c r="M80" s="16">
        <f t="shared" si="8"/>
        <v>46942</v>
      </c>
    </row>
    <row r="81" spans="1:13" ht="16.05" customHeight="1" x14ac:dyDescent="0.3">
      <c r="A81" s="9" t="s">
        <v>228</v>
      </c>
      <c r="B81" s="9" t="s">
        <v>228</v>
      </c>
      <c r="C81" s="9" t="s">
        <v>112</v>
      </c>
      <c r="D81" s="9" t="s">
        <v>170</v>
      </c>
      <c r="E81" s="9" t="s">
        <v>168</v>
      </c>
      <c r="F81" s="14" t="str">
        <f>IFERROR(INDEX(tbl_competencias[Competencia],MATCH(E81,tbl_competencias[ID_Competencia],0)),"")</f>
        <v>Operação e autocontrolo de injeção (setup, arranque, parâmetros)</v>
      </c>
      <c r="G81" s="15">
        <v>3</v>
      </c>
      <c r="H81" s="15">
        <v>2</v>
      </c>
      <c r="I81" s="13">
        <f t="shared" si="6"/>
        <v>1</v>
      </c>
      <c r="J81" s="14" t="str">
        <f t="shared" si="7"/>
        <v>Em formação</v>
      </c>
      <c r="K81" s="11"/>
      <c r="L81" s="9"/>
      <c r="M81" s="16" t="str">
        <f t="shared" si="8"/>
        <v/>
      </c>
    </row>
    <row r="82" spans="1:13" ht="16.05" customHeight="1" x14ac:dyDescent="0.3">
      <c r="A82" s="9" t="s">
        <v>228</v>
      </c>
      <c r="B82" s="9" t="s">
        <v>228</v>
      </c>
      <c r="C82" s="9" t="s">
        <v>112</v>
      </c>
      <c r="D82" s="9" t="s">
        <v>170</v>
      </c>
      <c r="E82" s="9" t="s">
        <v>152</v>
      </c>
      <c r="F82" s="14" t="str">
        <f>IFERROR(INDEX(tbl_competencias[Competencia],MATCH(E82,tbl_competencias[ID_Competencia],0)),"")</f>
        <v>Inspeção visual em cabine D65 (defeitos por atributos)</v>
      </c>
      <c r="G82" s="15">
        <v>2</v>
      </c>
      <c r="H82" s="15">
        <v>2</v>
      </c>
      <c r="I82" s="13">
        <f t="shared" si="6"/>
        <v>0</v>
      </c>
      <c r="J82" s="14" t="str">
        <f t="shared" si="7"/>
        <v>Qualificado</v>
      </c>
      <c r="K82" s="11">
        <v>46021</v>
      </c>
      <c r="L82" s="9" t="s">
        <v>145</v>
      </c>
      <c r="M82" s="16">
        <f t="shared" si="8"/>
        <v>46751</v>
      </c>
    </row>
    <row r="83" spans="1:13" ht="16.05" customHeight="1" x14ac:dyDescent="0.3">
      <c r="A83" s="9" t="s">
        <v>228</v>
      </c>
      <c r="B83" s="9" t="s">
        <v>228</v>
      </c>
      <c r="C83" s="9" t="s">
        <v>112</v>
      </c>
      <c r="D83" s="9" t="s">
        <v>170</v>
      </c>
      <c r="E83" s="9" t="s">
        <v>157</v>
      </c>
      <c r="F83" s="14" t="str">
        <f>IFERROR(INDEX(tbl_competencias[Competencia],MATCH(E83,tbl_competencias[ID_Competencia],0)),"")</f>
        <v>Medição dimensional e de peso (paquímetro, calibres, balança)</v>
      </c>
      <c r="G83" s="15">
        <v>2</v>
      </c>
      <c r="H83" s="15">
        <v>2</v>
      </c>
      <c r="I83" s="13">
        <f t="shared" si="6"/>
        <v>0</v>
      </c>
      <c r="J83" s="14" t="str">
        <f t="shared" si="7"/>
        <v>Qualificado</v>
      </c>
      <c r="K83" s="11">
        <v>45997</v>
      </c>
      <c r="L83" s="9" t="s">
        <v>145</v>
      </c>
      <c r="M83" s="16">
        <f t="shared" si="8"/>
        <v>46727</v>
      </c>
    </row>
    <row r="84" spans="1:13" ht="16.05" customHeight="1" x14ac:dyDescent="0.3">
      <c r="A84" s="9" t="s">
        <v>228</v>
      </c>
      <c r="B84" s="9" t="s">
        <v>228</v>
      </c>
      <c r="C84" s="9" t="s">
        <v>112</v>
      </c>
      <c r="D84" s="9" t="s">
        <v>170</v>
      </c>
      <c r="E84" s="9" t="s">
        <v>182</v>
      </c>
      <c r="F84" s="14" t="str">
        <f>IFERROR(INDEX(tbl_competencias[Competencia],MATCH(E84,tbl_competencias[ID_Competencia],0)),"")</f>
        <v>Boas práticas de fabrico e higiene (alimentar / farmacêutico)</v>
      </c>
      <c r="G84" s="15">
        <v>2</v>
      </c>
      <c r="H84" s="15">
        <v>1</v>
      </c>
      <c r="I84" s="13">
        <f t="shared" si="6"/>
        <v>1</v>
      </c>
      <c r="J84" s="14" t="str">
        <f t="shared" si="7"/>
        <v>Em formação</v>
      </c>
      <c r="K84" s="11"/>
      <c r="L84" s="9"/>
      <c r="M84" s="16" t="str">
        <f t="shared" si="8"/>
        <v/>
      </c>
    </row>
    <row r="85" spans="1:13" ht="16.05" customHeight="1" x14ac:dyDescent="0.3">
      <c r="A85" s="9" t="s">
        <v>228</v>
      </c>
      <c r="B85" s="9" t="s">
        <v>228</v>
      </c>
      <c r="C85" s="9" t="s">
        <v>112</v>
      </c>
      <c r="D85" s="9" t="s">
        <v>170</v>
      </c>
      <c r="E85" s="9" t="s">
        <v>185</v>
      </c>
      <c r="F85" s="14" t="str">
        <f>IFERROR(INDEX(tbl_competencias[Competencia],MATCH(E85,tbl_competencias[ID_Competencia],0)),"")</f>
        <v>Integridade de dados (ALCOA+) nos registos de qualidade</v>
      </c>
      <c r="G85" s="15">
        <v>2</v>
      </c>
      <c r="H85" s="15">
        <v>2</v>
      </c>
      <c r="I85" s="13">
        <f t="shared" si="6"/>
        <v>0</v>
      </c>
      <c r="J85" s="14" t="str">
        <f t="shared" si="7"/>
        <v>Qualificado</v>
      </c>
      <c r="K85" s="11">
        <v>46256</v>
      </c>
      <c r="L85" s="9" t="s">
        <v>145</v>
      </c>
      <c r="M85" s="16">
        <f t="shared" si="8"/>
        <v>46987</v>
      </c>
    </row>
    <row r="86" spans="1:13" ht="16.05" customHeight="1" x14ac:dyDescent="0.3">
      <c r="A86" s="9" t="s">
        <v>230</v>
      </c>
      <c r="B86" s="9" t="s">
        <v>230</v>
      </c>
      <c r="C86" s="9" t="s">
        <v>112</v>
      </c>
      <c r="D86" s="9" t="s">
        <v>170</v>
      </c>
      <c r="E86" s="9" t="s">
        <v>168</v>
      </c>
      <c r="F86" s="14" t="str">
        <f>IFERROR(INDEX(tbl_competencias[Competencia],MATCH(E86,tbl_competencias[ID_Competencia],0)),"")</f>
        <v>Operação e autocontrolo de injeção (setup, arranque, parâmetros)</v>
      </c>
      <c r="G86" s="15">
        <v>3</v>
      </c>
      <c r="H86" s="15">
        <v>4</v>
      </c>
      <c r="I86" s="13">
        <f t="shared" si="6"/>
        <v>0</v>
      </c>
      <c r="J86" s="14" t="str">
        <f t="shared" si="7"/>
        <v>Formador</v>
      </c>
      <c r="K86" s="11">
        <v>46305</v>
      </c>
      <c r="L86" s="9" t="s">
        <v>145</v>
      </c>
      <c r="M86" s="16">
        <f t="shared" si="8"/>
        <v>47036</v>
      </c>
    </row>
    <row r="87" spans="1:13" ht="16.05" customHeight="1" x14ac:dyDescent="0.3">
      <c r="A87" s="9" t="s">
        <v>230</v>
      </c>
      <c r="B87" s="9" t="s">
        <v>230</v>
      </c>
      <c r="C87" s="9" t="s">
        <v>112</v>
      </c>
      <c r="D87" s="9" t="s">
        <v>170</v>
      </c>
      <c r="E87" s="9" t="s">
        <v>152</v>
      </c>
      <c r="F87" s="14" t="str">
        <f>IFERROR(INDEX(tbl_competencias[Competencia],MATCH(E87,tbl_competencias[ID_Competencia],0)),"")</f>
        <v>Inspeção visual em cabine D65 (defeitos por atributos)</v>
      </c>
      <c r="G87" s="15">
        <v>2</v>
      </c>
      <c r="H87" s="15">
        <v>2</v>
      </c>
      <c r="I87" s="13">
        <f t="shared" si="6"/>
        <v>0</v>
      </c>
      <c r="J87" s="14" t="str">
        <f t="shared" si="7"/>
        <v>Qualificado</v>
      </c>
      <c r="K87" s="11">
        <v>46289</v>
      </c>
      <c r="L87" s="9" t="s">
        <v>145</v>
      </c>
      <c r="M87" s="16">
        <f t="shared" si="8"/>
        <v>47020</v>
      </c>
    </row>
    <row r="88" spans="1:13" ht="16.05" customHeight="1" x14ac:dyDescent="0.3">
      <c r="A88" s="9" t="s">
        <v>230</v>
      </c>
      <c r="B88" s="9" t="s">
        <v>230</v>
      </c>
      <c r="C88" s="9" t="s">
        <v>112</v>
      </c>
      <c r="D88" s="9" t="s">
        <v>170</v>
      </c>
      <c r="E88" s="9" t="s">
        <v>157</v>
      </c>
      <c r="F88" s="14" t="str">
        <f>IFERROR(INDEX(tbl_competencias[Competencia],MATCH(E88,tbl_competencias[ID_Competencia],0)),"")</f>
        <v>Medição dimensional e de peso (paquímetro, calibres, balança)</v>
      </c>
      <c r="G88" s="15">
        <v>2</v>
      </c>
      <c r="H88" s="15">
        <v>2</v>
      </c>
      <c r="I88" s="13">
        <f t="shared" si="6"/>
        <v>0</v>
      </c>
      <c r="J88" s="14" t="str">
        <f t="shared" si="7"/>
        <v>Qualificado</v>
      </c>
      <c r="K88" s="11">
        <v>46094</v>
      </c>
      <c r="L88" s="9" t="s">
        <v>145</v>
      </c>
      <c r="M88" s="16">
        <f t="shared" si="8"/>
        <v>46825</v>
      </c>
    </row>
    <row r="89" spans="1:13" ht="16.05" customHeight="1" x14ac:dyDescent="0.3">
      <c r="A89" s="9" t="s">
        <v>230</v>
      </c>
      <c r="B89" s="9" t="s">
        <v>230</v>
      </c>
      <c r="C89" s="9" t="s">
        <v>112</v>
      </c>
      <c r="D89" s="9" t="s">
        <v>170</v>
      </c>
      <c r="E89" s="9" t="s">
        <v>182</v>
      </c>
      <c r="F89" s="14" t="str">
        <f>IFERROR(INDEX(tbl_competencias[Competencia],MATCH(E89,tbl_competencias[ID_Competencia],0)),"")</f>
        <v>Boas práticas de fabrico e higiene (alimentar / farmacêutico)</v>
      </c>
      <c r="G89" s="15">
        <v>2</v>
      </c>
      <c r="H89" s="15">
        <v>3</v>
      </c>
      <c r="I89" s="13">
        <f t="shared" si="6"/>
        <v>0</v>
      </c>
      <c r="J89" s="14" t="str">
        <f t="shared" si="7"/>
        <v>Qualificado</v>
      </c>
      <c r="K89" s="11">
        <v>46115</v>
      </c>
      <c r="L89" s="9" t="s">
        <v>145</v>
      </c>
      <c r="M89" s="16">
        <f t="shared" si="8"/>
        <v>46846</v>
      </c>
    </row>
    <row r="90" spans="1:13" ht="16.05" customHeight="1" x14ac:dyDescent="0.3">
      <c r="A90" s="9" t="s">
        <v>230</v>
      </c>
      <c r="B90" s="9" t="s">
        <v>230</v>
      </c>
      <c r="C90" s="9" t="s">
        <v>112</v>
      </c>
      <c r="D90" s="9" t="s">
        <v>170</v>
      </c>
      <c r="E90" s="9" t="s">
        <v>185</v>
      </c>
      <c r="F90" s="14" t="str">
        <f>IFERROR(INDEX(tbl_competencias[Competencia],MATCH(E90,tbl_competencias[ID_Competencia],0)),"")</f>
        <v>Integridade de dados (ALCOA+) nos registos de qualidade</v>
      </c>
      <c r="G90" s="15">
        <v>2</v>
      </c>
      <c r="H90" s="15">
        <v>2</v>
      </c>
      <c r="I90" s="13">
        <f t="shared" si="6"/>
        <v>0</v>
      </c>
      <c r="J90" s="14" t="str">
        <f t="shared" si="7"/>
        <v>Qualificado</v>
      </c>
      <c r="K90" s="11">
        <v>46094</v>
      </c>
      <c r="L90" s="9" t="s">
        <v>145</v>
      </c>
      <c r="M90" s="16">
        <f t="shared" si="8"/>
        <v>46825</v>
      </c>
    </row>
    <row r="91" spans="1:13" ht="16.05" customHeight="1" x14ac:dyDescent="0.3">
      <c r="A91" s="9" t="s">
        <v>231</v>
      </c>
      <c r="B91" s="9" t="s">
        <v>231</v>
      </c>
      <c r="C91" s="9" t="s">
        <v>112</v>
      </c>
      <c r="D91" s="9" t="s">
        <v>170</v>
      </c>
      <c r="E91" s="9" t="s">
        <v>168</v>
      </c>
      <c r="F91" s="14" t="str">
        <f>IFERROR(INDEX(tbl_competencias[Competencia],MATCH(E91,tbl_competencias[ID_Competencia],0)),"")</f>
        <v>Operação e autocontrolo de injeção (setup, arranque, parâmetros)</v>
      </c>
      <c r="G91" s="15">
        <v>3</v>
      </c>
      <c r="H91" s="15">
        <v>3</v>
      </c>
      <c r="I91" s="13">
        <f t="shared" si="6"/>
        <v>0</v>
      </c>
      <c r="J91" s="14" t="str">
        <f t="shared" si="7"/>
        <v>Qualificado</v>
      </c>
      <c r="K91" s="11">
        <v>46315</v>
      </c>
      <c r="L91" s="9" t="s">
        <v>145</v>
      </c>
      <c r="M91" s="16">
        <f t="shared" si="8"/>
        <v>47046</v>
      </c>
    </row>
    <row r="92" spans="1:13" ht="16.05" customHeight="1" x14ac:dyDescent="0.3">
      <c r="A92" s="9" t="s">
        <v>231</v>
      </c>
      <c r="B92" s="9" t="s">
        <v>231</v>
      </c>
      <c r="C92" s="9" t="s">
        <v>112</v>
      </c>
      <c r="D92" s="9" t="s">
        <v>170</v>
      </c>
      <c r="E92" s="9" t="s">
        <v>152</v>
      </c>
      <c r="F92" s="14" t="str">
        <f>IFERROR(INDEX(tbl_competencias[Competencia],MATCH(E92,tbl_competencias[ID_Competencia],0)),"")</f>
        <v>Inspeção visual em cabine D65 (defeitos por atributos)</v>
      </c>
      <c r="G92" s="15">
        <v>2</v>
      </c>
      <c r="H92" s="15">
        <v>2</v>
      </c>
      <c r="I92" s="13">
        <f t="shared" si="6"/>
        <v>0</v>
      </c>
      <c r="J92" s="14" t="str">
        <f t="shared" si="7"/>
        <v>Qualificado</v>
      </c>
      <c r="K92" s="11">
        <v>46024</v>
      </c>
      <c r="L92" s="9" t="s">
        <v>145</v>
      </c>
      <c r="M92" s="16">
        <f t="shared" si="8"/>
        <v>46754</v>
      </c>
    </row>
    <row r="93" spans="1:13" ht="16.05" customHeight="1" x14ac:dyDescent="0.3">
      <c r="A93" s="9" t="s">
        <v>231</v>
      </c>
      <c r="B93" s="9" t="s">
        <v>231</v>
      </c>
      <c r="C93" s="9" t="s">
        <v>112</v>
      </c>
      <c r="D93" s="9" t="s">
        <v>170</v>
      </c>
      <c r="E93" s="9" t="s">
        <v>157</v>
      </c>
      <c r="F93" s="14" t="str">
        <f>IFERROR(INDEX(tbl_competencias[Competencia],MATCH(E93,tbl_competencias[ID_Competencia],0)),"")</f>
        <v>Medição dimensional e de peso (paquímetro, calibres, balança)</v>
      </c>
      <c r="G93" s="15">
        <v>2</v>
      </c>
      <c r="H93" s="15">
        <v>2</v>
      </c>
      <c r="I93" s="13">
        <f t="shared" si="6"/>
        <v>0</v>
      </c>
      <c r="J93" s="14" t="str">
        <f t="shared" si="7"/>
        <v>Qualificado</v>
      </c>
      <c r="K93" s="11">
        <v>46190</v>
      </c>
      <c r="L93" s="9" t="s">
        <v>145</v>
      </c>
      <c r="M93" s="16">
        <f t="shared" si="8"/>
        <v>46921</v>
      </c>
    </row>
    <row r="94" spans="1:13" ht="16.05" customHeight="1" x14ac:dyDescent="0.3">
      <c r="A94" s="9" t="s">
        <v>231</v>
      </c>
      <c r="B94" s="9" t="s">
        <v>231</v>
      </c>
      <c r="C94" s="9" t="s">
        <v>112</v>
      </c>
      <c r="D94" s="9" t="s">
        <v>170</v>
      </c>
      <c r="E94" s="9" t="s">
        <v>182</v>
      </c>
      <c r="F94" s="14" t="str">
        <f>IFERROR(INDEX(tbl_competencias[Competencia],MATCH(E94,tbl_competencias[ID_Competencia],0)),"")</f>
        <v>Boas práticas de fabrico e higiene (alimentar / farmacêutico)</v>
      </c>
      <c r="G94" s="15">
        <v>2</v>
      </c>
      <c r="H94" s="15">
        <v>2</v>
      </c>
      <c r="I94" s="13">
        <f t="shared" si="6"/>
        <v>0</v>
      </c>
      <c r="J94" s="14" t="str">
        <f t="shared" si="7"/>
        <v>Qualificado</v>
      </c>
      <c r="K94" s="11">
        <v>46125</v>
      </c>
      <c r="L94" s="9" t="s">
        <v>145</v>
      </c>
      <c r="M94" s="16">
        <f t="shared" si="8"/>
        <v>46856</v>
      </c>
    </row>
    <row r="95" spans="1:13" ht="16.05" customHeight="1" x14ac:dyDescent="0.3">
      <c r="A95" s="9" t="s">
        <v>231</v>
      </c>
      <c r="B95" s="9" t="s">
        <v>231</v>
      </c>
      <c r="C95" s="9" t="s">
        <v>112</v>
      </c>
      <c r="D95" s="9" t="s">
        <v>170</v>
      </c>
      <c r="E95" s="9" t="s">
        <v>185</v>
      </c>
      <c r="F95" s="14" t="str">
        <f>IFERROR(INDEX(tbl_competencias[Competencia],MATCH(E95,tbl_competencias[ID_Competencia],0)),"")</f>
        <v>Integridade de dados (ALCOA+) nos registos de qualidade</v>
      </c>
      <c r="G95" s="15">
        <v>2</v>
      </c>
      <c r="H95" s="15">
        <v>2</v>
      </c>
      <c r="I95" s="13">
        <f t="shared" si="6"/>
        <v>0</v>
      </c>
      <c r="J95" s="14" t="str">
        <f t="shared" si="7"/>
        <v>Qualificado</v>
      </c>
      <c r="K95" s="11">
        <v>46186</v>
      </c>
      <c r="L95" s="9" t="s">
        <v>145</v>
      </c>
      <c r="M95" s="16">
        <f t="shared" si="8"/>
        <v>46917</v>
      </c>
    </row>
    <row r="96" spans="1:13" ht="16.05" customHeight="1" x14ac:dyDescent="0.3">
      <c r="A96" s="9" t="s">
        <v>232</v>
      </c>
      <c r="B96" s="9" t="s">
        <v>232</v>
      </c>
      <c r="C96" s="9" t="s">
        <v>112</v>
      </c>
      <c r="D96" s="9" t="s">
        <v>170</v>
      </c>
      <c r="E96" s="9" t="s">
        <v>168</v>
      </c>
      <c r="F96" s="14" t="str">
        <f>IFERROR(INDEX(tbl_competencias[Competencia],MATCH(E96,tbl_competencias[ID_Competencia],0)),"")</f>
        <v>Operação e autocontrolo de injeção (setup, arranque, parâmetros)</v>
      </c>
      <c r="G96" s="15">
        <v>3</v>
      </c>
      <c r="H96" s="15">
        <v>3</v>
      </c>
      <c r="I96" s="13">
        <f t="shared" si="6"/>
        <v>0</v>
      </c>
      <c r="J96" s="14" t="str">
        <f t="shared" si="7"/>
        <v>Qualificado</v>
      </c>
      <c r="K96" s="11">
        <v>46290</v>
      </c>
      <c r="L96" s="9" t="s">
        <v>145</v>
      </c>
      <c r="M96" s="16">
        <f t="shared" si="8"/>
        <v>47021</v>
      </c>
    </row>
    <row r="97" spans="1:13" ht="16.05" customHeight="1" x14ac:dyDescent="0.3">
      <c r="A97" s="9" t="s">
        <v>232</v>
      </c>
      <c r="B97" s="9" t="s">
        <v>232</v>
      </c>
      <c r="C97" s="9" t="s">
        <v>112</v>
      </c>
      <c r="D97" s="9" t="s">
        <v>170</v>
      </c>
      <c r="E97" s="9" t="s">
        <v>152</v>
      </c>
      <c r="F97" s="14" t="str">
        <f>IFERROR(INDEX(tbl_competencias[Competencia],MATCH(E97,tbl_competencias[ID_Competencia],0)),"")</f>
        <v>Inspeção visual em cabine D65 (defeitos por atributos)</v>
      </c>
      <c r="G97" s="15">
        <v>2</v>
      </c>
      <c r="H97" s="15">
        <v>2</v>
      </c>
      <c r="I97" s="13">
        <f t="shared" si="6"/>
        <v>0</v>
      </c>
      <c r="J97" s="14" t="str">
        <f t="shared" si="7"/>
        <v>Qualificado</v>
      </c>
      <c r="K97" s="11">
        <v>46004</v>
      </c>
      <c r="L97" s="9" t="s">
        <v>145</v>
      </c>
      <c r="M97" s="16">
        <f t="shared" si="8"/>
        <v>46734</v>
      </c>
    </row>
    <row r="98" spans="1:13" ht="16.05" customHeight="1" x14ac:dyDescent="0.3">
      <c r="A98" s="9" t="s">
        <v>232</v>
      </c>
      <c r="B98" s="9" t="s">
        <v>232</v>
      </c>
      <c r="C98" s="9" t="s">
        <v>112</v>
      </c>
      <c r="D98" s="9" t="s">
        <v>170</v>
      </c>
      <c r="E98" s="9" t="s">
        <v>157</v>
      </c>
      <c r="F98" s="14" t="str">
        <f>IFERROR(INDEX(tbl_competencias[Competencia],MATCH(E98,tbl_competencias[ID_Competencia],0)),"")</f>
        <v>Medição dimensional e de peso (paquímetro, calibres, balança)</v>
      </c>
      <c r="G98" s="15">
        <v>2</v>
      </c>
      <c r="H98" s="15">
        <v>2</v>
      </c>
      <c r="I98" s="13">
        <f t="shared" si="6"/>
        <v>0</v>
      </c>
      <c r="J98" s="14" t="str">
        <f t="shared" si="7"/>
        <v>Qualificado</v>
      </c>
      <c r="K98" s="11">
        <v>46008</v>
      </c>
      <c r="L98" s="9" t="s">
        <v>145</v>
      </c>
      <c r="M98" s="16">
        <f t="shared" si="8"/>
        <v>46738</v>
      </c>
    </row>
    <row r="99" spans="1:13" ht="16.05" customHeight="1" x14ac:dyDescent="0.3">
      <c r="A99" s="9" t="s">
        <v>232</v>
      </c>
      <c r="B99" s="9" t="s">
        <v>232</v>
      </c>
      <c r="C99" s="9" t="s">
        <v>112</v>
      </c>
      <c r="D99" s="9" t="s">
        <v>170</v>
      </c>
      <c r="E99" s="9" t="s">
        <v>182</v>
      </c>
      <c r="F99" s="14" t="str">
        <f>IFERROR(INDEX(tbl_competencias[Competencia],MATCH(E99,tbl_competencias[ID_Competencia],0)),"")</f>
        <v>Boas práticas de fabrico e higiene (alimentar / farmacêutico)</v>
      </c>
      <c r="G99" s="15">
        <v>2</v>
      </c>
      <c r="H99" s="15">
        <v>2</v>
      </c>
      <c r="I99" s="13">
        <f t="shared" si="6"/>
        <v>0</v>
      </c>
      <c r="J99" s="14" t="str">
        <f t="shared" si="7"/>
        <v>Qualificado</v>
      </c>
      <c r="K99" s="11">
        <v>46354</v>
      </c>
      <c r="L99" s="9" t="s">
        <v>145</v>
      </c>
      <c r="M99" s="16">
        <f t="shared" si="8"/>
        <v>47085</v>
      </c>
    </row>
    <row r="100" spans="1:13" ht="16.05" customHeight="1" x14ac:dyDescent="0.3">
      <c r="A100" s="9" t="s">
        <v>232</v>
      </c>
      <c r="B100" s="9" t="s">
        <v>232</v>
      </c>
      <c r="C100" s="9" t="s">
        <v>112</v>
      </c>
      <c r="D100" s="9" t="s">
        <v>170</v>
      </c>
      <c r="E100" s="9" t="s">
        <v>185</v>
      </c>
      <c r="F100" s="14" t="str">
        <f>IFERROR(INDEX(tbl_competencias[Competencia],MATCH(E100,tbl_competencias[ID_Competencia],0)),"")</f>
        <v>Integridade de dados (ALCOA+) nos registos de qualidade</v>
      </c>
      <c r="G100" s="15">
        <v>2</v>
      </c>
      <c r="H100" s="15">
        <v>2</v>
      </c>
      <c r="I100" s="13">
        <f t="shared" si="6"/>
        <v>0</v>
      </c>
      <c r="J100" s="14" t="str">
        <f t="shared" si="7"/>
        <v>Qualificado</v>
      </c>
      <c r="K100" s="11">
        <v>46348</v>
      </c>
      <c r="L100" s="9" t="s">
        <v>145</v>
      </c>
      <c r="M100" s="16">
        <f t="shared" si="8"/>
        <v>47079</v>
      </c>
    </row>
    <row r="101" spans="1:13" ht="16.05" customHeight="1" x14ac:dyDescent="0.3">
      <c r="A101" s="9" t="s">
        <v>233</v>
      </c>
      <c r="B101" s="9" t="s">
        <v>233</v>
      </c>
      <c r="C101" s="9" t="s">
        <v>118</v>
      </c>
      <c r="D101" s="9" t="s">
        <v>173</v>
      </c>
      <c r="E101" s="9" t="s">
        <v>171</v>
      </c>
      <c r="F101" s="14" t="str">
        <f>IFERROR(INDEX(tbl_competencias[Competencia],MATCH(E101,tbl_competencias[ID_Competencia],0)),"")</f>
        <v>Operação e autocontrolo de sopro ISBM (preformas, perfil de aquecimento)</v>
      </c>
      <c r="G101" s="15">
        <v>3</v>
      </c>
      <c r="H101" s="15">
        <v>3</v>
      </c>
      <c r="I101" s="13">
        <f t="shared" ref="I101:I132" si="9">MAX(0,G101-H101)</f>
        <v>0</v>
      </c>
      <c r="J101" s="14" t="str">
        <f t="shared" ref="J101:J132" si="10">IF(I101=0,IF(H101&gt;=4,"Formador","Qualificado"),IF(H101&gt;=G101-1,"Em formação","Lacuna"))</f>
        <v>Qualificado</v>
      </c>
      <c r="K101" s="11">
        <v>46038</v>
      </c>
      <c r="L101" s="9" t="s">
        <v>145</v>
      </c>
      <c r="M101" s="16">
        <f t="shared" ref="M101:M132" si="11">IF(K101="","",EDATE(K101,24))</f>
        <v>46768</v>
      </c>
    </row>
    <row r="102" spans="1:13" ht="16.05" customHeight="1" x14ac:dyDescent="0.3">
      <c r="A102" s="9" t="s">
        <v>233</v>
      </c>
      <c r="B102" s="9" t="s">
        <v>233</v>
      </c>
      <c r="C102" s="9" t="s">
        <v>118</v>
      </c>
      <c r="D102" s="9" t="s">
        <v>173</v>
      </c>
      <c r="E102" s="9" t="s">
        <v>152</v>
      </c>
      <c r="F102" s="14" t="str">
        <f>IFERROR(INDEX(tbl_competencias[Competencia],MATCH(E102,tbl_competencias[ID_Competencia],0)),"")</f>
        <v>Inspeção visual em cabine D65 (defeitos por atributos)</v>
      </c>
      <c r="G102" s="15">
        <v>2</v>
      </c>
      <c r="H102" s="15">
        <v>2</v>
      </c>
      <c r="I102" s="13">
        <f t="shared" si="9"/>
        <v>0</v>
      </c>
      <c r="J102" s="14" t="str">
        <f t="shared" si="10"/>
        <v>Qualificado</v>
      </c>
      <c r="K102" s="11">
        <v>46246</v>
      </c>
      <c r="L102" s="9" t="s">
        <v>145</v>
      </c>
      <c r="M102" s="16">
        <f t="shared" si="11"/>
        <v>46977</v>
      </c>
    </row>
    <row r="103" spans="1:13" ht="16.05" customHeight="1" x14ac:dyDescent="0.3">
      <c r="A103" s="9" t="s">
        <v>233</v>
      </c>
      <c r="B103" s="9" t="s">
        <v>233</v>
      </c>
      <c r="C103" s="9" t="s">
        <v>118</v>
      </c>
      <c r="D103" s="9" t="s">
        <v>173</v>
      </c>
      <c r="E103" s="9" t="s">
        <v>157</v>
      </c>
      <c r="F103" s="14" t="str">
        <f>IFERROR(INDEX(tbl_competencias[Competencia],MATCH(E103,tbl_competencias[ID_Competencia],0)),"")</f>
        <v>Medição dimensional e de peso (paquímetro, calibres, balança)</v>
      </c>
      <c r="G103" s="15">
        <v>2</v>
      </c>
      <c r="H103" s="15">
        <v>2</v>
      </c>
      <c r="I103" s="13">
        <f t="shared" si="9"/>
        <v>0</v>
      </c>
      <c r="J103" s="14" t="str">
        <f t="shared" si="10"/>
        <v>Qualificado</v>
      </c>
      <c r="K103" s="11">
        <v>46278</v>
      </c>
      <c r="L103" s="9" t="s">
        <v>145</v>
      </c>
      <c r="M103" s="16">
        <f t="shared" si="11"/>
        <v>47009</v>
      </c>
    </row>
    <row r="104" spans="1:13" ht="16.05" customHeight="1" x14ac:dyDescent="0.3">
      <c r="A104" s="9" t="s">
        <v>233</v>
      </c>
      <c r="B104" s="9" t="s">
        <v>233</v>
      </c>
      <c r="C104" s="9" t="s">
        <v>118</v>
      </c>
      <c r="D104" s="9" t="s">
        <v>173</v>
      </c>
      <c r="E104" s="9" t="s">
        <v>182</v>
      </c>
      <c r="F104" s="14" t="str">
        <f>IFERROR(INDEX(tbl_competencias[Competencia],MATCH(E104,tbl_competencias[ID_Competencia],0)),"")</f>
        <v>Boas práticas de fabrico e higiene (alimentar / farmacêutico)</v>
      </c>
      <c r="G104" s="15">
        <v>2</v>
      </c>
      <c r="H104" s="15">
        <v>3</v>
      </c>
      <c r="I104" s="13">
        <f t="shared" si="9"/>
        <v>0</v>
      </c>
      <c r="J104" s="14" t="str">
        <f t="shared" si="10"/>
        <v>Qualificado</v>
      </c>
      <c r="K104" s="11">
        <v>46002</v>
      </c>
      <c r="L104" s="9" t="s">
        <v>145</v>
      </c>
      <c r="M104" s="16">
        <f t="shared" si="11"/>
        <v>46732</v>
      </c>
    </row>
    <row r="105" spans="1:13" ht="16.05" customHeight="1" x14ac:dyDescent="0.3">
      <c r="A105" s="9" t="s">
        <v>233</v>
      </c>
      <c r="B105" s="9" t="s">
        <v>233</v>
      </c>
      <c r="C105" s="9" t="s">
        <v>118</v>
      </c>
      <c r="D105" s="9" t="s">
        <v>173</v>
      </c>
      <c r="E105" s="9" t="s">
        <v>185</v>
      </c>
      <c r="F105" s="14" t="str">
        <f>IFERROR(INDEX(tbl_competencias[Competencia],MATCH(E105,tbl_competencias[ID_Competencia],0)),"")</f>
        <v>Integridade de dados (ALCOA+) nos registos de qualidade</v>
      </c>
      <c r="G105" s="15">
        <v>2</v>
      </c>
      <c r="H105" s="15">
        <v>3</v>
      </c>
      <c r="I105" s="13">
        <f t="shared" si="9"/>
        <v>0</v>
      </c>
      <c r="J105" s="14" t="str">
        <f t="shared" si="10"/>
        <v>Qualificado</v>
      </c>
      <c r="K105" s="11">
        <v>46107</v>
      </c>
      <c r="L105" s="9" t="s">
        <v>145</v>
      </c>
      <c r="M105" s="16">
        <f t="shared" si="11"/>
        <v>46838</v>
      </c>
    </row>
    <row r="106" spans="1:13" ht="16.05" customHeight="1" x14ac:dyDescent="0.3">
      <c r="A106" s="9" t="s">
        <v>234</v>
      </c>
      <c r="B106" s="9" t="s">
        <v>234</v>
      </c>
      <c r="C106" s="9" t="s">
        <v>118</v>
      </c>
      <c r="D106" s="9" t="s">
        <v>173</v>
      </c>
      <c r="E106" s="9" t="s">
        <v>171</v>
      </c>
      <c r="F106" s="14" t="str">
        <f>IFERROR(INDEX(tbl_competencias[Competencia],MATCH(E106,tbl_competencias[ID_Competencia],0)),"")</f>
        <v>Operação e autocontrolo de sopro ISBM (preformas, perfil de aquecimento)</v>
      </c>
      <c r="G106" s="15">
        <v>3</v>
      </c>
      <c r="H106" s="15">
        <v>3</v>
      </c>
      <c r="I106" s="13">
        <f t="shared" si="9"/>
        <v>0</v>
      </c>
      <c r="J106" s="14" t="str">
        <f t="shared" si="10"/>
        <v>Qualificado</v>
      </c>
      <c r="K106" s="11">
        <v>46121</v>
      </c>
      <c r="L106" s="9" t="s">
        <v>145</v>
      </c>
      <c r="M106" s="16">
        <f t="shared" si="11"/>
        <v>46852</v>
      </c>
    </row>
    <row r="107" spans="1:13" ht="16.05" customHeight="1" x14ac:dyDescent="0.3">
      <c r="A107" s="9" t="s">
        <v>234</v>
      </c>
      <c r="B107" s="9" t="s">
        <v>234</v>
      </c>
      <c r="C107" s="9" t="s">
        <v>118</v>
      </c>
      <c r="D107" s="9" t="s">
        <v>173</v>
      </c>
      <c r="E107" s="9" t="s">
        <v>152</v>
      </c>
      <c r="F107" s="14" t="str">
        <f>IFERROR(INDEX(tbl_competencias[Competencia],MATCH(E107,tbl_competencias[ID_Competencia],0)),"")</f>
        <v>Inspeção visual em cabine D65 (defeitos por atributos)</v>
      </c>
      <c r="G107" s="15">
        <v>2</v>
      </c>
      <c r="H107" s="15">
        <v>3</v>
      </c>
      <c r="I107" s="13">
        <f t="shared" si="9"/>
        <v>0</v>
      </c>
      <c r="J107" s="14" t="str">
        <f t="shared" si="10"/>
        <v>Qualificado</v>
      </c>
      <c r="K107" s="11">
        <v>46319</v>
      </c>
      <c r="L107" s="9" t="s">
        <v>145</v>
      </c>
      <c r="M107" s="16">
        <f t="shared" si="11"/>
        <v>47050</v>
      </c>
    </row>
    <row r="108" spans="1:13" ht="16.05" customHeight="1" x14ac:dyDescent="0.3">
      <c r="A108" s="9" t="s">
        <v>234</v>
      </c>
      <c r="B108" s="9" t="s">
        <v>234</v>
      </c>
      <c r="C108" s="9" t="s">
        <v>118</v>
      </c>
      <c r="D108" s="9" t="s">
        <v>173</v>
      </c>
      <c r="E108" s="9" t="s">
        <v>157</v>
      </c>
      <c r="F108" s="14" t="str">
        <f>IFERROR(INDEX(tbl_competencias[Competencia],MATCH(E108,tbl_competencias[ID_Competencia],0)),"")</f>
        <v>Medição dimensional e de peso (paquímetro, calibres, balança)</v>
      </c>
      <c r="G108" s="15">
        <v>2</v>
      </c>
      <c r="H108" s="15">
        <v>3</v>
      </c>
      <c r="I108" s="13">
        <f t="shared" si="9"/>
        <v>0</v>
      </c>
      <c r="J108" s="14" t="str">
        <f t="shared" si="10"/>
        <v>Qualificado</v>
      </c>
      <c r="K108" s="11">
        <v>46292</v>
      </c>
      <c r="L108" s="9" t="s">
        <v>145</v>
      </c>
      <c r="M108" s="16">
        <f t="shared" si="11"/>
        <v>47023</v>
      </c>
    </row>
    <row r="109" spans="1:13" ht="16.05" customHeight="1" x14ac:dyDescent="0.3">
      <c r="A109" s="9" t="s">
        <v>234</v>
      </c>
      <c r="B109" s="9" t="s">
        <v>234</v>
      </c>
      <c r="C109" s="9" t="s">
        <v>118</v>
      </c>
      <c r="D109" s="9" t="s">
        <v>173</v>
      </c>
      <c r="E109" s="9" t="s">
        <v>182</v>
      </c>
      <c r="F109" s="14" t="str">
        <f>IFERROR(INDEX(tbl_competencias[Competencia],MATCH(E109,tbl_competencias[ID_Competencia],0)),"")</f>
        <v>Boas práticas de fabrico e higiene (alimentar / farmacêutico)</v>
      </c>
      <c r="G109" s="15">
        <v>2</v>
      </c>
      <c r="H109" s="15">
        <v>2</v>
      </c>
      <c r="I109" s="13">
        <f t="shared" si="9"/>
        <v>0</v>
      </c>
      <c r="J109" s="14" t="str">
        <f t="shared" si="10"/>
        <v>Qualificado</v>
      </c>
      <c r="K109" s="11">
        <v>46222</v>
      </c>
      <c r="L109" s="9" t="s">
        <v>145</v>
      </c>
      <c r="M109" s="16">
        <f t="shared" si="11"/>
        <v>46953</v>
      </c>
    </row>
    <row r="110" spans="1:13" ht="16.05" customHeight="1" x14ac:dyDescent="0.3">
      <c r="A110" s="9" t="s">
        <v>234</v>
      </c>
      <c r="B110" s="9" t="s">
        <v>234</v>
      </c>
      <c r="C110" s="9" t="s">
        <v>118</v>
      </c>
      <c r="D110" s="9" t="s">
        <v>173</v>
      </c>
      <c r="E110" s="9" t="s">
        <v>185</v>
      </c>
      <c r="F110" s="14" t="str">
        <f>IFERROR(INDEX(tbl_competencias[Competencia],MATCH(E110,tbl_competencias[ID_Competencia],0)),"")</f>
        <v>Integridade de dados (ALCOA+) nos registos de qualidade</v>
      </c>
      <c r="G110" s="15">
        <v>2</v>
      </c>
      <c r="H110" s="15">
        <v>2</v>
      </c>
      <c r="I110" s="13">
        <f t="shared" si="9"/>
        <v>0</v>
      </c>
      <c r="J110" s="14" t="str">
        <f t="shared" si="10"/>
        <v>Qualificado</v>
      </c>
      <c r="K110" s="11">
        <v>46089</v>
      </c>
      <c r="L110" s="9" t="s">
        <v>145</v>
      </c>
      <c r="M110" s="16">
        <f t="shared" si="11"/>
        <v>46820</v>
      </c>
    </row>
    <row r="111" spans="1:13" ht="16.05" customHeight="1" x14ac:dyDescent="0.3">
      <c r="A111" s="9" t="s">
        <v>235</v>
      </c>
      <c r="B111" s="9" t="s">
        <v>235</v>
      </c>
      <c r="C111" s="9" t="s">
        <v>118</v>
      </c>
      <c r="D111" s="9" t="s">
        <v>173</v>
      </c>
      <c r="E111" s="9" t="s">
        <v>171</v>
      </c>
      <c r="F111" s="14" t="str">
        <f>IFERROR(INDEX(tbl_competencias[Competencia],MATCH(E111,tbl_competencias[ID_Competencia],0)),"")</f>
        <v>Operação e autocontrolo de sopro ISBM (preformas, perfil de aquecimento)</v>
      </c>
      <c r="G111" s="15">
        <v>3</v>
      </c>
      <c r="H111" s="15">
        <v>4</v>
      </c>
      <c r="I111" s="13">
        <f t="shared" si="9"/>
        <v>0</v>
      </c>
      <c r="J111" s="14" t="str">
        <f t="shared" si="10"/>
        <v>Formador</v>
      </c>
      <c r="K111" s="11">
        <v>46346</v>
      </c>
      <c r="L111" s="9" t="s">
        <v>145</v>
      </c>
      <c r="M111" s="16">
        <f t="shared" si="11"/>
        <v>47077</v>
      </c>
    </row>
    <row r="112" spans="1:13" ht="16.05" customHeight="1" x14ac:dyDescent="0.3">
      <c r="A112" s="9" t="s">
        <v>235</v>
      </c>
      <c r="B112" s="9" t="s">
        <v>235</v>
      </c>
      <c r="C112" s="9" t="s">
        <v>118</v>
      </c>
      <c r="D112" s="9" t="s">
        <v>173</v>
      </c>
      <c r="E112" s="9" t="s">
        <v>152</v>
      </c>
      <c r="F112" s="14" t="str">
        <f>IFERROR(INDEX(tbl_competencias[Competencia],MATCH(E112,tbl_competencias[ID_Competencia],0)),"")</f>
        <v>Inspeção visual em cabine D65 (defeitos por atributos)</v>
      </c>
      <c r="G112" s="15">
        <v>2</v>
      </c>
      <c r="H112" s="15">
        <v>2</v>
      </c>
      <c r="I112" s="13">
        <f t="shared" si="9"/>
        <v>0</v>
      </c>
      <c r="J112" s="14" t="str">
        <f t="shared" si="10"/>
        <v>Qualificado</v>
      </c>
      <c r="K112" s="11">
        <v>46339</v>
      </c>
      <c r="L112" s="9" t="s">
        <v>145</v>
      </c>
      <c r="M112" s="16">
        <f t="shared" si="11"/>
        <v>47070</v>
      </c>
    </row>
    <row r="113" spans="1:13" ht="16.05" customHeight="1" x14ac:dyDescent="0.3">
      <c r="A113" s="9" t="s">
        <v>235</v>
      </c>
      <c r="B113" s="9" t="s">
        <v>235</v>
      </c>
      <c r="C113" s="9" t="s">
        <v>118</v>
      </c>
      <c r="D113" s="9" t="s">
        <v>173</v>
      </c>
      <c r="E113" s="9" t="s">
        <v>157</v>
      </c>
      <c r="F113" s="14" t="str">
        <f>IFERROR(INDEX(tbl_competencias[Competencia],MATCH(E113,tbl_competencias[ID_Competencia],0)),"")</f>
        <v>Medição dimensional e de peso (paquímetro, calibres, balança)</v>
      </c>
      <c r="G113" s="15">
        <v>2</v>
      </c>
      <c r="H113" s="15">
        <v>3</v>
      </c>
      <c r="I113" s="13">
        <f t="shared" si="9"/>
        <v>0</v>
      </c>
      <c r="J113" s="14" t="str">
        <f t="shared" si="10"/>
        <v>Qualificado</v>
      </c>
      <c r="K113" s="11">
        <v>46132</v>
      </c>
      <c r="L113" s="9" t="s">
        <v>145</v>
      </c>
      <c r="M113" s="16">
        <f t="shared" si="11"/>
        <v>46863</v>
      </c>
    </row>
    <row r="114" spans="1:13" ht="16.05" customHeight="1" x14ac:dyDescent="0.3">
      <c r="A114" s="9" t="s">
        <v>235</v>
      </c>
      <c r="B114" s="9" t="s">
        <v>235</v>
      </c>
      <c r="C114" s="9" t="s">
        <v>118</v>
      </c>
      <c r="D114" s="9" t="s">
        <v>173</v>
      </c>
      <c r="E114" s="9" t="s">
        <v>182</v>
      </c>
      <c r="F114" s="14" t="str">
        <f>IFERROR(INDEX(tbl_competencias[Competencia],MATCH(E114,tbl_competencias[ID_Competencia],0)),"")</f>
        <v>Boas práticas de fabrico e higiene (alimentar / farmacêutico)</v>
      </c>
      <c r="G114" s="15">
        <v>2</v>
      </c>
      <c r="H114" s="15">
        <v>3</v>
      </c>
      <c r="I114" s="13">
        <f t="shared" si="9"/>
        <v>0</v>
      </c>
      <c r="J114" s="14" t="str">
        <f t="shared" si="10"/>
        <v>Qualificado</v>
      </c>
      <c r="K114" s="11">
        <v>46326</v>
      </c>
      <c r="L114" s="9" t="s">
        <v>145</v>
      </c>
      <c r="M114" s="16">
        <f t="shared" si="11"/>
        <v>47057</v>
      </c>
    </row>
    <row r="115" spans="1:13" ht="16.05" customHeight="1" x14ac:dyDescent="0.3">
      <c r="A115" s="9" t="s">
        <v>235</v>
      </c>
      <c r="B115" s="9" t="s">
        <v>235</v>
      </c>
      <c r="C115" s="9" t="s">
        <v>118</v>
      </c>
      <c r="D115" s="9" t="s">
        <v>173</v>
      </c>
      <c r="E115" s="9" t="s">
        <v>185</v>
      </c>
      <c r="F115" s="14" t="str">
        <f>IFERROR(INDEX(tbl_competencias[Competencia],MATCH(E115,tbl_competencias[ID_Competencia],0)),"")</f>
        <v>Integridade de dados (ALCOA+) nos registos de qualidade</v>
      </c>
      <c r="G115" s="15">
        <v>2</v>
      </c>
      <c r="H115" s="15">
        <v>2</v>
      </c>
      <c r="I115" s="13">
        <f t="shared" si="9"/>
        <v>0</v>
      </c>
      <c r="J115" s="14" t="str">
        <f t="shared" si="10"/>
        <v>Qualificado</v>
      </c>
      <c r="K115" s="11">
        <v>46116</v>
      </c>
      <c r="L115" s="9" t="s">
        <v>145</v>
      </c>
      <c r="M115" s="16">
        <f t="shared" si="11"/>
        <v>46847</v>
      </c>
    </row>
    <row r="116" spans="1:13" ht="16.05" customHeight="1" x14ac:dyDescent="0.3">
      <c r="A116" s="9" t="s">
        <v>236</v>
      </c>
      <c r="B116" s="9" t="s">
        <v>236</v>
      </c>
      <c r="C116" s="9" t="s">
        <v>118</v>
      </c>
      <c r="D116" s="9" t="s">
        <v>173</v>
      </c>
      <c r="E116" s="9" t="s">
        <v>171</v>
      </c>
      <c r="F116" s="14" t="str">
        <f>IFERROR(INDEX(tbl_competencias[Competencia],MATCH(E116,tbl_competencias[ID_Competencia],0)),"")</f>
        <v>Operação e autocontrolo de sopro ISBM (preformas, perfil de aquecimento)</v>
      </c>
      <c r="G116" s="15">
        <v>3</v>
      </c>
      <c r="H116" s="15">
        <v>3</v>
      </c>
      <c r="I116" s="13">
        <f t="shared" si="9"/>
        <v>0</v>
      </c>
      <c r="J116" s="14" t="str">
        <f t="shared" si="10"/>
        <v>Qualificado</v>
      </c>
      <c r="K116" s="11">
        <v>46351</v>
      </c>
      <c r="L116" s="9" t="s">
        <v>145</v>
      </c>
      <c r="M116" s="16">
        <f t="shared" si="11"/>
        <v>47082</v>
      </c>
    </row>
    <row r="117" spans="1:13" ht="16.05" customHeight="1" x14ac:dyDescent="0.3">
      <c r="A117" s="9" t="s">
        <v>236</v>
      </c>
      <c r="B117" s="9" t="s">
        <v>236</v>
      </c>
      <c r="C117" s="9" t="s">
        <v>118</v>
      </c>
      <c r="D117" s="9" t="s">
        <v>173</v>
      </c>
      <c r="E117" s="9" t="s">
        <v>152</v>
      </c>
      <c r="F117" s="14" t="str">
        <f>IFERROR(INDEX(tbl_competencias[Competencia],MATCH(E117,tbl_competencias[ID_Competencia],0)),"")</f>
        <v>Inspeção visual em cabine D65 (defeitos por atributos)</v>
      </c>
      <c r="G117" s="15">
        <v>2</v>
      </c>
      <c r="H117" s="15">
        <v>2</v>
      </c>
      <c r="I117" s="13">
        <f t="shared" si="9"/>
        <v>0</v>
      </c>
      <c r="J117" s="14" t="str">
        <f t="shared" si="10"/>
        <v>Qualificado</v>
      </c>
      <c r="K117" s="11">
        <v>46195</v>
      </c>
      <c r="L117" s="9" t="s">
        <v>145</v>
      </c>
      <c r="M117" s="16">
        <f t="shared" si="11"/>
        <v>46926</v>
      </c>
    </row>
    <row r="118" spans="1:13" ht="16.05" customHeight="1" x14ac:dyDescent="0.3">
      <c r="A118" s="9" t="s">
        <v>236</v>
      </c>
      <c r="B118" s="9" t="s">
        <v>236</v>
      </c>
      <c r="C118" s="9" t="s">
        <v>118</v>
      </c>
      <c r="D118" s="9" t="s">
        <v>173</v>
      </c>
      <c r="E118" s="9" t="s">
        <v>157</v>
      </c>
      <c r="F118" s="14" t="str">
        <f>IFERROR(INDEX(tbl_competencias[Competencia],MATCH(E118,tbl_competencias[ID_Competencia],0)),"")</f>
        <v>Medição dimensional e de peso (paquímetro, calibres, balança)</v>
      </c>
      <c r="G118" s="15">
        <v>2</v>
      </c>
      <c r="H118" s="15">
        <v>2</v>
      </c>
      <c r="I118" s="13">
        <f t="shared" si="9"/>
        <v>0</v>
      </c>
      <c r="J118" s="14" t="str">
        <f t="shared" si="10"/>
        <v>Qualificado</v>
      </c>
      <c r="K118" s="11">
        <v>46118</v>
      </c>
      <c r="L118" s="9" t="s">
        <v>145</v>
      </c>
      <c r="M118" s="16">
        <f t="shared" si="11"/>
        <v>46849</v>
      </c>
    </row>
    <row r="119" spans="1:13" ht="16.05" customHeight="1" x14ac:dyDescent="0.3">
      <c r="A119" s="9" t="s">
        <v>236</v>
      </c>
      <c r="B119" s="9" t="s">
        <v>236</v>
      </c>
      <c r="C119" s="9" t="s">
        <v>118</v>
      </c>
      <c r="D119" s="9" t="s">
        <v>173</v>
      </c>
      <c r="E119" s="9" t="s">
        <v>182</v>
      </c>
      <c r="F119" s="14" t="str">
        <f>IFERROR(INDEX(tbl_competencias[Competencia],MATCH(E119,tbl_competencias[ID_Competencia],0)),"")</f>
        <v>Boas práticas de fabrico e higiene (alimentar / farmacêutico)</v>
      </c>
      <c r="G119" s="15">
        <v>2</v>
      </c>
      <c r="H119" s="15">
        <v>1</v>
      </c>
      <c r="I119" s="13">
        <f t="shared" si="9"/>
        <v>1</v>
      </c>
      <c r="J119" s="14" t="str">
        <f t="shared" si="10"/>
        <v>Em formação</v>
      </c>
      <c r="K119" s="11"/>
      <c r="L119" s="9"/>
      <c r="M119" s="16" t="str">
        <f t="shared" si="11"/>
        <v/>
      </c>
    </row>
    <row r="120" spans="1:13" ht="16.05" customHeight="1" x14ac:dyDescent="0.3">
      <c r="A120" s="9" t="s">
        <v>236</v>
      </c>
      <c r="B120" s="9" t="s">
        <v>236</v>
      </c>
      <c r="C120" s="9" t="s">
        <v>118</v>
      </c>
      <c r="D120" s="9" t="s">
        <v>173</v>
      </c>
      <c r="E120" s="9" t="s">
        <v>185</v>
      </c>
      <c r="F120" s="14" t="str">
        <f>IFERROR(INDEX(tbl_competencias[Competencia],MATCH(E120,tbl_competencias[ID_Competencia],0)),"")</f>
        <v>Integridade de dados (ALCOA+) nos registos de qualidade</v>
      </c>
      <c r="G120" s="15">
        <v>2</v>
      </c>
      <c r="H120" s="15">
        <v>1</v>
      </c>
      <c r="I120" s="13">
        <f t="shared" si="9"/>
        <v>1</v>
      </c>
      <c r="J120" s="14" t="str">
        <f t="shared" si="10"/>
        <v>Em formação</v>
      </c>
      <c r="K120" s="11"/>
      <c r="L120" s="9"/>
      <c r="M120" s="16" t="str">
        <f t="shared" si="11"/>
        <v/>
      </c>
    </row>
    <row r="121" spans="1:13" ht="16.05" customHeight="1" x14ac:dyDescent="0.3">
      <c r="A121" s="9" t="s">
        <v>237</v>
      </c>
      <c r="B121" s="9" t="s">
        <v>237</v>
      </c>
      <c r="C121" s="9" t="s">
        <v>118</v>
      </c>
      <c r="D121" s="9" t="s">
        <v>173</v>
      </c>
      <c r="E121" s="9" t="s">
        <v>171</v>
      </c>
      <c r="F121" s="14" t="str">
        <f>IFERROR(INDEX(tbl_competencias[Competencia],MATCH(E121,tbl_competencias[ID_Competencia],0)),"")</f>
        <v>Operação e autocontrolo de sopro ISBM (preformas, perfil de aquecimento)</v>
      </c>
      <c r="G121" s="15">
        <v>3</v>
      </c>
      <c r="H121" s="15">
        <v>3</v>
      </c>
      <c r="I121" s="13">
        <f t="shared" si="9"/>
        <v>0</v>
      </c>
      <c r="J121" s="14" t="str">
        <f t="shared" si="10"/>
        <v>Qualificado</v>
      </c>
      <c r="K121" s="11">
        <v>46357</v>
      </c>
      <c r="L121" s="9" t="s">
        <v>145</v>
      </c>
      <c r="M121" s="16">
        <f t="shared" si="11"/>
        <v>47088</v>
      </c>
    </row>
    <row r="122" spans="1:13" ht="16.05" customHeight="1" x14ac:dyDescent="0.3">
      <c r="A122" s="9" t="s">
        <v>237</v>
      </c>
      <c r="B122" s="9" t="s">
        <v>237</v>
      </c>
      <c r="C122" s="9" t="s">
        <v>118</v>
      </c>
      <c r="D122" s="9" t="s">
        <v>173</v>
      </c>
      <c r="E122" s="9" t="s">
        <v>152</v>
      </c>
      <c r="F122" s="14" t="str">
        <f>IFERROR(INDEX(tbl_competencias[Competencia],MATCH(E122,tbl_competencias[ID_Competencia],0)),"")</f>
        <v>Inspeção visual em cabine D65 (defeitos por atributos)</v>
      </c>
      <c r="G122" s="15">
        <v>2</v>
      </c>
      <c r="H122" s="15">
        <v>2</v>
      </c>
      <c r="I122" s="13">
        <f t="shared" si="9"/>
        <v>0</v>
      </c>
      <c r="J122" s="14" t="str">
        <f t="shared" si="10"/>
        <v>Qualificado</v>
      </c>
      <c r="K122" s="11">
        <v>46156</v>
      </c>
      <c r="L122" s="9" t="s">
        <v>145</v>
      </c>
      <c r="M122" s="16">
        <f t="shared" si="11"/>
        <v>46887</v>
      </c>
    </row>
    <row r="123" spans="1:13" ht="16.05" customHeight="1" x14ac:dyDescent="0.3">
      <c r="A123" s="9" t="s">
        <v>237</v>
      </c>
      <c r="B123" s="9" t="s">
        <v>237</v>
      </c>
      <c r="C123" s="9" t="s">
        <v>118</v>
      </c>
      <c r="D123" s="9" t="s">
        <v>173</v>
      </c>
      <c r="E123" s="9" t="s">
        <v>157</v>
      </c>
      <c r="F123" s="14" t="str">
        <f>IFERROR(INDEX(tbl_competencias[Competencia],MATCH(E123,tbl_competencias[ID_Competencia],0)),"")</f>
        <v>Medição dimensional e de peso (paquímetro, calibres, balança)</v>
      </c>
      <c r="G123" s="15">
        <v>2</v>
      </c>
      <c r="H123" s="15">
        <v>1</v>
      </c>
      <c r="I123" s="13">
        <f t="shared" si="9"/>
        <v>1</v>
      </c>
      <c r="J123" s="14" t="str">
        <f t="shared" si="10"/>
        <v>Em formação</v>
      </c>
      <c r="K123" s="11"/>
      <c r="L123" s="9"/>
      <c r="M123" s="16" t="str">
        <f t="shared" si="11"/>
        <v/>
      </c>
    </row>
    <row r="124" spans="1:13" ht="16.05" customHeight="1" x14ac:dyDescent="0.3">
      <c r="A124" s="9" t="s">
        <v>237</v>
      </c>
      <c r="B124" s="9" t="s">
        <v>237</v>
      </c>
      <c r="C124" s="9" t="s">
        <v>118</v>
      </c>
      <c r="D124" s="9" t="s">
        <v>173</v>
      </c>
      <c r="E124" s="9" t="s">
        <v>182</v>
      </c>
      <c r="F124" s="14" t="str">
        <f>IFERROR(INDEX(tbl_competencias[Competencia],MATCH(E124,tbl_competencias[ID_Competencia],0)),"")</f>
        <v>Boas práticas de fabrico e higiene (alimentar / farmacêutico)</v>
      </c>
      <c r="G124" s="15">
        <v>2</v>
      </c>
      <c r="H124" s="15">
        <v>2</v>
      </c>
      <c r="I124" s="13">
        <f t="shared" si="9"/>
        <v>0</v>
      </c>
      <c r="J124" s="14" t="str">
        <f t="shared" si="10"/>
        <v>Qualificado</v>
      </c>
      <c r="K124" s="11">
        <v>46054</v>
      </c>
      <c r="L124" s="9" t="s">
        <v>145</v>
      </c>
      <c r="M124" s="16">
        <f t="shared" si="11"/>
        <v>46784</v>
      </c>
    </row>
    <row r="125" spans="1:13" ht="16.05" customHeight="1" x14ac:dyDescent="0.3">
      <c r="A125" s="9" t="s">
        <v>237</v>
      </c>
      <c r="B125" s="9" t="s">
        <v>237</v>
      </c>
      <c r="C125" s="9" t="s">
        <v>118</v>
      </c>
      <c r="D125" s="9" t="s">
        <v>173</v>
      </c>
      <c r="E125" s="9" t="s">
        <v>185</v>
      </c>
      <c r="F125" s="14" t="str">
        <f>IFERROR(INDEX(tbl_competencias[Competencia],MATCH(E125,tbl_competencias[ID_Competencia],0)),"")</f>
        <v>Integridade de dados (ALCOA+) nos registos de qualidade</v>
      </c>
      <c r="G125" s="15">
        <v>2</v>
      </c>
      <c r="H125" s="15">
        <v>2</v>
      </c>
      <c r="I125" s="13">
        <f t="shared" si="9"/>
        <v>0</v>
      </c>
      <c r="J125" s="14" t="str">
        <f t="shared" si="10"/>
        <v>Qualificado</v>
      </c>
      <c r="K125" s="11">
        <v>46028</v>
      </c>
      <c r="L125" s="9" t="s">
        <v>145</v>
      </c>
      <c r="M125" s="16">
        <f t="shared" si="11"/>
        <v>46758</v>
      </c>
    </row>
    <row r="126" spans="1:13" ht="16.05" customHeight="1" x14ac:dyDescent="0.3">
      <c r="A126" s="9" t="s">
        <v>238</v>
      </c>
      <c r="B126" s="9" t="s">
        <v>238</v>
      </c>
      <c r="C126" s="9" t="s">
        <v>118</v>
      </c>
      <c r="D126" s="9" t="s">
        <v>173</v>
      </c>
      <c r="E126" s="9" t="s">
        <v>171</v>
      </c>
      <c r="F126" s="14" t="str">
        <f>IFERROR(INDEX(tbl_competencias[Competencia],MATCH(E126,tbl_competencias[ID_Competencia],0)),"")</f>
        <v>Operação e autocontrolo de sopro ISBM (preformas, perfil de aquecimento)</v>
      </c>
      <c r="G126" s="15">
        <v>3</v>
      </c>
      <c r="H126" s="15">
        <v>3</v>
      </c>
      <c r="I126" s="13">
        <f t="shared" si="9"/>
        <v>0</v>
      </c>
      <c r="J126" s="14" t="str">
        <f t="shared" si="10"/>
        <v>Qualificado</v>
      </c>
      <c r="K126" s="11">
        <v>46075</v>
      </c>
      <c r="L126" s="9" t="s">
        <v>145</v>
      </c>
      <c r="M126" s="16">
        <f t="shared" si="11"/>
        <v>46805</v>
      </c>
    </row>
    <row r="127" spans="1:13" ht="16.05" customHeight="1" x14ac:dyDescent="0.3">
      <c r="A127" s="9" t="s">
        <v>238</v>
      </c>
      <c r="B127" s="9" t="s">
        <v>238</v>
      </c>
      <c r="C127" s="9" t="s">
        <v>118</v>
      </c>
      <c r="D127" s="9" t="s">
        <v>173</v>
      </c>
      <c r="E127" s="9" t="s">
        <v>152</v>
      </c>
      <c r="F127" s="14" t="str">
        <f>IFERROR(INDEX(tbl_competencias[Competencia],MATCH(E127,tbl_competencias[ID_Competencia],0)),"")</f>
        <v>Inspeção visual em cabine D65 (defeitos por atributos)</v>
      </c>
      <c r="G127" s="15">
        <v>2</v>
      </c>
      <c r="H127" s="15">
        <v>2</v>
      </c>
      <c r="I127" s="13">
        <f t="shared" si="9"/>
        <v>0</v>
      </c>
      <c r="J127" s="14" t="str">
        <f t="shared" si="10"/>
        <v>Qualificado</v>
      </c>
      <c r="K127" s="11">
        <v>46225</v>
      </c>
      <c r="L127" s="9" t="s">
        <v>145</v>
      </c>
      <c r="M127" s="16">
        <f t="shared" si="11"/>
        <v>46956</v>
      </c>
    </row>
    <row r="128" spans="1:13" ht="16.05" customHeight="1" x14ac:dyDescent="0.3">
      <c r="A128" s="9" t="s">
        <v>238</v>
      </c>
      <c r="B128" s="9" t="s">
        <v>238</v>
      </c>
      <c r="C128" s="9" t="s">
        <v>118</v>
      </c>
      <c r="D128" s="9" t="s">
        <v>173</v>
      </c>
      <c r="E128" s="9" t="s">
        <v>157</v>
      </c>
      <c r="F128" s="14" t="str">
        <f>IFERROR(INDEX(tbl_competencias[Competencia],MATCH(E128,tbl_competencias[ID_Competencia],0)),"")</f>
        <v>Medição dimensional e de peso (paquímetro, calibres, balança)</v>
      </c>
      <c r="G128" s="15">
        <v>2</v>
      </c>
      <c r="H128" s="15">
        <v>2</v>
      </c>
      <c r="I128" s="13">
        <f t="shared" si="9"/>
        <v>0</v>
      </c>
      <c r="J128" s="14" t="str">
        <f t="shared" si="10"/>
        <v>Qualificado</v>
      </c>
      <c r="K128" s="11">
        <v>46315</v>
      </c>
      <c r="L128" s="9" t="s">
        <v>145</v>
      </c>
      <c r="M128" s="16">
        <f t="shared" si="11"/>
        <v>47046</v>
      </c>
    </row>
    <row r="129" spans="1:13" ht="16.05" customHeight="1" x14ac:dyDescent="0.3">
      <c r="A129" s="9" t="s">
        <v>238</v>
      </c>
      <c r="B129" s="9" t="s">
        <v>238</v>
      </c>
      <c r="C129" s="9" t="s">
        <v>118</v>
      </c>
      <c r="D129" s="9" t="s">
        <v>173</v>
      </c>
      <c r="E129" s="9" t="s">
        <v>182</v>
      </c>
      <c r="F129" s="14" t="str">
        <f>IFERROR(INDEX(tbl_competencias[Competencia],MATCH(E129,tbl_competencias[ID_Competencia],0)),"")</f>
        <v>Boas práticas de fabrico e higiene (alimentar / farmacêutico)</v>
      </c>
      <c r="G129" s="15">
        <v>2</v>
      </c>
      <c r="H129" s="15">
        <v>2</v>
      </c>
      <c r="I129" s="13">
        <f t="shared" si="9"/>
        <v>0</v>
      </c>
      <c r="J129" s="14" t="str">
        <f t="shared" si="10"/>
        <v>Qualificado</v>
      </c>
      <c r="K129" s="11">
        <v>46343</v>
      </c>
      <c r="L129" s="9" t="s">
        <v>145</v>
      </c>
      <c r="M129" s="16">
        <f t="shared" si="11"/>
        <v>47074</v>
      </c>
    </row>
    <row r="130" spans="1:13" ht="16.05" customHeight="1" x14ac:dyDescent="0.3">
      <c r="A130" s="9" t="s">
        <v>238</v>
      </c>
      <c r="B130" s="9" t="s">
        <v>238</v>
      </c>
      <c r="C130" s="9" t="s">
        <v>118</v>
      </c>
      <c r="D130" s="9" t="s">
        <v>173</v>
      </c>
      <c r="E130" s="9" t="s">
        <v>185</v>
      </c>
      <c r="F130" s="14" t="str">
        <f>IFERROR(INDEX(tbl_competencias[Competencia],MATCH(E130,tbl_competencias[ID_Competencia],0)),"")</f>
        <v>Integridade de dados (ALCOA+) nos registos de qualidade</v>
      </c>
      <c r="G130" s="15">
        <v>2</v>
      </c>
      <c r="H130" s="15">
        <v>2</v>
      </c>
      <c r="I130" s="13">
        <f t="shared" si="9"/>
        <v>0</v>
      </c>
      <c r="J130" s="14" t="str">
        <f t="shared" si="10"/>
        <v>Qualificado</v>
      </c>
      <c r="K130" s="11">
        <v>46210</v>
      </c>
      <c r="L130" s="9" t="s">
        <v>145</v>
      </c>
      <c r="M130" s="16">
        <f t="shared" si="11"/>
        <v>46941</v>
      </c>
    </row>
    <row r="131" spans="1:13" ht="16.05" customHeight="1" x14ac:dyDescent="0.3">
      <c r="A131" s="9" t="s">
        <v>239</v>
      </c>
      <c r="B131" s="9" t="s">
        <v>239</v>
      </c>
      <c r="C131" s="9" t="s">
        <v>121</v>
      </c>
      <c r="D131" s="9" t="s">
        <v>176</v>
      </c>
      <c r="E131" s="9" t="s">
        <v>174</v>
      </c>
      <c r="F131" s="14" t="str">
        <f>IFERROR(INDEX(tbl_competencias[Competencia],MATCH(E131,tbl_competencias[ID_Competencia],0)),"")</f>
        <v>Serigrafia: registo, cor, cura e aderência</v>
      </c>
      <c r="G131" s="15">
        <v>3</v>
      </c>
      <c r="H131" s="15">
        <v>4</v>
      </c>
      <c r="I131" s="13">
        <f t="shared" si="9"/>
        <v>0</v>
      </c>
      <c r="J131" s="14" t="str">
        <f t="shared" si="10"/>
        <v>Formador</v>
      </c>
      <c r="K131" s="11">
        <v>46302</v>
      </c>
      <c r="L131" s="9" t="s">
        <v>145</v>
      </c>
      <c r="M131" s="16">
        <f t="shared" si="11"/>
        <v>47033</v>
      </c>
    </row>
    <row r="132" spans="1:13" ht="16.05" customHeight="1" x14ac:dyDescent="0.3">
      <c r="A132" s="9" t="s">
        <v>239</v>
      </c>
      <c r="B132" s="9" t="s">
        <v>239</v>
      </c>
      <c r="C132" s="9" t="s">
        <v>121</v>
      </c>
      <c r="D132" s="9" t="s">
        <v>176</v>
      </c>
      <c r="E132" s="9" t="s">
        <v>152</v>
      </c>
      <c r="F132" s="14" t="str">
        <f>IFERROR(INDEX(tbl_competencias[Competencia],MATCH(E132,tbl_competencias[ID_Competencia],0)),"")</f>
        <v>Inspeção visual em cabine D65 (defeitos por atributos)</v>
      </c>
      <c r="G132" s="15">
        <v>2</v>
      </c>
      <c r="H132" s="15">
        <v>3</v>
      </c>
      <c r="I132" s="13">
        <f t="shared" si="9"/>
        <v>0</v>
      </c>
      <c r="J132" s="14" t="str">
        <f t="shared" si="10"/>
        <v>Qualificado</v>
      </c>
      <c r="K132" s="11">
        <v>46066</v>
      </c>
      <c r="L132" s="9" t="s">
        <v>145</v>
      </c>
      <c r="M132" s="16">
        <f t="shared" si="11"/>
        <v>46796</v>
      </c>
    </row>
    <row r="133" spans="1:13" ht="16.05" customHeight="1" x14ac:dyDescent="0.3">
      <c r="A133" s="9" t="s">
        <v>239</v>
      </c>
      <c r="B133" s="9" t="s">
        <v>239</v>
      </c>
      <c r="C133" s="9" t="s">
        <v>121</v>
      </c>
      <c r="D133" s="9" t="s">
        <v>176</v>
      </c>
      <c r="E133" s="9" t="s">
        <v>185</v>
      </c>
      <c r="F133" s="14" t="str">
        <f>IFERROR(INDEX(tbl_competencias[Competencia],MATCH(E133,tbl_competencias[ID_Competencia],0)),"")</f>
        <v>Integridade de dados (ALCOA+) nos registos de qualidade</v>
      </c>
      <c r="G133" s="15">
        <v>2</v>
      </c>
      <c r="H133" s="15">
        <v>2</v>
      </c>
      <c r="I133" s="13">
        <f t="shared" ref="I133:I164" si="12">MAX(0,G133-H133)</f>
        <v>0</v>
      </c>
      <c r="J133" s="14" t="str">
        <f t="shared" ref="J133:J164" si="13">IF(I133=0,IF(H133&gt;=4,"Formador","Qualificado"),IF(H133&gt;=G133-1,"Em formação","Lacuna"))</f>
        <v>Qualificado</v>
      </c>
      <c r="K133" s="11">
        <v>46348</v>
      </c>
      <c r="L133" s="9" t="s">
        <v>145</v>
      </c>
      <c r="M133" s="16">
        <f t="shared" ref="M133:M142" si="14">IF(K133="","",EDATE(K133,24))</f>
        <v>47079</v>
      </c>
    </row>
    <row r="134" spans="1:13" ht="16.05" customHeight="1" x14ac:dyDescent="0.3">
      <c r="A134" s="9" t="s">
        <v>240</v>
      </c>
      <c r="B134" s="9" t="s">
        <v>240</v>
      </c>
      <c r="C134" s="9" t="s">
        <v>121</v>
      </c>
      <c r="D134" s="9" t="s">
        <v>176</v>
      </c>
      <c r="E134" s="9" t="s">
        <v>174</v>
      </c>
      <c r="F134" s="14" t="str">
        <f>IFERROR(INDEX(tbl_competencias[Competencia],MATCH(E134,tbl_competencias[ID_Competencia],0)),"")</f>
        <v>Serigrafia: registo, cor, cura e aderência</v>
      </c>
      <c r="G134" s="15">
        <v>3</v>
      </c>
      <c r="H134" s="15">
        <v>3</v>
      </c>
      <c r="I134" s="13">
        <f t="shared" si="12"/>
        <v>0</v>
      </c>
      <c r="J134" s="14" t="str">
        <f t="shared" si="13"/>
        <v>Qualificado</v>
      </c>
      <c r="K134" s="11">
        <v>46334</v>
      </c>
      <c r="L134" s="9" t="s">
        <v>145</v>
      </c>
      <c r="M134" s="16">
        <f t="shared" si="14"/>
        <v>47065</v>
      </c>
    </row>
    <row r="135" spans="1:13" ht="16.05" customHeight="1" x14ac:dyDescent="0.3">
      <c r="A135" s="9" t="s">
        <v>240</v>
      </c>
      <c r="B135" s="9" t="s">
        <v>240</v>
      </c>
      <c r="C135" s="9" t="s">
        <v>121</v>
      </c>
      <c r="D135" s="9" t="s">
        <v>176</v>
      </c>
      <c r="E135" s="9" t="s">
        <v>152</v>
      </c>
      <c r="F135" s="14" t="str">
        <f>IFERROR(INDEX(tbl_competencias[Competencia],MATCH(E135,tbl_competencias[ID_Competencia],0)),"")</f>
        <v>Inspeção visual em cabine D65 (defeitos por atributos)</v>
      </c>
      <c r="G135" s="15">
        <v>2</v>
      </c>
      <c r="H135" s="15">
        <v>2</v>
      </c>
      <c r="I135" s="13">
        <f t="shared" si="12"/>
        <v>0</v>
      </c>
      <c r="J135" s="14" t="str">
        <f t="shared" si="13"/>
        <v>Qualificado</v>
      </c>
      <c r="K135" s="11">
        <v>46186</v>
      </c>
      <c r="L135" s="9" t="s">
        <v>145</v>
      </c>
      <c r="M135" s="16">
        <f t="shared" si="14"/>
        <v>46917</v>
      </c>
    </row>
    <row r="136" spans="1:13" ht="16.05" customHeight="1" x14ac:dyDescent="0.3">
      <c r="A136" s="9" t="s">
        <v>240</v>
      </c>
      <c r="B136" s="9" t="s">
        <v>240</v>
      </c>
      <c r="C136" s="9" t="s">
        <v>121</v>
      </c>
      <c r="D136" s="9" t="s">
        <v>176</v>
      </c>
      <c r="E136" s="9" t="s">
        <v>185</v>
      </c>
      <c r="F136" s="14" t="str">
        <f>IFERROR(INDEX(tbl_competencias[Competencia],MATCH(E136,tbl_competencias[ID_Competencia],0)),"")</f>
        <v>Integridade de dados (ALCOA+) nos registos de qualidade</v>
      </c>
      <c r="G136" s="15">
        <v>2</v>
      </c>
      <c r="H136" s="15">
        <v>2</v>
      </c>
      <c r="I136" s="13">
        <f t="shared" si="12"/>
        <v>0</v>
      </c>
      <c r="J136" s="14" t="str">
        <f t="shared" si="13"/>
        <v>Qualificado</v>
      </c>
      <c r="K136" s="11">
        <v>46071</v>
      </c>
      <c r="L136" s="9" t="s">
        <v>145</v>
      </c>
      <c r="M136" s="16">
        <f t="shared" si="14"/>
        <v>46801</v>
      </c>
    </row>
    <row r="137" spans="1:13" ht="16.05" customHeight="1" x14ac:dyDescent="0.3">
      <c r="A137" s="9" t="s">
        <v>241</v>
      </c>
      <c r="B137" s="9" t="s">
        <v>241</v>
      </c>
      <c r="C137" s="9" t="s">
        <v>125</v>
      </c>
      <c r="D137" s="9" t="s">
        <v>178</v>
      </c>
      <c r="E137" s="9" t="s">
        <v>126</v>
      </c>
      <c r="F137" s="14" t="str">
        <f>IFERROR(INDEX(tbl_competencias[Competencia],MATCH(E137,tbl_competencias[ID_Competencia],0)),"")</f>
        <v>Hot foil: temperatura, pressão, transferência</v>
      </c>
      <c r="G137" s="15">
        <v>3</v>
      </c>
      <c r="H137" s="15">
        <v>3</v>
      </c>
      <c r="I137" s="13">
        <f t="shared" si="12"/>
        <v>0</v>
      </c>
      <c r="J137" s="14" t="str">
        <f t="shared" si="13"/>
        <v>Qualificado</v>
      </c>
      <c r="K137" s="11">
        <v>46102</v>
      </c>
      <c r="L137" s="9" t="s">
        <v>145</v>
      </c>
      <c r="M137" s="16">
        <f t="shared" si="14"/>
        <v>46833</v>
      </c>
    </row>
    <row r="138" spans="1:13" ht="16.05" customHeight="1" x14ac:dyDescent="0.3">
      <c r="A138" s="9" t="s">
        <v>241</v>
      </c>
      <c r="B138" s="9" t="s">
        <v>241</v>
      </c>
      <c r="C138" s="9" t="s">
        <v>125</v>
      </c>
      <c r="D138" s="9" t="s">
        <v>178</v>
      </c>
      <c r="E138" s="9" t="s">
        <v>152</v>
      </c>
      <c r="F138" s="14" t="str">
        <f>IFERROR(INDEX(tbl_competencias[Competencia],MATCH(E138,tbl_competencias[ID_Competencia],0)),"")</f>
        <v>Inspeção visual em cabine D65 (defeitos por atributos)</v>
      </c>
      <c r="G138" s="15">
        <v>2</v>
      </c>
      <c r="H138" s="15">
        <v>3</v>
      </c>
      <c r="I138" s="13">
        <f t="shared" si="12"/>
        <v>0</v>
      </c>
      <c r="J138" s="14" t="str">
        <f t="shared" si="13"/>
        <v>Qualificado</v>
      </c>
      <c r="K138" s="11">
        <v>46209</v>
      </c>
      <c r="L138" s="9" t="s">
        <v>145</v>
      </c>
      <c r="M138" s="16">
        <f t="shared" si="14"/>
        <v>46940</v>
      </c>
    </row>
    <row r="139" spans="1:13" ht="16.05" customHeight="1" x14ac:dyDescent="0.3">
      <c r="A139" s="9" t="s">
        <v>241</v>
      </c>
      <c r="B139" s="9" t="s">
        <v>241</v>
      </c>
      <c r="C139" s="9" t="s">
        <v>125</v>
      </c>
      <c r="D139" s="9" t="s">
        <v>178</v>
      </c>
      <c r="E139" s="9" t="s">
        <v>185</v>
      </c>
      <c r="F139" s="14" t="str">
        <f>IFERROR(INDEX(tbl_competencias[Competencia],MATCH(E139,tbl_competencias[ID_Competencia],0)),"")</f>
        <v>Integridade de dados (ALCOA+) nos registos de qualidade</v>
      </c>
      <c r="G139" s="15">
        <v>2</v>
      </c>
      <c r="H139" s="15">
        <v>3</v>
      </c>
      <c r="I139" s="13">
        <f t="shared" si="12"/>
        <v>0</v>
      </c>
      <c r="J139" s="14" t="str">
        <f t="shared" si="13"/>
        <v>Qualificado</v>
      </c>
      <c r="K139" s="11">
        <v>46190</v>
      </c>
      <c r="L139" s="9" t="s">
        <v>145</v>
      </c>
      <c r="M139" s="16">
        <f t="shared" si="14"/>
        <v>46921</v>
      </c>
    </row>
    <row r="140" spans="1:13" ht="16.05" customHeight="1" x14ac:dyDescent="0.3">
      <c r="A140" s="9" t="s">
        <v>242</v>
      </c>
      <c r="B140" s="9" t="s">
        <v>242</v>
      </c>
      <c r="C140" s="9" t="s">
        <v>125</v>
      </c>
      <c r="D140" s="9" t="s">
        <v>178</v>
      </c>
      <c r="E140" s="9" t="s">
        <v>126</v>
      </c>
      <c r="F140" s="14" t="str">
        <f>IFERROR(INDEX(tbl_competencias[Competencia],MATCH(E140,tbl_competencias[ID_Competencia],0)),"")</f>
        <v>Hot foil: temperatura, pressão, transferência</v>
      </c>
      <c r="G140" s="15">
        <v>3</v>
      </c>
      <c r="H140" s="15">
        <v>3</v>
      </c>
      <c r="I140" s="13">
        <f t="shared" si="12"/>
        <v>0</v>
      </c>
      <c r="J140" s="14" t="str">
        <f t="shared" si="13"/>
        <v>Qualificado</v>
      </c>
      <c r="K140" s="11">
        <v>46337</v>
      </c>
      <c r="L140" s="9" t="s">
        <v>145</v>
      </c>
      <c r="M140" s="16">
        <f t="shared" si="14"/>
        <v>47068</v>
      </c>
    </row>
    <row r="141" spans="1:13" ht="16.05" customHeight="1" x14ac:dyDescent="0.3">
      <c r="A141" s="9" t="s">
        <v>242</v>
      </c>
      <c r="B141" s="9" t="s">
        <v>242</v>
      </c>
      <c r="C141" s="9" t="s">
        <v>125</v>
      </c>
      <c r="D141" s="9" t="s">
        <v>178</v>
      </c>
      <c r="E141" s="9" t="s">
        <v>152</v>
      </c>
      <c r="F141" s="14" t="str">
        <f>IFERROR(INDEX(tbl_competencias[Competencia],MATCH(E141,tbl_competencias[ID_Competencia],0)),"")</f>
        <v>Inspeção visual em cabine D65 (defeitos por atributos)</v>
      </c>
      <c r="G141" s="15">
        <v>2</v>
      </c>
      <c r="H141" s="15">
        <v>2</v>
      </c>
      <c r="I141" s="13">
        <f t="shared" si="12"/>
        <v>0</v>
      </c>
      <c r="J141" s="14" t="str">
        <f t="shared" si="13"/>
        <v>Qualificado</v>
      </c>
      <c r="K141" s="11">
        <v>46201</v>
      </c>
      <c r="L141" s="9" t="s">
        <v>145</v>
      </c>
      <c r="M141" s="16">
        <f t="shared" si="14"/>
        <v>46932</v>
      </c>
    </row>
    <row r="142" spans="1:13" ht="16.05" customHeight="1" x14ac:dyDescent="0.3">
      <c r="A142" s="9" t="s">
        <v>242</v>
      </c>
      <c r="B142" s="9" t="s">
        <v>242</v>
      </c>
      <c r="C142" s="9" t="s">
        <v>125</v>
      </c>
      <c r="D142" s="9" t="s">
        <v>178</v>
      </c>
      <c r="E142" s="9" t="s">
        <v>185</v>
      </c>
      <c r="F142" s="14" t="str">
        <f>IFERROR(INDEX(tbl_competencias[Competencia],MATCH(E142,tbl_competencias[ID_Competencia],0)),"")</f>
        <v>Integridade de dados (ALCOA+) nos registos de qualidade</v>
      </c>
      <c r="G142" s="15">
        <v>2</v>
      </c>
      <c r="H142" s="15">
        <v>2</v>
      </c>
      <c r="I142" s="13">
        <f t="shared" si="12"/>
        <v>0</v>
      </c>
      <c r="J142" s="14" t="str">
        <f t="shared" si="13"/>
        <v>Qualificado</v>
      </c>
      <c r="K142" s="11">
        <v>46206</v>
      </c>
      <c r="L142" s="9" t="s">
        <v>145</v>
      </c>
      <c r="M142" s="16">
        <f t="shared" si="14"/>
        <v>46937</v>
      </c>
    </row>
  </sheetData>
  <conditionalFormatting sqref="J5:J342">
    <cfRule type="expression" dxfId="14" priority="1">
      <formula>ISNUMBER(SEARCH("Lacuna",J5))</formula>
    </cfRule>
    <cfRule type="expression" dxfId="13" priority="2">
      <formula>ISNUMBER(SEARCH("Em formação",J5))</formula>
    </cfRule>
    <cfRule type="expression" dxfId="12" priority="3">
      <formula>ISNUMBER(SEARCH("Qualificado",J5))</formula>
    </cfRule>
    <cfRule type="expression" dxfId="11" priority="4">
      <formula>ISNUMBER(SEARCH("Formador",J5))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50" customWidth="1"/>
    <col min="3" max="3" width="8" customWidth="1"/>
    <col min="4" max="4" width="32" customWidth="1"/>
    <col min="5" max="5" width="9" customWidth="1"/>
    <col min="6" max="6" width="11" customWidth="1"/>
    <col min="7" max="7" width="14" customWidth="1"/>
    <col min="8" max="8" width="10" customWidth="1"/>
    <col min="9" max="10" width="9" customWidth="1"/>
  </cols>
  <sheetData>
    <row r="1" spans="1:10" ht="17.399999999999999" x14ac:dyDescent="0.3">
      <c r="A1" s="1" t="s">
        <v>251</v>
      </c>
    </row>
    <row r="4" spans="1:10" ht="26.4" x14ac:dyDescent="0.3">
      <c r="A4" s="8" t="s">
        <v>252</v>
      </c>
      <c r="B4" s="8" t="s">
        <v>85</v>
      </c>
      <c r="C4" s="8" t="s">
        <v>253</v>
      </c>
      <c r="D4" s="8" t="s">
        <v>254</v>
      </c>
      <c r="E4" s="8" t="s">
        <v>149</v>
      </c>
      <c r="F4" s="8" t="s">
        <v>255</v>
      </c>
      <c r="G4" s="8" t="s">
        <v>256</v>
      </c>
      <c r="H4" s="8" t="s">
        <v>14</v>
      </c>
      <c r="I4" s="10" t="s">
        <v>257</v>
      </c>
      <c r="J4" s="10" t="s">
        <v>258</v>
      </c>
    </row>
    <row r="5" spans="1:10" ht="30" customHeight="1" x14ac:dyDescent="0.3">
      <c r="A5" s="9" t="s">
        <v>259</v>
      </c>
      <c r="B5" s="9" t="s">
        <v>260</v>
      </c>
      <c r="C5" s="15">
        <v>8</v>
      </c>
      <c r="D5" s="9" t="s">
        <v>261</v>
      </c>
      <c r="E5" s="9" t="s">
        <v>188</v>
      </c>
      <c r="F5" s="11">
        <v>46301</v>
      </c>
      <c r="G5" s="9" t="s">
        <v>262</v>
      </c>
      <c r="H5" s="9" t="s">
        <v>263</v>
      </c>
      <c r="I5" s="13">
        <f>COUNTIF(tbl_registo_formacao[ID_Formacao],A5)</f>
        <v>6</v>
      </c>
      <c r="J5" s="17">
        <f>IFERROR(COUNTIFS(tbl_registo_formacao[ID_Formacao],A5,tbl_registo_formacao[Eficaz],"Sim")/COUNTIFS(tbl_registo_formacao[ID_Formacao],A5,tbl_registo_formacao[Eficaz],"&lt;&gt;Por avaliar"),"")</f>
        <v>1</v>
      </c>
    </row>
    <row r="6" spans="1:10" ht="30" customHeight="1" x14ac:dyDescent="0.3">
      <c r="A6" s="9" t="s">
        <v>264</v>
      </c>
      <c r="B6" s="9" t="s">
        <v>265</v>
      </c>
      <c r="C6" s="15">
        <v>16</v>
      </c>
      <c r="D6" s="9" t="s">
        <v>266</v>
      </c>
      <c r="E6" s="9" t="s">
        <v>190</v>
      </c>
      <c r="F6" s="11">
        <v>46287</v>
      </c>
      <c r="G6" s="9" t="s">
        <v>267</v>
      </c>
      <c r="H6" s="9" t="s">
        <v>263</v>
      </c>
      <c r="I6" s="13">
        <f>COUNTIF(tbl_registo_formacao[ID_Formacao],A6)</f>
        <v>3</v>
      </c>
      <c r="J6" s="17">
        <f>IFERROR(COUNTIFS(tbl_registo_formacao[ID_Formacao],A6,tbl_registo_formacao[Eficaz],"Sim")/COUNTIFS(tbl_registo_formacao[ID_Formacao],A6,tbl_registo_formacao[Eficaz],"&lt;&gt;Por avaliar"),"")</f>
        <v>1</v>
      </c>
    </row>
    <row r="7" spans="1:10" ht="30" customHeight="1" x14ac:dyDescent="0.3">
      <c r="A7" s="9" t="s">
        <v>268</v>
      </c>
      <c r="B7" s="9" t="s">
        <v>269</v>
      </c>
      <c r="C7" s="15">
        <v>8</v>
      </c>
      <c r="D7" s="9" t="s">
        <v>270</v>
      </c>
      <c r="E7" s="9" t="s">
        <v>155</v>
      </c>
      <c r="F7" s="11">
        <v>46091</v>
      </c>
      <c r="G7" s="9" t="s">
        <v>262</v>
      </c>
      <c r="H7" s="9" t="s">
        <v>263</v>
      </c>
      <c r="I7" s="13">
        <f>COUNTIF(tbl_registo_formacao[ID_Formacao],A7)</f>
        <v>4</v>
      </c>
      <c r="J7" s="17">
        <f>IFERROR(COUNTIFS(tbl_registo_formacao[ID_Formacao],A7,tbl_registo_formacao[Eficaz],"Sim")/COUNTIFS(tbl_registo_formacao[ID_Formacao],A7,tbl_registo_formacao[Eficaz],"&lt;&gt;Por avaliar"),"")</f>
        <v>1</v>
      </c>
    </row>
    <row r="8" spans="1:10" ht="30" customHeight="1" x14ac:dyDescent="0.3">
      <c r="A8" s="9" t="s">
        <v>271</v>
      </c>
      <c r="B8" s="9" t="s">
        <v>272</v>
      </c>
      <c r="C8" s="15">
        <v>6</v>
      </c>
      <c r="D8" s="9" t="s">
        <v>273</v>
      </c>
      <c r="E8" s="9" t="s">
        <v>161</v>
      </c>
      <c r="F8" s="11">
        <v>46197</v>
      </c>
      <c r="G8" s="9" t="s">
        <v>262</v>
      </c>
      <c r="H8" s="9" t="s">
        <v>263</v>
      </c>
      <c r="I8" s="13">
        <f>COUNTIF(tbl_registo_formacao[ID_Formacao],A8)</f>
        <v>5</v>
      </c>
      <c r="J8" s="17">
        <f>IFERROR(COUNTIFS(tbl_registo_formacao[ID_Formacao],A8,tbl_registo_formacao[Eficaz],"Sim")/COUNTIFS(tbl_registo_formacao[ID_Formacao],A8,tbl_registo_formacao[Eficaz],"&lt;&gt;Por avaliar"),"")</f>
        <v>1</v>
      </c>
    </row>
    <row r="9" spans="1:10" ht="30" customHeight="1" x14ac:dyDescent="0.3">
      <c r="A9" s="9" t="s">
        <v>274</v>
      </c>
      <c r="B9" s="9" t="s">
        <v>275</v>
      </c>
      <c r="C9" s="15">
        <v>4</v>
      </c>
      <c r="D9" s="9" t="s">
        <v>276</v>
      </c>
      <c r="E9" s="9" t="s">
        <v>182</v>
      </c>
      <c r="F9" s="11">
        <v>46198</v>
      </c>
      <c r="G9" s="9" t="s">
        <v>262</v>
      </c>
      <c r="H9" s="9" t="s">
        <v>263</v>
      </c>
      <c r="I9" s="13">
        <f>COUNTIF(tbl_registo_formacao[ID_Formacao],A9)</f>
        <v>5</v>
      </c>
      <c r="J9" s="17">
        <f>IFERROR(COUNTIFS(tbl_registo_formacao[ID_Formacao],A9,tbl_registo_formacao[Eficaz],"Sim")/COUNTIFS(tbl_registo_formacao[ID_Formacao],A9,tbl_registo_formacao[Eficaz],"&lt;&gt;Por avaliar"),"")</f>
        <v>1</v>
      </c>
    </row>
    <row r="10" spans="1:10" ht="30" customHeight="1" x14ac:dyDescent="0.3">
      <c r="A10" s="9" t="s">
        <v>277</v>
      </c>
      <c r="B10" s="9" t="s">
        <v>278</v>
      </c>
      <c r="C10" s="15">
        <v>2</v>
      </c>
      <c r="D10" s="9" t="s">
        <v>279</v>
      </c>
      <c r="E10" s="9" t="s">
        <v>185</v>
      </c>
      <c r="F10" s="11">
        <v>46162</v>
      </c>
      <c r="G10" s="9" t="s">
        <v>262</v>
      </c>
      <c r="H10" s="9" t="s">
        <v>263</v>
      </c>
      <c r="I10" s="13">
        <f>COUNTIF(tbl_registo_formacao[ID_Formacao],A10)</f>
        <v>6</v>
      </c>
      <c r="J10" s="17">
        <f>IFERROR(COUNTIFS(tbl_registo_formacao[ID_Formacao],A10,tbl_registo_formacao[Eficaz],"Sim")/COUNTIFS(tbl_registo_formacao[ID_Formacao],A10,tbl_registo_formacao[Eficaz],"&lt;&gt;Por avaliar"),"")</f>
        <v>1</v>
      </c>
    </row>
    <row r="11" spans="1:10" ht="30" customHeight="1" x14ac:dyDescent="0.3">
      <c r="A11" s="9" t="s">
        <v>280</v>
      </c>
      <c r="B11" s="9" t="s">
        <v>281</v>
      </c>
      <c r="C11" s="15">
        <v>4</v>
      </c>
      <c r="D11" s="9" t="s">
        <v>282</v>
      </c>
      <c r="E11" s="9" t="s">
        <v>168</v>
      </c>
      <c r="F11" s="11">
        <v>46036</v>
      </c>
      <c r="G11" s="9" t="s">
        <v>262</v>
      </c>
      <c r="H11" s="9" t="s">
        <v>263</v>
      </c>
      <c r="I11" s="13">
        <f>COUNTIF(tbl_registo_formacao[ID_Formacao],A11)</f>
        <v>4</v>
      </c>
      <c r="J11" s="17">
        <f>IFERROR(COUNTIFS(tbl_registo_formacao[ID_Formacao],A11,tbl_registo_formacao[Eficaz],"Sim")/COUNTIFS(tbl_registo_formacao[ID_Formacao],A11,tbl_registo_formacao[Eficaz],"&lt;&gt;Por avaliar"),"")</f>
        <v>0.75</v>
      </c>
    </row>
    <row r="12" spans="1:10" ht="30" customHeight="1" x14ac:dyDescent="0.3">
      <c r="A12" s="9" t="s">
        <v>283</v>
      </c>
      <c r="B12" s="9" t="s">
        <v>284</v>
      </c>
      <c r="C12" s="15">
        <v>8</v>
      </c>
      <c r="D12" s="9" t="s">
        <v>228</v>
      </c>
      <c r="E12" s="9" t="s">
        <v>168</v>
      </c>
      <c r="F12" s="11">
        <v>46071</v>
      </c>
      <c r="G12" s="9" t="s">
        <v>285</v>
      </c>
      <c r="H12" s="9" t="s">
        <v>263</v>
      </c>
      <c r="I12" s="13">
        <f>COUNTIF(tbl_registo_formacao[ID_Formacao],A12)</f>
        <v>1</v>
      </c>
      <c r="J12" s="17">
        <f>IFERROR(COUNTIFS(tbl_registo_formacao[ID_Formacao],A12,tbl_registo_formacao[Eficaz],"Sim")/COUNTIFS(tbl_registo_formacao[ID_Formacao],A12,tbl_registo_formacao[Eficaz],"&lt;&gt;Por avaliar"),"")</f>
        <v>1</v>
      </c>
    </row>
    <row r="13" spans="1:10" ht="30" customHeight="1" x14ac:dyDescent="0.3">
      <c r="A13" s="9" t="s">
        <v>286</v>
      </c>
      <c r="B13" s="9" t="s">
        <v>287</v>
      </c>
      <c r="C13" s="15">
        <v>4</v>
      </c>
      <c r="D13" s="9" t="s">
        <v>288</v>
      </c>
      <c r="E13" s="9" t="s">
        <v>174</v>
      </c>
      <c r="F13" s="11">
        <v>46239</v>
      </c>
      <c r="G13" s="9" t="s">
        <v>262</v>
      </c>
      <c r="H13" s="9" t="s">
        <v>263</v>
      </c>
      <c r="I13" s="13">
        <f>COUNTIF(tbl_registo_formacao[ID_Formacao],A13)</f>
        <v>2</v>
      </c>
      <c r="J13" s="17">
        <f>IFERROR(COUNTIFS(tbl_registo_formacao[ID_Formacao],A13,tbl_registo_formacao[Eficaz],"Sim")/COUNTIFS(tbl_registo_formacao[ID_Formacao],A13,tbl_registo_formacao[Eficaz],"&lt;&gt;Por avaliar"),"")</f>
        <v>1</v>
      </c>
    </row>
    <row r="14" spans="1:10" ht="30" customHeight="1" x14ac:dyDescent="0.3">
      <c r="A14" s="9" t="s">
        <v>289</v>
      </c>
      <c r="B14" s="9" t="s">
        <v>290</v>
      </c>
      <c r="C14" s="15">
        <v>8</v>
      </c>
      <c r="D14" s="9" t="s">
        <v>291</v>
      </c>
      <c r="E14" s="9" t="s">
        <v>188</v>
      </c>
      <c r="F14" s="11">
        <v>46127</v>
      </c>
      <c r="G14" s="9" t="s">
        <v>262</v>
      </c>
      <c r="H14" s="9" t="s">
        <v>263</v>
      </c>
      <c r="I14" s="13">
        <f>COUNTIF(tbl_registo_formacao[ID_Formacao],A14)</f>
        <v>6</v>
      </c>
      <c r="J14" s="17">
        <f>IFERROR(COUNTIFS(tbl_registo_formacao[ID_Formacao],A14,tbl_registo_formacao[Eficaz],"Sim")/COUNTIFS(tbl_registo_formacao[ID_Formacao],A14,tbl_registo_formacao[Eficaz],"&lt;&gt;Por avaliar"),"")</f>
        <v>0.66666666666666663</v>
      </c>
    </row>
    <row r="15" spans="1:10" ht="30" customHeight="1" x14ac:dyDescent="0.3">
      <c r="A15" s="9" t="s">
        <v>292</v>
      </c>
      <c r="B15" s="9" t="s">
        <v>293</v>
      </c>
      <c r="C15" s="15">
        <v>8</v>
      </c>
      <c r="D15" s="9" t="s">
        <v>294</v>
      </c>
      <c r="E15" s="9" t="s">
        <v>165</v>
      </c>
      <c r="F15" s="11">
        <v>46211</v>
      </c>
      <c r="G15" s="9" t="s">
        <v>267</v>
      </c>
      <c r="H15" s="9" t="s">
        <v>263</v>
      </c>
      <c r="I15" s="13">
        <f>COUNTIF(tbl_registo_formacao[ID_Formacao],A15)</f>
        <v>3</v>
      </c>
      <c r="J15" s="17">
        <f>IFERROR(COUNTIFS(tbl_registo_formacao[ID_Formacao],A15,tbl_registo_formacao[Eficaz],"Sim")/COUNTIFS(tbl_registo_formacao[ID_Formacao],A15,tbl_registo_formacao[Eficaz],"&lt;&gt;Por avaliar"),"")</f>
        <v>1</v>
      </c>
    </row>
    <row r="16" spans="1:10" ht="30" customHeight="1" x14ac:dyDescent="0.3">
      <c r="A16" s="9" t="s">
        <v>295</v>
      </c>
      <c r="B16" s="9" t="s">
        <v>296</v>
      </c>
      <c r="C16" s="15">
        <v>12</v>
      </c>
      <c r="D16" s="9" t="s">
        <v>297</v>
      </c>
      <c r="E16" s="9" t="s">
        <v>188</v>
      </c>
      <c r="F16" s="11">
        <v>46308</v>
      </c>
      <c r="G16" s="9" t="s">
        <v>267</v>
      </c>
      <c r="H16" s="9" t="s">
        <v>263</v>
      </c>
      <c r="I16" s="13">
        <f>COUNTIF(tbl_registo_formacao[ID_Formacao],A16)</f>
        <v>3</v>
      </c>
      <c r="J16" s="17">
        <f>IFERROR(COUNTIFS(tbl_registo_formacao[ID_Formacao],A16,tbl_registo_formacao[Eficaz],"Sim")/COUNTIFS(tbl_registo_formacao[ID_Formacao],A16,tbl_registo_formacao[Eficaz],"&lt;&gt;Por avaliar"),"")</f>
        <v>1</v>
      </c>
    </row>
    <row r="17" spans="1:10" ht="30" customHeight="1" x14ac:dyDescent="0.3">
      <c r="A17" s="9" t="s">
        <v>298</v>
      </c>
      <c r="B17" s="9" t="s">
        <v>299</v>
      </c>
      <c r="C17" s="15">
        <v>4</v>
      </c>
      <c r="D17" s="9" t="s">
        <v>300</v>
      </c>
      <c r="E17" s="9" t="s">
        <v>182</v>
      </c>
      <c r="F17" s="11">
        <v>46188</v>
      </c>
      <c r="G17" s="9" t="s">
        <v>262</v>
      </c>
      <c r="H17" s="9" t="s">
        <v>263</v>
      </c>
      <c r="I17" s="13">
        <f>COUNTIF(tbl_registo_formacao[ID_Formacao],A17)</f>
        <v>3</v>
      </c>
      <c r="J17" s="17">
        <f>IFERROR(COUNTIFS(tbl_registo_formacao[ID_Formacao],A17,tbl_registo_formacao[Eficaz],"Sim")/COUNTIFS(tbl_registo_formacao[ID_Formacao],A17,tbl_registo_formacao[Eficaz],"&lt;&gt;Por avaliar"),"")</f>
        <v>1</v>
      </c>
    </row>
    <row r="18" spans="1:10" ht="30" customHeight="1" x14ac:dyDescent="0.3">
      <c r="A18" s="9" t="s">
        <v>301</v>
      </c>
      <c r="B18" s="9" t="s">
        <v>302</v>
      </c>
      <c r="C18" s="15">
        <v>3</v>
      </c>
      <c r="D18" s="9" t="s">
        <v>303</v>
      </c>
      <c r="E18" s="9" t="s">
        <v>152</v>
      </c>
      <c r="F18" s="11">
        <v>46330</v>
      </c>
      <c r="G18" s="9" t="s">
        <v>262</v>
      </c>
      <c r="H18" s="9" t="s">
        <v>263</v>
      </c>
      <c r="I18" s="13">
        <f>COUNTIF(tbl_registo_formacao[ID_Formacao],A18)</f>
        <v>5</v>
      </c>
      <c r="J18" s="17">
        <f>IFERROR(COUNTIFS(tbl_registo_formacao[ID_Formacao],A18,tbl_registo_formacao[Eficaz],"Sim")/COUNTIFS(tbl_registo_formacao[ID_Formacao],A18,tbl_registo_formacao[Eficaz],"&lt;&gt;Por avaliar"),"")</f>
        <v>1</v>
      </c>
    </row>
    <row r="19" spans="1:10" ht="30" customHeight="1" x14ac:dyDescent="0.3">
      <c r="A19" s="9" t="s">
        <v>304</v>
      </c>
      <c r="B19" s="9" t="s">
        <v>305</v>
      </c>
      <c r="C19" s="15">
        <v>4</v>
      </c>
      <c r="D19" s="9" t="s">
        <v>306</v>
      </c>
      <c r="E19" s="9" t="s">
        <v>168</v>
      </c>
      <c r="F19" s="11">
        <v>46358</v>
      </c>
      <c r="G19" s="9" t="s">
        <v>262</v>
      </c>
      <c r="H19" s="9" t="s">
        <v>263</v>
      </c>
      <c r="I19" s="13">
        <f>COUNTIF(tbl_registo_formacao[ID_Formacao],A19)</f>
        <v>4</v>
      </c>
      <c r="J19" s="17" t="str">
        <f>IFERROR(COUNTIFS(tbl_registo_formacao[ID_Formacao],A19,tbl_registo_formacao[Eficaz],"Sim")/COUNTIFS(tbl_registo_formacao[ID_Formacao],A19,tbl_registo_formacao[Eficaz],"&lt;&gt;Por avaliar"),"")</f>
        <v/>
      </c>
    </row>
    <row r="20" spans="1:10" ht="30" customHeight="1" x14ac:dyDescent="0.3">
      <c r="A20" s="9" t="s">
        <v>307</v>
      </c>
      <c r="B20" s="9" t="s">
        <v>308</v>
      </c>
      <c r="C20" s="15">
        <v>8</v>
      </c>
      <c r="D20" s="9" t="s">
        <v>309</v>
      </c>
      <c r="E20" s="9" t="s">
        <v>188</v>
      </c>
      <c r="F20" s="11">
        <v>46407</v>
      </c>
      <c r="G20" s="9" t="s">
        <v>262</v>
      </c>
      <c r="H20" s="9" t="s">
        <v>310</v>
      </c>
      <c r="I20" s="13">
        <f>COUNTIF(tbl_registo_formacao[ID_Formacao],A20)</f>
        <v>0</v>
      </c>
      <c r="J20" s="17" t="str">
        <f>IFERROR(COUNTIFS(tbl_registo_formacao[ID_Formacao],A20,tbl_registo_formacao[Eficaz],"Sim")/COUNTIFS(tbl_registo_formacao[ID_Formacao],A20,tbl_registo_formacao[Eficaz],"&lt;&gt;Por avaliar"),"")</f>
        <v/>
      </c>
    </row>
  </sheetData>
  <conditionalFormatting sqref="H5:H220">
    <cfRule type="expression" dxfId="10" priority="1">
      <formula>ISNUMBER(SEARCH("Realizada",H5))</formula>
    </cfRule>
    <cfRule type="expression" dxfId="9" priority="2">
      <formula>ISNUMBER(SEARCH("Planeada",H5))</formula>
    </cfRule>
    <cfRule type="expression" dxfId="8" priority="3">
      <formula>ISNUMBER(SEARCH("Adiada",H5))</formula>
    </cfRule>
  </conditionalFormatting>
  <conditionalFormatting sqref="J5:J220">
    <cfRule type="expression" dxfId="7" priority="4">
      <formula>AND(J5&lt;&gt;"",J5&lt;0.8)</formula>
    </cfRule>
  </conditionalFormatting>
  <dataValidations count="1">
    <dataValidation type="list" allowBlank="1" showErrorMessage="1" errorTitle="Valor inválido" error="Valor fora da lista controlada (ver folha Listas)." sqref="H5:H220" xr:uid="{00000000-0002-0000-0500-000000000000}">
      <formula1>lst_EstadoForm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1" customWidth="1"/>
    <col min="3" max="3" width="14" customWidth="1"/>
    <col min="4" max="4" width="10" customWidth="1"/>
    <col min="5" max="5" width="11" customWidth="1"/>
    <col min="6" max="6" width="6" customWidth="1"/>
    <col min="7" max="7" width="8" customWidth="1"/>
    <col min="8" max="8" width="10" customWidth="1"/>
    <col min="9" max="9" width="11" customWidth="1"/>
    <col min="10" max="10" width="22" customWidth="1"/>
    <col min="11" max="11" width="10" customWidth="1"/>
    <col min="12" max="12" width="16" customWidth="1"/>
  </cols>
  <sheetData>
    <row r="1" spans="1:12" ht="39.6" x14ac:dyDescent="0.3">
      <c r="A1" s="8" t="s">
        <v>311</v>
      </c>
      <c r="B1" s="8" t="s">
        <v>312</v>
      </c>
      <c r="C1" s="8" t="s">
        <v>193</v>
      </c>
      <c r="D1" s="8" t="s">
        <v>252</v>
      </c>
      <c r="E1" s="8" t="s">
        <v>313</v>
      </c>
      <c r="F1" s="8" t="s">
        <v>253</v>
      </c>
      <c r="G1" s="8" t="s">
        <v>314</v>
      </c>
      <c r="H1" s="8" t="s">
        <v>315</v>
      </c>
      <c r="I1" s="8" t="s">
        <v>316</v>
      </c>
      <c r="J1" s="8" t="s">
        <v>317</v>
      </c>
      <c r="K1" s="10" t="s">
        <v>318</v>
      </c>
      <c r="L1" s="10" t="s">
        <v>319</v>
      </c>
    </row>
    <row r="2" spans="1:12" ht="16.05" customHeight="1" x14ac:dyDescent="0.3">
      <c r="A2" s="9" t="s">
        <v>320</v>
      </c>
      <c r="B2" s="9" t="s">
        <v>199</v>
      </c>
      <c r="C2" s="9" t="s">
        <v>200</v>
      </c>
      <c r="D2" s="9" t="s">
        <v>268</v>
      </c>
      <c r="E2" s="11">
        <v>46091</v>
      </c>
      <c r="F2" s="15">
        <v>8</v>
      </c>
      <c r="G2" s="15">
        <v>5</v>
      </c>
      <c r="H2" s="18">
        <v>0.7</v>
      </c>
      <c r="I2" s="9" t="s">
        <v>321</v>
      </c>
      <c r="J2" s="9"/>
      <c r="K2" s="14" t="str">
        <f t="shared" ref="K2:K33" si="0">IF(I2="","Por avaliar",IF(AND(H2&gt;=0.7,I2="Sim"),"Sim","Não"))</f>
        <v>Sim</v>
      </c>
      <c r="L2" s="14" t="str">
        <f t="shared" ref="L2:L33" si="1">IF(K2="Não","Retreino + tutor","")</f>
        <v/>
      </c>
    </row>
    <row r="3" spans="1:12" ht="16.05" customHeight="1" x14ac:dyDescent="0.3">
      <c r="A3" s="9" t="s">
        <v>322</v>
      </c>
      <c r="B3" s="9" t="s">
        <v>202</v>
      </c>
      <c r="C3" s="9" t="s">
        <v>203</v>
      </c>
      <c r="D3" s="9" t="s">
        <v>268</v>
      </c>
      <c r="E3" s="11">
        <v>46091</v>
      </c>
      <c r="F3" s="15">
        <v>8</v>
      </c>
      <c r="G3" s="15">
        <v>4</v>
      </c>
      <c r="H3" s="18">
        <v>0.88</v>
      </c>
      <c r="I3" s="9" t="s">
        <v>321</v>
      </c>
      <c r="J3" s="9"/>
      <c r="K3" s="14" t="str">
        <f t="shared" si="0"/>
        <v>Sim</v>
      </c>
      <c r="L3" s="14" t="str">
        <f t="shared" si="1"/>
        <v/>
      </c>
    </row>
    <row r="4" spans="1:12" ht="16.05" customHeight="1" x14ac:dyDescent="0.3">
      <c r="A4" s="9" t="s">
        <v>323</v>
      </c>
      <c r="B4" s="9" t="s">
        <v>204</v>
      </c>
      <c r="C4" s="9" t="s">
        <v>205</v>
      </c>
      <c r="D4" s="9" t="s">
        <v>268</v>
      </c>
      <c r="E4" s="11">
        <v>46091</v>
      </c>
      <c r="F4" s="15">
        <v>8</v>
      </c>
      <c r="G4" s="15">
        <v>5</v>
      </c>
      <c r="H4" s="18">
        <v>0.81</v>
      </c>
      <c r="I4" s="9" t="s">
        <v>321</v>
      </c>
      <c r="J4" s="9"/>
      <c r="K4" s="14" t="str">
        <f t="shared" si="0"/>
        <v>Sim</v>
      </c>
      <c r="L4" s="14" t="str">
        <f t="shared" si="1"/>
        <v/>
      </c>
    </row>
    <row r="5" spans="1:12" ht="16.05" customHeight="1" x14ac:dyDescent="0.3">
      <c r="A5" s="9" t="s">
        <v>324</v>
      </c>
      <c r="B5" s="9" t="s">
        <v>206</v>
      </c>
      <c r="C5" s="9" t="s">
        <v>207</v>
      </c>
      <c r="D5" s="9" t="s">
        <v>268</v>
      </c>
      <c r="E5" s="11">
        <v>46091</v>
      </c>
      <c r="F5" s="15">
        <v>8</v>
      </c>
      <c r="G5" s="15">
        <v>5</v>
      </c>
      <c r="H5" s="18">
        <v>0.7</v>
      </c>
      <c r="I5" s="9" t="s">
        <v>321</v>
      </c>
      <c r="J5" s="9"/>
      <c r="K5" s="14" t="str">
        <f t="shared" si="0"/>
        <v>Sim</v>
      </c>
      <c r="L5" s="14" t="str">
        <f t="shared" si="1"/>
        <v/>
      </c>
    </row>
    <row r="6" spans="1:12" ht="16.05" customHeight="1" x14ac:dyDescent="0.3">
      <c r="A6" s="9" t="s">
        <v>325</v>
      </c>
      <c r="B6" s="9" t="s">
        <v>199</v>
      </c>
      <c r="C6" s="9" t="s">
        <v>200</v>
      </c>
      <c r="D6" s="9" t="s">
        <v>271</v>
      </c>
      <c r="E6" s="11">
        <v>46197</v>
      </c>
      <c r="F6" s="15">
        <v>6</v>
      </c>
      <c r="G6" s="15">
        <v>3</v>
      </c>
      <c r="H6" s="18">
        <v>0.74</v>
      </c>
      <c r="I6" s="9" t="s">
        <v>321</v>
      </c>
      <c r="J6" s="9"/>
      <c r="K6" s="14" t="str">
        <f t="shared" si="0"/>
        <v>Sim</v>
      </c>
      <c r="L6" s="14" t="str">
        <f t="shared" si="1"/>
        <v/>
      </c>
    </row>
    <row r="7" spans="1:12" ht="16.05" customHeight="1" x14ac:dyDescent="0.3">
      <c r="A7" s="9" t="s">
        <v>326</v>
      </c>
      <c r="B7" s="9" t="s">
        <v>202</v>
      </c>
      <c r="C7" s="9" t="s">
        <v>203</v>
      </c>
      <c r="D7" s="9" t="s">
        <v>271</v>
      </c>
      <c r="E7" s="11">
        <v>46197</v>
      </c>
      <c r="F7" s="15">
        <v>6</v>
      </c>
      <c r="G7" s="15">
        <v>5</v>
      </c>
      <c r="H7" s="18">
        <v>0.84</v>
      </c>
      <c r="I7" s="9" t="s">
        <v>321</v>
      </c>
      <c r="J7" s="9"/>
      <c r="K7" s="14" t="str">
        <f t="shared" si="0"/>
        <v>Sim</v>
      </c>
      <c r="L7" s="14" t="str">
        <f t="shared" si="1"/>
        <v/>
      </c>
    </row>
    <row r="8" spans="1:12" ht="16.05" customHeight="1" x14ac:dyDescent="0.3">
      <c r="A8" s="9" t="s">
        <v>327</v>
      </c>
      <c r="B8" s="9" t="s">
        <v>204</v>
      </c>
      <c r="C8" s="9" t="s">
        <v>205</v>
      </c>
      <c r="D8" s="9" t="s">
        <v>271</v>
      </c>
      <c r="E8" s="11">
        <v>46197</v>
      </c>
      <c r="F8" s="15">
        <v>6</v>
      </c>
      <c r="G8" s="15">
        <v>5</v>
      </c>
      <c r="H8" s="18">
        <v>0.91</v>
      </c>
      <c r="I8" s="9" t="s">
        <v>321</v>
      </c>
      <c r="J8" s="9"/>
      <c r="K8" s="14" t="str">
        <f t="shared" si="0"/>
        <v>Sim</v>
      </c>
      <c r="L8" s="14" t="str">
        <f t="shared" si="1"/>
        <v/>
      </c>
    </row>
    <row r="9" spans="1:12" ht="16.05" customHeight="1" x14ac:dyDescent="0.3">
      <c r="A9" s="9" t="s">
        <v>328</v>
      </c>
      <c r="B9" s="9" t="s">
        <v>206</v>
      </c>
      <c r="C9" s="9" t="s">
        <v>207</v>
      </c>
      <c r="D9" s="9" t="s">
        <v>271</v>
      </c>
      <c r="E9" s="11">
        <v>46197</v>
      </c>
      <c r="F9" s="15">
        <v>6</v>
      </c>
      <c r="G9" s="15">
        <v>5</v>
      </c>
      <c r="H9" s="18">
        <v>0.9</v>
      </c>
      <c r="I9" s="9" t="s">
        <v>321</v>
      </c>
      <c r="J9" s="9"/>
      <c r="K9" s="14" t="str">
        <f t="shared" si="0"/>
        <v>Sim</v>
      </c>
      <c r="L9" s="14" t="str">
        <f t="shared" si="1"/>
        <v/>
      </c>
    </row>
    <row r="10" spans="1:12" ht="16.05" customHeight="1" x14ac:dyDescent="0.3">
      <c r="A10" s="9" t="s">
        <v>329</v>
      </c>
      <c r="B10" s="9" t="s">
        <v>208</v>
      </c>
      <c r="C10" s="9" t="s">
        <v>209</v>
      </c>
      <c r="D10" s="9" t="s">
        <v>271</v>
      </c>
      <c r="E10" s="11">
        <v>46197</v>
      </c>
      <c r="F10" s="15">
        <v>6</v>
      </c>
      <c r="G10" s="15">
        <v>3</v>
      </c>
      <c r="H10" s="18">
        <v>0.84</v>
      </c>
      <c r="I10" s="9" t="s">
        <v>321</v>
      </c>
      <c r="J10" s="9"/>
      <c r="K10" s="14" t="str">
        <f t="shared" si="0"/>
        <v>Sim</v>
      </c>
      <c r="L10" s="14" t="str">
        <f t="shared" si="1"/>
        <v/>
      </c>
    </row>
    <row r="11" spans="1:12" ht="16.05" customHeight="1" x14ac:dyDescent="0.3">
      <c r="A11" s="9" t="s">
        <v>330</v>
      </c>
      <c r="B11" s="9" t="s">
        <v>237</v>
      </c>
      <c r="C11" s="9" t="s">
        <v>237</v>
      </c>
      <c r="D11" s="9" t="s">
        <v>274</v>
      </c>
      <c r="E11" s="11">
        <v>46198</v>
      </c>
      <c r="F11" s="15">
        <v>4</v>
      </c>
      <c r="G11" s="15">
        <v>4</v>
      </c>
      <c r="H11" s="18">
        <v>0.94</v>
      </c>
      <c r="I11" s="9" t="s">
        <v>321</v>
      </c>
      <c r="J11" s="9"/>
      <c r="K11" s="14" t="str">
        <f t="shared" si="0"/>
        <v>Sim</v>
      </c>
      <c r="L11" s="14" t="str">
        <f t="shared" si="1"/>
        <v/>
      </c>
    </row>
    <row r="12" spans="1:12" ht="16.05" customHeight="1" x14ac:dyDescent="0.3">
      <c r="A12" s="9" t="s">
        <v>331</v>
      </c>
      <c r="B12" s="9" t="s">
        <v>238</v>
      </c>
      <c r="C12" s="9" t="s">
        <v>238</v>
      </c>
      <c r="D12" s="9" t="s">
        <v>274</v>
      </c>
      <c r="E12" s="11">
        <v>46198</v>
      </c>
      <c r="F12" s="15">
        <v>4</v>
      </c>
      <c r="G12" s="15">
        <v>4</v>
      </c>
      <c r="H12" s="18">
        <v>0.84</v>
      </c>
      <c r="I12" s="9" t="s">
        <v>321</v>
      </c>
      <c r="J12" s="9"/>
      <c r="K12" s="14" t="str">
        <f t="shared" si="0"/>
        <v>Sim</v>
      </c>
      <c r="L12" s="14" t="str">
        <f t="shared" si="1"/>
        <v/>
      </c>
    </row>
    <row r="13" spans="1:12" ht="16.05" customHeight="1" x14ac:dyDescent="0.3">
      <c r="A13" s="9" t="s">
        <v>332</v>
      </c>
      <c r="B13" s="9" t="s">
        <v>231</v>
      </c>
      <c r="C13" s="9" t="s">
        <v>231</v>
      </c>
      <c r="D13" s="9" t="s">
        <v>274</v>
      </c>
      <c r="E13" s="11">
        <v>46198</v>
      </c>
      <c r="F13" s="15">
        <v>4</v>
      </c>
      <c r="G13" s="15">
        <v>5</v>
      </c>
      <c r="H13" s="18">
        <v>0.73</v>
      </c>
      <c r="I13" s="9" t="s">
        <v>321</v>
      </c>
      <c r="J13" s="9"/>
      <c r="K13" s="14" t="str">
        <f t="shared" si="0"/>
        <v>Sim</v>
      </c>
      <c r="L13" s="14" t="str">
        <f t="shared" si="1"/>
        <v/>
      </c>
    </row>
    <row r="14" spans="1:12" ht="16.05" customHeight="1" x14ac:dyDescent="0.3">
      <c r="A14" s="9" t="s">
        <v>333</v>
      </c>
      <c r="B14" s="9" t="s">
        <v>226</v>
      </c>
      <c r="C14" s="9" t="s">
        <v>226</v>
      </c>
      <c r="D14" s="9" t="s">
        <v>274</v>
      </c>
      <c r="E14" s="11">
        <v>46198</v>
      </c>
      <c r="F14" s="15">
        <v>4</v>
      </c>
      <c r="G14" s="15">
        <v>4</v>
      </c>
      <c r="H14" s="18">
        <v>0.93</v>
      </c>
      <c r="I14" s="9" t="s">
        <v>321</v>
      </c>
      <c r="J14" s="9"/>
      <c r="K14" s="14" t="str">
        <f t="shared" si="0"/>
        <v>Sim</v>
      </c>
      <c r="L14" s="14" t="str">
        <f t="shared" si="1"/>
        <v/>
      </c>
    </row>
    <row r="15" spans="1:12" ht="16.05" customHeight="1" x14ac:dyDescent="0.3">
      <c r="A15" s="9" t="s">
        <v>334</v>
      </c>
      <c r="B15" s="9" t="s">
        <v>233</v>
      </c>
      <c r="C15" s="9" t="s">
        <v>233</v>
      </c>
      <c r="D15" s="9" t="s">
        <v>274</v>
      </c>
      <c r="E15" s="11">
        <v>46198</v>
      </c>
      <c r="F15" s="15">
        <v>4</v>
      </c>
      <c r="G15" s="15">
        <v>5</v>
      </c>
      <c r="H15" s="18">
        <v>0.8</v>
      </c>
      <c r="I15" s="9" t="s">
        <v>321</v>
      </c>
      <c r="J15" s="9"/>
      <c r="K15" s="14" t="str">
        <f t="shared" si="0"/>
        <v>Sim</v>
      </c>
      <c r="L15" s="14" t="str">
        <f t="shared" si="1"/>
        <v/>
      </c>
    </row>
    <row r="16" spans="1:12" ht="16.05" customHeight="1" x14ac:dyDescent="0.3">
      <c r="A16" s="9" t="s">
        <v>335</v>
      </c>
      <c r="B16" s="9" t="s">
        <v>233</v>
      </c>
      <c r="C16" s="9" t="s">
        <v>233</v>
      </c>
      <c r="D16" s="9" t="s">
        <v>277</v>
      </c>
      <c r="E16" s="11">
        <v>46162</v>
      </c>
      <c r="F16" s="15">
        <v>2</v>
      </c>
      <c r="G16" s="15">
        <v>4</v>
      </c>
      <c r="H16" s="18">
        <v>0.85</v>
      </c>
      <c r="I16" s="9" t="s">
        <v>321</v>
      </c>
      <c r="J16" s="9"/>
      <c r="K16" s="14" t="str">
        <f t="shared" si="0"/>
        <v>Sim</v>
      </c>
      <c r="L16" s="14" t="str">
        <f t="shared" si="1"/>
        <v/>
      </c>
    </row>
    <row r="17" spans="1:12" ht="16.05" customHeight="1" x14ac:dyDescent="0.3">
      <c r="A17" s="9" t="s">
        <v>336</v>
      </c>
      <c r="B17" s="9" t="s">
        <v>234</v>
      </c>
      <c r="C17" s="9" t="s">
        <v>234</v>
      </c>
      <c r="D17" s="9" t="s">
        <v>277</v>
      </c>
      <c r="E17" s="11">
        <v>46162</v>
      </c>
      <c r="F17" s="15">
        <v>2</v>
      </c>
      <c r="G17" s="15">
        <v>3</v>
      </c>
      <c r="H17" s="18">
        <v>0.82</v>
      </c>
      <c r="I17" s="9" t="s">
        <v>321</v>
      </c>
      <c r="J17" s="9"/>
      <c r="K17" s="14" t="str">
        <f t="shared" si="0"/>
        <v>Sim</v>
      </c>
      <c r="L17" s="14" t="str">
        <f t="shared" si="1"/>
        <v/>
      </c>
    </row>
    <row r="18" spans="1:12" ht="16.05" customHeight="1" x14ac:dyDescent="0.3">
      <c r="A18" s="9" t="s">
        <v>337</v>
      </c>
      <c r="B18" s="9" t="s">
        <v>235</v>
      </c>
      <c r="C18" s="9" t="s">
        <v>235</v>
      </c>
      <c r="D18" s="9" t="s">
        <v>277</v>
      </c>
      <c r="E18" s="11">
        <v>46162</v>
      </c>
      <c r="F18" s="15">
        <v>2</v>
      </c>
      <c r="G18" s="15">
        <v>4</v>
      </c>
      <c r="H18" s="18">
        <v>0.7</v>
      </c>
      <c r="I18" s="9" t="s">
        <v>321</v>
      </c>
      <c r="J18" s="9"/>
      <c r="K18" s="14" t="str">
        <f t="shared" si="0"/>
        <v>Sim</v>
      </c>
      <c r="L18" s="14" t="str">
        <f t="shared" si="1"/>
        <v/>
      </c>
    </row>
    <row r="19" spans="1:12" ht="16.05" customHeight="1" x14ac:dyDescent="0.3">
      <c r="A19" s="9" t="s">
        <v>338</v>
      </c>
      <c r="B19" s="9" t="s">
        <v>236</v>
      </c>
      <c r="C19" s="9" t="s">
        <v>236</v>
      </c>
      <c r="D19" s="9" t="s">
        <v>277</v>
      </c>
      <c r="E19" s="11">
        <v>46162</v>
      </c>
      <c r="F19" s="15">
        <v>2</v>
      </c>
      <c r="G19" s="15">
        <v>3</v>
      </c>
      <c r="H19" s="18">
        <v>0.96</v>
      </c>
      <c r="I19" s="9" t="s">
        <v>321</v>
      </c>
      <c r="J19" s="9"/>
      <c r="K19" s="14" t="str">
        <f t="shared" si="0"/>
        <v>Sim</v>
      </c>
      <c r="L19" s="14" t="str">
        <f t="shared" si="1"/>
        <v/>
      </c>
    </row>
    <row r="20" spans="1:12" ht="16.05" customHeight="1" x14ac:dyDescent="0.3">
      <c r="A20" s="9" t="s">
        <v>339</v>
      </c>
      <c r="B20" s="9" t="s">
        <v>199</v>
      </c>
      <c r="C20" s="9" t="s">
        <v>200</v>
      </c>
      <c r="D20" s="9" t="s">
        <v>277</v>
      </c>
      <c r="E20" s="11">
        <v>46162</v>
      </c>
      <c r="F20" s="15">
        <v>2</v>
      </c>
      <c r="G20" s="15">
        <v>5</v>
      </c>
      <c r="H20" s="18">
        <v>0.95</v>
      </c>
      <c r="I20" s="9" t="s">
        <v>321</v>
      </c>
      <c r="J20" s="9"/>
      <c r="K20" s="14" t="str">
        <f t="shared" si="0"/>
        <v>Sim</v>
      </c>
      <c r="L20" s="14" t="str">
        <f t="shared" si="1"/>
        <v/>
      </c>
    </row>
    <row r="21" spans="1:12" ht="16.05" customHeight="1" x14ac:dyDescent="0.3">
      <c r="A21" s="9" t="s">
        <v>340</v>
      </c>
      <c r="B21" s="9" t="s">
        <v>206</v>
      </c>
      <c r="C21" s="9" t="s">
        <v>207</v>
      </c>
      <c r="D21" s="9" t="s">
        <v>277</v>
      </c>
      <c r="E21" s="11">
        <v>46162</v>
      </c>
      <c r="F21" s="15">
        <v>2</v>
      </c>
      <c r="G21" s="15">
        <v>4</v>
      </c>
      <c r="H21" s="18">
        <v>0.76</v>
      </c>
      <c r="I21" s="9" t="s">
        <v>321</v>
      </c>
      <c r="J21" s="9"/>
      <c r="K21" s="14" t="str">
        <f t="shared" si="0"/>
        <v>Sim</v>
      </c>
      <c r="L21" s="14" t="str">
        <f t="shared" si="1"/>
        <v/>
      </c>
    </row>
    <row r="22" spans="1:12" ht="16.05" customHeight="1" x14ac:dyDescent="0.3">
      <c r="A22" s="9" t="s">
        <v>341</v>
      </c>
      <c r="B22" s="9" t="s">
        <v>226</v>
      </c>
      <c r="C22" s="9" t="s">
        <v>226</v>
      </c>
      <c r="D22" s="9" t="s">
        <v>280</v>
      </c>
      <c r="E22" s="11">
        <v>46036</v>
      </c>
      <c r="F22" s="15">
        <v>4</v>
      </c>
      <c r="G22" s="15">
        <v>5</v>
      </c>
      <c r="H22" s="18">
        <v>0.73</v>
      </c>
      <c r="I22" s="9" t="s">
        <v>321</v>
      </c>
      <c r="J22" s="9" t="s">
        <v>342</v>
      </c>
      <c r="K22" s="14" t="str">
        <f t="shared" si="0"/>
        <v>Sim</v>
      </c>
      <c r="L22" s="14" t="str">
        <f t="shared" si="1"/>
        <v/>
      </c>
    </row>
    <row r="23" spans="1:12" ht="16.05" customHeight="1" x14ac:dyDescent="0.3">
      <c r="A23" s="9" t="s">
        <v>343</v>
      </c>
      <c r="B23" s="9" t="s">
        <v>227</v>
      </c>
      <c r="C23" s="9" t="s">
        <v>227</v>
      </c>
      <c r="D23" s="9" t="s">
        <v>280</v>
      </c>
      <c r="E23" s="11">
        <v>46036</v>
      </c>
      <c r="F23" s="15">
        <v>4</v>
      </c>
      <c r="G23" s="15">
        <v>4</v>
      </c>
      <c r="H23" s="18">
        <v>0.9</v>
      </c>
      <c r="I23" s="9" t="s">
        <v>321</v>
      </c>
      <c r="J23" s="9" t="s">
        <v>342</v>
      </c>
      <c r="K23" s="14" t="str">
        <f t="shared" si="0"/>
        <v>Sim</v>
      </c>
      <c r="L23" s="14" t="str">
        <f t="shared" si="1"/>
        <v/>
      </c>
    </row>
    <row r="24" spans="1:12" ht="16.05" customHeight="1" x14ac:dyDescent="0.3">
      <c r="A24" s="9" t="s">
        <v>344</v>
      </c>
      <c r="B24" s="9" t="s">
        <v>228</v>
      </c>
      <c r="C24" s="9" t="s">
        <v>228</v>
      </c>
      <c r="D24" s="9" t="s">
        <v>280</v>
      </c>
      <c r="E24" s="11">
        <v>46036</v>
      </c>
      <c r="F24" s="15">
        <v>4</v>
      </c>
      <c r="G24" s="15">
        <v>5</v>
      </c>
      <c r="H24" s="18">
        <v>0.62</v>
      </c>
      <c r="I24" s="9" t="s">
        <v>345</v>
      </c>
      <c r="J24" s="9"/>
      <c r="K24" s="14" t="str">
        <f t="shared" si="0"/>
        <v>Não</v>
      </c>
      <c r="L24" s="14" t="str">
        <f t="shared" si="1"/>
        <v>Retreino + tutor</v>
      </c>
    </row>
    <row r="25" spans="1:12" ht="16.05" customHeight="1" x14ac:dyDescent="0.3">
      <c r="A25" s="9" t="s">
        <v>346</v>
      </c>
      <c r="B25" s="9" t="s">
        <v>230</v>
      </c>
      <c r="C25" s="9" t="s">
        <v>230</v>
      </c>
      <c r="D25" s="9" t="s">
        <v>280</v>
      </c>
      <c r="E25" s="11">
        <v>46036</v>
      </c>
      <c r="F25" s="15">
        <v>4</v>
      </c>
      <c r="G25" s="15">
        <v>5</v>
      </c>
      <c r="H25" s="18">
        <v>0.82</v>
      </c>
      <c r="I25" s="9" t="s">
        <v>321</v>
      </c>
      <c r="J25" s="9" t="s">
        <v>342</v>
      </c>
      <c r="K25" s="14" t="str">
        <f t="shared" si="0"/>
        <v>Sim</v>
      </c>
      <c r="L25" s="14" t="str">
        <f t="shared" si="1"/>
        <v/>
      </c>
    </row>
    <row r="26" spans="1:12" ht="16.05" customHeight="1" x14ac:dyDescent="0.3">
      <c r="A26" s="9" t="s">
        <v>347</v>
      </c>
      <c r="B26" s="9" t="s">
        <v>228</v>
      </c>
      <c r="C26" s="9" t="s">
        <v>228</v>
      </c>
      <c r="D26" s="9" t="s">
        <v>283</v>
      </c>
      <c r="E26" s="11">
        <v>46071</v>
      </c>
      <c r="F26" s="15">
        <v>8</v>
      </c>
      <c r="G26" s="15">
        <v>5</v>
      </c>
      <c r="H26" s="18">
        <v>0.89</v>
      </c>
      <c r="I26" s="9" t="s">
        <v>321</v>
      </c>
      <c r="J26" s="9" t="s">
        <v>342</v>
      </c>
      <c r="K26" s="14" t="str">
        <f t="shared" si="0"/>
        <v>Sim</v>
      </c>
      <c r="L26" s="14" t="str">
        <f t="shared" si="1"/>
        <v/>
      </c>
    </row>
    <row r="27" spans="1:12" ht="16.05" customHeight="1" x14ac:dyDescent="0.3">
      <c r="A27" s="9" t="s">
        <v>348</v>
      </c>
      <c r="B27" s="9" t="s">
        <v>239</v>
      </c>
      <c r="C27" s="9" t="s">
        <v>239</v>
      </c>
      <c r="D27" s="9" t="s">
        <v>286</v>
      </c>
      <c r="E27" s="11">
        <v>46239</v>
      </c>
      <c r="F27" s="15">
        <v>4</v>
      </c>
      <c r="G27" s="15">
        <v>3</v>
      </c>
      <c r="H27" s="18">
        <v>0.92</v>
      </c>
      <c r="I27" s="9" t="s">
        <v>321</v>
      </c>
      <c r="J27" s="9"/>
      <c r="K27" s="14" t="str">
        <f t="shared" si="0"/>
        <v>Sim</v>
      </c>
      <c r="L27" s="14" t="str">
        <f t="shared" si="1"/>
        <v/>
      </c>
    </row>
    <row r="28" spans="1:12" ht="16.05" customHeight="1" x14ac:dyDescent="0.3">
      <c r="A28" s="9" t="s">
        <v>349</v>
      </c>
      <c r="B28" s="9" t="s">
        <v>240</v>
      </c>
      <c r="C28" s="9" t="s">
        <v>240</v>
      </c>
      <c r="D28" s="9" t="s">
        <v>286</v>
      </c>
      <c r="E28" s="11">
        <v>46239</v>
      </c>
      <c r="F28" s="15">
        <v>4</v>
      </c>
      <c r="G28" s="15">
        <v>4</v>
      </c>
      <c r="H28" s="18">
        <v>0.79</v>
      </c>
      <c r="I28" s="9" t="s">
        <v>321</v>
      </c>
      <c r="J28" s="9"/>
      <c r="K28" s="14" t="str">
        <f t="shared" si="0"/>
        <v>Sim</v>
      </c>
      <c r="L28" s="14" t="str">
        <f t="shared" si="1"/>
        <v/>
      </c>
    </row>
    <row r="29" spans="1:12" ht="16.05" customHeight="1" x14ac:dyDescent="0.3">
      <c r="A29" s="9" t="s">
        <v>350</v>
      </c>
      <c r="B29" s="9" t="s">
        <v>208</v>
      </c>
      <c r="C29" s="9" t="s">
        <v>209</v>
      </c>
      <c r="D29" s="9" t="s">
        <v>289</v>
      </c>
      <c r="E29" s="11">
        <v>46127</v>
      </c>
      <c r="F29" s="15">
        <v>8</v>
      </c>
      <c r="G29" s="15">
        <v>3</v>
      </c>
      <c r="H29" s="18">
        <v>0.83</v>
      </c>
      <c r="I29" s="9" t="s">
        <v>321</v>
      </c>
      <c r="J29" s="9"/>
      <c r="K29" s="14" t="str">
        <f t="shared" si="0"/>
        <v>Sim</v>
      </c>
      <c r="L29" s="14" t="str">
        <f t="shared" si="1"/>
        <v/>
      </c>
    </row>
    <row r="30" spans="1:12" ht="16.05" customHeight="1" x14ac:dyDescent="0.3">
      <c r="A30" s="9" t="s">
        <v>351</v>
      </c>
      <c r="B30" s="9" t="s">
        <v>204</v>
      </c>
      <c r="C30" s="9" t="s">
        <v>205</v>
      </c>
      <c r="D30" s="9" t="s">
        <v>289</v>
      </c>
      <c r="E30" s="11">
        <v>46127</v>
      </c>
      <c r="F30" s="15">
        <v>8</v>
      </c>
      <c r="G30" s="15">
        <v>3</v>
      </c>
      <c r="H30" s="18">
        <v>0.85</v>
      </c>
      <c r="I30" s="9" t="s">
        <v>321</v>
      </c>
      <c r="J30" s="9"/>
      <c r="K30" s="14" t="str">
        <f t="shared" si="0"/>
        <v>Sim</v>
      </c>
      <c r="L30" s="14" t="str">
        <f t="shared" si="1"/>
        <v/>
      </c>
    </row>
    <row r="31" spans="1:12" ht="16.05" customHeight="1" x14ac:dyDescent="0.3">
      <c r="A31" s="9" t="s">
        <v>352</v>
      </c>
      <c r="B31" s="9" t="s">
        <v>199</v>
      </c>
      <c r="C31" s="9" t="s">
        <v>200</v>
      </c>
      <c r="D31" s="9" t="s">
        <v>289</v>
      </c>
      <c r="E31" s="11">
        <v>46127</v>
      </c>
      <c r="F31" s="15">
        <v>8</v>
      </c>
      <c r="G31" s="15">
        <v>5</v>
      </c>
      <c r="H31" s="18">
        <v>0.91</v>
      </c>
      <c r="I31" s="9" t="s">
        <v>321</v>
      </c>
      <c r="J31" s="9"/>
      <c r="K31" s="14" t="str">
        <f t="shared" si="0"/>
        <v>Sim</v>
      </c>
      <c r="L31" s="14" t="str">
        <f t="shared" si="1"/>
        <v/>
      </c>
    </row>
    <row r="32" spans="1:12" ht="16.05" customHeight="1" x14ac:dyDescent="0.3">
      <c r="A32" s="9" t="s">
        <v>353</v>
      </c>
      <c r="B32" s="9" t="s">
        <v>210</v>
      </c>
      <c r="C32" s="9" t="s">
        <v>211</v>
      </c>
      <c r="D32" s="9" t="s">
        <v>289</v>
      </c>
      <c r="E32" s="11">
        <v>46127</v>
      </c>
      <c r="F32" s="15">
        <v>8</v>
      </c>
      <c r="G32" s="15">
        <v>5</v>
      </c>
      <c r="H32" s="18">
        <v>0.97</v>
      </c>
      <c r="I32" s="9" t="s">
        <v>345</v>
      </c>
      <c r="J32" s="9"/>
      <c r="K32" s="14" t="str">
        <f t="shared" si="0"/>
        <v>Não</v>
      </c>
      <c r="L32" s="14" t="str">
        <f t="shared" si="1"/>
        <v>Retreino + tutor</v>
      </c>
    </row>
    <row r="33" spans="1:12" ht="16.05" customHeight="1" x14ac:dyDescent="0.3">
      <c r="A33" s="9" t="s">
        <v>354</v>
      </c>
      <c r="B33" s="9" t="s">
        <v>214</v>
      </c>
      <c r="C33" s="9" t="s">
        <v>215</v>
      </c>
      <c r="D33" s="9" t="s">
        <v>289</v>
      </c>
      <c r="E33" s="11">
        <v>46127</v>
      </c>
      <c r="F33" s="15">
        <v>8</v>
      </c>
      <c r="G33" s="15">
        <v>5</v>
      </c>
      <c r="H33" s="18">
        <v>0.79</v>
      </c>
      <c r="I33" s="9" t="s">
        <v>321</v>
      </c>
      <c r="J33" s="9"/>
      <c r="K33" s="14" t="str">
        <f t="shared" si="0"/>
        <v>Sim</v>
      </c>
      <c r="L33" s="14" t="str">
        <f t="shared" si="1"/>
        <v/>
      </c>
    </row>
    <row r="34" spans="1:12" ht="16.05" customHeight="1" x14ac:dyDescent="0.3">
      <c r="A34" s="9" t="s">
        <v>355</v>
      </c>
      <c r="B34" s="9" t="s">
        <v>218</v>
      </c>
      <c r="C34" s="9" t="s">
        <v>219</v>
      </c>
      <c r="D34" s="9" t="s">
        <v>289</v>
      </c>
      <c r="E34" s="11">
        <v>46127</v>
      </c>
      <c r="F34" s="15">
        <v>8</v>
      </c>
      <c r="G34" s="15">
        <v>3</v>
      </c>
      <c r="H34" s="18">
        <v>0.81</v>
      </c>
      <c r="I34" s="9" t="s">
        <v>345</v>
      </c>
      <c r="J34" s="9"/>
      <c r="K34" s="14" t="str">
        <f t="shared" ref="K34:K61" si="2">IF(I34="","Por avaliar",IF(AND(H34&gt;=0.7,I34="Sim"),"Sim","Não"))</f>
        <v>Não</v>
      </c>
      <c r="L34" s="14" t="str">
        <f t="shared" ref="L34:L65" si="3">IF(K34="Não","Retreino + tutor","")</f>
        <v>Retreino + tutor</v>
      </c>
    </row>
    <row r="35" spans="1:12" ht="16.05" customHeight="1" x14ac:dyDescent="0.3">
      <c r="A35" s="9" t="s">
        <v>356</v>
      </c>
      <c r="B35" s="9" t="s">
        <v>208</v>
      </c>
      <c r="C35" s="9" t="s">
        <v>209</v>
      </c>
      <c r="D35" s="9" t="s">
        <v>292</v>
      </c>
      <c r="E35" s="11">
        <v>46211</v>
      </c>
      <c r="F35" s="15">
        <v>8</v>
      </c>
      <c r="G35" s="15">
        <v>4</v>
      </c>
      <c r="H35" s="18">
        <v>0.96</v>
      </c>
      <c r="I35" s="9" t="s">
        <v>321</v>
      </c>
      <c r="J35" s="9"/>
      <c r="K35" s="14" t="str">
        <f t="shared" si="2"/>
        <v>Sim</v>
      </c>
      <c r="L35" s="14" t="str">
        <f t="shared" si="3"/>
        <v/>
      </c>
    </row>
    <row r="36" spans="1:12" ht="16.05" customHeight="1" x14ac:dyDescent="0.3">
      <c r="A36" s="9" t="s">
        <v>357</v>
      </c>
      <c r="B36" s="9" t="s">
        <v>199</v>
      </c>
      <c r="C36" s="9" t="s">
        <v>200</v>
      </c>
      <c r="D36" s="9" t="s">
        <v>292</v>
      </c>
      <c r="E36" s="11">
        <v>46211</v>
      </c>
      <c r="F36" s="15">
        <v>8</v>
      </c>
      <c r="G36" s="15">
        <v>4</v>
      </c>
      <c r="H36" s="18">
        <v>0.7</v>
      </c>
      <c r="I36" s="9" t="s">
        <v>321</v>
      </c>
      <c r="J36" s="9"/>
      <c r="K36" s="14" t="str">
        <f t="shared" si="2"/>
        <v>Sim</v>
      </c>
      <c r="L36" s="14" t="str">
        <f t="shared" si="3"/>
        <v/>
      </c>
    </row>
    <row r="37" spans="1:12" ht="16.05" customHeight="1" x14ac:dyDescent="0.3">
      <c r="A37" s="9" t="s">
        <v>358</v>
      </c>
      <c r="B37" s="9" t="s">
        <v>202</v>
      </c>
      <c r="C37" s="9" t="s">
        <v>203</v>
      </c>
      <c r="D37" s="9" t="s">
        <v>292</v>
      </c>
      <c r="E37" s="11">
        <v>46211</v>
      </c>
      <c r="F37" s="15">
        <v>8</v>
      </c>
      <c r="G37" s="15">
        <v>3</v>
      </c>
      <c r="H37" s="18">
        <v>0.93</v>
      </c>
      <c r="I37" s="9" t="s">
        <v>321</v>
      </c>
      <c r="J37" s="9"/>
      <c r="K37" s="14" t="str">
        <f t="shared" si="2"/>
        <v>Sim</v>
      </c>
      <c r="L37" s="14" t="str">
        <f t="shared" si="3"/>
        <v/>
      </c>
    </row>
    <row r="38" spans="1:12" ht="16.05" customHeight="1" x14ac:dyDescent="0.3">
      <c r="A38" s="9" t="s">
        <v>359</v>
      </c>
      <c r="B38" s="9" t="s">
        <v>237</v>
      </c>
      <c r="C38" s="9" t="s">
        <v>237</v>
      </c>
      <c r="D38" s="9" t="s">
        <v>298</v>
      </c>
      <c r="E38" s="11">
        <v>46188</v>
      </c>
      <c r="F38" s="15">
        <v>4</v>
      </c>
      <c r="G38" s="15">
        <v>3</v>
      </c>
      <c r="H38" s="18">
        <v>0.82</v>
      </c>
      <c r="I38" s="9" t="s">
        <v>321</v>
      </c>
      <c r="J38" s="9"/>
      <c r="K38" s="14" t="str">
        <f t="shared" si="2"/>
        <v>Sim</v>
      </c>
      <c r="L38" s="14" t="str">
        <f t="shared" si="3"/>
        <v/>
      </c>
    </row>
    <row r="39" spans="1:12" ht="16.05" customHeight="1" x14ac:dyDescent="0.3">
      <c r="A39" s="9" t="s">
        <v>360</v>
      </c>
      <c r="B39" s="9" t="s">
        <v>238</v>
      </c>
      <c r="C39" s="9" t="s">
        <v>238</v>
      </c>
      <c r="D39" s="9" t="s">
        <v>298</v>
      </c>
      <c r="E39" s="11">
        <v>46188</v>
      </c>
      <c r="F39" s="15">
        <v>4</v>
      </c>
      <c r="G39" s="15">
        <v>4</v>
      </c>
      <c r="H39" s="18">
        <v>0.89</v>
      </c>
      <c r="I39" s="9" t="s">
        <v>321</v>
      </c>
      <c r="J39" s="9"/>
      <c r="K39" s="14" t="str">
        <f t="shared" si="2"/>
        <v>Sim</v>
      </c>
      <c r="L39" s="14" t="str">
        <f t="shared" si="3"/>
        <v/>
      </c>
    </row>
    <row r="40" spans="1:12" ht="16.05" customHeight="1" x14ac:dyDescent="0.3">
      <c r="A40" s="9" t="s">
        <v>361</v>
      </c>
      <c r="B40" s="9" t="s">
        <v>231</v>
      </c>
      <c r="C40" s="9" t="s">
        <v>231</v>
      </c>
      <c r="D40" s="9" t="s">
        <v>298</v>
      </c>
      <c r="E40" s="11">
        <v>46188</v>
      </c>
      <c r="F40" s="15">
        <v>4</v>
      </c>
      <c r="G40" s="15">
        <v>3</v>
      </c>
      <c r="H40" s="18">
        <v>0.78</v>
      </c>
      <c r="I40" s="9" t="s">
        <v>321</v>
      </c>
      <c r="J40" s="9"/>
      <c r="K40" s="14" t="str">
        <f t="shared" si="2"/>
        <v>Sim</v>
      </c>
      <c r="L40" s="14" t="str">
        <f t="shared" si="3"/>
        <v/>
      </c>
    </row>
    <row r="41" spans="1:12" ht="16.05" customHeight="1" x14ac:dyDescent="0.3">
      <c r="A41" s="9" t="s">
        <v>362</v>
      </c>
      <c r="B41" s="9" t="s">
        <v>199</v>
      </c>
      <c r="C41" s="9" t="s">
        <v>200</v>
      </c>
      <c r="D41" s="9" t="s">
        <v>264</v>
      </c>
      <c r="E41" s="11">
        <v>46287</v>
      </c>
      <c r="F41" s="15">
        <v>16</v>
      </c>
      <c r="G41" s="15">
        <v>5</v>
      </c>
      <c r="H41" s="18">
        <v>0.86</v>
      </c>
      <c r="I41" s="9" t="s">
        <v>321</v>
      </c>
      <c r="J41" s="9"/>
      <c r="K41" s="14" t="str">
        <f t="shared" si="2"/>
        <v>Sim</v>
      </c>
      <c r="L41" s="14" t="str">
        <f t="shared" si="3"/>
        <v/>
      </c>
    </row>
    <row r="42" spans="1:12" ht="16.05" customHeight="1" x14ac:dyDescent="0.3">
      <c r="A42" s="9" t="s">
        <v>363</v>
      </c>
      <c r="B42" s="9" t="s">
        <v>204</v>
      </c>
      <c r="C42" s="9" t="s">
        <v>205</v>
      </c>
      <c r="D42" s="9" t="s">
        <v>264</v>
      </c>
      <c r="E42" s="11">
        <v>46287</v>
      </c>
      <c r="F42" s="15">
        <v>16</v>
      </c>
      <c r="G42" s="15">
        <v>4</v>
      </c>
      <c r="H42" s="18">
        <v>0.98</v>
      </c>
      <c r="I42" s="9" t="s">
        <v>321</v>
      </c>
      <c r="J42" s="9"/>
      <c r="K42" s="14" t="str">
        <f t="shared" si="2"/>
        <v>Sim</v>
      </c>
      <c r="L42" s="14" t="str">
        <f t="shared" si="3"/>
        <v/>
      </c>
    </row>
    <row r="43" spans="1:12" ht="16.05" customHeight="1" x14ac:dyDescent="0.3">
      <c r="A43" s="9" t="s">
        <v>364</v>
      </c>
      <c r="B43" s="9" t="s">
        <v>208</v>
      </c>
      <c r="C43" s="9" t="s">
        <v>209</v>
      </c>
      <c r="D43" s="9" t="s">
        <v>264</v>
      </c>
      <c r="E43" s="11">
        <v>46287</v>
      </c>
      <c r="F43" s="15">
        <v>16</v>
      </c>
      <c r="G43" s="15">
        <v>5</v>
      </c>
      <c r="H43" s="18">
        <v>0.73</v>
      </c>
      <c r="I43" s="9" t="s">
        <v>321</v>
      </c>
      <c r="J43" s="9"/>
      <c r="K43" s="14" t="str">
        <f t="shared" si="2"/>
        <v>Sim</v>
      </c>
      <c r="L43" s="14" t="str">
        <f t="shared" si="3"/>
        <v/>
      </c>
    </row>
    <row r="44" spans="1:12" ht="16.05" customHeight="1" x14ac:dyDescent="0.3">
      <c r="A44" s="9" t="s">
        <v>365</v>
      </c>
      <c r="B44" s="9" t="s">
        <v>199</v>
      </c>
      <c r="C44" s="9" t="s">
        <v>200</v>
      </c>
      <c r="D44" s="9" t="s">
        <v>259</v>
      </c>
      <c r="E44" s="11">
        <v>46301</v>
      </c>
      <c r="F44" s="15">
        <v>8</v>
      </c>
      <c r="G44" s="15">
        <v>5</v>
      </c>
      <c r="H44" s="18">
        <v>0.88</v>
      </c>
      <c r="I44" s="9" t="s">
        <v>321</v>
      </c>
      <c r="J44" s="9"/>
      <c r="K44" s="14" t="str">
        <f t="shared" si="2"/>
        <v>Sim</v>
      </c>
      <c r="L44" s="14" t="str">
        <f t="shared" si="3"/>
        <v/>
      </c>
    </row>
    <row r="45" spans="1:12" ht="16.05" customHeight="1" x14ac:dyDescent="0.3">
      <c r="A45" s="9" t="s">
        <v>366</v>
      </c>
      <c r="B45" s="9" t="s">
        <v>204</v>
      </c>
      <c r="C45" s="9" t="s">
        <v>205</v>
      </c>
      <c r="D45" s="9" t="s">
        <v>259</v>
      </c>
      <c r="E45" s="11">
        <v>46301</v>
      </c>
      <c r="F45" s="15">
        <v>8</v>
      </c>
      <c r="G45" s="15">
        <v>3</v>
      </c>
      <c r="H45" s="18">
        <v>0.71</v>
      </c>
      <c r="I45" s="9" t="s">
        <v>321</v>
      </c>
      <c r="J45" s="9"/>
      <c r="K45" s="14" t="str">
        <f t="shared" si="2"/>
        <v>Sim</v>
      </c>
      <c r="L45" s="14" t="str">
        <f t="shared" si="3"/>
        <v/>
      </c>
    </row>
    <row r="46" spans="1:12" ht="16.05" customHeight="1" x14ac:dyDescent="0.3">
      <c r="A46" s="9" t="s">
        <v>367</v>
      </c>
      <c r="B46" s="9" t="s">
        <v>208</v>
      </c>
      <c r="C46" s="9" t="s">
        <v>209</v>
      </c>
      <c r="D46" s="9" t="s">
        <v>259</v>
      </c>
      <c r="E46" s="11">
        <v>46301</v>
      </c>
      <c r="F46" s="15">
        <v>8</v>
      </c>
      <c r="G46" s="15">
        <v>5</v>
      </c>
      <c r="H46" s="18">
        <v>0.92</v>
      </c>
      <c r="I46" s="9" t="s">
        <v>321</v>
      </c>
      <c r="J46" s="9"/>
      <c r="K46" s="14" t="str">
        <f t="shared" si="2"/>
        <v>Sim</v>
      </c>
      <c r="L46" s="14" t="str">
        <f t="shared" si="3"/>
        <v/>
      </c>
    </row>
    <row r="47" spans="1:12" ht="16.05" customHeight="1" x14ac:dyDescent="0.3">
      <c r="A47" s="9" t="s">
        <v>368</v>
      </c>
      <c r="B47" s="9" t="s">
        <v>210</v>
      </c>
      <c r="C47" s="9" t="s">
        <v>211</v>
      </c>
      <c r="D47" s="9" t="s">
        <v>259</v>
      </c>
      <c r="E47" s="11">
        <v>46301</v>
      </c>
      <c r="F47" s="15">
        <v>8</v>
      </c>
      <c r="G47" s="15">
        <v>5</v>
      </c>
      <c r="H47" s="18">
        <v>0.81</v>
      </c>
      <c r="I47" s="9" t="s">
        <v>321</v>
      </c>
      <c r="J47" s="9"/>
      <c r="K47" s="14" t="str">
        <f t="shared" si="2"/>
        <v>Sim</v>
      </c>
      <c r="L47" s="14" t="str">
        <f t="shared" si="3"/>
        <v/>
      </c>
    </row>
    <row r="48" spans="1:12" ht="16.05" customHeight="1" x14ac:dyDescent="0.3">
      <c r="A48" s="9" t="s">
        <v>369</v>
      </c>
      <c r="B48" s="9" t="s">
        <v>214</v>
      </c>
      <c r="C48" s="9" t="s">
        <v>215</v>
      </c>
      <c r="D48" s="9" t="s">
        <v>259</v>
      </c>
      <c r="E48" s="11">
        <v>46301</v>
      </c>
      <c r="F48" s="15">
        <v>8</v>
      </c>
      <c r="G48" s="15">
        <v>4</v>
      </c>
      <c r="H48" s="18">
        <v>0.94</v>
      </c>
      <c r="I48" s="9" t="s">
        <v>321</v>
      </c>
      <c r="J48" s="9"/>
      <c r="K48" s="14" t="str">
        <f t="shared" si="2"/>
        <v>Sim</v>
      </c>
      <c r="L48" s="14" t="str">
        <f t="shared" si="3"/>
        <v/>
      </c>
    </row>
    <row r="49" spans="1:12" ht="16.05" customHeight="1" x14ac:dyDescent="0.3">
      <c r="A49" s="9" t="s">
        <v>370</v>
      </c>
      <c r="B49" s="9" t="s">
        <v>218</v>
      </c>
      <c r="C49" s="9" t="s">
        <v>219</v>
      </c>
      <c r="D49" s="9" t="s">
        <v>259</v>
      </c>
      <c r="E49" s="11">
        <v>46301</v>
      </c>
      <c r="F49" s="15">
        <v>8</v>
      </c>
      <c r="G49" s="15">
        <v>3</v>
      </c>
      <c r="H49" s="18">
        <v>0.96</v>
      </c>
      <c r="I49" s="9" t="s">
        <v>321</v>
      </c>
      <c r="J49" s="9"/>
      <c r="K49" s="14" t="str">
        <f t="shared" si="2"/>
        <v>Sim</v>
      </c>
      <c r="L49" s="14" t="str">
        <f t="shared" si="3"/>
        <v/>
      </c>
    </row>
    <row r="50" spans="1:12" ht="16.05" customHeight="1" x14ac:dyDescent="0.3">
      <c r="A50" s="9" t="s">
        <v>371</v>
      </c>
      <c r="B50" s="9" t="s">
        <v>210</v>
      </c>
      <c r="C50" s="9" t="s">
        <v>211</v>
      </c>
      <c r="D50" s="9" t="s">
        <v>295</v>
      </c>
      <c r="E50" s="11">
        <v>46308</v>
      </c>
      <c r="F50" s="15">
        <v>12</v>
      </c>
      <c r="G50" s="15">
        <v>5</v>
      </c>
      <c r="H50" s="18">
        <v>0.75</v>
      </c>
      <c r="I50" s="9" t="s">
        <v>321</v>
      </c>
      <c r="J50" s="9"/>
      <c r="K50" s="14" t="str">
        <f t="shared" si="2"/>
        <v>Sim</v>
      </c>
      <c r="L50" s="14" t="str">
        <f t="shared" si="3"/>
        <v/>
      </c>
    </row>
    <row r="51" spans="1:12" ht="16.05" customHeight="1" x14ac:dyDescent="0.3">
      <c r="A51" s="9" t="s">
        <v>372</v>
      </c>
      <c r="B51" s="9" t="s">
        <v>214</v>
      </c>
      <c r="C51" s="9" t="s">
        <v>215</v>
      </c>
      <c r="D51" s="9" t="s">
        <v>295</v>
      </c>
      <c r="E51" s="11">
        <v>46308</v>
      </c>
      <c r="F51" s="15">
        <v>12</v>
      </c>
      <c r="G51" s="15">
        <v>3</v>
      </c>
      <c r="H51" s="18">
        <v>0.88</v>
      </c>
      <c r="I51" s="9" t="s">
        <v>321</v>
      </c>
      <c r="J51" s="9"/>
      <c r="K51" s="14" t="str">
        <f t="shared" si="2"/>
        <v>Sim</v>
      </c>
      <c r="L51" s="14" t="str">
        <f t="shared" si="3"/>
        <v/>
      </c>
    </row>
    <row r="52" spans="1:12" ht="16.05" customHeight="1" x14ac:dyDescent="0.3">
      <c r="A52" s="9" t="s">
        <v>373</v>
      </c>
      <c r="B52" s="9" t="s">
        <v>218</v>
      </c>
      <c r="C52" s="9" t="s">
        <v>219</v>
      </c>
      <c r="D52" s="9" t="s">
        <v>295</v>
      </c>
      <c r="E52" s="11">
        <v>46308</v>
      </c>
      <c r="F52" s="15">
        <v>12</v>
      </c>
      <c r="G52" s="15">
        <v>3</v>
      </c>
      <c r="H52" s="18">
        <v>0.94</v>
      </c>
      <c r="I52" s="9" t="s">
        <v>321</v>
      </c>
      <c r="J52" s="9"/>
      <c r="K52" s="14" t="str">
        <f t="shared" si="2"/>
        <v>Sim</v>
      </c>
      <c r="L52" s="14" t="str">
        <f t="shared" si="3"/>
        <v/>
      </c>
    </row>
    <row r="53" spans="1:12" ht="16.05" customHeight="1" x14ac:dyDescent="0.3">
      <c r="A53" s="9" t="s">
        <v>374</v>
      </c>
      <c r="B53" s="9" t="s">
        <v>199</v>
      </c>
      <c r="C53" s="9" t="s">
        <v>200</v>
      </c>
      <c r="D53" s="9" t="s">
        <v>301</v>
      </c>
      <c r="E53" s="11">
        <v>46330</v>
      </c>
      <c r="F53" s="15">
        <v>3</v>
      </c>
      <c r="G53" s="15">
        <v>3</v>
      </c>
      <c r="H53" s="18">
        <v>0.93</v>
      </c>
      <c r="I53" s="9" t="s">
        <v>321</v>
      </c>
      <c r="J53" s="9"/>
      <c r="K53" s="14" t="str">
        <f t="shared" si="2"/>
        <v>Sim</v>
      </c>
      <c r="L53" s="14" t="str">
        <f t="shared" si="3"/>
        <v/>
      </c>
    </row>
    <row r="54" spans="1:12" ht="16.05" customHeight="1" x14ac:dyDescent="0.3">
      <c r="A54" s="9" t="s">
        <v>375</v>
      </c>
      <c r="B54" s="9" t="s">
        <v>202</v>
      </c>
      <c r="C54" s="9" t="s">
        <v>203</v>
      </c>
      <c r="D54" s="9" t="s">
        <v>301</v>
      </c>
      <c r="E54" s="11">
        <v>46330</v>
      </c>
      <c r="F54" s="15">
        <v>3</v>
      </c>
      <c r="G54" s="15">
        <v>5</v>
      </c>
      <c r="H54" s="18">
        <v>0.93</v>
      </c>
      <c r="I54" s="9" t="s">
        <v>321</v>
      </c>
      <c r="J54" s="9"/>
      <c r="K54" s="14" t="str">
        <f t="shared" si="2"/>
        <v>Sim</v>
      </c>
      <c r="L54" s="14" t="str">
        <f t="shared" si="3"/>
        <v/>
      </c>
    </row>
    <row r="55" spans="1:12" ht="16.05" customHeight="1" x14ac:dyDescent="0.3">
      <c r="A55" s="9" t="s">
        <v>376</v>
      </c>
      <c r="B55" s="9" t="s">
        <v>206</v>
      </c>
      <c r="C55" s="9" t="s">
        <v>207</v>
      </c>
      <c r="D55" s="9" t="s">
        <v>301</v>
      </c>
      <c r="E55" s="11">
        <v>46330</v>
      </c>
      <c r="F55" s="15">
        <v>3</v>
      </c>
      <c r="G55" s="15">
        <v>4</v>
      </c>
      <c r="H55" s="18">
        <v>0.92</v>
      </c>
      <c r="I55" s="9" t="s">
        <v>321</v>
      </c>
      <c r="J55" s="9"/>
      <c r="K55" s="14" t="str">
        <f t="shared" si="2"/>
        <v>Sim</v>
      </c>
      <c r="L55" s="14" t="str">
        <f t="shared" si="3"/>
        <v/>
      </c>
    </row>
    <row r="56" spans="1:12" ht="16.05" customHeight="1" x14ac:dyDescent="0.3">
      <c r="A56" s="9" t="s">
        <v>377</v>
      </c>
      <c r="B56" s="9" t="s">
        <v>226</v>
      </c>
      <c r="C56" s="9" t="s">
        <v>226</v>
      </c>
      <c r="D56" s="9" t="s">
        <v>301</v>
      </c>
      <c r="E56" s="11">
        <v>46330</v>
      </c>
      <c r="F56" s="15">
        <v>3</v>
      </c>
      <c r="G56" s="15">
        <v>5</v>
      </c>
      <c r="H56" s="18">
        <v>0.83</v>
      </c>
      <c r="I56" s="9" t="s">
        <v>321</v>
      </c>
      <c r="J56" s="9"/>
      <c r="K56" s="14" t="str">
        <f t="shared" si="2"/>
        <v>Sim</v>
      </c>
      <c r="L56" s="14" t="str">
        <f t="shared" si="3"/>
        <v/>
      </c>
    </row>
    <row r="57" spans="1:12" ht="16.05" customHeight="1" x14ac:dyDescent="0.3">
      <c r="A57" s="9" t="s">
        <v>378</v>
      </c>
      <c r="B57" s="9" t="s">
        <v>233</v>
      </c>
      <c r="C57" s="9" t="s">
        <v>233</v>
      </c>
      <c r="D57" s="9" t="s">
        <v>301</v>
      </c>
      <c r="E57" s="11">
        <v>46330</v>
      </c>
      <c r="F57" s="15">
        <v>3</v>
      </c>
      <c r="G57" s="15">
        <v>5</v>
      </c>
      <c r="H57" s="18">
        <v>0.76</v>
      </c>
      <c r="I57" s="9" t="s">
        <v>321</v>
      </c>
      <c r="J57" s="9"/>
      <c r="K57" s="14" t="str">
        <f t="shared" si="2"/>
        <v>Sim</v>
      </c>
      <c r="L57" s="14" t="str">
        <f t="shared" si="3"/>
        <v/>
      </c>
    </row>
    <row r="58" spans="1:12" ht="16.05" customHeight="1" x14ac:dyDescent="0.3">
      <c r="A58" s="9" t="s">
        <v>379</v>
      </c>
      <c r="B58" s="9" t="s">
        <v>237</v>
      </c>
      <c r="C58" s="9" t="s">
        <v>237</v>
      </c>
      <c r="D58" s="9" t="s">
        <v>304</v>
      </c>
      <c r="E58" s="11">
        <v>46358</v>
      </c>
      <c r="F58" s="15">
        <v>4</v>
      </c>
      <c r="G58" s="15">
        <v>4</v>
      </c>
      <c r="H58" s="18">
        <v>0.85</v>
      </c>
      <c r="I58" s="9"/>
      <c r="J58" s="9"/>
      <c r="K58" s="14" t="str">
        <f t="shared" si="2"/>
        <v>Por avaliar</v>
      </c>
      <c r="L58" s="14" t="str">
        <f t="shared" si="3"/>
        <v/>
      </c>
    </row>
    <row r="59" spans="1:12" ht="16.05" customHeight="1" x14ac:dyDescent="0.3">
      <c r="A59" s="9" t="s">
        <v>380</v>
      </c>
      <c r="B59" s="9" t="s">
        <v>238</v>
      </c>
      <c r="C59" s="9" t="s">
        <v>238</v>
      </c>
      <c r="D59" s="9" t="s">
        <v>304</v>
      </c>
      <c r="E59" s="11">
        <v>46358</v>
      </c>
      <c r="F59" s="15">
        <v>4</v>
      </c>
      <c r="G59" s="15">
        <v>4</v>
      </c>
      <c r="H59" s="18">
        <v>0.84</v>
      </c>
      <c r="I59" s="9"/>
      <c r="J59" s="9"/>
      <c r="K59" s="14" t="str">
        <f t="shared" si="2"/>
        <v>Por avaliar</v>
      </c>
      <c r="L59" s="14" t="str">
        <f t="shared" si="3"/>
        <v/>
      </c>
    </row>
    <row r="60" spans="1:12" ht="16.05" customHeight="1" x14ac:dyDescent="0.3">
      <c r="A60" s="9" t="s">
        <v>381</v>
      </c>
      <c r="B60" s="9" t="s">
        <v>233</v>
      </c>
      <c r="C60" s="9" t="s">
        <v>233</v>
      </c>
      <c r="D60" s="9" t="s">
        <v>304</v>
      </c>
      <c r="E60" s="11">
        <v>46358</v>
      </c>
      <c r="F60" s="15">
        <v>4</v>
      </c>
      <c r="G60" s="15">
        <v>3</v>
      </c>
      <c r="H60" s="18">
        <v>0.69</v>
      </c>
      <c r="I60" s="9"/>
      <c r="J60" s="9"/>
      <c r="K60" s="14" t="str">
        <f t="shared" si="2"/>
        <v>Por avaliar</v>
      </c>
      <c r="L60" s="14" t="str">
        <f t="shared" si="3"/>
        <v/>
      </c>
    </row>
    <row r="61" spans="1:12" ht="16.05" customHeight="1" x14ac:dyDescent="0.3">
      <c r="A61" s="9" t="s">
        <v>382</v>
      </c>
      <c r="B61" s="9" t="s">
        <v>234</v>
      </c>
      <c r="C61" s="9" t="s">
        <v>234</v>
      </c>
      <c r="D61" s="9" t="s">
        <v>304</v>
      </c>
      <c r="E61" s="11">
        <v>46358</v>
      </c>
      <c r="F61" s="15">
        <v>4</v>
      </c>
      <c r="G61" s="15">
        <v>3</v>
      </c>
      <c r="H61" s="18">
        <v>0.75</v>
      </c>
      <c r="I61" s="9"/>
      <c r="J61" s="9"/>
      <c r="K61" s="14" t="str">
        <f t="shared" si="2"/>
        <v>Por avaliar</v>
      </c>
      <c r="L61" s="14" t="str">
        <f t="shared" si="3"/>
        <v/>
      </c>
    </row>
  </sheetData>
  <conditionalFormatting sqref="K2:K261">
    <cfRule type="expression" dxfId="6" priority="1">
      <formula>ISNUMBER(SEARCH("Não",K2))</formula>
    </cfRule>
    <cfRule type="expression" dxfId="5" priority="2">
      <formula>ISNUMBER(SEARCH("Sim",K2))</formula>
    </cfRule>
    <cfRule type="expression" dxfId="4" priority="3">
      <formula>ISNUMBER(SEARCH("Por avaliar",K2))</formula>
    </cfRule>
  </conditionalFormatting>
  <dataValidations count="1">
    <dataValidation type="list" allowBlank="1" showErrorMessage="1" errorTitle="Valor inválido" error="Valor fora da lista controlada (ver folha Listas)." sqref="I2:I261" xr:uid="{00000000-0002-0000-06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48" customWidth="1"/>
    <col min="4" max="4" width="28" customWidth="1"/>
    <col min="5" max="5" width="18" customWidth="1"/>
    <col min="6" max="6" width="8" customWidth="1"/>
    <col min="7" max="8" width="9" customWidth="1"/>
    <col min="9" max="9" width="32" customWidth="1"/>
  </cols>
  <sheetData>
    <row r="1" spans="1:9" ht="17.399999999999999" x14ac:dyDescent="0.3">
      <c r="A1" s="1" t="s">
        <v>383</v>
      </c>
    </row>
    <row r="4" spans="1:9" ht="26.4" x14ac:dyDescent="0.3">
      <c r="A4" s="8" t="s">
        <v>384</v>
      </c>
      <c r="B4" s="8" t="s">
        <v>255</v>
      </c>
      <c r="C4" s="8" t="s">
        <v>385</v>
      </c>
      <c r="D4" s="8" t="s">
        <v>386</v>
      </c>
      <c r="E4" s="8" t="s">
        <v>254</v>
      </c>
      <c r="F4" s="8" t="s">
        <v>387</v>
      </c>
      <c r="G4" s="8" t="s">
        <v>388</v>
      </c>
      <c r="H4" s="10" t="s">
        <v>389</v>
      </c>
      <c r="I4" s="8" t="s">
        <v>390</v>
      </c>
    </row>
    <row r="5" spans="1:9" ht="30" customHeight="1" x14ac:dyDescent="0.3">
      <c r="A5" s="9" t="s">
        <v>391</v>
      </c>
      <c r="B5" s="11">
        <v>46064</v>
      </c>
      <c r="C5" s="9" t="s">
        <v>392</v>
      </c>
      <c r="D5" s="9" t="s">
        <v>393</v>
      </c>
      <c r="E5" s="9" t="s">
        <v>394</v>
      </c>
      <c r="F5" s="15">
        <v>142</v>
      </c>
      <c r="G5" s="15">
        <v>150</v>
      </c>
      <c r="H5" s="17">
        <f t="shared" ref="H5:H10" si="0">IFERROR(F5/G5,"")</f>
        <v>0.94666666666666666</v>
      </c>
      <c r="I5" s="9" t="s">
        <v>395</v>
      </c>
    </row>
    <row r="6" spans="1:9" ht="30" customHeight="1" x14ac:dyDescent="0.3">
      <c r="A6" s="9" t="s">
        <v>396</v>
      </c>
      <c r="B6" s="11">
        <v>46155</v>
      </c>
      <c r="C6" s="9" t="s">
        <v>397</v>
      </c>
      <c r="D6" s="9" t="s">
        <v>398</v>
      </c>
      <c r="E6" s="9" t="s">
        <v>399</v>
      </c>
      <c r="F6" s="15">
        <v>118</v>
      </c>
      <c r="G6" s="15">
        <v>130</v>
      </c>
      <c r="H6" s="17">
        <f t="shared" si="0"/>
        <v>0.90769230769230769</v>
      </c>
      <c r="I6" s="9" t="s">
        <v>400</v>
      </c>
    </row>
    <row r="7" spans="1:9" ht="30" customHeight="1" x14ac:dyDescent="0.3">
      <c r="A7" s="9" t="s">
        <v>401</v>
      </c>
      <c r="B7" s="11">
        <v>46281</v>
      </c>
      <c r="C7" s="9" t="s">
        <v>402</v>
      </c>
      <c r="D7" s="9" t="s">
        <v>403</v>
      </c>
      <c r="E7" s="9" t="s">
        <v>394</v>
      </c>
      <c r="F7" s="15">
        <v>131</v>
      </c>
      <c r="G7" s="15">
        <v>152</v>
      </c>
      <c r="H7" s="17">
        <f t="shared" si="0"/>
        <v>0.86184210526315785</v>
      </c>
      <c r="I7" s="9" t="s">
        <v>404</v>
      </c>
    </row>
    <row r="8" spans="1:9" ht="30" customHeight="1" x14ac:dyDescent="0.3">
      <c r="A8" s="9" t="s">
        <v>405</v>
      </c>
      <c r="B8" s="11">
        <v>46199</v>
      </c>
      <c r="C8" s="9" t="s">
        <v>406</v>
      </c>
      <c r="D8" s="9" t="s">
        <v>407</v>
      </c>
      <c r="E8" s="9" t="s">
        <v>408</v>
      </c>
      <c r="F8" s="15">
        <v>34</v>
      </c>
      <c r="G8" s="15">
        <v>36</v>
      </c>
      <c r="H8" s="17">
        <f t="shared" si="0"/>
        <v>0.94444444444444442</v>
      </c>
      <c r="I8" s="9" t="s">
        <v>409</v>
      </c>
    </row>
    <row r="9" spans="1:9" ht="30" customHeight="1" x14ac:dyDescent="0.3">
      <c r="A9" s="9" t="s">
        <v>410</v>
      </c>
      <c r="B9" s="11">
        <v>46344</v>
      </c>
      <c r="C9" s="9" t="s">
        <v>411</v>
      </c>
      <c r="D9" s="9" t="s">
        <v>412</v>
      </c>
      <c r="E9" s="9" t="s">
        <v>394</v>
      </c>
      <c r="F9" s="15">
        <v>139</v>
      </c>
      <c r="G9" s="15">
        <v>154</v>
      </c>
      <c r="H9" s="17">
        <f t="shared" si="0"/>
        <v>0.90259740259740262</v>
      </c>
      <c r="I9" s="9" t="s">
        <v>413</v>
      </c>
    </row>
    <row r="10" spans="1:9" ht="30" customHeight="1" x14ac:dyDescent="0.3">
      <c r="A10" s="9" t="s">
        <v>414</v>
      </c>
      <c r="B10" s="11">
        <v>46253</v>
      </c>
      <c r="C10" s="9" t="s">
        <v>415</v>
      </c>
      <c r="D10" s="9" t="s">
        <v>416</v>
      </c>
      <c r="E10" s="9" t="s">
        <v>417</v>
      </c>
      <c r="F10" s="15">
        <v>22</v>
      </c>
      <c r="G10" s="15">
        <v>24</v>
      </c>
      <c r="H10" s="17">
        <f t="shared" si="0"/>
        <v>0.91666666666666663</v>
      </c>
      <c r="I10" s="9" t="s">
        <v>418</v>
      </c>
    </row>
  </sheetData>
  <conditionalFormatting sqref="H5:H210">
    <cfRule type="expression" dxfId="3" priority="1">
      <formula>AND(H5&lt;&gt;"",H5&lt;0.9)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4" customWidth="1"/>
    <col min="3" max="3" width="18" customWidth="1"/>
    <col min="4" max="4" width="28" customWidth="1"/>
    <col min="5" max="5" width="30" customWidth="1"/>
    <col min="6" max="6" width="8" customWidth="1"/>
    <col min="7" max="7" width="9" customWidth="1"/>
    <col min="8" max="8" width="36" customWidth="1"/>
    <col min="9" max="9" width="40" customWidth="1"/>
  </cols>
  <sheetData>
    <row r="1" spans="1:9" ht="17.399999999999999" x14ac:dyDescent="0.3">
      <c r="A1" s="1" t="s">
        <v>419</v>
      </c>
    </row>
    <row r="4" spans="1:9" ht="26.4" x14ac:dyDescent="0.3">
      <c r="A4" s="8" t="s">
        <v>420</v>
      </c>
      <c r="B4" s="8" t="s">
        <v>421</v>
      </c>
      <c r="C4" s="8" t="s">
        <v>422</v>
      </c>
      <c r="D4" s="8" t="s">
        <v>423</v>
      </c>
      <c r="E4" s="8" t="s">
        <v>424</v>
      </c>
      <c r="F4" s="8" t="s">
        <v>425</v>
      </c>
      <c r="G4" s="10" t="s">
        <v>426</v>
      </c>
      <c r="H4" s="8" t="s">
        <v>427</v>
      </c>
      <c r="I4" s="8" t="s">
        <v>428</v>
      </c>
    </row>
    <row r="5" spans="1:9" ht="40.049999999999997" customHeight="1" x14ac:dyDescent="0.3">
      <c r="A5" s="9" t="s">
        <v>429</v>
      </c>
      <c r="B5" s="9" t="s">
        <v>430</v>
      </c>
      <c r="C5" s="9" t="s">
        <v>431</v>
      </c>
      <c r="D5" s="9" t="s">
        <v>432</v>
      </c>
      <c r="E5" s="9" t="s">
        <v>433</v>
      </c>
      <c r="F5" s="15">
        <v>2</v>
      </c>
      <c r="G5" s="14" t="str">
        <f t="shared" ref="G5:G13" si="0">IF(F5&lt;=1,"Alto",IF(F5=2,"Médio","Baixo"))</f>
        <v>Médio</v>
      </c>
      <c r="H5" s="9" t="s">
        <v>434</v>
      </c>
      <c r="I5" s="9" t="s">
        <v>435</v>
      </c>
    </row>
    <row r="6" spans="1:9" ht="40.049999999999997" customHeight="1" x14ac:dyDescent="0.3">
      <c r="A6" s="9" t="s">
        <v>436</v>
      </c>
      <c r="B6" s="9" t="s">
        <v>437</v>
      </c>
      <c r="C6" s="9" t="s">
        <v>438</v>
      </c>
      <c r="D6" s="9" t="s">
        <v>439</v>
      </c>
      <c r="E6" s="9" t="s">
        <v>440</v>
      </c>
      <c r="F6" s="15">
        <v>2</v>
      </c>
      <c r="G6" s="14" t="str">
        <f t="shared" si="0"/>
        <v>Médio</v>
      </c>
      <c r="H6" s="9" t="s">
        <v>441</v>
      </c>
      <c r="I6" s="9" t="s">
        <v>442</v>
      </c>
    </row>
    <row r="7" spans="1:9" ht="40.049999999999997" customHeight="1" x14ac:dyDescent="0.3">
      <c r="A7" s="9" t="s">
        <v>443</v>
      </c>
      <c r="B7" s="9" t="s">
        <v>444</v>
      </c>
      <c r="C7" s="9" t="s">
        <v>445</v>
      </c>
      <c r="D7" s="9" t="s">
        <v>446</v>
      </c>
      <c r="E7" s="9" t="s">
        <v>447</v>
      </c>
      <c r="F7" s="15">
        <v>3</v>
      </c>
      <c r="G7" s="14" t="str">
        <f t="shared" si="0"/>
        <v>Baixo</v>
      </c>
      <c r="H7" s="9" t="s">
        <v>448</v>
      </c>
      <c r="I7" s="9" t="s">
        <v>449</v>
      </c>
    </row>
    <row r="8" spans="1:9" ht="40.049999999999997" customHeight="1" x14ac:dyDescent="0.3">
      <c r="A8" s="9" t="s">
        <v>450</v>
      </c>
      <c r="B8" s="9" t="s">
        <v>451</v>
      </c>
      <c r="C8" s="9" t="s">
        <v>431</v>
      </c>
      <c r="D8" s="9" t="s">
        <v>452</v>
      </c>
      <c r="E8" s="9" t="s">
        <v>211</v>
      </c>
      <c r="F8" s="15">
        <v>1</v>
      </c>
      <c r="G8" s="14" t="str">
        <f t="shared" si="0"/>
        <v>Alto</v>
      </c>
      <c r="H8" s="9" t="s">
        <v>453</v>
      </c>
      <c r="I8" s="9" t="s">
        <v>454</v>
      </c>
    </row>
    <row r="9" spans="1:9" ht="40.049999999999997" customHeight="1" x14ac:dyDescent="0.3">
      <c r="A9" s="9" t="s">
        <v>455</v>
      </c>
      <c r="B9" s="9" t="s">
        <v>456</v>
      </c>
      <c r="C9" s="9" t="s">
        <v>457</v>
      </c>
      <c r="D9" s="9" t="s">
        <v>458</v>
      </c>
      <c r="E9" s="9" t="s">
        <v>459</v>
      </c>
      <c r="F9" s="15">
        <v>1</v>
      </c>
      <c r="G9" s="14" t="str">
        <f t="shared" si="0"/>
        <v>Alto</v>
      </c>
      <c r="H9" s="9" t="s">
        <v>460</v>
      </c>
      <c r="I9" s="9" t="s">
        <v>461</v>
      </c>
    </row>
    <row r="10" spans="1:9" ht="40.049999999999997" customHeight="1" x14ac:dyDescent="0.3">
      <c r="A10" s="9" t="s">
        <v>462</v>
      </c>
      <c r="B10" s="9" t="s">
        <v>463</v>
      </c>
      <c r="C10" s="9" t="s">
        <v>464</v>
      </c>
      <c r="D10" s="9" t="s">
        <v>465</v>
      </c>
      <c r="E10" s="9" t="s">
        <v>466</v>
      </c>
      <c r="F10" s="15">
        <v>2</v>
      </c>
      <c r="G10" s="14" t="str">
        <f t="shared" si="0"/>
        <v>Médio</v>
      </c>
      <c r="H10" s="9" t="s">
        <v>467</v>
      </c>
      <c r="I10" s="9" t="s">
        <v>468</v>
      </c>
    </row>
    <row r="11" spans="1:9" ht="40.049999999999997" customHeight="1" x14ac:dyDescent="0.3">
      <c r="A11" s="9" t="s">
        <v>469</v>
      </c>
      <c r="B11" s="9" t="s">
        <v>470</v>
      </c>
      <c r="C11" s="9" t="s">
        <v>445</v>
      </c>
      <c r="D11" s="9" t="s">
        <v>471</v>
      </c>
      <c r="E11" s="9" t="s">
        <v>472</v>
      </c>
      <c r="F11" s="15">
        <v>4</v>
      </c>
      <c r="G11" s="14" t="str">
        <f t="shared" si="0"/>
        <v>Baixo</v>
      </c>
      <c r="H11" s="9" t="s">
        <v>473</v>
      </c>
      <c r="I11" s="9" t="s">
        <v>474</v>
      </c>
    </row>
    <row r="12" spans="1:9" ht="40.049999999999997" customHeight="1" x14ac:dyDescent="0.3">
      <c r="A12" s="9" t="s">
        <v>475</v>
      </c>
      <c r="B12" s="9" t="s">
        <v>476</v>
      </c>
      <c r="C12" s="9" t="s">
        <v>445</v>
      </c>
      <c r="D12" s="9" t="s">
        <v>477</v>
      </c>
      <c r="E12" s="9" t="s">
        <v>478</v>
      </c>
      <c r="F12" s="15">
        <v>2</v>
      </c>
      <c r="G12" s="14" t="str">
        <f t="shared" si="0"/>
        <v>Médio</v>
      </c>
      <c r="H12" s="9" t="s">
        <v>479</v>
      </c>
      <c r="I12" s="9" t="s">
        <v>480</v>
      </c>
    </row>
    <row r="13" spans="1:9" ht="40.049999999999997" customHeight="1" x14ac:dyDescent="0.3">
      <c r="A13" s="9" t="s">
        <v>481</v>
      </c>
      <c r="B13" s="9" t="s">
        <v>482</v>
      </c>
      <c r="C13" s="9" t="s">
        <v>457</v>
      </c>
      <c r="D13" s="9" t="s">
        <v>483</v>
      </c>
      <c r="E13" s="9" t="s">
        <v>459</v>
      </c>
      <c r="F13" s="15">
        <v>1</v>
      </c>
      <c r="G13" s="14" t="str">
        <f t="shared" si="0"/>
        <v>Alto</v>
      </c>
      <c r="H13" s="9" t="s">
        <v>484</v>
      </c>
      <c r="I13" s="9" t="s">
        <v>485</v>
      </c>
    </row>
  </sheetData>
  <conditionalFormatting sqref="G5:G213">
    <cfRule type="expression" dxfId="2" priority="1">
      <formula>ISNUMBER(SEARCH("Alto",G5))</formula>
    </cfRule>
    <cfRule type="expression" dxfId="1" priority="2">
      <formula>ISNUMBER(SEARCH("Médio",G5))</formula>
    </cfRule>
    <cfRule type="expression" dxfId="0" priority="3">
      <formula>ISNUMBER(SEARCH("Baixo",G5))</formula>
    </cfRule>
  </conditionalFormatting>
  <dataValidations count="1">
    <dataValidation type="list" allowBlank="1" showErrorMessage="1" errorTitle="Valor inválido" error="Valor fora da lista controlada (ver folha Listas)." sqref="C5:C213" xr:uid="{00000000-0002-0000-0800-000000000000}">
      <formula1>lst_TipoConhec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3"/>
  <sheetViews>
    <sheetView showGridLines="0" workbookViewId="0"/>
  </sheetViews>
  <sheetFormatPr defaultRowHeight="14.4" x14ac:dyDescent="0.3"/>
  <cols>
    <col min="1" max="1" width="56" customWidth="1"/>
    <col min="2" max="2" width="12" customWidth="1"/>
  </cols>
  <sheetData>
    <row r="1" spans="1:2" ht="17.399999999999999" x14ac:dyDescent="0.3">
      <c r="A1" s="1" t="s">
        <v>486</v>
      </c>
    </row>
    <row r="3" spans="1:2" x14ac:dyDescent="0.3">
      <c r="A3" s="8" t="s">
        <v>487</v>
      </c>
      <c r="B3" s="8" t="s">
        <v>488</v>
      </c>
    </row>
    <row r="4" spans="1:2" x14ac:dyDescent="0.3">
      <c r="A4" s="19" t="s">
        <v>489</v>
      </c>
      <c r="B4" s="18">
        <f>IFERROR(COUNTIFS(tbl_formacoes[Estado],"Realizada")/COUNTIFS(tbl_formacoes[Data],"&lt;="&amp;DataRef),"")</f>
        <v>1</v>
      </c>
    </row>
    <row r="5" spans="1:2" x14ac:dyDescent="0.3">
      <c r="A5" s="19" t="s">
        <v>490</v>
      </c>
      <c r="B5" s="15">
        <f>COUNTIF(tbl_formacoes[Eficacia_Pct],"&gt;="&amp;0.8)</f>
        <v>12</v>
      </c>
    </row>
    <row r="6" spans="1:2" x14ac:dyDescent="0.3">
      <c r="A6" s="19" t="s">
        <v>491</v>
      </c>
      <c r="B6" s="15">
        <f>COUNTIF(tbl_registo_formacao[Eficaz],"Não")</f>
        <v>3</v>
      </c>
    </row>
    <row r="7" spans="1:2" x14ac:dyDescent="0.3">
      <c r="A7" s="19" t="s">
        <v>492</v>
      </c>
      <c r="B7" s="15">
        <f>COUNTA(tbl_matriz[ID_Pessoa])</f>
        <v>138</v>
      </c>
    </row>
    <row r="8" spans="1:2" x14ac:dyDescent="0.3">
      <c r="A8" s="20" t="s">
        <v>493</v>
      </c>
      <c r="B8" s="15">
        <f>COUNTIF(tbl_matriz[Estado],"Qualificado")+COUNTIF(tbl_matriz[Estado],"Formador")</f>
        <v>131</v>
      </c>
    </row>
    <row r="9" spans="1:2" x14ac:dyDescent="0.3">
      <c r="A9" s="20" t="s">
        <v>494</v>
      </c>
      <c r="B9" s="15">
        <f>COUNTIF(tbl_matriz[Estado],"Lacuna")</f>
        <v>0</v>
      </c>
    </row>
    <row r="10" spans="1:2" x14ac:dyDescent="0.3">
      <c r="A10" s="19" t="s">
        <v>495</v>
      </c>
      <c r="B10" s="18">
        <f>IFERROR((B8)/B7,"")</f>
        <v>0.94927536231884058</v>
      </c>
    </row>
    <row r="11" spans="1:2" x14ac:dyDescent="0.3">
      <c r="A11" s="19" t="s">
        <v>496</v>
      </c>
      <c r="B11" s="15">
        <f>COUNTIF(tbl_pessoas[Pode_Trabalhar_Sozinho],"Com tutor")</f>
        <v>5</v>
      </c>
    </row>
    <row r="12" spans="1:2" x14ac:dyDescent="0.3">
      <c r="A12" s="19" t="s">
        <v>497</v>
      </c>
      <c r="B12" s="15">
        <f>COUNTIF(tbl_conhecimento[Risco_Perda],"Alto")</f>
        <v>3</v>
      </c>
    </row>
    <row r="13" spans="1:2" x14ac:dyDescent="0.3">
      <c r="A13" s="19" t="s">
        <v>498</v>
      </c>
      <c r="B13" s="18">
        <f>AVERAGE(tbl_consciencializacao[Cobertura])</f>
        <v>0.91331826555510764</v>
      </c>
    </row>
  </sheetData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5" customWidth="1"/>
    <col min="3" max="5" width="16" customWidth="1"/>
    <col min="6" max="6" width="25" customWidth="1"/>
    <col min="7" max="7" width="16" customWidth="1"/>
  </cols>
  <sheetData>
    <row r="1" spans="1:7" x14ac:dyDescent="0.3">
      <c r="A1" s="21" t="s">
        <v>499</v>
      </c>
    </row>
    <row r="2" spans="1:7" x14ac:dyDescent="0.3">
      <c r="A2" s="22" t="s">
        <v>500</v>
      </c>
      <c r="B2" s="22" t="s">
        <v>83</v>
      </c>
      <c r="C2" s="22" t="s">
        <v>151</v>
      </c>
      <c r="D2" s="22" t="s">
        <v>501</v>
      </c>
      <c r="E2" s="22" t="s">
        <v>502</v>
      </c>
      <c r="F2" s="22" t="s">
        <v>503</v>
      </c>
      <c r="G2" s="22" t="s">
        <v>195</v>
      </c>
    </row>
    <row r="3" spans="1:7" x14ac:dyDescent="0.3">
      <c r="A3" s="23">
        <v>46387</v>
      </c>
      <c r="B3" s="6" t="s">
        <v>504</v>
      </c>
      <c r="C3" s="6" t="s">
        <v>505</v>
      </c>
      <c r="D3" s="6" t="s">
        <v>310</v>
      </c>
      <c r="E3" s="6" t="s">
        <v>321</v>
      </c>
      <c r="F3" s="6" t="s">
        <v>438</v>
      </c>
      <c r="G3" s="6" t="s">
        <v>201</v>
      </c>
    </row>
    <row r="4" spans="1:7" x14ac:dyDescent="0.3">
      <c r="B4" s="6" t="s">
        <v>506</v>
      </c>
      <c r="C4" s="6" t="s">
        <v>187</v>
      </c>
      <c r="D4" s="6" t="s">
        <v>263</v>
      </c>
      <c r="E4" s="6" t="s">
        <v>345</v>
      </c>
      <c r="F4" s="6" t="s">
        <v>464</v>
      </c>
      <c r="G4" s="6" t="s">
        <v>229</v>
      </c>
    </row>
    <row r="5" spans="1:7" x14ac:dyDescent="0.3">
      <c r="B5" s="6" t="s">
        <v>11</v>
      </c>
      <c r="C5" s="6" t="s">
        <v>507</v>
      </c>
      <c r="D5" s="6" t="s">
        <v>508</v>
      </c>
      <c r="F5" s="6" t="s">
        <v>431</v>
      </c>
    </row>
    <row r="6" spans="1:7" x14ac:dyDescent="0.3">
      <c r="B6" s="6" t="s">
        <v>509</v>
      </c>
      <c r="C6" s="6" t="s">
        <v>510</v>
      </c>
      <c r="D6" s="6" t="s">
        <v>511</v>
      </c>
      <c r="F6" s="6" t="s">
        <v>445</v>
      </c>
    </row>
    <row r="7" spans="1:7" x14ac:dyDescent="0.3">
      <c r="B7" s="6" t="s">
        <v>512</v>
      </c>
      <c r="C7" s="6" t="s">
        <v>513</v>
      </c>
      <c r="F7" s="6" t="s">
        <v>457</v>
      </c>
    </row>
    <row r="8" spans="1:7" x14ac:dyDescent="0.3">
      <c r="B8" s="6" t="s">
        <v>514</v>
      </c>
      <c r="C8" s="6" t="s">
        <v>515</v>
      </c>
    </row>
    <row r="9" spans="1:7" x14ac:dyDescent="0.3">
      <c r="B9" s="6" t="s">
        <v>516</v>
      </c>
      <c r="C9" s="6" t="s">
        <v>517</v>
      </c>
    </row>
    <row r="10" spans="1:7" x14ac:dyDescent="0.3">
      <c r="B10" s="6" t="s">
        <v>518</v>
      </c>
      <c r="C10" s="6" t="s">
        <v>170</v>
      </c>
    </row>
    <row r="11" spans="1:7" x14ac:dyDescent="0.3">
      <c r="B11" s="6" t="s">
        <v>519</v>
      </c>
      <c r="C11" s="6" t="s">
        <v>173</v>
      </c>
    </row>
    <row r="12" spans="1:7" x14ac:dyDescent="0.3">
      <c r="B12" s="6" t="s">
        <v>520</v>
      </c>
      <c r="C12" s="6" t="s">
        <v>176</v>
      </c>
    </row>
    <row r="13" spans="1:7" x14ac:dyDescent="0.3">
      <c r="B13" s="6" t="s">
        <v>459</v>
      </c>
      <c r="C13" s="6" t="s">
        <v>178</v>
      </c>
    </row>
    <row r="14" spans="1:7" x14ac:dyDescent="0.3">
      <c r="B14" s="6" t="s">
        <v>94</v>
      </c>
      <c r="C14" s="6" t="s">
        <v>154</v>
      </c>
    </row>
    <row r="15" spans="1:7" x14ac:dyDescent="0.3">
      <c r="B15" s="6" t="s">
        <v>100</v>
      </c>
      <c r="C15" s="6" t="s">
        <v>184</v>
      </c>
    </row>
    <row r="16" spans="1:7" x14ac:dyDescent="0.3">
      <c r="B16" s="6" t="s">
        <v>140</v>
      </c>
      <c r="C16" s="6" t="s">
        <v>181</v>
      </c>
    </row>
    <row r="17" spans="2:3" x14ac:dyDescent="0.3">
      <c r="B17" s="6" t="s">
        <v>145</v>
      </c>
      <c r="C17" s="6" t="s">
        <v>167</v>
      </c>
    </row>
    <row r="18" spans="2:3" x14ac:dyDescent="0.3">
      <c r="B18" s="6" t="s">
        <v>112</v>
      </c>
      <c r="C18" s="6" t="s">
        <v>521</v>
      </c>
    </row>
    <row r="19" spans="2:3" x14ac:dyDescent="0.3">
      <c r="B19" s="6" t="s">
        <v>118</v>
      </c>
      <c r="C19" s="6" t="s">
        <v>522</v>
      </c>
    </row>
    <row r="20" spans="2:3" x14ac:dyDescent="0.3">
      <c r="B20" s="6" t="s">
        <v>121</v>
      </c>
      <c r="C20" s="6" t="s">
        <v>523</v>
      </c>
    </row>
    <row r="21" spans="2:3" x14ac:dyDescent="0.3">
      <c r="B21" s="6" t="s">
        <v>125</v>
      </c>
    </row>
    <row r="22" spans="2:3" x14ac:dyDescent="0.3">
      <c r="B22" s="6" t="s">
        <v>129</v>
      </c>
    </row>
    <row r="23" spans="2:3" x14ac:dyDescent="0.3">
      <c r="B23" s="6" t="s">
        <v>106</v>
      </c>
    </row>
    <row r="24" spans="2:3" x14ac:dyDescent="0.3">
      <c r="B24" s="6" t="s">
        <v>134</v>
      </c>
    </row>
    <row r="25" spans="2:3" x14ac:dyDescent="0.3">
      <c r="B25" s="6" t="s">
        <v>524</v>
      </c>
    </row>
    <row r="26" spans="2:3" x14ac:dyDescent="0.3">
      <c r="B26" s="6" t="s">
        <v>525</v>
      </c>
    </row>
    <row r="27" spans="2:3" x14ac:dyDescent="0.3">
      <c r="B27" s="6" t="s">
        <v>526</v>
      </c>
    </row>
    <row r="28" spans="2:3" x14ac:dyDescent="0.3">
      <c r="B28" s="6" t="s">
        <v>527</v>
      </c>
    </row>
    <row r="29" spans="2:3" x14ac:dyDescent="0.3">
      <c r="B29" s="6" t="s">
        <v>100</v>
      </c>
    </row>
    <row r="30" spans="2:3" x14ac:dyDescent="0.3">
      <c r="B30" s="6" t="s">
        <v>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528</v>
      </c>
      <c r="B1" s="8" t="s">
        <v>529</v>
      </c>
      <c r="C1" s="8" t="s">
        <v>530</v>
      </c>
      <c r="D1" s="8" t="s">
        <v>256</v>
      </c>
      <c r="E1" s="8" t="s">
        <v>531</v>
      </c>
      <c r="F1" s="8" t="s">
        <v>532</v>
      </c>
      <c r="G1" s="8" t="s">
        <v>533</v>
      </c>
      <c r="H1" s="8" t="s">
        <v>534</v>
      </c>
      <c r="I1" s="8" t="s">
        <v>535</v>
      </c>
    </row>
    <row r="2" spans="1:9" x14ac:dyDescent="0.3">
      <c r="A2" s="20" t="s">
        <v>37</v>
      </c>
      <c r="B2" s="20" t="s">
        <v>536</v>
      </c>
      <c r="C2" s="20" t="s">
        <v>82</v>
      </c>
      <c r="D2" s="20" t="s">
        <v>537</v>
      </c>
      <c r="E2" s="20" t="s">
        <v>538</v>
      </c>
      <c r="F2" s="20" t="s">
        <v>539</v>
      </c>
      <c r="G2" s="20"/>
      <c r="H2" s="20" t="s">
        <v>321</v>
      </c>
      <c r="I2" s="20" t="s">
        <v>540</v>
      </c>
    </row>
    <row r="3" spans="1:9" x14ac:dyDescent="0.3">
      <c r="A3" s="20" t="s">
        <v>37</v>
      </c>
      <c r="B3" s="20" t="s">
        <v>536</v>
      </c>
      <c r="C3" s="20" t="s">
        <v>83</v>
      </c>
      <c r="D3" s="20" t="s">
        <v>537</v>
      </c>
      <c r="E3" s="20" t="s">
        <v>538</v>
      </c>
      <c r="F3" s="20" t="s">
        <v>541</v>
      </c>
      <c r="G3" s="20" t="s">
        <v>542</v>
      </c>
      <c r="H3" s="20" t="s">
        <v>321</v>
      </c>
      <c r="I3" s="20"/>
    </row>
    <row r="4" spans="1:9" x14ac:dyDescent="0.3">
      <c r="A4" s="20" t="s">
        <v>37</v>
      </c>
      <c r="B4" s="20" t="s">
        <v>536</v>
      </c>
      <c r="C4" s="20" t="s">
        <v>84</v>
      </c>
      <c r="D4" s="20" t="s">
        <v>537</v>
      </c>
      <c r="E4" s="20" t="s">
        <v>538</v>
      </c>
      <c r="F4" s="20" t="s">
        <v>543</v>
      </c>
      <c r="G4" s="20"/>
      <c r="H4" s="20" t="s">
        <v>321</v>
      </c>
      <c r="I4" s="20"/>
    </row>
    <row r="5" spans="1:9" x14ac:dyDescent="0.3">
      <c r="A5" s="20" t="s">
        <v>37</v>
      </c>
      <c r="B5" s="20" t="s">
        <v>536</v>
      </c>
      <c r="C5" s="20" t="s">
        <v>85</v>
      </c>
      <c r="D5" s="20" t="s">
        <v>537</v>
      </c>
      <c r="E5" s="20" t="s">
        <v>538</v>
      </c>
      <c r="F5" s="20" t="s">
        <v>544</v>
      </c>
      <c r="G5" s="20"/>
      <c r="H5" s="20" t="s">
        <v>321</v>
      </c>
      <c r="I5" s="20"/>
    </row>
    <row r="6" spans="1:9" x14ac:dyDescent="0.3">
      <c r="A6" s="20" t="s">
        <v>37</v>
      </c>
      <c r="B6" s="20" t="s">
        <v>536</v>
      </c>
      <c r="C6" s="20" t="s">
        <v>86</v>
      </c>
      <c r="D6" s="20" t="s">
        <v>537</v>
      </c>
      <c r="E6" s="20" t="s">
        <v>538</v>
      </c>
      <c r="F6" s="20" t="s">
        <v>545</v>
      </c>
      <c r="G6" s="20"/>
      <c r="H6" s="20" t="s">
        <v>321</v>
      </c>
      <c r="I6" s="20"/>
    </row>
    <row r="7" spans="1:9" x14ac:dyDescent="0.3">
      <c r="A7" s="20" t="s">
        <v>37</v>
      </c>
      <c r="B7" s="20" t="s">
        <v>536</v>
      </c>
      <c r="C7" s="20" t="s">
        <v>87</v>
      </c>
      <c r="D7" s="20" t="s">
        <v>537</v>
      </c>
      <c r="E7" s="20" t="s">
        <v>538</v>
      </c>
      <c r="F7" s="20" t="s">
        <v>546</v>
      </c>
      <c r="G7" s="20"/>
      <c r="H7" s="20" t="s">
        <v>321</v>
      </c>
      <c r="I7" s="20"/>
    </row>
    <row r="8" spans="1:9" x14ac:dyDescent="0.3">
      <c r="A8" s="20" t="s">
        <v>39</v>
      </c>
      <c r="B8" s="20" t="s">
        <v>547</v>
      </c>
      <c r="C8" s="20" t="s">
        <v>149</v>
      </c>
      <c r="D8" s="20" t="s">
        <v>537</v>
      </c>
      <c r="E8" s="20" t="s">
        <v>538</v>
      </c>
      <c r="F8" s="20" t="s">
        <v>548</v>
      </c>
      <c r="G8" s="20"/>
      <c r="H8" s="20" t="s">
        <v>321</v>
      </c>
      <c r="I8" s="20" t="s">
        <v>540</v>
      </c>
    </row>
    <row r="9" spans="1:9" x14ac:dyDescent="0.3">
      <c r="A9" s="20" t="s">
        <v>39</v>
      </c>
      <c r="B9" s="20" t="s">
        <v>547</v>
      </c>
      <c r="C9" s="20" t="s">
        <v>150</v>
      </c>
      <c r="D9" s="20" t="s">
        <v>537</v>
      </c>
      <c r="E9" s="20" t="s">
        <v>538</v>
      </c>
      <c r="F9" s="20" t="s">
        <v>549</v>
      </c>
      <c r="G9" s="20"/>
      <c r="H9" s="20" t="s">
        <v>321</v>
      </c>
      <c r="I9" s="20"/>
    </row>
    <row r="10" spans="1:9" x14ac:dyDescent="0.3">
      <c r="A10" s="20" t="s">
        <v>39</v>
      </c>
      <c r="B10" s="20" t="s">
        <v>547</v>
      </c>
      <c r="C10" s="20" t="s">
        <v>151</v>
      </c>
      <c r="D10" s="20" t="s">
        <v>537</v>
      </c>
      <c r="E10" s="20" t="s">
        <v>538</v>
      </c>
      <c r="F10" s="20" t="s">
        <v>550</v>
      </c>
      <c r="G10" s="20" t="s">
        <v>551</v>
      </c>
      <c r="H10" s="20" t="s">
        <v>321</v>
      </c>
      <c r="I10" s="20"/>
    </row>
    <row r="11" spans="1:9" x14ac:dyDescent="0.3">
      <c r="A11" s="20" t="s">
        <v>41</v>
      </c>
      <c r="B11" s="20" t="s">
        <v>552</v>
      </c>
      <c r="C11" s="20" t="s">
        <v>192</v>
      </c>
      <c r="D11" s="20" t="s">
        <v>537</v>
      </c>
      <c r="E11" s="20" t="s">
        <v>538</v>
      </c>
      <c r="F11" s="20" t="s">
        <v>553</v>
      </c>
      <c r="G11" s="20"/>
      <c r="H11" s="20" t="s">
        <v>321</v>
      </c>
      <c r="I11" s="20" t="s">
        <v>540</v>
      </c>
    </row>
    <row r="12" spans="1:9" x14ac:dyDescent="0.3">
      <c r="A12" s="20" t="s">
        <v>41</v>
      </c>
      <c r="B12" s="20" t="s">
        <v>552</v>
      </c>
      <c r="C12" s="20" t="s">
        <v>193</v>
      </c>
      <c r="D12" s="20" t="s">
        <v>537</v>
      </c>
      <c r="E12" s="20" t="s">
        <v>538</v>
      </c>
      <c r="F12" s="20" t="s">
        <v>554</v>
      </c>
      <c r="G12" s="20"/>
      <c r="H12" s="20" t="s">
        <v>321</v>
      </c>
      <c r="I12" s="20"/>
    </row>
    <row r="13" spans="1:9" x14ac:dyDescent="0.3">
      <c r="A13" s="20" t="s">
        <v>41</v>
      </c>
      <c r="B13" s="20" t="s">
        <v>552</v>
      </c>
      <c r="C13" s="20" t="s">
        <v>83</v>
      </c>
      <c r="D13" s="20" t="s">
        <v>537</v>
      </c>
      <c r="E13" s="20" t="s">
        <v>538</v>
      </c>
      <c r="F13" s="20" t="s">
        <v>541</v>
      </c>
      <c r="G13" s="20" t="s">
        <v>542</v>
      </c>
      <c r="H13" s="20" t="s">
        <v>321</v>
      </c>
      <c r="I13" s="20"/>
    </row>
    <row r="14" spans="1:9" x14ac:dyDescent="0.3">
      <c r="A14" s="20" t="s">
        <v>41</v>
      </c>
      <c r="B14" s="20" t="s">
        <v>552</v>
      </c>
      <c r="C14" s="20" t="s">
        <v>151</v>
      </c>
      <c r="D14" s="20" t="s">
        <v>537</v>
      </c>
      <c r="E14" s="20" t="s">
        <v>538</v>
      </c>
      <c r="F14" s="20" t="s">
        <v>555</v>
      </c>
      <c r="G14" s="20" t="s">
        <v>551</v>
      </c>
      <c r="H14" s="20" t="s">
        <v>321</v>
      </c>
      <c r="I14" s="20"/>
    </row>
    <row r="15" spans="1:9" ht="26.4" x14ac:dyDescent="0.3">
      <c r="A15" s="20" t="s">
        <v>41</v>
      </c>
      <c r="B15" s="20" t="s">
        <v>552</v>
      </c>
      <c r="C15" s="20" t="s">
        <v>194</v>
      </c>
      <c r="D15" s="20" t="s">
        <v>556</v>
      </c>
      <c r="E15" s="20" t="s">
        <v>538</v>
      </c>
      <c r="F15" s="20" t="s">
        <v>557</v>
      </c>
      <c r="G15" s="20"/>
      <c r="H15" s="20" t="s">
        <v>321</v>
      </c>
      <c r="I15" s="20"/>
    </row>
    <row r="16" spans="1:9" x14ac:dyDescent="0.3">
      <c r="A16" s="20" t="s">
        <v>41</v>
      </c>
      <c r="B16" s="20" t="s">
        <v>552</v>
      </c>
      <c r="C16" s="20" t="s">
        <v>195</v>
      </c>
      <c r="D16" s="20" t="s">
        <v>537</v>
      </c>
      <c r="E16" s="20" t="s">
        <v>538</v>
      </c>
      <c r="F16" s="20" t="s">
        <v>558</v>
      </c>
      <c r="G16" s="20" t="s">
        <v>559</v>
      </c>
      <c r="H16" s="20" t="s">
        <v>321</v>
      </c>
      <c r="I16" s="20"/>
    </row>
    <row r="17" spans="1:9" x14ac:dyDescent="0.3">
      <c r="A17" s="20" t="s">
        <v>41</v>
      </c>
      <c r="B17" s="20" t="s">
        <v>552</v>
      </c>
      <c r="C17" s="20" t="s">
        <v>196</v>
      </c>
      <c r="D17" s="20" t="s">
        <v>560</v>
      </c>
      <c r="E17" s="20" t="s">
        <v>561</v>
      </c>
      <c r="F17" s="20" t="s">
        <v>562</v>
      </c>
      <c r="G17" s="20"/>
      <c r="H17" s="20" t="s">
        <v>321</v>
      </c>
      <c r="I17" s="20"/>
    </row>
    <row r="18" spans="1:9" x14ac:dyDescent="0.3">
      <c r="A18" s="20" t="s">
        <v>41</v>
      </c>
      <c r="B18" s="20" t="s">
        <v>552</v>
      </c>
      <c r="C18" s="20" t="s">
        <v>197</v>
      </c>
      <c r="D18" s="20" t="s">
        <v>563</v>
      </c>
      <c r="E18" s="20" t="s">
        <v>561</v>
      </c>
      <c r="F18" s="20" t="s">
        <v>564</v>
      </c>
      <c r="G18" s="20"/>
      <c r="H18" s="20" t="s">
        <v>321</v>
      </c>
      <c r="I18" s="20"/>
    </row>
    <row r="19" spans="1:9" x14ac:dyDescent="0.3">
      <c r="A19" s="20" t="s">
        <v>41</v>
      </c>
      <c r="B19" s="20" t="s">
        <v>552</v>
      </c>
      <c r="C19" s="20" t="s">
        <v>198</v>
      </c>
      <c r="D19" s="20" t="s">
        <v>537</v>
      </c>
      <c r="E19" s="20" t="s">
        <v>561</v>
      </c>
      <c r="F19" s="20" t="s">
        <v>565</v>
      </c>
      <c r="G19" s="20"/>
      <c r="H19" s="20" t="s">
        <v>321</v>
      </c>
      <c r="I19" s="20"/>
    </row>
    <row r="20" spans="1:9" ht="26.4" x14ac:dyDescent="0.3">
      <c r="A20" s="20" t="s">
        <v>43</v>
      </c>
      <c r="B20" s="20" t="s">
        <v>566</v>
      </c>
      <c r="C20" s="20" t="s">
        <v>192</v>
      </c>
      <c r="D20" s="20" t="s">
        <v>537</v>
      </c>
      <c r="E20" s="20" t="s">
        <v>538</v>
      </c>
      <c r="F20" s="20" t="s">
        <v>567</v>
      </c>
      <c r="G20" s="20"/>
      <c r="H20" s="20" t="s">
        <v>321</v>
      </c>
      <c r="I20" s="20" t="s">
        <v>568</v>
      </c>
    </row>
    <row r="21" spans="1:9" x14ac:dyDescent="0.3">
      <c r="A21" s="20" t="s">
        <v>43</v>
      </c>
      <c r="B21" s="20" t="s">
        <v>566</v>
      </c>
      <c r="C21" s="20" t="s">
        <v>193</v>
      </c>
      <c r="D21" s="20" t="s">
        <v>537</v>
      </c>
      <c r="E21" s="20" t="s">
        <v>538</v>
      </c>
      <c r="F21" s="20" t="s">
        <v>569</v>
      </c>
      <c r="G21" s="20"/>
      <c r="H21" s="20" t="s">
        <v>321</v>
      </c>
      <c r="I21" s="20"/>
    </row>
    <row r="22" spans="1:9" x14ac:dyDescent="0.3">
      <c r="A22" s="20" t="s">
        <v>43</v>
      </c>
      <c r="B22" s="20" t="s">
        <v>566</v>
      </c>
      <c r="C22" s="20" t="s">
        <v>83</v>
      </c>
      <c r="D22" s="20" t="s">
        <v>537</v>
      </c>
      <c r="E22" s="20" t="s">
        <v>538</v>
      </c>
      <c r="F22" s="20" t="s">
        <v>541</v>
      </c>
      <c r="G22" s="20"/>
      <c r="H22" s="20" t="s">
        <v>321</v>
      </c>
      <c r="I22" s="20"/>
    </row>
    <row r="23" spans="1:9" x14ac:dyDescent="0.3">
      <c r="A23" s="20" t="s">
        <v>43</v>
      </c>
      <c r="B23" s="20" t="s">
        <v>566</v>
      </c>
      <c r="C23" s="20" t="s">
        <v>151</v>
      </c>
      <c r="D23" s="20" t="s">
        <v>537</v>
      </c>
      <c r="E23" s="20" t="s">
        <v>538</v>
      </c>
      <c r="F23" s="20" t="s">
        <v>555</v>
      </c>
      <c r="G23" s="20"/>
      <c r="H23" s="20" t="s">
        <v>321</v>
      </c>
      <c r="I23" s="20"/>
    </row>
    <row r="24" spans="1:9" ht="39.6" x14ac:dyDescent="0.3">
      <c r="A24" s="20" t="s">
        <v>43</v>
      </c>
      <c r="B24" s="20" t="s">
        <v>566</v>
      </c>
      <c r="C24" s="20" t="s">
        <v>149</v>
      </c>
      <c r="D24" s="20" t="s">
        <v>537</v>
      </c>
      <c r="E24" s="20" t="s">
        <v>538</v>
      </c>
      <c r="F24" s="20" t="s">
        <v>570</v>
      </c>
      <c r="G24" s="20"/>
      <c r="H24" s="20" t="s">
        <v>321</v>
      </c>
      <c r="I24" s="20" t="s">
        <v>571</v>
      </c>
    </row>
    <row r="25" spans="1:9" x14ac:dyDescent="0.3">
      <c r="A25" s="20" t="s">
        <v>43</v>
      </c>
      <c r="B25" s="20" t="s">
        <v>566</v>
      </c>
      <c r="C25" s="20" t="s">
        <v>150</v>
      </c>
      <c r="D25" s="20" t="s">
        <v>537</v>
      </c>
      <c r="E25" s="20" t="s">
        <v>561</v>
      </c>
      <c r="F25" s="20" t="s">
        <v>572</v>
      </c>
      <c r="G25" s="20"/>
      <c r="H25" s="20" t="s">
        <v>321</v>
      </c>
      <c r="I25" s="20"/>
    </row>
    <row r="26" spans="1:9" ht="26.4" x14ac:dyDescent="0.3">
      <c r="A26" s="20" t="s">
        <v>43</v>
      </c>
      <c r="B26" s="20" t="s">
        <v>566</v>
      </c>
      <c r="C26" s="20" t="s">
        <v>245</v>
      </c>
      <c r="D26" s="20" t="s">
        <v>563</v>
      </c>
      <c r="E26" s="20" t="s">
        <v>538</v>
      </c>
      <c r="F26" s="20" t="s">
        <v>573</v>
      </c>
      <c r="G26" s="20"/>
      <c r="H26" s="20" t="s">
        <v>321</v>
      </c>
      <c r="I26" s="20"/>
    </row>
    <row r="27" spans="1:9" x14ac:dyDescent="0.3">
      <c r="A27" s="20" t="s">
        <v>43</v>
      </c>
      <c r="B27" s="20" t="s">
        <v>566</v>
      </c>
      <c r="C27" s="20" t="s">
        <v>246</v>
      </c>
      <c r="D27" s="20" t="s">
        <v>563</v>
      </c>
      <c r="E27" s="20" t="s">
        <v>538</v>
      </c>
      <c r="F27" s="20" t="s">
        <v>574</v>
      </c>
      <c r="G27" s="20"/>
      <c r="H27" s="20" t="s">
        <v>321</v>
      </c>
      <c r="I27" s="20"/>
    </row>
    <row r="28" spans="1:9" x14ac:dyDescent="0.3">
      <c r="A28" s="20" t="s">
        <v>43</v>
      </c>
      <c r="B28" s="20" t="s">
        <v>566</v>
      </c>
      <c r="C28" s="20" t="s">
        <v>247</v>
      </c>
      <c r="D28" s="20" t="s">
        <v>563</v>
      </c>
      <c r="E28" s="20" t="s">
        <v>561</v>
      </c>
      <c r="F28" s="20" t="s">
        <v>575</v>
      </c>
      <c r="G28" s="20"/>
      <c r="H28" s="20" t="s">
        <v>321</v>
      </c>
      <c r="I28" s="20"/>
    </row>
    <row r="29" spans="1:9" x14ac:dyDescent="0.3">
      <c r="A29" s="20" t="s">
        <v>43</v>
      </c>
      <c r="B29" s="20" t="s">
        <v>566</v>
      </c>
      <c r="C29" s="20" t="s">
        <v>14</v>
      </c>
      <c r="D29" s="20" t="s">
        <v>537</v>
      </c>
      <c r="E29" s="20" t="s">
        <v>561</v>
      </c>
      <c r="F29" s="20" t="s">
        <v>576</v>
      </c>
      <c r="G29" s="20"/>
      <c r="H29" s="20" t="s">
        <v>321</v>
      </c>
      <c r="I29" s="20"/>
    </row>
    <row r="30" spans="1:9" ht="26.4" x14ac:dyDescent="0.3">
      <c r="A30" s="20" t="s">
        <v>43</v>
      </c>
      <c r="B30" s="20" t="s">
        <v>566</v>
      </c>
      <c r="C30" s="20" t="s">
        <v>248</v>
      </c>
      <c r="D30" s="20" t="s">
        <v>556</v>
      </c>
      <c r="E30" s="20" t="s">
        <v>538</v>
      </c>
      <c r="F30" s="20" t="s">
        <v>577</v>
      </c>
      <c r="G30" s="20"/>
      <c r="H30" s="20" t="s">
        <v>345</v>
      </c>
      <c r="I30" s="20"/>
    </row>
    <row r="31" spans="1:9" x14ac:dyDescent="0.3">
      <c r="A31" s="20" t="s">
        <v>43</v>
      </c>
      <c r="B31" s="20" t="s">
        <v>566</v>
      </c>
      <c r="C31" s="20" t="s">
        <v>249</v>
      </c>
      <c r="D31" s="20" t="s">
        <v>537</v>
      </c>
      <c r="E31" s="20" t="s">
        <v>538</v>
      </c>
      <c r="F31" s="20" t="s">
        <v>578</v>
      </c>
      <c r="G31" s="20"/>
      <c r="H31" s="20" t="s">
        <v>345</v>
      </c>
      <c r="I31" s="20"/>
    </row>
    <row r="32" spans="1:9" ht="26.4" x14ac:dyDescent="0.3">
      <c r="A32" s="20" t="s">
        <v>43</v>
      </c>
      <c r="B32" s="20" t="s">
        <v>566</v>
      </c>
      <c r="C32" s="20" t="s">
        <v>250</v>
      </c>
      <c r="D32" s="20" t="s">
        <v>556</v>
      </c>
      <c r="E32" s="20" t="s">
        <v>561</v>
      </c>
      <c r="F32" s="20" t="s">
        <v>579</v>
      </c>
      <c r="G32" s="20"/>
      <c r="H32" s="20" t="s">
        <v>321</v>
      </c>
      <c r="I32" s="20"/>
    </row>
    <row r="33" spans="1:9" x14ac:dyDescent="0.3">
      <c r="A33" s="20" t="s">
        <v>45</v>
      </c>
      <c r="B33" s="20" t="s">
        <v>580</v>
      </c>
      <c r="C33" s="20" t="s">
        <v>252</v>
      </c>
      <c r="D33" s="20" t="s">
        <v>537</v>
      </c>
      <c r="E33" s="20" t="s">
        <v>538</v>
      </c>
      <c r="F33" s="20" t="s">
        <v>581</v>
      </c>
      <c r="G33" s="20"/>
      <c r="H33" s="20" t="s">
        <v>321</v>
      </c>
      <c r="I33" s="20" t="s">
        <v>540</v>
      </c>
    </row>
    <row r="34" spans="1:9" x14ac:dyDescent="0.3">
      <c r="A34" s="20" t="s">
        <v>45</v>
      </c>
      <c r="B34" s="20" t="s">
        <v>580</v>
      </c>
      <c r="C34" s="20" t="s">
        <v>85</v>
      </c>
      <c r="D34" s="20" t="s">
        <v>537</v>
      </c>
      <c r="E34" s="20" t="s">
        <v>538</v>
      </c>
      <c r="F34" s="20" t="s">
        <v>582</v>
      </c>
      <c r="G34" s="20"/>
      <c r="H34" s="20" t="s">
        <v>321</v>
      </c>
      <c r="I34" s="20"/>
    </row>
    <row r="35" spans="1:9" x14ac:dyDescent="0.3">
      <c r="A35" s="20" t="s">
        <v>45</v>
      </c>
      <c r="B35" s="20" t="s">
        <v>580</v>
      </c>
      <c r="C35" s="20" t="s">
        <v>253</v>
      </c>
      <c r="D35" s="20" t="s">
        <v>563</v>
      </c>
      <c r="E35" s="20" t="s">
        <v>538</v>
      </c>
      <c r="F35" s="20" t="s">
        <v>583</v>
      </c>
      <c r="G35" s="20"/>
      <c r="H35" s="20" t="s">
        <v>321</v>
      </c>
      <c r="I35" s="20"/>
    </row>
    <row r="36" spans="1:9" x14ac:dyDescent="0.3">
      <c r="A36" s="20" t="s">
        <v>45</v>
      </c>
      <c r="B36" s="20" t="s">
        <v>580</v>
      </c>
      <c r="C36" s="20" t="s">
        <v>254</v>
      </c>
      <c r="D36" s="20" t="s">
        <v>537</v>
      </c>
      <c r="E36" s="20" t="s">
        <v>538</v>
      </c>
      <c r="F36" s="20" t="s">
        <v>584</v>
      </c>
      <c r="G36" s="20"/>
      <c r="H36" s="20" t="s">
        <v>321</v>
      </c>
      <c r="I36" s="20"/>
    </row>
    <row r="37" spans="1:9" ht="39.6" x14ac:dyDescent="0.3">
      <c r="A37" s="20" t="s">
        <v>45</v>
      </c>
      <c r="B37" s="20" t="s">
        <v>580</v>
      </c>
      <c r="C37" s="20" t="s">
        <v>149</v>
      </c>
      <c r="D37" s="20" t="s">
        <v>537</v>
      </c>
      <c r="E37" s="20" t="s">
        <v>538</v>
      </c>
      <c r="F37" s="20" t="s">
        <v>585</v>
      </c>
      <c r="G37" s="20"/>
      <c r="H37" s="20" t="s">
        <v>321</v>
      </c>
      <c r="I37" s="20" t="s">
        <v>571</v>
      </c>
    </row>
    <row r="38" spans="1:9" ht="26.4" x14ac:dyDescent="0.3">
      <c r="A38" s="20" t="s">
        <v>45</v>
      </c>
      <c r="B38" s="20" t="s">
        <v>580</v>
      </c>
      <c r="C38" s="20" t="s">
        <v>255</v>
      </c>
      <c r="D38" s="20" t="s">
        <v>556</v>
      </c>
      <c r="E38" s="20" t="s">
        <v>538</v>
      </c>
      <c r="F38" s="20" t="s">
        <v>586</v>
      </c>
      <c r="G38" s="20"/>
      <c r="H38" s="20" t="s">
        <v>321</v>
      </c>
      <c r="I38" s="20"/>
    </row>
    <row r="39" spans="1:9" x14ac:dyDescent="0.3">
      <c r="A39" s="20" t="s">
        <v>45</v>
      </c>
      <c r="B39" s="20" t="s">
        <v>580</v>
      </c>
      <c r="C39" s="20" t="s">
        <v>256</v>
      </c>
      <c r="D39" s="20" t="s">
        <v>537</v>
      </c>
      <c r="E39" s="20" t="s">
        <v>538</v>
      </c>
      <c r="F39" s="20" t="s">
        <v>587</v>
      </c>
      <c r="G39" s="20"/>
      <c r="H39" s="20" t="s">
        <v>321</v>
      </c>
      <c r="I39" s="20"/>
    </row>
    <row r="40" spans="1:9" x14ac:dyDescent="0.3">
      <c r="A40" s="20" t="s">
        <v>45</v>
      </c>
      <c r="B40" s="20" t="s">
        <v>580</v>
      </c>
      <c r="C40" s="20" t="s">
        <v>14</v>
      </c>
      <c r="D40" s="20" t="s">
        <v>537</v>
      </c>
      <c r="E40" s="20" t="s">
        <v>538</v>
      </c>
      <c r="F40" s="20" t="s">
        <v>576</v>
      </c>
      <c r="G40" s="20" t="s">
        <v>588</v>
      </c>
      <c r="H40" s="20" t="s">
        <v>321</v>
      </c>
      <c r="I40" s="20"/>
    </row>
    <row r="41" spans="1:9" x14ac:dyDescent="0.3">
      <c r="A41" s="20" t="s">
        <v>45</v>
      </c>
      <c r="B41" s="20" t="s">
        <v>580</v>
      </c>
      <c r="C41" s="20" t="s">
        <v>257</v>
      </c>
      <c r="D41" s="20" t="s">
        <v>563</v>
      </c>
      <c r="E41" s="20" t="s">
        <v>561</v>
      </c>
      <c r="F41" s="20" t="s">
        <v>589</v>
      </c>
      <c r="G41" s="20"/>
      <c r="H41" s="20" t="s">
        <v>321</v>
      </c>
      <c r="I41" s="20"/>
    </row>
    <row r="42" spans="1:9" ht="26.4" x14ac:dyDescent="0.3">
      <c r="A42" s="20" t="s">
        <v>45</v>
      </c>
      <c r="B42" s="20" t="s">
        <v>580</v>
      </c>
      <c r="C42" s="20" t="s">
        <v>258</v>
      </c>
      <c r="D42" s="20" t="s">
        <v>590</v>
      </c>
      <c r="E42" s="20" t="s">
        <v>561</v>
      </c>
      <c r="F42" s="20" t="s">
        <v>591</v>
      </c>
      <c r="G42" s="20"/>
      <c r="H42" s="20" t="s">
        <v>321</v>
      </c>
      <c r="I42" s="20"/>
    </row>
    <row r="43" spans="1:9" x14ac:dyDescent="0.3">
      <c r="A43" s="20" t="s">
        <v>47</v>
      </c>
      <c r="B43" s="20" t="s">
        <v>592</v>
      </c>
      <c r="C43" s="20" t="s">
        <v>311</v>
      </c>
      <c r="D43" s="20" t="s">
        <v>537</v>
      </c>
      <c r="E43" s="20" t="s">
        <v>538</v>
      </c>
      <c r="F43" s="20" t="s">
        <v>593</v>
      </c>
      <c r="G43" s="20"/>
      <c r="H43" s="20" t="s">
        <v>321</v>
      </c>
      <c r="I43" s="20" t="s">
        <v>540</v>
      </c>
    </row>
    <row r="44" spans="1:9" ht="26.4" x14ac:dyDescent="0.3">
      <c r="A44" s="20" t="s">
        <v>47</v>
      </c>
      <c r="B44" s="20" t="s">
        <v>592</v>
      </c>
      <c r="C44" s="20" t="s">
        <v>312</v>
      </c>
      <c r="D44" s="20" t="s">
        <v>537</v>
      </c>
      <c r="E44" s="20" t="s">
        <v>538</v>
      </c>
      <c r="F44" s="20" t="s">
        <v>553</v>
      </c>
      <c r="G44" s="20"/>
      <c r="H44" s="20" t="s">
        <v>321</v>
      </c>
      <c r="I44" s="20" t="s">
        <v>568</v>
      </c>
    </row>
    <row r="45" spans="1:9" x14ac:dyDescent="0.3">
      <c r="A45" s="20" t="s">
        <v>47</v>
      </c>
      <c r="B45" s="20" t="s">
        <v>592</v>
      </c>
      <c r="C45" s="20" t="s">
        <v>193</v>
      </c>
      <c r="D45" s="20" t="s">
        <v>537</v>
      </c>
      <c r="E45" s="20" t="s">
        <v>538</v>
      </c>
      <c r="F45" s="20" t="s">
        <v>594</v>
      </c>
      <c r="G45" s="20"/>
      <c r="H45" s="20" t="s">
        <v>321</v>
      </c>
      <c r="I45" s="20"/>
    </row>
    <row r="46" spans="1:9" ht="39.6" x14ac:dyDescent="0.3">
      <c r="A46" s="20" t="s">
        <v>47</v>
      </c>
      <c r="B46" s="20" t="s">
        <v>592</v>
      </c>
      <c r="C46" s="20" t="s">
        <v>252</v>
      </c>
      <c r="D46" s="20" t="s">
        <v>537</v>
      </c>
      <c r="E46" s="20" t="s">
        <v>538</v>
      </c>
      <c r="F46" s="20" t="s">
        <v>595</v>
      </c>
      <c r="G46" s="20"/>
      <c r="H46" s="20" t="s">
        <v>321</v>
      </c>
      <c r="I46" s="20" t="s">
        <v>596</v>
      </c>
    </row>
    <row r="47" spans="1:9" ht="26.4" x14ac:dyDescent="0.3">
      <c r="A47" s="20" t="s">
        <v>47</v>
      </c>
      <c r="B47" s="20" t="s">
        <v>592</v>
      </c>
      <c r="C47" s="20" t="s">
        <v>313</v>
      </c>
      <c r="D47" s="20" t="s">
        <v>556</v>
      </c>
      <c r="E47" s="20" t="s">
        <v>538</v>
      </c>
      <c r="F47" s="20" t="s">
        <v>597</v>
      </c>
      <c r="G47" s="20"/>
      <c r="H47" s="20" t="s">
        <v>321</v>
      </c>
      <c r="I47" s="20"/>
    </row>
    <row r="48" spans="1:9" x14ac:dyDescent="0.3">
      <c r="A48" s="20" t="s">
        <v>47</v>
      </c>
      <c r="B48" s="20" t="s">
        <v>592</v>
      </c>
      <c r="C48" s="20" t="s">
        <v>253</v>
      </c>
      <c r="D48" s="20" t="s">
        <v>563</v>
      </c>
      <c r="E48" s="20" t="s">
        <v>538</v>
      </c>
      <c r="F48" s="20" t="s">
        <v>598</v>
      </c>
      <c r="G48" s="20"/>
      <c r="H48" s="20" t="s">
        <v>321</v>
      </c>
      <c r="I48" s="20"/>
    </row>
    <row r="49" spans="1:9" x14ac:dyDescent="0.3">
      <c r="A49" s="20" t="s">
        <v>47</v>
      </c>
      <c r="B49" s="20" t="s">
        <v>592</v>
      </c>
      <c r="C49" s="20" t="s">
        <v>314</v>
      </c>
      <c r="D49" s="20" t="s">
        <v>563</v>
      </c>
      <c r="E49" s="20" t="s">
        <v>538</v>
      </c>
      <c r="F49" s="20" t="s">
        <v>599</v>
      </c>
      <c r="G49" s="20"/>
      <c r="H49" s="20" t="s">
        <v>321</v>
      </c>
      <c r="I49" s="20"/>
    </row>
    <row r="50" spans="1:9" ht="26.4" x14ac:dyDescent="0.3">
      <c r="A50" s="20" t="s">
        <v>47</v>
      </c>
      <c r="B50" s="20" t="s">
        <v>592</v>
      </c>
      <c r="C50" s="20" t="s">
        <v>315</v>
      </c>
      <c r="D50" s="20" t="s">
        <v>590</v>
      </c>
      <c r="E50" s="20" t="s">
        <v>538</v>
      </c>
      <c r="F50" s="20" t="s">
        <v>600</v>
      </c>
      <c r="G50" s="20"/>
      <c r="H50" s="20" t="s">
        <v>321</v>
      </c>
      <c r="I50" s="20"/>
    </row>
    <row r="51" spans="1:9" x14ac:dyDescent="0.3">
      <c r="A51" s="20" t="s">
        <v>47</v>
      </c>
      <c r="B51" s="20" t="s">
        <v>592</v>
      </c>
      <c r="C51" s="20" t="s">
        <v>316</v>
      </c>
      <c r="D51" s="20" t="s">
        <v>537</v>
      </c>
      <c r="E51" s="20" t="s">
        <v>538</v>
      </c>
      <c r="F51" s="20" t="s">
        <v>601</v>
      </c>
      <c r="G51" s="20" t="s">
        <v>602</v>
      </c>
      <c r="H51" s="20" t="s">
        <v>345</v>
      </c>
      <c r="I51" s="20"/>
    </row>
    <row r="52" spans="1:9" x14ac:dyDescent="0.3">
      <c r="A52" s="20" t="s">
        <v>47</v>
      </c>
      <c r="B52" s="20" t="s">
        <v>592</v>
      </c>
      <c r="C52" s="20" t="s">
        <v>317</v>
      </c>
      <c r="D52" s="20" t="s">
        <v>537</v>
      </c>
      <c r="E52" s="20" t="s">
        <v>538</v>
      </c>
      <c r="F52" s="20" t="s">
        <v>603</v>
      </c>
      <c r="G52" s="20"/>
      <c r="H52" s="20" t="s">
        <v>345</v>
      </c>
      <c r="I52" s="20"/>
    </row>
    <row r="53" spans="1:9" x14ac:dyDescent="0.3">
      <c r="A53" s="20" t="s">
        <v>47</v>
      </c>
      <c r="B53" s="20" t="s">
        <v>592</v>
      </c>
      <c r="C53" s="20" t="s">
        <v>318</v>
      </c>
      <c r="D53" s="20" t="s">
        <v>537</v>
      </c>
      <c r="E53" s="20" t="s">
        <v>561</v>
      </c>
      <c r="F53" s="20" t="s">
        <v>604</v>
      </c>
      <c r="G53" s="20"/>
      <c r="H53" s="20" t="s">
        <v>321</v>
      </c>
      <c r="I53" s="20"/>
    </row>
    <row r="54" spans="1:9" x14ac:dyDescent="0.3">
      <c r="A54" s="20" t="s">
        <v>47</v>
      </c>
      <c r="B54" s="20" t="s">
        <v>592</v>
      </c>
      <c r="C54" s="20" t="s">
        <v>319</v>
      </c>
      <c r="D54" s="20" t="s">
        <v>537</v>
      </c>
      <c r="E54" s="20" t="s">
        <v>561</v>
      </c>
      <c r="F54" s="20" t="s">
        <v>605</v>
      </c>
      <c r="G54" s="20"/>
      <c r="H54" s="20" t="s">
        <v>321</v>
      </c>
      <c r="I54" s="20"/>
    </row>
    <row r="55" spans="1:9" x14ac:dyDescent="0.3">
      <c r="A55" s="20" t="s">
        <v>49</v>
      </c>
      <c r="B55" s="20" t="s">
        <v>606</v>
      </c>
      <c r="C55" s="20" t="s">
        <v>384</v>
      </c>
      <c r="D55" s="20" t="s">
        <v>537</v>
      </c>
      <c r="E55" s="20" t="s">
        <v>538</v>
      </c>
      <c r="F55" s="20" t="s">
        <v>607</v>
      </c>
      <c r="G55" s="20"/>
      <c r="H55" s="20" t="s">
        <v>321</v>
      </c>
      <c r="I55" s="20" t="s">
        <v>540</v>
      </c>
    </row>
    <row r="56" spans="1:9" ht="26.4" x14ac:dyDescent="0.3">
      <c r="A56" s="20" t="s">
        <v>49</v>
      </c>
      <c r="B56" s="20" t="s">
        <v>606</v>
      </c>
      <c r="C56" s="20" t="s">
        <v>255</v>
      </c>
      <c r="D56" s="20" t="s">
        <v>556</v>
      </c>
      <c r="E56" s="20" t="s">
        <v>538</v>
      </c>
      <c r="F56" s="20" t="s">
        <v>608</v>
      </c>
      <c r="G56" s="20"/>
      <c r="H56" s="20" t="s">
        <v>321</v>
      </c>
      <c r="I56" s="20"/>
    </row>
    <row r="57" spans="1:9" x14ac:dyDescent="0.3">
      <c r="A57" s="20" t="s">
        <v>49</v>
      </c>
      <c r="B57" s="20" t="s">
        <v>606</v>
      </c>
      <c r="C57" s="20" t="s">
        <v>385</v>
      </c>
      <c r="D57" s="20" t="s">
        <v>537</v>
      </c>
      <c r="E57" s="20" t="s">
        <v>538</v>
      </c>
      <c r="F57" s="20" t="s">
        <v>609</v>
      </c>
      <c r="G57" s="20"/>
      <c r="H57" s="20" t="s">
        <v>321</v>
      </c>
      <c r="I57" s="20"/>
    </row>
    <row r="58" spans="1:9" x14ac:dyDescent="0.3">
      <c r="A58" s="20" t="s">
        <v>49</v>
      </c>
      <c r="B58" s="20" t="s">
        <v>606</v>
      </c>
      <c r="C58" s="20" t="s">
        <v>386</v>
      </c>
      <c r="D58" s="20" t="s">
        <v>537</v>
      </c>
      <c r="E58" s="20" t="s">
        <v>538</v>
      </c>
      <c r="F58" s="20" t="s">
        <v>610</v>
      </c>
      <c r="G58" s="20"/>
      <c r="H58" s="20" t="s">
        <v>321</v>
      </c>
      <c r="I58" s="20"/>
    </row>
    <row r="59" spans="1:9" x14ac:dyDescent="0.3">
      <c r="A59" s="20" t="s">
        <v>49</v>
      </c>
      <c r="B59" s="20" t="s">
        <v>606</v>
      </c>
      <c r="C59" s="20" t="s">
        <v>254</v>
      </c>
      <c r="D59" s="20" t="s">
        <v>537</v>
      </c>
      <c r="E59" s="20" t="s">
        <v>538</v>
      </c>
      <c r="F59" s="20" t="s">
        <v>611</v>
      </c>
      <c r="G59" s="20"/>
      <c r="H59" s="20" t="s">
        <v>321</v>
      </c>
      <c r="I59" s="20"/>
    </row>
    <row r="60" spans="1:9" x14ac:dyDescent="0.3">
      <c r="A60" s="20" t="s">
        <v>49</v>
      </c>
      <c r="B60" s="20" t="s">
        <v>606</v>
      </c>
      <c r="C60" s="20" t="s">
        <v>387</v>
      </c>
      <c r="D60" s="20" t="s">
        <v>563</v>
      </c>
      <c r="E60" s="20" t="s">
        <v>538</v>
      </c>
      <c r="F60" s="20" t="s">
        <v>612</v>
      </c>
      <c r="G60" s="20"/>
      <c r="H60" s="20" t="s">
        <v>321</v>
      </c>
      <c r="I60" s="20"/>
    </row>
    <row r="61" spans="1:9" x14ac:dyDescent="0.3">
      <c r="A61" s="20" t="s">
        <v>49</v>
      </c>
      <c r="B61" s="20" t="s">
        <v>606</v>
      </c>
      <c r="C61" s="20" t="s">
        <v>388</v>
      </c>
      <c r="D61" s="20" t="s">
        <v>563</v>
      </c>
      <c r="E61" s="20" t="s">
        <v>538</v>
      </c>
      <c r="F61" s="20" t="s">
        <v>613</v>
      </c>
      <c r="G61" s="20"/>
      <c r="H61" s="20" t="s">
        <v>321</v>
      </c>
      <c r="I61" s="20"/>
    </row>
    <row r="62" spans="1:9" ht="26.4" x14ac:dyDescent="0.3">
      <c r="A62" s="20" t="s">
        <v>49</v>
      </c>
      <c r="B62" s="20" t="s">
        <v>606</v>
      </c>
      <c r="C62" s="20" t="s">
        <v>389</v>
      </c>
      <c r="D62" s="20" t="s">
        <v>590</v>
      </c>
      <c r="E62" s="20" t="s">
        <v>561</v>
      </c>
      <c r="F62" s="20" t="s">
        <v>614</v>
      </c>
      <c r="G62" s="20"/>
      <c r="H62" s="20" t="s">
        <v>321</v>
      </c>
      <c r="I62" s="20"/>
    </row>
    <row r="63" spans="1:9" x14ac:dyDescent="0.3">
      <c r="A63" s="20" t="s">
        <v>49</v>
      </c>
      <c r="B63" s="20" t="s">
        <v>606</v>
      </c>
      <c r="C63" s="20" t="s">
        <v>390</v>
      </c>
      <c r="D63" s="20" t="s">
        <v>537</v>
      </c>
      <c r="E63" s="20" t="s">
        <v>538</v>
      </c>
      <c r="F63" s="20" t="s">
        <v>615</v>
      </c>
      <c r="G63" s="20"/>
      <c r="H63" s="20" t="s">
        <v>321</v>
      </c>
      <c r="I63" s="20"/>
    </row>
    <row r="64" spans="1:9" ht="26.4" x14ac:dyDescent="0.3">
      <c r="A64" s="20" t="s">
        <v>51</v>
      </c>
      <c r="B64" s="20" t="s">
        <v>616</v>
      </c>
      <c r="C64" s="20" t="s">
        <v>420</v>
      </c>
      <c r="D64" s="20" t="s">
        <v>537</v>
      </c>
      <c r="E64" s="20" t="s">
        <v>538</v>
      </c>
      <c r="F64" s="20" t="s">
        <v>617</v>
      </c>
      <c r="G64" s="20"/>
      <c r="H64" s="20" t="s">
        <v>321</v>
      </c>
      <c r="I64" s="20" t="s">
        <v>540</v>
      </c>
    </row>
    <row r="65" spans="1:9" ht="26.4" x14ac:dyDescent="0.3">
      <c r="A65" s="20" t="s">
        <v>51</v>
      </c>
      <c r="B65" s="20" t="s">
        <v>616</v>
      </c>
      <c r="C65" s="20" t="s">
        <v>421</v>
      </c>
      <c r="D65" s="20" t="s">
        <v>537</v>
      </c>
      <c r="E65" s="20" t="s">
        <v>538</v>
      </c>
      <c r="F65" s="20" t="s">
        <v>618</v>
      </c>
      <c r="G65" s="20"/>
      <c r="H65" s="20" t="s">
        <v>321</v>
      </c>
      <c r="I65" s="20"/>
    </row>
    <row r="66" spans="1:9" ht="26.4" x14ac:dyDescent="0.3">
      <c r="A66" s="20" t="s">
        <v>51</v>
      </c>
      <c r="B66" s="20" t="s">
        <v>616</v>
      </c>
      <c r="C66" s="20" t="s">
        <v>422</v>
      </c>
      <c r="D66" s="20" t="s">
        <v>537</v>
      </c>
      <c r="E66" s="20" t="s">
        <v>538</v>
      </c>
      <c r="F66" s="20" t="s">
        <v>619</v>
      </c>
      <c r="G66" s="20" t="s">
        <v>620</v>
      </c>
      <c r="H66" s="20" t="s">
        <v>321</v>
      </c>
      <c r="I66" s="20"/>
    </row>
    <row r="67" spans="1:9" ht="26.4" x14ac:dyDescent="0.3">
      <c r="A67" s="20" t="s">
        <v>51</v>
      </c>
      <c r="B67" s="20" t="s">
        <v>616</v>
      </c>
      <c r="C67" s="20" t="s">
        <v>423</v>
      </c>
      <c r="D67" s="20" t="s">
        <v>537</v>
      </c>
      <c r="E67" s="20" t="s">
        <v>538</v>
      </c>
      <c r="F67" s="20" t="s">
        <v>621</v>
      </c>
      <c r="G67" s="20"/>
      <c r="H67" s="20" t="s">
        <v>321</v>
      </c>
      <c r="I67" s="20"/>
    </row>
    <row r="68" spans="1:9" ht="26.4" x14ac:dyDescent="0.3">
      <c r="A68" s="20" t="s">
        <v>51</v>
      </c>
      <c r="B68" s="20" t="s">
        <v>616</v>
      </c>
      <c r="C68" s="20" t="s">
        <v>424</v>
      </c>
      <c r="D68" s="20" t="s">
        <v>537</v>
      </c>
      <c r="E68" s="20" t="s">
        <v>538</v>
      </c>
      <c r="F68" s="20" t="s">
        <v>622</v>
      </c>
      <c r="G68" s="20"/>
      <c r="H68" s="20" t="s">
        <v>321</v>
      </c>
      <c r="I68" s="20"/>
    </row>
    <row r="69" spans="1:9" ht="26.4" x14ac:dyDescent="0.3">
      <c r="A69" s="20" t="s">
        <v>51</v>
      </c>
      <c r="B69" s="20" t="s">
        <v>616</v>
      </c>
      <c r="C69" s="20" t="s">
        <v>425</v>
      </c>
      <c r="D69" s="20" t="s">
        <v>563</v>
      </c>
      <c r="E69" s="20" t="s">
        <v>538</v>
      </c>
      <c r="F69" s="20" t="s">
        <v>623</v>
      </c>
      <c r="G69" s="20"/>
      <c r="H69" s="20" t="s">
        <v>321</v>
      </c>
      <c r="I69" s="20"/>
    </row>
    <row r="70" spans="1:9" ht="26.4" x14ac:dyDescent="0.3">
      <c r="A70" s="20" t="s">
        <v>51</v>
      </c>
      <c r="B70" s="20" t="s">
        <v>616</v>
      </c>
      <c r="C70" s="20" t="s">
        <v>426</v>
      </c>
      <c r="D70" s="20" t="s">
        <v>537</v>
      </c>
      <c r="E70" s="20" t="s">
        <v>561</v>
      </c>
      <c r="F70" s="20" t="s">
        <v>624</v>
      </c>
      <c r="G70" s="20"/>
      <c r="H70" s="20" t="s">
        <v>321</v>
      </c>
      <c r="I70" s="20"/>
    </row>
    <row r="71" spans="1:9" ht="26.4" x14ac:dyDescent="0.3">
      <c r="A71" s="20" t="s">
        <v>51</v>
      </c>
      <c r="B71" s="20" t="s">
        <v>616</v>
      </c>
      <c r="C71" s="20" t="s">
        <v>427</v>
      </c>
      <c r="D71" s="20" t="s">
        <v>537</v>
      </c>
      <c r="E71" s="20" t="s">
        <v>538</v>
      </c>
      <c r="F71" s="20" t="s">
        <v>625</v>
      </c>
      <c r="G71" s="20"/>
      <c r="H71" s="20" t="s">
        <v>321</v>
      </c>
      <c r="I71" s="20"/>
    </row>
    <row r="72" spans="1:9" ht="26.4" x14ac:dyDescent="0.3">
      <c r="A72" s="20" t="s">
        <v>51</v>
      </c>
      <c r="B72" s="20" t="s">
        <v>616</v>
      </c>
      <c r="C72" s="20" t="s">
        <v>428</v>
      </c>
      <c r="D72" s="20" t="s">
        <v>537</v>
      </c>
      <c r="E72" s="20" t="s">
        <v>538</v>
      </c>
      <c r="F72" s="20" t="s">
        <v>626</v>
      </c>
      <c r="G72" s="20"/>
      <c r="H72" s="20" t="s">
        <v>321</v>
      </c>
      <c r="I72" s="2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16</vt:i4>
      </vt:variant>
    </vt:vector>
  </HeadingPairs>
  <TitlesOfParts>
    <vt:vector size="28" baseType="lpstr">
      <vt:lpstr>00_LEIA-ME</vt:lpstr>
      <vt:lpstr>Requisitos_Funcao</vt:lpstr>
      <vt:lpstr>Competencias</vt:lpstr>
      <vt:lpstr>Pessoas</vt:lpstr>
      <vt:lpstr>Matriz_Competencias</vt:lpstr>
      <vt:lpstr>Plano_Formacao</vt:lpstr>
      <vt:lpstr>Registo_Formacao</vt:lpstr>
      <vt:lpstr>Consciencializacao</vt:lpstr>
      <vt:lpstr>Conhecimento_Organizacional</vt:lpstr>
      <vt:lpstr>Resumo_Competencias</vt:lpstr>
      <vt:lpstr>Listas</vt:lpstr>
      <vt:lpstr>Dicionario_Dados</vt:lpstr>
      <vt:lpstr>DataRef</vt:lpstr>
      <vt:lpstr>lst_DataReferencia</vt:lpstr>
      <vt:lpstr>lst_EstadoForm</vt:lpstr>
      <vt:lpstr>lst_Funcao</vt:lpstr>
      <vt:lpstr>lst_Processo</vt:lpstr>
      <vt:lpstr>lst_SimNao</vt:lpstr>
      <vt:lpstr>lst_TipoConhec</vt:lpstr>
      <vt:lpstr>lst_Vinculo</vt:lpstr>
      <vt:lpstr>Competencias!Títulos_de_Impressão</vt:lpstr>
      <vt:lpstr>Conhecimento_Organizacional!Títulos_de_Impressão</vt:lpstr>
      <vt:lpstr>Consciencializacao!Títulos_de_Impressão</vt:lpstr>
      <vt:lpstr>Matriz_Competencias!Títulos_de_Impressão</vt:lpstr>
      <vt:lpstr>Pessoas!Títulos_de_Impressão</vt:lpstr>
      <vt:lpstr>Plano_Formacao!Títulos_de_Impressão</vt:lpstr>
      <vt:lpstr>Registo_Formacao!Títulos_de_Impressão</vt:lpstr>
      <vt:lpstr>Requisitos_Funcao!Títulos_de_Impressão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RG-SGQ-07 Competências, Formação, Consciencialização e Conhecimento Organizacional</dc:title>
  <dc:subject>SGQ NP EN ISO 9001:2026 — Plasticom</dc:subject>
  <dc:creator>Gerente da Qualidade</dc:creator>
  <cp:lastModifiedBy>Aline Meireles</cp:lastModifiedBy>
  <dcterms:created xsi:type="dcterms:W3CDTF">2026-09-30T13:07:15Z</dcterms:created>
  <dcterms:modified xsi:type="dcterms:W3CDTF">2026-09-30T13:07:37Z</dcterms:modified>
</cp:coreProperties>
</file>