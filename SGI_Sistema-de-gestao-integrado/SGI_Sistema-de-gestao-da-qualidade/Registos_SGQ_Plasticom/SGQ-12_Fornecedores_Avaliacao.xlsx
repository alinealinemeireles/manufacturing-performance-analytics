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I_Sistema-de-gestao-da-qualidade\Registos_SGQ_Plasticom\"/>
    </mc:Choice>
  </mc:AlternateContent>
  <xr:revisionPtr revIDLastSave="0" documentId="13_ncr:1_{AD57952B-B7DD-41CB-A247-B2512B7EC3D2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Fornecedores" sheetId="2" r:id="rId2"/>
    <sheet name="Desempenho_Mensal" sheetId="3" r:id="rId3"/>
    <sheet name="Reavaliacao_Semestral" sheetId="4" r:id="rId4"/>
    <sheet name="Reclamacoes_Fornecedor" sheetId="5" r:id="rId5"/>
    <sheet name="Informacao_Fornecedores" sheetId="6" r:id="rId6"/>
    <sheet name="Auditorias_Fornecedores" sheetId="7" r:id="rId7"/>
    <sheet name="Listas" sheetId="8" r:id="rId8"/>
    <sheet name="Dicionario_Dados" sheetId="9" r:id="rId9"/>
  </sheets>
  <definedNames>
    <definedName name="DataRef">Listas!$A$3</definedName>
    <definedName name="lst_Controlo841">Listas!$C$3:$C$6</definedName>
    <definedName name="lst_DataReferencia">Listas!$A$3:$A$3</definedName>
    <definedName name="lst_EstadoAprov">Listas!$D$3:$D$6</definedName>
    <definedName name="lst_EstadoAud">Listas!$F$3:$F$5</definedName>
    <definedName name="lst_SimNao">Listas!$E$3:$E$4</definedName>
    <definedName name="lst_TipoFornec">Listas!$B$3:$B$4</definedName>
    <definedName name="_xlnm.Print_Titles" localSheetId="6">Auditorias_Fornecedores!$1:$1</definedName>
    <definedName name="_xlnm.Print_Titles" localSheetId="2">Desempenho_Mensal!$1:$1</definedName>
    <definedName name="_xlnm.Print_Titles" localSheetId="1">Fornecedores!$4:$4</definedName>
    <definedName name="_xlnm.Print_Titles" localSheetId="5">Informacao_Fornecedores!$1:$1</definedName>
    <definedName name="_xlnm.Print_Titles" localSheetId="3">Reavaliacao_Semestral!$4:$4</definedName>
    <definedName name="_xlnm.Print_Titles" localSheetId="4">Reclamacoes_Fornecedor!$1:$1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1" i="5" l="1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4" i="5"/>
  <c r="L4" i="5"/>
  <c r="M3" i="5"/>
  <c r="L3" i="5"/>
  <c r="M2" i="5"/>
  <c r="L2" i="5"/>
  <c r="T30" i="4"/>
  <c r="S30" i="4"/>
  <c r="L30" i="4"/>
  <c r="J30" i="4"/>
  <c r="R30" i="4" s="1"/>
  <c r="I30" i="4"/>
  <c r="P30" i="4" s="1"/>
  <c r="H30" i="4"/>
  <c r="G30" i="4"/>
  <c r="D30" i="4"/>
  <c r="T29" i="4"/>
  <c r="S29" i="4"/>
  <c r="P29" i="4"/>
  <c r="L29" i="4"/>
  <c r="J29" i="4"/>
  <c r="R29" i="4" s="1"/>
  <c r="I29" i="4"/>
  <c r="H29" i="4"/>
  <c r="O29" i="4" s="1"/>
  <c r="G29" i="4"/>
  <c r="D29" i="4"/>
  <c r="T28" i="4"/>
  <c r="S28" i="4"/>
  <c r="L28" i="4"/>
  <c r="J28" i="4"/>
  <c r="R28" i="4" s="1"/>
  <c r="I28" i="4"/>
  <c r="P28" i="4" s="1"/>
  <c r="H28" i="4"/>
  <c r="G28" i="4"/>
  <c r="D28" i="4"/>
  <c r="T27" i="4"/>
  <c r="S27" i="4"/>
  <c r="L27" i="4"/>
  <c r="J27" i="4"/>
  <c r="R27" i="4" s="1"/>
  <c r="I27" i="4"/>
  <c r="P27" i="4" s="1"/>
  <c r="H27" i="4"/>
  <c r="O27" i="4" s="1"/>
  <c r="G27" i="4"/>
  <c r="D27" i="4"/>
  <c r="T26" i="4"/>
  <c r="S26" i="4"/>
  <c r="L26" i="4"/>
  <c r="J26" i="4"/>
  <c r="I26" i="4"/>
  <c r="P26" i="4" s="1"/>
  <c r="H26" i="4"/>
  <c r="G26" i="4"/>
  <c r="D26" i="4"/>
  <c r="T25" i="4"/>
  <c r="S25" i="4"/>
  <c r="P25" i="4"/>
  <c r="L25" i="4"/>
  <c r="J25" i="4"/>
  <c r="R25" i="4" s="1"/>
  <c r="I25" i="4"/>
  <c r="H25" i="4"/>
  <c r="O25" i="4" s="1"/>
  <c r="G25" i="4"/>
  <c r="D25" i="4"/>
  <c r="T24" i="4"/>
  <c r="S24" i="4"/>
  <c r="L24" i="4"/>
  <c r="J24" i="4"/>
  <c r="I24" i="4"/>
  <c r="P24" i="4" s="1"/>
  <c r="H24" i="4"/>
  <c r="G24" i="4"/>
  <c r="D24" i="4"/>
  <c r="T23" i="4"/>
  <c r="S23" i="4"/>
  <c r="L23" i="4"/>
  <c r="J23" i="4"/>
  <c r="R23" i="4" s="1"/>
  <c r="I23" i="4"/>
  <c r="H23" i="4"/>
  <c r="O23" i="4" s="1"/>
  <c r="G23" i="4"/>
  <c r="P23" i="4" s="1"/>
  <c r="D23" i="4"/>
  <c r="T22" i="4"/>
  <c r="S22" i="4"/>
  <c r="L22" i="4"/>
  <c r="J22" i="4"/>
  <c r="R22" i="4" s="1"/>
  <c r="I22" i="4"/>
  <c r="P22" i="4" s="1"/>
  <c r="H22" i="4"/>
  <c r="G22" i="4"/>
  <c r="D22" i="4"/>
  <c r="T21" i="4"/>
  <c r="S21" i="4"/>
  <c r="P21" i="4"/>
  <c r="L21" i="4"/>
  <c r="J21" i="4"/>
  <c r="R21" i="4" s="1"/>
  <c r="I21" i="4"/>
  <c r="H21" i="4"/>
  <c r="O21" i="4" s="1"/>
  <c r="G21" i="4"/>
  <c r="D21" i="4"/>
  <c r="T20" i="4"/>
  <c r="S20" i="4"/>
  <c r="L20" i="4"/>
  <c r="J20" i="4"/>
  <c r="R20" i="4" s="1"/>
  <c r="I20" i="4"/>
  <c r="P20" i="4" s="1"/>
  <c r="H20" i="4"/>
  <c r="G20" i="4"/>
  <c r="D20" i="4"/>
  <c r="T19" i="4"/>
  <c r="S19" i="4"/>
  <c r="L19" i="4"/>
  <c r="J19" i="4"/>
  <c r="R19" i="4" s="1"/>
  <c r="I19" i="4"/>
  <c r="H19" i="4"/>
  <c r="O19" i="4" s="1"/>
  <c r="G19" i="4"/>
  <c r="P19" i="4" s="1"/>
  <c r="D19" i="4"/>
  <c r="T18" i="4"/>
  <c r="S18" i="4"/>
  <c r="L18" i="4"/>
  <c r="J18" i="4"/>
  <c r="I18" i="4"/>
  <c r="P18" i="4" s="1"/>
  <c r="H18" i="4"/>
  <c r="G18" i="4"/>
  <c r="D18" i="4"/>
  <c r="T17" i="4"/>
  <c r="S17" i="4"/>
  <c r="P17" i="4"/>
  <c r="L17" i="4"/>
  <c r="J17" i="4"/>
  <c r="R17" i="4" s="1"/>
  <c r="I17" i="4"/>
  <c r="H17" i="4"/>
  <c r="O17" i="4" s="1"/>
  <c r="G17" i="4"/>
  <c r="D17" i="4"/>
  <c r="T16" i="4"/>
  <c r="S16" i="4"/>
  <c r="L16" i="4"/>
  <c r="J16" i="4"/>
  <c r="R16" i="4" s="1"/>
  <c r="I16" i="4"/>
  <c r="P16" i="4" s="1"/>
  <c r="H16" i="4"/>
  <c r="G16" i="4"/>
  <c r="D16" i="4"/>
  <c r="T15" i="4"/>
  <c r="S15" i="4"/>
  <c r="L15" i="4"/>
  <c r="J15" i="4"/>
  <c r="R15" i="4" s="1"/>
  <c r="I15" i="4"/>
  <c r="H15" i="4"/>
  <c r="O15" i="4" s="1"/>
  <c r="G15" i="4"/>
  <c r="P15" i="4" s="1"/>
  <c r="D15" i="4"/>
  <c r="T14" i="4"/>
  <c r="S14" i="4"/>
  <c r="L14" i="4"/>
  <c r="J14" i="4"/>
  <c r="I14" i="4"/>
  <c r="P14" i="4" s="1"/>
  <c r="H14" i="4"/>
  <c r="G14" i="4"/>
  <c r="D14" i="4"/>
  <c r="T13" i="4"/>
  <c r="S13" i="4"/>
  <c r="P13" i="4"/>
  <c r="L13" i="4"/>
  <c r="J13" i="4"/>
  <c r="R13" i="4" s="1"/>
  <c r="I13" i="4"/>
  <c r="H13" i="4"/>
  <c r="O13" i="4" s="1"/>
  <c r="G13" i="4"/>
  <c r="D13" i="4"/>
  <c r="T12" i="4"/>
  <c r="S12" i="4"/>
  <c r="L12" i="4"/>
  <c r="J12" i="4"/>
  <c r="I12" i="4"/>
  <c r="P12" i="4" s="1"/>
  <c r="H12" i="4"/>
  <c r="G12" i="4"/>
  <c r="D12" i="4"/>
  <c r="T11" i="4"/>
  <c r="S11" i="4"/>
  <c r="L11" i="4"/>
  <c r="J11" i="4"/>
  <c r="R11" i="4" s="1"/>
  <c r="I11" i="4"/>
  <c r="H11" i="4"/>
  <c r="G11" i="4"/>
  <c r="P11" i="4" s="1"/>
  <c r="D11" i="4"/>
  <c r="T10" i="4"/>
  <c r="S10" i="4"/>
  <c r="L10" i="4"/>
  <c r="J10" i="4"/>
  <c r="I10" i="4"/>
  <c r="P10" i="4" s="1"/>
  <c r="H10" i="4"/>
  <c r="G10" i="4"/>
  <c r="D10" i="4"/>
  <c r="T9" i="4"/>
  <c r="S9" i="4"/>
  <c r="P9" i="4"/>
  <c r="L9" i="4"/>
  <c r="J9" i="4"/>
  <c r="I9" i="4"/>
  <c r="H9" i="4"/>
  <c r="O9" i="4" s="1"/>
  <c r="G9" i="4"/>
  <c r="D9" i="4"/>
  <c r="T8" i="4"/>
  <c r="S8" i="4"/>
  <c r="L8" i="4"/>
  <c r="J8" i="4"/>
  <c r="I8" i="4"/>
  <c r="P8" i="4" s="1"/>
  <c r="H8" i="4"/>
  <c r="G8" i="4"/>
  <c r="D8" i="4"/>
  <c r="T7" i="4"/>
  <c r="S7" i="4"/>
  <c r="L7" i="4"/>
  <c r="J7" i="4"/>
  <c r="R7" i="4" s="1"/>
  <c r="I7" i="4"/>
  <c r="H7" i="4"/>
  <c r="G7" i="4"/>
  <c r="P7" i="4" s="1"/>
  <c r="D7" i="4"/>
  <c r="O15" i="2" s="1"/>
  <c r="T6" i="4"/>
  <c r="S6" i="4"/>
  <c r="P6" i="4"/>
  <c r="L6" i="4"/>
  <c r="J6" i="4"/>
  <c r="R6" i="4" s="1"/>
  <c r="I6" i="4"/>
  <c r="H6" i="4"/>
  <c r="O6" i="4" s="1"/>
  <c r="G6" i="4"/>
  <c r="D6" i="4"/>
  <c r="T5" i="4"/>
  <c r="S5" i="4"/>
  <c r="L5" i="4"/>
  <c r="J5" i="4"/>
  <c r="I5" i="4"/>
  <c r="P5" i="4" s="1"/>
  <c r="H5" i="4"/>
  <c r="G5" i="4"/>
  <c r="D5" i="4"/>
  <c r="O17" i="2" s="1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N18" i="2"/>
  <c r="O10" i="4" l="1"/>
  <c r="R12" i="4"/>
  <c r="O14" i="4"/>
  <c r="O18" i="4"/>
  <c r="O22" i="4"/>
  <c r="R24" i="4"/>
  <c r="O26" i="4"/>
  <c r="O30" i="4"/>
  <c r="O7" i="4"/>
  <c r="O11" i="4"/>
  <c r="N16" i="2"/>
  <c r="O5" i="4"/>
  <c r="O8" i="4"/>
  <c r="R10" i="4"/>
  <c r="O12" i="4"/>
  <c r="R14" i="4"/>
  <c r="O16" i="4"/>
  <c r="R18" i="4"/>
  <c r="O20" i="4"/>
  <c r="O24" i="4"/>
  <c r="R26" i="4"/>
  <c r="O28" i="4"/>
  <c r="O18" i="2"/>
  <c r="P18" i="2" s="1"/>
  <c r="N17" i="2"/>
  <c r="P17" i="2" s="1"/>
  <c r="N19" i="2"/>
  <c r="O16" i="2"/>
  <c r="N15" i="2"/>
  <c r="P15" i="2" s="1"/>
  <c r="K5" i="4"/>
  <c r="Q5" i="4" s="1"/>
  <c r="U5" i="4" s="1"/>
  <c r="V5" i="4" s="1"/>
  <c r="W5" i="4" s="1"/>
  <c r="R8" i="4"/>
  <c r="K8" i="4"/>
  <c r="Q8" i="4" s="1"/>
  <c r="U8" i="4" s="1"/>
  <c r="V8" i="4" s="1"/>
  <c r="W8" i="4" s="1"/>
  <c r="Q7" i="4"/>
  <c r="U7" i="4" s="1"/>
  <c r="V7" i="4" s="1"/>
  <c r="W7" i="4" s="1"/>
  <c r="K7" i="4"/>
  <c r="R9" i="4"/>
  <c r="K9" i="4"/>
  <c r="Q9" i="4" s="1"/>
  <c r="U9" i="4" s="1"/>
  <c r="V9" i="4" s="1"/>
  <c r="O19" i="2"/>
  <c r="P19" i="2" s="1"/>
  <c r="R5" i="4"/>
  <c r="K6" i="4"/>
  <c r="Q6" i="4" s="1"/>
  <c r="U6" i="4" s="1"/>
  <c r="V6" i="4" s="1"/>
  <c r="U16" i="4"/>
  <c r="V16" i="4" s="1"/>
  <c r="W16" i="4" s="1"/>
  <c r="K10" i="4"/>
  <c r="Q10" i="4" s="1"/>
  <c r="U10" i="4" s="1"/>
  <c r="V10" i="4" s="1"/>
  <c r="W10" i="4" s="1"/>
  <c r="K11" i="4"/>
  <c r="Q11" i="4" s="1"/>
  <c r="U11" i="4" s="1"/>
  <c r="V11" i="4" s="1"/>
  <c r="W11" i="4" s="1"/>
  <c r="K12" i="4"/>
  <c r="Q12" i="4" s="1"/>
  <c r="U12" i="4" s="1"/>
  <c r="V12" i="4" s="1"/>
  <c r="K13" i="4"/>
  <c r="Q13" i="4"/>
  <c r="U13" i="4" s="1"/>
  <c r="V13" i="4" s="1"/>
  <c r="W13" i="4" s="1"/>
  <c r="K14" i="4"/>
  <c r="Q14" i="4" s="1"/>
  <c r="K15" i="4"/>
  <c r="Q15" i="4" s="1"/>
  <c r="U15" i="4" s="1"/>
  <c r="V15" i="4" s="1"/>
  <c r="K16" i="4"/>
  <c r="Q16" i="4"/>
  <c r="K17" i="4"/>
  <c r="Q17" i="4" s="1"/>
  <c r="U17" i="4" s="1"/>
  <c r="V17" i="4" s="1"/>
  <c r="W17" i="4" s="1"/>
  <c r="K18" i="4"/>
  <c r="Q18" i="4" s="1"/>
  <c r="K19" i="4"/>
  <c r="Q19" i="4" s="1"/>
  <c r="U19" i="4" s="1"/>
  <c r="V19" i="4" s="1"/>
  <c r="W19" i="4" s="1"/>
  <c r="K20" i="4"/>
  <c r="Q20" i="4"/>
  <c r="K21" i="4"/>
  <c r="Q21" i="4" s="1"/>
  <c r="U21" i="4" s="1"/>
  <c r="V21" i="4" s="1"/>
  <c r="K22" i="4"/>
  <c r="Q22" i="4"/>
  <c r="U22" i="4" s="1"/>
  <c r="V22" i="4" s="1"/>
  <c r="W22" i="4" s="1"/>
  <c r="K23" i="4"/>
  <c r="Q23" i="4" s="1"/>
  <c r="U23" i="4" s="1"/>
  <c r="V23" i="4" s="1"/>
  <c r="W23" i="4" s="1"/>
  <c r="K24" i="4"/>
  <c r="Q24" i="4" s="1"/>
  <c r="K25" i="4"/>
  <c r="Q25" i="4"/>
  <c r="U25" i="4" s="1"/>
  <c r="V25" i="4" s="1"/>
  <c r="W25" i="4" s="1"/>
  <c r="K26" i="4"/>
  <c r="Q26" i="4" s="1"/>
  <c r="U26" i="4" s="1"/>
  <c r="V26" i="4" s="1"/>
  <c r="W26" i="4" s="1"/>
  <c r="K27" i="4"/>
  <c r="Q27" i="4" s="1"/>
  <c r="U27" i="4" s="1"/>
  <c r="V27" i="4" s="1"/>
  <c r="K28" i="4"/>
  <c r="Q28" i="4"/>
  <c r="U28" i="4" s="1"/>
  <c r="V28" i="4" s="1"/>
  <c r="W28" i="4" s="1"/>
  <c r="K29" i="4"/>
  <c r="Q29" i="4" s="1"/>
  <c r="U29" i="4" s="1"/>
  <c r="V29" i="4" s="1"/>
  <c r="K30" i="4"/>
  <c r="Q30" i="4"/>
  <c r="U30" i="4" s="1"/>
  <c r="V30" i="4" s="1"/>
  <c r="U24" i="4" l="1"/>
  <c r="V24" i="4" s="1"/>
  <c r="U18" i="4"/>
  <c r="V18" i="4" s="1"/>
  <c r="U14" i="4"/>
  <c r="V14" i="4" s="1"/>
  <c r="W14" i="4" s="1"/>
  <c r="P16" i="2"/>
  <c r="U20" i="4"/>
  <c r="V20" i="4" s="1"/>
  <c r="W20" i="4" s="1"/>
  <c r="W6" i="4"/>
  <c r="O5" i="2" s="1"/>
  <c r="N5" i="2"/>
  <c r="W29" i="4"/>
  <c r="O13" i="2" s="1"/>
  <c r="N13" i="2"/>
  <c r="W30" i="4"/>
  <c r="O14" i="2" s="1"/>
  <c r="P14" i="2" s="1"/>
  <c r="N14" i="2"/>
  <c r="W27" i="4"/>
  <c r="O12" i="2" s="1"/>
  <c r="N12" i="2"/>
  <c r="W24" i="4"/>
  <c r="O11" i="2" s="1"/>
  <c r="P11" i="2" s="1"/>
  <c r="N11" i="2"/>
  <c r="W21" i="4"/>
  <c r="O10" i="2" s="1"/>
  <c r="N10" i="2"/>
  <c r="W18" i="4"/>
  <c r="O9" i="2" s="1"/>
  <c r="P9" i="2" s="1"/>
  <c r="N9" i="2"/>
  <c r="W15" i="4"/>
  <c r="O8" i="2" s="1"/>
  <c r="N8" i="2"/>
  <c r="W12" i="4"/>
  <c r="O7" i="2" s="1"/>
  <c r="P7" i="2" s="1"/>
  <c r="N7" i="2"/>
  <c r="W9" i="4"/>
  <c r="O6" i="2" s="1"/>
  <c r="N6" i="2"/>
  <c r="P5" i="2" l="1"/>
  <c r="P8" i="2"/>
  <c r="P12" i="2"/>
  <c r="P13" i="2"/>
  <c r="P6" i="2"/>
  <c r="P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ID (SUP-* do dataset; EXT-* prestadores).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Nome do fornecedor.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País.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Materiais / serviços.</t>
        </r>
      </text>
    </comment>
    <comment ref="E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Produto / serviço.</t>
        </r>
      </text>
    </comment>
    <comment ref="F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Porque é controlado (8.4.1 a–c).</t>
        </r>
      </text>
    </comment>
    <comment ref="G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Tipo de controlo aplicado ao fornecedor (8.4.2 b).</t>
        </r>
      </text>
    </comment>
    <comment ref="H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Extensão do controlo às saídas / verificação (8.4.2 b, d).</t>
        </r>
      </text>
    </comment>
    <comment ref="I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Sistema/certificação.</t>
        </r>
      </text>
    </comment>
    <comment ref="J4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Tipo de contrato (dataset).</t>
        </r>
      </text>
    </comment>
    <comment ref="K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Anos como fornecedor.</t>
        </r>
      </text>
    </comment>
    <comment ref="L4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Estado na lista de fornecedores aprovados.</t>
        </r>
      </text>
    </comment>
    <comment ref="M4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Data da aprovação/última reavaliação formal.</t>
        </r>
      </text>
    </comment>
    <comment ref="N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Classe do período atual (S1-2026; JA-2026 para fornecedores novos).
[calculado]</t>
        </r>
      </text>
    </comment>
    <comment ref="O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Decisão da reavaliação.
[calculado]</t>
        </r>
      </text>
    </comment>
    <comment ref="P4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Estado de aprovação coerente com a reavaliação?
[calculado]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Fornecedor.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Mês.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aaaamm (para filtros por período).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Lotes recebidos.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Aceites sem derrogação.</t>
        </r>
      </text>
    </comment>
    <comment ref="F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Aceites com derrogação.</t>
        </r>
      </text>
    </comment>
    <comment ref="G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Rejeitados.</t>
        </r>
      </text>
    </comment>
    <comment ref="H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kg recebidos.</t>
        </r>
      </text>
    </comment>
    <comment ref="I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Reclamações ao fornecedor.</t>
        </r>
      </text>
    </comment>
    <comment ref="J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Σ dias até resposta.</t>
        </r>
      </text>
    </comment>
    <comment ref="K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SCAR resolvidas em ≤ 30 dias.</t>
        </r>
      </text>
    </comment>
    <comment ref="L1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% aceites sem derrogação.
[calculado]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Fornecedor.</t>
        </r>
      </text>
    </comment>
    <comment ref="B4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Semestre.</t>
        </r>
      </text>
    </comment>
    <comment ref="C4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Sim = período usado como classificação atual do fornecedor.</t>
        </r>
      </text>
    </comment>
    <comment ref="D4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Chave técnica.
[calculado]</t>
        </r>
      </text>
    </comment>
    <comment ref="E4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aaaamm inicial.</t>
        </r>
      </text>
    </comment>
    <comment ref="F4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aaaamm final.</t>
        </r>
      </text>
    </comment>
    <comment ref="G4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Lotes no período.
[calculado]</t>
        </r>
      </text>
    </comment>
    <comment ref="H4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Aceites.
[calculado]</t>
        </r>
      </text>
    </comment>
    <comment ref="I4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Rejeitados.
[calculado]</t>
        </r>
      </text>
    </comment>
    <comment ref="J4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SCAR.
[calculado]</t>
        </r>
      </text>
    </comment>
    <comment ref="K4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Dias médios de resposta.
[calculado]</t>
        </r>
      </text>
    </comment>
    <comment ref="L4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SCAR resolvidas em 30 dias.
[calculado]</t>
        </r>
      </text>
    </comment>
    <comment ref="M4" authorId="0" shapeId="0" xr:uid="{00000000-0006-0000-0300-00000D000000}">
      <text>
        <r>
          <rPr>
            <sz val="11"/>
            <color theme="1"/>
            <rFont val="Calibri"/>
            <family val="2"/>
            <scheme val="minor"/>
          </rPr>
          <t>C5: sistema/certificação (0–100).</t>
        </r>
      </text>
    </comment>
    <comment ref="N4" authorId="0" shapeId="0" xr:uid="{00000000-0006-0000-0300-00000E000000}">
      <text>
        <r>
          <rPr>
            <sz val="11"/>
            <color theme="1"/>
            <rFont val="Calibri"/>
            <family val="2"/>
            <scheme val="minor"/>
          </rPr>
          <t>C6: entregas a tempo (ERP — simulado).</t>
        </r>
      </text>
    </comment>
    <comment ref="O4" authorId="0" shapeId="0" xr:uid="{00000000-0006-0000-0300-00000F000000}">
      <text>
        <r>
          <rPr>
            <sz val="11"/>
            <color theme="1"/>
            <rFont val="Calibri"/>
            <family val="2"/>
            <scheme val="minor"/>
          </rPr>
          <t>C1 (40%): % aceites, 80% → 0 pts, 98% → 100 pts.
[calculado]</t>
        </r>
      </text>
    </comment>
    <comment ref="P4" authorId="0" shapeId="0" xr:uid="{00000000-0006-0000-0300-000010000000}">
      <text>
        <r>
          <rPr>
            <sz val="11"/>
            <color theme="1"/>
            <rFont val="Calibri"/>
            <family val="2"/>
            <scheme val="minor"/>
          </rPr>
          <t>C2 (15%): 100 − 10 pts por 1% de lotes rejeitados.
[calculado]</t>
        </r>
      </text>
    </comment>
    <comment ref="Q4" authorId="0" shapeId="0" xr:uid="{00000000-0006-0000-0300-000011000000}">
      <text>
        <r>
          <rPr>
            <sz val="11"/>
            <color theme="1"/>
            <rFont val="Calibri"/>
            <family val="2"/>
            <scheme val="minor"/>
          </rPr>
          <t>C3 (15%): ≤ 5 dias = 100; −10 pts/dia.
[calculado]</t>
        </r>
      </text>
    </comment>
    <comment ref="R4" authorId="0" shapeId="0" xr:uid="{00000000-0006-0000-0300-000012000000}">
      <text>
        <r>
          <rPr>
            <sz val="11"/>
            <color theme="1"/>
            <rFont val="Calibri"/>
            <family val="2"/>
            <scheme val="minor"/>
          </rPr>
          <t>C4 (10%): % SCAR resolvidas em 30 dias.
[calculado]</t>
        </r>
      </text>
    </comment>
    <comment ref="S4" authorId="0" shapeId="0" xr:uid="{00000000-0006-0000-0300-000013000000}">
      <text>
        <r>
          <rPr>
            <sz val="11"/>
            <color theme="1"/>
            <rFont val="Calibri"/>
            <family val="2"/>
            <scheme val="minor"/>
          </rPr>
          <t>C5 (10%).
[calculado]</t>
        </r>
      </text>
    </comment>
    <comment ref="T4" authorId="0" shapeId="0" xr:uid="{00000000-0006-0000-0300-000014000000}">
      <text>
        <r>
          <rPr>
            <sz val="11"/>
            <color theme="1"/>
            <rFont val="Calibri"/>
            <family val="2"/>
            <scheme val="minor"/>
          </rPr>
          <t>C6 (10%).
[calculado]</t>
        </r>
      </text>
    </comment>
    <comment ref="U4" authorId="0" shapeId="0" xr:uid="{00000000-0006-0000-0300-000015000000}">
      <text>
        <r>
          <rPr>
            <sz val="11"/>
            <color theme="1"/>
            <rFont val="Calibri"/>
            <family val="2"/>
            <scheme val="minor"/>
          </rPr>
          <t>Pontuação ponderada 0–100.
[calculado]</t>
        </r>
      </text>
    </comment>
    <comment ref="V4" authorId="0" shapeId="0" xr:uid="{00000000-0006-0000-0300-000016000000}">
      <text>
        <r>
          <rPr>
            <sz val="11"/>
            <color theme="1"/>
            <rFont val="Calibri"/>
            <family val="2"/>
            <scheme val="minor"/>
          </rPr>
          <t>A ≥ 85 · B ≥ 70 · C ≥ 50 · D &lt; 50.
[calculado]</t>
        </r>
      </text>
    </comment>
    <comment ref="W4" authorId="0" shapeId="0" xr:uid="{00000000-0006-0000-0300-000017000000}">
      <text>
        <r>
          <rPr>
            <sz val="11"/>
            <color theme="1"/>
            <rFont val="Calibri"/>
            <family val="2"/>
            <scheme val="minor"/>
          </rPr>
          <t>Decisão da reavaliação (ação necessária, 8.4.1).
[calculado]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Reclamação ao fornecedor (dataset).</t>
        </r>
      </text>
    </comment>
    <comment ref="B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Data.</t>
        </r>
      </text>
    </comment>
    <comment ref="C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Fornecedor.</t>
        </r>
      </text>
    </comment>
    <comment ref="D1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Material.</t>
        </r>
      </text>
    </comment>
    <comment ref="E1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Lote de MP.</t>
        </r>
      </text>
    </comment>
    <comment ref="F1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Encomenda.</t>
        </r>
      </text>
    </comment>
    <comment ref="G1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Problema.</t>
        </r>
      </text>
    </comment>
    <comment ref="H1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8D pedido ao fornecedor.</t>
        </r>
      </text>
    </comment>
    <comment ref="I1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Contenção.</t>
        </r>
      </text>
    </comment>
    <comment ref="J1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Resposta do fornecedor (dataset).</t>
        </r>
      </text>
    </comment>
    <comment ref="K1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Resolução (vazia se posterior à data de referência).</t>
        </r>
      </text>
    </comment>
    <comment ref="L1" authorId="0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Dias até resposta.
[calculado]</t>
        </r>
      </text>
    </comment>
    <comment ref="M1" authorId="0" shapeId="0" xr:uid="{00000000-0006-0000-0400-00000D000000}">
      <text>
        <r>
          <rPr>
            <sz val="11"/>
            <color theme="1"/>
            <rFont val="Calibri"/>
            <family val="2"/>
            <scheme val="minor"/>
          </rPr>
          <t>Estado à data de referência.
[calculado]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Linha.</t>
        </r>
      </text>
    </comment>
    <comment ref="B1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Fornecedores.</t>
        </r>
      </text>
    </comment>
    <comment ref="C1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8.4.3 a).</t>
        </r>
      </text>
    </comment>
    <comment ref="D1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8.4.3 b).</t>
        </r>
      </text>
    </comment>
    <comment ref="E1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8.4.3 c).</t>
        </r>
      </text>
    </comment>
    <comment ref="F1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8.4.3 d).</t>
        </r>
      </text>
    </comment>
    <comment ref="G1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8.4.3 e).</t>
        </r>
      </text>
    </comment>
    <comment ref="H1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8.4.3 f).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Auditoria a fornecedor.</t>
        </r>
      </text>
    </comment>
    <comment ref="B1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Fornecedor.</t>
        </r>
      </text>
    </comment>
    <comment ref="C1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Planeada.</t>
        </r>
      </text>
    </comment>
    <comment ref="D1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Realizada.</t>
        </r>
      </text>
    </comment>
    <comment ref="E1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Tipo.</t>
        </r>
      </text>
    </comment>
    <comment ref="F1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Motivo (risco).</t>
        </r>
      </text>
    </comment>
    <comment ref="G1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Estado.</t>
        </r>
      </text>
    </comment>
    <comment ref="H1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Resultado.</t>
        </r>
      </text>
    </comment>
  </commentList>
</comments>
</file>

<file path=xl/sharedStrings.xml><?xml version="1.0" encoding="utf-8"?>
<sst xmlns="http://schemas.openxmlformats.org/spreadsheetml/2006/main" count="2023" uniqueCount="677">
  <si>
    <t>RG-SGQ-12 — Fornecedores Externos: Aprovação, Desempenho e Reavaliação</t>
  </si>
  <si>
    <t>Sistema de Gestão da Qualidade NP EN ISO 9001:2026 · Plasticom — Unidade 1 (Marinha Grande, Portugal) · Registo do SGQ (fábrica simulada)</t>
  </si>
  <si>
    <t>CONTROLO DO DOCUMENTO (7.5 — informação documentada)</t>
  </si>
  <si>
    <t>Código do registo</t>
  </si>
  <si>
    <t>RG-SGQ-12</t>
  </si>
  <si>
    <t>Título</t>
  </si>
  <si>
    <t>Fornecedores Externos: Aprovação, Desempenho e Reavaliação</t>
  </si>
  <si>
    <t>Versão / Revisão</t>
  </si>
  <si>
    <t>01</t>
  </si>
  <si>
    <t>Data de emissão</t>
  </si>
  <si>
    <t>Elaborado por</t>
  </si>
  <si>
    <t>Gerente da Qualidade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</si>
  <si>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</si>
  <si>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</si>
  <si>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</si>
  <si>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</si>
  <si>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</si>
  <si>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</si>
  <si>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</si>
  <si>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SGQ &gt; Registos_SGQ_Plasticom (a versão eletrónica é a controlada; cópias impressas são não controladas). Proteção contra alterações não intencionais (7.5.3.2): edição só pelo dono do registo; histórico de versões no repositório.</t>
  </si>
  <si>
    <t>FINALIDADE E ÂMBITO</t>
  </si>
  <si>
    <t>Finalidade</t>
  </si>
  <si>
    <t>Registo dos 10 fornecedores de resinas/masterbatch do dataset e de 5 prestadores de processos externos, com o tipo de controlo, o desempenho mensal (2025-07 a 2026-12) calculado a partir das receções e SCAR reais, a reavaliação semestral por scorecard ponderado (classes A–D e decisão), os requisitos comunicados (8.4.3) e o programa de auditorias a fornecedores.</t>
  </si>
  <si>
    <t>Utilização / atividades</t>
  </si>
  <si>
    <t>Determinar os controlos sobre fornecedores e processos externos, avaliar e selecionar, monitorizar o desempenho mensal, reavaliar semestralmente e gerir reclamações a fornecedores (SCAR).</t>
  </si>
  <si>
    <t>Requisitos ISO 9001:2026</t>
  </si>
  <si>
    <t>8.4.1 a)–c) e critérios de avaliação, seleção, monitorização e reavaliação (informação documentada como evidência); 8.4.2 a)–d); 8.4.3 a)–f); 9.1.3 g); 9.3.2 d7)</t>
  </si>
  <si>
    <t>REFERÊNCIAS DE BOAS PRÁTICAS APLICADAS (orientação — não são requisitos auditáveis da ISO 9001)</t>
  </si>
  <si>
    <t>Academy — cap. 99–100 (Gestão de fornecedores, controlo de material)</t>
  </si>
  <si>
    <t>Scorecard quantitativo (ppm, entregas, resposta) para escolher fornecedores com base em dados; qualificação por pesquisa/auditoria.</t>
  </si>
  <si>
    <t>ManualdeFornecedoreseSubcontratadosSICI.pdf (pasta de interpretação)</t>
  </si>
  <si>
    <t>Estrutura de requisitos comunicados a fornecedores e subcontratados.</t>
  </si>
  <si>
    <t>ISO/TC 176 APG — External providers</t>
  </si>
  <si>
    <t>O auditor procura critérios definidos, evidência da reavaliação e ações quando o desempenho é fraco (SUP-005).</t>
  </si>
  <si>
    <t>iso9001help.co.uk — Purchasing / 8.4</t>
  </si>
  <si>
    <t>Aprovação baseada em desempenho anterior, auditorias ou questionários; lista de fornecedores aprovados.</t>
  </si>
  <si>
    <t>ESTRUTURA DO FICHEIRO</t>
  </si>
  <si>
    <t>Fornecedores</t>
  </si>
  <si>
    <t>Lista de fornecedores e prestadores externos com o tipo e extensão do controlo (8.4.1, 8.4.2).</t>
  </si>
  <si>
    <t>Desempenho_Mensal</t>
  </si>
  <si>
    <t>Desempenho mensal por fornecedor (dataset: receções de MP e SCAR).</t>
  </si>
  <si>
    <t>Reavaliacao_Semestral</t>
  </si>
  <si>
    <t>Reavaliação semestral por scorecard ponderado (critérios 8.4.1), calculada a partir do desempenho mensal.</t>
  </si>
  <si>
    <t>Reclamacoes_Fornecedor</t>
  </si>
  <si>
    <t>Reclamações a fornecedores (SCAR) do dataset com estado à data de referência.</t>
  </si>
  <si>
    <t>Informacao_Fornecedores</t>
  </si>
  <si>
    <t>Requisitos comunicados aos fornecedores externos (8.4.3 a–f).</t>
  </si>
  <si>
    <t>Auditorias_Fornecedores</t>
  </si>
  <si>
    <t>Programa de auditorias a fornecedores (8.4.3 f).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</si>
  <si>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</si>
  <si>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</si>
  <si>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</si>
  <si>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</si>
  <si>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</si>
  <si>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</si>
  <si>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</si>
  <si>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</si>
  <si>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</si>
  <si>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</si>
  <si>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</si>
  <si>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</si>
  <si>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do SGQ e do SGA — ver SGQ-00_Indice_Modelo_Dados.xlsx.</t>
  </si>
  <si>
    <t>Datas e unidades</t>
  </si>
  <si>
    <t>Datas em formato data (aaaa-mm-dd); números como números; a unidade está no nome da coluna ou no dicionário. Data de referência do SGQ: 2026-12-31.</t>
  </si>
  <si>
    <t>Dados</t>
  </si>
  <si>
    <t>Fábrica simulada Plasticom. Dados operacionais e de qualidade extraídos do dataset do projeto (datasets/silver e datasets/dim, período 2025-07-01 a 2026-12-31); os campos de gestão que o dataset não tem (datas de resposta, avaliações, decisões) são simulação didática coerente com esses dados.</t>
  </si>
  <si>
    <t>LIGAÇÕES A OUTROS REGISTOS</t>
  </si>
  <si>
    <t>RG-SGA-11</t>
  </si>
  <si>
    <t>Avaliação ambiental dos mesmos fornecedores (SGI): mesmo ID_Fornecedor.</t>
  </si>
  <si>
    <t>RG-SGQ-05 KPI-Q-08/09</t>
  </si>
  <si>
    <t>Indicadores de fornecedores.</t>
  </si>
  <si>
    <t>RG-SGA-02 R13, R14, R36; O8</t>
  </si>
  <si>
    <t>Riscos e oportunidades de fornecedores.</t>
  </si>
  <si>
    <t>FORNECEDORES EXTERNOS APROVADOS E TIPO DE CONTROLO (8.4.1 · 8.4.2)</t>
  </si>
  <si>
    <t>10 fornecedores de matéria-prima do dataset + 5 prestadores de processos/serviços externos · Classe e decisão lidas do período marcado 'Atual' na reavaliação</t>
  </si>
  <si>
    <t>ID_Fornecedor</t>
  </si>
  <si>
    <t>Nome</t>
  </si>
  <si>
    <t>Pais</t>
  </si>
  <si>
    <t>Materiais</t>
  </si>
  <si>
    <t>Tipo</t>
  </si>
  <si>
    <t>Controlo_841</t>
  </si>
  <si>
    <t>Tipo_Controlo</t>
  </si>
  <si>
    <t>Extensao_Controlo</t>
  </si>
  <si>
    <t>Certificacao</t>
  </si>
  <si>
    <t>Tipo_Contrato</t>
  </si>
  <si>
    <t>Anos_Fornecedor</t>
  </si>
  <si>
    <t>Estado_Aprovacao</t>
  </si>
  <si>
    <t>Data_Aprovacao</t>
  </si>
  <si>
    <t>Classe</t>
  </si>
  <si>
    <t>Decisao</t>
  </si>
  <si>
    <t>Coerencia</t>
  </si>
  <si>
    <t>SUP-001</t>
  </si>
  <si>
    <t>PolyGlobal Resins Corp</t>
  </si>
  <si>
    <t>USA</t>
  </si>
  <si>
    <t>HDPE, HDPE-PCR, LDPE, MDPE</t>
  </si>
  <si>
    <t>Produto</t>
  </si>
  <si>
    <t>8.4.1 a) incorporado no produto</t>
  </si>
  <si>
    <t>CoA por lote; especificação; SCAR com 8D</t>
  </si>
  <si>
    <t>Inspeção de receção por lote (PC-MP-01): MFI, densidade, humidade, contaminação</t>
  </si>
  <si>
    <t>ISO 9001</t>
  </si>
  <si>
    <t>Annual Contract</t>
  </si>
  <si>
    <t>Aprovado</t>
  </si>
  <si>
    <t>SUP-002</t>
  </si>
  <si>
    <t>Meridian Petrochemicals GmbH</t>
  </si>
  <si>
    <t>Germany</t>
  </si>
  <si>
    <t>PP, PP-PCR</t>
  </si>
  <si>
    <t>ISO 9001; ISO 14001</t>
  </si>
  <si>
    <t>SUP-003</t>
  </si>
  <si>
    <t>NorthStar Polymer Solutions</t>
  </si>
  <si>
    <t>PET, PETG</t>
  </si>
  <si>
    <t>SUP-004</t>
  </si>
  <si>
    <t>TransAtlantic Polymers plc</t>
  </si>
  <si>
    <t>United Kingdom</t>
  </si>
  <si>
    <t>HDPE-PCR, rPET</t>
  </si>
  <si>
    <t>ISO 9001; EuCertPlast (PCR)</t>
  </si>
  <si>
    <t>SUP-005</t>
  </si>
  <si>
    <t>Orient Polymer Industries</t>
  </si>
  <si>
    <t>Singapore</t>
  </si>
  <si>
    <t>PP, PVC</t>
  </si>
  <si>
    <t>Sem certificação válida</t>
  </si>
  <si>
    <t>Spot Purchase</t>
  </si>
  <si>
    <t>Aprovado condicional</t>
  </si>
  <si>
    <t>SUP-006</t>
  </si>
  <si>
    <t>Zenith Chemicals Group</t>
  </si>
  <si>
    <t>Netherlands</t>
  </si>
  <si>
    <t>HDPE, PET</t>
  </si>
  <si>
    <t>Multi-Year Agreement</t>
  </si>
  <si>
    <t>SUP-007</t>
  </si>
  <si>
    <t>Tarraco Petroquimica S.A.</t>
  </si>
  <si>
    <t>Spain</t>
  </si>
  <si>
    <t>PP, HDPE, LDPE</t>
  </si>
  <si>
    <t>SUP-008</t>
  </si>
  <si>
    <t>Lusomastic Polimeros S.A.</t>
  </si>
  <si>
    <t>Portugal</t>
  </si>
  <si>
    <t>Masterbatch</t>
  </si>
  <si>
    <t>SUP-009</t>
  </si>
  <si>
    <t>FarmaResin Especialidades Ltda</t>
  </si>
  <si>
    <t>Brazil</t>
  </si>
  <si>
    <t>PP-PG, PET-PG</t>
  </si>
  <si>
    <t>ISO 9001; ISO 15378 (em curso)</t>
  </si>
  <si>
    <t>SUP-010</t>
  </si>
  <si>
    <t>NutriPolímeros Ibéria S.A.</t>
  </si>
  <si>
    <t>HDPE-FG, PP-FG</t>
  </si>
  <si>
    <t>ISO 9001; FSSC 22000</t>
  </si>
  <si>
    <t>EXT-LAB-01</t>
  </si>
  <si>
    <t>Laboratório de calibração acreditado (IPAC L0045/L0112/L0203)</t>
  </si>
  <si>
    <t>Calibração de equipamentos</t>
  </si>
  <si>
    <t>Serviço</t>
  </si>
  <si>
    <t>8.4.1 c) processo externo</t>
  </si>
  <si>
    <t>Acreditação ISO/IEC 17025 com âmbito adequado; certificados com incerteza</t>
  </si>
  <si>
    <t>Verificação de cada certificado (erro + U ≤ EMA)</t>
  </si>
  <si>
    <t>ISO/IEC 17025</t>
  </si>
  <si>
    <t>Contrato de prestação</t>
  </si>
  <si>
    <t>EXT-LAB-02</t>
  </si>
  <si>
    <t>Laboratório de ensaios de migração acreditado</t>
  </si>
  <si>
    <t>Espanha</t>
  </si>
  <si>
    <t>Ensaios de migração de confirmação (FCM)</t>
  </si>
  <si>
    <t>Acreditação 17025 para EN 1186 e simulantes</t>
  </si>
  <si>
    <t>Revisão técnica do relatório</t>
  </si>
  <si>
    <t>EXT-MOL-01</t>
  </si>
  <si>
    <t>Ferramentaria (construção e reforma de moldes)</t>
  </si>
  <si>
    <t>Portugal (Marinha Grande)</t>
  </si>
  <si>
    <t>Moldes novos e reformas (M-SOP-007, M-INJ-012)</t>
  </si>
  <si>
    <t>Capacidade técnica; relatório dimensional; prazos</t>
  </si>
  <si>
    <t>Primeira peça (FAI) e capacidade antes da aceitação</t>
  </si>
  <si>
    <t>EXT-TRP-01</t>
  </si>
  <si>
    <t>Transportadora rodoviária</t>
  </si>
  <si>
    <t>Transporte para clientes ibéricos e UE</t>
  </si>
  <si>
    <t>8.4.1 b) fornecido diretamente ao cliente</t>
  </si>
  <si>
    <t>Cumprimento de janelas; manuseamento; limpeza da caixa (alimentar)</t>
  </si>
  <si>
    <t>Reclamações de transporte; checklist de carga</t>
  </si>
  <si>
    <t>EXT-EMB-01</t>
  </si>
  <si>
    <t>Fornecedor de cartão, filme e paletes</t>
  </si>
  <si>
    <t>Material de embalagem de expedição</t>
  </si>
  <si>
    <t>8.4.1 a) incorporado na entrega</t>
  </si>
  <si>
    <t>Especificação de resistência; higiene para linhas alimentares</t>
  </si>
  <si>
    <t>Inspeção visual na receção</t>
  </si>
  <si>
    <t>ISO 9001; FSC</t>
  </si>
  <si>
    <t>Mes</t>
  </si>
  <si>
    <t>Mes_Num</t>
  </si>
  <si>
    <t>Lotes</t>
  </si>
  <si>
    <t>Aceites</t>
  </si>
  <si>
    <t>Derrogacao</t>
  </si>
  <si>
    <t>Rejeitados</t>
  </si>
  <si>
    <t>Kg_Recebidos</t>
  </si>
  <si>
    <t>SCAR</t>
  </si>
  <si>
    <t>Dias_Resposta_Soma</t>
  </si>
  <si>
    <t>SCAR_Resolvidas_30d</t>
  </si>
  <si>
    <t>Pct_Aceites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</si>
  <si>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</si>
  <si>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</si>
  <si>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</si>
  <si>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</si>
  <si>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</si>
  <si>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</si>
  <si>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</si>
  <si>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</si>
  <si>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</si>
  <si>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</si>
  <si>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</si>
  <si>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</si>
  <si>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</si>
  <si>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</si>
  <si>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</si>
  <si>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</si>
  <si>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</si>
  <si>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</si>
  <si>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REAVALIAÇÃO SEMESTRAL DE FORNECEDORES — SCORECARD (8.4.1)</t>
  </si>
  <si>
    <t>Pesos: C1 qualidade 40% · C2 rejeição 15% · C3 resposta 15% · C4 resolução 10% · C5 certificação 10% · C6 entrega 10% · Tudo calculado com SUMIFS sobre tbl_desempenho_forn</t>
  </si>
  <si>
    <t>Periodo</t>
  </si>
  <si>
    <t>Atual</t>
  </si>
  <si>
    <t>Chave</t>
  </si>
  <si>
    <t>Mes_Ini</t>
  </si>
  <si>
    <t>Mes_Fim</t>
  </si>
  <si>
    <t>Dias_Resposta_Medio</t>
  </si>
  <si>
    <t>Resolvidas_30d</t>
  </si>
  <si>
    <t>Pontos_Certificacao</t>
  </si>
  <si>
    <t>OTIF_Fornecedor</t>
  </si>
  <si>
    <t>C1_Qualidade</t>
  </si>
  <si>
    <t>C2_Rejeicao</t>
  </si>
  <si>
    <t>C3_Resposta</t>
  </si>
  <si>
    <t>C4_Resolucao</t>
  </si>
  <si>
    <t>C5_Certificacao</t>
  </si>
  <si>
    <t>C6_Entrega</t>
  </si>
  <si>
    <t>Pontuacao</t>
  </si>
  <si>
    <t>S2-2025</t>
  </si>
  <si>
    <t>Não</t>
  </si>
  <si>
    <t>S1-2026</t>
  </si>
  <si>
    <t>Sim</t>
  </si>
  <si>
    <t>JA-2026</t>
  </si>
  <si>
    <t>ID_SCAR</t>
  </si>
  <si>
    <t>Data</t>
  </si>
  <si>
    <t>Material</t>
  </si>
  <si>
    <t>Lote_MP</t>
  </si>
  <si>
    <t>Encomenda</t>
  </si>
  <si>
    <t>Problema</t>
  </si>
  <si>
    <t>Pedido_8D</t>
  </si>
  <si>
    <t>Contencao</t>
  </si>
  <si>
    <t>Data_Resposta</t>
  </si>
  <si>
    <t>Data_Resolucao</t>
  </si>
  <si>
    <t>Dias_Resposta</t>
  </si>
  <si>
    <t>SC-30000</t>
  </si>
  <si>
    <t>PP</t>
  </si>
  <si>
    <t>RM-PP-00004</t>
  </si>
  <si>
    <t>PO-5020</t>
  </si>
  <si>
    <t>Resultado de ensaio fora de especificação</t>
  </si>
  <si>
    <t>Lote em quarentena; devolução ou utilização por derrogação aprovada pela Qualidade</t>
  </si>
  <si>
    <t>SC-30001</t>
  </si>
  <si>
    <t>HDPE-PCR</t>
  </si>
  <si>
    <t>RM-HDPE-PCR-00004</t>
  </si>
  <si>
    <t>PO-5033</t>
  </si>
  <si>
    <t>SC-30002</t>
  </si>
  <si>
    <t>RM-PP-00007</t>
  </si>
  <si>
    <t>PO-5044</t>
  </si>
  <si>
    <t>SC-30003</t>
  </si>
  <si>
    <t>rPET</t>
  </si>
  <si>
    <t>RM-rPET-00005</t>
  </si>
  <si>
    <t>PO-5047</t>
  </si>
  <si>
    <t>SC-30004</t>
  </si>
  <si>
    <t>MDPE</t>
  </si>
  <si>
    <t>RM-MDPE-00004</t>
  </si>
  <si>
    <t>PO-5052</t>
  </si>
  <si>
    <t>SC-30005</t>
  </si>
  <si>
    <t>RM-Masterbatch-00007</t>
  </si>
  <si>
    <t>PO-5053</t>
  </si>
  <si>
    <t>SC-30006</t>
  </si>
  <si>
    <t>RM-PP-00013</t>
  </si>
  <si>
    <t>PO-5090</t>
  </si>
  <si>
    <t>SC-30007</t>
  </si>
  <si>
    <t>PET</t>
  </si>
  <si>
    <t>RM-PET-00009</t>
  </si>
  <si>
    <t>PO-5100</t>
  </si>
  <si>
    <t>SC-30008</t>
  </si>
  <si>
    <t>LDPE</t>
  </si>
  <si>
    <t>RM-LDPE-00020</t>
  </si>
  <si>
    <t>PO-5191</t>
  </si>
  <si>
    <t>SC-30009</t>
  </si>
  <si>
    <t>RM-MDPE-00021</t>
  </si>
  <si>
    <t>PO-5244</t>
  </si>
  <si>
    <t>SC-30010</t>
  </si>
  <si>
    <t>PVC</t>
  </si>
  <si>
    <t>RM-PVC-00022</t>
  </si>
  <si>
    <t>PO-5250</t>
  </si>
  <si>
    <t>SC-30011</t>
  </si>
  <si>
    <t>RM-Masterbatch-00027</t>
  </si>
  <si>
    <t>PO-5265</t>
  </si>
  <si>
    <t>SC-30012</t>
  </si>
  <si>
    <t>RM-HDPE-PCR-00028</t>
  </si>
  <si>
    <t>PO-5269</t>
  </si>
  <si>
    <t>SC-30013</t>
  </si>
  <si>
    <t>RM-PP-00028</t>
  </si>
  <si>
    <t>PO-5280</t>
  </si>
  <si>
    <t>SC-30014</t>
  </si>
  <si>
    <t>RM-PVC-00025</t>
  </si>
  <si>
    <t>PO-5294</t>
  </si>
  <si>
    <t>SC-30015</t>
  </si>
  <si>
    <t>HDPE</t>
  </si>
  <si>
    <t>RM-HDPE-00027</t>
  </si>
  <si>
    <t>PO-5307</t>
  </si>
  <si>
    <t>SC-30016</t>
  </si>
  <si>
    <t>PP-PCR</t>
  </si>
  <si>
    <t>RM-PP-PCR-00033</t>
  </si>
  <si>
    <t>PO-5381</t>
  </si>
  <si>
    <t>SC-30017</t>
  </si>
  <si>
    <t>RM-PP-00036</t>
  </si>
  <si>
    <t>PO-5386</t>
  </si>
  <si>
    <t>SC-30018</t>
  </si>
  <si>
    <t>RM-rPET-00041</t>
  </si>
  <si>
    <t>PO-5404</t>
  </si>
  <si>
    <t>SC-30019</t>
  </si>
  <si>
    <t>RM-PVC-00039</t>
  </si>
  <si>
    <t>PO-5436</t>
  </si>
  <si>
    <t>SC-30020</t>
  </si>
  <si>
    <t>RM-MDPE-00037</t>
  </si>
  <si>
    <t>PO-5437</t>
  </si>
  <si>
    <t>SC-30021</t>
  </si>
  <si>
    <t>RM-PP-00048</t>
  </si>
  <si>
    <t>PO-5527</t>
  </si>
  <si>
    <t>SC-30022</t>
  </si>
  <si>
    <t>RM-LDPE-00055</t>
  </si>
  <si>
    <t>PO-5529</t>
  </si>
  <si>
    <t>SC-30023</t>
  </si>
  <si>
    <t>PETG</t>
  </si>
  <si>
    <t>RM-PETG-00054</t>
  </si>
  <si>
    <t>PO-5593</t>
  </si>
  <si>
    <t>SC-30024</t>
  </si>
  <si>
    <t>RM-PP-PCR-00053</t>
  </si>
  <si>
    <t>PO-5600</t>
  </si>
  <si>
    <t>SC-30025</t>
  </si>
  <si>
    <t>RM-PP-00055</t>
  </si>
  <si>
    <t>PO-5604</t>
  </si>
  <si>
    <t>SC-30026</t>
  </si>
  <si>
    <t>RM-MDPE-00057</t>
  </si>
  <si>
    <t>PO-5635</t>
  </si>
  <si>
    <t>SC-30027</t>
  </si>
  <si>
    <t>RM-PVC-00055</t>
  </si>
  <si>
    <t>PO-5638</t>
  </si>
  <si>
    <t>SC-30028</t>
  </si>
  <si>
    <t>RM-MDPE-00060</t>
  </si>
  <si>
    <t>PO-5646</t>
  </si>
  <si>
    <t>SC-30029</t>
  </si>
  <si>
    <t>RM-PVC-00059</t>
  </si>
  <si>
    <t>PO-5674</t>
  </si>
  <si>
    <t>SC-30030</t>
  </si>
  <si>
    <t>RM-HDPE-00070</t>
  </si>
  <si>
    <t>PO-5689</t>
  </si>
  <si>
    <t>SC-30031</t>
  </si>
  <si>
    <t>RM-PET-00058</t>
  </si>
  <si>
    <t>PO-5725</t>
  </si>
  <si>
    <t>SC-30032</t>
  </si>
  <si>
    <t>RM-rPET-00067</t>
  </si>
  <si>
    <t>PO-5726</t>
  </si>
  <si>
    <t>SC-30033</t>
  </si>
  <si>
    <t>RM-rPET-00070</t>
  </si>
  <si>
    <t>PO-5739</t>
  </si>
  <si>
    <t>SC-30034</t>
  </si>
  <si>
    <t>RM-PVC-00066</t>
  </si>
  <si>
    <t>PO-5810</t>
  </si>
  <si>
    <t>SC-30035</t>
  </si>
  <si>
    <t>RM-Masterbatch-00071</t>
  </si>
  <si>
    <t>PO-5814</t>
  </si>
  <si>
    <t>SC-30036</t>
  </si>
  <si>
    <t>RM-PVC-00069</t>
  </si>
  <si>
    <t>PO-5835</t>
  </si>
  <si>
    <t>SC-30037</t>
  </si>
  <si>
    <t>RM-PVC-00073</t>
  </si>
  <si>
    <t>PO-5851</t>
  </si>
  <si>
    <t>SC-30038</t>
  </si>
  <si>
    <t>RM-PP-00074</t>
  </si>
  <si>
    <t>PO-5855</t>
  </si>
  <si>
    <t>SC-30039</t>
  </si>
  <si>
    <t>RM-PVC-00077</t>
  </si>
  <si>
    <t>PO-5873</t>
  </si>
  <si>
    <t>SC-30040</t>
  </si>
  <si>
    <t>RM-PVC-00079</t>
  </si>
  <si>
    <t>PO-5887</t>
  </si>
  <si>
    <t>SC-30041</t>
  </si>
  <si>
    <t>RM-PP-00080</t>
  </si>
  <si>
    <t>PO-5903</t>
  </si>
  <si>
    <t>SC-30042</t>
  </si>
  <si>
    <t>RM-PVC-00081</t>
  </si>
  <si>
    <t>PO-5924</t>
  </si>
  <si>
    <t>SC-30043</t>
  </si>
  <si>
    <t>RM-HDPE-PCR-00092</t>
  </si>
  <si>
    <t>PO-5953</t>
  </si>
  <si>
    <t>SC-30044</t>
  </si>
  <si>
    <t>RM-HDPE-00096</t>
  </si>
  <si>
    <t>PO-5986</t>
  </si>
  <si>
    <t>SC-30045</t>
  </si>
  <si>
    <t>RM-PP-00087</t>
  </si>
  <si>
    <t>PO-5990</t>
  </si>
  <si>
    <t>SC-30046</t>
  </si>
  <si>
    <t>RM-rPET-00096</t>
  </si>
  <si>
    <t>PO-6001</t>
  </si>
  <si>
    <t>SC-30047</t>
  </si>
  <si>
    <t>RM-PP-PCR-00095</t>
  </si>
  <si>
    <t>PO-6031</t>
  </si>
  <si>
    <t>SC-30048</t>
  </si>
  <si>
    <t>RM-PP-PCR-00097</t>
  </si>
  <si>
    <t>PO-6049</t>
  </si>
  <si>
    <t>SC-30049</t>
  </si>
  <si>
    <t>RM-PETG-00094</t>
  </si>
  <si>
    <t>PO-6052</t>
  </si>
  <si>
    <t>SC-30050</t>
  </si>
  <si>
    <t>RM-rPET-00103</t>
  </si>
  <si>
    <t>PO-6053</t>
  </si>
  <si>
    <t>SC-30051</t>
  </si>
  <si>
    <t>RM-LDPE-00105</t>
  </si>
  <si>
    <t>PO-6054</t>
  </si>
  <si>
    <t>SC-30052</t>
  </si>
  <si>
    <t>RM-PP-PCR-00099</t>
  </si>
  <si>
    <t>PO-6079</t>
  </si>
  <si>
    <t>SC-30053</t>
  </si>
  <si>
    <t>RM-MDPE-00103</t>
  </si>
  <si>
    <t>PO-6133</t>
  </si>
  <si>
    <t>SC-30054</t>
  </si>
  <si>
    <t>RM-LDPE-00114</t>
  </si>
  <si>
    <t>PO-6157</t>
  </si>
  <si>
    <t>SC-30055</t>
  </si>
  <si>
    <t>RM-PP-00105</t>
  </si>
  <si>
    <t>PO-6173</t>
  </si>
  <si>
    <t>SC-30056</t>
  </si>
  <si>
    <t>RM-PP-00111</t>
  </si>
  <si>
    <t>PO-6223</t>
  </si>
  <si>
    <t>SC-30057</t>
  </si>
  <si>
    <t>RM-PVC-00104</t>
  </si>
  <si>
    <t>PO-6231</t>
  </si>
  <si>
    <t>SC-30058</t>
  </si>
  <si>
    <t>RM-PP-PCR-00113</t>
  </si>
  <si>
    <t>PO-6260</t>
  </si>
  <si>
    <t>SC-30059</t>
  </si>
  <si>
    <t>RM-MDPE-00116</t>
  </si>
  <si>
    <t>PO-6292</t>
  </si>
  <si>
    <t>SC-30060</t>
  </si>
  <si>
    <t>RM-PP-00122</t>
  </si>
  <si>
    <t>PO-6310</t>
  </si>
  <si>
    <t>SC-30061</t>
  </si>
  <si>
    <t>RM-MDPE-00129</t>
  </si>
  <si>
    <t>PO-6385</t>
  </si>
  <si>
    <t>SC-30062</t>
  </si>
  <si>
    <t>RM-PP-00139</t>
  </si>
  <si>
    <t>PO-6468</t>
  </si>
  <si>
    <t>SC-30063</t>
  </si>
  <si>
    <t>RM-PP-PCR-00134</t>
  </si>
  <si>
    <t>PO-6524</t>
  </si>
  <si>
    <t>SC-30064</t>
  </si>
  <si>
    <t>RM-LDPE-00147</t>
  </si>
  <si>
    <t>PO-6554</t>
  </si>
  <si>
    <t>SC-30065</t>
  </si>
  <si>
    <t>RM-Masterbatch-00132</t>
  </si>
  <si>
    <t>PO-6575</t>
  </si>
  <si>
    <t>SC-30066</t>
  </si>
  <si>
    <t>RM-HDPE-PCR-00148</t>
  </si>
  <si>
    <t>PO-6604</t>
  </si>
  <si>
    <t>SC-30067</t>
  </si>
  <si>
    <t>RM-PETG-00159</t>
  </si>
  <si>
    <t>PO-6629</t>
  </si>
  <si>
    <t>SC-30068</t>
  </si>
  <si>
    <t>RM-PP-00160</t>
  </si>
  <si>
    <t>PO-6641</t>
  </si>
  <si>
    <t>SC-30069</t>
  </si>
  <si>
    <t>RM-PVC-00142</t>
  </si>
  <si>
    <t>PO-6703</t>
  </si>
  <si>
    <t>SC-30070</t>
  </si>
  <si>
    <t>RM-PP-00169</t>
  </si>
  <si>
    <t>PO-6705</t>
  </si>
  <si>
    <t>SC-30071</t>
  </si>
  <si>
    <t>RM-LDPE-00162</t>
  </si>
  <si>
    <t>PO-6721</t>
  </si>
  <si>
    <t>SC-30072</t>
  </si>
  <si>
    <t>RM-PVC-00146</t>
  </si>
  <si>
    <t>PO-6726</t>
  </si>
  <si>
    <t>SC-30073</t>
  </si>
  <si>
    <t>RM-LDPE-00163</t>
  </si>
  <si>
    <t>PO-6731</t>
  </si>
  <si>
    <t>SC-30074</t>
  </si>
  <si>
    <t>RM-PP-00172</t>
  </si>
  <si>
    <t>PO-6737</t>
  </si>
  <si>
    <t>SC-30075</t>
  </si>
  <si>
    <t>RM-PVC-00153</t>
  </si>
  <si>
    <t>PO-6785</t>
  </si>
  <si>
    <t>SC-30076</t>
  </si>
  <si>
    <t>RM-PP-00177</t>
  </si>
  <si>
    <t>PO-6789</t>
  </si>
  <si>
    <t>SC-30077</t>
  </si>
  <si>
    <t>RM-PP-00182</t>
  </si>
  <si>
    <t>PO-6820</t>
  </si>
  <si>
    <t>SC-30078</t>
  </si>
  <si>
    <t>RM-PVC-00159</t>
  </si>
  <si>
    <t>PO-6843</t>
  </si>
  <si>
    <t>SC-30079</t>
  </si>
  <si>
    <t>PP-PG</t>
  </si>
  <si>
    <t>RM-PP-PG-00002</t>
  </si>
  <si>
    <t>ID</t>
  </si>
  <si>
    <t>Aplica_a</t>
  </si>
  <si>
    <t>a_Processos_Produtos</t>
  </si>
  <si>
    <t>b_Aprovacoes</t>
  </si>
  <si>
    <t>c_Competencia</t>
  </si>
  <si>
    <t>d_Interacoes</t>
  </si>
  <si>
    <t>e_Controlo_Desempenho</t>
  </si>
  <si>
    <t>f_Verificacao_Local</t>
  </si>
  <si>
    <t>INF-01</t>
  </si>
  <si>
    <t>Resinas e masterbatch (SUP-001 a SUP-010)</t>
  </si>
  <si>
    <t>a) Especificação por material (MFI, densidade, humidade, contaminação) e certificado de análise por lote</t>
  </si>
  <si>
    <t>b1) Aprovação do material por lote de qualificação; b3) libertação pelo fornecedor com CoA</t>
  </si>
  <si>
    <t>c) —</t>
  </si>
  <si>
    <t>d) Contacto técnico com o laboratório de receção</t>
  </si>
  <si>
    <t>e) Scorecard trimestral e SCAR com 8D</t>
  </si>
  <si>
    <t>f) Auditoria de processo ao fornecedor quando classe C/D</t>
  </si>
  <si>
    <t>INF-02</t>
  </si>
  <si>
    <t>Resinas de grau alimentar e farmacêutico (SUP-009, SUP-010)</t>
  </si>
  <si>
    <t>a) Declaração de conformidade FCM / Ph. Eur.; rastreabilidade ao lote de produção</t>
  </si>
  <si>
    <t>b2) Notificação prévia de alterações de processo/local (espelho do acordo com clientes farma)</t>
  </si>
  <si>
    <t>c) Pessoal com formação BPF</t>
  </si>
  <si>
    <t>d) Clientes farmacêuticos podem auditar o fornecedor</t>
  </si>
  <si>
    <t>e) Scorecard trimestral</t>
  </si>
  <si>
    <t>f) Auditoria anual (CUST-017 pode acompanhar)</t>
  </si>
  <si>
    <t>INF-03</t>
  </si>
  <si>
    <t>Laboratórios externos (EXT-LAB-01/02)</t>
  </si>
  <si>
    <t>a) Gama, pontos, incerteza requerida e regra de decisão</t>
  </si>
  <si>
    <t>b2) Métodos acreditados</t>
  </si>
  <si>
    <t>c) Acreditação ISO/IEC 17025</t>
  </si>
  <si>
    <t>d) —</t>
  </si>
  <si>
    <t>e) Revisão de cada certificado</t>
  </si>
  <si>
    <t>f) —</t>
  </si>
  <si>
    <t>INF-04</t>
  </si>
  <si>
    <t>Ferramentaria (EXT-MOL-01)</t>
  </si>
  <si>
    <t>a) Desenho do molde, cavidades, materiais e tolerâncias</t>
  </si>
  <si>
    <t>b1) Aprovação por FAI e estudo de capacidade</t>
  </si>
  <si>
    <t>d) Reuniões de projeto com R&amp;D; para moldes de clientes, o cliente pode participar</t>
  </si>
  <si>
    <t>e) Prazo e FAI à primeira</t>
  </si>
  <si>
    <t>f) Ensaio do molde (T1) nas instalações do fornecedor</t>
  </si>
  <si>
    <t>INF-05</t>
  </si>
  <si>
    <t>Transportadora (EXT-TRP-01)</t>
  </si>
  <si>
    <t>a) Janelas, cuidados de manuseamento, limpeza para cargas alimentares</t>
  </si>
  <si>
    <t>b3) —</t>
  </si>
  <si>
    <t>c) Motoristas instruídos</t>
  </si>
  <si>
    <t>d) Contacto direto com clientes na entrega</t>
  </si>
  <si>
    <t>e) Reclamações de transporte</t>
  </si>
  <si>
    <t>ID_Auditoria</t>
  </si>
  <si>
    <t>Data_Planeada</t>
  </si>
  <si>
    <t>Data_Real</t>
  </si>
  <si>
    <t>Motivo</t>
  </si>
  <si>
    <t>Resultado</t>
  </si>
  <si>
    <t>AF-26-01</t>
  </si>
  <si>
    <t>Processo (VDA 6.3 simplificado)</t>
  </si>
  <si>
    <t>Classe D: 25% dos lotes com derrogação/rejeição</t>
  </si>
  <si>
    <t>Planeada</t>
  </si>
  <si>
    <t>AF-26-02</t>
  </si>
  <si>
    <t>Qualificação (sistema + produto)</t>
  </si>
  <si>
    <t>Novo fornecedor farmacêutico</t>
  </si>
  <si>
    <t>Realizada</t>
  </si>
  <si>
    <t>Aprovado condicional: 2 NC menores (rastreabilidade de aditivos)</t>
  </si>
  <si>
    <t>AF-26-03</t>
  </si>
  <si>
    <t>Novo fornecedor alimentar</t>
  </si>
  <si>
    <t>Aprovado: FSSC 22000 válida</t>
  </si>
  <si>
    <t>AF-26-04</t>
  </si>
  <si>
    <t>Processo PCR</t>
  </si>
  <si>
    <t>Variação de qualidade do HDPE-PCR (R14)</t>
  </si>
  <si>
    <t>AF-26-05</t>
  </si>
  <si>
    <t>Processo</t>
  </si>
  <si>
    <t>Reforma do M-SOP-007</t>
  </si>
  <si>
    <t>Conforme</t>
  </si>
  <si>
    <t>LISTAS CONTROLADAS (domínios de validação de dados) — editar aqui para alterar opções</t>
  </si>
  <si>
    <t>DataReferencia</t>
  </si>
  <si>
    <t>TipoFornec</t>
  </si>
  <si>
    <t>Controlo841</t>
  </si>
  <si>
    <t>EstadoAprov</t>
  </si>
  <si>
    <t>SimNao</t>
  </si>
  <si>
    <t>EstadoAud</t>
  </si>
  <si>
    <t>Em qualificação</t>
  </si>
  <si>
    <t>Adiada</t>
  </si>
  <si>
    <t>Suspenso</t>
  </si>
  <si>
    <t>Folha</t>
  </si>
  <si>
    <t>Tabela</t>
  </si>
  <si>
    <t>Coluna</t>
  </si>
  <si>
    <t>Origem</t>
  </si>
  <si>
    <t>Descricao</t>
  </si>
  <si>
    <t>Dominio_Unidade</t>
  </si>
  <si>
    <t>Obrigatorio</t>
  </si>
  <si>
    <t>tbl_fornecedores</t>
  </si>
  <si>
    <t>Texto</t>
  </si>
  <si>
    <t>Entrada</t>
  </si>
  <si>
    <t>ID (SUP-* do dataset; EXT-* prestadores).</t>
  </si>
  <si>
    <t>PK</t>
  </si>
  <si>
    <t>Nome do fornecedor.</t>
  </si>
  <si>
    <t>País.</t>
  </si>
  <si>
    <t>Materiais / serviços.</t>
  </si>
  <si>
    <t>Produto / serviço.</t>
  </si>
  <si>
    <t>Lista lst_TipoFornec</t>
  </si>
  <si>
    <t>Porque é controlado (8.4.1 a–c).</t>
  </si>
  <si>
    <t>Lista lst_Controlo841</t>
  </si>
  <si>
    <t>Tipo de controlo aplicado ao fornecedor (8.4.2 b).</t>
  </si>
  <si>
    <t>Extensão do controlo às saídas / verificação (8.4.2 b, d).</t>
  </si>
  <si>
    <t>Sistema/certificação.</t>
  </si>
  <si>
    <t>Tipo de contrato (dataset).</t>
  </si>
  <si>
    <t>Inteiro</t>
  </si>
  <si>
    <t>Anos como fornecedor.</t>
  </si>
  <si>
    <t>Estado na lista de fornecedores aprovados.</t>
  </si>
  <si>
    <t>Lista lst_EstadoAprov</t>
  </si>
  <si>
    <t>Data (aaaa-mm-dd)</t>
  </si>
  <si>
    <t>Data da aprovação/última reavaliação formal.</t>
  </si>
  <si>
    <t>Calculado (fórmula)</t>
  </si>
  <si>
    <t>Classe do período atual (S1-2026; JA-2026 para fornecedores novos).</t>
  </si>
  <si>
    <t>Decisão da reavaliação.</t>
  </si>
  <si>
    <t>Estado de aprovação coerente com a reavaliação?</t>
  </si>
  <si>
    <t>tbl_desempenho_forn</t>
  </si>
  <si>
    <t>Fornecedor.</t>
  </si>
  <si>
    <t>FK → tbl_fornecedores</t>
  </si>
  <si>
    <t>Mês.</t>
  </si>
  <si>
    <t>aaaamm (para filtros por período).</t>
  </si>
  <si>
    <t>Lotes recebidos.</t>
  </si>
  <si>
    <t>Aceites sem derrogação.</t>
  </si>
  <si>
    <t>Aceites com derrogação.</t>
  </si>
  <si>
    <t>Rejeitados.</t>
  </si>
  <si>
    <t>Decimal</t>
  </si>
  <si>
    <t>kg recebidos.</t>
  </si>
  <si>
    <t>Reclamações ao fornecedor.</t>
  </si>
  <si>
    <t>Σ dias até resposta.</t>
  </si>
  <si>
    <t>SCAR resolvidas em ≤ 30 dias.</t>
  </si>
  <si>
    <t>Percentagem (fração 0-1)</t>
  </si>
  <si>
    <t>% aceites sem derrogação.</t>
  </si>
  <si>
    <t>tbl_avaliacao</t>
  </si>
  <si>
    <t>FK</t>
  </si>
  <si>
    <t>Semestre.</t>
  </si>
  <si>
    <t>Sim = período usado como classificação atual do fornecedor.</t>
  </si>
  <si>
    <t>Lista lst_SimNao</t>
  </si>
  <si>
    <t>Chave técnica.</t>
  </si>
  <si>
    <t>aaaamm inicial.</t>
  </si>
  <si>
    <t>aaaamm final.</t>
  </si>
  <si>
    <t>Lotes no período.</t>
  </si>
  <si>
    <t>Aceites.</t>
  </si>
  <si>
    <t>SCAR.</t>
  </si>
  <si>
    <t>Dias médios de resposta.</t>
  </si>
  <si>
    <t>SCAR resolvidas em 30 dias.</t>
  </si>
  <si>
    <t>C5: sistema/certificação (0–100).</t>
  </si>
  <si>
    <t>C6: entregas a tempo (ERP — simulado).</t>
  </si>
  <si>
    <t>C1 (40%): % aceites, 80% → 0 pts, 98% → 100 pts.</t>
  </si>
  <si>
    <t>C2 (15%): 100 − 10 pts por 1% de lotes rejeitados.</t>
  </si>
  <si>
    <t>C3 (15%): ≤ 5 dias = 100; −10 pts/dia.</t>
  </si>
  <si>
    <t>C4 (10%): % SCAR resolvidas em 30 dias.</t>
  </si>
  <si>
    <t>C5 (10%).</t>
  </si>
  <si>
    <t>C6 (10%).</t>
  </si>
  <si>
    <t>Pontuação ponderada 0–100.</t>
  </si>
  <si>
    <t>A ≥ 85 · B ≥ 70 · C ≥ 50 · D &lt; 50.</t>
  </si>
  <si>
    <t>Decisão da reavaliação (ação necessária, 8.4.1).</t>
  </si>
  <si>
    <t>tbl_scar</t>
  </si>
  <si>
    <t>Reclamação ao fornecedor (dataset).</t>
  </si>
  <si>
    <t>Data.</t>
  </si>
  <si>
    <t>Material.</t>
  </si>
  <si>
    <t>Lote de MP.</t>
  </si>
  <si>
    <t>Encomenda.</t>
  </si>
  <si>
    <t>Problema.</t>
  </si>
  <si>
    <t>8D pedido ao fornecedor.</t>
  </si>
  <si>
    <t>Contenção.</t>
  </si>
  <si>
    <t>Resposta do fornecedor (dataset).</t>
  </si>
  <si>
    <t>Resolução (vazia se posterior à data de referência).</t>
  </si>
  <si>
    <t>Dias até resposta.</t>
  </si>
  <si>
    <t>Estado à data de referência.</t>
  </si>
  <si>
    <t>tbl_info_fornecedores</t>
  </si>
  <si>
    <t>Linha.</t>
  </si>
  <si>
    <t>Fornecedores.</t>
  </si>
  <si>
    <t>8.4.3 a).</t>
  </si>
  <si>
    <t>8.4.3 b).</t>
  </si>
  <si>
    <t>8.4.3 c).</t>
  </si>
  <si>
    <t>8.4.3 d).</t>
  </si>
  <si>
    <t>8.4.3 e).</t>
  </si>
  <si>
    <t>8.4.3 f).</t>
  </si>
  <si>
    <t>tbl_auditorias_forn</t>
  </si>
  <si>
    <t>Auditoria a fornecedor.</t>
  </si>
  <si>
    <t>Planeada.</t>
  </si>
  <si>
    <t>Realizada.</t>
  </si>
  <si>
    <t>Tipo.</t>
  </si>
  <si>
    <t>Motivo (risco).</t>
  </si>
  <si>
    <t>Estado.</t>
  </si>
  <si>
    <t>Lista lst_EstadoAud</t>
  </si>
  <si>
    <t>Resultado.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</si>
</sst>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#,##0.0"/>
  </numFmts>
  <fonts count="6" x14ac:knownFonts="1">
    <font>
      <sz val="11"/>
      <color theme="1"/>
      <name val="Calibri"/>
      <family val="2"/>
      <scheme val="minor"/>
    </font>
    <font>
      <b/>
      <sz val="14"/>
      <color rgb="FF0F2F3A"/>
      <name val="Arial"/>
    </font>
    <font>
      <i/>
      <sz val="10"/>
      <color rgb="FF4A5A60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DCEBEF"/>
      </patternFill>
    </fill>
  </fills>
  <borders count="2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5" fillId="5" borderId="0" xfId="0" applyFont="1" applyFill="1"/>
    <xf numFmtId="0" fontId="0" fillId="5" borderId="0" xfId="0" applyFill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49" fontId="4" fillId="0" borderId="1" xfId="0" applyNumberFormat="1" applyFont="1" applyBorder="1" applyAlignment="1">
      <alignment vertical="top" wrapText="1"/>
    </xf>
    <xf numFmtId="1" fontId="4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49" fontId="4" fillId="4" borderId="1" xfId="0" applyNumberFormat="1" applyFont="1" applyFill="1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  <xf numFmtId="165" fontId="4" fillId="4" borderId="1" xfId="0" applyNumberFormat="1" applyFont="1" applyFill="1" applyBorder="1" applyAlignment="1">
      <alignment vertical="top" wrapText="1"/>
    </xf>
    <xf numFmtId="1" fontId="4" fillId="4" borderId="1" xfId="0" applyNumberFormat="1" applyFont="1" applyFill="1" applyBorder="1" applyAlignment="1">
      <alignment vertical="top" wrapText="1"/>
    </xf>
    <xf numFmtId="166" fontId="4" fillId="4" borderId="1" xfId="0" applyNumberFormat="1" applyFont="1" applyFill="1" applyBorder="1" applyAlignment="1">
      <alignment vertical="top" wrapText="1"/>
    </xf>
    <xf numFmtId="9" fontId="4" fillId="0" borderId="1" xfId="0" applyNumberFormat="1" applyFont="1" applyBorder="1" applyAlignment="1">
      <alignment vertical="top" wrapText="1"/>
    </xf>
    <xf numFmtId="3" fontId="4" fillId="4" borderId="1" xfId="0" applyNumberFormat="1" applyFont="1" applyFill="1" applyBorder="1" applyAlignment="1">
      <alignment vertical="top" wrapText="1"/>
    </xf>
    <xf numFmtId="0" fontId="5" fillId="0" borderId="0" xfId="0" applyFont="1"/>
    <xf numFmtId="0" fontId="3" fillId="2" borderId="0" xfId="0" applyFont="1" applyFill="1" applyAlignment="1">
      <alignment horizontal="center" vertical="top" wrapText="1"/>
    </xf>
    <xf numFmtId="164" fontId="4" fillId="0" borderId="0" xfId="0" applyNumberFormat="1" applyFont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20"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fornecedores" displayName="tbl_fornecedores" ref="A4:P19">
  <autoFilter ref="A4:P19" xr:uid="{00000000-0009-0000-0100-000001000000}"/>
  <tableColumns count="16">
    <tableColumn id="1" xr3:uid="{00000000-0010-0000-0000-000001000000}" name="ID_Fornecedor"/>
    <tableColumn id="2" xr3:uid="{00000000-0010-0000-0000-000002000000}" name="Nome"/>
    <tableColumn id="3" xr3:uid="{00000000-0010-0000-0000-000003000000}" name="Pais"/>
    <tableColumn id="4" xr3:uid="{00000000-0010-0000-0000-000004000000}" name="Materiais"/>
    <tableColumn id="5" xr3:uid="{00000000-0010-0000-0000-000005000000}" name="Tipo"/>
    <tableColumn id="6" xr3:uid="{00000000-0010-0000-0000-000006000000}" name="Controlo_841"/>
    <tableColumn id="7" xr3:uid="{00000000-0010-0000-0000-000007000000}" name="Tipo_Controlo"/>
    <tableColumn id="8" xr3:uid="{00000000-0010-0000-0000-000008000000}" name="Extensao_Controlo"/>
    <tableColumn id="9" xr3:uid="{00000000-0010-0000-0000-000009000000}" name="Certificacao"/>
    <tableColumn id="10" xr3:uid="{00000000-0010-0000-0000-00000A000000}" name="Tipo_Contrato"/>
    <tableColumn id="11" xr3:uid="{00000000-0010-0000-0000-00000B000000}" name="Anos_Fornecedor"/>
    <tableColumn id="12" xr3:uid="{00000000-0010-0000-0000-00000C000000}" name="Estado_Aprovacao"/>
    <tableColumn id="13" xr3:uid="{00000000-0010-0000-0000-00000D000000}" name="Data_Aprovacao"/>
    <tableColumn id="14" xr3:uid="{00000000-0010-0000-0000-00000E000000}" name="Classe"/>
    <tableColumn id="15" xr3:uid="{00000000-0010-0000-0000-00000F000000}" name="Decisao"/>
    <tableColumn id="16" xr3:uid="{00000000-0010-0000-0000-000010000000}" name="Coerencia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desempenho_forn" displayName="tbl_desempenho_forn" ref="A1:L157">
  <autoFilter ref="A1:L157" xr:uid="{00000000-0009-0000-0100-000002000000}"/>
  <tableColumns count="12">
    <tableColumn id="1" xr3:uid="{00000000-0010-0000-0100-000001000000}" name="ID_Fornecedor"/>
    <tableColumn id="2" xr3:uid="{00000000-0010-0000-0100-000002000000}" name="Mes"/>
    <tableColumn id="3" xr3:uid="{00000000-0010-0000-0100-000003000000}" name="Mes_Num"/>
    <tableColumn id="4" xr3:uid="{00000000-0010-0000-0100-000004000000}" name="Lotes"/>
    <tableColumn id="5" xr3:uid="{00000000-0010-0000-0100-000005000000}" name="Aceites"/>
    <tableColumn id="6" xr3:uid="{00000000-0010-0000-0100-000006000000}" name="Derrogacao"/>
    <tableColumn id="7" xr3:uid="{00000000-0010-0000-0100-000007000000}" name="Rejeitados"/>
    <tableColumn id="8" xr3:uid="{00000000-0010-0000-0100-000008000000}" name="Kg_Recebidos"/>
    <tableColumn id="9" xr3:uid="{00000000-0010-0000-0100-000009000000}" name="SCAR"/>
    <tableColumn id="10" xr3:uid="{00000000-0010-0000-0100-00000A000000}" name="Dias_Resposta_Soma"/>
    <tableColumn id="11" xr3:uid="{00000000-0010-0000-0100-00000B000000}" name="SCAR_Resolvidas_30d"/>
    <tableColumn id="12" xr3:uid="{00000000-0010-0000-0100-00000C000000}" name="Pct_Aceites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avaliacao" displayName="tbl_avaliacao" ref="A4:W30">
  <autoFilter ref="A4:W30" xr:uid="{00000000-0009-0000-0100-000003000000}"/>
  <tableColumns count="23">
    <tableColumn id="1" xr3:uid="{00000000-0010-0000-0200-000001000000}" name="ID_Fornecedor"/>
    <tableColumn id="2" xr3:uid="{00000000-0010-0000-0200-000002000000}" name="Periodo"/>
    <tableColumn id="3" xr3:uid="{00000000-0010-0000-0200-000003000000}" name="Atual"/>
    <tableColumn id="4" xr3:uid="{00000000-0010-0000-0200-000004000000}" name="Chave"/>
    <tableColumn id="5" xr3:uid="{00000000-0010-0000-0200-000005000000}" name="Mes_Ini"/>
    <tableColumn id="6" xr3:uid="{00000000-0010-0000-0200-000006000000}" name="Mes_Fim"/>
    <tableColumn id="7" xr3:uid="{00000000-0010-0000-0200-000007000000}" name="Lotes"/>
    <tableColumn id="8" xr3:uid="{00000000-0010-0000-0200-000008000000}" name="Aceites"/>
    <tableColumn id="9" xr3:uid="{00000000-0010-0000-0200-000009000000}" name="Rejeitados"/>
    <tableColumn id="10" xr3:uid="{00000000-0010-0000-0200-00000A000000}" name="SCAR"/>
    <tableColumn id="11" xr3:uid="{00000000-0010-0000-0200-00000B000000}" name="Dias_Resposta_Medio"/>
    <tableColumn id="12" xr3:uid="{00000000-0010-0000-0200-00000C000000}" name="Resolvidas_30d"/>
    <tableColumn id="13" xr3:uid="{00000000-0010-0000-0200-00000D000000}" name="Pontos_Certificacao"/>
    <tableColumn id="14" xr3:uid="{00000000-0010-0000-0200-00000E000000}" name="OTIF_Fornecedor"/>
    <tableColumn id="15" xr3:uid="{00000000-0010-0000-0200-00000F000000}" name="C1_Qualidade"/>
    <tableColumn id="16" xr3:uid="{00000000-0010-0000-0200-000010000000}" name="C2_Rejeicao"/>
    <tableColumn id="17" xr3:uid="{00000000-0010-0000-0200-000011000000}" name="C3_Resposta"/>
    <tableColumn id="18" xr3:uid="{00000000-0010-0000-0200-000012000000}" name="C4_Resolucao"/>
    <tableColumn id="19" xr3:uid="{00000000-0010-0000-0200-000013000000}" name="C5_Certificacao"/>
    <tableColumn id="20" xr3:uid="{00000000-0010-0000-0200-000014000000}" name="C6_Entrega"/>
    <tableColumn id="21" xr3:uid="{00000000-0010-0000-0200-000015000000}" name="Pontuacao"/>
    <tableColumn id="22" xr3:uid="{00000000-0010-0000-0200-000016000000}" name="Classe"/>
    <tableColumn id="23" xr3:uid="{00000000-0010-0000-0200-000017000000}" name="Decisao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scar" displayName="tbl_scar" ref="A1:M81">
  <autoFilter ref="A1:M81" xr:uid="{00000000-0009-0000-0100-000004000000}"/>
  <tableColumns count="13">
    <tableColumn id="1" xr3:uid="{00000000-0010-0000-0300-000001000000}" name="ID_SCAR"/>
    <tableColumn id="2" xr3:uid="{00000000-0010-0000-0300-000002000000}" name="Data"/>
    <tableColumn id="3" xr3:uid="{00000000-0010-0000-0300-000003000000}" name="ID_Fornecedor"/>
    <tableColumn id="4" xr3:uid="{00000000-0010-0000-0300-000004000000}" name="Material"/>
    <tableColumn id="5" xr3:uid="{00000000-0010-0000-0300-000005000000}" name="Lote_MP"/>
    <tableColumn id="6" xr3:uid="{00000000-0010-0000-0300-000006000000}" name="Encomenda"/>
    <tableColumn id="7" xr3:uid="{00000000-0010-0000-0300-000007000000}" name="Problema"/>
    <tableColumn id="8" xr3:uid="{00000000-0010-0000-0300-000008000000}" name="Pedido_8D"/>
    <tableColumn id="9" xr3:uid="{00000000-0010-0000-0300-000009000000}" name="Contencao"/>
    <tableColumn id="10" xr3:uid="{00000000-0010-0000-0300-00000A000000}" name="Data_Resposta"/>
    <tableColumn id="11" xr3:uid="{00000000-0010-0000-0300-00000B000000}" name="Data_Resolucao"/>
    <tableColumn id="12" xr3:uid="{00000000-0010-0000-0300-00000C000000}" name="Dias_Resposta"/>
    <tableColumn id="13" xr3:uid="{00000000-0010-0000-0300-00000D000000}" name="Estado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info_fornecedores" displayName="tbl_info_fornecedores" ref="A1:H6">
  <autoFilter ref="A1:H6" xr:uid="{00000000-0009-0000-0100-000005000000}"/>
  <tableColumns count="8">
    <tableColumn id="1" xr3:uid="{00000000-0010-0000-0400-000001000000}" name="ID"/>
    <tableColumn id="2" xr3:uid="{00000000-0010-0000-0400-000002000000}" name="Aplica_a"/>
    <tableColumn id="3" xr3:uid="{00000000-0010-0000-0400-000003000000}" name="a_Processos_Produtos"/>
    <tableColumn id="4" xr3:uid="{00000000-0010-0000-0400-000004000000}" name="b_Aprovacoes"/>
    <tableColumn id="5" xr3:uid="{00000000-0010-0000-0400-000005000000}" name="c_Competencia"/>
    <tableColumn id="6" xr3:uid="{00000000-0010-0000-0400-000006000000}" name="d_Interacoes"/>
    <tableColumn id="7" xr3:uid="{00000000-0010-0000-0400-000007000000}" name="e_Controlo_Desempenho"/>
    <tableColumn id="8" xr3:uid="{00000000-0010-0000-0400-000008000000}" name="f_Verificacao_Local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auditorias_forn" displayName="tbl_auditorias_forn" ref="A1:H6">
  <autoFilter ref="A1:H6" xr:uid="{00000000-0009-0000-0100-000006000000}"/>
  <tableColumns count="8">
    <tableColumn id="1" xr3:uid="{00000000-0010-0000-0500-000001000000}" name="ID_Auditoria"/>
    <tableColumn id="2" xr3:uid="{00000000-0010-0000-0500-000002000000}" name="ID_Fornecedor"/>
    <tableColumn id="3" xr3:uid="{00000000-0010-0000-0500-000003000000}" name="Data_Planeada"/>
    <tableColumn id="4" xr3:uid="{00000000-0010-0000-0500-000004000000}" name="Data_Real"/>
    <tableColumn id="5" xr3:uid="{00000000-0010-0000-0500-000005000000}" name="Tipo"/>
    <tableColumn id="6" xr3:uid="{00000000-0010-0000-0500-000006000000}" name="Motivo"/>
    <tableColumn id="7" xr3:uid="{00000000-0010-0000-0500-000007000000}" name="Estado"/>
    <tableColumn id="8" xr3:uid="{00000000-0010-0000-0500-000008000000}" name="Resultado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dicionario" displayName="tbl_dicionario" ref="A1:I81">
  <autoFilter ref="A1:I81" xr:uid="{00000000-0009-0000-0100-000007000000}"/>
  <tableColumns count="9">
    <tableColumn id="1" xr3:uid="{00000000-0010-0000-0600-000001000000}" name="Folha"/>
    <tableColumn id="2" xr3:uid="{00000000-0010-0000-0600-000002000000}" name="Tabela"/>
    <tableColumn id="3" xr3:uid="{00000000-0010-0000-0600-000003000000}" name="Coluna"/>
    <tableColumn id="4" xr3:uid="{00000000-0010-0000-0600-000004000000}" name="Tipo"/>
    <tableColumn id="5" xr3:uid="{00000000-0010-0000-0600-000005000000}" name="Origem"/>
    <tableColumn id="6" xr3:uid="{00000000-0010-0000-0600-000006000000}" name="Descricao"/>
    <tableColumn id="7" xr3:uid="{00000000-0010-0000-0600-000007000000}" name="Dominio_Unidade"/>
    <tableColumn id="8" xr3:uid="{00000000-0010-0000-0600-000008000000}" name="Obrigatorio"/>
    <tableColumn id="9" xr3:uid="{00000000-0010-0000-06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47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39.6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39.6" x14ac:dyDescent="0.3">
      <c r="A16" s="5" t="s">
        <v>21</v>
      </c>
      <c r="B16" s="6" t="s">
        <v>22</v>
      </c>
    </row>
    <row r="17" spans="1:2" ht="26.4" x14ac:dyDescent="0.3">
      <c r="A17" s="5" t="s">
        <v>23</v>
      </c>
      <c r="B17" s="6" t="s">
        <v>24</v>
      </c>
    </row>
    <row r="18" spans="1:2" ht="26.4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ht="39.6" x14ac:dyDescent="0.3">
      <c r="A21" s="5" t="s">
        <v>28</v>
      </c>
      <c r="B21" s="6" t="s">
        <v>29</v>
      </c>
    </row>
    <row r="22" spans="1:2" ht="39.6" x14ac:dyDescent="0.3">
      <c r="A22" s="5" t="s">
        <v>30</v>
      </c>
      <c r="B22" s="6" t="s">
        <v>31</v>
      </c>
    </row>
    <row r="23" spans="1:2" ht="26.4" x14ac:dyDescent="0.3">
      <c r="A23" s="5" t="s">
        <v>32</v>
      </c>
      <c r="B23" s="6" t="s">
        <v>33</v>
      </c>
    </row>
    <row r="24" spans="1:2" ht="26.4" x14ac:dyDescent="0.3">
      <c r="A24" s="5" t="s">
        <v>34</v>
      </c>
      <c r="B24" s="6" t="s">
        <v>35</v>
      </c>
    </row>
    <row r="26" spans="1:2" x14ac:dyDescent="0.3">
      <c r="A26" s="3" t="s">
        <v>36</v>
      </c>
      <c r="B26" s="4"/>
    </row>
    <row r="27" spans="1:2" x14ac:dyDescent="0.3">
      <c r="A27" s="5" t="s">
        <v>37</v>
      </c>
      <c r="B27" s="6" t="s">
        <v>38</v>
      </c>
    </row>
    <row r="28" spans="1:2" x14ac:dyDescent="0.3">
      <c r="A28" s="5" t="s">
        <v>39</v>
      </c>
      <c r="B28" s="6" t="s">
        <v>40</v>
      </c>
    </row>
    <row r="29" spans="1:2" x14ac:dyDescent="0.3">
      <c r="A29" s="5" t="s">
        <v>41</v>
      </c>
      <c r="B29" s="6" t="s">
        <v>42</v>
      </c>
    </row>
    <row r="30" spans="1:2" x14ac:dyDescent="0.3">
      <c r="A30" s="5" t="s">
        <v>43</v>
      </c>
      <c r="B30" s="6" t="s">
        <v>44</v>
      </c>
    </row>
    <row r="31" spans="1:2" x14ac:dyDescent="0.3">
      <c r="A31" s="5" t="s">
        <v>45</v>
      </c>
      <c r="B31" s="6" t="s">
        <v>46</v>
      </c>
    </row>
    <row r="32" spans="1:2" x14ac:dyDescent="0.3">
      <c r="A32" s="5" t="s">
        <v>47</v>
      </c>
      <c r="B32" s="6" t="s">
        <v>48</v>
      </c>
    </row>
    <row r="33" spans="1:2" x14ac:dyDescent="0.3">
      <c r="A33" s="5" t="s">
        <v>49</v>
      </c>
      <c r="B33" s="6" t="s">
        <v>50</v>
      </c>
    </row>
    <row r="34" spans="1:2" x14ac:dyDescent="0.3">
      <c r="A34" s="5" t="s">
        <v>51</v>
      </c>
      <c r="B34" s="6" t="s">
        <v>52</v>
      </c>
    </row>
    <row r="36" spans="1:2" x14ac:dyDescent="0.3">
      <c r="A36" s="3" t="s">
        <v>53</v>
      </c>
      <c r="B36" s="4"/>
    </row>
    <row r="37" spans="1:2" ht="26.4" x14ac:dyDescent="0.3">
      <c r="A37" s="5" t="s">
        <v>54</v>
      </c>
      <c r="B37" s="6" t="s">
        <v>55</v>
      </c>
    </row>
    <row r="38" spans="1:2" x14ac:dyDescent="0.3">
      <c r="A38" s="5" t="s">
        <v>56</v>
      </c>
      <c r="B38" s="6" t="s">
        <v>57</v>
      </c>
    </row>
    <row r="39" spans="1:2" x14ac:dyDescent="0.3">
      <c r="A39" s="5" t="s">
        <v>58</v>
      </c>
      <c r="B39" s="6" t="s">
        <v>59</v>
      </c>
    </row>
    <row r="40" spans="1:2" ht="26.4" x14ac:dyDescent="0.3">
      <c r="A40" s="5" t="s">
        <v>60</v>
      </c>
      <c r="B40" s="6" t="s">
        <v>61</v>
      </c>
    </row>
    <row r="41" spans="1:2" ht="26.4" x14ac:dyDescent="0.3">
      <c r="A41" s="5" t="s">
        <v>62</v>
      </c>
      <c r="B41" s="6" t="s">
        <v>63</v>
      </c>
    </row>
    <row r="42" spans="1:2" ht="39.6" x14ac:dyDescent="0.3">
      <c r="A42" s="5" t="s">
        <v>64</v>
      </c>
      <c r="B42" s="6" t="s">
        <v>65</v>
      </c>
    </row>
    <row r="44" spans="1:2" x14ac:dyDescent="0.3">
      <c r="A44" s="3" t="s">
        <v>66</v>
      </c>
      <c r="B44" s="4"/>
    </row>
    <row r="45" spans="1:2" x14ac:dyDescent="0.3">
      <c r="A45" s="5" t="s">
        <v>67</v>
      </c>
      <c r="B45" s="6" t="s">
        <v>68</v>
      </c>
    </row>
    <row r="46" spans="1:2" x14ac:dyDescent="0.3">
      <c r="A46" s="5" t="s">
        <v>69</v>
      </c>
      <c r="B46" s="6" t="s">
        <v>70</v>
      </c>
    </row>
    <row r="47" spans="1:2" x14ac:dyDescent="0.3">
      <c r="A47" s="5" t="s">
        <v>71</v>
      </c>
      <c r="B47" s="6" t="s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9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2" width="34" customWidth="1"/>
    <col min="3" max="3" width="12" customWidth="1"/>
    <col min="4" max="4" width="30" customWidth="1"/>
    <col min="5" max="5" width="8" customWidth="1"/>
    <col min="6" max="6" width="26" customWidth="1"/>
    <col min="7" max="8" width="40" customWidth="1"/>
    <col min="9" max="9" width="22" customWidth="1"/>
    <col min="10" max="10" width="16" customWidth="1"/>
    <col min="11" max="11" width="7" customWidth="1"/>
    <col min="12" max="12" width="14" customWidth="1"/>
    <col min="13" max="13" width="11" customWidth="1"/>
    <col min="14" max="14" width="8" customWidth="1"/>
    <col min="15" max="15" width="18" customWidth="1"/>
    <col min="16" max="16" width="16" customWidth="1"/>
  </cols>
  <sheetData>
    <row r="1" spans="1:16" ht="17.399999999999999" x14ac:dyDescent="0.3">
      <c r="A1" s="1" t="s">
        <v>73</v>
      </c>
    </row>
    <row r="2" spans="1:16" x14ac:dyDescent="0.3">
      <c r="A2" s="2" t="s">
        <v>74</v>
      </c>
    </row>
    <row r="4" spans="1:16" ht="39.6" x14ac:dyDescent="0.3">
      <c r="A4" s="8" t="s">
        <v>75</v>
      </c>
      <c r="B4" s="8" t="s">
        <v>76</v>
      </c>
      <c r="C4" s="8" t="s">
        <v>77</v>
      </c>
      <c r="D4" s="8" t="s">
        <v>78</v>
      </c>
      <c r="E4" s="8" t="s">
        <v>79</v>
      </c>
      <c r="F4" s="8" t="s">
        <v>80</v>
      </c>
      <c r="G4" s="8" t="s">
        <v>81</v>
      </c>
      <c r="H4" s="8" t="s">
        <v>82</v>
      </c>
      <c r="I4" s="8" t="s">
        <v>83</v>
      </c>
      <c r="J4" s="8" t="s">
        <v>84</v>
      </c>
      <c r="K4" s="8" t="s">
        <v>85</v>
      </c>
      <c r="L4" s="8" t="s">
        <v>86</v>
      </c>
      <c r="M4" s="8" t="s">
        <v>87</v>
      </c>
      <c r="N4" s="9" t="s">
        <v>88</v>
      </c>
      <c r="O4" s="9" t="s">
        <v>89</v>
      </c>
      <c r="P4" s="9" t="s">
        <v>90</v>
      </c>
    </row>
    <row r="5" spans="1:16" ht="45" customHeight="1" x14ac:dyDescent="0.3">
      <c r="A5" s="10" t="s">
        <v>91</v>
      </c>
      <c r="B5" s="10" t="s">
        <v>92</v>
      </c>
      <c r="C5" s="10" t="s">
        <v>93</v>
      </c>
      <c r="D5" s="10" t="s">
        <v>94</v>
      </c>
      <c r="E5" s="10" t="s">
        <v>95</v>
      </c>
      <c r="F5" s="10" t="s">
        <v>96</v>
      </c>
      <c r="G5" s="10" t="s">
        <v>97</v>
      </c>
      <c r="H5" s="10" t="s">
        <v>98</v>
      </c>
      <c r="I5" s="10" t="s">
        <v>99</v>
      </c>
      <c r="J5" s="10" t="s">
        <v>100</v>
      </c>
      <c r="K5" s="11">
        <v>12</v>
      </c>
      <c r="L5" s="10" t="s">
        <v>101</v>
      </c>
      <c r="M5" s="12">
        <v>42430</v>
      </c>
      <c r="N5" s="13" t="str">
        <f>IFERROR(INDEX(tbl_avaliacao[Classe],MATCH(A5&amp;"|ATUAL",tbl_avaliacao[Chave],0)),"—")</f>
        <v>B</v>
      </c>
      <c r="O5" s="13" t="str">
        <f>IFERROR(INDEX(tbl_avaliacao[Decisao],MATCH(A5&amp;"|ATUAL",tbl_avaliacao[Chave],0)),"Avaliação qualitativa")</f>
        <v>Manter + plano</v>
      </c>
      <c r="P5" s="13" t="str">
        <f t="shared" ref="P5:P19" si="0">IF(A5="","",IF(AND(O5="Suspender",L5="Aprovado"),"Rever estado",IF(AND(N5="C",L5="Aprovado"),"Rever estado","OK")))</f>
        <v>OK</v>
      </c>
    </row>
    <row r="6" spans="1:16" ht="45" customHeight="1" x14ac:dyDescent="0.3">
      <c r="A6" s="10" t="s">
        <v>102</v>
      </c>
      <c r="B6" s="10" t="s">
        <v>103</v>
      </c>
      <c r="C6" s="10" t="s">
        <v>104</v>
      </c>
      <c r="D6" s="10" t="s">
        <v>105</v>
      </c>
      <c r="E6" s="10" t="s">
        <v>95</v>
      </c>
      <c r="F6" s="10" t="s">
        <v>96</v>
      </c>
      <c r="G6" s="10" t="s">
        <v>97</v>
      </c>
      <c r="H6" s="10" t="s">
        <v>98</v>
      </c>
      <c r="I6" s="10" t="s">
        <v>106</v>
      </c>
      <c r="J6" s="10" t="s">
        <v>100</v>
      </c>
      <c r="K6" s="11">
        <v>17</v>
      </c>
      <c r="L6" s="10" t="s">
        <v>101</v>
      </c>
      <c r="M6" s="12">
        <v>42430</v>
      </c>
      <c r="N6" s="13" t="str">
        <f>IFERROR(INDEX(tbl_avaliacao[Classe],MATCH(A6&amp;"|ATUAL",tbl_avaliacao[Chave],0)),"—")</f>
        <v>B</v>
      </c>
      <c r="O6" s="13" t="str">
        <f>IFERROR(INDEX(tbl_avaliacao[Decisao],MATCH(A6&amp;"|ATUAL",tbl_avaliacao[Chave],0)),"Avaliação qualitativa")</f>
        <v>Manter + plano</v>
      </c>
      <c r="P6" s="13" t="str">
        <f t="shared" si="0"/>
        <v>OK</v>
      </c>
    </row>
    <row r="7" spans="1:16" ht="45" customHeight="1" x14ac:dyDescent="0.3">
      <c r="A7" s="10" t="s">
        <v>107</v>
      </c>
      <c r="B7" s="10" t="s">
        <v>108</v>
      </c>
      <c r="C7" s="10" t="s">
        <v>93</v>
      </c>
      <c r="D7" s="10" t="s">
        <v>109</v>
      </c>
      <c r="E7" s="10" t="s">
        <v>95</v>
      </c>
      <c r="F7" s="10" t="s">
        <v>96</v>
      </c>
      <c r="G7" s="10" t="s">
        <v>97</v>
      </c>
      <c r="H7" s="10" t="s">
        <v>98</v>
      </c>
      <c r="I7" s="10" t="s">
        <v>99</v>
      </c>
      <c r="J7" s="10" t="s">
        <v>100</v>
      </c>
      <c r="K7" s="11">
        <v>19</v>
      </c>
      <c r="L7" s="10" t="s">
        <v>101</v>
      </c>
      <c r="M7" s="12">
        <v>42430</v>
      </c>
      <c r="N7" s="13" t="str">
        <f>IFERROR(INDEX(tbl_avaliacao[Classe],MATCH(A7&amp;"|ATUAL",tbl_avaliacao[Chave],0)),"—")</f>
        <v>A</v>
      </c>
      <c r="O7" s="13" t="str">
        <f>IFERROR(INDEX(tbl_avaliacao[Decisao],MATCH(A7&amp;"|ATUAL",tbl_avaliacao[Chave],0)),"Avaliação qualitativa")</f>
        <v>Manter</v>
      </c>
      <c r="P7" s="13" t="str">
        <f t="shared" si="0"/>
        <v>OK</v>
      </c>
    </row>
    <row r="8" spans="1:16" ht="45" customHeight="1" x14ac:dyDescent="0.3">
      <c r="A8" s="10" t="s">
        <v>110</v>
      </c>
      <c r="B8" s="10" t="s">
        <v>111</v>
      </c>
      <c r="C8" s="10" t="s">
        <v>112</v>
      </c>
      <c r="D8" s="10" t="s">
        <v>113</v>
      </c>
      <c r="E8" s="10" t="s">
        <v>95</v>
      </c>
      <c r="F8" s="10" t="s">
        <v>96</v>
      </c>
      <c r="G8" s="10" t="s">
        <v>97</v>
      </c>
      <c r="H8" s="10" t="s">
        <v>98</v>
      </c>
      <c r="I8" s="10" t="s">
        <v>114</v>
      </c>
      <c r="J8" s="10" t="s">
        <v>100</v>
      </c>
      <c r="K8" s="11">
        <v>15</v>
      </c>
      <c r="L8" s="10" t="s">
        <v>101</v>
      </c>
      <c r="M8" s="12">
        <v>42430</v>
      </c>
      <c r="N8" s="13" t="str">
        <f>IFERROR(INDEX(tbl_avaliacao[Classe],MATCH(A8&amp;"|ATUAL",tbl_avaliacao[Chave],0)),"—")</f>
        <v>C</v>
      </c>
      <c r="O8" s="13" t="str">
        <f>IFERROR(INDEX(tbl_avaliacao[Decisao],MATCH(A8&amp;"|ATUAL",tbl_avaliacao[Chave],0)),"Avaliação qualitativa")</f>
        <v>Aprovação condicional</v>
      </c>
      <c r="P8" s="13" t="str">
        <f t="shared" si="0"/>
        <v>Rever estado</v>
      </c>
    </row>
    <row r="9" spans="1:16" ht="45" customHeight="1" x14ac:dyDescent="0.3">
      <c r="A9" s="10" t="s">
        <v>115</v>
      </c>
      <c r="B9" s="10" t="s">
        <v>116</v>
      </c>
      <c r="C9" s="10" t="s">
        <v>117</v>
      </c>
      <c r="D9" s="10" t="s">
        <v>118</v>
      </c>
      <c r="E9" s="10" t="s">
        <v>95</v>
      </c>
      <c r="F9" s="10" t="s">
        <v>96</v>
      </c>
      <c r="G9" s="10" t="s">
        <v>97</v>
      </c>
      <c r="H9" s="10" t="s">
        <v>98</v>
      </c>
      <c r="I9" s="10" t="s">
        <v>119</v>
      </c>
      <c r="J9" s="10" t="s">
        <v>120</v>
      </c>
      <c r="K9" s="11">
        <v>4</v>
      </c>
      <c r="L9" s="10" t="s">
        <v>121</v>
      </c>
      <c r="M9" s="12">
        <v>44621</v>
      </c>
      <c r="N9" s="13" t="str">
        <f>IFERROR(INDEX(tbl_avaliacao[Classe],MATCH(A9&amp;"|ATUAL",tbl_avaliacao[Chave],0)),"—")</f>
        <v>D</v>
      </c>
      <c r="O9" s="13" t="str">
        <f>IFERROR(INDEX(tbl_avaliacao[Decisao],MATCH(A9&amp;"|ATUAL",tbl_avaliacao[Chave],0)),"Avaliação qualitativa")</f>
        <v>Suspender</v>
      </c>
      <c r="P9" s="13" t="str">
        <f t="shared" si="0"/>
        <v>OK</v>
      </c>
    </row>
    <row r="10" spans="1:16" ht="45" customHeight="1" x14ac:dyDescent="0.3">
      <c r="A10" s="10" t="s">
        <v>122</v>
      </c>
      <c r="B10" s="10" t="s">
        <v>123</v>
      </c>
      <c r="C10" s="10" t="s">
        <v>124</v>
      </c>
      <c r="D10" s="10" t="s">
        <v>125</v>
      </c>
      <c r="E10" s="10" t="s">
        <v>95</v>
      </c>
      <c r="F10" s="10" t="s">
        <v>96</v>
      </c>
      <c r="G10" s="10" t="s">
        <v>97</v>
      </c>
      <c r="H10" s="10" t="s">
        <v>98</v>
      </c>
      <c r="I10" s="10" t="s">
        <v>106</v>
      </c>
      <c r="J10" s="10" t="s">
        <v>126</v>
      </c>
      <c r="K10" s="11">
        <v>7</v>
      </c>
      <c r="L10" s="10" t="s">
        <v>101</v>
      </c>
      <c r="M10" s="12">
        <v>43525</v>
      </c>
      <c r="N10" s="13" t="str">
        <f>IFERROR(INDEX(tbl_avaliacao[Classe],MATCH(A10&amp;"|ATUAL",tbl_avaliacao[Chave],0)),"—")</f>
        <v>C</v>
      </c>
      <c r="O10" s="13" t="str">
        <f>IFERROR(INDEX(tbl_avaliacao[Decisao],MATCH(A10&amp;"|ATUAL",tbl_avaliacao[Chave],0)),"Avaliação qualitativa")</f>
        <v>Aprovação condicional</v>
      </c>
      <c r="P10" s="13" t="str">
        <f t="shared" si="0"/>
        <v>Rever estado</v>
      </c>
    </row>
    <row r="11" spans="1:16" ht="45" customHeight="1" x14ac:dyDescent="0.3">
      <c r="A11" s="10" t="s">
        <v>127</v>
      </c>
      <c r="B11" s="10" t="s">
        <v>128</v>
      </c>
      <c r="C11" s="10" t="s">
        <v>129</v>
      </c>
      <c r="D11" s="10" t="s">
        <v>130</v>
      </c>
      <c r="E11" s="10" t="s">
        <v>95</v>
      </c>
      <c r="F11" s="10" t="s">
        <v>96</v>
      </c>
      <c r="G11" s="10" t="s">
        <v>97</v>
      </c>
      <c r="H11" s="10" t="s">
        <v>98</v>
      </c>
      <c r="I11" s="10" t="s">
        <v>99</v>
      </c>
      <c r="J11" s="10" t="s">
        <v>100</v>
      </c>
      <c r="K11" s="11">
        <v>16</v>
      </c>
      <c r="L11" s="10" t="s">
        <v>101</v>
      </c>
      <c r="M11" s="12">
        <v>42430</v>
      </c>
      <c r="N11" s="13" t="str">
        <f>IFERROR(INDEX(tbl_avaliacao[Classe],MATCH(A11&amp;"|ATUAL",tbl_avaliacao[Chave],0)),"—")</f>
        <v>A</v>
      </c>
      <c r="O11" s="13" t="str">
        <f>IFERROR(INDEX(tbl_avaliacao[Decisao],MATCH(A11&amp;"|ATUAL",tbl_avaliacao[Chave],0)),"Avaliação qualitativa")</f>
        <v>Manter</v>
      </c>
      <c r="P11" s="13" t="str">
        <f t="shared" si="0"/>
        <v>OK</v>
      </c>
    </row>
    <row r="12" spans="1:16" ht="45" customHeight="1" x14ac:dyDescent="0.3">
      <c r="A12" s="10" t="s">
        <v>131</v>
      </c>
      <c r="B12" s="10" t="s">
        <v>132</v>
      </c>
      <c r="C12" s="10" t="s">
        <v>133</v>
      </c>
      <c r="D12" s="10" t="s">
        <v>134</v>
      </c>
      <c r="E12" s="10" t="s">
        <v>95</v>
      </c>
      <c r="F12" s="10" t="s">
        <v>96</v>
      </c>
      <c r="G12" s="10" t="s">
        <v>97</v>
      </c>
      <c r="H12" s="10" t="s">
        <v>98</v>
      </c>
      <c r="I12" s="10" t="s">
        <v>99</v>
      </c>
      <c r="J12" s="10" t="s">
        <v>126</v>
      </c>
      <c r="K12" s="11">
        <v>6</v>
      </c>
      <c r="L12" s="10" t="s">
        <v>101</v>
      </c>
      <c r="M12" s="12">
        <v>43891</v>
      </c>
      <c r="N12" s="13" t="str">
        <f>IFERROR(INDEX(tbl_avaliacao[Classe],MATCH(A12&amp;"|ATUAL",tbl_avaliacao[Chave],0)),"—")</f>
        <v>B</v>
      </c>
      <c r="O12" s="13" t="str">
        <f>IFERROR(INDEX(tbl_avaliacao[Decisao],MATCH(A12&amp;"|ATUAL",tbl_avaliacao[Chave],0)),"Avaliação qualitativa")</f>
        <v>Manter + plano</v>
      </c>
      <c r="P12" s="13" t="str">
        <f t="shared" si="0"/>
        <v>OK</v>
      </c>
    </row>
    <row r="13" spans="1:16" ht="45" customHeight="1" x14ac:dyDescent="0.3">
      <c r="A13" s="10" t="s">
        <v>135</v>
      </c>
      <c r="B13" s="10" t="s">
        <v>136</v>
      </c>
      <c r="C13" s="10" t="s">
        <v>137</v>
      </c>
      <c r="D13" s="10" t="s">
        <v>138</v>
      </c>
      <c r="E13" s="10" t="s">
        <v>95</v>
      </c>
      <c r="F13" s="10" t="s">
        <v>96</v>
      </c>
      <c r="G13" s="10" t="s">
        <v>97</v>
      </c>
      <c r="H13" s="10" t="s">
        <v>98</v>
      </c>
      <c r="I13" s="10" t="s">
        <v>139</v>
      </c>
      <c r="J13" s="10" t="s">
        <v>120</v>
      </c>
      <c r="K13" s="11">
        <v>1</v>
      </c>
      <c r="L13" s="10" t="s">
        <v>121</v>
      </c>
      <c r="M13" s="12">
        <v>46127</v>
      </c>
      <c r="N13" s="13" t="str">
        <f>IFERROR(INDEX(tbl_avaliacao[Classe],MATCH(A13&amp;"|ATUAL",tbl_avaliacao[Chave],0)),"—")</f>
        <v>D</v>
      </c>
      <c r="O13" s="13" t="str">
        <f>IFERROR(INDEX(tbl_avaliacao[Decisao],MATCH(A13&amp;"|ATUAL",tbl_avaliacao[Chave],0)),"Avaliação qualitativa")</f>
        <v>Em qualificação (amostra &lt; 15 lotes)</v>
      </c>
      <c r="P13" s="13" t="str">
        <f t="shared" si="0"/>
        <v>OK</v>
      </c>
    </row>
    <row r="14" spans="1:16" ht="45" customHeight="1" x14ac:dyDescent="0.3">
      <c r="A14" s="10" t="s">
        <v>140</v>
      </c>
      <c r="B14" s="10" t="s">
        <v>141</v>
      </c>
      <c r="C14" s="10" t="s">
        <v>129</v>
      </c>
      <c r="D14" s="10" t="s">
        <v>142</v>
      </c>
      <c r="E14" s="10" t="s">
        <v>95</v>
      </c>
      <c r="F14" s="10" t="s">
        <v>96</v>
      </c>
      <c r="G14" s="10" t="s">
        <v>97</v>
      </c>
      <c r="H14" s="10" t="s">
        <v>98</v>
      </c>
      <c r="I14" s="10" t="s">
        <v>143</v>
      </c>
      <c r="J14" s="10" t="s">
        <v>100</v>
      </c>
      <c r="K14" s="11">
        <v>1</v>
      </c>
      <c r="L14" s="10" t="s">
        <v>101</v>
      </c>
      <c r="M14" s="12">
        <v>46127</v>
      </c>
      <c r="N14" s="13" t="str">
        <f>IFERROR(INDEX(tbl_avaliacao[Classe],MATCH(A14&amp;"|ATUAL",tbl_avaliacao[Chave],0)),"—")</f>
        <v>D</v>
      </c>
      <c r="O14" s="13" t="str">
        <f>IFERROR(INDEX(tbl_avaliacao[Decisao],MATCH(A14&amp;"|ATUAL",tbl_avaliacao[Chave],0)),"Avaliação qualitativa")</f>
        <v>Em qualificação (amostra &lt; 15 lotes)</v>
      </c>
      <c r="P14" s="13" t="str">
        <f t="shared" si="0"/>
        <v>OK</v>
      </c>
    </row>
    <row r="15" spans="1:16" ht="45" customHeight="1" x14ac:dyDescent="0.3">
      <c r="A15" s="10" t="s">
        <v>144</v>
      </c>
      <c r="B15" s="10" t="s">
        <v>145</v>
      </c>
      <c r="C15" s="10" t="s">
        <v>133</v>
      </c>
      <c r="D15" s="10" t="s">
        <v>146</v>
      </c>
      <c r="E15" s="10" t="s">
        <v>147</v>
      </c>
      <c r="F15" s="10" t="s">
        <v>148</v>
      </c>
      <c r="G15" s="10" t="s">
        <v>149</v>
      </c>
      <c r="H15" s="10" t="s">
        <v>150</v>
      </c>
      <c r="I15" s="10" t="s">
        <v>151</v>
      </c>
      <c r="J15" s="10" t="s">
        <v>152</v>
      </c>
      <c r="K15" s="11">
        <v>5</v>
      </c>
      <c r="L15" s="10" t="s">
        <v>101</v>
      </c>
      <c r="M15" s="12">
        <v>45306</v>
      </c>
      <c r="N15" s="13" t="str">
        <f>IFERROR(INDEX(tbl_avaliacao[Classe],MATCH(A15&amp;"|ATUAL",tbl_avaliacao[Chave],0)),"—")</f>
        <v>—</v>
      </c>
      <c r="O15" s="13" t="str">
        <f>IFERROR(INDEX(tbl_avaliacao[Decisao],MATCH(A15&amp;"|ATUAL",tbl_avaliacao[Chave],0)),"Avaliação qualitativa")</f>
        <v>Avaliação qualitativa</v>
      </c>
      <c r="P15" s="13" t="str">
        <f t="shared" si="0"/>
        <v>OK</v>
      </c>
    </row>
    <row r="16" spans="1:16" ht="45" customHeight="1" x14ac:dyDescent="0.3">
      <c r="A16" s="10" t="s">
        <v>153</v>
      </c>
      <c r="B16" s="10" t="s">
        <v>154</v>
      </c>
      <c r="C16" s="10" t="s">
        <v>155</v>
      </c>
      <c r="D16" s="10" t="s">
        <v>156</v>
      </c>
      <c r="E16" s="10" t="s">
        <v>147</v>
      </c>
      <c r="F16" s="10" t="s">
        <v>148</v>
      </c>
      <c r="G16" s="10" t="s">
        <v>157</v>
      </c>
      <c r="H16" s="10" t="s">
        <v>158</v>
      </c>
      <c r="I16" s="10" t="s">
        <v>151</v>
      </c>
      <c r="J16" s="10" t="s">
        <v>152</v>
      </c>
      <c r="K16" s="11">
        <v>5</v>
      </c>
      <c r="L16" s="10" t="s">
        <v>101</v>
      </c>
      <c r="M16" s="12">
        <v>45306</v>
      </c>
      <c r="N16" s="13" t="str">
        <f>IFERROR(INDEX(tbl_avaliacao[Classe],MATCH(A16&amp;"|ATUAL",tbl_avaliacao[Chave],0)),"—")</f>
        <v>—</v>
      </c>
      <c r="O16" s="13" t="str">
        <f>IFERROR(INDEX(tbl_avaliacao[Decisao],MATCH(A16&amp;"|ATUAL",tbl_avaliacao[Chave],0)),"Avaliação qualitativa")</f>
        <v>Avaliação qualitativa</v>
      </c>
      <c r="P16" s="13" t="str">
        <f t="shared" si="0"/>
        <v>OK</v>
      </c>
    </row>
    <row r="17" spans="1:16" ht="45" customHeight="1" x14ac:dyDescent="0.3">
      <c r="A17" s="10" t="s">
        <v>159</v>
      </c>
      <c r="B17" s="10" t="s">
        <v>160</v>
      </c>
      <c r="C17" s="10" t="s">
        <v>161</v>
      </c>
      <c r="D17" s="10" t="s">
        <v>162</v>
      </c>
      <c r="E17" s="10" t="s">
        <v>147</v>
      </c>
      <c r="F17" s="10" t="s">
        <v>148</v>
      </c>
      <c r="G17" s="10" t="s">
        <v>163</v>
      </c>
      <c r="H17" s="10" t="s">
        <v>164</v>
      </c>
      <c r="I17" s="10" t="s">
        <v>99</v>
      </c>
      <c r="J17" s="10" t="s">
        <v>152</v>
      </c>
      <c r="K17" s="11">
        <v>5</v>
      </c>
      <c r="L17" s="10" t="s">
        <v>101</v>
      </c>
      <c r="M17" s="12">
        <v>45306</v>
      </c>
      <c r="N17" s="13" t="str">
        <f>IFERROR(INDEX(tbl_avaliacao[Classe],MATCH(A17&amp;"|ATUAL",tbl_avaliacao[Chave],0)),"—")</f>
        <v>—</v>
      </c>
      <c r="O17" s="13" t="str">
        <f>IFERROR(INDEX(tbl_avaliacao[Decisao],MATCH(A17&amp;"|ATUAL",tbl_avaliacao[Chave],0)),"Avaliação qualitativa")</f>
        <v>Avaliação qualitativa</v>
      </c>
      <c r="P17" s="13" t="str">
        <f t="shared" si="0"/>
        <v>OK</v>
      </c>
    </row>
    <row r="18" spans="1:16" ht="45" customHeight="1" x14ac:dyDescent="0.3">
      <c r="A18" s="10" t="s">
        <v>165</v>
      </c>
      <c r="B18" s="10" t="s">
        <v>166</v>
      </c>
      <c r="C18" s="10" t="s">
        <v>133</v>
      </c>
      <c r="D18" s="10" t="s">
        <v>167</v>
      </c>
      <c r="E18" s="10" t="s">
        <v>147</v>
      </c>
      <c r="F18" s="10" t="s">
        <v>168</v>
      </c>
      <c r="G18" s="10" t="s">
        <v>169</v>
      </c>
      <c r="H18" s="10" t="s">
        <v>170</v>
      </c>
      <c r="I18" s="10" t="s">
        <v>99</v>
      </c>
      <c r="J18" s="10" t="s">
        <v>152</v>
      </c>
      <c r="K18" s="11">
        <v>5</v>
      </c>
      <c r="L18" s="10" t="s">
        <v>101</v>
      </c>
      <c r="M18" s="12">
        <v>45306</v>
      </c>
      <c r="N18" s="13" t="str">
        <f>IFERROR(INDEX(tbl_avaliacao[Classe],MATCH(A18&amp;"|ATUAL",tbl_avaliacao[Chave],0)),"—")</f>
        <v>—</v>
      </c>
      <c r="O18" s="13" t="str">
        <f>IFERROR(INDEX(tbl_avaliacao[Decisao],MATCH(A18&amp;"|ATUAL",tbl_avaliacao[Chave],0)),"Avaliação qualitativa")</f>
        <v>Avaliação qualitativa</v>
      </c>
      <c r="P18" s="13" t="str">
        <f t="shared" si="0"/>
        <v>OK</v>
      </c>
    </row>
    <row r="19" spans="1:16" ht="45" customHeight="1" x14ac:dyDescent="0.3">
      <c r="A19" s="10" t="s">
        <v>171</v>
      </c>
      <c r="B19" s="10" t="s">
        <v>172</v>
      </c>
      <c r="C19" s="10" t="s">
        <v>133</v>
      </c>
      <c r="D19" s="10" t="s">
        <v>173</v>
      </c>
      <c r="E19" s="10" t="s">
        <v>95</v>
      </c>
      <c r="F19" s="10" t="s">
        <v>174</v>
      </c>
      <c r="G19" s="10" t="s">
        <v>175</v>
      </c>
      <c r="H19" s="10" t="s">
        <v>176</v>
      </c>
      <c r="I19" s="10" t="s">
        <v>177</v>
      </c>
      <c r="J19" s="10" t="s">
        <v>152</v>
      </c>
      <c r="K19" s="11">
        <v>5</v>
      </c>
      <c r="L19" s="10" t="s">
        <v>101</v>
      </c>
      <c r="M19" s="12">
        <v>45306</v>
      </c>
      <c r="N19" s="13" t="str">
        <f>IFERROR(INDEX(tbl_avaliacao[Classe],MATCH(A19&amp;"|ATUAL",tbl_avaliacao[Chave],0)),"—")</f>
        <v>—</v>
      </c>
      <c r="O19" s="13" t="str">
        <f>IFERROR(INDEX(tbl_avaliacao[Decisao],MATCH(A19&amp;"|ATUAL",tbl_avaliacao[Chave],0)),"Avaliação qualitativa")</f>
        <v>Avaliação qualitativa</v>
      </c>
      <c r="P19" s="13" t="str">
        <f t="shared" si="0"/>
        <v>OK</v>
      </c>
    </row>
  </sheetData>
  <conditionalFormatting sqref="L5:L219">
    <cfRule type="expression" dxfId="19" priority="1">
      <formula>ISNUMBER(SEARCH("condicional",L5))</formula>
    </cfRule>
    <cfRule type="expression" dxfId="18" priority="2">
      <formula>ISNUMBER(SEARCH("Suspenso",L5))</formula>
    </cfRule>
    <cfRule type="expression" dxfId="17" priority="3">
      <formula>ISNUMBER(SEARCH("Aprovado",L5))</formula>
    </cfRule>
  </conditionalFormatting>
  <conditionalFormatting sqref="N5:N219">
    <cfRule type="expression" dxfId="16" priority="4">
      <formula>ISNUMBER(SEARCH("D",N5))</formula>
    </cfRule>
    <cfRule type="expression" dxfId="15" priority="5">
      <formula>ISNUMBER(SEARCH("C",N5))</formula>
    </cfRule>
    <cfRule type="expression" dxfId="14" priority="6">
      <formula>ISNUMBER(SEARCH("B",N5))</formula>
    </cfRule>
    <cfRule type="expression" dxfId="13" priority="7">
      <formula>ISNUMBER(SEARCH("A",N5))</formula>
    </cfRule>
  </conditionalFormatting>
  <conditionalFormatting sqref="P5:P219">
    <cfRule type="expression" dxfId="12" priority="8">
      <formula>ISNUMBER(SEARCH("Rever",P5))</formula>
    </cfRule>
    <cfRule type="expression" dxfId="11" priority="9">
      <formula>ISNUMBER(SEARCH("OK",P5))</formula>
    </cfRule>
  </conditionalFormatting>
  <dataValidations count="3">
    <dataValidation type="list" allowBlank="1" showErrorMessage="1" errorTitle="Valor inválido" error="Valor fora da lista controlada (ver folha Listas)." sqref="E5:E219" xr:uid="{00000000-0002-0000-0100-000000000000}">
      <formula1>lst_TipoFornec</formula1>
    </dataValidation>
    <dataValidation type="list" allowBlank="1" showErrorMessage="1" errorTitle="Valor inválido" error="Valor fora da lista controlada (ver folha Listas)." sqref="F5:F219" xr:uid="{00000000-0002-0000-0100-000001000000}">
      <formula1>lst_Controlo841</formula1>
    </dataValidation>
    <dataValidation type="list" allowBlank="1" showErrorMessage="1" errorTitle="Valor inválido" error="Valor fora da lista controlada (ver folha Listas)." sqref="L5:L219" xr:uid="{00000000-0002-0000-0100-000002000000}">
      <formula1>lst_EstadoAprov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157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3" width="8" customWidth="1"/>
    <col min="4" max="5" width="7" customWidth="1"/>
    <col min="6" max="7" width="8" customWidth="1"/>
    <col min="8" max="8" width="11" customWidth="1"/>
    <col min="9" max="9" width="6" customWidth="1"/>
    <col min="10" max="12" width="8" customWidth="1"/>
  </cols>
  <sheetData>
    <row r="1" spans="1:12" ht="52.8" x14ac:dyDescent="0.3">
      <c r="A1" s="8" t="s">
        <v>75</v>
      </c>
      <c r="B1" s="8" t="s">
        <v>178</v>
      </c>
      <c r="C1" s="8" t="s">
        <v>179</v>
      </c>
      <c r="D1" s="8" t="s">
        <v>180</v>
      </c>
      <c r="E1" s="8" t="s">
        <v>181</v>
      </c>
      <c r="F1" s="8" t="s">
        <v>182</v>
      </c>
      <c r="G1" s="8" t="s">
        <v>183</v>
      </c>
      <c r="H1" s="8" t="s">
        <v>184</v>
      </c>
      <c r="I1" s="8" t="s">
        <v>185</v>
      </c>
      <c r="J1" s="8" t="s">
        <v>186</v>
      </c>
      <c r="K1" s="8" t="s">
        <v>187</v>
      </c>
      <c r="L1" s="9" t="s">
        <v>188</v>
      </c>
    </row>
    <row r="2" spans="1:12" ht="15" customHeight="1" x14ac:dyDescent="0.3">
      <c r="A2" s="10" t="s">
        <v>91</v>
      </c>
      <c r="B2" s="10" t="s">
        <v>189</v>
      </c>
      <c r="C2" s="11">
        <v>202507</v>
      </c>
      <c r="D2" s="11">
        <v>15</v>
      </c>
      <c r="E2" s="11">
        <v>14</v>
      </c>
      <c r="F2" s="11">
        <v>1</v>
      </c>
      <c r="G2" s="11">
        <v>0</v>
      </c>
      <c r="H2" s="14">
        <v>21686.799999999999</v>
      </c>
      <c r="I2" s="11">
        <v>1</v>
      </c>
      <c r="J2" s="11">
        <v>11</v>
      </c>
      <c r="K2" s="11">
        <v>1</v>
      </c>
      <c r="L2" s="15">
        <f t="shared" ref="L2:L33" si="0">IFERROR(E2/D2,"")</f>
        <v>0.93333333333333335</v>
      </c>
    </row>
    <row r="3" spans="1:12" ht="15" customHeight="1" x14ac:dyDescent="0.3">
      <c r="A3" s="10" t="s">
        <v>91</v>
      </c>
      <c r="B3" s="10" t="s">
        <v>190</v>
      </c>
      <c r="C3" s="11">
        <v>202508</v>
      </c>
      <c r="D3" s="11">
        <v>22</v>
      </c>
      <c r="E3" s="11">
        <v>22</v>
      </c>
      <c r="F3" s="11">
        <v>0</v>
      </c>
      <c r="G3" s="11">
        <v>0</v>
      </c>
      <c r="H3" s="14">
        <v>30740</v>
      </c>
      <c r="I3" s="11">
        <v>0</v>
      </c>
      <c r="J3" s="11">
        <v>0</v>
      </c>
      <c r="K3" s="11">
        <v>0</v>
      </c>
      <c r="L3" s="15">
        <f t="shared" si="0"/>
        <v>1</v>
      </c>
    </row>
    <row r="4" spans="1:12" ht="15" customHeight="1" x14ac:dyDescent="0.3">
      <c r="A4" s="10" t="s">
        <v>91</v>
      </c>
      <c r="B4" s="10" t="s">
        <v>191</v>
      </c>
      <c r="C4" s="11">
        <v>202509</v>
      </c>
      <c r="D4" s="11">
        <v>24</v>
      </c>
      <c r="E4" s="11">
        <v>20</v>
      </c>
      <c r="F4" s="11">
        <v>2</v>
      </c>
      <c r="G4" s="11">
        <v>2</v>
      </c>
      <c r="H4" s="14">
        <v>32533.4</v>
      </c>
      <c r="I4" s="11">
        <v>1</v>
      </c>
      <c r="J4" s="11">
        <v>6</v>
      </c>
      <c r="K4" s="11">
        <v>0</v>
      </c>
      <c r="L4" s="15">
        <f t="shared" si="0"/>
        <v>0.83333333333333337</v>
      </c>
    </row>
    <row r="5" spans="1:12" ht="15" customHeight="1" x14ac:dyDescent="0.3">
      <c r="A5" s="10" t="s">
        <v>91</v>
      </c>
      <c r="B5" s="10" t="s">
        <v>192</v>
      </c>
      <c r="C5" s="11">
        <v>202510</v>
      </c>
      <c r="D5" s="11">
        <v>19</v>
      </c>
      <c r="E5" s="11">
        <v>18</v>
      </c>
      <c r="F5" s="11">
        <v>1</v>
      </c>
      <c r="G5" s="11">
        <v>0</v>
      </c>
      <c r="H5" s="14">
        <v>25021.7</v>
      </c>
      <c r="I5" s="11">
        <v>1</v>
      </c>
      <c r="J5" s="11">
        <v>3</v>
      </c>
      <c r="K5" s="11">
        <v>1</v>
      </c>
      <c r="L5" s="15">
        <f t="shared" si="0"/>
        <v>0.94736842105263153</v>
      </c>
    </row>
    <row r="6" spans="1:12" ht="15" customHeight="1" x14ac:dyDescent="0.3">
      <c r="A6" s="10" t="s">
        <v>91</v>
      </c>
      <c r="B6" s="10" t="s">
        <v>193</v>
      </c>
      <c r="C6" s="11">
        <v>202511</v>
      </c>
      <c r="D6" s="11">
        <v>21</v>
      </c>
      <c r="E6" s="11">
        <v>19</v>
      </c>
      <c r="F6" s="11">
        <v>1</v>
      </c>
      <c r="G6" s="11">
        <v>1</v>
      </c>
      <c r="H6" s="14">
        <v>27923.5</v>
      </c>
      <c r="I6" s="11">
        <v>1</v>
      </c>
      <c r="J6" s="11">
        <v>7</v>
      </c>
      <c r="K6" s="11">
        <v>1</v>
      </c>
      <c r="L6" s="15">
        <f t="shared" si="0"/>
        <v>0.90476190476190477</v>
      </c>
    </row>
    <row r="7" spans="1:12" ht="15" customHeight="1" x14ac:dyDescent="0.3">
      <c r="A7" s="10" t="s">
        <v>91</v>
      </c>
      <c r="B7" s="10" t="s">
        <v>194</v>
      </c>
      <c r="C7" s="11">
        <v>202512</v>
      </c>
      <c r="D7" s="11">
        <v>27</v>
      </c>
      <c r="E7" s="11">
        <v>25</v>
      </c>
      <c r="F7" s="11">
        <v>1</v>
      </c>
      <c r="G7" s="11">
        <v>1</v>
      </c>
      <c r="H7" s="14">
        <v>32645.9</v>
      </c>
      <c r="I7" s="11">
        <v>2</v>
      </c>
      <c r="J7" s="11">
        <v>18</v>
      </c>
      <c r="K7" s="11">
        <v>2</v>
      </c>
      <c r="L7" s="15">
        <f t="shared" si="0"/>
        <v>0.92592592592592593</v>
      </c>
    </row>
    <row r="8" spans="1:12" ht="15" customHeight="1" x14ac:dyDescent="0.3">
      <c r="A8" s="10" t="s">
        <v>91</v>
      </c>
      <c r="B8" s="10" t="s">
        <v>195</v>
      </c>
      <c r="C8" s="11">
        <v>202601</v>
      </c>
      <c r="D8" s="11">
        <v>23</v>
      </c>
      <c r="E8" s="11">
        <v>21</v>
      </c>
      <c r="F8" s="11">
        <v>1</v>
      </c>
      <c r="G8" s="11">
        <v>1</v>
      </c>
      <c r="H8" s="14">
        <v>30264.5</v>
      </c>
      <c r="I8" s="11">
        <v>1</v>
      </c>
      <c r="J8" s="11">
        <v>7</v>
      </c>
      <c r="K8" s="11">
        <v>1</v>
      </c>
      <c r="L8" s="15">
        <f t="shared" si="0"/>
        <v>0.91304347826086951</v>
      </c>
    </row>
    <row r="9" spans="1:12" ht="15" customHeight="1" x14ac:dyDescent="0.3">
      <c r="A9" s="10" t="s">
        <v>91</v>
      </c>
      <c r="B9" s="10" t="s">
        <v>196</v>
      </c>
      <c r="C9" s="11">
        <v>202602</v>
      </c>
      <c r="D9" s="11">
        <v>13</v>
      </c>
      <c r="E9" s="11">
        <v>12</v>
      </c>
      <c r="F9" s="11">
        <v>1</v>
      </c>
      <c r="G9" s="11">
        <v>0</v>
      </c>
      <c r="H9" s="14">
        <v>20637.7</v>
      </c>
      <c r="I9" s="11">
        <v>0</v>
      </c>
      <c r="J9" s="11">
        <v>0</v>
      </c>
      <c r="K9" s="11">
        <v>0</v>
      </c>
      <c r="L9" s="15">
        <f t="shared" si="0"/>
        <v>0.92307692307692313</v>
      </c>
    </row>
    <row r="10" spans="1:12" ht="15" customHeight="1" x14ac:dyDescent="0.3">
      <c r="A10" s="10" t="s">
        <v>91</v>
      </c>
      <c r="B10" s="10" t="s">
        <v>197</v>
      </c>
      <c r="C10" s="11">
        <v>202603</v>
      </c>
      <c r="D10" s="11">
        <v>15</v>
      </c>
      <c r="E10" s="11">
        <v>15</v>
      </c>
      <c r="F10" s="11">
        <v>0</v>
      </c>
      <c r="G10" s="11">
        <v>0</v>
      </c>
      <c r="H10" s="14">
        <v>18639.7</v>
      </c>
      <c r="I10" s="11">
        <v>0</v>
      </c>
      <c r="J10" s="11">
        <v>0</v>
      </c>
      <c r="K10" s="11">
        <v>0</v>
      </c>
      <c r="L10" s="15">
        <f t="shared" si="0"/>
        <v>1</v>
      </c>
    </row>
    <row r="11" spans="1:12" ht="15" customHeight="1" x14ac:dyDescent="0.3">
      <c r="A11" s="10" t="s">
        <v>91</v>
      </c>
      <c r="B11" s="10" t="s">
        <v>198</v>
      </c>
      <c r="C11" s="11">
        <v>202604</v>
      </c>
      <c r="D11" s="11">
        <v>14</v>
      </c>
      <c r="E11" s="11">
        <v>14</v>
      </c>
      <c r="F11" s="11">
        <v>0</v>
      </c>
      <c r="G11" s="11">
        <v>0</v>
      </c>
      <c r="H11" s="14">
        <v>18671.599999999999</v>
      </c>
      <c r="I11" s="11">
        <v>0</v>
      </c>
      <c r="J11" s="11">
        <v>0</v>
      </c>
      <c r="K11" s="11">
        <v>0</v>
      </c>
      <c r="L11" s="15">
        <f t="shared" si="0"/>
        <v>1</v>
      </c>
    </row>
    <row r="12" spans="1:12" ht="15" customHeight="1" x14ac:dyDescent="0.3">
      <c r="A12" s="10" t="s">
        <v>91</v>
      </c>
      <c r="B12" s="10" t="s">
        <v>199</v>
      </c>
      <c r="C12" s="11">
        <v>202605</v>
      </c>
      <c r="D12" s="11">
        <v>19</v>
      </c>
      <c r="E12" s="11">
        <v>16</v>
      </c>
      <c r="F12" s="11">
        <v>1</v>
      </c>
      <c r="G12" s="11">
        <v>2</v>
      </c>
      <c r="H12" s="14">
        <v>25819</v>
      </c>
      <c r="I12" s="11">
        <v>2</v>
      </c>
      <c r="J12" s="11">
        <v>7</v>
      </c>
      <c r="K12" s="11">
        <v>2</v>
      </c>
      <c r="L12" s="15">
        <f t="shared" si="0"/>
        <v>0.84210526315789469</v>
      </c>
    </row>
    <row r="13" spans="1:12" ht="15" customHeight="1" x14ac:dyDescent="0.3">
      <c r="A13" s="10" t="s">
        <v>91</v>
      </c>
      <c r="B13" s="10" t="s">
        <v>200</v>
      </c>
      <c r="C13" s="11">
        <v>202606</v>
      </c>
      <c r="D13" s="11">
        <v>21</v>
      </c>
      <c r="E13" s="11">
        <v>20</v>
      </c>
      <c r="F13" s="11">
        <v>1</v>
      </c>
      <c r="G13" s="11">
        <v>0</v>
      </c>
      <c r="H13" s="14">
        <v>25893.9</v>
      </c>
      <c r="I13" s="11">
        <v>1</v>
      </c>
      <c r="J13" s="11">
        <v>3</v>
      </c>
      <c r="K13" s="11">
        <v>1</v>
      </c>
      <c r="L13" s="15">
        <f t="shared" si="0"/>
        <v>0.95238095238095233</v>
      </c>
    </row>
    <row r="14" spans="1:12" ht="15" customHeight="1" x14ac:dyDescent="0.3">
      <c r="A14" s="10" t="s">
        <v>91</v>
      </c>
      <c r="B14" s="10" t="s">
        <v>201</v>
      </c>
      <c r="C14" s="11">
        <v>202607</v>
      </c>
      <c r="D14" s="11">
        <v>20</v>
      </c>
      <c r="E14" s="11">
        <v>19</v>
      </c>
      <c r="F14" s="11">
        <v>1</v>
      </c>
      <c r="G14" s="11">
        <v>0</v>
      </c>
      <c r="H14" s="14">
        <v>26343.200000000001</v>
      </c>
      <c r="I14" s="11">
        <v>1</v>
      </c>
      <c r="J14" s="11">
        <v>10</v>
      </c>
      <c r="K14" s="11">
        <v>1</v>
      </c>
      <c r="L14" s="15">
        <f t="shared" si="0"/>
        <v>0.95</v>
      </c>
    </row>
    <row r="15" spans="1:12" ht="15" customHeight="1" x14ac:dyDescent="0.3">
      <c r="A15" s="10" t="s">
        <v>91</v>
      </c>
      <c r="B15" s="10" t="s">
        <v>202</v>
      </c>
      <c r="C15" s="11">
        <v>202608</v>
      </c>
      <c r="D15" s="11">
        <v>18</v>
      </c>
      <c r="E15" s="11">
        <v>17</v>
      </c>
      <c r="F15" s="11">
        <v>0</v>
      </c>
      <c r="G15" s="11">
        <v>1</v>
      </c>
      <c r="H15" s="14">
        <v>24860.1</v>
      </c>
      <c r="I15" s="11">
        <v>1</v>
      </c>
      <c r="J15" s="11">
        <v>10</v>
      </c>
      <c r="K15" s="11">
        <v>1</v>
      </c>
      <c r="L15" s="15">
        <f t="shared" si="0"/>
        <v>0.94444444444444442</v>
      </c>
    </row>
    <row r="16" spans="1:12" ht="15" customHeight="1" x14ac:dyDescent="0.3">
      <c r="A16" s="10" t="s">
        <v>91</v>
      </c>
      <c r="B16" s="10" t="s">
        <v>203</v>
      </c>
      <c r="C16" s="11">
        <v>202609</v>
      </c>
      <c r="D16" s="11">
        <v>13</v>
      </c>
      <c r="E16" s="11">
        <v>13</v>
      </c>
      <c r="F16" s="11">
        <v>0</v>
      </c>
      <c r="G16" s="11">
        <v>0</v>
      </c>
      <c r="H16" s="14">
        <v>15220.8</v>
      </c>
      <c r="I16" s="11">
        <v>0</v>
      </c>
      <c r="J16" s="11">
        <v>0</v>
      </c>
      <c r="K16" s="11">
        <v>0</v>
      </c>
      <c r="L16" s="15">
        <f t="shared" si="0"/>
        <v>1</v>
      </c>
    </row>
    <row r="17" spans="1:12" ht="15" customHeight="1" x14ac:dyDescent="0.3">
      <c r="A17" s="10" t="s">
        <v>91</v>
      </c>
      <c r="B17" s="10" t="s">
        <v>204</v>
      </c>
      <c r="C17" s="11">
        <v>202610</v>
      </c>
      <c r="D17" s="11">
        <v>13</v>
      </c>
      <c r="E17" s="11">
        <v>12</v>
      </c>
      <c r="F17" s="11">
        <v>0</v>
      </c>
      <c r="G17" s="11">
        <v>1</v>
      </c>
      <c r="H17" s="14">
        <v>15830</v>
      </c>
      <c r="I17" s="11">
        <v>1</v>
      </c>
      <c r="J17" s="11">
        <v>8</v>
      </c>
      <c r="K17" s="11">
        <v>1</v>
      </c>
      <c r="L17" s="15">
        <f t="shared" si="0"/>
        <v>0.92307692307692313</v>
      </c>
    </row>
    <row r="18" spans="1:12" ht="15" customHeight="1" x14ac:dyDescent="0.3">
      <c r="A18" s="10" t="s">
        <v>91</v>
      </c>
      <c r="B18" s="10" t="s">
        <v>205</v>
      </c>
      <c r="C18" s="11">
        <v>202611</v>
      </c>
      <c r="D18" s="11">
        <v>15</v>
      </c>
      <c r="E18" s="11">
        <v>14</v>
      </c>
      <c r="F18" s="11">
        <v>1</v>
      </c>
      <c r="G18" s="11">
        <v>0</v>
      </c>
      <c r="H18" s="14">
        <v>19744.7</v>
      </c>
      <c r="I18" s="11">
        <v>1</v>
      </c>
      <c r="J18" s="11">
        <v>10</v>
      </c>
      <c r="K18" s="11">
        <v>1</v>
      </c>
      <c r="L18" s="15">
        <f t="shared" si="0"/>
        <v>0.93333333333333335</v>
      </c>
    </row>
    <row r="19" spans="1:12" ht="15" customHeight="1" x14ac:dyDescent="0.3">
      <c r="A19" s="10" t="s">
        <v>91</v>
      </c>
      <c r="B19" s="10" t="s">
        <v>206</v>
      </c>
      <c r="C19" s="11">
        <v>202612</v>
      </c>
      <c r="D19" s="11">
        <v>14</v>
      </c>
      <c r="E19" s="11">
        <v>14</v>
      </c>
      <c r="F19" s="11">
        <v>0</v>
      </c>
      <c r="G19" s="11">
        <v>0</v>
      </c>
      <c r="H19" s="14">
        <v>21176</v>
      </c>
      <c r="I19" s="11">
        <v>0</v>
      </c>
      <c r="J19" s="11">
        <v>0</v>
      </c>
      <c r="K19" s="11">
        <v>0</v>
      </c>
      <c r="L19" s="15">
        <f t="shared" si="0"/>
        <v>1</v>
      </c>
    </row>
    <row r="20" spans="1:12" ht="15" customHeight="1" x14ac:dyDescent="0.3">
      <c r="A20" s="10" t="s">
        <v>102</v>
      </c>
      <c r="B20" s="10" t="s">
        <v>189</v>
      </c>
      <c r="C20" s="11">
        <v>202507</v>
      </c>
      <c r="D20" s="11">
        <v>10</v>
      </c>
      <c r="E20" s="11">
        <v>8</v>
      </c>
      <c r="F20" s="11">
        <v>1</v>
      </c>
      <c r="G20" s="11">
        <v>1</v>
      </c>
      <c r="H20" s="14">
        <v>13451.9</v>
      </c>
      <c r="I20" s="11">
        <v>1</v>
      </c>
      <c r="J20" s="11">
        <v>7</v>
      </c>
      <c r="K20" s="11">
        <v>1</v>
      </c>
      <c r="L20" s="15">
        <f t="shared" si="0"/>
        <v>0.8</v>
      </c>
    </row>
    <row r="21" spans="1:12" ht="15" customHeight="1" x14ac:dyDescent="0.3">
      <c r="A21" s="10" t="s">
        <v>102</v>
      </c>
      <c r="B21" s="10" t="s">
        <v>190</v>
      </c>
      <c r="C21" s="11">
        <v>202508</v>
      </c>
      <c r="D21" s="11">
        <v>12</v>
      </c>
      <c r="E21" s="11">
        <v>12</v>
      </c>
      <c r="F21" s="11">
        <v>0</v>
      </c>
      <c r="G21" s="11">
        <v>0</v>
      </c>
      <c r="H21" s="14">
        <v>14784.4</v>
      </c>
      <c r="I21" s="11">
        <v>0</v>
      </c>
      <c r="J21" s="11">
        <v>0</v>
      </c>
      <c r="K21" s="11">
        <v>0</v>
      </c>
      <c r="L21" s="15">
        <f t="shared" si="0"/>
        <v>1</v>
      </c>
    </row>
    <row r="22" spans="1:12" ht="15" customHeight="1" x14ac:dyDescent="0.3">
      <c r="A22" s="10" t="s">
        <v>102</v>
      </c>
      <c r="B22" s="10" t="s">
        <v>191</v>
      </c>
      <c r="C22" s="11">
        <v>202509</v>
      </c>
      <c r="D22" s="11">
        <v>11</v>
      </c>
      <c r="E22" s="11">
        <v>11</v>
      </c>
      <c r="F22" s="11">
        <v>0</v>
      </c>
      <c r="G22" s="11">
        <v>0</v>
      </c>
      <c r="H22" s="14">
        <v>14548.1</v>
      </c>
      <c r="I22" s="11">
        <v>0</v>
      </c>
      <c r="J22" s="11">
        <v>0</v>
      </c>
      <c r="K22" s="11">
        <v>0</v>
      </c>
      <c r="L22" s="15">
        <f t="shared" si="0"/>
        <v>1</v>
      </c>
    </row>
    <row r="23" spans="1:12" ht="15" customHeight="1" x14ac:dyDescent="0.3">
      <c r="A23" s="10" t="s">
        <v>102</v>
      </c>
      <c r="B23" s="10" t="s">
        <v>192</v>
      </c>
      <c r="C23" s="11">
        <v>202510</v>
      </c>
      <c r="D23" s="11">
        <v>14</v>
      </c>
      <c r="E23" s="11">
        <v>12</v>
      </c>
      <c r="F23" s="11">
        <v>1</v>
      </c>
      <c r="G23" s="11">
        <v>1</v>
      </c>
      <c r="H23" s="14">
        <v>18185.3</v>
      </c>
      <c r="I23" s="11">
        <v>1</v>
      </c>
      <c r="J23" s="11">
        <v>9</v>
      </c>
      <c r="K23" s="11">
        <v>1</v>
      </c>
      <c r="L23" s="15">
        <f t="shared" si="0"/>
        <v>0.8571428571428571</v>
      </c>
    </row>
    <row r="24" spans="1:12" ht="15" customHeight="1" x14ac:dyDescent="0.3">
      <c r="A24" s="10" t="s">
        <v>102</v>
      </c>
      <c r="B24" s="10" t="s">
        <v>193</v>
      </c>
      <c r="C24" s="11">
        <v>202511</v>
      </c>
      <c r="D24" s="11">
        <v>11</v>
      </c>
      <c r="E24" s="11">
        <v>11</v>
      </c>
      <c r="F24" s="11">
        <v>0</v>
      </c>
      <c r="G24" s="11">
        <v>0</v>
      </c>
      <c r="H24" s="14">
        <v>12824.6</v>
      </c>
      <c r="I24" s="11">
        <v>0</v>
      </c>
      <c r="J24" s="11">
        <v>0</v>
      </c>
      <c r="K24" s="11">
        <v>0</v>
      </c>
      <c r="L24" s="15">
        <f t="shared" si="0"/>
        <v>1</v>
      </c>
    </row>
    <row r="25" spans="1:12" ht="15" customHeight="1" x14ac:dyDescent="0.3">
      <c r="A25" s="10" t="s">
        <v>102</v>
      </c>
      <c r="B25" s="10" t="s">
        <v>194</v>
      </c>
      <c r="C25" s="11">
        <v>202512</v>
      </c>
      <c r="D25" s="11">
        <v>13</v>
      </c>
      <c r="E25" s="11">
        <v>12</v>
      </c>
      <c r="F25" s="11">
        <v>0</v>
      </c>
      <c r="G25" s="11">
        <v>1</v>
      </c>
      <c r="H25" s="14">
        <v>16143.8</v>
      </c>
      <c r="I25" s="11">
        <v>1</v>
      </c>
      <c r="J25" s="11">
        <v>7</v>
      </c>
      <c r="K25" s="11">
        <v>1</v>
      </c>
      <c r="L25" s="15">
        <f t="shared" si="0"/>
        <v>0.92307692307692313</v>
      </c>
    </row>
    <row r="26" spans="1:12" ht="15" customHeight="1" x14ac:dyDescent="0.3">
      <c r="A26" s="10" t="s">
        <v>102</v>
      </c>
      <c r="B26" s="10" t="s">
        <v>195</v>
      </c>
      <c r="C26" s="11">
        <v>202601</v>
      </c>
      <c r="D26" s="11">
        <v>11</v>
      </c>
      <c r="E26" s="11">
        <v>11</v>
      </c>
      <c r="F26" s="11">
        <v>0</v>
      </c>
      <c r="G26" s="11">
        <v>0</v>
      </c>
      <c r="H26" s="14">
        <v>14754.5</v>
      </c>
      <c r="I26" s="11">
        <v>0</v>
      </c>
      <c r="J26" s="11">
        <v>0</v>
      </c>
      <c r="K26" s="11">
        <v>0</v>
      </c>
      <c r="L26" s="15">
        <f t="shared" si="0"/>
        <v>1</v>
      </c>
    </row>
    <row r="27" spans="1:12" ht="15" customHeight="1" x14ac:dyDescent="0.3">
      <c r="A27" s="10" t="s">
        <v>102</v>
      </c>
      <c r="B27" s="10" t="s">
        <v>196</v>
      </c>
      <c r="C27" s="11">
        <v>202602</v>
      </c>
      <c r="D27" s="11">
        <v>12</v>
      </c>
      <c r="E27" s="11">
        <v>12</v>
      </c>
      <c r="F27" s="11">
        <v>0</v>
      </c>
      <c r="G27" s="11">
        <v>0</v>
      </c>
      <c r="H27" s="14">
        <v>14005.8</v>
      </c>
      <c r="I27" s="11">
        <v>0</v>
      </c>
      <c r="J27" s="11">
        <v>0</v>
      </c>
      <c r="K27" s="11">
        <v>0</v>
      </c>
      <c r="L27" s="15">
        <f t="shared" si="0"/>
        <v>1</v>
      </c>
    </row>
    <row r="28" spans="1:12" ht="15" customHeight="1" x14ac:dyDescent="0.3">
      <c r="A28" s="10" t="s">
        <v>102</v>
      </c>
      <c r="B28" s="10" t="s">
        <v>197</v>
      </c>
      <c r="C28" s="11">
        <v>202603</v>
      </c>
      <c r="D28" s="11">
        <v>8</v>
      </c>
      <c r="E28" s="11">
        <v>7</v>
      </c>
      <c r="F28" s="11">
        <v>0</v>
      </c>
      <c r="G28" s="11">
        <v>1</v>
      </c>
      <c r="H28" s="14">
        <v>7247</v>
      </c>
      <c r="I28" s="11">
        <v>0</v>
      </c>
      <c r="J28" s="11">
        <v>0</v>
      </c>
      <c r="K28" s="11">
        <v>0</v>
      </c>
      <c r="L28" s="15">
        <f t="shared" si="0"/>
        <v>0.875</v>
      </c>
    </row>
    <row r="29" spans="1:12" ht="15" customHeight="1" x14ac:dyDescent="0.3">
      <c r="A29" s="10" t="s">
        <v>102</v>
      </c>
      <c r="B29" s="10" t="s">
        <v>198</v>
      </c>
      <c r="C29" s="11">
        <v>202604</v>
      </c>
      <c r="D29" s="11">
        <v>13</v>
      </c>
      <c r="E29" s="11">
        <v>12</v>
      </c>
      <c r="F29" s="11">
        <v>0</v>
      </c>
      <c r="G29" s="11">
        <v>1</v>
      </c>
      <c r="H29" s="14">
        <v>14817</v>
      </c>
      <c r="I29" s="11">
        <v>1</v>
      </c>
      <c r="J29" s="11">
        <v>4</v>
      </c>
      <c r="K29" s="11">
        <v>1</v>
      </c>
      <c r="L29" s="15">
        <f t="shared" si="0"/>
        <v>0.92307692307692313</v>
      </c>
    </row>
    <row r="30" spans="1:12" ht="15" customHeight="1" x14ac:dyDescent="0.3">
      <c r="A30" s="10" t="s">
        <v>102</v>
      </c>
      <c r="B30" s="10" t="s">
        <v>199</v>
      </c>
      <c r="C30" s="11">
        <v>202605</v>
      </c>
      <c r="D30" s="11">
        <v>10</v>
      </c>
      <c r="E30" s="11">
        <v>7</v>
      </c>
      <c r="F30" s="11">
        <v>1</v>
      </c>
      <c r="G30" s="11">
        <v>2</v>
      </c>
      <c r="H30" s="14">
        <v>14813.2</v>
      </c>
      <c r="I30" s="11">
        <v>2</v>
      </c>
      <c r="J30" s="11">
        <v>9</v>
      </c>
      <c r="K30" s="11">
        <v>2</v>
      </c>
      <c r="L30" s="15">
        <f t="shared" si="0"/>
        <v>0.7</v>
      </c>
    </row>
    <row r="31" spans="1:12" ht="15" customHeight="1" x14ac:dyDescent="0.3">
      <c r="A31" s="10" t="s">
        <v>102</v>
      </c>
      <c r="B31" s="10" t="s">
        <v>200</v>
      </c>
      <c r="C31" s="11">
        <v>202606</v>
      </c>
      <c r="D31" s="11">
        <v>9</v>
      </c>
      <c r="E31" s="11">
        <v>9</v>
      </c>
      <c r="F31" s="11">
        <v>0</v>
      </c>
      <c r="G31" s="11">
        <v>0</v>
      </c>
      <c r="H31" s="14">
        <v>13544.3</v>
      </c>
      <c r="I31" s="11">
        <v>0</v>
      </c>
      <c r="J31" s="11">
        <v>0</v>
      </c>
      <c r="K31" s="11">
        <v>0</v>
      </c>
      <c r="L31" s="15">
        <f t="shared" si="0"/>
        <v>1</v>
      </c>
    </row>
    <row r="32" spans="1:12" ht="15" customHeight="1" x14ac:dyDescent="0.3">
      <c r="A32" s="10" t="s">
        <v>102</v>
      </c>
      <c r="B32" s="10" t="s">
        <v>201</v>
      </c>
      <c r="C32" s="11">
        <v>202607</v>
      </c>
      <c r="D32" s="11">
        <v>12</v>
      </c>
      <c r="E32" s="11">
        <v>10</v>
      </c>
      <c r="F32" s="11">
        <v>0</v>
      </c>
      <c r="G32" s="11">
        <v>2</v>
      </c>
      <c r="H32" s="14">
        <v>16069.2</v>
      </c>
      <c r="I32" s="11">
        <v>1</v>
      </c>
      <c r="J32" s="11">
        <v>9</v>
      </c>
      <c r="K32" s="11">
        <v>1</v>
      </c>
      <c r="L32" s="15">
        <f t="shared" si="0"/>
        <v>0.83333333333333337</v>
      </c>
    </row>
    <row r="33" spans="1:12" ht="15" customHeight="1" x14ac:dyDescent="0.3">
      <c r="A33" s="10" t="s">
        <v>102</v>
      </c>
      <c r="B33" s="10" t="s">
        <v>202</v>
      </c>
      <c r="C33" s="11">
        <v>202608</v>
      </c>
      <c r="D33" s="11">
        <v>9</v>
      </c>
      <c r="E33" s="11">
        <v>8</v>
      </c>
      <c r="F33" s="11">
        <v>0</v>
      </c>
      <c r="G33" s="11">
        <v>1</v>
      </c>
      <c r="H33" s="14">
        <v>12003.9</v>
      </c>
      <c r="I33" s="11">
        <v>0</v>
      </c>
      <c r="J33" s="11">
        <v>0</v>
      </c>
      <c r="K33" s="11">
        <v>0</v>
      </c>
      <c r="L33" s="15">
        <f t="shared" si="0"/>
        <v>0.88888888888888884</v>
      </c>
    </row>
    <row r="34" spans="1:12" ht="15" customHeight="1" x14ac:dyDescent="0.3">
      <c r="A34" s="10" t="s">
        <v>102</v>
      </c>
      <c r="B34" s="10" t="s">
        <v>203</v>
      </c>
      <c r="C34" s="11">
        <v>202609</v>
      </c>
      <c r="D34" s="11">
        <v>11</v>
      </c>
      <c r="E34" s="11">
        <v>9</v>
      </c>
      <c r="F34" s="11">
        <v>1</v>
      </c>
      <c r="G34" s="11">
        <v>1</v>
      </c>
      <c r="H34" s="14">
        <v>16729.599999999999</v>
      </c>
      <c r="I34" s="11">
        <v>2</v>
      </c>
      <c r="J34" s="11">
        <v>11</v>
      </c>
      <c r="K34" s="11">
        <v>2</v>
      </c>
      <c r="L34" s="15">
        <f t="shared" ref="L34:L65" si="1">IFERROR(E34/D34,"")</f>
        <v>0.81818181818181823</v>
      </c>
    </row>
    <row r="35" spans="1:12" ht="15" customHeight="1" x14ac:dyDescent="0.3">
      <c r="A35" s="10" t="s">
        <v>102</v>
      </c>
      <c r="B35" s="10" t="s">
        <v>204</v>
      </c>
      <c r="C35" s="11">
        <v>202610</v>
      </c>
      <c r="D35" s="11">
        <v>14</v>
      </c>
      <c r="E35" s="11">
        <v>14</v>
      </c>
      <c r="F35" s="11">
        <v>0</v>
      </c>
      <c r="G35" s="11">
        <v>0</v>
      </c>
      <c r="H35" s="14">
        <v>16864.400000000001</v>
      </c>
      <c r="I35" s="11">
        <v>0</v>
      </c>
      <c r="J35" s="11">
        <v>0</v>
      </c>
      <c r="K35" s="11">
        <v>0</v>
      </c>
      <c r="L35" s="15">
        <f t="shared" si="1"/>
        <v>1</v>
      </c>
    </row>
    <row r="36" spans="1:12" ht="15" customHeight="1" x14ac:dyDescent="0.3">
      <c r="A36" s="10" t="s">
        <v>102</v>
      </c>
      <c r="B36" s="10" t="s">
        <v>205</v>
      </c>
      <c r="C36" s="11">
        <v>202611</v>
      </c>
      <c r="D36" s="11">
        <v>8</v>
      </c>
      <c r="E36" s="11">
        <v>6</v>
      </c>
      <c r="F36" s="11">
        <v>0</v>
      </c>
      <c r="G36" s="11">
        <v>2</v>
      </c>
      <c r="H36" s="14">
        <v>11098.8</v>
      </c>
      <c r="I36" s="11">
        <v>0</v>
      </c>
      <c r="J36" s="11">
        <v>0</v>
      </c>
      <c r="K36" s="11">
        <v>0</v>
      </c>
      <c r="L36" s="15">
        <f t="shared" si="1"/>
        <v>0.75</v>
      </c>
    </row>
    <row r="37" spans="1:12" ht="15" customHeight="1" x14ac:dyDescent="0.3">
      <c r="A37" s="10" t="s">
        <v>102</v>
      </c>
      <c r="B37" s="10" t="s">
        <v>206</v>
      </c>
      <c r="C37" s="11">
        <v>202612</v>
      </c>
      <c r="D37" s="11">
        <v>5</v>
      </c>
      <c r="E37" s="11">
        <v>5</v>
      </c>
      <c r="F37" s="11">
        <v>0</v>
      </c>
      <c r="G37" s="11">
        <v>0</v>
      </c>
      <c r="H37" s="14">
        <v>6637.4</v>
      </c>
      <c r="I37" s="11">
        <v>0</v>
      </c>
      <c r="J37" s="11">
        <v>0</v>
      </c>
      <c r="K37" s="11">
        <v>0</v>
      </c>
      <c r="L37" s="15">
        <f t="shared" si="1"/>
        <v>1</v>
      </c>
    </row>
    <row r="38" spans="1:12" ht="15" customHeight="1" x14ac:dyDescent="0.3">
      <c r="A38" s="10" t="s">
        <v>107</v>
      </c>
      <c r="B38" s="10" t="s">
        <v>189</v>
      </c>
      <c r="C38" s="11">
        <v>202507</v>
      </c>
      <c r="D38" s="11">
        <v>13</v>
      </c>
      <c r="E38" s="11">
        <v>12</v>
      </c>
      <c r="F38" s="11">
        <v>0</v>
      </c>
      <c r="G38" s="11">
        <v>1</v>
      </c>
      <c r="H38" s="14">
        <v>16352.9</v>
      </c>
      <c r="I38" s="11">
        <v>1</v>
      </c>
      <c r="J38" s="11">
        <v>5</v>
      </c>
      <c r="K38" s="11">
        <v>1</v>
      </c>
      <c r="L38" s="15">
        <f t="shared" si="1"/>
        <v>0.92307692307692313</v>
      </c>
    </row>
    <row r="39" spans="1:12" ht="15" customHeight="1" x14ac:dyDescent="0.3">
      <c r="A39" s="10" t="s">
        <v>107</v>
      </c>
      <c r="B39" s="10" t="s">
        <v>190</v>
      </c>
      <c r="C39" s="11">
        <v>202508</v>
      </c>
      <c r="D39" s="11">
        <v>13</v>
      </c>
      <c r="E39" s="11">
        <v>12</v>
      </c>
      <c r="F39" s="11">
        <v>1</v>
      </c>
      <c r="G39" s="11">
        <v>0</v>
      </c>
      <c r="H39" s="14">
        <v>15060.8</v>
      </c>
      <c r="I39" s="11">
        <v>0</v>
      </c>
      <c r="J39" s="11">
        <v>0</v>
      </c>
      <c r="K39" s="11">
        <v>0</v>
      </c>
      <c r="L39" s="15">
        <f t="shared" si="1"/>
        <v>0.92307692307692313</v>
      </c>
    </row>
    <row r="40" spans="1:12" ht="15" customHeight="1" x14ac:dyDescent="0.3">
      <c r="A40" s="10" t="s">
        <v>107</v>
      </c>
      <c r="B40" s="10" t="s">
        <v>191</v>
      </c>
      <c r="C40" s="11">
        <v>202509</v>
      </c>
      <c r="D40" s="11">
        <v>16</v>
      </c>
      <c r="E40" s="11">
        <v>16</v>
      </c>
      <c r="F40" s="11">
        <v>0</v>
      </c>
      <c r="G40" s="11">
        <v>0</v>
      </c>
      <c r="H40" s="14">
        <v>19501.400000000001</v>
      </c>
      <c r="I40" s="11">
        <v>0</v>
      </c>
      <c r="J40" s="11">
        <v>0</v>
      </c>
      <c r="K40" s="11">
        <v>0</v>
      </c>
      <c r="L40" s="15">
        <f t="shared" si="1"/>
        <v>1</v>
      </c>
    </row>
    <row r="41" spans="1:12" ht="15" customHeight="1" x14ac:dyDescent="0.3">
      <c r="A41" s="10" t="s">
        <v>107</v>
      </c>
      <c r="B41" s="10" t="s">
        <v>192</v>
      </c>
      <c r="C41" s="11">
        <v>202510</v>
      </c>
      <c r="D41" s="11">
        <v>17</v>
      </c>
      <c r="E41" s="11">
        <v>17</v>
      </c>
      <c r="F41" s="11">
        <v>0</v>
      </c>
      <c r="G41" s="11">
        <v>0</v>
      </c>
      <c r="H41" s="14">
        <v>21421</v>
      </c>
      <c r="I41" s="11">
        <v>0</v>
      </c>
      <c r="J41" s="11">
        <v>0</v>
      </c>
      <c r="K41" s="11">
        <v>0</v>
      </c>
      <c r="L41" s="15">
        <f t="shared" si="1"/>
        <v>1</v>
      </c>
    </row>
    <row r="42" spans="1:12" ht="15" customHeight="1" x14ac:dyDescent="0.3">
      <c r="A42" s="10" t="s">
        <v>107</v>
      </c>
      <c r="B42" s="10" t="s">
        <v>193</v>
      </c>
      <c r="C42" s="11">
        <v>202511</v>
      </c>
      <c r="D42" s="11">
        <v>7</v>
      </c>
      <c r="E42" s="11">
        <v>6</v>
      </c>
      <c r="F42" s="11">
        <v>1</v>
      </c>
      <c r="G42" s="11">
        <v>0</v>
      </c>
      <c r="H42" s="14">
        <v>8026.9</v>
      </c>
      <c r="I42" s="11">
        <v>0</v>
      </c>
      <c r="J42" s="11">
        <v>0</v>
      </c>
      <c r="K42" s="11">
        <v>0</v>
      </c>
      <c r="L42" s="15">
        <f t="shared" si="1"/>
        <v>0.8571428571428571</v>
      </c>
    </row>
    <row r="43" spans="1:12" ht="15" customHeight="1" x14ac:dyDescent="0.3">
      <c r="A43" s="10" t="s">
        <v>107</v>
      </c>
      <c r="B43" s="10" t="s">
        <v>194</v>
      </c>
      <c r="C43" s="11">
        <v>202512</v>
      </c>
      <c r="D43" s="11">
        <v>15</v>
      </c>
      <c r="E43" s="11">
        <v>12</v>
      </c>
      <c r="F43" s="11">
        <v>2</v>
      </c>
      <c r="G43" s="11">
        <v>1</v>
      </c>
      <c r="H43" s="14">
        <v>16495.5</v>
      </c>
      <c r="I43" s="11">
        <v>1</v>
      </c>
      <c r="J43" s="11">
        <v>5</v>
      </c>
      <c r="K43" s="11">
        <v>1</v>
      </c>
      <c r="L43" s="15">
        <f t="shared" si="1"/>
        <v>0.8</v>
      </c>
    </row>
    <row r="44" spans="1:12" ht="15" customHeight="1" x14ac:dyDescent="0.3">
      <c r="A44" s="10" t="s">
        <v>107</v>
      </c>
      <c r="B44" s="10" t="s">
        <v>195</v>
      </c>
      <c r="C44" s="11">
        <v>202601</v>
      </c>
      <c r="D44" s="11">
        <v>13</v>
      </c>
      <c r="E44" s="11">
        <v>13</v>
      </c>
      <c r="F44" s="11">
        <v>0</v>
      </c>
      <c r="G44" s="11">
        <v>0</v>
      </c>
      <c r="H44" s="14">
        <v>15406.2</v>
      </c>
      <c r="I44" s="11">
        <v>0</v>
      </c>
      <c r="J44" s="11">
        <v>0</v>
      </c>
      <c r="K44" s="11">
        <v>0</v>
      </c>
      <c r="L44" s="15">
        <f t="shared" si="1"/>
        <v>1</v>
      </c>
    </row>
    <row r="45" spans="1:12" ht="15" customHeight="1" x14ac:dyDescent="0.3">
      <c r="A45" s="10" t="s">
        <v>107</v>
      </c>
      <c r="B45" s="10" t="s">
        <v>196</v>
      </c>
      <c r="C45" s="11">
        <v>202602</v>
      </c>
      <c r="D45" s="11">
        <v>10</v>
      </c>
      <c r="E45" s="11">
        <v>10</v>
      </c>
      <c r="F45" s="11">
        <v>0</v>
      </c>
      <c r="G45" s="11">
        <v>0</v>
      </c>
      <c r="H45" s="14">
        <v>11338.4</v>
      </c>
      <c r="I45" s="11">
        <v>0</v>
      </c>
      <c r="J45" s="11">
        <v>0</v>
      </c>
      <c r="K45" s="11">
        <v>0</v>
      </c>
      <c r="L45" s="15">
        <f t="shared" si="1"/>
        <v>1</v>
      </c>
    </row>
    <row r="46" spans="1:12" ht="15" customHeight="1" x14ac:dyDescent="0.3">
      <c r="A46" s="10" t="s">
        <v>107</v>
      </c>
      <c r="B46" s="10" t="s">
        <v>197</v>
      </c>
      <c r="C46" s="11">
        <v>202603</v>
      </c>
      <c r="D46" s="11">
        <v>16</v>
      </c>
      <c r="E46" s="11">
        <v>16</v>
      </c>
      <c r="F46" s="11">
        <v>0</v>
      </c>
      <c r="G46" s="11">
        <v>0</v>
      </c>
      <c r="H46" s="14">
        <v>20456.099999999999</v>
      </c>
      <c r="I46" s="11">
        <v>0</v>
      </c>
      <c r="J46" s="11">
        <v>0</v>
      </c>
      <c r="K46" s="11">
        <v>0</v>
      </c>
      <c r="L46" s="15">
        <f t="shared" si="1"/>
        <v>1</v>
      </c>
    </row>
    <row r="47" spans="1:12" ht="15" customHeight="1" x14ac:dyDescent="0.3">
      <c r="A47" s="10" t="s">
        <v>107</v>
      </c>
      <c r="B47" s="10" t="s">
        <v>198</v>
      </c>
      <c r="C47" s="11">
        <v>202604</v>
      </c>
      <c r="D47" s="11">
        <v>13</v>
      </c>
      <c r="E47" s="11">
        <v>13</v>
      </c>
      <c r="F47" s="11">
        <v>0</v>
      </c>
      <c r="G47" s="11">
        <v>0</v>
      </c>
      <c r="H47" s="14">
        <v>19595.099999999999</v>
      </c>
      <c r="I47" s="11">
        <v>0</v>
      </c>
      <c r="J47" s="11">
        <v>0</v>
      </c>
      <c r="K47" s="11">
        <v>0</v>
      </c>
      <c r="L47" s="15">
        <f t="shared" si="1"/>
        <v>1</v>
      </c>
    </row>
    <row r="48" spans="1:12" ht="15" customHeight="1" x14ac:dyDescent="0.3">
      <c r="A48" s="10" t="s">
        <v>107</v>
      </c>
      <c r="B48" s="10" t="s">
        <v>199</v>
      </c>
      <c r="C48" s="11">
        <v>202605</v>
      </c>
      <c r="D48" s="11">
        <v>17</v>
      </c>
      <c r="E48" s="11">
        <v>16</v>
      </c>
      <c r="F48" s="11">
        <v>0</v>
      </c>
      <c r="G48" s="11">
        <v>1</v>
      </c>
      <c r="H48" s="14">
        <v>25894.7</v>
      </c>
      <c r="I48" s="11">
        <v>1</v>
      </c>
      <c r="J48" s="11">
        <v>11</v>
      </c>
      <c r="K48" s="11">
        <v>1</v>
      </c>
      <c r="L48" s="15">
        <f t="shared" si="1"/>
        <v>0.94117647058823528</v>
      </c>
    </row>
    <row r="49" spans="1:12" ht="15" customHeight="1" x14ac:dyDescent="0.3">
      <c r="A49" s="10" t="s">
        <v>107</v>
      </c>
      <c r="B49" s="10" t="s">
        <v>200</v>
      </c>
      <c r="C49" s="11">
        <v>202606</v>
      </c>
      <c r="D49" s="11">
        <v>16</v>
      </c>
      <c r="E49" s="11">
        <v>16</v>
      </c>
      <c r="F49" s="11">
        <v>0</v>
      </c>
      <c r="G49" s="11">
        <v>0</v>
      </c>
      <c r="H49" s="14">
        <v>21954.9</v>
      </c>
      <c r="I49" s="11">
        <v>0</v>
      </c>
      <c r="J49" s="11">
        <v>0</v>
      </c>
      <c r="K49" s="11">
        <v>0</v>
      </c>
      <c r="L49" s="15">
        <f t="shared" si="1"/>
        <v>1</v>
      </c>
    </row>
    <row r="50" spans="1:12" ht="15" customHeight="1" x14ac:dyDescent="0.3">
      <c r="A50" s="10" t="s">
        <v>107</v>
      </c>
      <c r="B50" s="10" t="s">
        <v>201</v>
      </c>
      <c r="C50" s="11">
        <v>202607</v>
      </c>
      <c r="D50" s="11">
        <v>12</v>
      </c>
      <c r="E50" s="11">
        <v>12</v>
      </c>
      <c r="F50" s="11">
        <v>0</v>
      </c>
      <c r="G50" s="11">
        <v>0</v>
      </c>
      <c r="H50" s="14">
        <v>16799.7</v>
      </c>
      <c r="I50" s="11">
        <v>0</v>
      </c>
      <c r="J50" s="11">
        <v>0</v>
      </c>
      <c r="K50" s="11">
        <v>0</v>
      </c>
      <c r="L50" s="15">
        <f t="shared" si="1"/>
        <v>1</v>
      </c>
    </row>
    <row r="51" spans="1:12" ht="15" customHeight="1" x14ac:dyDescent="0.3">
      <c r="A51" s="10" t="s">
        <v>107</v>
      </c>
      <c r="B51" s="10" t="s">
        <v>202</v>
      </c>
      <c r="C51" s="11">
        <v>202608</v>
      </c>
      <c r="D51" s="11">
        <v>18</v>
      </c>
      <c r="E51" s="11">
        <v>17</v>
      </c>
      <c r="F51" s="11">
        <v>1</v>
      </c>
      <c r="G51" s="11">
        <v>0</v>
      </c>
      <c r="H51" s="14">
        <v>25058.2</v>
      </c>
      <c r="I51" s="11">
        <v>0</v>
      </c>
      <c r="J51" s="11">
        <v>0</v>
      </c>
      <c r="K51" s="11">
        <v>0</v>
      </c>
      <c r="L51" s="15">
        <f t="shared" si="1"/>
        <v>0.94444444444444442</v>
      </c>
    </row>
    <row r="52" spans="1:12" ht="15" customHeight="1" x14ac:dyDescent="0.3">
      <c r="A52" s="10" t="s">
        <v>107</v>
      </c>
      <c r="B52" s="10" t="s">
        <v>203</v>
      </c>
      <c r="C52" s="11">
        <v>202609</v>
      </c>
      <c r="D52" s="11">
        <v>18</v>
      </c>
      <c r="E52" s="11">
        <v>16</v>
      </c>
      <c r="F52" s="11">
        <v>2</v>
      </c>
      <c r="G52" s="11">
        <v>0</v>
      </c>
      <c r="H52" s="14">
        <v>25947.599999999999</v>
      </c>
      <c r="I52" s="11">
        <v>0</v>
      </c>
      <c r="J52" s="11">
        <v>0</v>
      </c>
      <c r="K52" s="11">
        <v>0</v>
      </c>
      <c r="L52" s="15">
        <f t="shared" si="1"/>
        <v>0.88888888888888884</v>
      </c>
    </row>
    <row r="53" spans="1:12" ht="15" customHeight="1" x14ac:dyDescent="0.3">
      <c r="A53" s="10" t="s">
        <v>107</v>
      </c>
      <c r="B53" s="10" t="s">
        <v>204</v>
      </c>
      <c r="C53" s="11">
        <v>202610</v>
      </c>
      <c r="D53" s="11">
        <v>13</v>
      </c>
      <c r="E53" s="11">
        <v>11</v>
      </c>
      <c r="F53" s="11">
        <v>1</v>
      </c>
      <c r="G53" s="11">
        <v>1</v>
      </c>
      <c r="H53" s="14">
        <v>17690.400000000001</v>
      </c>
      <c r="I53" s="11">
        <v>1</v>
      </c>
      <c r="J53" s="11">
        <v>7</v>
      </c>
      <c r="K53" s="11">
        <v>1</v>
      </c>
      <c r="L53" s="15">
        <f t="shared" si="1"/>
        <v>0.84615384615384615</v>
      </c>
    </row>
    <row r="54" spans="1:12" ht="15" customHeight="1" x14ac:dyDescent="0.3">
      <c r="A54" s="10" t="s">
        <v>107</v>
      </c>
      <c r="B54" s="10" t="s">
        <v>205</v>
      </c>
      <c r="C54" s="11">
        <v>202611</v>
      </c>
      <c r="D54" s="11">
        <v>17</v>
      </c>
      <c r="E54" s="11">
        <v>17</v>
      </c>
      <c r="F54" s="11">
        <v>0</v>
      </c>
      <c r="G54" s="11">
        <v>0</v>
      </c>
      <c r="H54" s="14">
        <v>25502.1</v>
      </c>
      <c r="I54" s="11">
        <v>0</v>
      </c>
      <c r="J54" s="11">
        <v>0</v>
      </c>
      <c r="K54" s="11">
        <v>0</v>
      </c>
      <c r="L54" s="15">
        <f t="shared" si="1"/>
        <v>1</v>
      </c>
    </row>
    <row r="55" spans="1:12" ht="15" customHeight="1" x14ac:dyDescent="0.3">
      <c r="A55" s="10" t="s">
        <v>107</v>
      </c>
      <c r="B55" s="10" t="s">
        <v>206</v>
      </c>
      <c r="C55" s="11">
        <v>202612</v>
      </c>
      <c r="D55" s="11">
        <v>15</v>
      </c>
      <c r="E55" s="11">
        <v>15</v>
      </c>
      <c r="F55" s="11">
        <v>0</v>
      </c>
      <c r="G55" s="11">
        <v>0</v>
      </c>
      <c r="H55" s="14">
        <v>18739.8</v>
      </c>
      <c r="I55" s="11">
        <v>0</v>
      </c>
      <c r="J55" s="11">
        <v>0</v>
      </c>
      <c r="K55" s="11">
        <v>0</v>
      </c>
      <c r="L55" s="15">
        <f t="shared" si="1"/>
        <v>1</v>
      </c>
    </row>
    <row r="56" spans="1:12" ht="15" customHeight="1" x14ac:dyDescent="0.3">
      <c r="A56" s="10" t="s">
        <v>110</v>
      </c>
      <c r="B56" s="10" t="s">
        <v>189</v>
      </c>
      <c r="C56" s="11">
        <v>202507</v>
      </c>
      <c r="D56" s="11">
        <v>22</v>
      </c>
      <c r="E56" s="11">
        <v>20</v>
      </c>
      <c r="F56" s="11">
        <v>0</v>
      </c>
      <c r="G56" s="11">
        <v>2</v>
      </c>
      <c r="H56" s="14">
        <v>28771.9</v>
      </c>
      <c r="I56" s="11">
        <v>2</v>
      </c>
      <c r="J56" s="11">
        <v>18</v>
      </c>
      <c r="K56" s="11">
        <v>1</v>
      </c>
      <c r="L56" s="15">
        <f t="shared" si="1"/>
        <v>0.90909090909090906</v>
      </c>
    </row>
    <row r="57" spans="1:12" ht="15" customHeight="1" x14ac:dyDescent="0.3">
      <c r="A57" s="10" t="s">
        <v>110</v>
      </c>
      <c r="B57" s="10" t="s">
        <v>190</v>
      </c>
      <c r="C57" s="11">
        <v>202508</v>
      </c>
      <c r="D57" s="11">
        <v>20</v>
      </c>
      <c r="E57" s="11">
        <v>19</v>
      </c>
      <c r="F57" s="11">
        <v>0</v>
      </c>
      <c r="G57" s="11">
        <v>1</v>
      </c>
      <c r="H57" s="14">
        <v>26470.5</v>
      </c>
      <c r="I57" s="11">
        <v>0</v>
      </c>
      <c r="J57" s="11">
        <v>0</v>
      </c>
      <c r="K57" s="11">
        <v>0</v>
      </c>
      <c r="L57" s="15">
        <f t="shared" si="1"/>
        <v>0.95</v>
      </c>
    </row>
    <row r="58" spans="1:12" ht="15" customHeight="1" x14ac:dyDescent="0.3">
      <c r="A58" s="10" t="s">
        <v>110</v>
      </c>
      <c r="B58" s="10" t="s">
        <v>191</v>
      </c>
      <c r="C58" s="11">
        <v>202509</v>
      </c>
      <c r="D58" s="11">
        <v>16</v>
      </c>
      <c r="E58" s="11">
        <v>13</v>
      </c>
      <c r="F58" s="11">
        <v>0</v>
      </c>
      <c r="G58" s="11">
        <v>3</v>
      </c>
      <c r="H58" s="14">
        <v>22363.8</v>
      </c>
      <c r="I58" s="11">
        <v>1</v>
      </c>
      <c r="J58" s="11">
        <v>10</v>
      </c>
      <c r="K58" s="11">
        <v>1</v>
      </c>
      <c r="L58" s="15">
        <f t="shared" si="1"/>
        <v>0.8125</v>
      </c>
    </row>
    <row r="59" spans="1:12" ht="15" customHeight="1" x14ac:dyDescent="0.3">
      <c r="A59" s="10" t="s">
        <v>110</v>
      </c>
      <c r="B59" s="10" t="s">
        <v>192</v>
      </c>
      <c r="C59" s="11">
        <v>202510</v>
      </c>
      <c r="D59" s="11">
        <v>22</v>
      </c>
      <c r="E59" s="11">
        <v>21</v>
      </c>
      <c r="F59" s="11">
        <v>1</v>
      </c>
      <c r="G59" s="11">
        <v>0</v>
      </c>
      <c r="H59" s="14">
        <v>29175.1</v>
      </c>
      <c r="I59" s="11">
        <v>1</v>
      </c>
      <c r="J59" s="11">
        <v>8</v>
      </c>
      <c r="K59" s="11">
        <v>1</v>
      </c>
      <c r="L59" s="15">
        <f t="shared" si="1"/>
        <v>0.95454545454545459</v>
      </c>
    </row>
    <row r="60" spans="1:12" ht="15" customHeight="1" x14ac:dyDescent="0.3">
      <c r="A60" s="10" t="s">
        <v>110</v>
      </c>
      <c r="B60" s="10" t="s">
        <v>193</v>
      </c>
      <c r="C60" s="11">
        <v>202511</v>
      </c>
      <c r="D60" s="11">
        <v>20</v>
      </c>
      <c r="E60" s="11">
        <v>17</v>
      </c>
      <c r="F60" s="11">
        <v>3</v>
      </c>
      <c r="G60" s="11">
        <v>0</v>
      </c>
      <c r="H60" s="14">
        <v>27560.400000000001</v>
      </c>
      <c r="I60" s="11">
        <v>0</v>
      </c>
      <c r="J60" s="11">
        <v>0</v>
      </c>
      <c r="K60" s="11">
        <v>0</v>
      </c>
      <c r="L60" s="15">
        <f t="shared" si="1"/>
        <v>0.85</v>
      </c>
    </row>
    <row r="61" spans="1:12" ht="15" customHeight="1" x14ac:dyDescent="0.3">
      <c r="A61" s="10" t="s">
        <v>110</v>
      </c>
      <c r="B61" s="10" t="s">
        <v>194</v>
      </c>
      <c r="C61" s="11">
        <v>202512</v>
      </c>
      <c r="D61" s="11">
        <v>20</v>
      </c>
      <c r="E61" s="11">
        <v>18</v>
      </c>
      <c r="F61" s="11">
        <v>1</v>
      </c>
      <c r="G61" s="11">
        <v>1</v>
      </c>
      <c r="H61" s="14">
        <v>27390.2</v>
      </c>
      <c r="I61" s="11">
        <v>0</v>
      </c>
      <c r="J61" s="11">
        <v>0</v>
      </c>
      <c r="K61" s="11">
        <v>0</v>
      </c>
      <c r="L61" s="15">
        <f t="shared" si="1"/>
        <v>0.9</v>
      </c>
    </row>
    <row r="62" spans="1:12" ht="15" customHeight="1" x14ac:dyDescent="0.3">
      <c r="A62" s="10" t="s">
        <v>110</v>
      </c>
      <c r="B62" s="10" t="s">
        <v>195</v>
      </c>
      <c r="C62" s="11">
        <v>202601</v>
      </c>
      <c r="D62" s="11">
        <v>22</v>
      </c>
      <c r="E62" s="11">
        <v>18</v>
      </c>
      <c r="F62" s="11">
        <v>3</v>
      </c>
      <c r="G62" s="11">
        <v>1</v>
      </c>
      <c r="H62" s="14">
        <v>27573.8</v>
      </c>
      <c r="I62" s="11">
        <v>2</v>
      </c>
      <c r="J62" s="11">
        <v>13</v>
      </c>
      <c r="K62" s="11">
        <v>0</v>
      </c>
      <c r="L62" s="15">
        <f t="shared" si="1"/>
        <v>0.81818181818181823</v>
      </c>
    </row>
    <row r="63" spans="1:12" ht="15" customHeight="1" x14ac:dyDescent="0.3">
      <c r="A63" s="10" t="s">
        <v>110</v>
      </c>
      <c r="B63" s="10" t="s">
        <v>196</v>
      </c>
      <c r="C63" s="11">
        <v>202602</v>
      </c>
      <c r="D63" s="11">
        <v>20</v>
      </c>
      <c r="E63" s="11">
        <v>18</v>
      </c>
      <c r="F63" s="11">
        <v>1</v>
      </c>
      <c r="G63" s="11">
        <v>1</v>
      </c>
      <c r="H63" s="14">
        <v>20560.2</v>
      </c>
      <c r="I63" s="11">
        <v>0</v>
      </c>
      <c r="J63" s="11">
        <v>0</v>
      </c>
      <c r="K63" s="11">
        <v>0</v>
      </c>
      <c r="L63" s="15">
        <f t="shared" si="1"/>
        <v>0.9</v>
      </c>
    </row>
    <row r="64" spans="1:12" ht="15" customHeight="1" x14ac:dyDescent="0.3">
      <c r="A64" s="10" t="s">
        <v>110</v>
      </c>
      <c r="B64" s="10" t="s">
        <v>197</v>
      </c>
      <c r="C64" s="11">
        <v>202603</v>
      </c>
      <c r="D64" s="11">
        <v>14</v>
      </c>
      <c r="E64" s="11">
        <v>14</v>
      </c>
      <c r="F64" s="11">
        <v>0</v>
      </c>
      <c r="G64" s="11">
        <v>0</v>
      </c>
      <c r="H64" s="14">
        <v>20458.7</v>
      </c>
      <c r="I64" s="11">
        <v>0</v>
      </c>
      <c r="J64" s="11">
        <v>0</v>
      </c>
      <c r="K64" s="11">
        <v>0</v>
      </c>
      <c r="L64" s="15">
        <f t="shared" si="1"/>
        <v>1</v>
      </c>
    </row>
    <row r="65" spans="1:12" ht="15" customHeight="1" x14ac:dyDescent="0.3">
      <c r="A65" s="10" t="s">
        <v>110</v>
      </c>
      <c r="B65" s="10" t="s">
        <v>198</v>
      </c>
      <c r="C65" s="11">
        <v>202604</v>
      </c>
      <c r="D65" s="11">
        <v>20</v>
      </c>
      <c r="E65" s="11">
        <v>18</v>
      </c>
      <c r="F65" s="11">
        <v>1</v>
      </c>
      <c r="G65" s="11">
        <v>1</v>
      </c>
      <c r="H65" s="14">
        <v>26101.7</v>
      </c>
      <c r="I65" s="11">
        <v>2</v>
      </c>
      <c r="J65" s="11">
        <v>14</v>
      </c>
      <c r="K65" s="11">
        <v>2</v>
      </c>
      <c r="L65" s="15">
        <f t="shared" si="1"/>
        <v>0.9</v>
      </c>
    </row>
    <row r="66" spans="1:12" ht="15" customHeight="1" x14ac:dyDescent="0.3">
      <c r="A66" s="10" t="s">
        <v>110</v>
      </c>
      <c r="B66" s="10" t="s">
        <v>199</v>
      </c>
      <c r="C66" s="11">
        <v>202605</v>
      </c>
      <c r="D66" s="11">
        <v>16</v>
      </c>
      <c r="E66" s="11">
        <v>11</v>
      </c>
      <c r="F66" s="11">
        <v>2</v>
      </c>
      <c r="G66" s="11">
        <v>3</v>
      </c>
      <c r="H66" s="14">
        <v>21030.799999999999</v>
      </c>
      <c r="I66" s="11">
        <v>1</v>
      </c>
      <c r="J66" s="11">
        <v>3</v>
      </c>
      <c r="K66" s="11">
        <v>1</v>
      </c>
      <c r="L66" s="15">
        <f t="shared" ref="L66:L97" si="2">IFERROR(E66/D66,"")</f>
        <v>0.6875</v>
      </c>
    </row>
    <row r="67" spans="1:12" ht="15" customHeight="1" x14ac:dyDescent="0.3">
      <c r="A67" s="10" t="s">
        <v>110</v>
      </c>
      <c r="B67" s="10" t="s">
        <v>200</v>
      </c>
      <c r="C67" s="11">
        <v>202606</v>
      </c>
      <c r="D67" s="11">
        <v>17</v>
      </c>
      <c r="E67" s="11">
        <v>14</v>
      </c>
      <c r="F67" s="11">
        <v>3</v>
      </c>
      <c r="G67" s="11">
        <v>0</v>
      </c>
      <c r="H67" s="14">
        <v>24162</v>
      </c>
      <c r="I67" s="11">
        <v>0</v>
      </c>
      <c r="J67" s="11">
        <v>0</v>
      </c>
      <c r="K67" s="11">
        <v>0</v>
      </c>
      <c r="L67" s="15">
        <f t="shared" si="2"/>
        <v>0.82352941176470584</v>
      </c>
    </row>
    <row r="68" spans="1:12" ht="15" customHeight="1" x14ac:dyDescent="0.3">
      <c r="A68" s="10" t="s">
        <v>110</v>
      </c>
      <c r="B68" s="10" t="s">
        <v>201</v>
      </c>
      <c r="C68" s="11">
        <v>202607</v>
      </c>
      <c r="D68" s="11">
        <v>12</v>
      </c>
      <c r="E68" s="11">
        <v>11</v>
      </c>
      <c r="F68" s="11">
        <v>1</v>
      </c>
      <c r="G68" s="11">
        <v>0</v>
      </c>
      <c r="H68" s="14">
        <v>15761.6</v>
      </c>
      <c r="I68" s="11">
        <v>0</v>
      </c>
      <c r="J68" s="11">
        <v>0</v>
      </c>
      <c r="K68" s="11">
        <v>0</v>
      </c>
      <c r="L68" s="15">
        <f t="shared" si="2"/>
        <v>0.91666666666666663</v>
      </c>
    </row>
    <row r="69" spans="1:12" ht="15" customHeight="1" x14ac:dyDescent="0.3">
      <c r="A69" s="10" t="s">
        <v>110</v>
      </c>
      <c r="B69" s="10" t="s">
        <v>202</v>
      </c>
      <c r="C69" s="11">
        <v>202608</v>
      </c>
      <c r="D69" s="11">
        <v>17</v>
      </c>
      <c r="E69" s="11">
        <v>17</v>
      </c>
      <c r="F69" s="11">
        <v>0</v>
      </c>
      <c r="G69" s="11">
        <v>0</v>
      </c>
      <c r="H69" s="14">
        <v>23520.5</v>
      </c>
      <c r="I69" s="11">
        <v>0</v>
      </c>
      <c r="J69" s="11">
        <v>0</v>
      </c>
      <c r="K69" s="11">
        <v>0</v>
      </c>
      <c r="L69" s="15">
        <f t="shared" si="2"/>
        <v>1</v>
      </c>
    </row>
    <row r="70" spans="1:12" ht="15" customHeight="1" x14ac:dyDescent="0.3">
      <c r="A70" s="10" t="s">
        <v>110</v>
      </c>
      <c r="B70" s="10" t="s">
        <v>203</v>
      </c>
      <c r="C70" s="11">
        <v>202609</v>
      </c>
      <c r="D70" s="11">
        <v>20</v>
      </c>
      <c r="E70" s="11">
        <v>19</v>
      </c>
      <c r="F70" s="11">
        <v>1</v>
      </c>
      <c r="G70" s="11">
        <v>0</v>
      </c>
      <c r="H70" s="14">
        <v>28700.5</v>
      </c>
      <c r="I70" s="11">
        <v>0</v>
      </c>
      <c r="J70" s="11">
        <v>0</v>
      </c>
      <c r="K70" s="11">
        <v>0</v>
      </c>
      <c r="L70" s="15">
        <f t="shared" si="2"/>
        <v>0.95</v>
      </c>
    </row>
    <row r="71" spans="1:12" ht="15" customHeight="1" x14ac:dyDescent="0.3">
      <c r="A71" s="10" t="s">
        <v>110</v>
      </c>
      <c r="B71" s="10" t="s">
        <v>204</v>
      </c>
      <c r="C71" s="11">
        <v>202610</v>
      </c>
      <c r="D71" s="11">
        <v>21</v>
      </c>
      <c r="E71" s="11">
        <v>20</v>
      </c>
      <c r="F71" s="11">
        <v>1</v>
      </c>
      <c r="G71" s="11">
        <v>0</v>
      </c>
      <c r="H71" s="14">
        <v>27151.9</v>
      </c>
      <c r="I71" s="11">
        <v>1</v>
      </c>
      <c r="J71" s="11">
        <v>7</v>
      </c>
      <c r="K71" s="11">
        <v>0</v>
      </c>
      <c r="L71" s="15">
        <f t="shared" si="2"/>
        <v>0.95238095238095233</v>
      </c>
    </row>
    <row r="72" spans="1:12" ht="15" customHeight="1" x14ac:dyDescent="0.3">
      <c r="A72" s="10" t="s">
        <v>110</v>
      </c>
      <c r="B72" s="10" t="s">
        <v>205</v>
      </c>
      <c r="C72" s="11">
        <v>202611</v>
      </c>
      <c r="D72" s="11">
        <v>16</v>
      </c>
      <c r="E72" s="11">
        <v>16</v>
      </c>
      <c r="F72" s="11">
        <v>0</v>
      </c>
      <c r="G72" s="11">
        <v>0</v>
      </c>
      <c r="H72" s="14">
        <v>17869.900000000001</v>
      </c>
      <c r="I72" s="11">
        <v>0</v>
      </c>
      <c r="J72" s="11">
        <v>0</v>
      </c>
      <c r="K72" s="11">
        <v>0</v>
      </c>
      <c r="L72" s="15">
        <f t="shared" si="2"/>
        <v>1</v>
      </c>
    </row>
    <row r="73" spans="1:12" ht="15" customHeight="1" x14ac:dyDescent="0.3">
      <c r="A73" s="10" t="s">
        <v>110</v>
      </c>
      <c r="B73" s="10" t="s">
        <v>206</v>
      </c>
      <c r="C73" s="11">
        <v>202612</v>
      </c>
      <c r="D73" s="11">
        <v>17</v>
      </c>
      <c r="E73" s="11">
        <v>17</v>
      </c>
      <c r="F73" s="11">
        <v>0</v>
      </c>
      <c r="G73" s="11">
        <v>0</v>
      </c>
      <c r="H73" s="14">
        <v>22681.4</v>
      </c>
      <c r="I73" s="11">
        <v>0</v>
      </c>
      <c r="J73" s="11">
        <v>0</v>
      </c>
      <c r="K73" s="11">
        <v>0</v>
      </c>
      <c r="L73" s="15">
        <f t="shared" si="2"/>
        <v>1</v>
      </c>
    </row>
    <row r="74" spans="1:12" ht="15" customHeight="1" x14ac:dyDescent="0.3">
      <c r="A74" s="10" t="s">
        <v>115</v>
      </c>
      <c r="B74" s="10" t="s">
        <v>189</v>
      </c>
      <c r="C74" s="11">
        <v>202507</v>
      </c>
      <c r="D74" s="11">
        <v>15</v>
      </c>
      <c r="E74" s="11">
        <v>11</v>
      </c>
      <c r="F74" s="11">
        <v>4</v>
      </c>
      <c r="G74" s="11">
        <v>0</v>
      </c>
      <c r="H74" s="14">
        <v>19080.599999999999</v>
      </c>
      <c r="I74" s="11">
        <v>1</v>
      </c>
      <c r="J74" s="11">
        <v>7</v>
      </c>
      <c r="K74" s="11">
        <v>1</v>
      </c>
      <c r="L74" s="15">
        <f t="shared" si="2"/>
        <v>0.73333333333333328</v>
      </c>
    </row>
    <row r="75" spans="1:12" ht="15" customHeight="1" x14ac:dyDescent="0.3">
      <c r="A75" s="10" t="s">
        <v>115</v>
      </c>
      <c r="B75" s="10" t="s">
        <v>190</v>
      </c>
      <c r="C75" s="11">
        <v>202508</v>
      </c>
      <c r="D75" s="11">
        <v>13</v>
      </c>
      <c r="E75" s="11">
        <v>12</v>
      </c>
      <c r="F75" s="11">
        <v>1</v>
      </c>
      <c r="G75" s="11">
        <v>0</v>
      </c>
      <c r="H75" s="14">
        <v>15108</v>
      </c>
      <c r="I75" s="11">
        <v>0</v>
      </c>
      <c r="J75" s="11">
        <v>0</v>
      </c>
      <c r="K75" s="11">
        <v>0</v>
      </c>
      <c r="L75" s="15">
        <f t="shared" si="2"/>
        <v>0.92307692307692313</v>
      </c>
    </row>
    <row r="76" spans="1:12" ht="15" customHeight="1" x14ac:dyDescent="0.3">
      <c r="A76" s="10" t="s">
        <v>115</v>
      </c>
      <c r="B76" s="10" t="s">
        <v>191</v>
      </c>
      <c r="C76" s="11">
        <v>202509</v>
      </c>
      <c r="D76" s="11">
        <v>11</v>
      </c>
      <c r="E76" s="11">
        <v>6</v>
      </c>
      <c r="F76" s="11">
        <v>5</v>
      </c>
      <c r="G76" s="11">
        <v>0</v>
      </c>
      <c r="H76" s="14">
        <v>12130.1</v>
      </c>
      <c r="I76" s="11">
        <v>3</v>
      </c>
      <c r="J76" s="11">
        <v>16</v>
      </c>
      <c r="K76" s="11">
        <v>3</v>
      </c>
      <c r="L76" s="15">
        <f t="shared" si="2"/>
        <v>0.54545454545454541</v>
      </c>
    </row>
    <row r="77" spans="1:12" ht="15" customHeight="1" x14ac:dyDescent="0.3">
      <c r="A77" s="10" t="s">
        <v>115</v>
      </c>
      <c r="B77" s="10" t="s">
        <v>192</v>
      </c>
      <c r="C77" s="11">
        <v>202510</v>
      </c>
      <c r="D77" s="11">
        <v>16</v>
      </c>
      <c r="E77" s="11">
        <v>14</v>
      </c>
      <c r="F77" s="11">
        <v>1</v>
      </c>
      <c r="G77" s="11">
        <v>1</v>
      </c>
      <c r="H77" s="14">
        <v>19525.599999999999</v>
      </c>
      <c r="I77" s="11">
        <v>1</v>
      </c>
      <c r="J77" s="11">
        <v>5</v>
      </c>
      <c r="K77" s="11">
        <v>0</v>
      </c>
      <c r="L77" s="15">
        <f t="shared" si="2"/>
        <v>0.875</v>
      </c>
    </row>
    <row r="78" spans="1:12" ht="15" customHeight="1" x14ac:dyDescent="0.3">
      <c r="A78" s="10" t="s">
        <v>115</v>
      </c>
      <c r="B78" s="10" t="s">
        <v>193</v>
      </c>
      <c r="C78" s="11">
        <v>202511</v>
      </c>
      <c r="D78" s="11">
        <v>11</v>
      </c>
      <c r="E78" s="11">
        <v>9</v>
      </c>
      <c r="F78" s="11">
        <v>2</v>
      </c>
      <c r="G78" s="11">
        <v>0</v>
      </c>
      <c r="H78" s="14">
        <v>16388.8</v>
      </c>
      <c r="I78" s="11">
        <v>1</v>
      </c>
      <c r="J78" s="11">
        <v>6</v>
      </c>
      <c r="K78" s="11">
        <v>1</v>
      </c>
      <c r="L78" s="15">
        <f t="shared" si="2"/>
        <v>0.81818181818181823</v>
      </c>
    </row>
    <row r="79" spans="1:12" ht="15" customHeight="1" x14ac:dyDescent="0.3">
      <c r="A79" s="10" t="s">
        <v>115</v>
      </c>
      <c r="B79" s="10" t="s">
        <v>194</v>
      </c>
      <c r="C79" s="11">
        <v>202512</v>
      </c>
      <c r="D79" s="11">
        <v>16</v>
      </c>
      <c r="E79" s="11">
        <v>10</v>
      </c>
      <c r="F79" s="11">
        <v>4</v>
      </c>
      <c r="G79" s="11">
        <v>2</v>
      </c>
      <c r="H79" s="14">
        <v>20923.400000000001</v>
      </c>
      <c r="I79" s="11">
        <v>2</v>
      </c>
      <c r="J79" s="11">
        <v>15</v>
      </c>
      <c r="K79" s="11">
        <v>2</v>
      </c>
      <c r="L79" s="15">
        <f t="shared" si="2"/>
        <v>0.625</v>
      </c>
    </row>
    <row r="80" spans="1:12" ht="15" customHeight="1" x14ac:dyDescent="0.3">
      <c r="A80" s="10" t="s">
        <v>115</v>
      </c>
      <c r="B80" s="10" t="s">
        <v>195</v>
      </c>
      <c r="C80" s="11">
        <v>202601</v>
      </c>
      <c r="D80" s="11">
        <v>11</v>
      </c>
      <c r="E80" s="11">
        <v>8</v>
      </c>
      <c r="F80" s="11">
        <v>1</v>
      </c>
      <c r="G80" s="11">
        <v>2</v>
      </c>
      <c r="H80" s="14">
        <v>14054.4</v>
      </c>
      <c r="I80" s="11">
        <v>1</v>
      </c>
      <c r="J80" s="11">
        <v>9</v>
      </c>
      <c r="K80" s="11">
        <v>1</v>
      </c>
      <c r="L80" s="15">
        <f t="shared" si="2"/>
        <v>0.72727272727272729</v>
      </c>
    </row>
    <row r="81" spans="1:12" ht="15" customHeight="1" x14ac:dyDescent="0.3">
      <c r="A81" s="10" t="s">
        <v>115</v>
      </c>
      <c r="B81" s="10" t="s">
        <v>196</v>
      </c>
      <c r="C81" s="11">
        <v>202602</v>
      </c>
      <c r="D81" s="11">
        <v>8</v>
      </c>
      <c r="E81" s="11">
        <v>6</v>
      </c>
      <c r="F81" s="11">
        <v>1</v>
      </c>
      <c r="G81" s="11">
        <v>1</v>
      </c>
      <c r="H81" s="14">
        <v>10184.700000000001</v>
      </c>
      <c r="I81" s="11">
        <v>1</v>
      </c>
      <c r="J81" s="11">
        <v>2</v>
      </c>
      <c r="K81" s="11">
        <v>1</v>
      </c>
      <c r="L81" s="15">
        <f t="shared" si="2"/>
        <v>0.75</v>
      </c>
    </row>
    <row r="82" spans="1:12" ht="15" customHeight="1" x14ac:dyDescent="0.3">
      <c r="A82" s="10" t="s">
        <v>115</v>
      </c>
      <c r="B82" s="10" t="s">
        <v>197</v>
      </c>
      <c r="C82" s="11">
        <v>202603</v>
      </c>
      <c r="D82" s="11">
        <v>22</v>
      </c>
      <c r="E82" s="11">
        <v>13</v>
      </c>
      <c r="F82" s="11">
        <v>6</v>
      </c>
      <c r="G82" s="11">
        <v>3</v>
      </c>
      <c r="H82" s="14">
        <v>24042.1</v>
      </c>
      <c r="I82" s="11">
        <v>7</v>
      </c>
      <c r="J82" s="11">
        <v>47</v>
      </c>
      <c r="K82" s="11">
        <v>5</v>
      </c>
      <c r="L82" s="15">
        <f t="shared" si="2"/>
        <v>0.59090909090909094</v>
      </c>
    </row>
    <row r="83" spans="1:12" ht="15" customHeight="1" x14ac:dyDescent="0.3">
      <c r="A83" s="10" t="s">
        <v>115</v>
      </c>
      <c r="B83" s="10" t="s">
        <v>198</v>
      </c>
      <c r="C83" s="11">
        <v>202604</v>
      </c>
      <c r="D83" s="11">
        <v>16</v>
      </c>
      <c r="E83" s="11">
        <v>13</v>
      </c>
      <c r="F83" s="11">
        <v>1</v>
      </c>
      <c r="G83" s="11">
        <v>2</v>
      </c>
      <c r="H83" s="14">
        <v>19802.8</v>
      </c>
      <c r="I83" s="11">
        <v>1</v>
      </c>
      <c r="J83" s="11">
        <v>3</v>
      </c>
      <c r="K83" s="11">
        <v>1</v>
      </c>
      <c r="L83" s="15">
        <f t="shared" si="2"/>
        <v>0.8125</v>
      </c>
    </row>
    <row r="84" spans="1:12" ht="15" customHeight="1" x14ac:dyDescent="0.3">
      <c r="A84" s="10" t="s">
        <v>115</v>
      </c>
      <c r="B84" s="10" t="s">
        <v>199</v>
      </c>
      <c r="C84" s="11">
        <v>202605</v>
      </c>
      <c r="D84" s="11">
        <v>18</v>
      </c>
      <c r="E84" s="11">
        <v>17</v>
      </c>
      <c r="F84" s="11">
        <v>1</v>
      </c>
      <c r="G84" s="11">
        <v>0</v>
      </c>
      <c r="H84" s="14">
        <v>23395.9</v>
      </c>
      <c r="I84" s="11">
        <v>0</v>
      </c>
      <c r="J84" s="11">
        <v>0</v>
      </c>
      <c r="K84" s="11">
        <v>0</v>
      </c>
      <c r="L84" s="15">
        <f t="shared" si="2"/>
        <v>0.94444444444444442</v>
      </c>
    </row>
    <row r="85" spans="1:12" ht="15" customHeight="1" x14ac:dyDescent="0.3">
      <c r="A85" s="10" t="s">
        <v>115</v>
      </c>
      <c r="B85" s="10" t="s">
        <v>200</v>
      </c>
      <c r="C85" s="11">
        <v>202606</v>
      </c>
      <c r="D85" s="11">
        <v>10</v>
      </c>
      <c r="E85" s="11">
        <v>6</v>
      </c>
      <c r="F85" s="11">
        <v>3</v>
      </c>
      <c r="G85" s="11">
        <v>1</v>
      </c>
      <c r="H85" s="14">
        <v>11740.6</v>
      </c>
      <c r="I85" s="11">
        <v>2</v>
      </c>
      <c r="J85" s="11">
        <v>14</v>
      </c>
      <c r="K85" s="11">
        <v>2</v>
      </c>
      <c r="L85" s="15">
        <f t="shared" si="2"/>
        <v>0.6</v>
      </c>
    </row>
    <row r="86" spans="1:12" ht="15" customHeight="1" x14ac:dyDescent="0.3">
      <c r="A86" s="10" t="s">
        <v>115</v>
      </c>
      <c r="B86" s="10" t="s">
        <v>201</v>
      </c>
      <c r="C86" s="11">
        <v>202607</v>
      </c>
      <c r="D86" s="11">
        <v>13</v>
      </c>
      <c r="E86" s="11">
        <v>12</v>
      </c>
      <c r="F86" s="11">
        <v>0</v>
      </c>
      <c r="G86" s="11">
        <v>1</v>
      </c>
      <c r="H86" s="14">
        <v>17370.5</v>
      </c>
      <c r="I86" s="11">
        <v>1</v>
      </c>
      <c r="J86" s="11">
        <v>5</v>
      </c>
      <c r="K86" s="11">
        <v>1</v>
      </c>
      <c r="L86" s="15">
        <f t="shared" si="2"/>
        <v>0.92307692307692313</v>
      </c>
    </row>
    <row r="87" spans="1:12" ht="15" customHeight="1" x14ac:dyDescent="0.3">
      <c r="A87" s="10" t="s">
        <v>115</v>
      </c>
      <c r="B87" s="10" t="s">
        <v>202</v>
      </c>
      <c r="C87" s="11">
        <v>202608</v>
      </c>
      <c r="D87" s="11">
        <v>16</v>
      </c>
      <c r="E87" s="11">
        <v>14</v>
      </c>
      <c r="F87" s="11">
        <v>1</v>
      </c>
      <c r="G87" s="11">
        <v>1</v>
      </c>
      <c r="H87" s="14">
        <v>20568.3</v>
      </c>
      <c r="I87" s="11">
        <v>0</v>
      </c>
      <c r="J87" s="11">
        <v>0</v>
      </c>
      <c r="K87" s="11">
        <v>0</v>
      </c>
      <c r="L87" s="15">
        <f t="shared" si="2"/>
        <v>0.875</v>
      </c>
    </row>
    <row r="88" spans="1:12" ht="15" customHeight="1" x14ac:dyDescent="0.3">
      <c r="A88" s="10" t="s">
        <v>115</v>
      </c>
      <c r="B88" s="10" t="s">
        <v>203</v>
      </c>
      <c r="C88" s="11">
        <v>202609</v>
      </c>
      <c r="D88" s="11">
        <v>14</v>
      </c>
      <c r="E88" s="11">
        <v>12</v>
      </c>
      <c r="F88" s="11">
        <v>2</v>
      </c>
      <c r="G88" s="11">
        <v>0</v>
      </c>
      <c r="H88" s="14">
        <v>18479.900000000001</v>
      </c>
      <c r="I88" s="11">
        <v>0</v>
      </c>
      <c r="J88" s="11">
        <v>0</v>
      </c>
      <c r="K88" s="11">
        <v>0</v>
      </c>
      <c r="L88" s="15">
        <f t="shared" si="2"/>
        <v>0.8571428571428571</v>
      </c>
    </row>
    <row r="89" spans="1:12" ht="15" customHeight="1" x14ac:dyDescent="0.3">
      <c r="A89" s="10" t="s">
        <v>115</v>
      </c>
      <c r="B89" s="10" t="s">
        <v>204</v>
      </c>
      <c r="C89" s="11">
        <v>202610</v>
      </c>
      <c r="D89" s="11">
        <v>17</v>
      </c>
      <c r="E89" s="11">
        <v>14</v>
      </c>
      <c r="F89" s="11">
        <v>3</v>
      </c>
      <c r="G89" s="11">
        <v>0</v>
      </c>
      <c r="H89" s="14">
        <v>22005.200000000001</v>
      </c>
      <c r="I89" s="11">
        <v>0</v>
      </c>
      <c r="J89" s="11">
        <v>0</v>
      </c>
      <c r="K89" s="11">
        <v>0</v>
      </c>
      <c r="L89" s="15">
        <f t="shared" si="2"/>
        <v>0.82352941176470584</v>
      </c>
    </row>
    <row r="90" spans="1:12" ht="15" customHeight="1" x14ac:dyDescent="0.3">
      <c r="A90" s="10" t="s">
        <v>115</v>
      </c>
      <c r="B90" s="10" t="s">
        <v>205</v>
      </c>
      <c r="C90" s="11">
        <v>202611</v>
      </c>
      <c r="D90" s="11">
        <v>14</v>
      </c>
      <c r="E90" s="11">
        <v>7</v>
      </c>
      <c r="F90" s="11">
        <v>5</v>
      </c>
      <c r="G90" s="11">
        <v>2</v>
      </c>
      <c r="H90" s="14">
        <v>18670</v>
      </c>
      <c r="I90" s="11">
        <v>4</v>
      </c>
      <c r="J90" s="11">
        <v>25</v>
      </c>
      <c r="K90" s="11">
        <v>4</v>
      </c>
      <c r="L90" s="15">
        <f t="shared" si="2"/>
        <v>0.5</v>
      </c>
    </row>
    <row r="91" spans="1:12" ht="15" customHeight="1" x14ac:dyDescent="0.3">
      <c r="A91" s="10" t="s">
        <v>115</v>
      </c>
      <c r="B91" s="10" t="s">
        <v>206</v>
      </c>
      <c r="C91" s="11">
        <v>202612</v>
      </c>
      <c r="D91" s="11">
        <v>18</v>
      </c>
      <c r="E91" s="11">
        <v>9</v>
      </c>
      <c r="F91" s="11">
        <v>7</v>
      </c>
      <c r="G91" s="11">
        <v>2</v>
      </c>
      <c r="H91" s="14">
        <v>28754</v>
      </c>
      <c r="I91" s="11">
        <v>4</v>
      </c>
      <c r="J91" s="11">
        <v>35</v>
      </c>
      <c r="K91" s="11">
        <v>2</v>
      </c>
      <c r="L91" s="15">
        <f t="shared" si="2"/>
        <v>0.5</v>
      </c>
    </row>
    <row r="92" spans="1:12" ht="15" customHeight="1" x14ac:dyDescent="0.3">
      <c r="A92" s="10" t="s">
        <v>122</v>
      </c>
      <c r="B92" s="10" t="s">
        <v>189</v>
      </c>
      <c r="C92" s="11">
        <v>202507</v>
      </c>
      <c r="D92" s="11">
        <v>8</v>
      </c>
      <c r="E92" s="11">
        <v>7</v>
      </c>
      <c r="F92" s="11">
        <v>1</v>
      </c>
      <c r="G92" s="11">
        <v>0</v>
      </c>
      <c r="H92" s="14">
        <v>14080.5</v>
      </c>
      <c r="I92" s="11">
        <v>0</v>
      </c>
      <c r="J92" s="11">
        <v>0</v>
      </c>
      <c r="K92" s="11">
        <v>0</v>
      </c>
      <c r="L92" s="15">
        <f t="shared" si="2"/>
        <v>0.875</v>
      </c>
    </row>
    <row r="93" spans="1:12" ht="15" customHeight="1" x14ac:dyDescent="0.3">
      <c r="A93" s="10" t="s">
        <v>122</v>
      </c>
      <c r="B93" s="10" t="s">
        <v>190</v>
      </c>
      <c r="C93" s="11">
        <v>202508</v>
      </c>
      <c r="D93" s="11">
        <v>5</v>
      </c>
      <c r="E93" s="11">
        <v>5</v>
      </c>
      <c r="F93" s="11">
        <v>0</v>
      </c>
      <c r="G93" s="11">
        <v>0</v>
      </c>
      <c r="H93" s="14">
        <v>7581.9</v>
      </c>
      <c r="I93" s="11">
        <v>0</v>
      </c>
      <c r="J93" s="11">
        <v>0</v>
      </c>
      <c r="K93" s="11">
        <v>0</v>
      </c>
      <c r="L93" s="15">
        <f t="shared" si="2"/>
        <v>1</v>
      </c>
    </row>
    <row r="94" spans="1:12" ht="15" customHeight="1" x14ac:dyDescent="0.3">
      <c r="A94" s="10" t="s">
        <v>122</v>
      </c>
      <c r="B94" s="10" t="s">
        <v>191</v>
      </c>
      <c r="C94" s="11">
        <v>202509</v>
      </c>
      <c r="D94" s="11">
        <v>5</v>
      </c>
      <c r="E94" s="11">
        <v>5</v>
      </c>
      <c r="F94" s="11">
        <v>0</v>
      </c>
      <c r="G94" s="11">
        <v>0</v>
      </c>
      <c r="H94" s="14">
        <v>7842.9</v>
      </c>
      <c r="I94" s="11">
        <v>0</v>
      </c>
      <c r="J94" s="11">
        <v>0</v>
      </c>
      <c r="K94" s="11">
        <v>0</v>
      </c>
      <c r="L94" s="15">
        <f t="shared" si="2"/>
        <v>1</v>
      </c>
    </row>
    <row r="95" spans="1:12" ht="15" customHeight="1" x14ac:dyDescent="0.3">
      <c r="A95" s="10" t="s">
        <v>122</v>
      </c>
      <c r="B95" s="10" t="s">
        <v>192</v>
      </c>
      <c r="C95" s="11">
        <v>202510</v>
      </c>
      <c r="D95" s="11">
        <v>7</v>
      </c>
      <c r="E95" s="11">
        <v>7</v>
      </c>
      <c r="F95" s="11">
        <v>0</v>
      </c>
      <c r="G95" s="11">
        <v>0</v>
      </c>
      <c r="H95" s="14">
        <v>10250.5</v>
      </c>
      <c r="I95" s="11">
        <v>0</v>
      </c>
      <c r="J95" s="11">
        <v>0</v>
      </c>
      <c r="K95" s="11">
        <v>0</v>
      </c>
      <c r="L95" s="15">
        <f t="shared" si="2"/>
        <v>1</v>
      </c>
    </row>
    <row r="96" spans="1:12" ht="15" customHeight="1" x14ac:dyDescent="0.3">
      <c r="A96" s="10" t="s">
        <v>122</v>
      </c>
      <c r="B96" s="10" t="s">
        <v>193</v>
      </c>
      <c r="C96" s="11">
        <v>202511</v>
      </c>
      <c r="D96" s="11">
        <v>10</v>
      </c>
      <c r="E96" s="11">
        <v>9</v>
      </c>
      <c r="F96" s="11">
        <v>1</v>
      </c>
      <c r="G96" s="11">
        <v>0</v>
      </c>
      <c r="H96" s="14">
        <v>11643.4</v>
      </c>
      <c r="I96" s="11">
        <v>0</v>
      </c>
      <c r="J96" s="11">
        <v>0</v>
      </c>
      <c r="K96" s="11">
        <v>0</v>
      </c>
      <c r="L96" s="15">
        <f t="shared" si="2"/>
        <v>0.9</v>
      </c>
    </row>
    <row r="97" spans="1:12" ht="15" customHeight="1" x14ac:dyDescent="0.3">
      <c r="A97" s="10" t="s">
        <v>122</v>
      </c>
      <c r="B97" s="10" t="s">
        <v>194</v>
      </c>
      <c r="C97" s="11">
        <v>202512</v>
      </c>
      <c r="D97" s="11">
        <v>7</v>
      </c>
      <c r="E97" s="11">
        <v>7</v>
      </c>
      <c r="F97" s="11">
        <v>0</v>
      </c>
      <c r="G97" s="11">
        <v>0</v>
      </c>
      <c r="H97" s="14">
        <v>8607.5</v>
      </c>
      <c r="I97" s="11">
        <v>0</v>
      </c>
      <c r="J97" s="11">
        <v>0</v>
      </c>
      <c r="K97" s="11">
        <v>0</v>
      </c>
      <c r="L97" s="15">
        <f t="shared" si="2"/>
        <v>1</v>
      </c>
    </row>
    <row r="98" spans="1:12" ht="15" customHeight="1" x14ac:dyDescent="0.3">
      <c r="A98" s="10" t="s">
        <v>122</v>
      </c>
      <c r="B98" s="10" t="s">
        <v>195</v>
      </c>
      <c r="C98" s="11">
        <v>202601</v>
      </c>
      <c r="D98" s="11">
        <v>9</v>
      </c>
      <c r="E98" s="11">
        <v>6</v>
      </c>
      <c r="F98" s="11">
        <v>2</v>
      </c>
      <c r="G98" s="11">
        <v>1</v>
      </c>
      <c r="H98" s="14">
        <v>11945.8</v>
      </c>
      <c r="I98" s="11">
        <v>2</v>
      </c>
      <c r="J98" s="11">
        <v>4</v>
      </c>
      <c r="K98" s="11">
        <v>2</v>
      </c>
      <c r="L98" s="15">
        <f t="shared" ref="L98:L129" si="3">IFERROR(E98/D98,"")</f>
        <v>0.66666666666666663</v>
      </c>
    </row>
    <row r="99" spans="1:12" ht="15" customHeight="1" x14ac:dyDescent="0.3">
      <c r="A99" s="10" t="s">
        <v>122</v>
      </c>
      <c r="B99" s="10" t="s">
        <v>196</v>
      </c>
      <c r="C99" s="11">
        <v>202602</v>
      </c>
      <c r="D99" s="11">
        <v>9</v>
      </c>
      <c r="E99" s="11">
        <v>8</v>
      </c>
      <c r="F99" s="11">
        <v>1</v>
      </c>
      <c r="G99" s="11">
        <v>0</v>
      </c>
      <c r="H99" s="14">
        <v>13729.1</v>
      </c>
      <c r="I99" s="11">
        <v>0</v>
      </c>
      <c r="J99" s="11">
        <v>0</v>
      </c>
      <c r="K99" s="11">
        <v>0</v>
      </c>
      <c r="L99" s="15">
        <f t="shared" si="3"/>
        <v>0.88888888888888884</v>
      </c>
    </row>
    <row r="100" spans="1:12" ht="15" customHeight="1" x14ac:dyDescent="0.3">
      <c r="A100" s="10" t="s">
        <v>122</v>
      </c>
      <c r="B100" s="10" t="s">
        <v>197</v>
      </c>
      <c r="C100" s="11">
        <v>202603</v>
      </c>
      <c r="D100" s="11">
        <v>8</v>
      </c>
      <c r="E100" s="11">
        <v>7</v>
      </c>
      <c r="F100" s="11">
        <v>0</v>
      </c>
      <c r="G100" s="11">
        <v>1</v>
      </c>
      <c r="H100" s="14">
        <v>9409.7999999999993</v>
      </c>
      <c r="I100" s="11">
        <v>0</v>
      </c>
      <c r="J100" s="11">
        <v>0</v>
      </c>
      <c r="K100" s="11">
        <v>0</v>
      </c>
      <c r="L100" s="15">
        <f t="shared" si="3"/>
        <v>0.875</v>
      </c>
    </row>
    <row r="101" spans="1:12" ht="15" customHeight="1" x14ac:dyDescent="0.3">
      <c r="A101" s="10" t="s">
        <v>122</v>
      </c>
      <c r="B101" s="10" t="s">
        <v>198</v>
      </c>
      <c r="C101" s="11">
        <v>202604</v>
      </c>
      <c r="D101" s="11">
        <v>10</v>
      </c>
      <c r="E101" s="11">
        <v>9</v>
      </c>
      <c r="F101" s="11">
        <v>0</v>
      </c>
      <c r="G101" s="11">
        <v>1</v>
      </c>
      <c r="H101" s="14">
        <v>11672.6</v>
      </c>
      <c r="I101" s="11">
        <v>0</v>
      </c>
      <c r="J101" s="11">
        <v>0</v>
      </c>
      <c r="K101" s="11">
        <v>0</v>
      </c>
      <c r="L101" s="15">
        <f t="shared" si="3"/>
        <v>0.9</v>
      </c>
    </row>
    <row r="102" spans="1:12" ht="15" customHeight="1" x14ac:dyDescent="0.3">
      <c r="A102" s="10" t="s">
        <v>122</v>
      </c>
      <c r="B102" s="10" t="s">
        <v>199</v>
      </c>
      <c r="C102" s="11">
        <v>202605</v>
      </c>
      <c r="D102" s="11">
        <v>7</v>
      </c>
      <c r="E102" s="11">
        <v>7</v>
      </c>
      <c r="F102" s="11">
        <v>0</v>
      </c>
      <c r="G102" s="11">
        <v>0</v>
      </c>
      <c r="H102" s="14">
        <v>9033.4</v>
      </c>
      <c r="I102" s="11">
        <v>0</v>
      </c>
      <c r="J102" s="11">
        <v>0</v>
      </c>
      <c r="K102" s="11">
        <v>0</v>
      </c>
      <c r="L102" s="15">
        <f t="shared" si="3"/>
        <v>1</v>
      </c>
    </row>
    <row r="103" spans="1:12" ht="15" customHeight="1" x14ac:dyDescent="0.3">
      <c r="A103" s="10" t="s">
        <v>122</v>
      </c>
      <c r="B103" s="10" t="s">
        <v>200</v>
      </c>
      <c r="C103" s="11">
        <v>202606</v>
      </c>
      <c r="D103" s="11">
        <v>10</v>
      </c>
      <c r="E103" s="11">
        <v>9</v>
      </c>
      <c r="F103" s="11">
        <v>1</v>
      </c>
      <c r="G103" s="11">
        <v>0</v>
      </c>
      <c r="H103" s="14">
        <v>12866.8</v>
      </c>
      <c r="I103" s="11">
        <v>0</v>
      </c>
      <c r="J103" s="11">
        <v>0</v>
      </c>
      <c r="K103" s="11">
        <v>0</v>
      </c>
      <c r="L103" s="15">
        <f t="shared" si="3"/>
        <v>0.9</v>
      </c>
    </row>
    <row r="104" spans="1:12" ht="15" customHeight="1" x14ac:dyDescent="0.3">
      <c r="A104" s="10" t="s">
        <v>122</v>
      </c>
      <c r="B104" s="10" t="s">
        <v>201</v>
      </c>
      <c r="C104" s="11">
        <v>202607</v>
      </c>
      <c r="D104" s="11">
        <v>10</v>
      </c>
      <c r="E104" s="11">
        <v>9</v>
      </c>
      <c r="F104" s="11">
        <v>0</v>
      </c>
      <c r="G104" s="11">
        <v>1</v>
      </c>
      <c r="H104" s="14">
        <v>15444.1</v>
      </c>
      <c r="I104" s="11">
        <v>0</v>
      </c>
      <c r="J104" s="11">
        <v>0</v>
      </c>
      <c r="K104" s="11">
        <v>0</v>
      </c>
      <c r="L104" s="15">
        <f t="shared" si="3"/>
        <v>0.9</v>
      </c>
    </row>
    <row r="105" spans="1:12" ht="15" customHeight="1" x14ac:dyDescent="0.3">
      <c r="A105" s="10" t="s">
        <v>122</v>
      </c>
      <c r="B105" s="10" t="s">
        <v>202</v>
      </c>
      <c r="C105" s="11">
        <v>202608</v>
      </c>
      <c r="D105" s="11">
        <v>9</v>
      </c>
      <c r="E105" s="11">
        <v>9</v>
      </c>
      <c r="F105" s="11">
        <v>0</v>
      </c>
      <c r="G105" s="11">
        <v>0</v>
      </c>
      <c r="H105" s="14">
        <v>14950</v>
      </c>
      <c r="I105" s="11">
        <v>0</v>
      </c>
      <c r="J105" s="11">
        <v>0</v>
      </c>
      <c r="K105" s="11">
        <v>0</v>
      </c>
      <c r="L105" s="15">
        <f t="shared" si="3"/>
        <v>1</v>
      </c>
    </row>
    <row r="106" spans="1:12" ht="15" customHeight="1" x14ac:dyDescent="0.3">
      <c r="A106" s="10" t="s">
        <v>122</v>
      </c>
      <c r="B106" s="10" t="s">
        <v>203</v>
      </c>
      <c r="C106" s="11">
        <v>202609</v>
      </c>
      <c r="D106" s="11">
        <v>8</v>
      </c>
      <c r="E106" s="11">
        <v>8</v>
      </c>
      <c r="F106" s="11">
        <v>0</v>
      </c>
      <c r="G106" s="11">
        <v>0</v>
      </c>
      <c r="H106" s="14">
        <v>11668</v>
      </c>
      <c r="I106" s="11">
        <v>0</v>
      </c>
      <c r="J106" s="11">
        <v>0</v>
      </c>
      <c r="K106" s="11">
        <v>0</v>
      </c>
      <c r="L106" s="15">
        <f t="shared" si="3"/>
        <v>1</v>
      </c>
    </row>
    <row r="107" spans="1:12" ht="15" customHeight="1" x14ac:dyDescent="0.3">
      <c r="A107" s="10" t="s">
        <v>122</v>
      </c>
      <c r="B107" s="10" t="s">
        <v>204</v>
      </c>
      <c r="C107" s="11">
        <v>202610</v>
      </c>
      <c r="D107" s="11">
        <v>9</v>
      </c>
      <c r="E107" s="11">
        <v>7</v>
      </c>
      <c r="F107" s="11">
        <v>1</v>
      </c>
      <c r="G107" s="11">
        <v>1</v>
      </c>
      <c r="H107" s="14">
        <v>12507.8</v>
      </c>
      <c r="I107" s="11">
        <v>0</v>
      </c>
      <c r="J107" s="11">
        <v>0</v>
      </c>
      <c r="K107" s="11">
        <v>0</v>
      </c>
      <c r="L107" s="15">
        <f t="shared" si="3"/>
        <v>0.77777777777777779</v>
      </c>
    </row>
    <row r="108" spans="1:12" ht="15" customHeight="1" x14ac:dyDescent="0.3">
      <c r="A108" s="10" t="s">
        <v>122</v>
      </c>
      <c r="B108" s="10" t="s">
        <v>205</v>
      </c>
      <c r="C108" s="11">
        <v>202611</v>
      </c>
      <c r="D108" s="11">
        <v>4</v>
      </c>
      <c r="E108" s="11">
        <v>4</v>
      </c>
      <c r="F108" s="11">
        <v>0</v>
      </c>
      <c r="G108" s="11">
        <v>0</v>
      </c>
      <c r="H108" s="14">
        <v>3789.7</v>
      </c>
      <c r="I108" s="11">
        <v>0</v>
      </c>
      <c r="J108" s="11">
        <v>0</v>
      </c>
      <c r="K108" s="11">
        <v>0</v>
      </c>
      <c r="L108" s="15">
        <f t="shared" si="3"/>
        <v>1</v>
      </c>
    </row>
    <row r="109" spans="1:12" ht="15" customHeight="1" x14ac:dyDescent="0.3">
      <c r="A109" s="10" t="s">
        <v>122</v>
      </c>
      <c r="B109" s="10" t="s">
        <v>206</v>
      </c>
      <c r="C109" s="11">
        <v>202612</v>
      </c>
      <c r="D109" s="11">
        <v>8</v>
      </c>
      <c r="E109" s="11">
        <v>8</v>
      </c>
      <c r="F109" s="11">
        <v>0</v>
      </c>
      <c r="G109" s="11">
        <v>0</v>
      </c>
      <c r="H109" s="14">
        <v>10385.299999999999</v>
      </c>
      <c r="I109" s="11">
        <v>0</v>
      </c>
      <c r="J109" s="11">
        <v>0</v>
      </c>
      <c r="K109" s="11">
        <v>0</v>
      </c>
      <c r="L109" s="15">
        <f t="shared" si="3"/>
        <v>1</v>
      </c>
    </row>
    <row r="110" spans="1:12" ht="15" customHeight="1" x14ac:dyDescent="0.3">
      <c r="A110" s="10" t="s">
        <v>127</v>
      </c>
      <c r="B110" s="10" t="s">
        <v>189</v>
      </c>
      <c r="C110" s="11">
        <v>202507</v>
      </c>
      <c r="D110" s="11">
        <v>8</v>
      </c>
      <c r="E110" s="11">
        <v>7</v>
      </c>
      <c r="F110" s="11">
        <v>0</v>
      </c>
      <c r="G110" s="11">
        <v>1</v>
      </c>
      <c r="H110" s="14">
        <v>11608.3</v>
      </c>
      <c r="I110" s="11">
        <v>1</v>
      </c>
      <c r="J110" s="11">
        <v>10</v>
      </c>
      <c r="K110" s="11">
        <v>1</v>
      </c>
      <c r="L110" s="15">
        <f t="shared" si="3"/>
        <v>0.875</v>
      </c>
    </row>
    <row r="111" spans="1:12" ht="15" customHeight="1" x14ac:dyDescent="0.3">
      <c r="A111" s="10" t="s">
        <v>127</v>
      </c>
      <c r="B111" s="10" t="s">
        <v>190</v>
      </c>
      <c r="C111" s="11">
        <v>202508</v>
      </c>
      <c r="D111" s="11">
        <v>9</v>
      </c>
      <c r="E111" s="11">
        <v>7</v>
      </c>
      <c r="F111" s="11">
        <v>2</v>
      </c>
      <c r="G111" s="11">
        <v>0</v>
      </c>
      <c r="H111" s="14">
        <v>9808.7000000000007</v>
      </c>
      <c r="I111" s="11">
        <v>1</v>
      </c>
      <c r="J111" s="11">
        <v>4</v>
      </c>
      <c r="K111" s="11">
        <v>1</v>
      </c>
      <c r="L111" s="15">
        <f t="shared" si="3"/>
        <v>0.77777777777777779</v>
      </c>
    </row>
    <row r="112" spans="1:12" ht="15" customHeight="1" x14ac:dyDescent="0.3">
      <c r="A112" s="10" t="s">
        <v>127</v>
      </c>
      <c r="B112" s="10" t="s">
        <v>191</v>
      </c>
      <c r="C112" s="11">
        <v>202509</v>
      </c>
      <c r="D112" s="11">
        <v>9</v>
      </c>
      <c r="E112" s="11">
        <v>9</v>
      </c>
      <c r="F112" s="11">
        <v>0</v>
      </c>
      <c r="G112" s="11">
        <v>0</v>
      </c>
      <c r="H112" s="14">
        <v>13093.7</v>
      </c>
      <c r="I112" s="11">
        <v>0</v>
      </c>
      <c r="J112" s="11">
        <v>0</v>
      </c>
      <c r="K112" s="11">
        <v>0</v>
      </c>
      <c r="L112" s="15">
        <f t="shared" si="3"/>
        <v>1</v>
      </c>
    </row>
    <row r="113" spans="1:12" ht="15" customHeight="1" x14ac:dyDescent="0.3">
      <c r="A113" s="10" t="s">
        <v>127</v>
      </c>
      <c r="B113" s="10" t="s">
        <v>192</v>
      </c>
      <c r="C113" s="11">
        <v>202510</v>
      </c>
      <c r="D113" s="11">
        <v>11</v>
      </c>
      <c r="E113" s="11">
        <v>11</v>
      </c>
      <c r="F113" s="11">
        <v>0</v>
      </c>
      <c r="G113" s="11">
        <v>0</v>
      </c>
      <c r="H113" s="14">
        <v>16537.099999999999</v>
      </c>
      <c r="I113" s="11">
        <v>0</v>
      </c>
      <c r="J113" s="11">
        <v>0</v>
      </c>
      <c r="K113" s="11">
        <v>0</v>
      </c>
      <c r="L113" s="15">
        <f t="shared" si="3"/>
        <v>1</v>
      </c>
    </row>
    <row r="114" spans="1:12" ht="15" customHeight="1" x14ac:dyDescent="0.3">
      <c r="A114" s="10" t="s">
        <v>127</v>
      </c>
      <c r="B114" s="10" t="s">
        <v>193</v>
      </c>
      <c r="C114" s="11">
        <v>202511</v>
      </c>
      <c r="D114" s="11">
        <v>13</v>
      </c>
      <c r="E114" s="11">
        <v>13</v>
      </c>
      <c r="F114" s="11">
        <v>0</v>
      </c>
      <c r="G114" s="11">
        <v>0</v>
      </c>
      <c r="H114" s="14">
        <v>16868.5</v>
      </c>
      <c r="I114" s="11">
        <v>0</v>
      </c>
      <c r="J114" s="11">
        <v>0</v>
      </c>
      <c r="K114" s="11">
        <v>0</v>
      </c>
      <c r="L114" s="15">
        <f t="shared" si="3"/>
        <v>1</v>
      </c>
    </row>
    <row r="115" spans="1:12" ht="15" customHeight="1" x14ac:dyDescent="0.3">
      <c r="A115" s="10" t="s">
        <v>127</v>
      </c>
      <c r="B115" s="10" t="s">
        <v>194</v>
      </c>
      <c r="C115" s="11">
        <v>202512</v>
      </c>
      <c r="D115" s="11">
        <v>8</v>
      </c>
      <c r="E115" s="11">
        <v>6</v>
      </c>
      <c r="F115" s="11">
        <v>1</v>
      </c>
      <c r="G115" s="11">
        <v>1</v>
      </c>
      <c r="H115" s="14">
        <v>11097.6</v>
      </c>
      <c r="I115" s="11">
        <v>1</v>
      </c>
      <c r="J115" s="11">
        <v>2</v>
      </c>
      <c r="K115" s="11">
        <v>1</v>
      </c>
      <c r="L115" s="15">
        <f t="shared" si="3"/>
        <v>0.75</v>
      </c>
    </row>
    <row r="116" spans="1:12" ht="15" customHeight="1" x14ac:dyDescent="0.3">
      <c r="A116" s="10" t="s">
        <v>127</v>
      </c>
      <c r="B116" s="10" t="s">
        <v>195</v>
      </c>
      <c r="C116" s="11">
        <v>202601</v>
      </c>
      <c r="D116" s="11">
        <v>7</v>
      </c>
      <c r="E116" s="11">
        <v>7</v>
      </c>
      <c r="F116" s="11">
        <v>0</v>
      </c>
      <c r="G116" s="11">
        <v>0</v>
      </c>
      <c r="H116" s="14">
        <v>10678.7</v>
      </c>
      <c r="I116" s="11">
        <v>0</v>
      </c>
      <c r="J116" s="11">
        <v>0</v>
      </c>
      <c r="K116" s="11">
        <v>0</v>
      </c>
      <c r="L116" s="15">
        <f t="shared" si="3"/>
        <v>1</v>
      </c>
    </row>
    <row r="117" spans="1:12" ht="15" customHeight="1" x14ac:dyDescent="0.3">
      <c r="A117" s="10" t="s">
        <v>127</v>
      </c>
      <c r="B117" s="10" t="s">
        <v>196</v>
      </c>
      <c r="C117" s="11">
        <v>202602</v>
      </c>
      <c r="D117" s="11">
        <v>12</v>
      </c>
      <c r="E117" s="11">
        <v>11</v>
      </c>
      <c r="F117" s="11">
        <v>1</v>
      </c>
      <c r="G117" s="11">
        <v>0</v>
      </c>
      <c r="H117" s="14">
        <v>17086.900000000001</v>
      </c>
      <c r="I117" s="11">
        <v>0</v>
      </c>
      <c r="J117" s="11">
        <v>0</v>
      </c>
      <c r="K117" s="11">
        <v>0</v>
      </c>
      <c r="L117" s="15">
        <f t="shared" si="3"/>
        <v>0.91666666666666663</v>
      </c>
    </row>
    <row r="118" spans="1:12" ht="15" customHeight="1" x14ac:dyDescent="0.3">
      <c r="A118" s="10" t="s">
        <v>127</v>
      </c>
      <c r="B118" s="10" t="s">
        <v>197</v>
      </c>
      <c r="C118" s="11">
        <v>202603</v>
      </c>
      <c r="D118" s="11">
        <v>9</v>
      </c>
      <c r="E118" s="11">
        <v>9</v>
      </c>
      <c r="F118" s="11">
        <v>0</v>
      </c>
      <c r="G118" s="11">
        <v>0</v>
      </c>
      <c r="H118" s="14">
        <v>12273.2</v>
      </c>
      <c r="I118" s="11">
        <v>0</v>
      </c>
      <c r="J118" s="11">
        <v>0</v>
      </c>
      <c r="K118" s="11">
        <v>0</v>
      </c>
      <c r="L118" s="15">
        <f t="shared" si="3"/>
        <v>1</v>
      </c>
    </row>
    <row r="119" spans="1:12" ht="15" customHeight="1" x14ac:dyDescent="0.3">
      <c r="A119" s="10" t="s">
        <v>127</v>
      </c>
      <c r="B119" s="10" t="s">
        <v>198</v>
      </c>
      <c r="C119" s="11">
        <v>202604</v>
      </c>
      <c r="D119" s="11">
        <v>12</v>
      </c>
      <c r="E119" s="11">
        <v>11</v>
      </c>
      <c r="F119" s="11">
        <v>1</v>
      </c>
      <c r="G119" s="11">
        <v>0</v>
      </c>
      <c r="H119" s="14">
        <v>17197.8</v>
      </c>
      <c r="I119" s="11">
        <v>1</v>
      </c>
      <c r="J119" s="11">
        <v>7</v>
      </c>
      <c r="K119" s="11">
        <v>1</v>
      </c>
      <c r="L119" s="15">
        <f t="shared" si="3"/>
        <v>0.91666666666666663</v>
      </c>
    </row>
    <row r="120" spans="1:12" ht="15" customHeight="1" x14ac:dyDescent="0.3">
      <c r="A120" s="10" t="s">
        <v>127</v>
      </c>
      <c r="B120" s="10" t="s">
        <v>199</v>
      </c>
      <c r="C120" s="11">
        <v>202605</v>
      </c>
      <c r="D120" s="11">
        <v>14</v>
      </c>
      <c r="E120" s="11">
        <v>14</v>
      </c>
      <c r="F120" s="11">
        <v>0</v>
      </c>
      <c r="G120" s="11">
        <v>0</v>
      </c>
      <c r="H120" s="14">
        <v>16545.8</v>
      </c>
      <c r="I120" s="11">
        <v>0</v>
      </c>
      <c r="J120" s="11">
        <v>0</v>
      </c>
      <c r="K120" s="11">
        <v>0</v>
      </c>
      <c r="L120" s="15">
        <f t="shared" si="3"/>
        <v>1</v>
      </c>
    </row>
    <row r="121" spans="1:12" ht="15" customHeight="1" x14ac:dyDescent="0.3">
      <c r="A121" s="10" t="s">
        <v>127</v>
      </c>
      <c r="B121" s="10" t="s">
        <v>200</v>
      </c>
      <c r="C121" s="11">
        <v>202606</v>
      </c>
      <c r="D121" s="11">
        <v>10</v>
      </c>
      <c r="E121" s="11">
        <v>9</v>
      </c>
      <c r="F121" s="11">
        <v>1</v>
      </c>
      <c r="G121" s="11">
        <v>0</v>
      </c>
      <c r="H121" s="14">
        <v>12380.5</v>
      </c>
      <c r="I121" s="11">
        <v>1</v>
      </c>
      <c r="J121" s="11">
        <v>11</v>
      </c>
      <c r="K121" s="11">
        <v>1</v>
      </c>
      <c r="L121" s="15">
        <f t="shared" si="3"/>
        <v>0.9</v>
      </c>
    </row>
    <row r="122" spans="1:12" ht="15" customHeight="1" x14ac:dyDescent="0.3">
      <c r="A122" s="10" t="s">
        <v>127</v>
      </c>
      <c r="B122" s="10" t="s">
        <v>201</v>
      </c>
      <c r="C122" s="11">
        <v>202607</v>
      </c>
      <c r="D122" s="11">
        <v>5</v>
      </c>
      <c r="E122" s="11">
        <v>4</v>
      </c>
      <c r="F122" s="11">
        <v>1</v>
      </c>
      <c r="G122" s="11">
        <v>0</v>
      </c>
      <c r="H122" s="14">
        <v>5812.2</v>
      </c>
      <c r="I122" s="11">
        <v>0</v>
      </c>
      <c r="J122" s="11">
        <v>0</v>
      </c>
      <c r="K122" s="11">
        <v>0</v>
      </c>
      <c r="L122" s="15">
        <f t="shared" si="3"/>
        <v>0.8</v>
      </c>
    </row>
    <row r="123" spans="1:12" ht="15" customHeight="1" x14ac:dyDescent="0.3">
      <c r="A123" s="10" t="s">
        <v>127</v>
      </c>
      <c r="B123" s="10" t="s">
        <v>202</v>
      </c>
      <c r="C123" s="11">
        <v>202608</v>
      </c>
      <c r="D123" s="11">
        <v>10</v>
      </c>
      <c r="E123" s="11">
        <v>10</v>
      </c>
      <c r="F123" s="11">
        <v>0</v>
      </c>
      <c r="G123" s="11">
        <v>0</v>
      </c>
      <c r="H123" s="14">
        <v>14086.7</v>
      </c>
      <c r="I123" s="11">
        <v>0</v>
      </c>
      <c r="J123" s="11">
        <v>0</v>
      </c>
      <c r="K123" s="11">
        <v>0</v>
      </c>
      <c r="L123" s="15">
        <f t="shared" si="3"/>
        <v>1</v>
      </c>
    </row>
    <row r="124" spans="1:12" ht="15" customHeight="1" x14ac:dyDescent="0.3">
      <c r="A124" s="10" t="s">
        <v>127</v>
      </c>
      <c r="B124" s="10" t="s">
        <v>203</v>
      </c>
      <c r="C124" s="11">
        <v>202609</v>
      </c>
      <c r="D124" s="11">
        <v>7</v>
      </c>
      <c r="E124" s="11">
        <v>7</v>
      </c>
      <c r="F124" s="11">
        <v>0</v>
      </c>
      <c r="G124" s="11">
        <v>0</v>
      </c>
      <c r="H124" s="14">
        <v>10251.799999999999</v>
      </c>
      <c r="I124" s="11">
        <v>0</v>
      </c>
      <c r="J124" s="11">
        <v>0</v>
      </c>
      <c r="K124" s="11">
        <v>0</v>
      </c>
      <c r="L124" s="15">
        <f t="shared" si="3"/>
        <v>1</v>
      </c>
    </row>
    <row r="125" spans="1:12" ht="15" customHeight="1" x14ac:dyDescent="0.3">
      <c r="A125" s="10" t="s">
        <v>127</v>
      </c>
      <c r="B125" s="10" t="s">
        <v>204</v>
      </c>
      <c r="C125" s="11">
        <v>202610</v>
      </c>
      <c r="D125" s="11">
        <v>10</v>
      </c>
      <c r="E125" s="11">
        <v>8</v>
      </c>
      <c r="F125" s="11">
        <v>1</v>
      </c>
      <c r="G125" s="11">
        <v>1</v>
      </c>
      <c r="H125" s="14">
        <v>13054.1</v>
      </c>
      <c r="I125" s="11">
        <v>1</v>
      </c>
      <c r="J125" s="11">
        <v>4</v>
      </c>
      <c r="K125" s="11">
        <v>1</v>
      </c>
      <c r="L125" s="15">
        <f t="shared" si="3"/>
        <v>0.8</v>
      </c>
    </row>
    <row r="126" spans="1:12" ht="15" customHeight="1" x14ac:dyDescent="0.3">
      <c r="A126" s="10" t="s">
        <v>127</v>
      </c>
      <c r="B126" s="10" t="s">
        <v>205</v>
      </c>
      <c r="C126" s="11">
        <v>202611</v>
      </c>
      <c r="D126" s="11">
        <v>13</v>
      </c>
      <c r="E126" s="11">
        <v>11</v>
      </c>
      <c r="F126" s="11">
        <v>1</v>
      </c>
      <c r="G126" s="11">
        <v>1</v>
      </c>
      <c r="H126" s="14">
        <v>18105.8</v>
      </c>
      <c r="I126" s="11">
        <v>1</v>
      </c>
      <c r="J126" s="11">
        <v>4</v>
      </c>
      <c r="K126" s="11">
        <v>1</v>
      </c>
      <c r="L126" s="15">
        <f t="shared" si="3"/>
        <v>0.84615384615384615</v>
      </c>
    </row>
    <row r="127" spans="1:12" ht="15" customHeight="1" x14ac:dyDescent="0.3">
      <c r="A127" s="10" t="s">
        <v>127</v>
      </c>
      <c r="B127" s="10" t="s">
        <v>206</v>
      </c>
      <c r="C127" s="11">
        <v>202612</v>
      </c>
      <c r="D127" s="11">
        <v>11</v>
      </c>
      <c r="E127" s="11">
        <v>11</v>
      </c>
      <c r="F127" s="11">
        <v>0</v>
      </c>
      <c r="G127" s="11">
        <v>0</v>
      </c>
      <c r="H127" s="14">
        <v>13396.6</v>
      </c>
      <c r="I127" s="11">
        <v>0</v>
      </c>
      <c r="J127" s="11">
        <v>0</v>
      </c>
      <c r="K127" s="11">
        <v>0</v>
      </c>
      <c r="L127" s="15">
        <f t="shared" si="3"/>
        <v>1</v>
      </c>
    </row>
    <row r="128" spans="1:12" ht="15" customHeight="1" x14ac:dyDescent="0.3">
      <c r="A128" s="10" t="s">
        <v>131</v>
      </c>
      <c r="B128" s="10" t="s">
        <v>189</v>
      </c>
      <c r="C128" s="11">
        <v>202507</v>
      </c>
      <c r="D128" s="11">
        <v>13</v>
      </c>
      <c r="E128" s="11">
        <v>12</v>
      </c>
      <c r="F128" s="11">
        <v>1</v>
      </c>
      <c r="G128" s="11">
        <v>0</v>
      </c>
      <c r="H128" s="14">
        <v>3882.6</v>
      </c>
      <c r="I128" s="11">
        <v>1</v>
      </c>
      <c r="J128" s="11">
        <v>9</v>
      </c>
      <c r="K128" s="11">
        <v>1</v>
      </c>
      <c r="L128" s="15">
        <f t="shared" si="3"/>
        <v>0.92307692307692313</v>
      </c>
    </row>
    <row r="129" spans="1:12" ht="15" customHeight="1" x14ac:dyDescent="0.3">
      <c r="A129" s="10" t="s">
        <v>131</v>
      </c>
      <c r="B129" s="10" t="s">
        <v>190</v>
      </c>
      <c r="C129" s="11">
        <v>202508</v>
      </c>
      <c r="D129" s="11">
        <v>8</v>
      </c>
      <c r="E129" s="11">
        <v>8</v>
      </c>
      <c r="F129" s="11">
        <v>0</v>
      </c>
      <c r="G129" s="11">
        <v>0</v>
      </c>
      <c r="H129" s="14">
        <v>2670.4</v>
      </c>
      <c r="I129" s="11">
        <v>0</v>
      </c>
      <c r="J129" s="11">
        <v>0</v>
      </c>
      <c r="K129" s="11">
        <v>0</v>
      </c>
      <c r="L129" s="15">
        <f t="shared" si="3"/>
        <v>1</v>
      </c>
    </row>
    <row r="130" spans="1:12" ht="15" customHeight="1" x14ac:dyDescent="0.3">
      <c r="A130" s="10" t="s">
        <v>131</v>
      </c>
      <c r="B130" s="10" t="s">
        <v>191</v>
      </c>
      <c r="C130" s="11">
        <v>202509</v>
      </c>
      <c r="D130" s="11">
        <v>9</v>
      </c>
      <c r="E130" s="11">
        <v>8</v>
      </c>
      <c r="F130" s="11">
        <v>1</v>
      </c>
      <c r="G130" s="11">
        <v>0</v>
      </c>
      <c r="H130" s="14">
        <v>2517</v>
      </c>
      <c r="I130" s="11">
        <v>1</v>
      </c>
      <c r="J130" s="11">
        <v>4</v>
      </c>
      <c r="K130" s="11">
        <v>1</v>
      </c>
      <c r="L130" s="15">
        <f t="shared" ref="L130:L157" si="4">IFERROR(E130/D130,"")</f>
        <v>0.88888888888888884</v>
      </c>
    </row>
    <row r="131" spans="1:12" ht="15" customHeight="1" x14ac:dyDescent="0.3">
      <c r="A131" s="10" t="s">
        <v>131</v>
      </c>
      <c r="B131" s="10" t="s">
        <v>192</v>
      </c>
      <c r="C131" s="11">
        <v>202510</v>
      </c>
      <c r="D131" s="11">
        <v>8</v>
      </c>
      <c r="E131" s="11">
        <v>7</v>
      </c>
      <c r="F131" s="11">
        <v>1</v>
      </c>
      <c r="G131" s="11">
        <v>0</v>
      </c>
      <c r="H131" s="14">
        <v>2133.6999999999998</v>
      </c>
      <c r="I131" s="11">
        <v>0</v>
      </c>
      <c r="J131" s="11">
        <v>0</v>
      </c>
      <c r="K131" s="11">
        <v>0</v>
      </c>
      <c r="L131" s="15">
        <f t="shared" si="4"/>
        <v>0.875</v>
      </c>
    </row>
    <row r="132" spans="1:12" ht="15" customHeight="1" x14ac:dyDescent="0.3">
      <c r="A132" s="10" t="s">
        <v>131</v>
      </c>
      <c r="B132" s="10" t="s">
        <v>193</v>
      </c>
      <c r="C132" s="11">
        <v>202511</v>
      </c>
      <c r="D132" s="11">
        <v>9</v>
      </c>
      <c r="E132" s="11">
        <v>8</v>
      </c>
      <c r="F132" s="11">
        <v>0</v>
      </c>
      <c r="G132" s="11">
        <v>1</v>
      </c>
      <c r="H132" s="14">
        <v>2397.6999999999998</v>
      </c>
      <c r="I132" s="11">
        <v>0</v>
      </c>
      <c r="J132" s="11">
        <v>0</v>
      </c>
      <c r="K132" s="11">
        <v>0</v>
      </c>
      <c r="L132" s="15">
        <f t="shared" si="4"/>
        <v>0.88888888888888884</v>
      </c>
    </row>
    <row r="133" spans="1:12" ht="15" customHeight="1" x14ac:dyDescent="0.3">
      <c r="A133" s="10" t="s">
        <v>131</v>
      </c>
      <c r="B133" s="10" t="s">
        <v>194</v>
      </c>
      <c r="C133" s="11">
        <v>202512</v>
      </c>
      <c r="D133" s="11">
        <v>10</v>
      </c>
      <c r="E133" s="11">
        <v>10</v>
      </c>
      <c r="F133" s="11">
        <v>0</v>
      </c>
      <c r="G133" s="11">
        <v>0</v>
      </c>
      <c r="H133" s="14">
        <v>1992.3</v>
      </c>
      <c r="I133" s="11">
        <v>0</v>
      </c>
      <c r="J133" s="11">
        <v>0</v>
      </c>
      <c r="K133" s="11">
        <v>0</v>
      </c>
      <c r="L133" s="15">
        <f t="shared" si="4"/>
        <v>1</v>
      </c>
    </row>
    <row r="134" spans="1:12" ht="15" customHeight="1" x14ac:dyDescent="0.3">
      <c r="A134" s="10" t="s">
        <v>131</v>
      </c>
      <c r="B134" s="10" t="s">
        <v>195</v>
      </c>
      <c r="C134" s="11">
        <v>202601</v>
      </c>
      <c r="D134" s="11">
        <v>7</v>
      </c>
      <c r="E134" s="11">
        <v>6</v>
      </c>
      <c r="F134" s="11">
        <v>1</v>
      </c>
      <c r="G134" s="11">
        <v>0</v>
      </c>
      <c r="H134" s="14">
        <v>1765.6</v>
      </c>
      <c r="I134" s="11">
        <v>0</v>
      </c>
      <c r="J134" s="11">
        <v>0</v>
      </c>
      <c r="K134" s="11">
        <v>0</v>
      </c>
      <c r="L134" s="15">
        <f t="shared" si="4"/>
        <v>0.8571428571428571</v>
      </c>
    </row>
    <row r="135" spans="1:12" ht="15" customHeight="1" x14ac:dyDescent="0.3">
      <c r="A135" s="10" t="s">
        <v>131</v>
      </c>
      <c r="B135" s="10" t="s">
        <v>196</v>
      </c>
      <c r="C135" s="11">
        <v>202602</v>
      </c>
      <c r="D135" s="11">
        <v>8</v>
      </c>
      <c r="E135" s="11">
        <v>7</v>
      </c>
      <c r="F135" s="11">
        <v>1</v>
      </c>
      <c r="G135" s="11">
        <v>0</v>
      </c>
      <c r="H135" s="14">
        <v>2582.6999999999998</v>
      </c>
      <c r="I135" s="11">
        <v>1</v>
      </c>
      <c r="J135" s="11">
        <v>5</v>
      </c>
      <c r="K135" s="11">
        <v>1</v>
      </c>
      <c r="L135" s="15">
        <f t="shared" si="4"/>
        <v>0.875</v>
      </c>
    </row>
    <row r="136" spans="1:12" ht="15" customHeight="1" x14ac:dyDescent="0.3">
      <c r="A136" s="10" t="s">
        <v>131</v>
      </c>
      <c r="B136" s="10" t="s">
        <v>197</v>
      </c>
      <c r="C136" s="11">
        <v>202603</v>
      </c>
      <c r="D136" s="11">
        <v>7</v>
      </c>
      <c r="E136" s="11">
        <v>4</v>
      </c>
      <c r="F136" s="11">
        <v>3</v>
      </c>
      <c r="G136" s="11">
        <v>0</v>
      </c>
      <c r="H136" s="14">
        <v>1478.9</v>
      </c>
      <c r="I136" s="11">
        <v>0</v>
      </c>
      <c r="J136" s="11">
        <v>0</v>
      </c>
      <c r="K136" s="11">
        <v>0</v>
      </c>
      <c r="L136" s="15">
        <f t="shared" si="4"/>
        <v>0.5714285714285714</v>
      </c>
    </row>
    <row r="137" spans="1:12" ht="15" customHeight="1" x14ac:dyDescent="0.3">
      <c r="A137" s="10" t="s">
        <v>131</v>
      </c>
      <c r="B137" s="10" t="s">
        <v>198</v>
      </c>
      <c r="C137" s="11">
        <v>202604</v>
      </c>
      <c r="D137" s="11">
        <v>6</v>
      </c>
      <c r="E137" s="11">
        <v>6</v>
      </c>
      <c r="F137" s="11">
        <v>0</v>
      </c>
      <c r="G137" s="11">
        <v>0</v>
      </c>
      <c r="H137" s="14">
        <v>1341.6</v>
      </c>
      <c r="I137" s="11">
        <v>0</v>
      </c>
      <c r="J137" s="11">
        <v>0</v>
      </c>
      <c r="K137" s="11">
        <v>0</v>
      </c>
      <c r="L137" s="15">
        <f t="shared" si="4"/>
        <v>1</v>
      </c>
    </row>
    <row r="138" spans="1:12" ht="15" customHeight="1" x14ac:dyDescent="0.3">
      <c r="A138" s="10" t="s">
        <v>131</v>
      </c>
      <c r="B138" s="10" t="s">
        <v>199</v>
      </c>
      <c r="C138" s="11">
        <v>202605</v>
      </c>
      <c r="D138" s="11">
        <v>11</v>
      </c>
      <c r="E138" s="11">
        <v>10</v>
      </c>
      <c r="F138" s="11">
        <v>1</v>
      </c>
      <c r="G138" s="11">
        <v>0</v>
      </c>
      <c r="H138" s="14">
        <v>3040.6</v>
      </c>
      <c r="I138" s="11">
        <v>0</v>
      </c>
      <c r="J138" s="11">
        <v>0</v>
      </c>
      <c r="K138" s="11">
        <v>0</v>
      </c>
      <c r="L138" s="15">
        <f t="shared" si="4"/>
        <v>0.90909090909090906</v>
      </c>
    </row>
    <row r="139" spans="1:12" ht="15" customHeight="1" x14ac:dyDescent="0.3">
      <c r="A139" s="10" t="s">
        <v>131</v>
      </c>
      <c r="B139" s="10" t="s">
        <v>200</v>
      </c>
      <c r="C139" s="11">
        <v>202606</v>
      </c>
      <c r="D139" s="11">
        <v>9</v>
      </c>
      <c r="E139" s="11">
        <v>9</v>
      </c>
      <c r="F139" s="11">
        <v>0</v>
      </c>
      <c r="G139" s="11">
        <v>0</v>
      </c>
      <c r="H139" s="14">
        <v>1978</v>
      </c>
      <c r="I139" s="11">
        <v>0</v>
      </c>
      <c r="J139" s="11">
        <v>0</v>
      </c>
      <c r="K139" s="11">
        <v>0</v>
      </c>
      <c r="L139" s="15">
        <f t="shared" si="4"/>
        <v>1</v>
      </c>
    </row>
    <row r="140" spans="1:12" ht="15" customHeight="1" x14ac:dyDescent="0.3">
      <c r="A140" s="10" t="s">
        <v>131</v>
      </c>
      <c r="B140" s="10" t="s">
        <v>201</v>
      </c>
      <c r="C140" s="11">
        <v>202607</v>
      </c>
      <c r="D140" s="11">
        <v>6</v>
      </c>
      <c r="E140" s="11">
        <v>6</v>
      </c>
      <c r="F140" s="11">
        <v>0</v>
      </c>
      <c r="G140" s="11">
        <v>0</v>
      </c>
      <c r="H140" s="14">
        <v>1934.3</v>
      </c>
      <c r="I140" s="11">
        <v>0</v>
      </c>
      <c r="J140" s="11">
        <v>0</v>
      </c>
      <c r="K140" s="11">
        <v>0</v>
      </c>
      <c r="L140" s="15">
        <f t="shared" si="4"/>
        <v>1</v>
      </c>
    </row>
    <row r="141" spans="1:12" ht="15" customHeight="1" x14ac:dyDescent="0.3">
      <c r="A141" s="10" t="s">
        <v>131</v>
      </c>
      <c r="B141" s="10" t="s">
        <v>202</v>
      </c>
      <c r="C141" s="11">
        <v>202608</v>
      </c>
      <c r="D141" s="11">
        <v>11</v>
      </c>
      <c r="E141" s="11">
        <v>10</v>
      </c>
      <c r="F141" s="11">
        <v>1</v>
      </c>
      <c r="G141" s="11">
        <v>0</v>
      </c>
      <c r="H141" s="14">
        <v>3004.3</v>
      </c>
      <c r="I141" s="11">
        <v>0</v>
      </c>
      <c r="J141" s="11">
        <v>0</v>
      </c>
      <c r="K141" s="11">
        <v>0</v>
      </c>
      <c r="L141" s="15">
        <f t="shared" si="4"/>
        <v>0.90909090909090906</v>
      </c>
    </row>
    <row r="142" spans="1:12" ht="15" customHeight="1" x14ac:dyDescent="0.3">
      <c r="A142" s="10" t="s">
        <v>131</v>
      </c>
      <c r="B142" s="10" t="s">
        <v>203</v>
      </c>
      <c r="C142" s="11">
        <v>202609</v>
      </c>
      <c r="D142" s="11">
        <v>7</v>
      </c>
      <c r="E142" s="11">
        <v>7</v>
      </c>
      <c r="F142" s="11">
        <v>0</v>
      </c>
      <c r="G142" s="11">
        <v>0</v>
      </c>
      <c r="H142" s="14">
        <v>1978.5</v>
      </c>
      <c r="I142" s="11">
        <v>0</v>
      </c>
      <c r="J142" s="11">
        <v>0</v>
      </c>
      <c r="K142" s="11">
        <v>0</v>
      </c>
      <c r="L142" s="15">
        <f t="shared" si="4"/>
        <v>1</v>
      </c>
    </row>
    <row r="143" spans="1:12" ht="15" customHeight="1" x14ac:dyDescent="0.3">
      <c r="A143" s="10" t="s">
        <v>131</v>
      </c>
      <c r="B143" s="10" t="s">
        <v>204</v>
      </c>
      <c r="C143" s="11">
        <v>202610</v>
      </c>
      <c r="D143" s="11">
        <v>9</v>
      </c>
      <c r="E143" s="11">
        <v>8</v>
      </c>
      <c r="F143" s="11">
        <v>1</v>
      </c>
      <c r="G143" s="11">
        <v>0</v>
      </c>
      <c r="H143" s="14">
        <v>2240.3000000000002</v>
      </c>
      <c r="I143" s="11">
        <v>1</v>
      </c>
      <c r="J143" s="11">
        <v>6</v>
      </c>
      <c r="K143" s="11">
        <v>1</v>
      </c>
      <c r="L143" s="15">
        <f t="shared" si="4"/>
        <v>0.88888888888888884</v>
      </c>
    </row>
    <row r="144" spans="1:12" ht="15" customHeight="1" x14ac:dyDescent="0.3">
      <c r="A144" s="10" t="s">
        <v>131</v>
      </c>
      <c r="B144" s="10" t="s">
        <v>205</v>
      </c>
      <c r="C144" s="11">
        <v>202611</v>
      </c>
      <c r="D144" s="11">
        <v>9</v>
      </c>
      <c r="E144" s="11">
        <v>9</v>
      </c>
      <c r="F144" s="11">
        <v>0</v>
      </c>
      <c r="G144" s="11">
        <v>0</v>
      </c>
      <c r="H144" s="14">
        <v>2272.5</v>
      </c>
      <c r="I144" s="11">
        <v>0</v>
      </c>
      <c r="J144" s="11">
        <v>0</v>
      </c>
      <c r="K144" s="11">
        <v>0</v>
      </c>
      <c r="L144" s="15">
        <f t="shared" si="4"/>
        <v>1</v>
      </c>
    </row>
    <row r="145" spans="1:12" ht="15" customHeight="1" x14ac:dyDescent="0.3">
      <c r="A145" s="10" t="s">
        <v>131</v>
      </c>
      <c r="B145" s="10" t="s">
        <v>206</v>
      </c>
      <c r="C145" s="11">
        <v>202612</v>
      </c>
      <c r="D145" s="11">
        <v>7</v>
      </c>
      <c r="E145" s="11">
        <v>7</v>
      </c>
      <c r="F145" s="11">
        <v>0</v>
      </c>
      <c r="G145" s="11">
        <v>0</v>
      </c>
      <c r="H145" s="14">
        <v>1933.6</v>
      </c>
      <c r="I145" s="11">
        <v>0</v>
      </c>
      <c r="J145" s="11">
        <v>0</v>
      </c>
      <c r="K145" s="11">
        <v>0</v>
      </c>
      <c r="L145" s="15">
        <f t="shared" si="4"/>
        <v>1</v>
      </c>
    </row>
    <row r="146" spans="1:12" ht="15" customHeight="1" x14ac:dyDescent="0.3">
      <c r="A146" s="10" t="s">
        <v>135</v>
      </c>
      <c r="B146" s="10" t="s">
        <v>201</v>
      </c>
      <c r="C146" s="11">
        <v>202607</v>
      </c>
      <c r="D146" s="11">
        <v>4</v>
      </c>
      <c r="E146" s="11">
        <v>4</v>
      </c>
      <c r="F146" s="11">
        <v>0</v>
      </c>
      <c r="G146" s="11">
        <v>0</v>
      </c>
      <c r="H146" s="14">
        <v>4607</v>
      </c>
      <c r="I146" s="11">
        <v>0</v>
      </c>
      <c r="J146" s="11">
        <v>0</v>
      </c>
      <c r="K146" s="11">
        <v>0</v>
      </c>
      <c r="L146" s="15">
        <f t="shared" si="4"/>
        <v>1</v>
      </c>
    </row>
    <row r="147" spans="1:12" ht="15" customHeight="1" x14ac:dyDescent="0.3">
      <c r="A147" s="10" t="s">
        <v>135</v>
      </c>
      <c r="B147" s="10" t="s">
        <v>202</v>
      </c>
      <c r="C147" s="11">
        <v>202608</v>
      </c>
      <c r="D147" s="11">
        <v>6</v>
      </c>
      <c r="E147" s="11">
        <v>4</v>
      </c>
      <c r="F147" s="11">
        <v>0</v>
      </c>
      <c r="G147" s="11">
        <v>2</v>
      </c>
      <c r="H147" s="14">
        <v>6365.1</v>
      </c>
      <c r="I147" s="11">
        <v>1</v>
      </c>
      <c r="J147" s="11">
        <v>6</v>
      </c>
      <c r="K147" s="11">
        <v>1</v>
      </c>
      <c r="L147" s="15">
        <f t="shared" si="4"/>
        <v>0.66666666666666663</v>
      </c>
    </row>
    <row r="148" spans="1:12" ht="15" customHeight="1" x14ac:dyDescent="0.3">
      <c r="A148" s="10" t="s">
        <v>135</v>
      </c>
      <c r="B148" s="10" t="s">
        <v>203</v>
      </c>
      <c r="C148" s="11">
        <v>202609</v>
      </c>
      <c r="D148" s="11">
        <v>4</v>
      </c>
      <c r="E148" s="11">
        <v>4</v>
      </c>
      <c r="F148" s="11">
        <v>0</v>
      </c>
      <c r="G148" s="11">
        <v>0</v>
      </c>
      <c r="H148" s="14">
        <v>4595.1000000000004</v>
      </c>
      <c r="I148" s="11">
        <v>0</v>
      </c>
      <c r="J148" s="11">
        <v>0</v>
      </c>
      <c r="K148" s="11">
        <v>0</v>
      </c>
      <c r="L148" s="15">
        <f t="shared" si="4"/>
        <v>1</v>
      </c>
    </row>
    <row r="149" spans="1:12" ht="15" customHeight="1" x14ac:dyDescent="0.3">
      <c r="A149" s="10" t="s">
        <v>135</v>
      </c>
      <c r="B149" s="10" t="s">
        <v>204</v>
      </c>
      <c r="C149" s="11">
        <v>202610</v>
      </c>
      <c r="D149" s="11">
        <v>4</v>
      </c>
      <c r="E149" s="11">
        <v>4</v>
      </c>
      <c r="F149" s="11">
        <v>0</v>
      </c>
      <c r="G149" s="11">
        <v>0</v>
      </c>
      <c r="H149" s="14">
        <v>4157.2</v>
      </c>
      <c r="I149" s="11">
        <v>0</v>
      </c>
      <c r="J149" s="11">
        <v>0</v>
      </c>
      <c r="K149" s="11">
        <v>0</v>
      </c>
      <c r="L149" s="15">
        <f t="shared" si="4"/>
        <v>1</v>
      </c>
    </row>
    <row r="150" spans="1:12" ht="15" customHeight="1" x14ac:dyDescent="0.3">
      <c r="A150" s="10" t="s">
        <v>135</v>
      </c>
      <c r="B150" s="10" t="s">
        <v>205</v>
      </c>
      <c r="C150" s="11">
        <v>202611</v>
      </c>
      <c r="D150" s="11">
        <v>4</v>
      </c>
      <c r="E150" s="11">
        <v>4</v>
      </c>
      <c r="F150" s="11">
        <v>0</v>
      </c>
      <c r="G150" s="11">
        <v>0</v>
      </c>
      <c r="H150" s="14">
        <v>3736.9</v>
      </c>
      <c r="I150" s="11">
        <v>0</v>
      </c>
      <c r="J150" s="11">
        <v>0</v>
      </c>
      <c r="K150" s="11">
        <v>0</v>
      </c>
      <c r="L150" s="15">
        <f t="shared" si="4"/>
        <v>1</v>
      </c>
    </row>
    <row r="151" spans="1:12" ht="15" customHeight="1" x14ac:dyDescent="0.3">
      <c r="A151" s="10" t="s">
        <v>135</v>
      </c>
      <c r="B151" s="10" t="s">
        <v>206</v>
      </c>
      <c r="C151" s="11">
        <v>202612</v>
      </c>
      <c r="D151" s="11">
        <v>4</v>
      </c>
      <c r="E151" s="11">
        <v>3</v>
      </c>
      <c r="F151" s="11">
        <v>0</v>
      </c>
      <c r="G151" s="11">
        <v>1</v>
      </c>
      <c r="H151" s="14">
        <v>3990.8</v>
      </c>
      <c r="I151" s="11">
        <v>0</v>
      </c>
      <c r="J151" s="11">
        <v>0</v>
      </c>
      <c r="K151" s="11">
        <v>0</v>
      </c>
      <c r="L151" s="15">
        <f t="shared" si="4"/>
        <v>0.75</v>
      </c>
    </row>
    <row r="152" spans="1:12" ht="15" customHeight="1" x14ac:dyDescent="0.3">
      <c r="A152" s="10" t="s">
        <v>140</v>
      </c>
      <c r="B152" s="10" t="s">
        <v>201</v>
      </c>
      <c r="C152" s="11">
        <v>202607</v>
      </c>
      <c r="D152" s="11">
        <v>4</v>
      </c>
      <c r="E152" s="11">
        <v>3</v>
      </c>
      <c r="F152" s="11">
        <v>0</v>
      </c>
      <c r="G152" s="11">
        <v>1</v>
      </c>
      <c r="H152" s="14">
        <v>3682.4</v>
      </c>
      <c r="I152" s="11">
        <v>0</v>
      </c>
      <c r="J152" s="11">
        <v>0</v>
      </c>
      <c r="K152" s="11">
        <v>0</v>
      </c>
      <c r="L152" s="15">
        <f t="shared" si="4"/>
        <v>0.75</v>
      </c>
    </row>
    <row r="153" spans="1:12" ht="15" customHeight="1" x14ac:dyDescent="0.3">
      <c r="A153" s="10" t="s">
        <v>140</v>
      </c>
      <c r="B153" s="10" t="s">
        <v>202</v>
      </c>
      <c r="C153" s="11">
        <v>202608</v>
      </c>
      <c r="D153" s="11">
        <v>6</v>
      </c>
      <c r="E153" s="11">
        <v>5</v>
      </c>
      <c r="F153" s="11">
        <v>0</v>
      </c>
      <c r="G153" s="11">
        <v>1</v>
      </c>
      <c r="H153" s="14">
        <v>5617.5</v>
      </c>
      <c r="I153" s="11">
        <v>0</v>
      </c>
      <c r="J153" s="11">
        <v>0</v>
      </c>
      <c r="K153" s="11">
        <v>0</v>
      </c>
      <c r="L153" s="15">
        <f t="shared" si="4"/>
        <v>0.83333333333333337</v>
      </c>
    </row>
    <row r="154" spans="1:12" ht="15" customHeight="1" x14ac:dyDescent="0.3">
      <c r="A154" s="10" t="s">
        <v>140</v>
      </c>
      <c r="B154" s="10" t="s">
        <v>203</v>
      </c>
      <c r="C154" s="11">
        <v>202609</v>
      </c>
      <c r="D154" s="11">
        <v>4</v>
      </c>
      <c r="E154" s="11">
        <v>4</v>
      </c>
      <c r="F154" s="11">
        <v>0</v>
      </c>
      <c r="G154" s="11">
        <v>0</v>
      </c>
      <c r="H154" s="14">
        <v>3584.6</v>
      </c>
      <c r="I154" s="11">
        <v>0</v>
      </c>
      <c r="J154" s="11">
        <v>0</v>
      </c>
      <c r="K154" s="11">
        <v>0</v>
      </c>
      <c r="L154" s="15">
        <f t="shared" si="4"/>
        <v>1</v>
      </c>
    </row>
    <row r="155" spans="1:12" ht="15" customHeight="1" x14ac:dyDescent="0.3">
      <c r="A155" s="10" t="s">
        <v>140</v>
      </c>
      <c r="B155" s="10" t="s">
        <v>204</v>
      </c>
      <c r="C155" s="11">
        <v>202610</v>
      </c>
      <c r="D155" s="11">
        <v>4</v>
      </c>
      <c r="E155" s="11">
        <v>4</v>
      </c>
      <c r="F155" s="11">
        <v>0</v>
      </c>
      <c r="G155" s="11">
        <v>0</v>
      </c>
      <c r="H155" s="14">
        <v>4220</v>
      </c>
      <c r="I155" s="11">
        <v>0</v>
      </c>
      <c r="J155" s="11">
        <v>0</v>
      </c>
      <c r="K155" s="11">
        <v>0</v>
      </c>
      <c r="L155" s="15">
        <f t="shared" si="4"/>
        <v>1</v>
      </c>
    </row>
    <row r="156" spans="1:12" ht="15" customHeight="1" x14ac:dyDescent="0.3">
      <c r="A156" s="10" t="s">
        <v>140</v>
      </c>
      <c r="B156" s="10" t="s">
        <v>205</v>
      </c>
      <c r="C156" s="11">
        <v>202611</v>
      </c>
      <c r="D156" s="11">
        <v>4</v>
      </c>
      <c r="E156" s="11">
        <v>4</v>
      </c>
      <c r="F156" s="11">
        <v>0</v>
      </c>
      <c r="G156" s="11">
        <v>0</v>
      </c>
      <c r="H156" s="14">
        <v>3687.4</v>
      </c>
      <c r="I156" s="11">
        <v>0</v>
      </c>
      <c r="J156" s="11">
        <v>0</v>
      </c>
      <c r="K156" s="11">
        <v>0</v>
      </c>
      <c r="L156" s="15">
        <f t="shared" si="4"/>
        <v>1</v>
      </c>
    </row>
    <row r="157" spans="1:12" ht="15" customHeight="1" x14ac:dyDescent="0.3">
      <c r="A157" s="10" t="s">
        <v>140</v>
      </c>
      <c r="B157" s="10" t="s">
        <v>206</v>
      </c>
      <c r="C157" s="11">
        <v>202612</v>
      </c>
      <c r="D157" s="11">
        <v>4</v>
      </c>
      <c r="E157" s="11">
        <v>3</v>
      </c>
      <c r="F157" s="11">
        <v>0</v>
      </c>
      <c r="G157" s="11">
        <v>1</v>
      </c>
      <c r="H157" s="14">
        <v>3515.1</v>
      </c>
      <c r="I157" s="11">
        <v>0</v>
      </c>
      <c r="J157" s="11">
        <v>0</v>
      </c>
      <c r="K157" s="11">
        <v>0</v>
      </c>
      <c r="L157" s="15">
        <f t="shared" si="4"/>
        <v>0.75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W30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9" customWidth="1"/>
    <col min="3" max="3" width="6" customWidth="1"/>
    <col min="4" max="4" width="16" customWidth="1"/>
    <col min="5" max="6" width="8" customWidth="1"/>
    <col min="7" max="8" width="7" customWidth="1"/>
    <col min="9" max="9" width="8" customWidth="1"/>
    <col min="10" max="10" width="6" customWidth="1"/>
    <col min="11" max="20" width="8" customWidth="1"/>
    <col min="21" max="21" width="9" customWidth="1"/>
    <col min="22" max="22" width="6" customWidth="1"/>
    <col min="23" max="23" width="16" customWidth="1"/>
  </cols>
  <sheetData>
    <row r="1" spans="1:23" ht="17.399999999999999" x14ac:dyDescent="0.3">
      <c r="A1" s="1" t="s">
        <v>207</v>
      </c>
    </row>
    <row r="2" spans="1:23" x14ac:dyDescent="0.3">
      <c r="A2" s="2" t="s">
        <v>208</v>
      </c>
    </row>
    <row r="4" spans="1:23" ht="39.6" x14ac:dyDescent="0.3">
      <c r="A4" s="8" t="s">
        <v>75</v>
      </c>
      <c r="B4" s="8" t="s">
        <v>209</v>
      </c>
      <c r="C4" s="8" t="s">
        <v>210</v>
      </c>
      <c r="D4" s="9" t="s">
        <v>211</v>
      </c>
      <c r="E4" s="8" t="s">
        <v>212</v>
      </c>
      <c r="F4" s="8" t="s">
        <v>213</v>
      </c>
      <c r="G4" s="9" t="s">
        <v>180</v>
      </c>
      <c r="H4" s="9" t="s">
        <v>181</v>
      </c>
      <c r="I4" s="9" t="s">
        <v>183</v>
      </c>
      <c r="J4" s="9" t="s">
        <v>185</v>
      </c>
      <c r="K4" s="9" t="s">
        <v>214</v>
      </c>
      <c r="L4" s="9" t="s">
        <v>215</v>
      </c>
      <c r="M4" s="8" t="s">
        <v>216</v>
      </c>
      <c r="N4" s="8" t="s">
        <v>217</v>
      </c>
      <c r="O4" s="9" t="s">
        <v>218</v>
      </c>
      <c r="P4" s="9" t="s">
        <v>219</v>
      </c>
      <c r="Q4" s="9" t="s">
        <v>220</v>
      </c>
      <c r="R4" s="9" t="s">
        <v>221</v>
      </c>
      <c r="S4" s="9" t="s">
        <v>222</v>
      </c>
      <c r="T4" s="9" t="s">
        <v>223</v>
      </c>
      <c r="U4" s="9" t="s">
        <v>224</v>
      </c>
      <c r="V4" s="9" t="s">
        <v>88</v>
      </c>
      <c r="W4" s="9" t="s">
        <v>89</v>
      </c>
    </row>
    <row r="5" spans="1:23" ht="16.05" customHeight="1" x14ac:dyDescent="0.3">
      <c r="A5" s="10" t="s">
        <v>91</v>
      </c>
      <c r="B5" s="10" t="s">
        <v>225</v>
      </c>
      <c r="C5" s="10" t="s">
        <v>226</v>
      </c>
      <c r="D5" s="13" t="str">
        <f t="shared" ref="D5:D30" si="0">A5&amp;"|"&amp;IF(C5="Sim","ATUAL",B5)</f>
        <v>SUP-001|S2-2025</v>
      </c>
      <c r="E5" s="11">
        <v>202507</v>
      </c>
      <c r="F5" s="11">
        <v>202512</v>
      </c>
      <c r="G5" s="16">
        <f>SUMIFS(tbl_desempenho_forn[Lotes],tbl_desempenho_forn[ID_Fornecedor],A5,tbl_desempenho_forn[Mes_Num],"&gt;="&amp;E5,tbl_desempenho_forn[Mes_Num],"&lt;="&amp;F5)</f>
        <v>128</v>
      </c>
      <c r="H5" s="16">
        <f>SUMIFS(tbl_desempenho_forn[Aceites],tbl_desempenho_forn[ID_Fornecedor],A5,tbl_desempenho_forn[Mes_Num],"&gt;="&amp;E5,tbl_desempenho_forn[Mes_Num],"&lt;="&amp;F5)</f>
        <v>118</v>
      </c>
      <c r="I5" s="16">
        <f>SUMIFS(tbl_desempenho_forn[Rejeitados],tbl_desempenho_forn[ID_Fornecedor],A5,tbl_desempenho_forn[Mes_Num],"&gt;="&amp;E5,tbl_desempenho_forn[Mes_Num],"&lt;="&amp;F5)</f>
        <v>4</v>
      </c>
      <c r="J5" s="16">
        <f>SUMIFS(tbl_desempenho_forn[SCAR],tbl_desempenho_forn[ID_Fornecedor],A5,tbl_desempenho_forn[Mes_Num],"&gt;="&amp;E5,tbl_desempenho_forn[Mes_Num],"&lt;="&amp;F5)</f>
        <v>6</v>
      </c>
      <c r="K5" s="17">
        <f>IFERROR(SUMIFS(tbl_desempenho_forn[Dias_Resposta_Soma],tbl_desempenho_forn[ID_Fornecedor],A5,tbl_desempenho_forn[Mes_Num],"&gt;="&amp;E5,tbl_desempenho_forn[Mes_Num],"&lt;="&amp;F5)/J5,"")</f>
        <v>7.5</v>
      </c>
      <c r="L5" s="16">
        <f>SUMIFS(tbl_desempenho_forn[SCAR_Resolvidas_30d],tbl_desempenho_forn[ID_Fornecedor],A5,tbl_desempenho_forn[Mes_Num],"&gt;="&amp;E5,tbl_desempenho_forn[Mes_Num],"&lt;="&amp;F5)</f>
        <v>5</v>
      </c>
      <c r="M5" s="11">
        <v>80</v>
      </c>
      <c r="N5" s="18">
        <v>0.93</v>
      </c>
      <c r="O5" s="19">
        <f t="shared" ref="O5:O30" si="1">IFERROR(MAX(0,MIN(100,(H5/G5-0.8)/(0.98-0.8)*100)),"")</f>
        <v>67.708333333333343</v>
      </c>
      <c r="P5" s="19">
        <f t="shared" ref="P5:P30" si="2">IFERROR(MAX(0,100-I5/G5*1000),"")</f>
        <v>68.75</v>
      </c>
      <c r="Q5" s="19">
        <f t="shared" ref="Q5:Q30" si="3">IF(J5=0,100,MAX(0,MIN(100,100-(K5-5)*10)))</f>
        <v>75</v>
      </c>
      <c r="R5" s="19">
        <f t="shared" ref="R5:R30" si="4">IF(J5=0,100,L5/J5*100)</f>
        <v>83.333333333333343</v>
      </c>
      <c r="S5" s="19">
        <f t="shared" ref="S5:S30" si="5">M5</f>
        <v>80</v>
      </c>
      <c r="T5" s="19">
        <f t="shared" ref="T5:T30" si="6">MAX(0,MIN(100,(N5-0.8)/(0.98-0.8)*100))</f>
        <v>72.222222222222257</v>
      </c>
      <c r="U5" s="17">
        <f t="shared" ref="U5:U30" si="7">IFERROR(0.4*O5+0.15*P5+0.15*Q5+0.1*R5+0.1*S5+0.1*T5,"")</f>
        <v>72.201388888888914</v>
      </c>
      <c r="V5" s="13" t="str">
        <f t="shared" ref="V5:V30" si="8">IF(U5="","",IF(U5&gt;=85,"A",IF(U5&gt;=70,"B",IF(U5&gt;=50,"C","D"))))</f>
        <v>B</v>
      </c>
      <c r="W5" s="13" t="str">
        <f>IF(V5="","",IF(G5&lt;15,"Em qualificação (amostra &lt; 15 lotes)",CHOOSE(MATCH(V5,{"A","B","C","D"},0),"Manter","Manter + plano","Aprovação condicional","Suspender")))</f>
        <v>Manter + plano</v>
      </c>
    </row>
    <row r="6" spans="1:23" ht="16.05" customHeight="1" x14ac:dyDescent="0.3">
      <c r="A6" s="10" t="s">
        <v>91</v>
      </c>
      <c r="B6" s="10" t="s">
        <v>227</v>
      </c>
      <c r="C6" s="10" t="s">
        <v>228</v>
      </c>
      <c r="D6" s="13" t="str">
        <f t="shared" si="0"/>
        <v>SUP-001|ATUAL</v>
      </c>
      <c r="E6" s="11">
        <v>202601</v>
      </c>
      <c r="F6" s="11">
        <v>202606</v>
      </c>
      <c r="G6" s="16">
        <f>SUMIFS(tbl_desempenho_forn[Lotes],tbl_desempenho_forn[ID_Fornecedor],A6,tbl_desempenho_forn[Mes_Num],"&gt;="&amp;E6,tbl_desempenho_forn[Mes_Num],"&lt;="&amp;F6)</f>
        <v>105</v>
      </c>
      <c r="H6" s="16">
        <f>SUMIFS(tbl_desempenho_forn[Aceites],tbl_desempenho_forn[ID_Fornecedor],A6,tbl_desempenho_forn[Mes_Num],"&gt;="&amp;E6,tbl_desempenho_forn[Mes_Num],"&lt;="&amp;F6)</f>
        <v>98</v>
      </c>
      <c r="I6" s="16">
        <f>SUMIFS(tbl_desempenho_forn[Rejeitados],tbl_desempenho_forn[ID_Fornecedor],A6,tbl_desempenho_forn[Mes_Num],"&gt;="&amp;E6,tbl_desempenho_forn[Mes_Num],"&lt;="&amp;F6)</f>
        <v>3</v>
      </c>
      <c r="J6" s="16">
        <f>SUMIFS(tbl_desempenho_forn[SCAR],tbl_desempenho_forn[ID_Fornecedor],A6,tbl_desempenho_forn[Mes_Num],"&gt;="&amp;E6,tbl_desempenho_forn[Mes_Num],"&lt;="&amp;F6)</f>
        <v>4</v>
      </c>
      <c r="K6" s="17">
        <f>IFERROR(SUMIFS(tbl_desempenho_forn[Dias_Resposta_Soma],tbl_desempenho_forn[ID_Fornecedor],A6,tbl_desempenho_forn[Mes_Num],"&gt;="&amp;E6,tbl_desempenho_forn[Mes_Num],"&lt;="&amp;F6)/J6,"")</f>
        <v>4.25</v>
      </c>
      <c r="L6" s="16">
        <f>SUMIFS(tbl_desempenho_forn[SCAR_Resolvidas_30d],tbl_desempenho_forn[ID_Fornecedor],A6,tbl_desempenho_forn[Mes_Num],"&gt;="&amp;E6,tbl_desempenho_forn[Mes_Num],"&lt;="&amp;F6)</f>
        <v>4</v>
      </c>
      <c r="M6" s="11">
        <v>80</v>
      </c>
      <c r="N6" s="18">
        <v>0.93</v>
      </c>
      <c r="O6" s="19">
        <f t="shared" si="1"/>
        <v>74.074074074074076</v>
      </c>
      <c r="P6" s="19">
        <f t="shared" si="2"/>
        <v>71.428571428571431</v>
      </c>
      <c r="Q6" s="19">
        <f t="shared" si="3"/>
        <v>100</v>
      </c>
      <c r="R6" s="19">
        <f t="shared" si="4"/>
        <v>100</v>
      </c>
      <c r="S6" s="19">
        <f t="shared" si="5"/>
        <v>80</v>
      </c>
      <c r="T6" s="19">
        <f t="shared" si="6"/>
        <v>72.222222222222257</v>
      </c>
      <c r="U6" s="17">
        <f t="shared" si="7"/>
        <v>80.56613756613757</v>
      </c>
      <c r="V6" s="13" t="str">
        <f t="shared" si="8"/>
        <v>B</v>
      </c>
      <c r="W6" s="13" t="str">
        <f>IF(V6="","",IF(G6&lt;15,"Em qualificação (amostra &lt; 15 lotes)",CHOOSE(MATCH(V6,{"A","B","C","D"},0),"Manter","Manter + plano","Aprovação condicional","Suspender")))</f>
        <v>Manter + plano</v>
      </c>
    </row>
    <row r="7" spans="1:23" ht="16.05" customHeight="1" x14ac:dyDescent="0.3">
      <c r="A7" s="10" t="s">
        <v>91</v>
      </c>
      <c r="B7" s="10" t="s">
        <v>229</v>
      </c>
      <c r="C7" s="10" t="s">
        <v>226</v>
      </c>
      <c r="D7" s="13" t="str">
        <f t="shared" si="0"/>
        <v>SUP-001|JA-2026</v>
      </c>
      <c r="E7" s="11">
        <v>202607</v>
      </c>
      <c r="F7" s="11">
        <v>202608</v>
      </c>
      <c r="G7" s="16">
        <f>SUMIFS(tbl_desempenho_forn[Lotes],tbl_desempenho_forn[ID_Fornecedor],A7,tbl_desempenho_forn[Mes_Num],"&gt;="&amp;E7,tbl_desempenho_forn[Mes_Num],"&lt;="&amp;F7)</f>
        <v>38</v>
      </c>
      <c r="H7" s="16">
        <f>SUMIFS(tbl_desempenho_forn[Aceites],tbl_desempenho_forn[ID_Fornecedor],A7,tbl_desempenho_forn[Mes_Num],"&gt;="&amp;E7,tbl_desempenho_forn[Mes_Num],"&lt;="&amp;F7)</f>
        <v>36</v>
      </c>
      <c r="I7" s="16">
        <f>SUMIFS(tbl_desempenho_forn[Rejeitados],tbl_desempenho_forn[ID_Fornecedor],A7,tbl_desempenho_forn[Mes_Num],"&gt;="&amp;E7,tbl_desempenho_forn[Mes_Num],"&lt;="&amp;F7)</f>
        <v>1</v>
      </c>
      <c r="J7" s="16">
        <f>SUMIFS(tbl_desempenho_forn[SCAR],tbl_desempenho_forn[ID_Fornecedor],A7,tbl_desempenho_forn[Mes_Num],"&gt;="&amp;E7,tbl_desempenho_forn[Mes_Num],"&lt;="&amp;F7)</f>
        <v>2</v>
      </c>
      <c r="K7" s="17">
        <f>IFERROR(SUMIFS(tbl_desempenho_forn[Dias_Resposta_Soma],tbl_desempenho_forn[ID_Fornecedor],A7,tbl_desempenho_forn[Mes_Num],"&gt;="&amp;E7,tbl_desempenho_forn[Mes_Num],"&lt;="&amp;F7)/J7,"")</f>
        <v>10</v>
      </c>
      <c r="L7" s="16">
        <f>SUMIFS(tbl_desempenho_forn[SCAR_Resolvidas_30d],tbl_desempenho_forn[ID_Fornecedor],A7,tbl_desempenho_forn[Mes_Num],"&gt;="&amp;E7,tbl_desempenho_forn[Mes_Num],"&lt;="&amp;F7)</f>
        <v>2</v>
      </c>
      <c r="M7" s="11">
        <v>80</v>
      </c>
      <c r="N7" s="18">
        <v>0.93</v>
      </c>
      <c r="O7" s="19">
        <f t="shared" si="1"/>
        <v>81.871345029239734</v>
      </c>
      <c r="P7" s="19">
        <f t="shared" si="2"/>
        <v>73.684210526315795</v>
      </c>
      <c r="Q7" s="19">
        <f t="shared" si="3"/>
        <v>50</v>
      </c>
      <c r="R7" s="19">
        <f t="shared" si="4"/>
        <v>100</v>
      </c>
      <c r="S7" s="19">
        <f t="shared" si="5"/>
        <v>80</v>
      </c>
      <c r="T7" s="19">
        <f t="shared" si="6"/>
        <v>72.222222222222257</v>
      </c>
      <c r="U7" s="17">
        <f t="shared" si="7"/>
        <v>76.523391812865498</v>
      </c>
      <c r="V7" s="13" t="str">
        <f t="shared" si="8"/>
        <v>B</v>
      </c>
      <c r="W7" s="13" t="str">
        <f>IF(V7="","",IF(G7&lt;15,"Em qualificação (amostra &lt; 15 lotes)",CHOOSE(MATCH(V7,{"A","B","C","D"},0),"Manter","Manter + plano","Aprovação condicional","Suspender")))</f>
        <v>Manter + plano</v>
      </c>
    </row>
    <row r="8" spans="1:23" ht="16.05" customHeight="1" x14ac:dyDescent="0.3">
      <c r="A8" s="10" t="s">
        <v>102</v>
      </c>
      <c r="B8" s="10" t="s">
        <v>225</v>
      </c>
      <c r="C8" s="10" t="s">
        <v>226</v>
      </c>
      <c r="D8" s="13" t="str">
        <f t="shared" si="0"/>
        <v>SUP-002|S2-2025</v>
      </c>
      <c r="E8" s="11">
        <v>202507</v>
      </c>
      <c r="F8" s="11">
        <v>202512</v>
      </c>
      <c r="G8" s="16">
        <f>SUMIFS(tbl_desempenho_forn[Lotes],tbl_desempenho_forn[ID_Fornecedor],A8,tbl_desempenho_forn[Mes_Num],"&gt;="&amp;E8,tbl_desempenho_forn[Mes_Num],"&lt;="&amp;F8)</f>
        <v>71</v>
      </c>
      <c r="H8" s="16">
        <f>SUMIFS(tbl_desempenho_forn[Aceites],tbl_desempenho_forn[ID_Fornecedor],A8,tbl_desempenho_forn[Mes_Num],"&gt;="&amp;E8,tbl_desempenho_forn[Mes_Num],"&lt;="&amp;F8)</f>
        <v>66</v>
      </c>
      <c r="I8" s="16">
        <f>SUMIFS(tbl_desempenho_forn[Rejeitados],tbl_desempenho_forn[ID_Fornecedor],A8,tbl_desempenho_forn[Mes_Num],"&gt;="&amp;E8,tbl_desempenho_forn[Mes_Num],"&lt;="&amp;F8)</f>
        <v>3</v>
      </c>
      <c r="J8" s="16">
        <f>SUMIFS(tbl_desempenho_forn[SCAR],tbl_desempenho_forn[ID_Fornecedor],A8,tbl_desempenho_forn[Mes_Num],"&gt;="&amp;E8,tbl_desempenho_forn[Mes_Num],"&lt;="&amp;F8)</f>
        <v>3</v>
      </c>
      <c r="K8" s="17">
        <f>IFERROR(SUMIFS(tbl_desempenho_forn[Dias_Resposta_Soma],tbl_desempenho_forn[ID_Fornecedor],A8,tbl_desempenho_forn[Mes_Num],"&gt;="&amp;E8,tbl_desempenho_forn[Mes_Num],"&lt;="&amp;F8)/J8,"")</f>
        <v>7.666666666666667</v>
      </c>
      <c r="L8" s="16">
        <f>SUMIFS(tbl_desempenho_forn[SCAR_Resolvidas_30d],tbl_desempenho_forn[ID_Fornecedor],A8,tbl_desempenho_forn[Mes_Num],"&gt;="&amp;E8,tbl_desempenho_forn[Mes_Num],"&lt;="&amp;F8)</f>
        <v>3</v>
      </c>
      <c r="M8" s="11">
        <v>90</v>
      </c>
      <c r="N8" s="18">
        <v>0.96</v>
      </c>
      <c r="O8" s="19">
        <f t="shared" si="1"/>
        <v>71.987480438184662</v>
      </c>
      <c r="P8" s="19">
        <f t="shared" si="2"/>
        <v>57.74647887323944</v>
      </c>
      <c r="Q8" s="19">
        <f t="shared" si="3"/>
        <v>73.333333333333329</v>
      </c>
      <c r="R8" s="19">
        <f t="shared" si="4"/>
        <v>100</v>
      </c>
      <c r="S8" s="19">
        <f t="shared" si="5"/>
        <v>90</v>
      </c>
      <c r="T8" s="19">
        <f t="shared" si="6"/>
        <v>88.888888888888872</v>
      </c>
      <c r="U8" s="17">
        <f t="shared" si="7"/>
        <v>76.345852895148667</v>
      </c>
      <c r="V8" s="13" t="str">
        <f t="shared" si="8"/>
        <v>B</v>
      </c>
      <c r="W8" s="13" t="str">
        <f>IF(V8="","",IF(G8&lt;15,"Em qualificação (amostra &lt; 15 lotes)",CHOOSE(MATCH(V8,{"A","B","C","D"},0),"Manter","Manter + plano","Aprovação condicional","Suspender")))</f>
        <v>Manter + plano</v>
      </c>
    </row>
    <row r="9" spans="1:23" ht="16.05" customHeight="1" x14ac:dyDescent="0.3">
      <c r="A9" s="10" t="s">
        <v>102</v>
      </c>
      <c r="B9" s="10" t="s">
        <v>227</v>
      </c>
      <c r="C9" s="10" t="s">
        <v>228</v>
      </c>
      <c r="D9" s="13" t="str">
        <f t="shared" si="0"/>
        <v>SUP-002|ATUAL</v>
      </c>
      <c r="E9" s="11">
        <v>202601</v>
      </c>
      <c r="F9" s="11">
        <v>202606</v>
      </c>
      <c r="G9" s="16">
        <f>SUMIFS(tbl_desempenho_forn[Lotes],tbl_desempenho_forn[ID_Fornecedor],A9,tbl_desempenho_forn[Mes_Num],"&gt;="&amp;E9,tbl_desempenho_forn[Mes_Num],"&lt;="&amp;F9)</f>
        <v>63</v>
      </c>
      <c r="H9" s="16">
        <f>SUMIFS(tbl_desempenho_forn[Aceites],tbl_desempenho_forn[ID_Fornecedor],A9,tbl_desempenho_forn[Mes_Num],"&gt;="&amp;E9,tbl_desempenho_forn[Mes_Num],"&lt;="&amp;F9)</f>
        <v>58</v>
      </c>
      <c r="I9" s="16">
        <f>SUMIFS(tbl_desempenho_forn[Rejeitados],tbl_desempenho_forn[ID_Fornecedor],A9,tbl_desempenho_forn[Mes_Num],"&gt;="&amp;E9,tbl_desempenho_forn[Mes_Num],"&lt;="&amp;F9)</f>
        <v>4</v>
      </c>
      <c r="J9" s="16">
        <f>SUMIFS(tbl_desempenho_forn[SCAR],tbl_desempenho_forn[ID_Fornecedor],A9,tbl_desempenho_forn[Mes_Num],"&gt;="&amp;E9,tbl_desempenho_forn[Mes_Num],"&lt;="&amp;F9)</f>
        <v>3</v>
      </c>
      <c r="K9" s="17">
        <f>IFERROR(SUMIFS(tbl_desempenho_forn[Dias_Resposta_Soma],tbl_desempenho_forn[ID_Fornecedor],A9,tbl_desempenho_forn[Mes_Num],"&gt;="&amp;E9,tbl_desempenho_forn[Mes_Num],"&lt;="&amp;F9)/J9,"")</f>
        <v>4.333333333333333</v>
      </c>
      <c r="L9" s="16">
        <f>SUMIFS(tbl_desempenho_forn[SCAR_Resolvidas_30d],tbl_desempenho_forn[ID_Fornecedor],A9,tbl_desempenho_forn[Mes_Num],"&gt;="&amp;E9,tbl_desempenho_forn[Mes_Num],"&lt;="&amp;F9)</f>
        <v>3</v>
      </c>
      <c r="M9" s="11">
        <v>90</v>
      </c>
      <c r="N9" s="18">
        <v>0.96</v>
      </c>
      <c r="O9" s="19">
        <f t="shared" si="1"/>
        <v>67.019400352733655</v>
      </c>
      <c r="P9" s="19">
        <f t="shared" si="2"/>
        <v>36.507936507936513</v>
      </c>
      <c r="Q9" s="19">
        <f t="shared" si="3"/>
        <v>100</v>
      </c>
      <c r="R9" s="19">
        <f t="shared" si="4"/>
        <v>100</v>
      </c>
      <c r="S9" s="19">
        <f t="shared" si="5"/>
        <v>90</v>
      </c>
      <c r="T9" s="19">
        <f t="shared" si="6"/>
        <v>88.888888888888872</v>
      </c>
      <c r="U9" s="17">
        <f t="shared" si="7"/>
        <v>75.172839506172835</v>
      </c>
      <c r="V9" s="13" t="str">
        <f t="shared" si="8"/>
        <v>B</v>
      </c>
      <c r="W9" s="13" t="str">
        <f>IF(V9="","",IF(G9&lt;15,"Em qualificação (amostra &lt; 15 lotes)",CHOOSE(MATCH(V9,{"A","B","C","D"},0),"Manter","Manter + plano","Aprovação condicional","Suspender")))</f>
        <v>Manter + plano</v>
      </c>
    </row>
    <row r="10" spans="1:23" ht="16.05" customHeight="1" x14ac:dyDescent="0.3">
      <c r="A10" s="10" t="s">
        <v>102</v>
      </c>
      <c r="B10" s="10" t="s">
        <v>229</v>
      </c>
      <c r="C10" s="10" t="s">
        <v>226</v>
      </c>
      <c r="D10" s="13" t="str">
        <f t="shared" si="0"/>
        <v>SUP-002|JA-2026</v>
      </c>
      <c r="E10" s="11">
        <v>202607</v>
      </c>
      <c r="F10" s="11">
        <v>202608</v>
      </c>
      <c r="G10" s="16">
        <f>SUMIFS(tbl_desempenho_forn[Lotes],tbl_desempenho_forn[ID_Fornecedor],A10,tbl_desempenho_forn[Mes_Num],"&gt;="&amp;E10,tbl_desempenho_forn[Mes_Num],"&lt;="&amp;F10)</f>
        <v>21</v>
      </c>
      <c r="H10" s="16">
        <f>SUMIFS(tbl_desempenho_forn[Aceites],tbl_desempenho_forn[ID_Fornecedor],A10,tbl_desempenho_forn[Mes_Num],"&gt;="&amp;E10,tbl_desempenho_forn[Mes_Num],"&lt;="&amp;F10)</f>
        <v>18</v>
      </c>
      <c r="I10" s="16">
        <f>SUMIFS(tbl_desempenho_forn[Rejeitados],tbl_desempenho_forn[ID_Fornecedor],A10,tbl_desempenho_forn[Mes_Num],"&gt;="&amp;E10,tbl_desempenho_forn[Mes_Num],"&lt;="&amp;F10)</f>
        <v>3</v>
      </c>
      <c r="J10" s="16">
        <f>SUMIFS(tbl_desempenho_forn[SCAR],tbl_desempenho_forn[ID_Fornecedor],A10,tbl_desempenho_forn[Mes_Num],"&gt;="&amp;E10,tbl_desempenho_forn[Mes_Num],"&lt;="&amp;F10)</f>
        <v>1</v>
      </c>
      <c r="K10" s="17">
        <f>IFERROR(SUMIFS(tbl_desempenho_forn[Dias_Resposta_Soma],tbl_desempenho_forn[ID_Fornecedor],A10,tbl_desempenho_forn[Mes_Num],"&gt;="&amp;E10,tbl_desempenho_forn[Mes_Num],"&lt;="&amp;F10)/J10,"")</f>
        <v>9</v>
      </c>
      <c r="L10" s="16">
        <f>SUMIFS(tbl_desempenho_forn[SCAR_Resolvidas_30d],tbl_desempenho_forn[ID_Fornecedor],A10,tbl_desempenho_forn[Mes_Num],"&gt;="&amp;E10,tbl_desempenho_forn[Mes_Num],"&lt;="&amp;F10)</f>
        <v>1</v>
      </c>
      <c r="M10" s="11">
        <v>90</v>
      </c>
      <c r="N10" s="18">
        <v>0.96</v>
      </c>
      <c r="O10" s="19">
        <f t="shared" si="1"/>
        <v>31.746031746031704</v>
      </c>
      <c r="P10" s="19">
        <f t="shared" si="2"/>
        <v>0</v>
      </c>
      <c r="Q10" s="19">
        <f t="shared" si="3"/>
        <v>60</v>
      </c>
      <c r="R10" s="19">
        <f t="shared" si="4"/>
        <v>100</v>
      </c>
      <c r="S10" s="19">
        <f t="shared" si="5"/>
        <v>90</v>
      </c>
      <c r="T10" s="19">
        <f t="shared" si="6"/>
        <v>88.888888888888872</v>
      </c>
      <c r="U10" s="17">
        <f t="shared" si="7"/>
        <v>49.587301587301567</v>
      </c>
      <c r="V10" s="13" t="str">
        <f t="shared" si="8"/>
        <v>D</v>
      </c>
      <c r="W10" s="13" t="str">
        <f>IF(V10="","",IF(G10&lt;15,"Em qualificação (amostra &lt; 15 lotes)",CHOOSE(MATCH(V10,{"A","B","C","D"},0),"Manter","Manter + plano","Aprovação condicional","Suspender")))</f>
        <v>Suspender</v>
      </c>
    </row>
    <row r="11" spans="1:23" ht="16.05" customHeight="1" x14ac:dyDescent="0.3">
      <c r="A11" s="10" t="s">
        <v>107</v>
      </c>
      <c r="B11" s="10" t="s">
        <v>225</v>
      </c>
      <c r="C11" s="10" t="s">
        <v>226</v>
      </c>
      <c r="D11" s="13" t="str">
        <f t="shared" si="0"/>
        <v>SUP-003|S2-2025</v>
      </c>
      <c r="E11" s="11">
        <v>202507</v>
      </c>
      <c r="F11" s="11">
        <v>202512</v>
      </c>
      <c r="G11" s="16">
        <f>SUMIFS(tbl_desempenho_forn[Lotes],tbl_desempenho_forn[ID_Fornecedor],A11,tbl_desempenho_forn[Mes_Num],"&gt;="&amp;E11,tbl_desempenho_forn[Mes_Num],"&lt;="&amp;F11)</f>
        <v>81</v>
      </c>
      <c r="H11" s="16">
        <f>SUMIFS(tbl_desempenho_forn[Aceites],tbl_desempenho_forn[ID_Fornecedor],A11,tbl_desempenho_forn[Mes_Num],"&gt;="&amp;E11,tbl_desempenho_forn[Mes_Num],"&lt;="&amp;F11)</f>
        <v>75</v>
      </c>
      <c r="I11" s="16">
        <f>SUMIFS(tbl_desempenho_forn[Rejeitados],tbl_desempenho_forn[ID_Fornecedor],A11,tbl_desempenho_forn[Mes_Num],"&gt;="&amp;E11,tbl_desempenho_forn[Mes_Num],"&lt;="&amp;F11)</f>
        <v>2</v>
      </c>
      <c r="J11" s="16">
        <f>SUMIFS(tbl_desempenho_forn[SCAR],tbl_desempenho_forn[ID_Fornecedor],A11,tbl_desempenho_forn[Mes_Num],"&gt;="&amp;E11,tbl_desempenho_forn[Mes_Num],"&lt;="&amp;F11)</f>
        <v>2</v>
      </c>
      <c r="K11" s="17">
        <f>IFERROR(SUMIFS(tbl_desempenho_forn[Dias_Resposta_Soma],tbl_desempenho_forn[ID_Fornecedor],A11,tbl_desempenho_forn[Mes_Num],"&gt;="&amp;E11,tbl_desempenho_forn[Mes_Num],"&lt;="&amp;F11)/J11,"")</f>
        <v>5</v>
      </c>
      <c r="L11" s="16">
        <f>SUMIFS(tbl_desempenho_forn[SCAR_Resolvidas_30d],tbl_desempenho_forn[ID_Fornecedor],A11,tbl_desempenho_forn[Mes_Num],"&gt;="&amp;E11,tbl_desempenho_forn[Mes_Num],"&lt;="&amp;F11)</f>
        <v>2</v>
      </c>
      <c r="M11" s="11">
        <v>80</v>
      </c>
      <c r="N11" s="18">
        <v>0.95</v>
      </c>
      <c r="O11" s="19">
        <f t="shared" si="1"/>
        <v>69.958847736625515</v>
      </c>
      <c r="P11" s="19">
        <f t="shared" si="2"/>
        <v>75.308641975308646</v>
      </c>
      <c r="Q11" s="19">
        <f t="shared" si="3"/>
        <v>100</v>
      </c>
      <c r="R11" s="19">
        <f t="shared" si="4"/>
        <v>100</v>
      </c>
      <c r="S11" s="19">
        <f t="shared" si="5"/>
        <v>80</v>
      </c>
      <c r="T11" s="19">
        <f t="shared" si="6"/>
        <v>83.333333333333314</v>
      </c>
      <c r="U11" s="17">
        <f t="shared" si="7"/>
        <v>80.613168724279831</v>
      </c>
      <c r="V11" s="13" t="str">
        <f t="shared" si="8"/>
        <v>B</v>
      </c>
      <c r="W11" s="13" t="str">
        <f>IF(V11="","",IF(G11&lt;15,"Em qualificação (amostra &lt; 15 lotes)",CHOOSE(MATCH(V11,{"A","B","C","D"},0),"Manter","Manter + plano","Aprovação condicional","Suspender")))</f>
        <v>Manter + plano</v>
      </c>
    </row>
    <row r="12" spans="1:23" ht="16.05" customHeight="1" x14ac:dyDescent="0.3">
      <c r="A12" s="10" t="s">
        <v>107</v>
      </c>
      <c r="B12" s="10" t="s">
        <v>227</v>
      </c>
      <c r="C12" s="10" t="s">
        <v>228</v>
      </c>
      <c r="D12" s="13" t="str">
        <f t="shared" si="0"/>
        <v>SUP-003|ATUAL</v>
      </c>
      <c r="E12" s="11">
        <v>202601</v>
      </c>
      <c r="F12" s="11">
        <v>202606</v>
      </c>
      <c r="G12" s="16">
        <f>SUMIFS(tbl_desempenho_forn[Lotes],tbl_desempenho_forn[ID_Fornecedor],A12,tbl_desempenho_forn[Mes_Num],"&gt;="&amp;E12,tbl_desempenho_forn[Mes_Num],"&lt;="&amp;F12)</f>
        <v>85</v>
      </c>
      <c r="H12" s="16">
        <f>SUMIFS(tbl_desempenho_forn[Aceites],tbl_desempenho_forn[ID_Fornecedor],A12,tbl_desempenho_forn[Mes_Num],"&gt;="&amp;E12,tbl_desempenho_forn[Mes_Num],"&lt;="&amp;F12)</f>
        <v>84</v>
      </c>
      <c r="I12" s="16">
        <f>SUMIFS(tbl_desempenho_forn[Rejeitados],tbl_desempenho_forn[ID_Fornecedor],A12,tbl_desempenho_forn[Mes_Num],"&gt;="&amp;E12,tbl_desempenho_forn[Mes_Num],"&lt;="&amp;F12)</f>
        <v>1</v>
      </c>
      <c r="J12" s="16">
        <f>SUMIFS(tbl_desempenho_forn[SCAR],tbl_desempenho_forn[ID_Fornecedor],A12,tbl_desempenho_forn[Mes_Num],"&gt;="&amp;E12,tbl_desempenho_forn[Mes_Num],"&lt;="&amp;F12)</f>
        <v>1</v>
      </c>
      <c r="K12" s="17">
        <f>IFERROR(SUMIFS(tbl_desempenho_forn[Dias_Resposta_Soma],tbl_desempenho_forn[ID_Fornecedor],A12,tbl_desempenho_forn[Mes_Num],"&gt;="&amp;E12,tbl_desempenho_forn[Mes_Num],"&lt;="&amp;F12)/J12,"")</f>
        <v>11</v>
      </c>
      <c r="L12" s="16">
        <f>SUMIFS(tbl_desempenho_forn[SCAR_Resolvidas_30d],tbl_desempenho_forn[ID_Fornecedor],A12,tbl_desempenho_forn[Mes_Num],"&gt;="&amp;E12,tbl_desempenho_forn[Mes_Num],"&lt;="&amp;F12)</f>
        <v>1</v>
      </c>
      <c r="M12" s="11">
        <v>80</v>
      </c>
      <c r="N12" s="18">
        <v>0.95</v>
      </c>
      <c r="O12" s="19">
        <f t="shared" si="1"/>
        <v>100</v>
      </c>
      <c r="P12" s="19">
        <f t="shared" si="2"/>
        <v>88.235294117647058</v>
      </c>
      <c r="Q12" s="19">
        <f t="shared" si="3"/>
        <v>40</v>
      </c>
      <c r="R12" s="19">
        <f t="shared" si="4"/>
        <v>100</v>
      </c>
      <c r="S12" s="19">
        <f t="shared" si="5"/>
        <v>80</v>
      </c>
      <c r="T12" s="19">
        <f t="shared" si="6"/>
        <v>83.333333333333314</v>
      </c>
      <c r="U12" s="17">
        <f t="shared" si="7"/>
        <v>85.568627450980387</v>
      </c>
      <c r="V12" s="13" t="str">
        <f t="shared" si="8"/>
        <v>A</v>
      </c>
      <c r="W12" s="13" t="str">
        <f>IF(V12="","",IF(G12&lt;15,"Em qualificação (amostra &lt; 15 lotes)",CHOOSE(MATCH(V12,{"A","B","C","D"},0),"Manter","Manter + plano","Aprovação condicional","Suspender")))</f>
        <v>Manter</v>
      </c>
    </row>
    <row r="13" spans="1:23" ht="16.05" customHeight="1" x14ac:dyDescent="0.3">
      <c r="A13" s="10" t="s">
        <v>107</v>
      </c>
      <c r="B13" s="10" t="s">
        <v>229</v>
      </c>
      <c r="C13" s="10" t="s">
        <v>226</v>
      </c>
      <c r="D13" s="13" t="str">
        <f t="shared" si="0"/>
        <v>SUP-003|JA-2026</v>
      </c>
      <c r="E13" s="11">
        <v>202607</v>
      </c>
      <c r="F13" s="11">
        <v>202608</v>
      </c>
      <c r="G13" s="16">
        <f>SUMIFS(tbl_desempenho_forn[Lotes],tbl_desempenho_forn[ID_Fornecedor],A13,tbl_desempenho_forn[Mes_Num],"&gt;="&amp;E13,tbl_desempenho_forn[Mes_Num],"&lt;="&amp;F13)</f>
        <v>30</v>
      </c>
      <c r="H13" s="16">
        <f>SUMIFS(tbl_desempenho_forn[Aceites],tbl_desempenho_forn[ID_Fornecedor],A13,tbl_desempenho_forn[Mes_Num],"&gt;="&amp;E13,tbl_desempenho_forn[Mes_Num],"&lt;="&amp;F13)</f>
        <v>29</v>
      </c>
      <c r="I13" s="16">
        <f>SUMIFS(tbl_desempenho_forn[Rejeitados],tbl_desempenho_forn[ID_Fornecedor],A13,tbl_desempenho_forn[Mes_Num],"&gt;="&amp;E13,tbl_desempenho_forn[Mes_Num],"&lt;="&amp;F13)</f>
        <v>0</v>
      </c>
      <c r="J13" s="16">
        <f>SUMIFS(tbl_desempenho_forn[SCAR],tbl_desempenho_forn[ID_Fornecedor],A13,tbl_desempenho_forn[Mes_Num],"&gt;="&amp;E13,tbl_desempenho_forn[Mes_Num],"&lt;="&amp;F13)</f>
        <v>0</v>
      </c>
      <c r="K13" s="17" t="str">
        <f>IFERROR(SUMIFS(tbl_desempenho_forn[Dias_Resposta_Soma],tbl_desempenho_forn[ID_Fornecedor],A13,tbl_desempenho_forn[Mes_Num],"&gt;="&amp;E13,tbl_desempenho_forn[Mes_Num],"&lt;="&amp;F13)/J13,"")</f>
        <v/>
      </c>
      <c r="L13" s="16">
        <f>SUMIFS(tbl_desempenho_forn[SCAR_Resolvidas_30d],tbl_desempenho_forn[ID_Fornecedor],A13,tbl_desempenho_forn[Mes_Num],"&gt;="&amp;E13,tbl_desempenho_forn[Mes_Num],"&lt;="&amp;F13)</f>
        <v>0</v>
      </c>
      <c r="M13" s="11">
        <v>80</v>
      </c>
      <c r="N13" s="18">
        <v>0.95</v>
      </c>
      <c r="O13" s="19">
        <f t="shared" si="1"/>
        <v>92.592592592592609</v>
      </c>
      <c r="P13" s="19">
        <f t="shared" si="2"/>
        <v>100</v>
      </c>
      <c r="Q13" s="19">
        <f t="shared" si="3"/>
        <v>100</v>
      </c>
      <c r="R13" s="19">
        <f t="shared" si="4"/>
        <v>100</v>
      </c>
      <c r="S13" s="19">
        <f t="shared" si="5"/>
        <v>80</v>
      </c>
      <c r="T13" s="19">
        <f t="shared" si="6"/>
        <v>83.333333333333314</v>
      </c>
      <c r="U13" s="17">
        <f t="shared" si="7"/>
        <v>93.370370370370367</v>
      </c>
      <c r="V13" s="13" t="str">
        <f t="shared" si="8"/>
        <v>A</v>
      </c>
      <c r="W13" s="13" t="str">
        <f>IF(V13="","",IF(G13&lt;15,"Em qualificação (amostra &lt; 15 lotes)",CHOOSE(MATCH(V13,{"A","B","C","D"},0),"Manter","Manter + plano","Aprovação condicional","Suspender")))</f>
        <v>Manter</v>
      </c>
    </row>
    <row r="14" spans="1:23" ht="16.05" customHeight="1" x14ac:dyDescent="0.3">
      <c r="A14" s="10" t="s">
        <v>110</v>
      </c>
      <c r="B14" s="10" t="s">
        <v>225</v>
      </c>
      <c r="C14" s="10" t="s">
        <v>226</v>
      </c>
      <c r="D14" s="13" t="str">
        <f t="shared" si="0"/>
        <v>SUP-004|S2-2025</v>
      </c>
      <c r="E14" s="11">
        <v>202507</v>
      </c>
      <c r="F14" s="11">
        <v>202512</v>
      </c>
      <c r="G14" s="16">
        <f>SUMIFS(tbl_desempenho_forn[Lotes],tbl_desempenho_forn[ID_Fornecedor],A14,tbl_desempenho_forn[Mes_Num],"&gt;="&amp;E14,tbl_desempenho_forn[Mes_Num],"&lt;="&amp;F14)</f>
        <v>120</v>
      </c>
      <c r="H14" s="16">
        <f>SUMIFS(tbl_desempenho_forn[Aceites],tbl_desempenho_forn[ID_Fornecedor],A14,tbl_desempenho_forn[Mes_Num],"&gt;="&amp;E14,tbl_desempenho_forn[Mes_Num],"&lt;="&amp;F14)</f>
        <v>108</v>
      </c>
      <c r="I14" s="16">
        <f>SUMIFS(tbl_desempenho_forn[Rejeitados],tbl_desempenho_forn[ID_Fornecedor],A14,tbl_desempenho_forn[Mes_Num],"&gt;="&amp;E14,tbl_desempenho_forn[Mes_Num],"&lt;="&amp;F14)</f>
        <v>7</v>
      </c>
      <c r="J14" s="16">
        <f>SUMIFS(tbl_desempenho_forn[SCAR],tbl_desempenho_forn[ID_Fornecedor],A14,tbl_desempenho_forn[Mes_Num],"&gt;="&amp;E14,tbl_desempenho_forn[Mes_Num],"&lt;="&amp;F14)</f>
        <v>4</v>
      </c>
      <c r="K14" s="17">
        <f>IFERROR(SUMIFS(tbl_desempenho_forn[Dias_Resposta_Soma],tbl_desempenho_forn[ID_Fornecedor],A14,tbl_desempenho_forn[Mes_Num],"&gt;="&amp;E14,tbl_desempenho_forn[Mes_Num],"&lt;="&amp;F14)/J14,"")</f>
        <v>9</v>
      </c>
      <c r="L14" s="16">
        <f>SUMIFS(tbl_desempenho_forn[SCAR_Resolvidas_30d],tbl_desempenho_forn[ID_Fornecedor],A14,tbl_desempenho_forn[Mes_Num],"&gt;="&amp;E14,tbl_desempenho_forn[Mes_Num],"&lt;="&amp;F14)</f>
        <v>3</v>
      </c>
      <c r="M14" s="11">
        <v>90</v>
      </c>
      <c r="N14" s="18">
        <v>0.88</v>
      </c>
      <c r="O14" s="19">
        <f t="shared" si="1"/>
        <v>55.555555555555557</v>
      </c>
      <c r="P14" s="19">
        <f t="shared" si="2"/>
        <v>41.666666666666664</v>
      </c>
      <c r="Q14" s="19">
        <f t="shared" si="3"/>
        <v>60</v>
      </c>
      <c r="R14" s="19">
        <f t="shared" si="4"/>
        <v>75</v>
      </c>
      <c r="S14" s="19">
        <f t="shared" si="5"/>
        <v>90</v>
      </c>
      <c r="T14" s="19">
        <f t="shared" si="6"/>
        <v>44.444444444444436</v>
      </c>
      <c r="U14" s="17">
        <f t="shared" si="7"/>
        <v>58.416666666666671</v>
      </c>
      <c r="V14" s="13" t="str">
        <f t="shared" si="8"/>
        <v>C</v>
      </c>
      <c r="W14" s="13" t="str">
        <f>IF(V14="","",IF(G14&lt;15,"Em qualificação (amostra &lt; 15 lotes)",CHOOSE(MATCH(V14,{"A","B","C","D"},0),"Manter","Manter + plano","Aprovação condicional","Suspender")))</f>
        <v>Aprovação condicional</v>
      </c>
    </row>
    <row r="15" spans="1:23" ht="16.05" customHeight="1" x14ac:dyDescent="0.3">
      <c r="A15" s="10" t="s">
        <v>110</v>
      </c>
      <c r="B15" s="10" t="s">
        <v>227</v>
      </c>
      <c r="C15" s="10" t="s">
        <v>228</v>
      </c>
      <c r="D15" s="13" t="str">
        <f t="shared" si="0"/>
        <v>SUP-004|ATUAL</v>
      </c>
      <c r="E15" s="11">
        <v>202601</v>
      </c>
      <c r="F15" s="11">
        <v>202606</v>
      </c>
      <c r="G15" s="16">
        <f>SUMIFS(tbl_desempenho_forn[Lotes],tbl_desempenho_forn[ID_Fornecedor],A15,tbl_desempenho_forn[Mes_Num],"&gt;="&amp;E15,tbl_desempenho_forn[Mes_Num],"&lt;="&amp;F15)</f>
        <v>109</v>
      </c>
      <c r="H15" s="16">
        <f>SUMIFS(tbl_desempenho_forn[Aceites],tbl_desempenho_forn[ID_Fornecedor],A15,tbl_desempenho_forn[Mes_Num],"&gt;="&amp;E15,tbl_desempenho_forn[Mes_Num],"&lt;="&amp;F15)</f>
        <v>93</v>
      </c>
      <c r="I15" s="16">
        <f>SUMIFS(tbl_desempenho_forn[Rejeitados],tbl_desempenho_forn[ID_Fornecedor],A15,tbl_desempenho_forn[Mes_Num],"&gt;="&amp;E15,tbl_desempenho_forn[Mes_Num],"&lt;="&amp;F15)</f>
        <v>6</v>
      </c>
      <c r="J15" s="16">
        <f>SUMIFS(tbl_desempenho_forn[SCAR],tbl_desempenho_forn[ID_Fornecedor],A15,tbl_desempenho_forn[Mes_Num],"&gt;="&amp;E15,tbl_desempenho_forn[Mes_Num],"&lt;="&amp;F15)</f>
        <v>5</v>
      </c>
      <c r="K15" s="17">
        <f>IFERROR(SUMIFS(tbl_desempenho_forn[Dias_Resposta_Soma],tbl_desempenho_forn[ID_Fornecedor],A15,tbl_desempenho_forn[Mes_Num],"&gt;="&amp;E15,tbl_desempenho_forn[Mes_Num],"&lt;="&amp;F15)/J15,"")</f>
        <v>6</v>
      </c>
      <c r="L15" s="16">
        <f>SUMIFS(tbl_desempenho_forn[SCAR_Resolvidas_30d],tbl_desempenho_forn[ID_Fornecedor],A15,tbl_desempenho_forn[Mes_Num],"&gt;="&amp;E15,tbl_desempenho_forn[Mes_Num],"&lt;="&amp;F15)</f>
        <v>3</v>
      </c>
      <c r="M15" s="11">
        <v>90</v>
      </c>
      <c r="N15" s="18">
        <v>0.88</v>
      </c>
      <c r="O15" s="19">
        <f t="shared" si="1"/>
        <v>29.56167176350661</v>
      </c>
      <c r="P15" s="19">
        <f t="shared" si="2"/>
        <v>44.954128440366972</v>
      </c>
      <c r="Q15" s="19">
        <f t="shared" si="3"/>
        <v>90</v>
      </c>
      <c r="R15" s="19">
        <f t="shared" si="4"/>
        <v>60</v>
      </c>
      <c r="S15" s="19">
        <f t="shared" si="5"/>
        <v>90</v>
      </c>
      <c r="T15" s="19">
        <f t="shared" si="6"/>
        <v>44.444444444444436</v>
      </c>
      <c r="U15" s="17">
        <f t="shared" si="7"/>
        <v>51.512232415902133</v>
      </c>
      <c r="V15" s="13" t="str">
        <f t="shared" si="8"/>
        <v>C</v>
      </c>
      <c r="W15" s="13" t="str">
        <f>IF(V15="","",IF(G15&lt;15,"Em qualificação (amostra &lt; 15 lotes)",CHOOSE(MATCH(V15,{"A","B","C","D"},0),"Manter","Manter + plano","Aprovação condicional","Suspender")))</f>
        <v>Aprovação condicional</v>
      </c>
    </row>
    <row r="16" spans="1:23" ht="16.05" customHeight="1" x14ac:dyDescent="0.3">
      <c r="A16" s="10" t="s">
        <v>110</v>
      </c>
      <c r="B16" s="10" t="s">
        <v>229</v>
      </c>
      <c r="C16" s="10" t="s">
        <v>226</v>
      </c>
      <c r="D16" s="13" t="str">
        <f t="shared" si="0"/>
        <v>SUP-004|JA-2026</v>
      </c>
      <c r="E16" s="11">
        <v>202607</v>
      </c>
      <c r="F16" s="11">
        <v>202608</v>
      </c>
      <c r="G16" s="16">
        <f>SUMIFS(tbl_desempenho_forn[Lotes],tbl_desempenho_forn[ID_Fornecedor],A16,tbl_desempenho_forn[Mes_Num],"&gt;="&amp;E16,tbl_desempenho_forn[Mes_Num],"&lt;="&amp;F16)</f>
        <v>29</v>
      </c>
      <c r="H16" s="16">
        <f>SUMIFS(tbl_desempenho_forn[Aceites],tbl_desempenho_forn[ID_Fornecedor],A16,tbl_desempenho_forn[Mes_Num],"&gt;="&amp;E16,tbl_desempenho_forn[Mes_Num],"&lt;="&amp;F16)</f>
        <v>28</v>
      </c>
      <c r="I16" s="16">
        <f>SUMIFS(tbl_desempenho_forn[Rejeitados],tbl_desempenho_forn[ID_Fornecedor],A16,tbl_desempenho_forn[Mes_Num],"&gt;="&amp;E16,tbl_desempenho_forn[Mes_Num],"&lt;="&amp;F16)</f>
        <v>0</v>
      </c>
      <c r="J16" s="16">
        <f>SUMIFS(tbl_desempenho_forn[SCAR],tbl_desempenho_forn[ID_Fornecedor],A16,tbl_desempenho_forn[Mes_Num],"&gt;="&amp;E16,tbl_desempenho_forn[Mes_Num],"&lt;="&amp;F16)</f>
        <v>0</v>
      </c>
      <c r="K16" s="17" t="str">
        <f>IFERROR(SUMIFS(tbl_desempenho_forn[Dias_Resposta_Soma],tbl_desempenho_forn[ID_Fornecedor],A16,tbl_desempenho_forn[Mes_Num],"&gt;="&amp;E16,tbl_desempenho_forn[Mes_Num],"&lt;="&amp;F16)/J16,"")</f>
        <v/>
      </c>
      <c r="L16" s="16">
        <f>SUMIFS(tbl_desempenho_forn[SCAR_Resolvidas_30d],tbl_desempenho_forn[ID_Fornecedor],A16,tbl_desempenho_forn[Mes_Num],"&gt;="&amp;E16,tbl_desempenho_forn[Mes_Num],"&lt;="&amp;F16)</f>
        <v>0</v>
      </c>
      <c r="M16" s="11">
        <v>90</v>
      </c>
      <c r="N16" s="18">
        <v>0.88</v>
      </c>
      <c r="O16" s="19">
        <f t="shared" si="1"/>
        <v>91.954022988505784</v>
      </c>
      <c r="P16" s="19">
        <f t="shared" si="2"/>
        <v>100</v>
      </c>
      <c r="Q16" s="19">
        <f t="shared" si="3"/>
        <v>100</v>
      </c>
      <c r="R16" s="19">
        <f t="shared" si="4"/>
        <v>100</v>
      </c>
      <c r="S16" s="19">
        <f t="shared" si="5"/>
        <v>90</v>
      </c>
      <c r="T16" s="19">
        <f t="shared" si="6"/>
        <v>44.444444444444436</v>
      </c>
      <c r="U16" s="17">
        <f t="shared" si="7"/>
        <v>90.226053639846768</v>
      </c>
      <c r="V16" s="13" t="str">
        <f t="shared" si="8"/>
        <v>A</v>
      </c>
      <c r="W16" s="13" t="str">
        <f>IF(V16="","",IF(G16&lt;15,"Em qualificação (amostra &lt; 15 lotes)",CHOOSE(MATCH(V16,{"A","B","C","D"},0),"Manter","Manter + plano","Aprovação condicional","Suspender")))</f>
        <v>Manter</v>
      </c>
    </row>
    <row r="17" spans="1:23" ht="16.05" customHeight="1" x14ac:dyDescent="0.3">
      <c r="A17" s="10" t="s">
        <v>115</v>
      </c>
      <c r="B17" s="10" t="s">
        <v>225</v>
      </c>
      <c r="C17" s="10" t="s">
        <v>226</v>
      </c>
      <c r="D17" s="13" t="str">
        <f t="shared" si="0"/>
        <v>SUP-005|S2-2025</v>
      </c>
      <c r="E17" s="11">
        <v>202507</v>
      </c>
      <c r="F17" s="11">
        <v>202512</v>
      </c>
      <c r="G17" s="16">
        <f>SUMIFS(tbl_desempenho_forn[Lotes],tbl_desempenho_forn[ID_Fornecedor],A17,tbl_desempenho_forn[Mes_Num],"&gt;="&amp;E17,tbl_desempenho_forn[Mes_Num],"&lt;="&amp;F17)</f>
        <v>82</v>
      </c>
      <c r="H17" s="16">
        <f>SUMIFS(tbl_desempenho_forn[Aceites],tbl_desempenho_forn[ID_Fornecedor],A17,tbl_desempenho_forn[Mes_Num],"&gt;="&amp;E17,tbl_desempenho_forn[Mes_Num],"&lt;="&amp;F17)</f>
        <v>62</v>
      </c>
      <c r="I17" s="16">
        <f>SUMIFS(tbl_desempenho_forn[Rejeitados],tbl_desempenho_forn[ID_Fornecedor],A17,tbl_desempenho_forn[Mes_Num],"&gt;="&amp;E17,tbl_desempenho_forn[Mes_Num],"&lt;="&amp;F17)</f>
        <v>3</v>
      </c>
      <c r="J17" s="16">
        <f>SUMIFS(tbl_desempenho_forn[SCAR],tbl_desempenho_forn[ID_Fornecedor],A17,tbl_desempenho_forn[Mes_Num],"&gt;="&amp;E17,tbl_desempenho_forn[Mes_Num],"&lt;="&amp;F17)</f>
        <v>8</v>
      </c>
      <c r="K17" s="17">
        <f>IFERROR(SUMIFS(tbl_desempenho_forn[Dias_Resposta_Soma],tbl_desempenho_forn[ID_Fornecedor],A17,tbl_desempenho_forn[Mes_Num],"&gt;="&amp;E17,tbl_desempenho_forn[Mes_Num],"&lt;="&amp;F17)/J17,"")</f>
        <v>6.125</v>
      </c>
      <c r="L17" s="16">
        <f>SUMIFS(tbl_desempenho_forn[SCAR_Resolvidas_30d],tbl_desempenho_forn[ID_Fornecedor],A17,tbl_desempenho_forn[Mes_Num],"&gt;="&amp;E17,tbl_desempenho_forn[Mes_Num],"&lt;="&amp;F17)</f>
        <v>7</v>
      </c>
      <c r="M17" s="11">
        <v>30</v>
      </c>
      <c r="N17" s="18">
        <v>0.82</v>
      </c>
      <c r="O17" s="19">
        <f t="shared" si="1"/>
        <v>0</v>
      </c>
      <c r="P17" s="19">
        <f t="shared" si="2"/>
        <v>63.414634146341463</v>
      </c>
      <c r="Q17" s="19">
        <f t="shared" si="3"/>
        <v>88.75</v>
      </c>
      <c r="R17" s="19">
        <f t="shared" si="4"/>
        <v>87.5</v>
      </c>
      <c r="S17" s="19">
        <f t="shared" si="5"/>
        <v>30</v>
      </c>
      <c r="T17" s="19">
        <f t="shared" si="6"/>
        <v>11.111111111111063</v>
      </c>
      <c r="U17" s="17">
        <f t="shared" si="7"/>
        <v>35.68580623306233</v>
      </c>
      <c r="V17" s="13" t="str">
        <f t="shared" si="8"/>
        <v>D</v>
      </c>
      <c r="W17" s="13" t="str">
        <f>IF(V17="","",IF(G17&lt;15,"Em qualificação (amostra &lt; 15 lotes)",CHOOSE(MATCH(V17,{"A","B","C","D"},0),"Manter","Manter + plano","Aprovação condicional","Suspender")))</f>
        <v>Suspender</v>
      </c>
    </row>
    <row r="18" spans="1:23" ht="16.05" customHeight="1" x14ac:dyDescent="0.3">
      <c r="A18" s="10" t="s">
        <v>115</v>
      </c>
      <c r="B18" s="10" t="s">
        <v>227</v>
      </c>
      <c r="C18" s="10" t="s">
        <v>228</v>
      </c>
      <c r="D18" s="13" t="str">
        <f t="shared" si="0"/>
        <v>SUP-005|ATUAL</v>
      </c>
      <c r="E18" s="11">
        <v>202601</v>
      </c>
      <c r="F18" s="11">
        <v>202606</v>
      </c>
      <c r="G18" s="16">
        <f>SUMIFS(tbl_desempenho_forn[Lotes],tbl_desempenho_forn[ID_Fornecedor],A18,tbl_desempenho_forn[Mes_Num],"&gt;="&amp;E18,tbl_desempenho_forn[Mes_Num],"&lt;="&amp;F18)</f>
        <v>85</v>
      </c>
      <c r="H18" s="16">
        <f>SUMIFS(tbl_desempenho_forn[Aceites],tbl_desempenho_forn[ID_Fornecedor],A18,tbl_desempenho_forn[Mes_Num],"&gt;="&amp;E18,tbl_desempenho_forn[Mes_Num],"&lt;="&amp;F18)</f>
        <v>63</v>
      </c>
      <c r="I18" s="16">
        <f>SUMIFS(tbl_desempenho_forn[Rejeitados],tbl_desempenho_forn[ID_Fornecedor],A18,tbl_desempenho_forn[Mes_Num],"&gt;="&amp;E18,tbl_desempenho_forn[Mes_Num],"&lt;="&amp;F18)</f>
        <v>9</v>
      </c>
      <c r="J18" s="16">
        <f>SUMIFS(tbl_desempenho_forn[SCAR],tbl_desempenho_forn[ID_Fornecedor],A18,tbl_desempenho_forn[Mes_Num],"&gt;="&amp;E18,tbl_desempenho_forn[Mes_Num],"&lt;="&amp;F18)</f>
        <v>12</v>
      </c>
      <c r="K18" s="17">
        <f>IFERROR(SUMIFS(tbl_desempenho_forn[Dias_Resposta_Soma],tbl_desempenho_forn[ID_Fornecedor],A18,tbl_desempenho_forn[Mes_Num],"&gt;="&amp;E18,tbl_desempenho_forn[Mes_Num],"&lt;="&amp;F18)/J18,"")</f>
        <v>6.25</v>
      </c>
      <c r="L18" s="16">
        <f>SUMIFS(tbl_desempenho_forn[SCAR_Resolvidas_30d],tbl_desempenho_forn[ID_Fornecedor],A18,tbl_desempenho_forn[Mes_Num],"&gt;="&amp;E18,tbl_desempenho_forn[Mes_Num],"&lt;="&amp;F18)</f>
        <v>10</v>
      </c>
      <c r="M18" s="11">
        <v>30</v>
      </c>
      <c r="N18" s="18">
        <v>0.82</v>
      </c>
      <c r="O18" s="19">
        <f t="shared" si="1"/>
        <v>0</v>
      </c>
      <c r="P18" s="19">
        <f t="shared" si="2"/>
        <v>0</v>
      </c>
      <c r="Q18" s="19">
        <f t="shared" si="3"/>
        <v>87.5</v>
      </c>
      <c r="R18" s="19">
        <f t="shared" si="4"/>
        <v>83.333333333333343</v>
      </c>
      <c r="S18" s="19">
        <f t="shared" si="5"/>
        <v>30</v>
      </c>
      <c r="T18" s="19">
        <f t="shared" si="6"/>
        <v>11.111111111111063</v>
      </c>
      <c r="U18" s="17">
        <f t="shared" si="7"/>
        <v>25.569444444444443</v>
      </c>
      <c r="V18" s="13" t="str">
        <f t="shared" si="8"/>
        <v>D</v>
      </c>
      <c r="W18" s="13" t="str">
        <f>IF(V18="","",IF(G18&lt;15,"Em qualificação (amostra &lt; 15 lotes)",CHOOSE(MATCH(V18,{"A","B","C","D"},0),"Manter","Manter + plano","Aprovação condicional","Suspender")))</f>
        <v>Suspender</v>
      </c>
    </row>
    <row r="19" spans="1:23" ht="16.05" customHeight="1" x14ac:dyDescent="0.3">
      <c r="A19" s="10" t="s">
        <v>115</v>
      </c>
      <c r="B19" s="10" t="s">
        <v>229</v>
      </c>
      <c r="C19" s="10" t="s">
        <v>226</v>
      </c>
      <c r="D19" s="13" t="str">
        <f t="shared" si="0"/>
        <v>SUP-005|JA-2026</v>
      </c>
      <c r="E19" s="11">
        <v>202607</v>
      </c>
      <c r="F19" s="11">
        <v>202608</v>
      </c>
      <c r="G19" s="16">
        <f>SUMIFS(tbl_desempenho_forn[Lotes],tbl_desempenho_forn[ID_Fornecedor],A19,tbl_desempenho_forn[Mes_Num],"&gt;="&amp;E19,tbl_desempenho_forn[Mes_Num],"&lt;="&amp;F19)</f>
        <v>29</v>
      </c>
      <c r="H19" s="16">
        <f>SUMIFS(tbl_desempenho_forn[Aceites],tbl_desempenho_forn[ID_Fornecedor],A19,tbl_desempenho_forn[Mes_Num],"&gt;="&amp;E19,tbl_desempenho_forn[Mes_Num],"&lt;="&amp;F19)</f>
        <v>26</v>
      </c>
      <c r="I19" s="16">
        <f>SUMIFS(tbl_desempenho_forn[Rejeitados],tbl_desempenho_forn[ID_Fornecedor],A19,tbl_desempenho_forn[Mes_Num],"&gt;="&amp;E19,tbl_desempenho_forn[Mes_Num],"&lt;="&amp;F19)</f>
        <v>2</v>
      </c>
      <c r="J19" s="16">
        <f>SUMIFS(tbl_desempenho_forn[SCAR],tbl_desempenho_forn[ID_Fornecedor],A19,tbl_desempenho_forn[Mes_Num],"&gt;="&amp;E19,tbl_desempenho_forn[Mes_Num],"&lt;="&amp;F19)</f>
        <v>1</v>
      </c>
      <c r="K19" s="17">
        <f>IFERROR(SUMIFS(tbl_desempenho_forn[Dias_Resposta_Soma],tbl_desempenho_forn[ID_Fornecedor],A19,tbl_desempenho_forn[Mes_Num],"&gt;="&amp;E19,tbl_desempenho_forn[Mes_Num],"&lt;="&amp;F19)/J19,"")</f>
        <v>5</v>
      </c>
      <c r="L19" s="16">
        <f>SUMIFS(tbl_desempenho_forn[SCAR_Resolvidas_30d],tbl_desempenho_forn[ID_Fornecedor],A19,tbl_desempenho_forn[Mes_Num],"&gt;="&amp;E19,tbl_desempenho_forn[Mes_Num],"&lt;="&amp;F19)</f>
        <v>1</v>
      </c>
      <c r="M19" s="11">
        <v>30</v>
      </c>
      <c r="N19" s="18">
        <v>0.82</v>
      </c>
      <c r="O19" s="19">
        <f t="shared" si="1"/>
        <v>53.639846743295017</v>
      </c>
      <c r="P19" s="19">
        <f t="shared" si="2"/>
        <v>31.034482758620697</v>
      </c>
      <c r="Q19" s="19">
        <f t="shared" si="3"/>
        <v>100</v>
      </c>
      <c r="R19" s="19">
        <f t="shared" si="4"/>
        <v>100</v>
      </c>
      <c r="S19" s="19">
        <f t="shared" si="5"/>
        <v>30</v>
      </c>
      <c r="T19" s="19">
        <f t="shared" si="6"/>
        <v>11.111111111111063</v>
      </c>
      <c r="U19" s="17">
        <f t="shared" si="7"/>
        <v>55.222222222222221</v>
      </c>
      <c r="V19" s="13" t="str">
        <f t="shared" si="8"/>
        <v>C</v>
      </c>
      <c r="W19" s="13" t="str">
        <f>IF(V19="","",IF(G19&lt;15,"Em qualificação (amostra &lt; 15 lotes)",CHOOSE(MATCH(V19,{"A","B","C","D"},0),"Manter","Manter + plano","Aprovação condicional","Suspender")))</f>
        <v>Aprovação condicional</v>
      </c>
    </row>
    <row r="20" spans="1:23" ht="16.05" customHeight="1" x14ac:dyDescent="0.3">
      <c r="A20" s="10" t="s">
        <v>122</v>
      </c>
      <c r="B20" s="10" t="s">
        <v>225</v>
      </c>
      <c r="C20" s="10" t="s">
        <v>226</v>
      </c>
      <c r="D20" s="13" t="str">
        <f t="shared" si="0"/>
        <v>SUP-006|S2-2025</v>
      </c>
      <c r="E20" s="11">
        <v>202507</v>
      </c>
      <c r="F20" s="11">
        <v>202512</v>
      </c>
      <c r="G20" s="16">
        <f>SUMIFS(tbl_desempenho_forn[Lotes],tbl_desempenho_forn[ID_Fornecedor],A20,tbl_desempenho_forn[Mes_Num],"&gt;="&amp;E20,tbl_desempenho_forn[Mes_Num],"&lt;="&amp;F20)</f>
        <v>42</v>
      </c>
      <c r="H20" s="16">
        <f>SUMIFS(tbl_desempenho_forn[Aceites],tbl_desempenho_forn[ID_Fornecedor],A20,tbl_desempenho_forn[Mes_Num],"&gt;="&amp;E20,tbl_desempenho_forn[Mes_Num],"&lt;="&amp;F20)</f>
        <v>40</v>
      </c>
      <c r="I20" s="16">
        <f>SUMIFS(tbl_desempenho_forn[Rejeitados],tbl_desempenho_forn[ID_Fornecedor],A20,tbl_desempenho_forn[Mes_Num],"&gt;="&amp;E20,tbl_desempenho_forn[Mes_Num],"&lt;="&amp;F20)</f>
        <v>0</v>
      </c>
      <c r="J20" s="16">
        <f>SUMIFS(tbl_desempenho_forn[SCAR],tbl_desempenho_forn[ID_Fornecedor],A20,tbl_desempenho_forn[Mes_Num],"&gt;="&amp;E20,tbl_desempenho_forn[Mes_Num],"&lt;="&amp;F20)</f>
        <v>0</v>
      </c>
      <c r="K20" s="17" t="str">
        <f>IFERROR(SUMIFS(tbl_desempenho_forn[Dias_Resposta_Soma],tbl_desempenho_forn[ID_Fornecedor],A20,tbl_desempenho_forn[Mes_Num],"&gt;="&amp;E20,tbl_desempenho_forn[Mes_Num],"&lt;="&amp;F20)/J20,"")</f>
        <v/>
      </c>
      <c r="L20" s="16">
        <f>SUMIFS(tbl_desempenho_forn[SCAR_Resolvidas_30d],tbl_desempenho_forn[ID_Fornecedor],A20,tbl_desempenho_forn[Mes_Num],"&gt;="&amp;E20,tbl_desempenho_forn[Mes_Num],"&lt;="&amp;F20)</f>
        <v>0</v>
      </c>
      <c r="M20" s="11">
        <v>90</v>
      </c>
      <c r="N20" s="18">
        <v>0.94</v>
      </c>
      <c r="O20" s="19">
        <f t="shared" si="1"/>
        <v>84.65608465608463</v>
      </c>
      <c r="P20" s="19">
        <f t="shared" si="2"/>
        <v>100</v>
      </c>
      <c r="Q20" s="19">
        <f t="shared" si="3"/>
        <v>100</v>
      </c>
      <c r="R20" s="19">
        <f t="shared" si="4"/>
        <v>100</v>
      </c>
      <c r="S20" s="19">
        <f t="shared" si="5"/>
        <v>90</v>
      </c>
      <c r="T20" s="19">
        <f t="shared" si="6"/>
        <v>77.777777777777743</v>
      </c>
      <c r="U20" s="17">
        <f t="shared" si="7"/>
        <v>90.640211640211618</v>
      </c>
      <c r="V20" s="13" t="str">
        <f t="shared" si="8"/>
        <v>A</v>
      </c>
      <c r="W20" s="13" t="str">
        <f>IF(V20="","",IF(G20&lt;15,"Em qualificação (amostra &lt; 15 lotes)",CHOOSE(MATCH(V20,{"A","B","C","D"},0),"Manter","Manter + plano","Aprovação condicional","Suspender")))</f>
        <v>Manter</v>
      </c>
    </row>
    <row r="21" spans="1:23" ht="16.05" customHeight="1" x14ac:dyDescent="0.3">
      <c r="A21" s="10" t="s">
        <v>122</v>
      </c>
      <c r="B21" s="10" t="s">
        <v>227</v>
      </c>
      <c r="C21" s="10" t="s">
        <v>228</v>
      </c>
      <c r="D21" s="13" t="str">
        <f t="shared" si="0"/>
        <v>SUP-006|ATUAL</v>
      </c>
      <c r="E21" s="11">
        <v>202601</v>
      </c>
      <c r="F21" s="11">
        <v>202606</v>
      </c>
      <c r="G21" s="16">
        <f>SUMIFS(tbl_desempenho_forn[Lotes],tbl_desempenho_forn[ID_Fornecedor],A21,tbl_desempenho_forn[Mes_Num],"&gt;="&amp;E21,tbl_desempenho_forn[Mes_Num],"&lt;="&amp;F21)</f>
        <v>53</v>
      </c>
      <c r="H21" s="16">
        <f>SUMIFS(tbl_desempenho_forn[Aceites],tbl_desempenho_forn[ID_Fornecedor],A21,tbl_desempenho_forn[Mes_Num],"&gt;="&amp;E21,tbl_desempenho_forn[Mes_Num],"&lt;="&amp;F21)</f>
        <v>46</v>
      </c>
      <c r="I21" s="16">
        <f>SUMIFS(tbl_desempenho_forn[Rejeitados],tbl_desempenho_forn[ID_Fornecedor],A21,tbl_desempenho_forn[Mes_Num],"&gt;="&amp;E21,tbl_desempenho_forn[Mes_Num],"&lt;="&amp;F21)</f>
        <v>3</v>
      </c>
      <c r="J21" s="16">
        <f>SUMIFS(tbl_desempenho_forn[SCAR],tbl_desempenho_forn[ID_Fornecedor],A21,tbl_desempenho_forn[Mes_Num],"&gt;="&amp;E21,tbl_desempenho_forn[Mes_Num],"&lt;="&amp;F21)</f>
        <v>2</v>
      </c>
      <c r="K21" s="17">
        <f>IFERROR(SUMIFS(tbl_desempenho_forn[Dias_Resposta_Soma],tbl_desempenho_forn[ID_Fornecedor],A21,tbl_desempenho_forn[Mes_Num],"&gt;="&amp;E21,tbl_desempenho_forn[Mes_Num],"&lt;="&amp;F21)/J21,"")</f>
        <v>2</v>
      </c>
      <c r="L21" s="16">
        <f>SUMIFS(tbl_desempenho_forn[SCAR_Resolvidas_30d],tbl_desempenho_forn[ID_Fornecedor],A21,tbl_desempenho_forn[Mes_Num],"&gt;="&amp;E21,tbl_desempenho_forn[Mes_Num],"&lt;="&amp;F21)</f>
        <v>2</v>
      </c>
      <c r="M21" s="11">
        <v>90</v>
      </c>
      <c r="N21" s="18">
        <v>0.94</v>
      </c>
      <c r="O21" s="19">
        <f t="shared" si="1"/>
        <v>37.735849056603776</v>
      </c>
      <c r="P21" s="19">
        <f t="shared" si="2"/>
        <v>43.39622641509434</v>
      </c>
      <c r="Q21" s="19">
        <f t="shared" si="3"/>
        <v>100</v>
      </c>
      <c r="R21" s="19">
        <f t="shared" si="4"/>
        <v>100</v>
      </c>
      <c r="S21" s="19">
        <f t="shared" si="5"/>
        <v>90</v>
      </c>
      <c r="T21" s="19">
        <f t="shared" si="6"/>
        <v>77.777777777777743</v>
      </c>
      <c r="U21" s="17">
        <f t="shared" si="7"/>
        <v>63.381551362683439</v>
      </c>
      <c r="V21" s="13" t="str">
        <f t="shared" si="8"/>
        <v>C</v>
      </c>
      <c r="W21" s="13" t="str">
        <f>IF(V21="","",IF(G21&lt;15,"Em qualificação (amostra &lt; 15 lotes)",CHOOSE(MATCH(V21,{"A","B","C","D"},0),"Manter","Manter + plano","Aprovação condicional","Suspender")))</f>
        <v>Aprovação condicional</v>
      </c>
    </row>
    <row r="22" spans="1:23" ht="16.05" customHeight="1" x14ac:dyDescent="0.3">
      <c r="A22" s="10" t="s">
        <v>122</v>
      </c>
      <c r="B22" s="10" t="s">
        <v>229</v>
      </c>
      <c r="C22" s="10" t="s">
        <v>226</v>
      </c>
      <c r="D22" s="13" t="str">
        <f t="shared" si="0"/>
        <v>SUP-006|JA-2026</v>
      </c>
      <c r="E22" s="11">
        <v>202607</v>
      </c>
      <c r="F22" s="11">
        <v>202608</v>
      </c>
      <c r="G22" s="16">
        <f>SUMIFS(tbl_desempenho_forn[Lotes],tbl_desempenho_forn[ID_Fornecedor],A22,tbl_desempenho_forn[Mes_Num],"&gt;="&amp;E22,tbl_desempenho_forn[Mes_Num],"&lt;="&amp;F22)</f>
        <v>19</v>
      </c>
      <c r="H22" s="16">
        <f>SUMIFS(tbl_desempenho_forn[Aceites],tbl_desempenho_forn[ID_Fornecedor],A22,tbl_desempenho_forn[Mes_Num],"&gt;="&amp;E22,tbl_desempenho_forn[Mes_Num],"&lt;="&amp;F22)</f>
        <v>18</v>
      </c>
      <c r="I22" s="16">
        <f>SUMIFS(tbl_desempenho_forn[Rejeitados],tbl_desempenho_forn[ID_Fornecedor],A22,tbl_desempenho_forn[Mes_Num],"&gt;="&amp;E22,tbl_desempenho_forn[Mes_Num],"&lt;="&amp;F22)</f>
        <v>1</v>
      </c>
      <c r="J22" s="16">
        <f>SUMIFS(tbl_desempenho_forn[SCAR],tbl_desempenho_forn[ID_Fornecedor],A22,tbl_desempenho_forn[Mes_Num],"&gt;="&amp;E22,tbl_desempenho_forn[Mes_Num],"&lt;="&amp;F22)</f>
        <v>0</v>
      </c>
      <c r="K22" s="17" t="str">
        <f>IFERROR(SUMIFS(tbl_desempenho_forn[Dias_Resposta_Soma],tbl_desempenho_forn[ID_Fornecedor],A22,tbl_desempenho_forn[Mes_Num],"&gt;="&amp;E22,tbl_desempenho_forn[Mes_Num],"&lt;="&amp;F22)/J22,"")</f>
        <v/>
      </c>
      <c r="L22" s="16">
        <f>SUMIFS(tbl_desempenho_forn[SCAR_Resolvidas_30d],tbl_desempenho_forn[ID_Fornecedor],A22,tbl_desempenho_forn[Mes_Num],"&gt;="&amp;E22,tbl_desempenho_forn[Mes_Num],"&lt;="&amp;F22)</f>
        <v>0</v>
      </c>
      <c r="M22" s="11">
        <v>90</v>
      </c>
      <c r="N22" s="18">
        <v>0.94</v>
      </c>
      <c r="O22" s="19">
        <f t="shared" si="1"/>
        <v>81.871345029239734</v>
      </c>
      <c r="P22" s="19">
        <f t="shared" si="2"/>
        <v>47.368421052631582</v>
      </c>
      <c r="Q22" s="19">
        <f t="shared" si="3"/>
        <v>100</v>
      </c>
      <c r="R22" s="19">
        <f t="shared" si="4"/>
        <v>100</v>
      </c>
      <c r="S22" s="19">
        <f t="shared" si="5"/>
        <v>90</v>
      </c>
      <c r="T22" s="19">
        <f t="shared" si="6"/>
        <v>77.777777777777743</v>
      </c>
      <c r="U22" s="17">
        <f t="shared" si="7"/>
        <v>81.631578947368411</v>
      </c>
      <c r="V22" s="13" t="str">
        <f t="shared" si="8"/>
        <v>B</v>
      </c>
      <c r="W22" s="13" t="str">
        <f>IF(V22="","",IF(G22&lt;15,"Em qualificação (amostra &lt; 15 lotes)",CHOOSE(MATCH(V22,{"A","B","C","D"},0),"Manter","Manter + plano","Aprovação condicional","Suspender")))</f>
        <v>Manter + plano</v>
      </c>
    </row>
    <row r="23" spans="1:23" ht="16.05" customHeight="1" x14ac:dyDescent="0.3">
      <c r="A23" s="10" t="s">
        <v>127</v>
      </c>
      <c r="B23" s="10" t="s">
        <v>225</v>
      </c>
      <c r="C23" s="10" t="s">
        <v>226</v>
      </c>
      <c r="D23" s="13" t="str">
        <f t="shared" si="0"/>
        <v>SUP-007|S2-2025</v>
      </c>
      <c r="E23" s="11">
        <v>202507</v>
      </c>
      <c r="F23" s="11">
        <v>202512</v>
      </c>
      <c r="G23" s="16">
        <f>SUMIFS(tbl_desempenho_forn[Lotes],tbl_desempenho_forn[ID_Fornecedor],A23,tbl_desempenho_forn[Mes_Num],"&gt;="&amp;E23,tbl_desempenho_forn[Mes_Num],"&lt;="&amp;F23)</f>
        <v>58</v>
      </c>
      <c r="H23" s="16">
        <f>SUMIFS(tbl_desempenho_forn[Aceites],tbl_desempenho_forn[ID_Fornecedor],A23,tbl_desempenho_forn[Mes_Num],"&gt;="&amp;E23,tbl_desempenho_forn[Mes_Num],"&lt;="&amp;F23)</f>
        <v>53</v>
      </c>
      <c r="I23" s="16">
        <f>SUMIFS(tbl_desempenho_forn[Rejeitados],tbl_desempenho_forn[ID_Fornecedor],A23,tbl_desempenho_forn[Mes_Num],"&gt;="&amp;E23,tbl_desempenho_forn[Mes_Num],"&lt;="&amp;F23)</f>
        <v>2</v>
      </c>
      <c r="J23" s="16">
        <f>SUMIFS(tbl_desempenho_forn[SCAR],tbl_desempenho_forn[ID_Fornecedor],A23,tbl_desempenho_forn[Mes_Num],"&gt;="&amp;E23,tbl_desempenho_forn[Mes_Num],"&lt;="&amp;F23)</f>
        <v>3</v>
      </c>
      <c r="K23" s="17">
        <f>IFERROR(SUMIFS(tbl_desempenho_forn[Dias_Resposta_Soma],tbl_desempenho_forn[ID_Fornecedor],A23,tbl_desempenho_forn[Mes_Num],"&gt;="&amp;E23,tbl_desempenho_forn[Mes_Num],"&lt;="&amp;F23)/J23,"")</f>
        <v>5.333333333333333</v>
      </c>
      <c r="L23" s="16">
        <f>SUMIFS(tbl_desempenho_forn[SCAR_Resolvidas_30d],tbl_desempenho_forn[ID_Fornecedor],A23,tbl_desempenho_forn[Mes_Num],"&gt;="&amp;E23,tbl_desempenho_forn[Mes_Num],"&lt;="&amp;F23)</f>
        <v>3</v>
      </c>
      <c r="M23" s="11">
        <v>80</v>
      </c>
      <c r="N23" s="18">
        <v>0.97</v>
      </c>
      <c r="O23" s="19">
        <f t="shared" si="1"/>
        <v>63.218390804597725</v>
      </c>
      <c r="P23" s="19">
        <f t="shared" si="2"/>
        <v>65.517241379310349</v>
      </c>
      <c r="Q23" s="19">
        <f t="shared" si="3"/>
        <v>96.666666666666671</v>
      </c>
      <c r="R23" s="19">
        <f t="shared" si="4"/>
        <v>100</v>
      </c>
      <c r="S23" s="19">
        <f t="shared" si="5"/>
        <v>80</v>
      </c>
      <c r="T23" s="19">
        <f t="shared" si="6"/>
        <v>94.444444444444443</v>
      </c>
      <c r="U23" s="17">
        <f t="shared" si="7"/>
        <v>77.059386973180082</v>
      </c>
      <c r="V23" s="13" t="str">
        <f t="shared" si="8"/>
        <v>B</v>
      </c>
      <c r="W23" s="13" t="str">
        <f>IF(V23="","",IF(G23&lt;15,"Em qualificação (amostra &lt; 15 lotes)",CHOOSE(MATCH(V23,{"A","B","C","D"},0),"Manter","Manter + plano","Aprovação condicional","Suspender")))</f>
        <v>Manter + plano</v>
      </c>
    </row>
    <row r="24" spans="1:23" ht="16.05" customHeight="1" x14ac:dyDescent="0.3">
      <c r="A24" s="10" t="s">
        <v>127</v>
      </c>
      <c r="B24" s="10" t="s">
        <v>227</v>
      </c>
      <c r="C24" s="10" t="s">
        <v>228</v>
      </c>
      <c r="D24" s="13" t="str">
        <f t="shared" si="0"/>
        <v>SUP-007|ATUAL</v>
      </c>
      <c r="E24" s="11">
        <v>202601</v>
      </c>
      <c r="F24" s="11">
        <v>202606</v>
      </c>
      <c r="G24" s="16">
        <f>SUMIFS(tbl_desempenho_forn[Lotes],tbl_desempenho_forn[ID_Fornecedor],A24,tbl_desempenho_forn[Mes_Num],"&gt;="&amp;E24,tbl_desempenho_forn[Mes_Num],"&lt;="&amp;F24)</f>
        <v>64</v>
      </c>
      <c r="H24" s="16">
        <f>SUMIFS(tbl_desempenho_forn[Aceites],tbl_desempenho_forn[ID_Fornecedor],A24,tbl_desempenho_forn[Mes_Num],"&gt;="&amp;E24,tbl_desempenho_forn[Mes_Num],"&lt;="&amp;F24)</f>
        <v>61</v>
      </c>
      <c r="I24" s="16">
        <f>SUMIFS(tbl_desempenho_forn[Rejeitados],tbl_desempenho_forn[ID_Fornecedor],A24,tbl_desempenho_forn[Mes_Num],"&gt;="&amp;E24,tbl_desempenho_forn[Mes_Num],"&lt;="&amp;F24)</f>
        <v>0</v>
      </c>
      <c r="J24" s="16">
        <f>SUMIFS(tbl_desempenho_forn[SCAR],tbl_desempenho_forn[ID_Fornecedor],A24,tbl_desempenho_forn[Mes_Num],"&gt;="&amp;E24,tbl_desempenho_forn[Mes_Num],"&lt;="&amp;F24)</f>
        <v>2</v>
      </c>
      <c r="K24" s="17">
        <f>IFERROR(SUMIFS(tbl_desempenho_forn[Dias_Resposta_Soma],tbl_desempenho_forn[ID_Fornecedor],A24,tbl_desempenho_forn[Mes_Num],"&gt;="&amp;E24,tbl_desempenho_forn[Mes_Num],"&lt;="&amp;F24)/J24,"")</f>
        <v>9</v>
      </c>
      <c r="L24" s="16">
        <f>SUMIFS(tbl_desempenho_forn[SCAR_Resolvidas_30d],tbl_desempenho_forn[ID_Fornecedor],A24,tbl_desempenho_forn[Mes_Num],"&gt;="&amp;E24,tbl_desempenho_forn[Mes_Num],"&lt;="&amp;F24)</f>
        <v>2</v>
      </c>
      <c r="M24" s="11">
        <v>80</v>
      </c>
      <c r="N24" s="18">
        <v>0.97</v>
      </c>
      <c r="O24" s="19">
        <f t="shared" si="1"/>
        <v>85.069444444444457</v>
      </c>
      <c r="P24" s="19">
        <f t="shared" si="2"/>
        <v>100</v>
      </c>
      <c r="Q24" s="19">
        <f t="shared" si="3"/>
        <v>60</v>
      </c>
      <c r="R24" s="19">
        <f t="shared" si="4"/>
        <v>100</v>
      </c>
      <c r="S24" s="19">
        <f t="shared" si="5"/>
        <v>80</v>
      </c>
      <c r="T24" s="19">
        <f t="shared" si="6"/>
        <v>94.444444444444443</v>
      </c>
      <c r="U24" s="17">
        <f t="shared" si="7"/>
        <v>85.472222222222229</v>
      </c>
      <c r="V24" s="13" t="str">
        <f t="shared" si="8"/>
        <v>A</v>
      </c>
      <c r="W24" s="13" t="str">
        <f>IF(V24="","",IF(G24&lt;15,"Em qualificação (amostra &lt; 15 lotes)",CHOOSE(MATCH(V24,{"A","B","C","D"},0),"Manter","Manter + plano","Aprovação condicional","Suspender")))</f>
        <v>Manter</v>
      </c>
    </row>
    <row r="25" spans="1:23" ht="16.05" customHeight="1" x14ac:dyDescent="0.3">
      <c r="A25" s="10" t="s">
        <v>127</v>
      </c>
      <c r="B25" s="10" t="s">
        <v>229</v>
      </c>
      <c r="C25" s="10" t="s">
        <v>226</v>
      </c>
      <c r="D25" s="13" t="str">
        <f t="shared" si="0"/>
        <v>SUP-007|JA-2026</v>
      </c>
      <c r="E25" s="11">
        <v>202607</v>
      </c>
      <c r="F25" s="11">
        <v>202608</v>
      </c>
      <c r="G25" s="16">
        <f>SUMIFS(tbl_desempenho_forn[Lotes],tbl_desempenho_forn[ID_Fornecedor],A25,tbl_desempenho_forn[Mes_Num],"&gt;="&amp;E25,tbl_desempenho_forn[Mes_Num],"&lt;="&amp;F25)</f>
        <v>15</v>
      </c>
      <c r="H25" s="16">
        <f>SUMIFS(tbl_desempenho_forn[Aceites],tbl_desempenho_forn[ID_Fornecedor],A25,tbl_desempenho_forn[Mes_Num],"&gt;="&amp;E25,tbl_desempenho_forn[Mes_Num],"&lt;="&amp;F25)</f>
        <v>14</v>
      </c>
      <c r="I25" s="16">
        <f>SUMIFS(tbl_desempenho_forn[Rejeitados],tbl_desempenho_forn[ID_Fornecedor],A25,tbl_desempenho_forn[Mes_Num],"&gt;="&amp;E25,tbl_desempenho_forn[Mes_Num],"&lt;="&amp;F25)</f>
        <v>0</v>
      </c>
      <c r="J25" s="16">
        <f>SUMIFS(tbl_desempenho_forn[SCAR],tbl_desempenho_forn[ID_Fornecedor],A25,tbl_desempenho_forn[Mes_Num],"&gt;="&amp;E25,tbl_desempenho_forn[Mes_Num],"&lt;="&amp;F25)</f>
        <v>0</v>
      </c>
      <c r="K25" s="17" t="str">
        <f>IFERROR(SUMIFS(tbl_desempenho_forn[Dias_Resposta_Soma],tbl_desempenho_forn[ID_Fornecedor],A25,tbl_desempenho_forn[Mes_Num],"&gt;="&amp;E25,tbl_desempenho_forn[Mes_Num],"&lt;="&amp;F25)/J25,"")</f>
        <v/>
      </c>
      <c r="L25" s="16">
        <f>SUMIFS(tbl_desempenho_forn[SCAR_Resolvidas_30d],tbl_desempenho_forn[ID_Fornecedor],A25,tbl_desempenho_forn[Mes_Num],"&gt;="&amp;E25,tbl_desempenho_forn[Mes_Num],"&lt;="&amp;F25)</f>
        <v>0</v>
      </c>
      <c r="M25" s="11">
        <v>80</v>
      </c>
      <c r="N25" s="18">
        <v>0.97</v>
      </c>
      <c r="O25" s="19">
        <f t="shared" si="1"/>
        <v>74.074074074074076</v>
      </c>
      <c r="P25" s="19">
        <f t="shared" si="2"/>
        <v>100</v>
      </c>
      <c r="Q25" s="19">
        <f t="shared" si="3"/>
        <v>100</v>
      </c>
      <c r="R25" s="19">
        <f t="shared" si="4"/>
        <v>100</v>
      </c>
      <c r="S25" s="19">
        <f t="shared" si="5"/>
        <v>80</v>
      </c>
      <c r="T25" s="19">
        <f t="shared" si="6"/>
        <v>94.444444444444443</v>
      </c>
      <c r="U25" s="17">
        <f t="shared" si="7"/>
        <v>87.074074074074076</v>
      </c>
      <c r="V25" s="13" t="str">
        <f t="shared" si="8"/>
        <v>A</v>
      </c>
      <c r="W25" s="13" t="str">
        <f>IF(V25="","",IF(G25&lt;15,"Em qualificação (amostra &lt; 15 lotes)",CHOOSE(MATCH(V25,{"A","B","C","D"},0),"Manter","Manter + plano","Aprovação condicional","Suspender")))</f>
        <v>Manter</v>
      </c>
    </row>
    <row r="26" spans="1:23" ht="16.05" customHeight="1" x14ac:dyDescent="0.3">
      <c r="A26" s="10" t="s">
        <v>131</v>
      </c>
      <c r="B26" s="10" t="s">
        <v>225</v>
      </c>
      <c r="C26" s="10" t="s">
        <v>226</v>
      </c>
      <c r="D26" s="13" t="str">
        <f t="shared" si="0"/>
        <v>SUP-008|S2-2025</v>
      </c>
      <c r="E26" s="11">
        <v>202507</v>
      </c>
      <c r="F26" s="11">
        <v>202512</v>
      </c>
      <c r="G26" s="16">
        <f>SUMIFS(tbl_desempenho_forn[Lotes],tbl_desempenho_forn[ID_Fornecedor],A26,tbl_desempenho_forn[Mes_Num],"&gt;="&amp;E26,tbl_desempenho_forn[Mes_Num],"&lt;="&amp;F26)</f>
        <v>57</v>
      </c>
      <c r="H26" s="16">
        <f>SUMIFS(tbl_desempenho_forn[Aceites],tbl_desempenho_forn[ID_Fornecedor],A26,tbl_desempenho_forn[Mes_Num],"&gt;="&amp;E26,tbl_desempenho_forn[Mes_Num],"&lt;="&amp;F26)</f>
        <v>53</v>
      </c>
      <c r="I26" s="16">
        <f>SUMIFS(tbl_desempenho_forn[Rejeitados],tbl_desempenho_forn[ID_Fornecedor],A26,tbl_desempenho_forn[Mes_Num],"&gt;="&amp;E26,tbl_desempenho_forn[Mes_Num],"&lt;="&amp;F26)</f>
        <v>1</v>
      </c>
      <c r="J26" s="16">
        <f>SUMIFS(tbl_desempenho_forn[SCAR],tbl_desempenho_forn[ID_Fornecedor],A26,tbl_desempenho_forn[Mes_Num],"&gt;="&amp;E26,tbl_desempenho_forn[Mes_Num],"&lt;="&amp;F26)</f>
        <v>2</v>
      </c>
      <c r="K26" s="17">
        <f>IFERROR(SUMIFS(tbl_desempenho_forn[Dias_Resposta_Soma],tbl_desempenho_forn[ID_Fornecedor],A26,tbl_desempenho_forn[Mes_Num],"&gt;="&amp;E26,tbl_desempenho_forn[Mes_Num],"&lt;="&amp;F26)/J26,"")</f>
        <v>6.5</v>
      </c>
      <c r="L26" s="16">
        <f>SUMIFS(tbl_desempenho_forn[SCAR_Resolvidas_30d],tbl_desempenho_forn[ID_Fornecedor],A26,tbl_desempenho_forn[Mes_Num],"&gt;="&amp;E26,tbl_desempenho_forn[Mes_Num],"&lt;="&amp;F26)</f>
        <v>2</v>
      </c>
      <c r="M26" s="11">
        <v>80</v>
      </c>
      <c r="N26" s="18">
        <v>0.98</v>
      </c>
      <c r="O26" s="19">
        <f t="shared" si="1"/>
        <v>72.124756335282655</v>
      </c>
      <c r="P26" s="19">
        <f t="shared" si="2"/>
        <v>82.456140350877192</v>
      </c>
      <c r="Q26" s="19">
        <f t="shared" si="3"/>
        <v>85</v>
      </c>
      <c r="R26" s="19">
        <f t="shared" si="4"/>
        <v>100</v>
      </c>
      <c r="S26" s="19">
        <f t="shared" si="5"/>
        <v>80</v>
      </c>
      <c r="T26" s="19">
        <f t="shared" si="6"/>
        <v>100</v>
      </c>
      <c r="U26" s="17">
        <f t="shared" si="7"/>
        <v>81.968323586744646</v>
      </c>
      <c r="V26" s="13" t="str">
        <f t="shared" si="8"/>
        <v>B</v>
      </c>
      <c r="W26" s="13" t="str">
        <f>IF(V26="","",IF(G26&lt;15,"Em qualificação (amostra &lt; 15 lotes)",CHOOSE(MATCH(V26,{"A","B","C","D"},0),"Manter","Manter + plano","Aprovação condicional","Suspender")))</f>
        <v>Manter + plano</v>
      </c>
    </row>
    <row r="27" spans="1:23" ht="16.05" customHeight="1" x14ac:dyDescent="0.3">
      <c r="A27" s="10" t="s">
        <v>131</v>
      </c>
      <c r="B27" s="10" t="s">
        <v>227</v>
      </c>
      <c r="C27" s="10" t="s">
        <v>228</v>
      </c>
      <c r="D27" s="13" t="str">
        <f t="shared" si="0"/>
        <v>SUP-008|ATUAL</v>
      </c>
      <c r="E27" s="11">
        <v>202601</v>
      </c>
      <c r="F27" s="11">
        <v>202606</v>
      </c>
      <c r="G27" s="16">
        <f>SUMIFS(tbl_desempenho_forn[Lotes],tbl_desempenho_forn[ID_Fornecedor],A27,tbl_desempenho_forn[Mes_Num],"&gt;="&amp;E27,tbl_desempenho_forn[Mes_Num],"&lt;="&amp;F27)</f>
        <v>48</v>
      </c>
      <c r="H27" s="16">
        <f>SUMIFS(tbl_desempenho_forn[Aceites],tbl_desempenho_forn[ID_Fornecedor],A27,tbl_desempenho_forn[Mes_Num],"&gt;="&amp;E27,tbl_desempenho_forn[Mes_Num],"&lt;="&amp;F27)</f>
        <v>42</v>
      </c>
      <c r="I27" s="16">
        <f>SUMIFS(tbl_desempenho_forn[Rejeitados],tbl_desempenho_forn[ID_Fornecedor],A27,tbl_desempenho_forn[Mes_Num],"&gt;="&amp;E27,tbl_desempenho_forn[Mes_Num],"&lt;="&amp;F27)</f>
        <v>0</v>
      </c>
      <c r="J27" s="16">
        <f>SUMIFS(tbl_desempenho_forn[SCAR],tbl_desempenho_forn[ID_Fornecedor],A27,tbl_desempenho_forn[Mes_Num],"&gt;="&amp;E27,tbl_desempenho_forn[Mes_Num],"&lt;="&amp;F27)</f>
        <v>1</v>
      </c>
      <c r="K27" s="17">
        <f>IFERROR(SUMIFS(tbl_desempenho_forn[Dias_Resposta_Soma],tbl_desempenho_forn[ID_Fornecedor],A27,tbl_desempenho_forn[Mes_Num],"&gt;="&amp;E27,tbl_desempenho_forn[Mes_Num],"&lt;="&amp;F27)/J27,"")</f>
        <v>5</v>
      </c>
      <c r="L27" s="16">
        <f>SUMIFS(tbl_desempenho_forn[SCAR_Resolvidas_30d],tbl_desempenho_forn[ID_Fornecedor],A27,tbl_desempenho_forn[Mes_Num],"&gt;="&amp;E27,tbl_desempenho_forn[Mes_Num],"&lt;="&amp;F27)</f>
        <v>1</v>
      </c>
      <c r="M27" s="11">
        <v>80</v>
      </c>
      <c r="N27" s="18">
        <v>0.98</v>
      </c>
      <c r="O27" s="19">
        <f t="shared" si="1"/>
        <v>41.666666666666657</v>
      </c>
      <c r="P27" s="19">
        <f t="shared" si="2"/>
        <v>100</v>
      </c>
      <c r="Q27" s="19">
        <f t="shared" si="3"/>
        <v>100</v>
      </c>
      <c r="R27" s="19">
        <f t="shared" si="4"/>
        <v>100</v>
      </c>
      <c r="S27" s="19">
        <f t="shared" si="5"/>
        <v>80</v>
      </c>
      <c r="T27" s="19">
        <f t="shared" si="6"/>
        <v>100</v>
      </c>
      <c r="U27" s="17">
        <f t="shared" si="7"/>
        <v>74.666666666666657</v>
      </c>
      <c r="V27" s="13" t="str">
        <f t="shared" si="8"/>
        <v>B</v>
      </c>
      <c r="W27" s="13" t="str">
        <f>IF(V27="","",IF(G27&lt;15,"Em qualificação (amostra &lt; 15 lotes)",CHOOSE(MATCH(V27,{"A","B","C","D"},0),"Manter","Manter + plano","Aprovação condicional","Suspender")))</f>
        <v>Manter + plano</v>
      </c>
    </row>
    <row r="28" spans="1:23" ht="16.05" customHeight="1" x14ac:dyDescent="0.3">
      <c r="A28" s="10" t="s">
        <v>131</v>
      </c>
      <c r="B28" s="10" t="s">
        <v>229</v>
      </c>
      <c r="C28" s="10" t="s">
        <v>226</v>
      </c>
      <c r="D28" s="13" t="str">
        <f t="shared" si="0"/>
        <v>SUP-008|JA-2026</v>
      </c>
      <c r="E28" s="11">
        <v>202607</v>
      </c>
      <c r="F28" s="11">
        <v>202608</v>
      </c>
      <c r="G28" s="16">
        <f>SUMIFS(tbl_desempenho_forn[Lotes],tbl_desempenho_forn[ID_Fornecedor],A28,tbl_desempenho_forn[Mes_Num],"&gt;="&amp;E28,tbl_desempenho_forn[Mes_Num],"&lt;="&amp;F28)</f>
        <v>17</v>
      </c>
      <c r="H28" s="16">
        <f>SUMIFS(tbl_desempenho_forn[Aceites],tbl_desempenho_forn[ID_Fornecedor],A28,tbl_desempenho_forn[Mes_Num],"&gt;="&amp;E28,tbl_desempenho_forn[Mes_Num],"&lt;="&amp;F28)</f>
        <v>16</v>
      </c>
      <c r="I28" s="16">
        <f>SUMIFS(tbl_desempenho_forn[Rejeitados],tbl_desempenho_forn[ID_Fornecedor],A28,tbl_desempenho_forn[Mes_Num],"&gt;="&amp;E28,tbl_desempenho_forn[Mes_Num],"&lt;="&amp;F28)</f>
        <v>0</v>
      </c>
      <c r="J28" s="16">
        <f>SUMIFS(tbl_desempenho_forn[SCAR],tbl_desempenho_forn[ID_Fornecedor],A28,tbl_desempenho_forn[Mes_Num],"&gt;="&amp;E28,tbl_desempenho_forn[Mes_Num],"&lt;="&amp;F28)</f>
        <v>0</v>
      </c>
      <c r="K28" s="17" t="str">
        <f>IFERROR(SUMIFS(tbl_desempenho_forn[Dias_Resposta_Soma],tbl_desempenho_forn[ID_Fornecedor],A28,tbl_desempenho_forn[Mes_Num],"&gt;="&amp;E28,tbl_desempenho_forn[Mes_Num],"&lt;="&amp;F28)/J28,"")</f>
        <v/>
      </c>
      <c r="L28" s="16">
        <f>SUMIFS(tbl_desempenho_forn[SCAR_Resolvidas_30d],tbl_desempenho_forn[ID_Fornecedor],A28,tbl_desempenho_forn[Mes_Num],"&gt;="&amp;E28,tbl_desempenho_forn[Mes_Num],"&lt;="&amp;F28)</f>
        <v>0</v>
      </c>
      <c r="M28" s="11">
        <v>80</v>
      </c>
      <c r="N28" s="18">
        <v>0.98</v>
      </c>
      <c r="O28" s="19">
        <f t="shared" si="1"/>
        <v>78.431372549019613</v>
      </c>
      <c r="P28" s="19">
        <f t="shared" si="2"/>
        <v>100</v>
      </c>
      <c r="Q28" s="19">
        <f t="shared" si="3"/>
        <v>100</v>
      </c>
      <c r="R28" s="19">
        <f t="shared" si="4"/>
        <v>100</v>
      </c>
      <c r="S28" s="19">
        <f t="shared" si="5"/>
        <v>80</v>
      </c>
      <c r="T28" s="19">
        <f t="shared" si="6"/>
        <v>100</v>
      </c>
      <c r="U28" s="17">
        <f t="shared" si="7"/>
        <v>89.372549019607845</v>
      </c>
      <c r="V28" s="13" t="str">
        <f t="shared" si="8"/>
        <v>A</v>
      </c>
      <c r="W28" s="13" t="str">
        <f>IF(V28="","",IF(G28&lt;15,"Em qualificação (amostra &lt; 15 lotes)",CHOOSE(MATCH(V28,{"A","B","C","D"},0),"Manter","Manter + plano","Aprovação condicional","Suspender")))</f>
        <v>Manter</v>
      </c>
    </row>
    <row r="29" spans="1:23" ht="16.05" customHeight="1" x14ac:dyDescent="0.3">
      <c r="A29" s="10" t="s">
        <v>135</v>
      </c>
      <c r="B29" s="10" t="s">
        <v>229</v>
      </c>
      <c r="C29" s="10" t="s">
        <v>228</v>
      </c>
      <c r="D29" s="13" t="str">
        <f t="shared" si="0"/>
        <v>SUP-009|ATUAL</v>
      </c>
      <c r="E29" s="11">
        <v>202607</v>
      </c>
      <c r="F29" s="11">
        <v>202608</v>
      </c>
      <c r="G29" s="16">
        <f>SUMIFS(tbl_desempenho_forn[Lotes],tbl_desempenho_forn[ID_Fornecedor],A29,tbl_desempenho_forn[Mes_Num],"&gt;="&amp;E29,tbl_desempenho_forn[Mes_Num],"&lt;="&amp;F29)</f>
        <v>10</v>
      </c>
      <c r="H29" s="16">
        <f>SUMIFS(tbl_desempenho_forn[Aceites],tbl_desempenho_forn[ID_Fornecedor],A29,tbl_desempenho_forn[Mes_Num],"&gt;="&amp;E29,tbl_desempenho_forn[Mes_Num],"&lt;="&amp;F29)</f>
        <v>8</v>
      </c>
      <c r="I29" s="16">
        <f>SUMIFS(tbl_desempenho_forn[Rejeitados],tbl_desempenho_forn[ID_Fornecedor],A29,tbl_desempenho_forn[Mes_Num],"&gt;="&amp;E29,tbl_desempenho_forn[Mes_Num],"&lt;="&amp;F29)</f>
        <v>2</v>
      </c>
      <c r="J29" s="16">
        <f>SUMIFS(tbl_desempenho_forn[SCAR],tbl_desempenho_forn[ID_Fornecedor],A29,tbl_desempenho_forn[Mes_Num],"&gt;="&amp;E29,tbl_desempenho_forn[Mes_Num],"&lt;="&amp;F29)</f>
        <v>1</v>
      </c>
      <c r="K29" s="17">
        <f>IFERROR(SUMIFS(tbl_desempenho_forn[Dias_Resposta_Soma],tbl_desempenho_forn[ID_Fornecedor],A29,tbl_desempenho_forn[Mes_Num],"&gt;="&amp;E29,tbl_desempenho_forn[Mes_Num],"&lt;="&amp;F29)/J29,"")</f>
        <v>6</v>
      </c>
      <c r="L29" s="16">
        <f>SUMIFS(tbl_desempenho_forn[SCAR_Resolvidas_30d],tbl_desempenho_forn[ID_Fornecedor],A29,tbl_desempenho_forn[Mes_Num],"&gt;="&amp;E29,tbl_desempenho_forn[Mes_Num],"&lt;="&amp;F29)</f>
        <v>1</v>
      </c>
      <c r="M29" s="11">
        <v>70</v>
      </c>
      <c r="N29" s="18">
        <v>0.85</v>
      </c>
      <c r="O29" s="19">
        <f t="shared" si="1"/>
        <v>0</v>
      </c>
      <c r="P29" s="19">
        <f t="shared" si="2"/>
        <v>0</v>
      </c>
      <c r="Q29" s="19">
        <f t="shared" si="3"/>
        <v>90</v>
      </c>
      <c r="R29" s="19">
        <f t="shared" si="4"/>
        <v>100</v>
      </c>
      <c r="S29" s="19">
        <f t="shared" si="5"/>
        <v>70</v>
      </c>
      <c r="T29" s="19">
        <f t="shared" si="6"/>
        <v>27.77777777777775</v>
      </c>
      <c r="U29" s="17">
        <f t="shared" si="7"/>
        <v>33.277777777777771</v>
      </c>
      <c r="V29" s="13" t="str">
        <f t="shared" si="8"/>
        <v>D</v>
      </c>
      <c r="W29" s="13" t="str">
        <f>IF(V29="","",IF(G29&lt;15,"Em qualificação (amostra &lt; 15 lotes)",CHOOSE(MATCH(V29,{"A","B","C","D"},0),"Manter","Manter + plano","Aprovação condicional","Suspender")))</f>
        <v>Em qualificação (amostra &lt; 15 lotes)</v>
      </c>
    </row>
    <row r="30" spans="1:23" ht="16.05" customHeight="1" x14ac:dyDescent="0.3">
      <c r="A30" s="10" t="s">
        <v>140</v>
      </c>
      <c r="B30" s="10" t="s">
        <v>229</v>
      </c>
      <c r="C30" s="10" t="s">
        <v>228</v>
      </c>
      <c r="D30" s="13" t="str">
        <f t="shared" si="0"/>
        <v>SUP-010|ATUAL</v>
      </c>
      <c r="E30" s="11">
        <v>202607</v>
      </c>
      <c r="F30" s="11">
        <v>202608</v>
      </c>
      <c r="G30" s="16">
        <f>SUMIFS(tbl_desempenho_forn[Lotes],tbl_desempenho_forn[ID_Fornecedor],A30,tbl_desempenho_forn[Mes_Num],"&gt;="&amp;E30,tbl_desempenho_forn[Mes_Num],"&lt;="&amp;F30)</f>
        <v>10</v>
      </c>
      <c r="H30" s="16">
        <f>SUMIFS(tbl_desempenho_forn[Aceites],tbl_desempenho_forn[ID_Fornecedor],A30,tbl_desempenho_forn[Mes_Num],"&gt;="&amp;E30,tbl_desempenho_forn[Mes_Num],"&lt;="&amp;F30)</f>
        <v>8</v>
      </c>
      <c r="I30" s="16">
        <f>SUMIFS(tbl_desempenho_forn[Rejeitados],tbl_desempenho_forn[ID_Fornecedor],A30,tbl_desempenho_forn[Mes_Num],"&gt;="&amp;E30,tbl_desempenho_forn[Mes_Num],"&lt;="&amp;F30)</f>
        <v>2</v>
      </c>
      <c r="J30" s="16">
        <f>SUMIFS(tbl_desempenho_forn[SCAR],tbl_desempenho_forn[ID_Fornecedor],A30,tbl_desempenho_forn[Mes_Num],"&gt;="&amp;E30,tbl_desempenho_forn[Mes_Num],"&lt;="&amp;F30)</f>
        <v>0</v>
      </c>
      <c r="K30" s="17" t="str">
        <f>IFERROR(SUMIFS(tbl_desempenho_forn[Dias_Resposta_Soma],tbl_desempenho_forn[ID_Fornecedor],A30,tbl_desempenho_forn[Mes_Num],"&gt;="&amp;E30,tbl_desempenho_forn[Mes_Num],"&lt;="&amp;F30)/J30,"")</f>
        <v/>
      </c>
      <c r="L30" s="16">
        <f>SUMIFS(tbl_desempenho_forn[SCAR_Resolvidas_30d],tbl_desempenho_forn[ID_Fornecedor],A30,tbl_desempenho_forn[Mes_Num],"&gt;="&amp;E30,tbl_desempenho_forn[Mes_Num],"&lt;="&amp;F30)</f>
        <v>0</v>
      </c>
      <c r="M30" s="11">
        <v>100</v>
      </c>
      <c r="N30" s="18">
        <v>0.93</v>
      </c>
      <c r="O30" s="19">
        <f t="shared" si="1"/>
        <v>0</v>
      </c>
      <c r="P30" s="19">
        <f t="shared" si="2"/>
        <v>0</v>
      </c>
      <c r="Q30" s="19">
        <f t="shared" si="3"/>
        <v>100</v>
      </c>
      <c r="R30" s="19">
        <f t="shared" si="4"/>
        <v>100</v>
      </c>
      <c r="S30" s="19">
        <f t="shared" si="5"/>
        <v>100</v>
      </c>
      <c r="T30" s="19">
        <f t="shared" si="6"/>
        <v>72.222222222222257</v>
      </c>
      <c r="U30" s="17">
        <f t="shared" si="7"/>
        <v>42.222222222222229</v>
      </c>
      <c r="V30" s="13" t="str">
        <f t="shared" si="8"/>
        <v>D</v>
      </c>
      <c r="W30" s="13" t="str">
        <f>IF(V30="","",IF(G30&lt;15,"Em qualificação (amostra &lt; 15 lotes)",CHOOSE(MATCH(V30,{"A","B","C","D"},0),"Manter","Manter + plano","Aprovação condicional","Suspender")))</f>
        <v>Em qualificação (amostra &lt; 15 lotes)</v>
      </c>
    </row>
  </sheetData>
  <conditionalFormatting sqref="V5:V230">
    <cfRule type="expression" dxfId="10" priority="1">
      <formula>ISNUMBER(SEARCH("D",V5))</formula>
    </cfRule>
    <cfRule type="expression" dxfId="9" priority="2">
      <formula>ISNUMBER(SEARCH("C",V5))</formula>
    </cfRule>
    <cfRule type="expression" dxfId="8" priority="3">
      <formula>ISNUMBER(SEARCH("B",V5))</formula>
    </cfRule>
    <cfRule type="expression" dxfId="7" priority="4">
      <formula>ISNUMBER(SEARCH("A",V5))</formula>
    </cfRule>
  </conditionalFormatting>
  <conditionalFormatting sqref="W5:W230">
    <cfRule type="expression" dxfId="6" priority="5">
      <formula>ISNUMBER(SEARCH("Suspender",W5))</formula>
    </cfRule>
    <cfRule type="expression" dxfId="5" priority="6">
      <formula>ISNUMBER(SEARCH("condicional",W5))</formula>
    </cfRule>
    <cfRule type="expression" dxfId="4" priority="7">
      <formula>ISNUMBER(SEARCH("plano",W5))</formula>
    </cfRule>
    <cfRule type="expression" dxfId="3" priority="8">
      <formula>ISNUMBER(SEARCH("Manter",W5))</formula>
    </cfRule>
  </conditionalFormatting>
  <dataValidations count="1">
    <dataValidation type="list" allowBlank="1" showErrorMessage="1" errorTitle="Valor inválido" error="Valor fora da lista controlada (ver folha Listas)." sqref="C5:C230" xr:uid="{00000000-0002-0000-0300-000000000000}">
      <formula1>lst_SimNao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81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11" customWidth="1"/>
    <col min="3" max="3" width="9" customWidth="1"/>
    <col min="4" max="4" width="10" customWidth="1"/>
    <col min="5" max="5" width="16" customWidth="1"/>
    <col min="6" max="6" width="9" customWidth="1"/>
    <col min="7" max="7" width="30" customWidth="1"/>
    <col min="8" max="8" width="7" customWidth="1"/>
    <col min="9" max="9" width="40" customWidth="1"/>
    <col min="10" max="11" width="11" customWidth="1"/>
    <col min="12" max="12" width="7" customWidth="1"/>
    <col min="13" max="13" width="10" customWidth="1"/>
  </cols>
  <sheetData>
    <row r="1" spans="1:13" ht="39.6" x14ac:dyDescent="0.3">
      <c r="A1" s="8" t="s">
        <v>230</v>
      </c>
      <c r="B1" s="8" t="s">
        <v>231</v>
      </c>
      <c r="C1" s="8" t="s">
        <v>75</v>
      </c>
      <c r="D1" s="8" t="s">
        <v>232</v>
      </c>
      <c r="E1" s="8" t="s">
        <v>233</v>
      </c>
      <c r="F1" s="8" t="s">
        <v>234</v>
      </c>
      <c r="G1" s="8" t="s">
        <v>235</v>
      </c>
      <c r="H1" s="8" t="s">
        <v>236</v>
      </c>
      <c r="I1" s="8" t="s">
        <v>237</v>
      </c>
      <c r="J1" s="8" t="s">
        <v>238</v>
      </c>
      <c r="K1" s="8" t="s">
        <v>239</v>
      </c>
      <c r="L1" s="9" t="s">
        <v>240</v>
      </c>
      <c r="M1" s="9" t="s">
        <v>14</v>
      </c>
    </row>
    <row r="2" spans="1:13" ht="15" customHeight="1" x14ac:dyDescent="0.3">
      <c r="A2" s="10" t="s">
        <v>241</v>
      </c>
      <c r="B2" s="12">
        <v>45843</v>
      </c>
      <c r="C2" s="10" t="s">
        <v>102</v>
      </c>
      <c r="D2" s="10" t="s">
        <v>242</v>
      </c>
      <c r="E2" s="10" t="s">
        <v>243</v>
      </c>
      <c r="F2" s="10" t="s">
        <v>244</v>
      </c>
      <c r="G2" s="10" t="s">
        <v>245</v>
      </c>
      <c r="H2" s="10" t="s">
        <v>228</v>
      </c>
      <c r="I2" s="10" t="s">
        <v>246</v>
      </c>
      <c r="J2" s="12">
        <v>45850</v>
      </c>
      <c r="K2" s="12">
        <v>45857</v>
      </c>
      <c r="L2" s="16">
        <f t="shared" ref="L2:L33" si="0">IF(J2="","",J2-B2)</f>
        <v>7</v>
      </c>
      <c r="M2" s="13" t="str">
        <f t="shared" ref="M2:M33" si="1">IF(A2="","",IF(K2&lt;&gt;"","Fechada",IF(DataRef-B2&gt;30,"Atrasada","Aberta")))</f>
        <v>Fechada</v>
      </c>
    </row>
    <row r="3" spans="1:13" ht="15" customHeight="1" x14ac:dyDescent="0.3">
      <c r="A3" s="10" t="s">
        <v>247</v>
      </c>
      <c r="B3" s="12">
        <v>45848</v>
      </c>
      <c r="C3" s="10" t="s">
        <v>110</v>
      </c>
      <c r="D3" s="10" t="s">
        <v>248</v>
      </c>
      <c r="E3" s="10" t="s">
        <v>249</v>
      </c>
      <c r="F3" s="10" t="s">
        <v>250</v>
      </c>
      <c r="G3" s="10" t="s">
        <v>245</v>
      </c>
      <c r="H3" s="10" t="s">
        <v>228</v>
      </c>
      <c r="I3" s="10" t="s">
        <v>246</v>
      </c>
      <c r="J3" s="12">
        <v>45856</v>
      </c>
      <c r="K3" s="12"/>
      <c r="L3" s="16">
        <f t="shared" si="0"/>
        <v>8</v>
      </c>
      <c r="M3" s="13" t="str">
        <f t="shared" si="1"/>
        <v>Atrasada</v>
      </c>
    </row>
    <row r="4" spans="1:13" ht="15" customHeight="1" x14ac:dyDescent="0.3">
      <c r="A4" s="10" t="s">
        <v>251</v>
      </c>
      <c r="B4" s="12">
        <v>45850</v>
      </c>
      <c r="C4" s="10" t="s">
        <v>127</v>
      </c>
      <c r="D4" s="10" t="s">
        <v>242</v>
      </c>
      <c r="E4" s="10" t="s">
        <v>252</v>
      </c>
      <c r="F4" s="10" t="s">
        <v>253</v>
      </c>
      <c r="G4" s="10" t="s">
        <v>245</v>
      </c>
      <c r="H4" s="10" t="s">
        <v>228</v>
      </c>
      <c r="I4" s="10" t="s">
        <v>246</v>
      </c>
      <c r="J4" s="12">
        <v>45860</v>
      </c>
      <c r="K4" s="12">
        <v>45864</v>
      </c>
      <c r="L4" s="16">
        <f t="shared" si="0"/>
        <v>10</v>
      </c>
      <c r="M4" s="13" t="str">
        <f t="shared" si="1"/>
        <v>Fechada</v>
      </c>
    </row>
    <row r="5" spans="1:13" ht="15" customHeight="1" x14ac:dyDescent="0.3">
      <c r="A5" s="10" t="s">
        <v>254</v>
      </c>
      <c r="B5" s="12">
        <v>45850</v>
      </c>
      <c r="C5" s="10" t="s">
        <v>110</v>
      </c>
      <c r="D5" s="10" t="s">
        <v>255</v>
      </c>
      <c r="E5" s="10" t="s">
        <v>256</v>
      </c>
      <c r="F5" s="10" t="s">
        <v>257</v>
      </c>
      <c r="G5" s="10" t="s">
        <v>245</v>
      </c>
      <c r="H5" s="10" t="s">
        <v>228</v>
      </c>
      <c r="I5" s="10" t="s">
        <v>246</v>
      </c>
      <c r="J5" s="12">
        <v>45860</v>
      </c>
      <c r="K5" s="12">
        <v>45864</v>
      </c>
      <c r="L5" s="16">
        <f t="shared" si="0"/>
        <v>10</v>
      </c>
      <c r="M5" s="13" t="str">
        <f t="shared" si="1"/>
        <v>Fechada</v>
      </c>
    </row>
    <row r="6" spans="1:13" ht="15" customHeight="1" x14ac:dyDescent="0.3">
      <c r="A6" s="10" t="s">
        <v>258</v>
      </c>
      <c r="B6" s="12">
        <v>45852</v>
      </c>
      <c r="C6" s="10" t="s">
        <v>91</v>
      </c>
      <c r="D6" s="10" t="s">
        <v>259</v>
      </c>
      <c r="E6" s="10" t="s">
        <v>260</v>
      </c>
      <c r="F6" s="10" t="s">
        <v>261</v>
      </c>
      <c r="G6" s="10" t="s">
        <v>245</v>
      </c>
      <c r="H6" s="10" t="s">
        <v>228</v>
      </c>
      <c r="I6" s="10" t="s">
        <v>246</v>
      </c>
      <c r="J6" s="12">
        <v>45863</v>
      </c>
      <c r="K6" s="12">
        <v>45866</v>
      </c>
      <c r="L6" s="16">
        <f t="shared" si="0"/>
        <v>11</v>
      </c>
      <c r="M6" s="13" t="str">
        <f t="shared" si="1"/>
        <v>Fechada</v>
      </c>
    </row>
    <row r="7" spans="1:13" ht="15" customHeight="1" x14ac:dyDescent="0.3">
      <c r="A7" s="10" t="s">
        <v>262</v>
      </c>
      <c r="B7" s="12">
        <v>45852</v>
      </c>
      <c r="C7" s="10" t="s">
        <v>131</v>
      </c>
      <c r="D7" s="10" t="s">
        <v>134</v>
      </c>
      <c r="E7" s="10" t="s">
        <v>263</v>
      </c>
      <c r="F7" s="10" t="s">
        <v>264</v>
      </c>
      <c r="G7" s="10" t="s">
        <v>245</v>
      </c>
      <c r="H7" s="10" t="s">
        <v>228</v>
      </c>
      <c r="I7" s="10" t="s">
        <v>246</v>
      </c>
      <c r="J7" s="12">
        <v>45861</v>
      </c>
      <c r="K7" s="12">
        <v>45870</v>
      </c>
      <c r="L7" s="16">
        <f t="shared" si="0"/>
        <v>9</v>
      </c>
      <c r="M7" s="13" t="str">
        <f t="shared" si="1"/>
        <v>Fechada</v>
      </c>
    </row>
    <row r="8" spans="1:13" ht="15" customHeight="1" x14ac:dyDescent="0.3">
      <c r="A8" s="10" t="s">
        <v>265</v>
      </c>
      <c r="B8" s="12">
        <v>45862</v>
      </c>
      <c r="C8" s="10" t="s">
        <v>115</v>
      </c>
      <c r="D8" s="10" t="s">
        <v>242</v>
      </c>
      <c r="E8" s="10" t="s">
        <v>266</v>
      </c>
      <c r="F8" s="10" t="s">
        <v>267</v>
      </c>
      <c r="G8" s="10" t="s">
        <v>245</v>
      </c>
      <c r="H8" s="10" t="s">
        <v>228</v>
      </c>
      <c r="I8" s="10" t="s">
        <v>246</v>
      </c>
      <c r="J8" s="12">
        <v>45869</v>
      </c>
      <c r="K8" s="12">
        <v>45877</v>
      </c>
      <c r="L8" s="16">
        <f t="shared" si="0"/>
        <v>7</v>
      </c>
      <c r="M8" s="13" t="str">
        <f t="shared" si="1"/>
        <v>Fechada</v>
      </c>
    </row>
    <row r="9" spans="1:13" ht="15" customHeight="1" x14ac:dyDescent="0.3">
      <c r="A9" s="10" t="s">
        <v>268</v>
      </c>
      <c r="B9" s="12">
        <v>45867</v>
      </c>
      <c r="C9" s="10" t="s">
        <v>107</v>
      </c>
      <c r="D9" s="10" t="s">
        <v>269</v>
      </c>
      <c r="E9" s="10" t="s">
        <v>270</v>
      </c>
      <c r="F9" s="10" t="s">
        <v>271</v>
      </c>
      <c r="G9" s="10" t="s">
        <v>245</v>
      </c>
      <c r="H9" s="10" t="s">
        <v>228</v>
      </c>
      <c r="I9" s="10" t="s">
        <v>246</v>
      </c>
      <c r="J9" s="12">
        <v>45872</v>
      </c>
      <c r="K9" s="12">
        <v>45878</v>
      </c>
      <c r="L9" s="16">
        <f t="shared" si="0"/>
        <v>5</v>
      </c>
      <c r="M9" s="13" t="str">
        <f t="shared" si="1"/>
        <v>Fechada</v>
      </c>
    </row>
    <row r="10" spans="1:13" ht="15" customHeight="1" x14ac:dyDescent="0.3">
      <c r="A10" s="10" t="s">
        <v>272</v>
      </c>
      <c r="B10" s="12">
        <v>45897</v>
      </c>
      <c r="C10" s="10" t="s">
        <v>127</v>
      </c>
      <c r="D10" s="10" t="s">
        <v>273</v>
      </c>
      <c r="E10" s="10" t="s">
        <v>274</v>
      </c>
      <c r="F10" s="10" t="s">
        <v>275</v>
      </c>
      <c r="G10" s="10" t="s">
        <v>245</v>
      </c>
      <c r="H10" s="10" t="s">
        <v>228</v>
      </c>
      <c r="I10" s="10" t="s">
        <v>246</v>
      </c>
      <c r="J10" s="12">
        <v>45901</v>
      </c>
      <c r="K10" s="12">
        <v>45909</v>
      </c>
      <c r="L10" s="16">
        <f t="shared" si="0"/>
        <v>4</v>
      </c>
      <c r="M10" s="13" t="str">
        <f t="shared" si="1"/>
        <v>Fechada</v>
      </c>
    </row>
    <row r="11" spans="1:13" ht="15" customHeight="1" x14ac:dyDescent="0.3">
      <c r="A11" s="10" t="s">
        <v>276</v>
      </c>
      <c r="B11" s="12">
        <v>45912</v>
      </c>
      <c r="C11" s="10" t="s">
        <v>91</v>
      </c>
      <c r="D11" s="10" t="s">
        <v>259</v>
      </c>
      <c r="E11" s="10" t="s">
        <v>277</v>
      </c>
      <c r="F11" s="10" t="s">
        <v>278</v>
      </c>
      <c r="G11" s="10" t="s">
        <v>245</v>
      </c>
      <c r="H11" s="10" t="s">
        <v>228</v>
      </c>
      <c r="I11" s="10" t="s">
        <v>246</v>
      </c>
      <c r="J11" s="12">
        <v>45918</v>
      </c>
      <c r="K11" s="12"/>
      <c r="L11" s="16">
        <f t="shared" si="0"/>
        <v>6</v>
      </c>
      <c r="M11" s="13" t="str">
        <f t="shared" si="1"/>
        <v>Atrasada</v>
      </c>
    </row>
    <row r="12" spans="1:13" ht="15" customHeight="1" x14ac:dyDescent="0.3">
      <c r="A12" s="10" t="s">
        <v>279</v>
      </c>
      <c r="B12" s="12">
        <v>45913</v>
      </c>
      <c r="C12" s="10" t="s">
        <v>115</v>
      </c>
      <c r="D12" s="10" t="s">
        <v>280</v>
      </c>
      <c r="E12" s="10" t="s">
        <v>281</v>
      </c>
      <c r="F12" s="10" t="s">
        <v>282</v>
      </c>
      <c r="G12" s="10" t="s">
        <v>245</v>
      </c>
      <c r="H12" s="10" t="s">
        <v>228</v>
      </c>
      <c r="I12" s="10" t="s">
        <v>246</v>
      </c>
      <c r="J12" s="12">
        <v>45917</v>
      </c>
      <c r="K12" s="12">
        <v>45919</v>
      </c>
      <c r="L12" s="16">
        <f t="shared" si="0"/>
        <v>4</v>
      </c>
      <c r="M12" s="13" t="str">
        <f t="shared" si="1"/>
        <v>Fechada</v>
      </c>
    </row>
    <row r="13" spans="1:13" ht="15" customHeight="1" x14ac:dyDescent="0.3">
      <c r="A13" s="10" t="s">
        <v>283</v>
      </c>
      <c r="B13" s="12">
        <v>45920</v>
      </c>
      <c r="C13" s="10" t="s">
        <v>131</v>
      </c>
      <c r="D13" s="10" t="s">
        <v>134</v>
      </c>
      <c r="E13" s="10" t="s">
        <v>284</v>
      </c>
      <c r="F13" s="10" t="s">
        <v>285</v>
      </c>
      <c r="G13" s="10" t="s">
        <v>245</v>
      </c>
      <c r="H13" s="10" t="s">
        <v>228</v>
      </c>
      <c r="I13" s="10" t="s">
        <v>246</v>
      </c>
      <c r="J13" s="12">
        <v>45924</v>
      </c>
      <c r="K13" s="12">
        <v>45925</v>
      </c>
      <c r="L13" s="16">
        <f t="shared" si="0"/>
        <v>4</v>
      </c>
      <c r="M13" s="13" t="str">
        <f t="shared" si="1"/>
        <v>Fechada</v>
      </c>
    </row>
    <row r="14" spans="1:13" ht="15" customHeight="1" x14ac:dyDescent="0.3">
      <c r="A14" s="10" t="s">
        <v>286</v>
      </c>
      <c r="B14" s="12">
        <v>45921</v>
      </c>
      <c r="C14" s="10" t="s">
        <v>110</v>
      </c>
      <c r="D14" s="10" t="s">
        <v>248</v>
      </c>
      <c r="E14" s="10" t="s">
        <v>287</v>
      </c>
      <c r="F14" s="10" t="s">
        <v>288</v>
      </c>
      <c r="G14" s="10" t="s">
        <v>245</v>
      </c>
      <c r="H14" s="10" t="s">
        <v>228</v>
      </c>
      <c r="I14" s="10" t="s">
        <v>246</v>
      </c>
      <c r="J14" s="12">
        <v>45931</v>
      </c>
      <c r="K14" s="12">
        <v>45934</v>
      </c>
      <c r="L14" s="16">
        <f t="shared" si="0"/>
        <v>10</v>
      </c>
      <c r="M14" s="13" t="str">
        <f t="shared" si="1"/>
        <v>Fechada</v>
      </c>
    </row>
    <row r="15" spans="1:13" ht="15" customHeight="1" x14ac:dyDescent="0.3">
      <c r="A15" s="10" t="s">
        <v>289</v>
      </c>
      <c r="B15" s="12">
        <v>45923</v>
      </c>
      <c r="C15" s="10" t="s">
        <v>115</v>
      </c>
      <c r="D15" s="10" t="s">
        <v>242</v>
      </c>
      <c r="E15" s="10" t="s">
        <v>290</v>
      </c>
      <c r="F15" s="10" t="s">
        <v>291</v>
      </c>
      <c r="G15" s="10" t="s">
        <v>245</v>
      </c>
      <c r="H15" s="10" t="s">
        <v>228</v>
      </c>
      <c r="I15" s="10" t="s">
        <v>246</v>
      </c>
      <c r="J15" s="12">
        <v>45928</v>
      </c>
      <c r="K15" s="12">
        <v>45929</v>
      </c>
      <c r="L15" s="16">
        <f t="shared" si="0"/>
        <v>5</v>
      </c>
      <c r="M15" s="13" t="str">
        <f t="shared" si="1"/>
        <v>Fechada</v>
      </c>
    </row>
    <row r="16" spans="1:13" ht="15" customHeight="1" x14ac:dyDescent="0.3">
      <c r="A16" s="10" t="s">
        <v>292</v>
      </c>
      <c r="B16" s="12">
        <v>45927</v>
      </c>
      <c r="C16" s="10" t="s">
        <v>115</v>
      </c>
      <c r="D16" s="10" t="s">
        <v>280</v>
      </c>
      <c r="E16" s="10" t="s">
        <v>293</v>
      </c>
      <c r="F16" s="10" t="s">
        <v>294</v>
      </c>
      <c r="G16" s="10" t="s">
        <v>245</v>
      </c>
      <c r="H16" s="10" t="s">
        <v>228</v>
      </c>
      <c r="I16" s="10" t="s">
        <v>246</v>
      </c>
      <c r="J16" s="12">
        <v>45934</v>
      </c>
      <c r="K16" s="12">
        <v>45943</v>
      </c>
      <c r="L16" s="16">
        <f t="shared" si="0"/>
        <v>7</v>
      </c>
      <c r="M16" s="13" t="str">
        <f t="shared" si="1"/>
        <v>Fechada</v>
      </c>
    </row>
    <row r="17" spans="1:13" ht="15" customHeight="1" x14ac:dyDescent="0.3">
      <c r="A17" s="10" t="s">
        <v>295</v>
      </c>
      <c r="B17" s="12">
        <v>45931</v>
      </c>
      <c r="C17" s="10" t="s">
        <v>91</v>
      </c>
      <c r="D17" s="10" t="s">
        <v>296</v>
      </c>
      <c r="E17" s="10" t="s">
        <v>297</v>
      </c>
      <c r="F17" s="10" t="s">
        <v>298</v>
      </c>
      <c r="G17" s="10" t="s">
        <v>245</v>
      </c>
      <c r="H17" s="10" t="s">
        <v>228</v>
      </c>
      <c r="I17" s="10" t="s">
        <v>246</v>
      </c>
      <c r="J17" s="12">
        <v>45934</v>
      </c>
      <c r="K17" s="12">
        <v>45937</v>
      </c>
      <c r="L17" s="16">
        <f t="shared" si="0"/>
        <v>3</v>
      </c>
      <c r="M17" s="13" t="str">
        <f t="shared" si="1"/>
        <v>Fechada</v>
      </c>
    </row>
    <row r="18" spans="1:13" ht="15" customHeight="1" x14ac:dyDescent="0.3">
      <c r="A18" s="10" t="s">
        <v>299</v>
      </c>
      <c r="B18" s="12">
        <v>45951</v>
      </c>
      <c r="C18" s="10" t="s">
        <v>102</v>
      </c>
      <c r="D18" s="10" t="s">
        <v>300</v>
      </c>
      <c r="E18" s="10" t="s">
        <v>301</v>
      </c>
      <c r="F18" s="10" t="s">
        <v>302</v>
      </c>
      <c r="G18" s="10" t="s">
        <v>245</v>
      </c>
      <c r="H18" s="10" t="s">
        <v>228</v>
      </c>
      <c r="I18" s="10" t="s">
        <v>246</v>
      </c>
      <c r="J18" s="12">
        <v>45960</v>
      </c>
      <c r="K18" s="12">
        <v>45965</v>
      </c>
      <c r="L18" s="16">
        <f t="shared" si="0"/>
        <v>9</v>
      </c>
      <c r="M18" s="13" t="str">
        <f t="shared" si="1"/>
        <v>Fechada</v>
      </c>
    </row>
    <row r="19" spans="1:13" ht="15" customHeight="1" x14ac:dyDescent="0.3">
      <c r="A19" s="10" t="s">
        <v>303</v>
      </c>
      <c r="B19" s="12">
        <v>45953</v>
      </c>
      <c r="C19" s="10" t="s">
        <v>115</v>
      </c>
      <c r="D19" s="10" t="s">
        <v>242</v>
      </c>
      <c r="E19" s="10" t="s">
        <v>304</v>
      </c>
      <c r="F19" s="10" t="s">
        <v>305</v>
      </c>
      <c r="G19" s="10" t="s">
        <v>245</v>
      </c>
      <c r="H19" s="10" t="s">
        <v>228</v>
      </c>
      <c r="I19" s="10" t="s">
        <v>246</v>
      </c>
      <c r="J19" s="12">
        <v>45958</v>
      </c>
      <c r="K19" s="12"/>
      <c r="L19" s="16">
        <f t="shared" si="0"/>
        <v>5</v>
      </c>
      <c r="M19" s="13" t="str">
        <f t="shared" si="1"/>
        <v>Atrasada</v>
      </c>
    </row>
    <row r="20" spans="1:13" ht="15" customHeight="1" x14ac:dyDescent="0.3">
      <c r="A20" s="10" t="s">
        <v>306</v>
      </c>
      <c r="B20" s="12">
        <v>45957</v>
      </c>
      <c r="C20" s="10" t="s">
        <v>110</v>
      </c>
      <c r="D20" s="10" t="s">
        <v>255</v>
      </c>
      <c r="E20" s="10" t="s">
        <v>307</v>
      </c>
      <c r="F20" s="10" t="s">
        <v>308</v>
      </c>
      <c r="G20" s="10" t="s">
        <v>245</v>
      </c>
      <c r="H20" s="10" t="s">
        <v>228</v>
      </c>
      <c r="I20" s="10" t="s">
        <v>246</v>
      </c>
      <c r="J20" s="12">
        <v>45965</v>
      </c>
      <c r="K20" s="12">
        <v>45966</v>
      </c>
      <c r="L20" s="16">
        <f t="shared" si="0"/>
        <v>8</v>
      </c>
      <c r="M20" s="13" t="str">
        <f t="shared" si="1"/>
        <v>Fechada</v>
      </c>
    </row>
    <row r="21" spans="1:13" ht="15" customHeight="1" x14ac:dyDescent="0.3">
      <c r="A21" s="10" t="s">
        <v>309</v>
      </c>
      <c r="B21" s="12">
        <v>45966</v>
      </c>
      <c r="C21" s="10" t="s">
        <v>115</v>
      </c>
      <c r="D21" s="10" t="s">
        <v>280</v>
      </c>
      <c r="E21" s="10" t="s">
        <v>310</v>
      </c>
      <c r="F21" s="10" t="s">
        <v>311</v>
      </c>
      <c r="G21" s="10" t="s">
        <v>245</v>
      </c>
      <c r="H21" s="10" t="s">
        <v>228</v>
      </c>
      <c r="I21" s="10" t="s">
        <v>246</v>
      </c>
      <c r="J21" s="12">
        <v>45972</v>
      </c>
      <c r="K21" s="12">
        <v>45979</v>
      </c>
      <c r="L21" s="16">
        <f t="shared" si="0"/>
        <v>6</v>
      </c>
      <c r="M21" s="13" t="str">
        <f t="shared" si="1"/>
        <v>Fechada</v>
      </c>
    </row>
    <row r="22" spans="1:13" ht="15" customHeight="1" x14ac:dyDescent="0.3">
      <c r="A22" s="10" t="s">
        <v>312</v>
      </c>
      <c r="B22" s="12">
        <v>45967</v>
      </c>
      <c r="C22" s="10" t="s">
        <v>91</v>
      </c>
      <c r="D22" s="10" t="s">
        <v>259</v>
      </c>
      <c r="E22" s="10" t="s">
        <v>313</v>
      </c>
      <c r="F22" s="10" t="s">
        <v>314</v>
      </c>
      <c r="G22" s="10" t="s">
        <v>245</v>
      </c>
      <c r="H22" s="10" t="s">
        <v>228</v>
      </c>
      <c r="I22" s="10" t="s">
        <v>246</v>
      </c>
      <c r="J22" s="12">
        <v>45974</v>
      </c>
      <c r="K22" s="12">
        <v>45975</v>
      </c>
      <c r="L22" s="16">
        <f t="shared" si="0"/>
        <v>7</v>
      </c>
      <c r="M22" s="13" t="str">
        <f t="shared" si="1"/>
        <v>Fechada</v>
      </c>
    </row>
    <row r="23" spans="1:13" ht="15" customHeight="1" x14ac:dyDescent="0.3">
      <c r="A23" s="10" t="s">
        <v>315</v>
      </c>
      <c r="B23" s="12">
        <v>45992</v>
      </c>
      <c r="C23" s="10" t="s">
        <v>127</v>
      </c>
      <c r="D23" s="10" t="s">
        <v>242</v>
      </c>
      <c r="E23" s="10" t="s">
        <v>316</v>
      </c>
      <c r="F23" s="10" t="s">
        <v>317</v>
      </c>
      <c r="G23" s="10" t="s">
        <v>245</v>
      </c>
      <c r="H23" s="10" t="s">
        <v>228</v>
      </c>
      <c r="I23" s="10" t="s">
        <v>246</v>
      </c>
      <c r="J23" s="12">
        <v>45994</v>
      </c>
      <c r="K23" s="12">
        <v>45999</v>
      </c>
      <c r="L23" s="16">
        <f t="shared" si="0"/>
        <v>2</v>
      </c>
      <c r="M23" s="13" t="str">
        <f t="shared" si="1"/>
        <v>Fechada</v>
      </c>
    </row>
    <row r="24" spans="1:13" ht="15" customHeight="1" x14ac:dyDescent="0.3">
      <c r="A24" s="10" t="s">
        <v>318</v>
      </c>
      <c r="B24" s="12">
        <v>45993</v>
      </c>
      <c r="C24" s="10" t="s">
        <v>91</v>
      </c>
      <c r="D24" s="10" t="s">
        <v>273</v>
      </c>
      <c r="E24" s="10" t="s">
        <v>319</v>
      </c>
      <c r="F24" s="10" t="s">
        <v>320</v>
      </c>
      <c r="G24" s="10" t="s">
        <v>245</v>
      </c>
      <c r="H24" s="10" t="s">
        <v>228</v>
      </c>
      <c r="I24" s="10" t="s">
        <v>246</v>
      </c>
      <c r="J24" s="12">
        <v>46000</v>
      </c>
      <c r="K24" s="12">
        <v>46006</v>
      </c>
      <c r="L24" s="16">
        <f t="shared" si="0"/>
        <v>7</v>
      </c>
      <c r="M24" s="13" t="str">
        <f t="shared" si="1"/>
        <v>Fechada</v>
      </c>
    </row>
    <row r="25" spans="1:13" ht="15" customHeight="1" x14ac:dyDescent="0.3">
      <c r="A25" s="10" t="s">
        <v>321</v>
      </c>
      <c r="B25" s="12">
        <v>46011</v>
      </c>
      <c r="C25" s="10" t="s">
        <v>107</v>
      </c>
      <c r="D25" s="10" t="s">
        <v>322</v>
      </c>
      <c r="E25" s="10" t="s">
        <v>323</v>
      </c>
      <c r="F25" s="10" t="s">
        <v>324</v>
      </c>
      <c r="G25" s="10" t="s">
        <v>245</v>
      </c>
      <c r="H25" s="10" t="s">
        <v>228</v>
      </c>
      <c r="I25" s="10" t="s">
        <v>246</v>
      </c>
      <c r="J25" s="12">
        <v>46016</v>
      </c>
      <c r="K25" s="12">
        <v>46018</v>
      </c>
      <c r="L25" s="16">
        <f t="shared" si="0"/>
        <v>5</v>
      </c>
      <c r="M25" s="13" t="str">
        <f t="shared" si="1"/>
        <v>Fechada</v>
      </c>
    </row>
    <row r="26" spans="1:13" ht="15" customHeight="1" x14ac:dyDescent="0.3">
      <c r="A26" s="10" t="s">
        <v>325</v>
      </c>
      <c r="B26" s="12">
        <v>46012</v>
      </c>
      <c r="C26" s="10" t="s">
        <v>102</v>
      </c>
      <c r="D26" s="10" t="s">
        <v>300</v>
      </c>
      <c r="E26" s="10" t="s">
        <v>326</v>
      </c>
      <c r="F26" s="10" t="s">
        <v>327</v>
      </c>
      <c r="G26" s="10" t="s">
        <v>245</v>
      </c>
      <c r="H26" s="10" t="s">
        <v>228</v>
      </c>
      <c r="I26" s="10" t="s">
        <v>246</v>
      </c>
      <c r="J26" s="12">
        <v>46019</v>
      </c>
      <c r="K26" s="12">
        <v>46026</v>
      </c>
      <c r="L26" s="16">
        <f t="shared" si="0"/>
        <v>7</v>
      </c>
      <c r="M26" s="13" t="str">
        <f t="shared" si="1"/>
        <v>Fechada</v>
      </c>
    </row>
    <row r="27" spans="1:13" ht="15" customHeight="1" x14ac:dyDescent="0.3">
      <c r="A27" s="10" t="s">
        <v>328</v>
      </c>
      <c r="B27" s="12">
        <v>46013</v>
      </c>
      <c r="C27" s="10" t="s">
        <v>115</v>
      </c>
      <c r="D27" s="10" t="s">
        <v>242</v>
      </c>
      <c r="E27" s="10" t="s">
        <v>329</v>
      </c>
      <c r="F27" s="10" t="s">
        <v>330</v>
      </c>
      <c r="G27" s="10" t="s">
        <v>245</v>
      </c>
      <c r="H27" s="10" t="s">
        <v>228</v>
      </c>
      <c r="I27" s="10" t="s">
        <v>246</v>
      </c>
      <c r="J27" s="12">
        <v>46024</v>
      </c>
      <c r="K27" s="12">
        <v>46029</v>
      </c>
      <c r="L27" s="16">
        <f t="shared" si="0"/>
        <v>11</v>
      </c>
      <c r="M27" s="13" t="str">
        <f t="shared" si="1"/>
        <v>Fechada</v>
      </c>
    </row>
    <row r="28" spans="1:13" ht="15" customHeight="1" x14ac:dyDescent="0.3">
      <c r="A28" s="10" t="s">
        <v>331</v>
      </c>
      <c r="B28" s="12">
        <v>46022</v>
      </c>
      <c r="C28" s="10" t="s">
        <v>91</v>
      </c>
      <c r="D28" s="10" t="s">
        <v>259</v>
      </c>
      <c r="E28" s="10" t="s">
        <v>332</v>
      </c>
      <c r="F28" s="10" t="s">
        <v>333</v>
      </c>
      <c r="G28" s="10" t="s">
        <v>245</v>
      </c>
      <c r="H28" s="10" t="s">
        <v>228</v>
      </c>
      <c r="I28" s="10" t="s">
        <v>246</v>
      </c>
      <c r="J28" s="12">
        <v>46033</v>
      </c>
      <c r="K28" s="12">
        <v>46041</v>
      </c>
      <c r="L28" s="16">
        <f t="shared" si="0"/>
        <v>11</v>
      </c>
      <c r="M28" s="13" t="str">
        <f t="shared" si="1"/>
        <v>Fechada</v>
      </c>
    </row>
    <row r="29" spans="1:13" ht="15" customHeight="1" x14ac:dyDescent="0.3">
      <c r="A29" s="10" t="s">
        <v>334</v>
      </c>
      <c r="B29" s="12">
        <v>46022</v>
      </c>
      <c r="C29" s="10" t="s">
        <v>115</v>
      </c>
      <c r="D29" s="10" t="s">
        <v>280</v>
      </c>
      <c r="E29" s="10" t="s">
        <v>335</v>
      </c>
      <c r="F29" s="10" t="s">
        <v>336</v>
      </c>
      <c r="G29" s="10" t="s">
        <v>245</v>
      </c>
      <c r="H29" s="10" t="s">
        <v>228</v>
      </c>
      <c r="I29" s="10" t="s">
        <v>246</v>
      </c>
      <c r="J29" s="12">
        <v>46026</v>
      </c>
      <c r="K29" s="12">
        <v>46028</v>
      </c>
      <c r="L29" s="16">
        <f t="shared" si="0"/>
        <v>4</v>
      </c>
      <c r="M29" s="13" t="str">
        <f t="shared" si="1"/>
        <v>Fechada</v>
      </c>
    </row>
    <row r="30" spans="1:13" ht="15" customHeight="1" x14ac:dyDescent="0.3">
      <c r="A30" s="10" t="s">
        <v>337</v>
      </c>
      <c r="B30" s="12">
        <v>46025</v>
      </c>
      <c r="C30" s="10" t="s">
        <v>91</v>
      </c>
      <c r="D30" s="10" t="s">
        <v>259</v>
      </c>
      <c r="E30" s="10" t="s">
        <v>338</v>
      </c>
      <c r="F30" s="10" t="s">
        <v>339</v>
      </c>
      <c r="G30" s="10" t="s">
        <v>245</v>
      </c>
      <c r="H30" s="10" t="s">
        <v>228</v>
      </c>
      <c r="I30" s="10" t="s">
        <v>246</v>
      </c>
      <c r="J30" s="12">
        <v>46032</v>
      </c>
      <c r="K30" s="12">
        <v>46041</v>
      </c>
      <c r="L30" s="16">
        <f t="shared" si="0"/>
        <v>7</v>
      </c>
      <c r="M30" s="13" t="str">
        <f t="shared" si="1"/>
        <v>Fechada</v>
      </c>
    </row>
    <row r="31" spans="1:13" ht="15" customHeight="1" x14ac:dyDescent="0.3">
      <c r="A31" s="10" t="s">
        <v>340</v>
      </c>
      <c r="B31" s="12">
        <v>46032</v>
      </c>
      <c r="C31" s="10" t="s">
        <v>115</v>
      </c>
      <c r="D31" s="10" t="s">
        <v>280</v>
      </c>
      <c r="E31" s="10" t="s">
        <v>341</v>
      </c>
      <c r="F31" s="10" t="s">
        <v>342</v>
      </c>
      <c r="G31" s="10" t="s">
        <v>245</v>
      </c>
      <c r="H31" s="10" t="s">
        <v>228</v>
      </c>
      <c r="I31" s="10" t="s">
        <v>246</v>
      </c>
      <c r="J31" s="12">
        <v>46041</v>
      </c>
      <c r="K31" s="12">
        <v>46042</v>
      </c>
      <c r="L31" s="16">
        <f t="shared" si="0"/>
        <v>9</v>
      </c>
      <c r="M31" s="13" t="str">
        <f t="shared" si="1"/>
        <v>Fechada</v>
      </c>
    </row>
    <row r="32" spans="1:13" ht="15" customHeight="1" x14ac:dyDescent="0.3">
      <c r="A32" s="10" t="s">
        <v>343</v>
      </c>
      <c r="B32" s="12">
        <v>46037</v>
      </c>
      <c r="C32" s="10" t="s">
        <v>122</v>
      </c>
      <c r="D32" s="10" t="s">
        <v>296</v>
      </c>
      <c r="E32" s="10" t="s">
        <v>344</v>
      </c>
      <c r="F32" s="10" t="s">
        <v>345</v>
      </c>
      <c r="G32" s="10" t="s">
        <v>245</v>
      </c>
      <c r="H32" s="10" t="s">
        <v>228</v>
      </c>
      <c r="I32" s="10" t="s">
        <v>246</v>
      </c>
      <c r="J32" s="12">
        <v>46039</v>
      </c>
      <c r="K32" s="12">
        <v>46041</v>
      </c>
      <c r="L32" s="16">
        <f t="shared" si="0"/>
        <v>2</v>
      </c>
      <c r="M32" s="13" t="str">
        <f t="shared" si="1"/>
        <v>Fechada</v>
      </c>
    </row>
    <row r="33" spans="1:13" ht="15" customHeight="1" x14ac:dyDescent="0.3">
      <c r="A33" s="10" t="s">
        <v>346</v>
      </c>
      <c r="B33" s="12">
        <v>46048</v>
      </c>
      <c r="C33" s="10" t="s">
        <v>122</v>
      </c>
      <c r="D33" s="10" t="s">
        <v>269</v>
      </c>
      <c r="E33" s="10" t="s">
        <v>347</v>
      </c>
      <c r="F33" s="10" t="s">
        <v>348</v>
      </c>
      <c r="G33" s="10" t="s">
        <v>245</v>
      </c>
      <c r="H33" s="10" t="s">
        <v>228</v>
      </c>
      <c r="I33" s="10" t="s">
        <v>246</v>
      </c>
      <c r="J33" s="12">
        <v>46050</v>
      </c>
      <c r="K33" s="12">
        <v>46058</v>
      </c>
      <c r="L33" s="16">
        <f t="shared" si="0"/>
        <v>2</v>
      </c>
      <c r="M33" s="13" t="str">
        <f t="shared" si="1"/>
        <v>Fechada</v>
      </c>
    </row>
    <row r="34" spans="1:13" ht="15" customHeight="1" x14ac:dyDescent="0.3">
      <c r="A34" s="10" t="s">
        <v>349</v>
      </c>
      <c r="B34" s="12">
        <v>46048</v>
      </c>
      <c r="C34" s="10" t="s">
        <v>110</v>
      </c>
      <c r="D34" s="10" t="s">
        <v>255</v>
      </c>
      <c r="E34" s="10" t="s">
        <v>350</v>
      </c>
      <c r="F34" s="10" t="s">
        <v>351</v>
      </c>
      <c r="G34" s="10" t="s">
        <v>245</v>
      </c>
      <c r="H34" s="10" t="s">
        <v>228</v>
      </c>
      <c r="I34" s="10" t="s">
        <v>246</v>
      </c>
      <c r="J34" s="12">
        <v>46059</v>
      </c>
      <c r="K34" s="12"/>
      <c r="L34" s="16">
        <f t="shared" ref="L34:L65" si="2">IF(J34="","",J34-B34)</f>
        <v>11</v>
      </c>
      <c r="M34" s="13" t="str">
        <f t="shared" ref="M34:M65" si="3">IF(A34="","",IF(K34&lt;&gt;"","Fechada",IF(DataRef-B34&gt;30,"Atrasada","Aberta")))</f>
        <v>Atrasada</v>
      </c>
    </row>
    <row r="35" spans="1:13" ht="15" customHeight="1" x14ac:dyDescent="0.3">
      <c r="A35" s="10" t="s">
        <v>352</v>
      </c>
      <c r="B35" s="12">
        <v>46052</v>
      </c>
      <c r="C35" s="10" t="s">
        <v>110</v>
      </c>
      <c r="D35" s="10" t="s">
        <v>255</v>
      </c>
      <c r="E35" s="10" t="s">
        <v>353</v>
      </c>
      <c r="F35" s="10" t="s">
        <v>354</v>
      </c>
      <c r="G35" s="10" t="s">
        <v>245</v>
      </c>
      <c r="H35" s="10" t="s">
        <v>228</v>
      </c>
      <c r="I35" s="10" t="s">
        <v>246</v>
      </c>
      <c r="J35" s="12">
        <v>46054</v>
      </c>
      <c r="K35" s="12"/>
      <c r="L35" s="16">
        <f t="shared" si="2"/>
        <v>2</v>
      </c>
      <c r="M35" s="13" t="str">
        <f t="shared" si="3"/>
        <v>Atrasada</v>
      </c>
    </row>
    <row r="36" spans="1:13" ht="15" customHeight="1" x14ac:dyDescent="0.3">
      <c r="A36" s="10" t="s">
        <v>355</v>
      </c>
      <c r="B36" s="12">
        <v>46074</v>
      </c>
      <c r="C36" s="10" t="s">
        <v>115</v>
      </c>
      <c r="D36" s="10" t="s">
        <v>280</v>
      </c>
      <c r="E36" s="10" t="s">
        <v>356</v>
      </c>
      <c r="F36" s="10" t="s">
        <v>357</v>
      </c>
      <c r="G36" s="10" t="s">
        <v>245</v>
      </c>
      <c r="H36" s="10" t="s">
        <v>228</v>
      </c>
      <c r="I36" s="10" t="s">
        <v>246</v>
      </c>
      <c r="J36" s="12">
        <v>46076</v>
      </c>
      <c r="K36" s="12">
        <v>46081</v>
      </c>
      <c r="L36" s="16">
        <f t="shared" si="2"/>
        <v>2</v>
      </c>
      <c r="M36" s="13" t="str">
        <f t="shared" si="3"/>
        <v>Fechada</v>
      </c>
    </row>
    <row r="37" spans="1:13" ht="15" customHeight="1" x14ac:dyDescent="0.3">
      <c r="A37" s="10" t="s">
        <v>358</v>
      </c>
      <c r="B37" s="12">
        <v>46076</v>
      </c>
      <c r="C37" s="10" t="s">
        <v>131</v>
      </c>
      <c r="D37" s="10" t="s">
        <v>134</v>
      </c>
      <c r="E37" s="10" t="s">
        <v>359</v>
      </c>
      <c r="F37" s="10" t="s">
        <v>360</v>
      </c>
      <c r="G37" s="10" t="s">
        <v>245</v>
      </c>
      <c r="H37" s="10" t="s">
        <v>228</v>
      </c>
      <c r="I37" s="10" t="s">
        <v>246</v>
      </c>
      <c r="J37" s="12">
        <v>46081</v>
      </c>
      <c r="K37" s="12">
        <v>46084</v>
      </c>
      <c r="L37" s="16">
        <f t="shared" si="2"/>
        <v>5</v>
      </c>
      <c r="M37" s="13" t="str">
        <f t="shared" si="3"/>
        <v>Fechada</v>
      </c>
    </row>
    <row r="38" spans="1:13" ht="15" customHeight="1" x14ac:dyDescent="0.3">
      <c r="A38" s="10" t="s">
        <v>361</v>
      </c>
      <c r="B38" s="12">
        <v>46082</v>
      </c>
      <c r="C38" s="10" t="s">
        <v>115</v>
      </c>
      <c r="D38" s="10" t="s">
        <v>280</v>
      </c>
      <c r="E38" s="10" t="s">
        <v>362</v>
      </c>
      <c r="F38" s="10" t="s">
        <v>363</v>
      </c>
      <c r="G38" s="10" t="s">
        <v>245</v>
      </c>
      <c r="H38" s="10" t="s">
        <v>228</v>
      </c>
      <c r="I38" s="10" t="s">
        <v>246</v>
      </c>
      <c r="J38" s="12">
        <v>46085</v>
      </c>
      <c r="K38" s="12">
        <v>46092</v>
      </c>
      <c r="L38" s="16">
        <f t="shared" si="2"/>
        <v>3</v>
      </c>
      <c r="M38" s="13" t="str">
        <f t="shared" si="3"/>
        <v>Fechada</v>
      </c>
    </row>
    <row r="39" spans="1:13" ht="15" customHeight="1" x14ac:dyDescent="0.3">
      <c r="A39" s="10" t="s">
        <v>364</v>
      </c>
      <c r="B39" s="12">
        <v>46088</v>
      </c>
      <c r="C39" s="10" t="s">
        <v>115</v>
      </c>
      <c r="D39" s="10" t="s">
        <v>280</v>
      </c>
      <c r="E39" s="10" t="s">
        <v>365</v>
      </c>
      <c r="F39" s="10" t="s">
        <v>366</v>
      </c>
      <c r="G39" s="10" t="s">
        <v>245</v>
      </c>
      <c r="H39" s="10" t="s">
        <v>228</v>
      </c>
      <c r="I39" s="10" t="s">
        <v>246</v>
      </c>
      <c r="J39" s="12">
        <v>46092</v>
      </c>
      <c r="K39" s="12"/>
      <c r="L39" s="16">
        <f t="shared" si="2"/>
        <v>4</v>
      </c>
      <c r="M39" s="13" t="str">
        <f t="shared" si="3"/>
        <v>Atrasada</v>
      </c>
    </row>
    <row r="40" spans="1:13" ht="15" customHeight="1" x14ac:dyDescent="0.3">
      <c r="A40" s="10" t="s">
        <v>367</v>
      </c>
      <c r="B40" s="12">
        <v>46089</v>
      </c>
      <c r="C40" s="10" t="s">
        <v>115</v>
      </c>
      <c r="D40" s="10" t="s">
        <v>242</v>
      </c>
      <c r="E40" s="10" t="s">
        <v>368</v>
      </c>
      <c r="F40" s="10" t="s">
        <v>369</v>
      </c>
      <c r="G40" s="10" t="s">
        <v>245</v>
      </c>
      <c r="H40" s="10" t="s">
        <v>228</v>
      </c>
      <c r="I40" s="10" t="s">
        <v>246</v>
      </c>
      <c r="J40" s="12">
        <v>46099</v>
      </c>
      <c r="K40" s="12"/>
      <c r="L40" s="16">
        <f t="shared" si="2"/>
        <v>10</v>
      </c>
      <c r="M40" s="13" t="str">
        <f t="shared" si="3"/>
        <v>Atrasada</v>
      </c>
    </row>
    <row r="41" spans="1:13" ht="15" customHeight="1" x14ac:dyDescent="0.3">
      <c r="A41" s="10" t="s">
        <v>370</v>
      </c>
      <c r="B41" s="12">
        <v>46094</v>
      </c>
      <c r="C41" s="10" t="s">
        <v>115</v>
      </c>
      <c r="D41" s="10" t="s">
        <v>280</v>
      </c>
      <c r="E41" s="10" t="s">
        <v>371</v>
      </c>
      <c r="F41" s="10" t="s">
        <v>372</v>
      </c>
      <c r="G41" s="10" t="s">
        <v>245</v>
      </c>
      <c r="H41" s="10" t="s">
        <v>228</v>
      </c>
      <c r="I41" s="10" t="s">
        <v>246</v>
      </c>
      <c r="J41" s="12">
        <v>46105</v>
      </c>
      <c r="K41" s="12">
        <v>46110</v>
      </c>
      <c r="L41" s="16">
        <f t="shared" si="2"/>
        <v>11</v>
      </c>
      <c r="M41" s="13" t="str">
        <f t="shared" si="3"/>
        <v>Fechada</v>
      </c>
    </row>
    <row r="42" spans="1:13" ht="15" customHeight="1" x14ac:dyDescent="0.3">
      <c r="A42" s="10" t="s">
        <v>373</v>
      </c>
      <c r="B42" s="12">
        <v>46097</v>
      </c>
      <c r="C42" s="10" t="s">
        <v>115</v>
      </c>
      <c r="D42" s="10" t="s">
        <v>280</v>
      </c>
      <c r="E42" s="10" t="s">
        <v>374</v>
      </c>
      <c r="F42" s="10" t="s">
        <v>375</v>
      </c>
      <c r="G42" s="10" t="s">
        <v>245</v>
      </c>
      <c r="H42" s="10" t="s">
        <v>228</v>
      </c>
      <c r="I42" s="10" t="s">
        <v>246</v>
      </c>
      <c r="J42" s="12">
        <v>46103</v>
      </c>
      <c r="K42" s="12">
        <v>46107</v>
      </c>
      <c r="L42" s="16">
        <f t="shared" si="2"/>
        <v>6</v>
      </c>
      <c r="M42" s="13" t="str">
        <f t="shared" si="3"/>
        <v>Fechada</v>
      </c>
    </row>
    <row r="43" spans="1:13" ht="15" customHeight="1" x14ac:dyDescent="0.3">
      <c r="A43" s="10" t="s">
        <v>376</v>
      </c>
      <c r="B43" s="12">
        <v>46102</v>
      </c>
      <c r="C43" s="10" t="s">
        <v>115</v>
      </c>
      <c r="D43" s="10" t="s">
        <v>242</v>
      </c>
      <c r="E43" s="10" t="s">
        <v>377</v>
      </c>
      <c r="F43" s="10" t="s">
        <v>378</v>
      </c>
      <c r="G43" s="10" t="s">
        <v>245</v>
      </c>
      <c r="H43" s="10" t="s">
        <v>228</v>
      </c>
      <c r="I43" s="10" t="s">
        <v>246</v>
      </c>
      <c r="J43" s="12">
        <v>46111</v>
      </c>
      <c r="K43" s="12">
        <v>46112</v>
      </c>
      <c r="L43" s="16">
        <f t="shared" si="2"/>
        <v>9</v>
      </c>
      <c r="M43" s="13" t="str">
        <f t="shared" si="3"/>
        <v>Fechada</v>
      </c>
    </row>
    <row r="44" spans="1:13" ht="15" customHeight="1" x14ac:dyDescent="0.3">
      <c r="A44" s="10" t="s">
        <v>379</v>
      </c>
      <c r="B44" s="12">
        <v>46109</v>
      </c>
      <c r="C44" s="10" t="s">
        <v>115</v>
      </c>
      <c r="D44" s="10" t="s">
        <v>280</v>
      </c>
      <c r="E44" s="10" t="s">
        <v>380</v>
      </c>
      <c r="F44" s="10" t="s">
        <v>381</v>
      </c>
      <c r="G44" s="10" t="s">
        <v>245</v>
      </c>
      <c r="H44" s="10" t="s">
        <v>228</v>
      </c>
      <c r="I44" s="10" t="s">
        <v>246</v>
      </c>
      <c r="J44" s="12">
        <v>46113</v>
      </c>
      <c r="K44" s="12">
        <v>46116</v>
      </c>
      <c r="L44" s="16">
        <f t="shared" si="2"/>
        <v>4</v>
      </c>
      <c r="M44" s="13" t="str">
        <f t="shared" si="3"/>
        <v>Fechada</v>
      </c>
    </row>
    <row r="45" spans="1:13" ht="15" customHeight="1" x14ac:dyDescent="0.3">
      <c r="A45" s="10" t="s">
        <v>382</v>
      </c>
      <c r="B45" s="12">
        <v>46119</v>
      </c>
      <c r="C45" s="10" t="s">
        <v>110</v>
      </c>
      <c r="D45" s="10" t="s">
        <v>248</v>
      </c>
      <c r="E45" s="10" t="s">
        <v>383</v>
      </c>
      <c r="F45" s="10" t="s">
        <v>384</v>
      </c>
      <c r="G45" s="10" t="s">
        <v>245</v>
      </c>
      <c r="H45" s="10" t="s">
        <v>228</v>
      </c>
      <c r="I45" s="10" t="s">
        <v>246</v>
      </c>
      <c r="J45" s="12">
        <v>46123</v>
      </c>
      <c r="K45" s="12">
        <v>46132</v>
      </c>
      <c r="L45" s="16">
        <f t="shared" si="2"/>
        <v>4</v>
      </c>
      <c r="M45" s="13" t="str">
        <f t="shared" si="3"/>
        <v>Fechada</v>
      </c>
    </row>
    <row r="46" spans="1:13" ht="15" customHeight="1" x14ac:dyDescent="0.3">
      <c r="A46" s="10" t="s">
        <v>385</v>
      </c>
      <c r="B46" s="12">
        <v>46129</v>
      </c>
      <c r="C46" s="10" t="s">
        <v>127</v>
      </c>
      <c r="D46" s="10" t="s">
        <v>296</v>
      </c>
      <c r="E46" s="10" t="s">
        <v>386</v>
      </c>
      <c r="F46" s="10" t="s">
        <v>387</v>
      </c>
      <c r="G46" s="10" t="s">
        <v>245</v>
      </c>
      <c r="H46" s="10" t="s">
        <v>228</v>
      </c>
      <c r="I46" s="10" t="s">
        <v>246</v>
      </c>
      <c r="J46" s="12">
        <v>46136</v>
      </c>
      <c r="K46" s="12">
        <v>46140</v>
      </c>
      <c r="L46" s="16">
        <f t="shared" si="2"/>
        <v>7</v>
      </c>
      <c r="M46" s="13" t="str">
        <f t="shared" si="3"/>
        <v>Fechada</v>
      </c>
    </row>
    <row r="47" spans="1:13" ht="15" customHeight="1" x14ac:dyDescent="0.3">
      <c r="A47" s="10" t="s">
        <v>388</v>
      </c>
      <c r="B47" s="12">
        <v>46130</v>
      </c>
      <c r="C47" s="10" t="s">
        <v>115</v>
      </c>
      <c r="D47" s="10" t="s">
        <v>242</v>
      </c>
      <c r="E47" s="10" t="s">
        <v>389</v>
      </c>
      <c r="F47" s="10" t="s">
        <v>390</v>
      </c>
      <c r="G47" s="10" t="s">
        <v>245</v>
      </c>
      <c r="H47" s="10" t="s">
        <v>228</v>
      </c>
      <c r="I47" s="10" t="s">
        <v>246</v>
      </c>
      <c r="J47" s="12">
        <v>46133</v>
      </c>
      <c r="K47" s="12">
        <v>46137</v>
      </c>
      <c r="L47" s="16">
        <f t="shared" si="2"/>
        <v>3</v>
      </c>
      <c r="M47" s="13" t="str">
        <f t="shared" si="3"/>
        <v>Fechada</v>
      </c>
    </row>
    <row r="48" spans="1:13" ht="15" customHeight="1" x14ac:dyDescent="0.3">
      <c r="A48" s="10" t="s">
        <v>391</v>
      </c>
      <c r="B48" s="12">
        <v>46133</v>
      </c>
      <c r="C48" s="10" t="s">
        <v>110</v>
      </c>
      <c r="D48" s="10" t="s">
        <v>255</v>
      </c>
      <c r="E48" s="10" t="s">
        <v>392</v>
      </c>
      <c r="F48" s="10" t="s">
        <v>393</v>
      </c>
      <c r="G48" s="10" t="s">
        <v>245</v>
      </c>
      <c r="H48" s="10" t="s">
        <v>228</v>
      </c>
      <c r="I48" s="10" t="s">
        <v>246</v>
      </c>
      <c r="J48" s="12">
        <v>46143</v>
      </c>
      <c r="K48" s="12">
        <v>46152</v>
      </c>
      <c r="L48" s="16">
        <f t="shared" si="2"/>
        <v>10</v>
      </c>
      <c r="M48" s="13" t="str">
        <f t="shared" si="3"/>
        <v>Fechada</v>
      </c>
    </row>
    <row r="49" spans="1:13" ht="15" customHeight="1" x14ac:dyDescent="0.3">
      <c r="A49" s="10" t="s">
        <v>394</v>
      </c>
      <c r="B49" s="12">
        <v>46141</v>
      </c>
      <c r="C49" s="10" t="s">
        <v>102</v>
      </c>
      <c r="D49" s="10" t="s">
        <v>300</v>
      </c>
      <c r="E49" s="10" t="s">
        <v>395</v>
      </c>
      <c r="F49" s="10" t="s">
        <v>396</v>
      </c>
      <c r="G49" s="10" t="s">
        <v>245</v>
      </c>
      <c r="H49" s="10" t="s">
        <v>228</v>
      </c>
      <c r="I49" s="10" t="s">
        <v>246</v>
      </c>
      <c r="J49" s="12">
        <v>46145</v>
      </c>
      <c r="K49" s="12">
        <v>46152</v>
      </c>
      <c r="L49" s="16">
        <f t="shared" si="2"/>
        <v>4</v>
      </c>
      <c r="M49" s="13" t="str">
        <f t="shared" si="3"/>
        <v>Fechada</v>
      </c>
    </row>
    <row r="50" spans="1:13" ht="15" customHeight="1" x14ac:dyDescent="0.3">
      <c r="A50" s="10" t="s">
        <v>397</v>
      </c>
      <c r="B50" s="12">
        <v>46146</v>
      </c>
      <c r="C50" s="10" t="s">
        <v>102</v>
      </c>
      <c r="D50" s="10" t="s">
        <v>300</v>
      </c>
      <c r="E50" s="10" t="s">
        <v>398</v>
      </c>
      <c r="F50" s="10" t="s">
        <v>399</v>
      </c>
      <c r="G50" s="10" t="s">
        <v>245</v>
      </c>
      <c r="H50" s="10" t="s">
        <v>228</v>
      </c>
      <c r="I50" s="10" t="s">
        <v>246</v>
      </c>
      <c r="J50" s="12">
        <v>46149</v>
      </c>
      <c r="K50" s="12">
        <v>46155</v>
      </c>
      <c r="L50" s="16">
        <f t="shared" si="2"/>
        <v>3</v>
      </c>
      <c r="M50" s="13" t="str">
        <f t="shared" si="3"/>
        <v>Fechada</v>
      </c>
    </row>
    <row r="51" spans="1:13" ht="15" customHeight="1" x14ac:dyDescent="0.3">
      <c r="A51" s="10" t="s">
        <v>400</v>
      </c>
      <c r="B51" s="12">
        <v>46147</v>
      </c>
      <c r="C51" s="10" t="s">
        <v>107</v>
      </c>
      <c r="D51" s="10" t="s">
        <v>322</v>
      </c>
      <c r="E51" s="10" t="s">
        <v>401</v>
      </c>
      <c r="F51" s="10" t="s">
        <v>402</v>
      </c>
      <c r="G51" s="10" t="s">
        <v>245</v>
      </c>
      <c r="H51" s="10" t="s">
        <v>228</v>
      </c>
      <c r="I51" s="10" t="s">
        <v>246</v>
      </c>
      <c r="J51" s="12">
        <v>46158</v>
      </c>
      <c r="K51" s="12">
        <v>46161</v>
      </c>
      <c r="L51" s="16">
        <f t="shared" si="2"/>
        <v>11</v>
      </c>
      <c r="M51" s="13" t="str">
        <f t="shared" si="3"/>
        <v>Fechada</v>
      </c>
    </row>
    <row r="52" spans="1:13" ht="15" customHeight="1" x14ac:dyDescent="0.3">
      <c r="A52" s="10" t="s">
        <v>403</v>
      </c>
      <c r="B52" s="12">
        <v>46147</v>
      </c>
      <c r="C52" s="10" t="s">
        <v>110</v>
      </c>
      <c r="D52" s="10" t="s">
        <v>255</v>
      </c>
      <c r="E52" s="10" t="s">
        <v>404</v>
      </c>
      <c r="F52" s="10" t="s">
        <v>405</v>
      </c>
      <c r="G52" s="10" t="s">
        <v>245</v>
      </c>
      <c r="H52" s="10" t="s">
        <v>228</v>
      </c>
      <c r="I52" s="10" t="s">
        <v>246</v>
      </c>
      <c r="J52" s="12">
        <v>46150</v>
      </c>
      <c r="K52" s="12">
        <v>46154</v>
      </c>
      <c r="L52" s="16">
        <f t="shared" si="2"/>
        <v>3</v>
      </c>
      <c r="M52" s="13" t="str">
        <f t="shared" si="3"/>
        <v>Fechada</v>
      </c>
    </row>
    <row r="53" spans="1:13" ht="15" customHeight="1" x14ac:dyDescent="0.3">
      <c r="A53" s="10" t="s">
        <v>406</v>
      </c>
      <c r="B53" s="12">
        <v>46148</v>
      </c>
      <c r="C53" s="10" t="s">
        <v>91</v>
      </c>
      <c r="D53" s="10" t="s">
        <v>273</v>
      </c>
      <c r="E53" s="10" t="s">
        <v>407</v>
      </c>
      <c r="F53" s="10" t="s">
        <v>408</v>
      </c>
      <c r="G53" s="10" t="s">
        <v>245</v>
      </c>
      <c r="H53" s="10" t="s">
        <v>228</v>
      </c>
      <c r="I53" s="10" t="s">
        <v>246</v>
      </c>
      <c r="J53" s="12">
        <v>46152</v>
      </c>
      <c r="K53" s="12">
        <v>46157</v>
      </c>
      <c r="L53" s="16">
        <f t="shared" si="2"/>
        <v>4</v>
      </c>
      <c r="M53" s="13" t="str">
        <f t="shared" si="3"/>
        <v>Fechada</v>
      </c>
    </row>
    <row r="54" spans="1:13" ht="15" customHeight="1" x14ac:dyDescent="0.3">
      <c r="A54" s="10" t="s">
        <v>409</v>
      </c>
      <c r="B54" s="12">
        <v>46154</v>
      </c>
      <c r="C54" s="10" t="s">
        <v>102</v>
      </c>
      <c r="D54" s="10" t="s">
        <v>300</v>
      </c>
      <c r="E54" s="10" t="s">
        <v>410</v>
      </c>
      <c r="F54" s="10" t="s">
        <v>411</v>
      </c>
      <c r="G54" s="10" t="s">
        <v>245</v>
      </c>
      <c r="H54" s="10" t="s">
        <v>228</v>
      </c>
      <c r="I54" s="10" t="s">
        <v>246</v>
      </c>
      <c r="J54" s="12">
        <v>46160</v>
      </c>
      <c r="K54" s="12">
        <v>46167</v>
      </c>
      <c r="L54" s="16">
        <f t="shared" si="2"/>
        <v>6</v>
      </c>
      <c r="M54" s="13" t="str">
        <f t="shared" si="3"/>
        <v>Fechada</v>
      </c>
    </row>
    <row r="55" spans="1:13" ht="15" customHeight="1" x14ac:dyDescent="0.3">
      <c r="A55" s="10" t="s">
        <v>412</v>
      </c>
      <c r="B55" s="12">
        <v>46168</v>
      </c>
      <c r="C55" s="10" t="s">
        <v>91</v>
      </c>
      <c r="D55" s="10" t="s">
        <v>259</v>
      </c>
      <c r="E55" s="10" t="s">
        <v>413</v>
      </c>
      <c r="F55" s="10" t="s">
        <v>414</v>
      </c>
      <c r="G55" s="10" t="s">
        <v>245</v>
      </c>
      <c r="H55" s="10" t="s">
        <v>228</v>
      </c>
      <c r="I55" s="10" t="s">
        <v>246</v>
      </c>
      <c r="J55" s="12">
        <v>46171</v>
      </c>
      <c r="K55" s="12">
        <v>46178</v>
      </c>
      <c r="L55" s="16">
        <f t="shared" si="2"/>
        <v>3</v>
      </c>
      <c r="M55" s="13" t="str">
        <f t="shared" si="3"/>
        <v>Fechada</v>
      </c>
    </row>
    <row r="56" spans="1:13" ht="15" customHeight="1" x14ac:dyDescent="0.3">
      <c r="A56" s="10" t="s">
        <v>415</v>
      </c>
      <c r="B56" s="12">
        <v>46176</v>
      </c>
      <c r="C56" s="10" t="s">
        <v>91</v>
      </c>
      <c r="D56" s="10" t="s">
        <v>273</v>
      </c>
      <c r="E56" s="10" t="s">
        <v>416</v>
      </c>
      <c r="F56" s="10" t="s">
        <v>417</v>
      </c>
      <c r="G56" s="10" t="s">
        <v>245</v>
      </c>
      <c r="H56" s="10" t="s">
        <v>228</v>
      </c>
      <c r="I56" s="10" t="s">
        <v>246</v>
      </c>
      <c r="J56" s="12">
        <v>46179</v>
      </c>
      <c r="K56" s="12">
        <v>46188</v>
      </c>
      <c r="L56" s="16">
        <f t="shared" si="2"/>
        <v>3</v>
      </c>
      <c r="M56" s="13" t="str">
        <f t="shared" si="3"/>
        <v>Fechada</v>
      </c>
    </row>
    <row r="57" spans="1:13" ht="15" customHeight="1" x14ac:dyDescent="0.3">
      <c r="A57" s="10" t="s">
        <v>418</v>
      </c>
      <c r="B57" s="12">
        <v>46180</v>
      </c>
      <c r="C57" s="10" t="s">
        <v>115</v>
      </c>
      <c r="D57" s="10" t="s">
        <v>242</v>
      </c>
      <c r="E57" s="10" t="s">
        <v>419</v>
      </c>
      <c r="F57" s="10" t="s">
        <v>420</v>
      </c>
      <c r="G57" s="10" t="s">
        <v>245</v>
      </c>
      <c r="H57" s="10" t="s">
        <v>228</v>
      </c>
      <c r="I57" s="10" t="s">
        <v>246</v>
      </c>
      <c r="J57" s="12">
        <v>46184</v>
      </c>
      <c r="K57" s="12">
        <v>46186</v>
      </c>
      <c r="L57" s="16">
        <f t="shared" si="2"/>
        <v>4</v>
      </c>
      <c r="M57" s="13" t="str">
        <f t="shared" si="3"/>
        <v>Fechada</v>
      </c>
    </row>
    <row r="58" spans="1:13" ht="15" customHeight="1" x14ac:dyDescent="0.3">
      <c r="A58" s="10" t="s">
        <v>421</v>
      </c>
      <c r="B58" s="12">
        <v>46194</v>
      </c>
      <c r="C58" s="10" t="s">
        <v>127</v>
      </c>
      <c r="D58" s="10" t="s">
        <v>242</v>
      </c>
      <c r="E58" s="10" t="s">
        <v>422</v>
      </c>
      <c r="F58" s="10" t="s">
        <v>423</v>
      </c>
      <c r="G58" s="10" t="s">
        <v>245</v>
      </c>
      <c r="H58" s="10" t="s">
        <v>228</v>
      </c>
      <c r="I58" s="10" t="s">
        <v>246</v>
      </c>
      <c r="J58" s="12">
        <v>46205</v>
      </c>
      <c r="K58" s="12">
        <v>46213</v>
      </c>
      <c r="L58" s="16">
        <f t="shared" si="2"/>
        <v>11</v>
      </c>
      <c r="M58" s="13" t="str">
        <f t="shared" si="3"/>
        <v>Fechada</v>
      </c>
    </row>
    <row r="59" spans="1:13" ht="15" customHeight="1" x14ac:dyDescent="0.3">
      <c r="A59" s="10" t="s">
        <v>424</v>
      </c>
      <c r="B59" s="12">
        <v>46196</v>
      </c>
      <c r="C59" s="10" t="s">
        <v>115</v>
      </c>
      <c r="D59" s="10" t="s">
        <v>280</v>
      </c>
      <c r="E59" s="10" t="s">
        <v>425</v>
      </c>
      <c r="F59" s="10" t="s">
        <v>426</v>
      </c>
      <c r="G59" s="10" t="s">
        <v>245</v>
      </c>
      <c r="H59" s="10" t="s">
        <v>228</v>
      </c>
      <c r="I59" s="10" t="s">
        <v>246</v>
      </c>
      <c r="J59" s="12">
        <v>46206</v>
      </c>
      <c r="K59" s="12">
        <v>46215</v>
      </c>
      <c r="L59" s="16">
        <f t="shared" si="2"/>
        <v>10</v>
      </c>
      <c r="M59" s="13" t="str">
        <f t="shared" si="3"/>
        <v>Fechada</v>
      </c>
    </row>
    <row r="60" spans="1:13" ht="15" customHeight="1" x14ac:dyDescent="0.3">
      <c r="A60" s="10" t="s">
        <v>427</v>
      </c>
      <c r="B60" s="12">
        <v>46205</v>
      </c>
      <c r="C60" s="10" t="s">
        <v>102</v>
      </c>
      <c r="D60" s="10" t="s">
        <v>300</v>
      </c>
      <c r="E60" s="10" t="s">
        <v>428</v>
      </c>
      <c r="F60" s="10" t="s">
        <v>429</v>
      </c>
      <c r="G60" s="10" t="s">
        <v>245</v>
      </c>
      <c r="H60" s="10" t="s">
        <v>228</v>
      </c>
      <c r="I60" s="10" t="s">
        <v>246</v>
      </c>
      <c r="J60" s="12">
        <v>46214</v>
      </c>
      <c r="K60" s="12">
        <v>46218</v>
      </c>
      <c r="L60" s="16">
        <f t="shared" si="2"/>
        <v>9</v>
      </c>
      <c r="M60" s="13" t="str">
        <f t="shared" si="3"/>
        <v>Fechada</v>
      </c>
    </row>
    <row r="61" spans="1:13" ht="15" customHeight="1" x14ac:dyDescent="0.3">
      <c r="A61" s="10" t="s">
        <v>430</v>
      </c>
      <c r="B61" s="12">
        <v>46214</v>
      </c>
      <c r="C61" s="10" t="s">
        <v>91</v>
      </c>
      <c r="D61" s="10" t="s">
        <v>259</v>
      </c>
      <c r="E61" s="10" t="s">
        <v>431</v>
      </c>
      <c r="F61" s="10" t="s">
        <v>432</v>
      </c>
      <c r="G61" s="10" t="s">
        <v>245</v>
      </c>
      <c r="H61" s="10" t="s">
        <v>228</v>
      </c>
      <c r="I61" s="10" t="s">
        <v>246</v>
      </c>
      <c r="J61" s="12">
        <v>46224</v>
      </c>
      <c r="K61" s="12">
        <v>46228</v>
      </c>
      <c r="L61" s="16">
        <f t="shared" si="2"/>
        <v>10</v>
      </c>
      <c r="M61" s="13" t="str">
        <f t="shared" si="3"/>
        <v>Fechada</v>
      </c>
    </row>
    <row r="62" spans="1:13" ht="15" customHeight="1" x14ac:dyDescent="0.3">
      <c r="A62" s="10" t="s">
        <v>433</v>
      </c>
      <c r="B62" s="12">
        <v>46222</v>
      </c>
      <c r="C62" s="10" t="s">
        <v>115</v>
      </c>
      <c r="D62" s="10" t="s">
        <v>242</v>
      </c>
      <c r="E62" s="10" t="s">
        <v>434</v>
      </c>
      <c r="F62" s="10" t="s">
        <v>435</v>
      </c>
      <c r="G62" s="10" t="s">
        <v>245</v>
      </c>
      <c r="H62" s="10" t="s">
        <v>228</v>
      </c>
      <c r="I62" s="10" t="s">
        <v>246</v>
      </c>
      <c r="J62" s="12">
        <v>46227</v>
      </c>
      <c r="K62" s="12">
        <v>46230</v>
      </c>
      <c r="L62" s="16">
        <f t="shared" si="2"/>
        <v>5</v>
      </c>
      <c r="M62" s="13" t="str">
        <f t="shared" si="3"/>
        <v>Fechada</v>
      </c>
    </row>
    <row r="63" spans="1:13" ht="15" customHeight="1" x14ac:dyDescent="0.3">
      <c r="A63" s="10" t="s">
        <v>436</v>
      </c>
      <c r="B63" s="12">
        <v>46246</v>
      </c>
      <c r="C63" s="10" t="s">
        <v>91</v>
      </c>
      <c r="D63" s="10" t="s">
        <v>259</v>
      </c>
      <c r="E63" s="10" t="s">
        <v>437</v>
      </c>
      <c r="F63" s="10" t="s">
        <v>438</v>
      </c>
      <c r="G63" s="10" t="s">
        <v>245</v>
      </c>
      <c r="H63" s="10" t="s">
        <v>228</v>
      </c>
      <c r="I63" s="10" t="s">
        <v>246</v>
      </c>
      <c r="J63" s="12">
        <v>46256</v>
      </c>
      <c r="K63" s="12">
        <v>46264</v>
      </c>
      <c r="L63" s="16">
        <f t="shared" si="2"/>
        <v>10</v>
      </c>
      <c r="M63" s="13" t="str">
        <f t="shared" si="3"/>
        <v>Fechada</v>
      </c>
    </row>
    <row r="64" spans="1:13" ht="15" customHeight="1" x14ac:dyDescent="0.3">
      <c r="A64" s="10" t="s">
        <v>439</v>
      </c>
      <c r="B64" s="12">
        <v>46272</v>
      </c>
      <c r="C64" s="10" t="s">
        <v>102</v>
      </c>
      <c r="D64" s="10" t="s">
        <v>242</v>
      </c>
      <c r="E64" s="10" t="s">
        <v>440</v>
      </c>
      <c r="F64" s="10" t="s">
        <v>441</v>
      </c>
      <c r="G64" s="10" t="s">
        <v>245</v>
      </c>
      <c r="H64" s="10" t="s">
        <v>228</v>
      </c>
      <c r="I64" s="10" t="s">
        <v>246</v>
      </c>
      <c r="J64" s="12">
        <v>46277</v>
      </c>
      <c r="K64" s="12">
        <v>46284</v>
      </c>
      <c r="L64" s="16">
        <f t="shared" si="2"/>
        <v>5</v>
      </c>
      <c r="M64" s="13" t="str">
        <f t="shared" si="3"/>
        <v>Fechada</v>
      </c>
    </row>
    <row r="65" spans="1:13" ht="15" customHeight="1" x14ac:dyDescent="0.3">
      <c r="A65" s="10" t="s">
        <v>442</v>
      </c>
      <c r="B65" s="12">
        <v>46288</v>
      </c>
      <c r="C65" s="10" t="s">
        <v>102</v>
      </c>
      <c r="D65" s="10" t="s">
        <v>300</v>
      </c>
      <c r="E65" s="10" t="s">
        <v>443</v>
      </c>
      <c r="F65" s="10" t="s">
        <v>444</v>
      </c>
      <c r="G65" s="10" t="s">
        <v>245</v>
      </c>
      <c r="H65" s="10" t="s">
        <v>228</v>
      </c>
      <c r="I65" s="10" t="s">
        <v>246</v>
      </c>
      <c r="J65" s="12">
        <v>46294</v>
      </c>
      <c r="K65" s="12">
        <v>46301</v>
      </c>
      <c r="L65" s="16">
        <f t="shared" si="2"/>
        <v>6</v>
      </c>
      <c r="M65" s="13" t="str">
        <f t="shared" si="3"/>
        <v>Fechada</v>
      </c>
    </row>
    <row r="66" spans="1:13" ht="15" customHeight="1" x14ac:dyDescent="0.3">
      <c r="A66" s="10" t="s">
        <v>445</v>
      </c>
      <c r="B66" s="12">
        <v>46297</v>
      </c>
      <c r="C66" s="10" t="s">
        <v>91</v>
      </c>
      <c r="D66" s="10" t="s">
        <v>273</v>
      </c>
      <c r="E66" s="10" t="s">
        <v>446</v>
      </c>
      <c r="F66" s="10" t="s">
        <v>447</v>
      </c>
      <c r="G66" s="10" t="s">
        <v>245</v>
      </c>
      <c r="H66" s="10" t="s">
        <v>228</v>
      </c>
      <c r="I66" s="10" t="s">
        <v>246</v>
      </c>
      <c r="J66" s="12">
        <v>46305</v>
      </c>
      <c r="K66" s="12">
        <v>46310</v>
      </c>
      <c r="L66" s="16">
        <f t="shared" ref="L66:L81" si="4">IF(J66="","",J66-B66)</f>
        <v>8</v>
      </c>
      <c r="M66" s="13" t="str">
        <f t="shared" ref="M66:M81" si="5">IF(A66="","",IF(K66&lt;&gt;"","Fechada",IF(DataRef-B66&gt;30,"Atrasada","Aberta")))</f>
        <v>Fechada</v>
      </c>
    </row>
    <row r="67" spans="1:13" ht="15" customHeight="1" x14ac:dyDescent="0.3">
      <c r="A67" s="10" t="s">
        <v>448</v>
      </c>
      <c r="B67" s="12">
        <v>46304</v>
      </c>
      <c r="C67" s="10" t="s">
        <v>131</v>
      </c>
      <c r="D67" s="10" t="s">
        <v>134</v>
      </c>
      <c r="E67" s="10" t="s">
        <v>449</v>
      </c>
      <c r="F67" s="10" t="s">
        <v>450</v>
      </c>
      <c r="G67" s="10" t="s">
        <v>245</v>
      </c>
      <c r="H67" s="10" t="s">
        <v>228</v>
      </c>
      <c r="I67" s="10" t="s">
        <v>246</v>
      </c>
      <c r="J67" s="12">
        <v>46310</v>
      </c>
      <c r="K67" s="12">
        <v>46317</v>
      </c>
      <c r="L67" s="16">
        <f t="shared" si="4"/>
        <v>6</v>
      </c>
      <c r="M67" s="13" t="str">
        <f t="shared" si="5"/>
        <v>Fechada</v>
      </c>
    </row>
    <row r="68" spans="1:13" ht="15" customHeight="1" x14ac:dyDescent="0.3">
      <c r="A68" s="10" t="s">
        <v>451</v>
      </c>
      <c r="B68" s="12">
        <v>46314</v>
      </c>
      <c r="C68" s="10" t="s">
        <v>110</v>
      </c>
      <c r="D68" s="10" t="s">
        <v>248</v>
      </c>
      <c r="E68" s="10" t="s">
        <v>452</v>
      </c>
      <c r="F68" s="10" t="s">
        <v>453</v>
      </c>
      <c r="G68" s="10" t="s">
        <v>245</v>
      </c>
      <c r="H68" s="10" t="s">
        <v>228</v>
      </c>
      <c r="I68" s="10" t="s">
        <v>246</v>
      </c>
      <c r="J68" s="12">
        <v>46321</v>
      </c>
      <c r="K68" s="12"/>
      <c r="L68" s="16">
        <f t="shared" si="4"/>
        <v>7</v>
      </c>
      <c r="M68" s="13" t="str">
        <f t="shared" si="5"/>
        <v>Atrasada</v>
      </c>
    </row>
    <row r="69" spans="1:13" ht="15" customHeight="1" x14ac:dyDescent="0.3">
      <c r="A69" s="10" t="s">
        <v>454</v>
      </c>
      <c r="B69" s="12">
        <v>46319</v>
      </c>
      <c r="C69" s="10" t="s">
        <v>107</v>
      </c>
      <c r="D69" s="10" t="s">
        <v>322</v>
      </c>
      <c r="E69" s="10" t="s">
        <v>455</v>
      </c>
      <c r="F69" s="10" t="s">
        <v>456</v>
      </c>
      <c r="G69" s="10" t="s">
        <v>245</v>
      </c>
      <c r="H69" s="10" t="s">
        <v>228</v>
      </c>
      <c r="I69" s="10" t="s">
        <v>246</v>
      </c>
      <c r="J69" s="12">
        <v>46326</v>
      </c>
      <c r="K69" s="12">
        <v>46329</v>
      </c>
      <c r="L69" s="16">
        <f t="shared" si="4"/>
        <v>7</v>
      </c>
      <c r="M69" s="13" t="str">
        <f t="shared" si="5"/>
        <v>Fechada</v>
      </c>
    </row>
    <row r="70" spans="1:13" ht="15" customHeight="1" x14ac:dyDescent="0.3">
      <c r="A70" s="10" t="s">
        <v>457</v>
      </c>
      <c r="B70" s="12">
        <v>46322</v>
      </c>
      <c r="C70" s="10" t="s">
        <v>127</v>
      </c>
      <c r="D70" s="10" t="s">
        <v>242</v>
      </c>
      <c r="E70" s="10" t="s">
        <v>458</v>
      </c>
      <c r="F70" s="10" t="s">
        <v>459</v>
      </c>
      <c r="G70" s="10" t="s">
        <v>245</v>
      </c>
      <c r="H70" s="10" t="s">
        <v>228</v>
      </c>
      <c r="I70" s="10" t="s">
        <v>246</v>
      </c>
      <c r="J70" s="12">
        <v>46326</v>
      </c>
      <c r="K70" s="12">
        <v>46334</v>
      </c>
      <c r="L70" s="16">
        <f t="shared" si="4"/>
        <v>4</v>
      </c>
      <c r="M70" s="13" t="str">
        <f t="shared" si="5"/>
        <v>Fechada</v>
      </c>
    </row>
    <row r="71" spans="1:13" ht="15" customHeight="1" x14ac:dyDescent="0.3">
      <c r="A71" s="10" t="s">
        <v>460</v>
      </c>
      <c r="B71" s="12">
        <v>46343</v>
      </c>
      <c r="C71" s="10" t="s">
        <v>115</v>
      </c>
      <c r="D71" s="10" t="s">
        <v>280</v>
      </c>
      <c r="E71" s="10" t="s">
        <v>461</v>
      </c>
      <c r="F71" s="10" t="s">
        <v>462</v>
      </c>
      <c r="G71" s="10" t="s">
        <v>245</v>
      </c>
      <c r="H71" s="10" t="s">
        <v>228</v>
      </c>
      <c r="I71" s="10" t="s">
        <v>246</v>
      </c>
      <c r="J71" s="12">
        <v>46349</v>
      </c>
      <c r="K71" s="12">
        <v>46350</v>
      </c>
      <c r="L71" s="16">
        <f t="shared" si="4"/>
        <v>6</v>
      </c>
      <c r="M71" s="13" t="str">
        <f t="shared" si="5"/>
        <v>Fechada</v>
      </c>
    </row>
    <row r="72" spans="1:13" ht="15" customHeight="1" x14ac:dyDescent="0.3">
      <c r="A72" s="10" t="s">
        <v>463</v>
      </c>
      <c r="B72" s="12">
        <v>46345</v>
      </c>
      <c r="C72" s="10" t="s">
        <v>115</v>
      </c>
      <c r="D72" s="10" t="s">
        <v>242</v>
      </c>
      <c r="E72" s="10" t="s">
        <v>464</v>
      </c>
      <c r="F72" s="10" t="s">
        <v>465</v>
      </c>
      <c r="G72" s="10" t="s">
        <v>245</v>
      </c>
      <c r="H72" s="10" t="s">
        <v>228</v>
      </c>
      <c r="I72" s="10" t="s">
        <v>246</v>
      </c>
      <c r="J72" s="12">
        <v>46352</v>
      </c>
      <c r="K72" s="12">
        <v>46356</v>
      </c>
      <c r="L72" s="16">
        <f t="shared" si="4"/>
        <v>7</v>
      </c>
      <c r="M72" s="13" t="str">
        <f t="shared" si="5"/>
        <v>Fechada</v>
      </c>
    </row>
    <row r="73" spans="1:13" ht="15" customHeight="1" x14ac:dyDescent="0.3">
      <c r="A73" s="10" t="s">
        <v>466</v>
      </c>
      <c r="B73" s="12">
        <v>46349</v>
      </c>
      <c r="C73" s="10" t="s">
        <v>91</v>
      </c>
      <c r="D73" s="10" t="s">
        <v>273</v>
      </c>
      <c r="E73" s="10" t="s">
        <v>467</v>
      </c>
      <c r="F73" s="10" t="s">
        <v>468</v>
      </c>
      <c r="G73" s="10" t="s">
        <v>245</v>
      </c>
      <c r="H73" s="10" t="s">
        <v>228</v>
      </c>
      <c r="I73" s="10" t="s">
        <v>246</v>
      </c>
      <c r="J73" s="12">
        <v>46359</v>
      </c>
      <c r="K73" s="12">
        <v>46363</v>
      </c>
      <c r="L73" s="16">
        <f t="shared" si="4"/>
        <v>10</v>
      </c>
      <c r="M73" s="13" t="str">
        <f t="shared" si="5"/>
        <v>Fechada</v>
      </c>
    </row>
    <row r="74" spans="1:13" ht="15" customHeight="1" x14ac:dyDescent="0.3">
      <c r="A74" s="10" t="s">
        <v>469</v>
      </c>
      <c r="B74" s="12">
        <v>46349</v>
      </c>
      <c r="C74" s="10" t="s">
        <v>115</v>
      </c>
      <c r="D74" s="10" t="s">
        <v>280</v>
      </c>
      <c r="E74" s="10" t="s">
        <v>470</v>
      </c>
      <c r="F74" s="10" t="s">
        <v>471</v>
      </c>
      <c r="G74" s="10" t="s">
        <v>245</v>
      </c>
      <c r="H74" s="10" t="s">
        <v>228</v>
      </c>
      <c r="I74" s="10" t="s">
        <v>246</v>
      </c>
      <c r="J74" s="12">
        <v>46351</v>
      </c>
      <c r="K74" s="12">
        <v>46356</v>
      </c>
      <c r="L74" s="16">
        <f t="shared" si="4"/>
        <v>2</v>
      </c>
      <c r="M74" s="13" t="str">
        <f t="shared" si="5"/>
        <v>Fechada</v>
      </c>
    </row>
    <row r="75" spans="1:13" ht="15" customHeight="1" x14ac:dyDescent="0.3">
      <c r="A75" s="10" t="s">
        <v>472</v>
      </c>
      <c r="B75" s="12">
        <v>46351</v>
      </c>
      <c r="C75" s="10" t="s">
        <v>127</v>
      </c>
      <c r="D75" s="10" t="s">
        <v>273</v>
      </c>
      <c r="E75" s="10" t="s">
        <v>473</v>
      </c>
      <c r="F75" s="10" t="s">
        <v>474</v>
      </c>
      <c r="G75" s="10" t="s">
        <v>245</v>
      </c>
      <c r="H75" s="10" t="s">
        <v>228</v>
      </c>
      <c r="I75" s="10" t="s">
        <v>246</v>
      </c>
      <c r="J75" s="12">
        <v>46355</v>
      </c>
      <c r="K75" s="12">
        <v>46361</v>
      </c>
      <c r="L75" s="16">
        <f t="shared" si="4"/>
        <v>4</v>
      </c>
      <c r="M75" s="13" t="str">
        <f t="shared" si="5"/>
        <v>Fechada</v>
      </c>
    </row>
    <row r="76" spans="1:13" ht="15" customHeight="1" x14ac:dyDescent="0.3">
      <c r="A76" s="10" t="s">
        <v>475</v>
      </c>
      <c r="B76" s="12">
        <v>46353</v>
      </c>
      <c r="C76" s="10" t="s">
        <v>115</v>
      </c>
      <c r="D76" s="10" t="s">
        <v>242</v>
      </c>
      <c r="E76" s="10" t="s">
        <v>476</v>
      </c>
      <c r="F76" s="10" t="s">
        <v>477</v>
      </c>
      <c r="G76" s="10" t="s">
        <v>245</v>
      </c>
      <c r="H76" s="10" t="s">
        <v>228</v>
      </c>
      <c r="I76" s="10" t="s">
        <v>246</v>
      </c>
      <c r="J76" s="12">
        <v>46363</v>
      </c>
      <c r="K76" s="12">
        <v>46369</v>
      </c>
      <c r="L76" s="16">
        <f t="shared" si="4"/>
        <v>10</v>
      </c>
      <c r="M76" s="13" t="str">
        <f t="shared" si="5"/>
        <v>Fechada</v>
      </c>
    </row>
    <row r="77" spans="1:13" ht="15" customHeight="1" x14ac:dyDescent="0.3">
      <c r="A77" s="10" t="s">
        <v>478</v>
      </c>
      <c r="B77" s="12">
        <v>46368</v>
      </c>
      <c r="C77" s="10" t="s">
        <v>115</v>
      </c>
      <c r="D77" s="10" t="s">
        <v>280</v>
      </c>
      <c r="E77" s="10" t="s">
        <v>479</v>
      </c>
      <c r="F77" s="10" t="s">
        <v>480</v>
      </c>
      <c r="G77" s="10" t="s">
        <v>245</v>
      </c>
      <c r="H77" s="10" t="s">
        <v>228</v>
      </c>
      <c r="I77" s="10" t="s">
        <v>246</v>
      </c>
      <c r="J77" s="12">
        <v>46379</v>
      </c>
      <c r="K77" s="12">
        <v>46385</v>
      </c>
      <c r="L77" s="16">
        <f t="shared" si="4"/>
        <v>11</v>
      </c>
      <c r="M77" s="13" t="str">
        <f t="shared" si="5"/>
        <v>Fechada</v>
      </c>
    </row>
    <row r="78" spans="1:13" ht="15" customHeight="1" x14ac:dyDescent="0.3">
      <c r="A78" s="10" t="s">
        <v>481</v>
      </c>
      <c r="B78" s="12">
        <v>46369</v>
      </c>
      <c r="C78" s="10" t="s">
        <v>115</v>
      </c>
      <c r="D78" s="10" t="s">
        <v>242</v>
      </c>
      <c r="E78" s="10" t="s">
        <v>482</v>
      </c>
      <c r="F78" s="10" t="s">
        <v>483</v>
      </c>
      <c r="G78" s="10" t="s">
        <v>245</v>
      </c>
      <c r="H78" s="10" t="s">
        <v>228</v>
      </c>
      <c r="I78" s="10" t="s">
        <v>246</v>
      </c>
      <c r="J78" s="12">
        <v>46380</v>
      </c>
      <c r="K78" s="12">
        <v>46382</v>
      </c>
      <c r="L78" s="16">
        <f t="shared" si="4"/>
        <v>11</v>
      </c>
      <c r="M78" s="13" t="str">
        <f t="shared" si="5"/>
        <v>Fechada</v>
      </c>
    </row>
    <row r="79" spans="1:13" ht="15" customHeight="1" x14ac:dyDescent="0.3">
      <c r="A79" s="10" t="s">
        <v>484</v>
      </c>
      <c r="B79" s="12">
        <v>46378</v>
      </c>
      <c r="C79" s="10" t="s">
        <v>115</v>
      </c>
      <c r="D79" s="10" t="s">
        <v>242</v>
      </c>
      <c r="E79" s="10" t="s">
        <v>485</v>
      </c>
      <c r="F79" s="10" t="s">
        <v>486</v>
      </c>
      <c r="G79" s="10" t="s">
        <v>245</v>
      </c>
      <c r="H79" s="10" t="s">
        <v>228</v>
      </c>
      <c r="I79" s="10" t="s">
        <v>246</v>
      </c>
      <c r="J79" s="12">
        <v>46387</v>
      </c>
      <c r="K79" s="12"/>
      <c r="L79" s="16">
        <f t="shared" si="4"/>
        <v>9</v>
      </c>
      <c r="M79" s="13" t="str">
        <f t="shared" si="5"/>
        <v>Aberta</v>
      </c>
    </row>
    <row r="80" spans="1:13" ht="15" customHeight="1" x14ac:dyDescent="0.3">
      <c r="A80" s="10" t="s">
        <v>487</v>
      </c>
      <c r="B80" s="12">
        <v>46386</v>
      </c>
      <c r="C80" s="10" t="s">
        <v>115</v>
      </c>
      <c r="D80" s="10" t="s">
        <v>280</v>
      </c>
      <c r="E80" s="10" t="s">
        <v>488</v>
      </c>
      <c r="F80" s="10" t="s">
        <v>489</v>
      </c>
      <c r="G80" s="10" t="s">
        <v>245</v>
      </c>
      <c r="H80" s="10" t="s">
        <v>228</v>
      </c>
      <c r="I80" s="10" t="s">
        <v>246</v>
      </c>
      <c r="J80" s="12"/>
      <c r="K80" s="12"/>
      <c r="L80" s="16" t="str">
        <f t="shared" si="4"/>
        <v/>
      </c>
      <c r="M80" s="13" t="str">
        <f t="shared" si="5"/>
        <v>Aberta</v>
      </c>
    </row>
    <row r="81" spans="1:13" ht="15" customHeight="1" x14ac:dyDescent="0.3">
      <c r="A81" s="10" t="s">
        <v>490</v>
      </c>
      <c r="B81" s="12">
        <v>46239</v>
      </c>
      <c r="C81" s="10" t="s">
        <v>135</v>
      </c>
      <c r="D81" s="10" t="s">
        <v>491</v>
      </c>
      <c r="E81" s="10" t="s">
        <v>492</v>
      </c>
      <c r="F81" s="10"/>
      <c r="G81" s="10" t="s">
        <v>245</v>
      </c>
      <c r="H81" s="10" t="s">
        <v>228</v>
      </c>
      <c r="I81" s="10" t="s">
        <v>246</v>
      </c>
      <c r="J81" s="12">
        <v>46245</v>
      </c>
      <c r="K81" s="12">
        <v>46253</v>
      </c>
      <c r="L81" s="16">
        <f t="shared" si="4"/>
        <v>6</v>
      </c>
      <c r="M81" s="13" t="str">
        <f t="shared" si="5"/>
        <v>Fechada</v>
      </c>
    </row>
  </sheetData>
  <conditionalFormatting sqref="M2:M281">
    <cfRule type="expression" dxfId="2" priority="1">
      <formula>ISNUMBER(SEARCH("Atrasada",M2))</formula>
    </cfRule>
    <cfRule type="expression" dxfId="1" priority="2">
      <formula>ISNUMBER(SEARCH("Aberta",M2))</formula>
    </cfRule>
    <cfRule type="expression" dxfId="0" priority="3">
      <formula>ISNUMBER(SEARCH("Fechada",M2))</formula>
    </cfRule>
  </conditionalFormatting>
  <dataValidations count="1">
    <dataValidation type="list" allowBlank="1" showErrorMessage="1" errorTitle="Valor inválido" error="Valor fora da lista controlada (ver folha Listas)." sqref="H2:H281" xr:uid="{00000000-0002-0000-0400-000000000000}">
      <formula1>lst_SimNao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6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2" width="30" customWidth="1"/>
    <col min="3" max="3" width="44" customWidth="1"/>
    <col min="4" max="4" width="40" customWidth="1"/>
    <col min="5" max="5" width="22" customWidth="1"/>
    <col min="6" max="6" width="36" customWidth="1"/>
    <col min="7" max="7" width="26" customWidth="1"/>
    <col min="8" max="8" width="34" customWidth="1"/>
  </cols>
  <sheetData>
    <row r="1" spans="1:8" x14ac:dyDescent="0.3">
      <c r="A1" s="8" t="s">
        <v>493</v>
      </c>
      <c r="B1" s="8" t="s">
        <v>494</v>
      </c>
      <c r="C1" s="8" t="s">
        <v>495</v>
      </c>
      <c r="D1" s="8" t="s">
        <v>496</v>
      </c>
      <c r="E1" s="8" t="s">
        <v>497</v>
      </c>
      <c r="F1" s="8" t="s">
        <v>498</v>
      </c>
      <c r="G1" s="8" t="s">
        <v>499</v>
      </c>
      <c r="H1" s="8" t="s">
        <v>500</v>
      </c>
    </row>
    <row r="2" spans="1:8" ht="45" customHeight="1" x14ac:dyDescent="0.3">
      <c r="A2" s="10" t="s">
        <v>501</v>
      </c>
      <c r="B2" s="10" t="s">
        <v>502</v>
      </c>
      <c r="C2" s="10" t="s">
        <v>503</v>
      </c>
      <c r="D2" s="10" t="s">
        <v>504</v>
      </c>
      <c r="E2" s="10" t="s">
        <v>505</v>
      </c>
      <c r="F2" s="10" t="s">
        <v>506</v>
      </c>
      <c r="G2" s="10" t="s">
        <v>507</v>
      </c>
      <c r="H2" s="10" t="s">
        <v>508</v>
      </c>
    </row>
    <row r="3" spans="1:8" ht="45" customHeight="1" x14ac:dyDescent="0.3">
      <c r="A3" s="10" t="s">
        <v>509</v>
      </c>
      <c r="B3" s="10" t="s">
        <v>510</v>
      </c>
      <c r="C3" s="10" t="s">
        <v>511</v>
      </c>
      <c r="D3" s="10" t="s">
        <v>512</v>
      </c>
      <c r="E3" s="10" t="s">
        <v>513</v>
      </c>
      <c r="F3" s="10" t="s">
        <v>514</v>
      </c>
      <c r="G3" s="10" t="s">
        <v>515</v>
      </c>
      <c r="H3" s="10" t="s">
        <v>516</v>
      </c>
    </row>
    <row r="4" spans="1:8" ht="45" customHeight="1" x14ac:dyDescent="0.3">
      <c r="A4" s="10" t="s">
        <v>517</v>
      </c>
      <c r="B4" s="10" t="s">
        <v>518</v>
      </c>
      <c r="C4" s="10" t="s">
        <v>519</v>
      </c>
      <c r="D4" s="10" t="s">
        <v>520</v>
      </c>
      <c r="E4" s="10" t="s">
        <v>521</v>
      </c>
      <c r="F4" s="10" t="s">
        <v>522</v>
      </c>
      <c r="G4" s="10" t="s">
        <v>523</v>
      </c>
      <c r="H4" s="10" t="s">
        <v>524</v>
      </c>
    </row>
    <row r="5" spans="1:8" ht="45" customHeight="1" x14ac:dyDescent="0.3">
      <c r="A5" s="10" t="s">
        <v>525</v>
      </c>
      <c r="B5" s="10" t="s">
        <v>526</v>
      </c>
      <c r="C5" s="10" t="s">
        <v>527</v>
      </c>
      <c r="D5" s="10" t="s">
        <v>528</v>
      </c>
      <c r="E5" s="10" t="s">
        <v>505</v>
      </c>
      <c r="F5" s="10" t="s">
        <v>529</v>
      </c>
      <c r="G5" s="10" t="s">
        <v>530</v>
      </c>
      <c r="H5" s="10" t="s">
        <v>531</v>
      </c>
    </row>
    <row r="6" spans="1:8" ht="45" customHeight="1" x14ac:dyDescent="0.3">
      <c r="A6" s="10" t="s">
        <v>532</v>
      </c>
      <c r="B6" s="10" t="s">
        <v>533</v>
      </c>
      <c r="C6" s="10" t="s">
        <v>534</v>
      </c>
      <c r="D6" s="10" t="s">
        <v>535</v>
      </c>
      <c r="E6" s="10" t="s">
        <v>536</v>
      </c>
      <c r="F6" s="10" t="s">
        <v>537</v>
      </c>
      <c r="G6" s="10" t="s">
        <v>538</v>
      </c>
      <c r="H6" s="10" t="s">
        <v>524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6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10" customWidth="1"/>
    <col min="3" max="4" width="11" customWidth="1"/>
    <col min="5" max="5" width="26" customWidth="1"/>
    <col min="6" max="6" width="40" customWidth="1"/>
    <col min="7" max="7" width="10" customWidth="1"/>
    <col min="8" max="8" width="44" customWidth="1"/>
  </cols>
  <sheetData>
    <row r="1" spans="1:8" ht="26.4" x14ac:dyDescent="0.3">
      <c r="A1" s="8" t="s">
        <v>539</v>
      </c>
      <c r="B1" s="8" t="s">
        <v>75</v>
      </c>
      <c r="C1" s="8" t="s">
        <v>540</v>
      </c>
      <c r="D1" s="8" t="s">
        <v>541</v>
      </c>
      <c r="E1" s="8" t="s">
        <v>79</v>
      </c>
      <c r="F1" s="8" t="s">
        <v>542</v>
      </c>
      <c r="G1" s="8" t="s">
        <v>14</v>
      </c>
      <c r="H1" s="8" t="s">
        <v>543</v>
      </c>
    </row>
    <row r="2" spans="1:8" ht="30" customHeight="1" x14ac:dyDescent="0.3">
      <c r="A2" s="10" t="s">
        <v>544</v>
      </c>
      <c r="B2" s="10" t="s">
        <v>115</v>
      </c>
      <c r="C2" s="12">
        <v>46315</v>
      </c>
      <c r="D2" s="12"/>
      <c r="E2" s="10" t="s">
        <v>545</v>
      </c>
      <c r="F2" s="10" t="s">
        <v>546</v>
      </c>
      <c r="G2" s="10" t="s">
        <v>547</v>
      </c>
      <c r="H2" s="10"/>
    </row>
    <row r="3" spans="1:8" ht="30" customHeight="1" x14ac:dyDescent="0.3">
      <c r="A3" s="10" t="s">
        <v>548</v>
      </c>
      <c r="B3" s="10" t="s">
        <v>135</v>
      </c>
      <c r="C3" s="12">
        <v>46120</v>
      </c>
      <c r="D3" s="12">
        <v>46120</v>
      </c>
      <c r="E3" s="10" t="s">
        <v>549</v>
      </c>
      <c r="F3" s="10" t="s">
        <v>550</v>
      </c>
      <c r="G3" s="10" t="s">
        <v>551</v>
      </c>
      <c r="H3" s="10" t="s">
        <v>552</v>
      </c>
    </row>
    <row r="4" spans="1:8" ht="30" customHeight="1" x14ac:dyDescent="0.3">
      <c r="A4" s="10" t="s">
        <v>553</v>
      </c>
      <c r="B4" s="10" t="s">
        <v>140</v>
      </c>
      <c r="C4" s="12">
        <v>46121</v>
      </c>
      <c r="D4" s="12">
        <v>46121</v>
      </c>
      <c r="E4" s="10" t="s">
        <v>549</v>
      </c>
      <c r="F4" s="10" t="s">
        <v>554</v>
      </c>
      <c r="G4" s="10" t="s">
        <v>551</v>
      </c>
      <c r="H4" s="10" t="s">
        <v>555</v>
      </c>
    </row>
    <row r="5" spans="1:8" ht="30" customHeight="1" x14ac:dyDescent="0.3">
      <c r="A5" s="10" t="s">
        <v>556</v>
      </c>
      <c r="B5" s="10" t="s">
        <v>110</v>
      </c>
      <c r="C5" s="12">
        <v>46338</v>
      </c>
      <c r="D5" s="12"/>
      <c r="E5" s="10" t="s">
        <v>557</v>
      </c>
      <c r="F5" s="10" t="s">
        <v>558</v>
      </c>
      <c r="G5" s="10" t="s">
        <v>547</v>
      </c>
      <c r="H5" s="10"/>
    </row>
    <row r="6" spans="1:8" ht="30" customHeight="1" x14ac:dyDescent="0.3">
      <c r="A6" s="10" t="s">
        <v>559</v>
      </c>
      <c r="B6" s="10" t="s">
        <v>159</v>
      </c>
      <c r="C6" s="12">
        <v>46077</v>
      </c>
      <c r="D6" s="12">
        <v>46077</v>
      </c>
      <c r="E6" s="10" t="s">
        <v>560</v>
      </c>
      <c r="F6" s="10" t="s">
        <v>561</v>
      </c>
      <c r="G6" s="10" t="s">
        <v>551</v>
      </c>
      <c r="H6" s="10" t="s">
        <v>562</v>
      </c>
    </row>
  </sheetData>
  <dataValidations count="1">
    <dataValidation type="list" allowBlank="1" showErrorMessage="1" errorTitle="Valor inválido" error="Valor fora da lista controlada (ver folha Listas)." sqref="G2:G206" xr:uid="{00000000-0002-0000-0600-000000000000}">
      <formula1>lst_EstadoAud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16" customWidth="1"/>
    <col min="3" max="3" width="43" customWidth="1"/>
    <col min="4" max="4" width="22" customWidth="1"/>
    <col min="5" max="6" width="16" customWidth="1"/>
  </cols>
  <sheetData>
    <row r="1" spans="1:6" x14ac:dyDescent="0.3">
      <c r="A1" s="20" t="s">
        <v>563</v>
      </c>
    </row>
    <row r="2" spans="1:6" x14ac:dyDescent="0.3">
      <c r="A2" s="21" t="s">
        <v>564</v>
      </c>
      <c r="B2" s="21" t="s">
        <v>565</v>
      </c>
      <c r="C2" s="21" t="s">
        <v>566</v>
      </c>
      <c r="D2" s="21" t="s">
        <v>567</v>
      </c>
      <c r="E2" s="21" t="s">
        <v>568</v>
      </c>
      <c r="F2" s="21" t="s">
        <v>569</v>
      </c>
    </row>
    <row r="3" spans="1:6" x14ac:dyDescent="0.3">
      <c r="A3" s="22">
        <v>46387</v>
      </c>
      <c r="B3" s="6" t="s">
        <v>95</v>
      </c>
      <c r="C3" s="6" t="s">
        <v>96</v>
      </c>
      <c r="D3" s="6" t="s">
        <v>101</v>
      </c>
      <c r="E3" s="6" t="s">
        <v>228</v>
      </c>
      <c r="F3" s="6" t="s">
        <v>547</v>
      </c>
    </row>
    <row r="4" spans="1:6" x14ac:dyDescent="0.3">
      <c r="B4" s="6" t="s">
        <v>147</v>
      </c>
      <c r="C4" s="6" t="s">
        <v>174</v>
      </c>
      <c r="D4" s="6" t="s">
        <v>121</v>
      </c>
      <c r="E4" s="6" t="s">
        <v>226</v>
      </c>
      <c r="F4" s="6" t="s">
        <v>551</v>
      </c>
    </row>
    <row r="5" spans="1:6" x14ac:dyDescent="0.3">
      <c r="C5" s="6" t="s">
        <v>168</v>
      </c>
      <c r="D5" s="6" t="s">
        <v>570</v>
      </c>
      <c r="F5" s="6" t="s">
        <v>571</v>
      </c>
    </row>
    <row r="6" spans="1:6" x14ac:dyDescent="0.3">
      <c r="C6" s="6" t="s">
        <v>148</v>
      </c>
      <c r="D6" s="6" t="s">
        <v>572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81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573</v>
      </c>
      <c r="B1" s="8" t="s">
        <v>574</v>
      </c>
      <c r="C1" s="8" t="s">
        <v>575</v>
      </c>
      <c r="D1" s="8" t="s">
        <v>79</v>
      </c>
      <c r="E1" s="8" t="s">
        <v>576</v>
      </c>
      <c r="F1" s="8" t="s">
        <v>577</v>
      </c>
      <c r="G1" s="8" t="s">
        <v>578</v>
      </c>
      <c r="H1" s="8" t="s">
        <v>579</v>
      </c>
      <c r="I1" s="8" t="s">
        <v>211</v>
      </c>
    </row>
    <row r="2" spans="1:9" x14ac:dyDescent="0.3">
      <c r="A2" s="23" t="s">
        <v>37</v>
      </c>
      <c r="B2" s="23" t="s">
        <v>580</v>
      </c>
      <c r="C2" s="23" t="s">
        <v>75</v>
      </c>
      <c r="D2" s="23" t="s">
        <v>581</v>
      </c>
      <c r="E2" s="23" t="s">
        <v>582</v>
      </c>
      <c r="F2" s="23" t="s">
        <v>583</v>
      </c>
      <c r="G2" s="23"/>
      <c r="H2" s="23" t="s">
        <v>228</v>
      </c>
      <c r="I2" s="23" t="s">
        <v>584</v>
      </c>
    </row>
    <row r="3" spans="1:9" x14ac:dyDescent="0.3">
      <c r="A3" s="23" t="s">
        <v>37</v>
      </c>
      <c r="B3" s="23" t="s">
        <v>580</v>
      </c>
      <c r="C3" s="23" t="s">
        <v>76</v>
      </c>
      <c r="D3" s="23" t="s">
        <v>581</v>
      </c>
      <c r="E3" s="23" t="s">
        <v>582</v>
      </c>
      <c r="F3" s="23" t="s">
        <v>585</v>
      </c>
      <c r="G3" s="23"/>
      <c r="H3" s="23" t="s">
        <v>228</v>
      </c>
      <c r="I3" s="23"/>
    </row>
    <row r="4" spans="1:9" x14ac:dyDescent="0.3">
      <c r="A4" s="23" t="s">
        <v>37</v>
      </c>
      <c r="B4" s="23" t="s">
        <v>580</v>
      </c>
      <c r="C4" s="23" t="s">
        <v>77</v>
      </c>
      <c r="D4" s="23" t="s">
        <v>581</v>
      </c>
      <c r="E4" s="23" t="s">
        <v>582</v>
      </c>
      <c r="F4" s="23" t="s">
        <v>586</v>
      </c>
      <c r="G4" s="23"/>
      <c r="H4" s="23" t="s">
        <v>228</v>
      </c>
      <c r="I4" s="23"/>
    </row>
    <row r="5" spans="1:9" x14ac:dyDescent="0.3">
      <c r="A5" s="23" t="s">
        <v>37</v>
      </c>
      <c r="B5" s="23" t="s">
        <v>580</v>
      </c>
      <c r="C5" s="23" t="s">
        <v>78</v>
      </c>
      <c r="D5" s="23" t="s">
        <v>581</v>
      </c>
      <c r="E5" s="23" t="s">
        <v>582</v>
      </c>
      <c r="F5" s="23" t="s">
        <v>587</v>
      </c>
      <c r="G5" s="23"/>
      <c r="H5" s="23" t="s">
        <v>228</v>
      </c>
      <c r="I5" s="23"/>
    </row>
    <row r="6" spans="1:9" x14ac:dyDescent="0.3">
      <c r="A6" s="23" t="s">
        <v>37</v>
      </c>
      <c r="B6" s="23" t="s">
        <v>580</v>
      </c>
      <c r="C6" s="23" t="s">
        <v>79</v>
      </c>
      <c r="D6" s="23" t="s">
        <v>581</v>
      </c>
      <c r="E6" s="23" t="s">
        <v>582</v>
      </c>
      <c r="F6" s="23" t="s">
        <v>588</v>
      </c>
      <c r="G6" s="23" t="s">
        <v>589</v>
      </c>
      <c r="H6" s="23" t="s">
        <v>228</v>
      </c>
      <c r="I6" s="23"/>
    </row>
    <row r="7" spans="1:9" x14ac:dyDescent="0.3">
      <c r="A7" s="23" t="s">
        <v>37</v>
      </c>
      <c r="B7" s="23" t="s">
        <v>580</v>
      </c>
      <c r="C7" s="23" t="s">
        <v>80</v>
      </c>
      <c r="D7" s="23" t="s">
        <v>581</v>
      </c>
      <c r="E7" s="23" t="s">
        <v>582</v>
      </c>
      <c r="F7" s="23" t="s">
        <v>590</v>
      </c>
      <c r="G7" s="23" t="s">
        <v>591</v>
      </c>
      <c r="H7" s="23" t="s">
        <v>228</v>
      </c>
      <c r="I7" s="23"/>
    </row>
    <row r="8" spans="1:9" x14ac:dyDescent="0.3">
      <c r="A8" s="23" t="s">
        <v>37</v>
      </c>
      <c r="B8" s="23" t="s">
        <v>580</v>
      </c>
      <c r="C8" s="23" t="s">
        <v>81</v>
      </c>
      <c r="D8" s="23" t="s">
        <v>581</v>
      </c>
      <c r="E8" s="23" t="s">
        <v>582</v>
      </c>
      <c r="F8" s="23" t="s">
        <v>592</v>
      </c>
      <c r="G8" s="23"/>
      <c r="H8" s="23" t="s">
        <v>228</v>
      </c>
      <c r="I8" s="23"/>
    </row>
    <row r="9" spans="1:9" x14ac:dyDescent="0.3">
      <c r="A9" s="23" t="s">
        <v>37</v>
      </c>
      <c r="B9" s="23" t="s">
        <v>580</v>
      </c>
      <c r="C9" s="23" t="s">
        <v>82</v>
      </c>
      <c r="D9" s="23" t="s">
        <v>581</v>
      </c>
      <c r="E9" s="23" t="s">
        <v>582</v>
      </c>
      <c r="F9" s="23" t="s">
        <v>593</v>
      </c>
      <c r="G9" s="23"/>
      <c r="H9" s="23" t="s">
        <v>228</v>
      </c>
      <c r="I9" s="23"/>
    </row>
    <row r="10" spans="1:9" x14ac:dyDescent="0.3">
      <c r="A10" s="23" t="s">
        <v>37</v>
      </c>
      <c r="B10" s="23" t="s">
        <v>580</v>
      </c>
      <c r="C10" s="23" t="s">
        <v>83</v>
      </c>
      <c r="D10" s="23" t="s">
        <v>581</v>
      </c>
      <c r="E10" s="23" t="s">
        <v>582</v>
      </c>
      <c r="F10" s="23" t="s">
        <v>594</v>
      </c>
      <c r="G10" s="23"/>
      <c r="H10" s="23" t="s">
        <v>228</v>
      </c>
      <c r="I10" s="23"/>
    </row>
    <row r="11" spans="1:9" x14ac:dyDescent="0.3">
      <c r="A11" s="23" t="s">
        <v>37</v>
      </c>
      <c r="B11" s="23" t="s">
        <v>580</v>
      </c>
      <c r="C11" s="23" t="s">
        <v>84</v>
      </c>
      <c r="D11" s="23" t="s">
        <v>581</v>
      </c>
      <c r="E11" s="23" t="s">
        <v>582</v>
      </c>
      <c r="F11" s="23" t="s">
        <v>595</v>
      </c>
      <c r="G11" s="23"/>
      <c r="H11" s="23" t="s">
        <v>228</v>
      </c>
      <c r="I11" s="23"/>
    </row>
    <row r="12" spans="1:9" x14ac:dyDescent="0.3">
      <c r="A12" s="23" t="s">
        <v>37</v>
      </c>
      <c r="B12" s="23" t="s">
        <v>580</v>
      </c>
      <c r="C12" s="23" t="s">
        <v>85</v>
      </c>
      <c r="D12" s="23" t="s">
        <v>596</v>
      </c>
      <c r="E12" s="23" t="s">
        <v>582</v>
      </c>
      <c r="F12" s="23" t="s">
        <v>597</v>
      </c>
      <c r="G12" s="23"/>
      <c r="H12" s="23" t="s">
        <v>228</v>
      </c>
      <c r="I12" s="23"/>
    </row>
    <row r="13" spans="1:9" x14ac:dyDescent="0.3">
      <c r="A13" s="23" t="s">
        <v>37</v>
      </c>
      <c r="B13" s="23" t="s">
        <v>580</v>
      </c>
      <c r="C13" s="23" t="s">
        <v>86</v>
      </c>
      <c r="D13" s="23" t="s">
        <v>581</v>
      </c>
      <c r="E13" s="23" t="s">
        <v>582</v>
      </c>
      <c r="F13" s="23" t="s">
        <v>598</v>
      </c>
      <c r="G13" s="23" t="s">
        <v>599</v>
      </c>
      <c r="H13" s="23" t="s">
        <v>228</v>
      </c>
      <c r="I13" s="23"/>
    </row>
    <row r="14" spans="1:9" ht="26.4" x14ac:dyDescent="0.3">
      <c r="A14" s="23" t="s">
        <v>37</v>
      </c>
      <c r="B14" s="23" t="s">
        <v>580</v>
      </c>
      <c r="C14" s="23" t="s">
        <v>87</v>
      </c>
      <c r="D14" s="23" t="s">
        <v>600</v>
      </c>
      <c r="E14" s="23" t="s">
        <v>582</v>
      </c>
      <c r="F14" s="23" t="s">
        <v>601</v>
      </c>
      <c r="G14" s="23"/>
      <c r="H14" s="23" t="s">
        <v>228</v>
      </c>
      <c r="I14" s="23"/>
    </row>
    <row r="15" spans="1:9" x14ac:dyDescent="0.3">
      <c r="A15" s="23" t="s">
        <v>37</v>
      </c>
      <c r="B15" s="23" t="s">
        <v>580</v>
      </c>
      <c r="C15" s="23" t="s">
        <v>88</v>
      </c>
      <c r="D15" s="23" t="s">
        <v>581</v>
      </c>
      <c r="E15" s="23" t="s">
        <v>602</v>
      </c>
      <c r="F15" s="23" t="s">
        <v>603</v>
      </c>
      <c r="G15" s="23"/>
      <c r="H15" s="23" t="s">
        <v>228</v>
      </c>
      <c r="I15" s="23"/>
    </row>
    <row r="16" spans="1:9" x14ac:dyDescent="0.3">
      <c r="A16" s="23" t="s">
        <v>37</v>
      </c>
      <c r="B16" s="23" t="s">
        <v>580</v>
      </c>
      <c r="C16" s="23" t="s">
        <v>89</v>
      </c>
      <c r="D16" s="23" t="s">
        <v>581</v>
      </c>
      <c r="E16" s="23" t="s">
        <v>602</v>
      </c>
      <c r="F16" s="23" t="s">
        <v>604</v>
      </c>
      <c r="G16" s="23"/>
      <c r="H16" s="23" t="s">
        <v>228</v>
      </c>
      <c r="I16" s="23"/>
    </row>
    <row r="17" spans="1:9" x14ac:dyDescent="0.3">
      <c r="A17" s="23" t="s">
        <v>37</v>
      </c>
      <c r="B17" s="23" t="s">
        <v>580</v>
      </c>
      <c r="C17" s="23" t="s">
        <v>90</v>
      </c>
      <c r="D17" s="23" t="s">
        <v>581</v>
      </c>
      <c r="E17" s="23" t="s">
        <v>602</v>
      </c>
      <c r="F17" s="23" t="s">
        <v>605</v>
      </c>
      <c r="G17" s="23"/>
      <c r="H17" s="23" t="s">
        <v>228</v>
      </c>
      <c r="I17" s="23"/>
    </row>
    <row r="18" spans="1:9" ht="39.6" x14ac:dyDescent="0.3">
      <c r="A18" s="23" t="s">
        <v>39</v>
      </c>
      <c r="B18" s="23" t="s">
        <v>606</v>
      </c>
      <c r="C18" s="23" t="s">
        <v>75</v>
      </c>
      <c r="D18" s="23" t="s">
        <v>581</v>
      </c>
      <c r="E18" s="23" t="s">
        <v>582</v>
      </c>
      <c r="F18" s="23" t="s">
        <v>607</v>
      </c>
      <c r="G18" s="23"/>
      <c r="H18" s="23" t="s">
        <v>228</v>
      </c>
      <c r="I18" s="23" t="s">
        <v>608</v>
      </c>
    </row>
    <row r="19" spans="1:9" x14ac:dyDescent="0.3">
      <c r="A19" s="23" t="s">
        <v>39</v>
      </c>
      <c r="B19" s="23" t="s">
        <v>606</v>
      </c>
      <c r="C19" s="23" t="s">
        <v>178</v>
      </c>
      <c r="D19" s="23" t="s">
        <v>581</v>
      </c>
      <c r="E19" s="23" t="s">
        <v>582</v>
      </c>
      <c r="F19" s="23" t="s">
        <v>609</v>
      </c>
      <c r="G19" s="23"/>
      <c r="H19" s="23" t="s">
        <v>228</v>
      </c>
      <c r="I19" s="23"/>
    </row>
    <row r="20" spans="1:9" x14ac:dyDescent="0.3">
      <c r="A20" s="23" t="s">
        <v>39</v>
      </c>
      <c r="B20" s="23" t="s">
        <v>606</v>
      </c>
      <c r="C20" s="23" t="s">
        <v>179</v>
      </c>
      <c r="D20" s="23" t="s">
        <v>596</v>
      </c>
      <c r="E20" s="23" t="s">
        <v>582</v>
      </c>
      <c r="F20" s="23" t="s">
        <v>610</v>
      </c>
      <c r="G20" s="23"/>
      <c r="H20" s="23" t="s">
        <v>228</v>
      </c>
      <c r="I20" s="23"/>
    </row>
    <row r="21" spans="1:9" x14ac:dyDescent="0.3">
      <c r="A21" s="23" t="s">
        <v>39</v>
      </c>
      <c r="B21" s="23" t="s">
        <v>606</v>
      </c>
      <c r="C21" s="23" t="s">
        <v>180</v>
      </c>
      <c r="D21" s="23" t="s">
        <v>596</v>
      </c>
      <c r="E21" s="23" t="s">
        <v>582</v>
      </c>
      <c r="F21" s="23" t="s">
        <v>611</v>
      </c>
      <c r="G21" s="23"/>
      <c r="H21" s="23" t="s">
        <v>228</v>
      </c>
      <c r="I21" s="23"/>
    </row>
    <row r="22" spans="1:9" x14ac:dyDescent="0.3">
      <c r="A22" s="23" t="s">
        <v>39</v>
      </c>
      <c r="B22" s="23" t="s">
        <v>606</v>
      </c>
      <c r="C22" s="23" t="s">
        <v>181</v>
      </c>
      <c r="D22" s="23" t="s">
        <v>596</v>
      </c>
      <c r="E22" s="23" t="s">
        <v>582</v>
      </c>
      <c r="F22" s="23" t="s">
        <v>612</v>
      </c>
      <c r="G22" s="23"/>
      <c r="H22" s="23" t="s">
        <v>228</v>
      </c>
      <c r="I22" s="23"/>
    </row>
    <row r="23" spans="1:9" x14ac:dyDescent="0.3">
      <c r="A23" s="23" t="s">
        <v>39</v>
      </c>
      <c r="B23" s="23" t="s">
        <v>606</v>
      </c>
      <c r="C23" s="23" t="s">
        <v>182</v>
      </c>
      <c r="D23" s="23" t="s">
        <v>596</v>
      </c>
      <c r="E23" s="23" t="s">
        <v>582</v>
      </c>
      <c r="F23" s="23" t="s">
        <v>613</v>
      </c>
      <c r="G23" s="23"/>
      <c r="H23" s="23" t="s">
        <v>228</v>
      </c>
      <c r="I23" s="23"/>
    </row>
    <row r="24" spans="1:9" x14ac:dyDescent="0.3">
      <c r="A24" s="23" t="s">
        <v>39</v>
      </c>
      <c r="B24" s="23" t="s">
        <v>606</v>
      </c>
      <c r="C24" s="23" t="s">
        <v>183</v>
      </c>
      <c r="D24" s="23" t="s">
        <v>596</v>
      </c>
      <c r="E24" s="23" t="s">
        <v>582</v>
      </c>
      <c r="F24" s="23" t="s">
        <v>614</v>
      </c>
      <c r="G24" s="23"/>
      <c r="H24" s="23" t="s">
        <v>228</v>
      </c>
      <c r="I24" s="23"/>
    </row>
    <row r="25" spans="1:9" x14ac:dyDescent="0.3">
      <c r="A25" s="23" t="s">
        <v>39</v>
      </c>
      <c r="B25" s="23" t="s">
        <v>606</v>
      </c>
      <c r="C25" s="23" t="s">
        <v>184</v>
      </c>
      <c r="D25" s="23" t="s">
        <v>615</v>
      </c>
      <c r="E25" s="23" t="s">
        <v>582</v>
      </c>
      <c r="F25" s="23" t="s">
        <v>616</v>
      </c>
      <c r="G25" s="23"/>
      <c r="H25" s="23" t="s">
        <v>228</v>
      </c>
      <c r="I25" s="23"/>
    </row>
    <row r="26" spans="1:9" x14ac:dyDescent="0.3">
      <c r="A26" s="23" t="s">
        <v>39</v>
      </c>
      <c r="B26" s="23" t="s">
        <v>606</v>
      </c>
      <c r="C26" s="23" t="s">
        <v>185</v>
      </c>
      <c r="D26" s="23" t="s">
        <v>596</v>
      </c>
      <c r="E26" s="23" t="s">
        <v>582</v>
      </c>
      <c r="F26" s="23" t="s">
        <v>617</v>
      </c>
      <c r="G26" s="23"/>
      <c r="H26" s="23" t="s">
        <v>228</v>
      </c>
      <c r="I26" s="23"/>
    </row>
    <row r="27" spans="1:9" x14ac:dyDescent="0.3">
      <c r="A27" s="23" t="s">
        <v>39</v>
      </c>
      <c r="B27" s="23" t="s">
        <v>606</v>
      </c>
      <c r="C27" s="23" t="s">
        <v>186</v>
      </c>
      <c r="D27" s="23" t="s">
        <v>596</v>
      </c>
      <c r="E27" s="23" t="s">
        <v>582</v>
      </c>
      <c r="F27" s="23" t="s">
        <v>618</v>
      </c>
      <c r="G27" s="23"/>
      <c r="H27" s="23" t="s">
        <v>228</v>
      </c>
      <c r="I27" s="23"/>
    </row>
    <row r="28" spans="1:9" x14ac:dyDescent="0.3">
      <c r="A28" s="23" t="s">
        <v>39</v>
      </c>
      <c r="B28" s="23" t="s">
        <v>606</v>
      </c>
      <c r="C28" s="23" t="s">
        <v>187</v>
      </c>
      <c r="D28" s="23" t="s">
        <v>596</v>
      </c>
      <c r="E28" s="23" t="s">
        <v>582</v>
      </c>
      <c r="F28" s="23" t="s">
        <v>619</v>
      </c>
      <c r="G28" s="23"/>
      <c r="H28" s="23" t="s">
        <v>228</v>
      </c>
      <c r="I28" s="23"/>
    </row>
    <row r="29" spans="1:9" ht="26.4" x14ac:dyDescent="0.3">
      <c r="A29" s="23" t="s">
        <v>39</v>
      </c>
      <c r="B29" s="23" t="s">
        <v>606</v>
      </c>
      <c r="C29" s="23" t="s">
        <v>188</v>
      </c>
      <c r="D29" s="23" t="s">
        <v>620</v>
      </c>
      <c r="E29" s="23" t="s">
        <v>602</v>
      </c>
      <c r="F29" s="23" t="s">
        <v>621</v>
      </c>
      <c r="G29" s="23"/>
      <c r="H29" s="23" t="s">
        <v>228</v>
      </c>
      <c r="I29" s="23"/>
    </row>
    <row r="30" spans="1:9" x14ac:dyDescent="0.3">
      <c r="A30" s="23" t="s">
        <v>41</v>
      </c>
      <c r="B30" s="23" t="s">
        <v>622</v>
      </c>
      <c r="C30" s="23" t="s">
        <v>75</v>
      </c>
      <c r="D30" s="23" t="s">
        <v>581</v>
      </c>
      <c r="E30" s="23" t="s">
        <v>582</v>
      </c>
      <c r="F30" s="23" t="s">
        <v>607</v>
      </c>
      <c r="G30" s="23"/>
      <c r="H30" s="23" t="s">
        <v>228</v>
      </c>
      <c r="I30" s="23" t="s">
        <v>623</v>
      </c>
    </row>
    <row r="31" spans="1:9" x14ac:dyDescent="0.3">
      <c r="A31" s="23" t="s">
        <v>41</v>
      </c>
      <c r="B31" s="23" t="s">
        <v>622</v>
      </c>
      <c r="C31" s="23" t="s">
        <v>209</v>
      </c>
      <c r="D31" s="23" t="s">
        <v>581</v>
      </c>
      <c r="E31" s="23" t="s">
        <v>582</v>
      </c>
      <c r="F31" s="23" t="s">
        <v>624</v>
      </c>
      <c r="G31" s="23"/>
      <c r="H31" s="23" t="s">
        <v>228</v>
      </c>
      <c r="I31" s="23"/>
    </row>
    <row r="32" spans="1:9" x14ac:dyDescent="0.3">
      <c r="A32" s="23" t="s">
        <v>41</v>
      </c>
      <c r="B32" s="23" t="s">
        <v>622</v>
      </c>
      <c r="C32" s="23" t="s">
        <v>210</v>
      </c>
      <c r="D32" s="23" t="s">
        <v>581</v>
      </c>
      <c r="E32" s="23" t="s">
        <v>582</v>
      </c>
      <c r="F32" s="23" t="s">
        <v>625</v>
      </c>
      <c r="G32" s="23" t="s">
        <v>626</v>
      </c>
      <c r="H32" s="23" t="s">
        <v>228</v>
      </c>
      <c r="I32" s="23"/>
    </row>
    <row r="33" spans="1:9" x14ac:dyDescent="0.3">
      <c r="A33" s="23" t="s">
        <v>41</v>
      </c>
      <c r="B33" s="23" t="s">
        <v>622</v>
      </c>
      <c r="C33" s="23" t="s">
        <v>211</v>
      </c>
      <c r="D33" s="23" t="s">
        <v>581</v>
      </c>
      <c r="E33" s="23" t="s">
        <v>602</v>
      </c>
      <c r="F33" s="23" t="s">
        <v>627</v>
      </c>
      <c r="G33" s="23"/>
      <c r="H33" s="23" t="s">
        <v>228</v>
      </c>
      <c r="I33" s="23"/>
    </row>
    <row r="34" spans="1:9" x14ac:dyDescent="0.3">
      <c r="A34" s="23" t="s">
        <v>41</v>
      </c>
      <c r="B34" s="23" t="s">
        <v>622</v>
      </c>
      <c r="C34" s="23" t="s">
        <v>212</v>
      </c>
      <c r="D34" s="23" t="s">
        <v>596</v>
      </c>
      <c r="E34" s="23" t="s">
        <v>582</v>
      </c>
      <c r="F34" s="23" t="s">
        <v>628</v>
      </c>
      <c r="G34" s="23"/>
      <c r="H34" s="23" t="s">
        <v>228</v>
      </c>
      <c r="I34" s="23"/>
    </row>
    <row r="35" spans="1:9" x14ac:dyDescent="0.3">
      <c r="A35" s="23" t="s">
        <v>41</v>
      </c>
      <c r="B35" s="23" t="s">
        <v>622</v>
      </c>
      <c r="C35" s="23" t="s">
        <v>213</v>
      </c>
      <c r="D35" s="23" t="s">
        <v>596</v>
      </c>
      <c r="E35" s="23" t="s">
        <v>582</v>
      </c>
      <c r="F35" s="23" t="s">
        <v>629</v>
      </c>
      <c r="G35" s="23"/>
      <c r="H35" s="23" t="s">
        <v>228</v>
      </c>
      <c r="I35" s="23"/>
    </row>
    <row r="36" spans="1:9" x14ac:dyDescent="0.3">
      <c r="A36" s="23" t="s">
        <v>41</v>
      </c>
      <c r="B36" s="23" t="s">
        <v>622</v>
      </c>
      <c r="C36" s="23" t="s">
        <v>180</v>
      </c>
      <c r="D36" s="23" t="s">
        <v>596</v>
      </c>
      <c r="E36" s="23" t="s">
        <v>602</v>
      </c>
      <c r="F36" s="23" t="s">
        <v>630</v>
      </c>
      <c r="G36" s="23"/>
      <c r="H36" s="23" t="s">
        <v>228</v>
      </c>
      <c r="I36" s="23"/>
    </row>
    <row r="37" spans="1:9" x14ac:dyDescent="0.3">
      <c r="A37" s="23" t="s">
        <v>41</v>
      </c>
      <c r="B37" s="23" t="s">
        <v>622</v>
      </c>
      <c r="C37" s="23" t="s">
        <v>181</v>
      </c>
      <c r="D37" s="23" t="s">
        <v>596</v>
      </c>
      <c r="E37" s="23" t="s">
        <v>602</v>
      </c>
      <c r="F37" s="23" t="s">
        <v>631</v>
      </c>
      <c r="G37" s="23"/>
      <c r="H37" s="23" t="s">
        <v>228</v>
      </c>
      <c r="I37" s="23"/>
    </row>
    <row r="38" spans="1:9" x14ac:dyDescent="0.3">
      <c r="A38" s="23" t="s">
        <v>41</v>
      </c>
      <c r="B38" s="23" t="s">
        <v>622</v>
      </c>
      <c r="C38" s="23" t="s">
        <v>183</v>
      </c>
      <c r="D38" s="23" t="s">
        <v>596</v>
      </c>
      <c r="E38" s="23" t="s">
        <v>602</v>
      </c>
      <c r="F38" s="23" t="s">
        <v>614</v>
      </c>
      <c r="G38" s="23"/>
      <c r="H38" s="23" t="s">
        <v>228</v>
      </c>
      <c r="I38" s="23"/>
    </row>
    <row r="39" spans="1:9" x14ac:dyDescent="0.3">
      <c r="A39" s="23" t="s">
        <v>41</v>
      </c>
      <c r="B39" s="23" t="s">
        <v>622</v>
      </c>
      <c r="C39" s="23" t="s">
        <v>185</v>
      </c>
      <c r="D39" s="23" t="s">
        <v>596</v>
      </c>
      <c r="E39" s="23" t="s">
        <v>602</v>
      </c>
      <c r="F39" s="23" t="s">
        <v>632</v>
      </c>
      <c r="G39" s="23"/>
      <c r="H39" s="23" t="s">
        <v>228</v>
      </c>
      <c r="I39" s="23"/>
    </row>
    <row r="40" spans="1:9" x14ac:dyDescent="0.3">
      <c r="A40" s="23" t="s">
        <v>41</v>
      </c>
      <c r="B40" s="23" t="s">
        <v>622</v>
      </c>
      <c r="C40" s="23" t="s">
        <v>214</v>
      </c>
      <c r="D40" s="23" t="s">
        <v>615</v>
      </c>
      <c r="E40" s="23" t="s">
        <v>602</v>
      </c>
      <c r="F40" s="23" t="s">
        <v>633</v>
      </c>
      <c r="G40" s="23"/>
      <c r="H40" s="23" t="s">
        <v>228</v>
      </c>
      <c r="I40" s="23"/>
    </row>
    <row r="41" spans="1:9" x14ac:dyDescent="0.3">
      <c r="A41" s="23" t="s">
        <v>41</v>
      </c>
      <c r="B41" s="23" t="s">
        <v>622</v>
      </c>
      <c r="C41" s="23" t="s">
        <v>215</v>
      </c>
      <c r="D41" s="23" t="s">
        <v>596</v>
      </c>
      <c r="E41" s="23" t="s">
        <v>602</v>
      </c>
      <c r="F41" s="23" t="s">
        <v>634</v>
      </c>
      <c r="G41" s="23"/>
      <c r="H41" s="23" t="s">
        <v>228</v>
      </c>
      <c r="I41" s="23"/>
    </row>
    <row r="42" spans="1:9" x14ac:dyDescent="0.3">
      <c r="A42" s="23" t="s">
        <v>41</v>
      </c>
      <c r="B42" s="23" t="s">
        <v>622</v>
      </c>
      <c r="C42" s="23" t="s">
        <v>216</v>
      </c>
      <c r="D42" s="23" t="s">
        <v>596</v>
      </c>
      <c r="E42" s="23" t="s">
        <v>582</v>
      </c>
      <c r="F42" s="23" t="s">
        <v>635</v>
      </c>
      <c r="G42" s="23"/>
      <c r="H42" s="23" t="s">
        <v>228</v>
      </c>
      <c r="I42" s="23"/>
    </row>
    <row r="43" spans="1:9" ht="26.4" x14ac:dyDescent="0.3">
      <c r="A43" s="23" t="s">
        <v>41</v>
      </c>
      <c r="B43" s="23" t="s">
        <v>622</v>
      </c>
      <c r="C43" s="23" t="s">
        <v>217</v>
      </c>
      <c r="D43" s="23" t="s">
        <v>620</v>
      </c>
      <c r="E43" s="23" t="s">
        <v>582</v>
      </c>
      <c r="F43" s="23" t="s">
        <v>636</v>
      </c>
      <c r="G43" s="23"/>
      <c r="H43" s="23" t="s">
        <v>228</v>
      </c>
      <c r="I43" s="23"/>
    </row>
    <row r="44" spans="1:9" x14ac:dyDescent="0.3">
      <c r="A44" s="23" t="s">
        <v>41</v>
      </c>
      <c r="B44" s="23" t="s">
        <v>622</v>
      </c>
      <c r="C44" s="23" t="s">
        <v>218</v>
      </c>
      <c r="D44" s="23" t="s">
        <v>615</v>
      </c>
      <c r="E44" s="23" t="s">
        <v>602</v>
      </c>
      <c r="F44" s="23" t="s">
        <v>637</v>
      </c>
      <c r="G44" s="23"/>
      <c r="H44" s="23" t="s">
        <v>228</v>
      </c>
      <c r="I44" s="23"/>
    </row>
    <row r="45" spans="1:9" x14ac:dyDescent="0.3">
      <c r="A45" s="23" t="s">
        <v>41</v>
      </c>
      <c r="B45" s="23" t="s">
        <v>622</v>
      </c>
      <c r="C45" s="23" t="s">
        <v>219</v>
      </c>
      <c r="D45" s="23" t="s">
        <v>615</v>
      </c>
      <c r="E45" s="23" t="s">
        <v>602</v>
      </c>
      <c r="F45" s="23" t="s">
        <v>638</v>
      </c>
      <c r="G45" s="23"/>
      <c r="H45" s="23" t="s">
        <v>228</v>
      </c>
      <c r="I45" s="23"/>
    </row>
    <row r="46" spans="1:9" x14ac:dyDescent="0.3">
      <c r="A46" s="23" t="s">
        <v>41</v>
      </c>
      <c r="B46" s="23" t="s">
        <v>622</v>
      </c>
      <c r="C46" s="23" t="s">
        <v>220</v>
      </c>
      <c r="D46" s="23" t="s">
        <v>615</v>
      </c>
      <c r="E46" s="23" t="s">
        <v>602</v>
      </c>
      <c r="F46" s="23" t="s">
        <v>639</v>
      </c>
      <c r="G46" s="23"/>
      <c r="H46" s="23" t="s">
        <v>228</v>
      </c>
      <c r="I46" s="23"/>
    </row>
    <row r="47" spans="1:9" x14ac:dyDescent="0.3">
      <c r="A47" s="23" t="s">
        <v>41</v>
      </c>
      <c r="B47" s="23" t="s">
        <v>622</v>
      </c>
      <c r="C47" s="23" t="s">
        <v>221</v>
      </c>
      <c r="D47" s="23" t="s">
        <v>615</v>
      </c>
      <c r="E47" s="23" t="s">
        <v>602</v>
      </c>
      <c r="F47" s="23" t="s">
        <v>640</v>
      </c>
      <c r="G47" s="23"/>
      <c r="H47" s="23" t="s">
        <v>228</v>
      </c>
      <c r="I47" s="23"/>
    </row>
    <row r="48" spans="1:9" x14ac:dyDescent="0.3">
      <c r="A48" s="23" t="s">
        <v>41</v>
      </c>
      <c r="B48" s="23" t="s">
        <v>622</v>
      </c>
      <c r="C48" s="23" t="s">
        <v>222</v>
      </c>
      <c r="D48" s="23" t="s">
        <v>615</v>
      </c>
      <c r="E48" s="23" t="s">
        <v>602</v>
      </c>
      <c r="F48" s="23" t="s">
        <v>641</v>
      </c>
      <c r="G48" s="23"/>
      <c r="H48" s="23" t="s">
        <v>228</v>
      </c>
      <c r="I48" s="23"/>
    </row>
    <row r="49" spans="1:9" x14ac:dyDescent="0.3">
      <c r="A49" s="23" t="s">
        <v>41</v>
      </c>
      <c r="B49" s="23" t="s">
        <v>622</v>
      </c>
      <c r="C49" s="23" t="s">
        <v>223</v>
      </c>
      <c r="D49" s="23" t="s">
        <v>615</v>
      </c>
      <c r="E49" s="23" t="s">
        <v>602</v>
      </c>
      <c r="F49" s="23" t="s">
        <v>642</v>
      </c>
      <c r="G49" s="23"/>
      <c r="H49" s="23" t="s">
        <v>228</v>
      </c>
      <c r="I49" s="23"/>
    </row>
    <row r="50" spans="1:9" x14ac:dyDescent="0.3">
      <c r="A50" s="23" t="s">
        <v>41</v>
      </c>
      <c r="B50" s="23" t="s">
        <v>622</v>
      </c>
      <c r="C50" s="23" t="s">
        <v>224</v>
      </c>
      <c r="D50" s="23" t="s">
        <v>615</v>
      </c>
      <c r="E50" s="23" t="s">
        <v>602</v>
      </c>
      <c r="F50" s="23" t="s">
        <v>643</v>
      </c>
      <c r="G50" s="23"/>
      <c r="H50" s="23" t="s">
        <v>228</v>
      </c>
      <c r="I50" s="23"/>
    </row>
    <row r="51" spans="1:9" x14ac:dyDescent="0.3">
      <c r="A51" s="23" t="s">
        <v>41</v>
      </c>
      <c r="B51" s="23" t="s">
        <v>622</v>
      </c>
      <c r="C51" s="23" t="s">
        <v>88</v>
      </c>
      <c r="D51" s="23" t="s">
        <v>581</v>
      </c>
      <c r="E51" s="23" t="s">
        <v>602</v>
      </c>
      <c r="F51" s="23" t="s">
        <v>644</v>
      </c>
      <c r="G51" s="23"/>
      <c r="H51" s="23" t="s">
        <v>228</v>
      </c>
      <c r="I51" s="23"/>
    </row>
    <row r="52" spans="1:9" x14ac:dyDescent="0.3">
      <c r="A52" s="23" t="s">
        <v>41</v>
      </c>
      <c r="B52" s="23" t="s">
        <v>622</v>
      </c>
      <c r="C52" s="23" t="s">
        <v>89</v>
      </c>
      <c r="D52" s="23" t="s">
        <v>581</v>
      </c>
      <c r="E52" s="23" t="s">
        <v>602</v>
      </c>
      <c r="F52" s="23" t="s">
        <v>645</v>
      </c>
      <c r="G52" s="23"/>
      <c r="H52" s="23" t="s">
        <v>228</v>
      </c>
      <c r="I52" s="23"/>
    </row>
    <row r="53" spans="1:9" ht="26.4" x14ac:dyDescent="0.3">
      <c r="A53" s="23" t="s">
        <v>43</v>
      </c>
      <c r="B53" s="23" t="s">
        <v>646</v>
      </c>
      <c r="C53" s="23" t="s">
        <v>230</v>
      </c>
      <c r="D53" s="23" t="s">
        <v>581</v>
      </c>
      <c r="E53" s="23" t="s">
        <v>582</v>
      </c>
      <c r="F53" s="23" t="s">
        <v>647</v>
      </c>
      <c r="G53" s="23"/>
      <c r="H53" s="23" t="s">
        <v>228</v>
      </c>
      <c r="I53" s="23" t="s">
        <v>584</v>
      </c>
    </row>
    <row r="54" spans="1:9" ht="26.4" x14ac:dyDescent="0.3">
      <c r="A54" s="23" t="s">
        <v>43</v>
      </c>
      <c r="B54" s="23" t="s">
        <v>646</v>
      </c>
      <c r="C54" s="23" t="s">
        <v>231</v>
      </c>
      <c r="D54" s="23" t="s">
        <v>600</v>
      </c>
      <c r="E54" s="23" t="s">
        <v>582</v>
      </c>
      <c r="F54" s="23" t="s">
        <v>648</v>
      </c>
      <c r="G54" s="23"/>
      <c r="H54" s="23" t="s">
        <v>228</v>
      </c>
      <c r="I54" s="23"/>
    </row>
    <row r="55" spans="1:9" ht="26.4" x14ac:dyDescent="0.3">
      <c r="A55" s="23" t="s">
        <v>43</v>
      </c>
      <c r="B55" s="23" t="s">
        <v>646</v>
      </c>
      <c r="C55" s="23" t="s">
        <v>75</v>
      </c>
      <c r="D55" s="23" t="s">
        <v>581</v>
      </c>
      <c r="E55" s="23" t="s">
        <v>582</v>
      </c>
      <c r="F55" s="23" t="s">
        <v>607</v>
      </c>
      <c r="G55" s="23"/>
      <c r="H55" s="23" t="s">
        <v>228</v>
      </c>
      <c r="I55" s="23" t="s">
        <v>623</v>
      </c>
    </row>
    <row r="56" spans="1:9" ht="26.4" x14ac:dyDescent="0.3">
      <c r="A56" s="23" t="s">
        <v>43</v>
      </c>
      <c r="B56" s="23" t="s">
        <v>646</v>
      </c>
      <c r="C56" s="23" t="s">
        <v>232</v>
      </c>
      <c r="D56" s="23" t="s">
        <v>581</v>
      </c>
      <c r="E56" s="23" t="s">
        <v>582</v>
      </c>
      <c r="F56" s="23" t="s">
        <v>649</v>
      </c>
      <c r="G56" s="23"/>
      <c r="H56" s="23" t="s">
        <v>228</v>
      </c>
      <c r="I56" s="23"/>
    </row>
    <row r="57" spans="1:9" ht="26.4" x14ac:dyDescent="0.3">
      <c r="A57" s="23" t="s">
        <v>43</v>
      </c>
      <c r="B57" s="23" t="s">
        <v>646</v>
      </c>
      <c r="C57" s="23" t="s">
        <v>233</v>
      </c>
      <c r="D57" s="23" t="s">
        <v>581</v>
      </c>
      <c r="E57" s="23" t="s">
        <v>582</v>
      </c>
      <c r="F57" s="23" t="s">
        <v>650</v>
      </c>
      <c r="G57" s="23"/>
      <c r="H57" s="23" t="s">
        <v>228</v>
      </c>
      <c r="I57" s="23"/>
    </row>
    <row r="58" spans="1:9" ht="26.4" x14ac:dyDescent="0.3">
      <c r="A58" s="23" t="s">
        <v>43</v>
      </c>
      <c r="B58" s="23" t="s">
        <v>646</v>
      </c>
      <c r="C58" s="23" t="s">
        <v>234</v>
      </c>
      <c r="D58" s="23" t="s">
        <v>581</v>
      </c>
      <c r="E58" s="23" t="s">
        <v>582</v>
      </c>
      <c r="F58" s="23" t="s">
        <v>651</v>
      </c>
      <c r="G58" s="23"/>
      <c r="H58" s="23" t="s">
        <v>228</v>
      </c>
      <c r="I58" s="23"/>
    </row>
    <row r="59" spans="1:9" ht="26.4" x14ac:dyDescent="0.3">
      <c r="A59" s="23" t="s">
        <v>43</v>
      </c>
      <c r="B59" s="23" t="s">
        <v>646</v>
      </c>
      <c r="C59" s="23" t="s">
        <v>235</v>
      </c>
      <c r="D59" s="23" t="s">
        <v>581</v>
      </c>
      <c r="E59" s="23" t="s">
        <v>582</v>
      </c>
      <c r="F59" s="23" t="s">
        <v>652</v>
      </c>
      <c r="G59" s="23"/>
      <c r="H59" s="23" t="s">
        <v>228</v>
      </c>
      <c r="I59" s="23"/>
    </row>
    <row r="60" spans="1:9" ht="26.4" x14ac:dyDescent="0.3">
      <c r="A60" s="23" t="s">
        <v>43</v>
      </c>
      <c r="B60" s="23" t="s">
        <v>646</v>
      </c>
      <c r="C60" s="23" t="s">
        <v>236</v>
      </c>
      <c r="D60" s="23" t="s">
        <v>581</v>
      </c>
      <c r="E60" s="23" t="s">
        <v>582</v>
      </c>
      <c r="F60" s="23" t="s">
        <v>653</v>
      </c>
      <c r="G60" s="23" t="s">
        <v>626</v>
      </c>
      <c r="H60" s="23" t="s">
        <v>228</v>
      </c>
      <c r="I60" s="23"/>
    </row>
    <row r="61" spans="1:9" ht="26.4" x14ac:dyDescent="0.3">
      <c r="A61" s="23" t="s">
        <v>43</v>
      </c>
      <c r="B61" s="23" t="s">
        <v>646</v>
      </c>
      <c r="C61" s="23" t="s">
        <v>237</v>
      </c>
      <c r="D61" s="23" t="s">
        <v>581</v>
      </c>
      <c r="E61" s="23" t="s">
        <v>582</v>
      </c>
      <c r="F61" s="23" t="s">
        <v>654</v>
      </c>
      <c r="G61" s="23"/>
      <c r="H61" s="23" t="s">
        <v>228</v>
      </c>
      <c r="I61" s="23"/>
    </row>
    <row r="62" spans="1:9" ht="26.4" x14ac:dyDescent="0.3">
      <c r="A62" s="23" t="s">
        <v>43</v>
      </c>
      <c r="B62" s="23" t="s">
        <v>646</v>
      </c>
      <c r="C62" s="23" t="s">
        <v>238</v>
      </c>
      <c r="D62" s="23" t="s">
        <v>600</v>
      </c>
      <c r="E62" s="23" t="s">
        <v>582</v>
      </c>
      <c r="F62" s="23" t="s">
        <v>655</v>
      </c>
      <c r="G62" s="23"/>
      <c r="H62" s="23" t="s">
        <v>226</v>
      </c>
      <c r="I62" s="23"/>
    </row>
    <row r="63" spans="1:9" ht="26.4" x14ac:dyDescent="0.3">
      <c r="A63" s="23" t="s">
        <v>43</v>
      </c>
      <c r="B63" s="23" t="s">
        <v>646</v>
      </c>
      <c r="C63" s="23" t="s">
        <v>239</v>
      </c>
      <c r="D63" s="23" t="s">
        <v>600</v>
      </c>
      <c r="E63" s="23" t="s">
        <v>582</v>
      </c>
      <c r="F63" s="23" t="s">
        <v>656</v>
      </c>
      <c r="G63" s="23"/>
      <c r="H63" s="23" t="s">
        <v>226</v>
      </c>
      <c r="I63" s="23"/>
    </row>
    <row r="64" spans="1:9" ht="26.4" x14ac:dyDescent="0.3">
      <c r="A64" s="23" t="s">
        <v>43</v>
      </c>
      <c r="B64" s="23" t="s">
        <v>646</v>
      </c>
      <c r="C64" s="23" t="s">
        <v>240</v>
      </c>
      <c r="D64" s="23" t="s">
        <v>596</v>
      </c>
      <c r="E64" s="23" t="s">
        <v>602</v>
      </c>
      <c r="F64" s="23" t="s">
        <v>657</v>
      </c>
      <c r="G64" s="23"/>
      <c r="H64" s="23" t="s">
        <v>228</v>
      </c>
      <c r="I64" s="23"/>
    </row>
    <row r="65" spans="1:9" ht="26.4" x14ac:dyDescent="0.3">
      <c r="A65" s="23" t="s">
        <v>43</v>
      </c>
      <c r="B65" s="23" t="s">
        <v>646</v>
      </c>
      <c r="C65" s="23" t="s">
        <v>14</v>
      </c>
      <c r="D65" s="23" t="s">
        <v>581</v>
      </c>
      <c r="E65" s="23" t="s">
        <v>602</v>
      </c>
      <c r="F65" s="23" t="s">
        <v>658</v>
      </c>
      <c r="G65" s="23"/>
      <c r="H65" s="23" t="s">
        <v>228</v>
      </c>
      <c r="I65" s="23"/>
    </row>
    <row r="66" spans="1:9" ht="26.4" x14ac:dyDescent="0.3">
      <c r="A66" s="23" t="s">
        <v>45</v>
      </c>
      <c r="B66" s="23" t="s">
        <v>659</v>
      </c>
      <c r="C66" s="23" t="s">
        <v>493</v>
      </c>
      <c r="D66" s="23" t="s">
        <v>581</v>
      </c>
      <c r="E66" s="23" t="s">
        <v>582</v>
      </c>
      <c r="F66" s="23" t="s">
        <v>660</v>
      </c>
      <c r="G66" s="23"/>
      <c r="H66" s="23" t="s">
        <v>228</v>
      </c>
      <c r="I66" s="23" t="s">
        <v>584</v>
      </c>
    </row>
    <row r="67" spans="1:9" ht="26.4" x14ac:dyDescent="0.3">
      <c r="A67" s="23" t="s">
        <v>45</v>
      </c>
      <c r="B67" s="23" t="s">
        <v>659</v>
      </c>
      <c r="C67" s="23" t="s">
        <v>494</v>
      </c>
      <c r="D67" s="23" t="s">
        <v>581</v>
      </c>
      <c r="E67" s="23" t="s">
        <v>582</v>
      </c>
      <c r="F67" s="23" t="s">
        <v>661</v>
      </c>
      <c r="G67" s="23"/>
      <c r="H67" s="23" t="s">
        <v>228</v>
      </c>
      <c r="I67" s="23"/>
    </row>
    <row r="68" spans="1:9" ht="26.4" x14ac:dyDescent="0.3">
      <c r="A68" s="23" t="s">
        <v>45</v>
      </c>
      <c r="B68" s="23" t="s">
        <v>659</v>
      </c>
      <c r="C68" s="23" t="s">
        <v>495</v>
      </c>
      <c r="D68" s="23" t="s">
        <v>581</v>
      </c>
      <c r="E68" s="23" t="s">
        <v>582</v>
      </c>
      <c r="F68" s="23" t="s">
        <v>662</v>
      </c>
      <c r="G68" s="23"/>
      <c r="H68" s="23" t="s">
        <v>228</v>
      </c>
      <c r="I68" s="23"/>
    </row>
    <row r="69" spans="1:9" ht="26.4" x14ac:dyDescent="0.3">
      <c r="A69" s="23" t="s">
        <v>45</v>
      </c>
      <c r="B69" s="23" t="s">
        <v>659</v>
      </c>
      <c r="C69" s="23" t="s">
        <v>496</v>
      </c>
      <c r="D69" s="23" t="s">
        <v>581</v>
      </c>
      <c r="E69" s="23" t="s">
        <v>582</v>
      </c>
      <c r="F69" s="23" t="s">
        <v>663</v>
      </c>
      <c r="G69" s="23"/>
      <c r="H69" s="23" t="s">
        <v>228</v>
      </c>
      <c r="I69" s="23"/>
    </row>
    <row r="70" spans="1:9" ht="26.4" x14ac:dyDescent="0.3">
      <c r="A70" s="23" t="s">
        <v>45</v>
      </c>
      <c r="B70" s="23" t="s">
        <v>659</v>
      </c>
      <c r="C70" s="23" t="s">
        <v>497</v>
      </c>
      <c r="D70" s="23" t="s">
        <v>581</v>
      </c>
      <c r="E70" s="23" t="s">
        <v>582</v>
      </c>
      <c r="F70" s="23" t="s">
        <v>664</v>
      </c>
      <c r="G70" s="23"/>
      <c r="H70" s="23" t="s">
        <v>228</v>
      </c>
      <c r="I70" s="23"/>
    </row>
    <row r="71" spans="1:9" ht="26.4" x14ac:dyDescent="0.3">
      <c r="A71" s="23" t="s">
        <v>45</v>
      </c>
      <c r="B71" s="23" t="s">
        <v>659</v>
      </c>
      <c r="C71" s="23" t="s">
        <v>498</v>
      </c>
      <c r="D71" s="23" t="s">
        <v>581</v>
      </c>
      <c r="E71" s="23" t="s">
        <v>582</v>
      </c>
      <c r="F71" s="23" t="s">
        <v>665</v>
      </c>
      <c r="G71" s="23"/>
      <c r="H71" s="23" t="s">
        <v>228</v>
      </c>
      <c r="I71" s="23"/>
    </row>
    <row r="72" spans="1:9" ht="26.4" x14ac:dyDescent="0.3">
      <c r="A72" s="23" t="s">
        <v>45</v>
      </c>
      <c r="B72" s="23" t="s">
        <v>659</v>
      </c>
      <c r="C72" s="23" t="s">
        <v>499</v>
      </c>
      <c r="D72" s="23" t="s">
        <v>581</v>
      </c>
      <c r="E72" s="23" t="s">
        <v>582</v>
      </c>
      <c r="F72" s="23" t="s">
        <v>666</v>
      </c>
      <c r="G72" s="23"/>
      <c r="H72" s="23" t="s">
        <v>228</v>
      </c>
      <c r="I72" s="23"/>
    </row>
    <row r="73" spans="1:9" ht="26.4" x14ac:dyDescent="0.3">
      <c r="A73" s="23" t="s">
        <v>45</v>
      </c>
      <c r="B73" s="23" t="s">
        <v>659</v>
      </c>
      <c r="C73" s="23" t="s">
        <v>500</v>
      </c>
      <c r="D73" s="23" t="s">
        <v>581</v>
      </c>
      <c r="E73" s="23" t="s">
        <v>582</v>
      </c>
      <c r="F73" s="23" t="s">
        <v>667</v>
      </c>
      <c r="G73" s="23"/>
      <c r="H73" s="23" t="s">
        <v>228</v>
      </c>
      <c r="I73" s="23"/>
    </row>
    <row r="74" spans="1:9" x14ac:dyDescent="0.3">
      <c r="A74" s="23" t="s">
        <v>47</v>
      </c>
      <c r="B74" s="23" t="s">
        <v>668</v>
      </c>
      <c r="C74" s="23" t="s">
        <v>539</v>
      </c>
      <c r="D74" s="23" t="s">
        <v>581</v>
      </c>
      <c r="E74" s="23" t="s">
        <v>582</v>
      </c>
      <c r="F74" s="23" t="s">
        <v>669</v>
      </c>
      <c r="G74" s="23"/>
      <c r="H74" s="23" t="s">
        <v>228</v>
      </c>
      <c r="I74" s="23" t="s">
        <v>584</v>
      </c>
    </row>
    <row r="75" spans="1:9" x14ac:dyDescent="0.3">
      <c r="A75" s="23" t="s">
        <v>47</v>
      </c>
      <c r="B75" s="23" t="s">
        <v>668</v>
      </c>
      <c r="C75" s="23" t="s">
        <v>75</v>
      </c>
      <c r="D75" s="23" t="s">
        <v>581</v>
      </c>
      <c r="E75" s="23" t="s">
        <v>582</v>
      </c>
      <c r="F75" s="23" t="s">
        <v>607</v>
      </c>
      <c r="G75" s="23"/>
      <c r="H75" s="23" t="s">
        <v>228</v>
      </c>
      <c r="I75" s="23"/>
    </row>
    <row r="76" spans="1:9" ht="26.4" x14ac:dyDescent="0.3">
      <c r="A76" s="23" t="s">
        <v>47</v>
      </c>
      <c r="B76" s="23" t="s">
        <v>668</v>
      </c>
      <c r="C76" s="23" t="s">
        <v>540</v>
      </c>
      <c r="D76" s="23" t="s">
        <v>600</v>
      </c>
      <c r="E76" s="23" t="s">
        <v>582</v>
      </c>
      <c r="F76" s="23" t="s">
        <v>670</v>
      </c>
      <c r="G76" s="23"/>
      <c r="H76" s="23" t="s">
        <v>228</v>
      </c>
      <c r="I76" s="23"/>
    </row>
    <row r="77" spans="1:9" ht="26.4" x14ac:dyDescent="0.3">
      <c r="A77" s="23" t="s">
        <v>47</v>
      </c>
      <c r="B77" s="23" t="s">
        <v>668</v>
      </c>
      <c r="C77" s="23" t="s">
        <v>541</v>
      </c>
      <c r="D77" s="23" t="s">
        <v>600</v>
      </c>
      <c r="E77" s="23" t="s">
        <v>582</v>
      </c>
      <c r="F77" s="23" t="s">
        <v>671</v>
      </c>
      <c r="G77" s="23"/>
      <c r="H77" s="23" t="s">
        <v>226</v>
      </c>
      <c r="I77" s="23"/>
    </row>
    <row r="78" spans="1:9" x14ac:dyDescent="0.3">
      <c r="A78" s="23" t="s">
        <v>47</v>
      </c>
      <c r="B78" s="23" t="s">
        <v>668</v>
      </c>
      <c r="C78" s="23" t="s">
        <v>79</v>
      </c>
      <c r="D78" s="23" t="s">
        <v>581</v>
      </c>
      <c r="E78" s="23" t="s">
        <v>582</v>
      </c>
      <c r="F78" s="23" t="s">
        <v>672</v>
      </c>
      <c r="G78" s="23"/>
      <c r="H78" s="23" t="s">
        <v>228</v>
      </c>
      <c r="I78" s="23"/>
    </row>
    <row r="79" spans="1:9" x14ac:dyDescent="0.3">
      <c r="A79" s="23" t="s">
        <v>47</v>
      </c>
      <c r="B79" s="23" t="s">
        <v>668</v>
      </c>
      <c r="C79" s="23" t="s">
        <v>542</v>
      </c>
      <c r="D79" s="23" t="s">
        <v>581</v>
      </c>
      <c r="E79" s="23" t="s">
        <v>582</v>
      </c>
      <c r="F79" s="23" t="s">
        <v>673</v>
      </c>
      <c r="G79" s="23"/>
      <c r="H79" s="23" t="s">
        <v>228</v>
      </c>
      <c r="I79" s="23"/>
    </row>
    <row r="80" spans="1:9" x14ac:dyDescent="0.3">
      <c r="A80" s="23" t="s">
        <v>47</v>
      </c>
      <c r="B80" s="23" t="s">
        <v>668</v>
      </c>
      <c r="C80" s="23" t="s">
        <v>14</v>
      </c>
      <c r="D80" s="23" t="s">
        <v>581</v>
      </c>
      <c r="E80" s="23" t="s">
        <v>582</v>
      </c>
      <c r="F80" s="23" t="s">
        <v>674</v>
      </c>
      <c r="G80" s="23" t="s">
        <v>675</v>
      </c>
      <c r="H80" s="23" t="s">
        <v>228</v>
      </c>
      <c r="I80" s="23"/>
    </row>
    <row r="81" spans="1:9" x14ac:dyDescent="0.3">
      <c r="A81" s="23" t="s">
        <v>47</v>
      </c>
      <c r="B81" s="23" t="s">
        <v>668</v>
      </c>
      <c r="C81" s="23" t="s">
        <v>543</v>
      </c>
      <c r="D81" s="23" t="s">
        <v>581</v>
      </c>
      <c r="E81" s="23" t="s">
        <v>582</v>
      </c>
      <c r="F81" s="23" t="s">
        <v>676</v>
      </c>
      <c r="G81" s="23"/>
      <c r="H81" s="23" t="s">
        <v>226</v>
      </c>
      <c r="I81" s="23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9</vt:i4>
      </vt:variant>
      <vt:variant>
        <vt:lpstr>Intervalos com Nome</vt:lpstr>
      </vt:variant>
      <vt:variant>
        <vt:i4>13</vt:i4>
      </vt:variant>
    </vt:vector>
  </HeadingPairs>
  <TitlesOfParts>
    <vt:vector size="22" baseType="lpstr">
      <vt:lpstr>00_LEIA-ME</vt:lpstr>
      <vt:lpstr>Fornecedores</vt:lpstr>
      <vt:lpstr>Desempenho_Mensal</vt:lpstr>
      <vt:lpstr>Reavaliacao_Semestral</vt:lpstr>
      <vt:lpstr>Reclamacoes_Fornecedor</vt:lpstr>
      <vt:lpstr>Informacao_Fornecedores</vt:lpstr>
      <vt:lpstr>Auditorias_Fornecedores</vt:lpstr>
      <vt:lpstr>Listas</vt:lpstr>
      <vt:lpstr>Dicionario_Dados</vt:lpstr>
      <vt:lpstr>DataRef</vt:lpstr>
      <vt:lpstr>lst_Controlo841</vt:lpstr>
      <vt:lpstr>lst_DataReferencia</vt:lpstr>
      <vt:lpstr>lst_EstadoAprov</vt:lpstr>
      <vt:lpstr>lst_EstadoAud</vt:lpstr>
      <vt:lpstr>lst_SimNao</vt:lpstr>
      <vt:lpstr>lst_TipoFornec</vt:lpstr>
      <vt:lpstr>Auditorias_Fornecedores!Títulos_de_Impressão</vt:lpstr>
      <vt:lpstr>Desempenho_Mensal!Títulos_de_Impressão</vt:lpstr>
      <vt:lpstr>Fornecedores!Títulos_de_Impressão</vt:lpstr>
      <vt:lpstr>Informacao_Fornecedores!Títulos_de_Impressão</vt:lpstr>
      <vt:lpstr>Reavaliacao_Semestral!Títulos_de_Impressão</vt:lpstr>
      <vt:lpstr>Reclamacoes_Fornecedor!Títulos_de_Impressão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RG-SGQ-12 Fornecedores Externos: Aprovação, Desempenho e Reavaliação</dc:title>
  <dc:subject>SGQ NP EN ISO 9001:2026 — Plasticom</dc:subject>
  <dc:creator>Gerente da Qualidade</dc:creator>
  <cp:lastModifiedBy>Aline Meireles</cp:lastModifiedBy>
  <dcterms:created xsi:type="dcterms:W3CDTF">2026-09-30T16:46:50Z</dcterms:created>
  <dcterms:modified xsi:type="dcterms:W3CDTF">2026-09-30T16:47:13Z</dcterms:modified>
</cp:coreProperties>
</file>