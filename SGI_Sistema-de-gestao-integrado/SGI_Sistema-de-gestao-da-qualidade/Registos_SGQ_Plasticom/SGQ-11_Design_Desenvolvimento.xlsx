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I_Sistema-de-gestao-da-qualidade\Registos_SGQ_Plasticom\"/>
    </mc:Choice>
  </mc:AlternateContent>
  <xr:revisionPtr revIDLastSave="0" documentId="13_ncr:1_{09B63520-C5B0-433B-B99E-DEA6EE64F253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Projetos_DD" sheetId="2" r:id="rId2"/>
    <sheet name="Entradas_DD" sheetId="3" r:id="rId3"/>
    <sheet name="Etapas_Controlo" sheetId="4" r:id="rId4"/>
    <sheet name="Saidas_DD" sheetId="5" r:id="rId5"/>
    <sheet name="Alteracoes_Design" sheetId="6" r:id="rId6"/>
    <sheet name="Listas" sheetId="7" r:id="rId7"/>
    <sheet name="Dicionario_Dados" sheetId="8" r:id="rId8"/>
  </sheets>
  <definedNames>
    <definedName name="DataRef">Listas!$A$3</definedName>
    <definedName name="lst_DataReferencia">Listas!$A$3:$A$3</definedName>
    <definedName name="lst_EstadoAlt">Listas!$F$3:$F$6</definedName>
    <definedName name="lst_EstadoProj">Listas!$B$3:$B$6</definedName>
    <definedName name="lst_EstadoSaida">Listas!$G$3:$G$5</definedName>
    <definedName name="lst_Funcao">Listas!$H$3:$H$28</definedName>
    <definedName name="lst_ResEtapa">Listas!$D$3:$D$6</definedName>
    <definedName name="lst_SimNao">Listas!$E$3:$E$4</definedName>
    <definedName name="lst_TipoEtapa">Listas!$C$3:$C$6</definedName>
    <definedName name="_xlnm.Print_Titles" localSheetId="5">Alteracoes_Design!$4:$4</definedName>
    <definedName name="_xlnm.Print_Titles" localSheetId="2">Entradas_DD!$1:$1</definedName>
    <definedName name="_xlnm.Print_Titles" localSheetId="3">Etapas_Controlo!$4:$4</definedName>
    <definedName name="_xlnm.Print_Titles" localSheetId="1">Projetos_DD!$4:$4</definedName>
    <definedName name="_xlnm.Print_Titles" localSheetId="4">Saidas_DD!$1:$1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0" i="4" l="1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W10" i="2"/>
  <c r="V10" i="2"/>
  <c r="T10" i="2"/>
  <c r="X10" i="2" s="1"/>
  <c r="W9" i="2"/>
  <c r="V9" i="2"/>
  <c r="T9" i="2"/>
  <c r="X9" i="2" s="1"/>
  <c r="W8" i="2"/>
  <c r="V8" i="2"/>
  <c r="T8" i="2"/>
  <c r="X8" i="2" s="1"/>
  <c r="W7" i="2"/>
  <c r="V7" i="2"/>
  <c r="T7" i="2"/>
  <c r="X7" i="2" s="1"/>
  <c r="W6" i="2"/>
  <c r="V6" i="2"/>
  <c r="T6" i="2"/>
  <c r="X6" i="2" s="1"/>
  <c r="W5" i="2"/>
  <c r="V5" i="2"/>
  <c r="T5" i="2"/>
  <c r="X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Projeto.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Título.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Produtos (IDs do dataset).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Prefixo da família.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Clientes (8.3.2 g).</t>
        </r>
      </text>
    </comment>
    <comment ref="F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Molde e máquina.</t>
        </r>
      </text>
    </comment>
    <comment ref="G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8.3.2 a).</t>
        </r>
      </text>
    </comment>
    <comment ref="H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8.3.2 d).</t>
        </r>
      </text>
    </comment>
    <comment ref="I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8.3.2 f).</t>
        </r>
      </text>
    </comment>
    <comment ref="J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8.3.2 g).</t>
        </r>
      </text>
    </comment>
    <comment ref="K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8.3.2 h).</t>
        </r>
      </text>
    </comment>
    <comment ref="L4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8.3.2 i).</t>
        </r>
      </text>
    </comment>
    <comment ref="M4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Início.</t>
        </r>
      </text>
    </comment>
    <comment ref="N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Fim planeado.</t>
        </r>
      </text>
    </comment>
    <comment ref="O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Libertação para série.</t>
        </r>
      </text>
    </comment>
    <comment ref="P4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Estado.</t>
        </r>
      </text>
    </comment>
    <comment ref="Q4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Lotes com decisão desde o lançamento (dataset jul–dez/2026).</t>
        </r>
      </text>
    </comment>
    <comment ref="R4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Lotes aprovados à primeira (dataset).</t>
        </r>
      </text>
    </comment>
    <comment ref="S4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Lotes rejeitados (dataset).</t>
        </r>
      </text>
    </comment>
    <comment ref="T4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FPY de lote desde o lançamento.
[calculado]</t>
        </r>
      </text>
    </comment>
    <comment ref="U4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Meta de FPY no safe launch.</t>
        </r>
      </text>
    </comment>
    <comment ref="V4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Gates aprovados.
[calculado]</t>
        </r>
      </text>
    </comment>
    <comment ref="W4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Alterações de design em curso.
[calculado]</t>
        </r>
      </text>
    </comment>
    <comment ref="X4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Situação do lançamento.
[calculado]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Projeto.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8.3.3 a)–e).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Categoria.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Entrada determinada.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Completa e sem ambiguidade (8.3.3).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Entradas contraditórias resolvidas.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Etapa.</t>
        </r>
      </text>
    </comment>
    <comment ref="B4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Projeto.</t>
        </r>
      </text>
    </comment>
    <comment ref="C4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Gate.</t>
        </r>
      </text>
    </comment>
    <comment ref="D4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Etapa.</t>
        </r>
      </text>
    </comment>
    <comment ref="E4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Revisão / verificação / validação (8.3.4).</t>
        </r>
      </text>
    </comment>
    <comment ref="F4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Data planeada.</t>
        </r>
      </text>
    </comment>
    <comment ref="G4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Data real.</t>
        </r>
      </text>
    </comment>
    <comment ref="H4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Resultado.</t>
        </r>
      </text>
    </comment>
    <comment ref="I4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Problemas e ações (8.3.4 e).</t>
        </r>
      </text>
    </comment>
    <comment ref="J4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Alteração de design.</t>
        </r>
      </text>
    </comment>
    <comment ref="K4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Real − planeado.
[calculado]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Projeto.</t>
        </r>
      </text>
    </comment>
    <comment ref="B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8.3.5 d) características do produto.</t>
        </r>
      </text>
    </comment>
    <comment ref="C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8.3.5 b) c) adequado aos processos seguintes; monitorização.</t>
        </r>
      </text>
    </comment>
    <comment ref="D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8.3.5 c) critérios de aceitação.</t>
        </r>
      </text>
    </comment>
    <comment ref="E1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8.3.5 d) informação para utilização segura e correta.</t>
        </r>
      </text>
    </comment>
    <comment ref="F1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Estado.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Alteração de design.</t>
        </r>
      </text>
    </comment>
    <comment ref="B4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Projeto.</t>
        </r>
      </text>
    </comment>
    <comment ref="C4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Data.</t>
        </r>
      </text>
    </comment>
    <comment ref="D4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8.3.6 a) alteração.</t>
        </r>
      </text>
    </comment>
    <comment ref="E4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Onde foi identificada.</t>
        </r>
      </text>
    </comment>
    <comment ref="F4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8.3.6 b) resultado da revisão.</t>
        </r>
      </text>
    </comment>
    <comment ref="G4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8.3.6 c) autorização.</t>
        </r>
      </text>
    </comment>
    <comment ref="H4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Data da autorização.</t>
        </r>
      </text>
    </comment>
    <comment ref="I4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8.3.6 d) ações para prevenir impacto adverso.</t>
        </r>
      </text>
    </comment>
    <comment ref="J4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Estado.</t>
        </r>
      </text>
    </comment>
  </commentList>
</comments>
</file>

<file path=xl/sharedStrings.xml><?xml version="1.0" encoding="utf-8"?>
<sst xmlns="http://schemas.openxmlformats.org/spreadsheetml/2006/main" count="1173" uniqueCount="457">
  <si>
    <t>RG-SGQ-11 — Design e Desenvolvimento de Produtos</t>
  </si>
  <si>
    <t>Sistema de Gestão da Qualidade NP EN ISO 9001:2026 · Plasticom — Unidade 1 (Marinha Grande, Portugal) · Registo do SGQ (fábrica simulada)</t>
  </si>
  <si>
    <t>CONTROLO DO DOCUMENTO (7.5 — informação documentada)</t>
  </si>
  <si>
    <t>Código do registo</t>
  </si>
  <si>
    <t>RG-SGQ-11</t>
  </si>
  <si>
    <t>Título</t>
  </si>
  <si>
    <t>Design e Desenvolvimento de Produtos</t>
  </si>
  <si>
    <t>Versão / Revisão</t>
  </si>
  <si>
    <t>01</t>
  </si>
  <si>
    <t>Data de emissão</t>
  </si>
  <si>
    <t>Elaborado por</t>
  </si>
  <si>
    <t>Gerente da Qualidade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</si>
  <si>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</si>
  <si>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</si>
  <si>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</si>
  <si>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</si>
  <si>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</si>
  <si>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</si>
  <si>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</si>
  <si>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SGQ &gt; Registos_SGQ_Plasticom (a versão eletrónica é a controlada; cópias impressas são não controladas). Proteção contra alterações não intencionais (7.5.3.2): edição só pelo dono do registo; histórico de versões no repositório.</t>
  </si>
  <si>
    <t>FINALIDADE E ÂMBITO</t>
  </si>
  <si>
    <t>Finalidade</t>
  </si>
  <si>
    <t>Registo dos 6 projetos que lançaram os 17 SKU alimentares, farmacêuticos e de potes em julho/2026: planeamento (8.3.2), entradas por categoria (8.3.3), etapas stage-gate com revisão/verificação/validação (8.3.4), saídas (8.3.5), alterações de design (8.3.6) e o FPY real do lançamento medido no dataset.</t>
  </si>
  <si>
    <t>Utilização / atividades</t>
  </si>
  <si>
    <t>Planear, controlar (revisão, verificação, validação), registar entradas e saídas e controlar alterações dos projetos de design e desenvolvimento.</t>
  </si>
  <si>
    <t>Requisitos ISO 9001:2026</t>
  </si>
  <si>
    <t>8.3.1 (abordagem iterativa); 8.3.2 a)–j); 8.3.3 a)–e) (evidência das entradas); 8.3.4 a)–f); 8.3.5 a)–d) (evidência das saídas); 8.3.6 (alterações: revisão, autorização, ações)</t>
  </si>
  <si>
    <t>REFERÊNCIAS DE BOAS PRÁTICAS APLICADAS (orientação — não são requisitos auditáveis da ISO 9001)</t>
  </si>
  <si>
    <t>Academy — cap. 94–97 (Classificação de características, entradas, verificação e validação)</t>
  </si>
  <si>
    <t>Verificação = saídas cumprem entradas; validação = produto cumpre o uso previsto (no enchimento do cliente).</t>
  </si>
  <si>
    <t>ISO 10007:2017</t>
  </si>
  <si>
    <t>Auditoria da configuração após lançamento (DC-26-01, DC-26-05).</t>
  </si>
  <si>
    <t>ISO/TC 176 APG — Design and development</t>
  </si>
  <si>
    <t>O auditor segue um projeto do briefing à libertação e verifica que os problemas das revisões originaram ações (8.3.4 e).</t>
  </si>
  <si>
    <t>ESTRUTURA DO FICHEIRO</t>
  </si>
  <si>
    <t>Projetos_DD</t>
  </si>
  <si>
    <t>Planeamento dos projetos de design e desenvolvimento (8.3.2) e resultado real do lançamento (dataset).</t>
  </si>
  <si>
    <t>Entradas_DD</t>
  </si>
  <si>
    <t>Entradas do design por projeto e categoria (evidência de 8.3.3).</t>
  </si>
  <si>
    <t>Etapas_Controlo</t>
  </si>
  <si>
    <t>Revisões, verificações e validações por projeto (evidência de 8.3.4 f).</t>
  </si>
  <si>
    <t>Saidas_DD</t>
  </si>
  <si>
    <t>Saídas do design (evidência de 8.3.5).</t>
  </si>
  <si>
    <t>Alteracoes_Design</t>
  </si>
  <si>
    <t>Alterações do design e desenvolvimento (evidência de 8.3.6 a–d).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</si>
  <si>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</si>
  <si>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</si>
  <si>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</si>
  <si>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</si>
  <si>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</si>
  <si>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</si>
  <si>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</si>
  <si>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</si>
  <si>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</si>
  <si>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</si>
  <si>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</si>
  <si>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</si>
  <si>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do SGQ e do SGA — ver SGQ-00_Indice_Modelo_Dados.xlsx.</t>
  </si>
  <si>
    <t>Datas e unidades</t>
  </si>
  <si>
    <t>Datas em formato data (aaaa-mm-dd); números como números; a unidade está no nome da coluna ou no dicionário. Data de referência do SGQ: 2026-12-31.</t>
  </si>
  <si>
    <t>Dados</t>
  </si>
  <si>
    <t>Fábrica simulada Plasticom. Dados operacionais e de qualidade extraídos do dataset do projeto (datasets/silver e datasets/dim, período 2025-07-01 a 2026-12-31); os campos de gestão que o dataset não tem (datas de resposta, avaliações, decisões) são simulação didática coerente com esses dados.</t>
  </si>
  <si>
    <t>LIGAÇÕES A OUTROS REGISTOS</t>
  </si>
  <si>
    <t>RG-SGQ-06</t>
  </si>
  <si>
    <t>Alterações de design com impacto na produção (MOC).</t>
  </si>
  <si>
    <t>RG-SGQ-04 PFMEA</t>
  </si>
  <si>
    <t>Características críticas e severidades.</t>
  </si>
  <si>
    <t>RG-SGA-20</t>
  </si>
  <si>
    <t>Reciclabilidade e dossier PPWR por família (saídas de design).</t>
  </si>
  <si>
    <t>dataset</t>
  </si>
  <si>
    <t>Decisões de lote dos SKU novos (jul–dez/2026).</t>
  </si>
  <si>
    <t>PROJETOS DE DESIGN E DESENVOLVIMENTO 2026 (8.3.2)</t>
  </si>
  <si>
    <t>FPY de lançamento calculado com as decisões de lote reais do dataset (jul–dez/2026) · Meta de safe launch 90%</t>
  </si>
  <si>
    <t>ID_Projeto</t>
  </si>
  <si>
    <t>Titulo</t>
  </si>
  <si>
    <t>SKUs</t>
  </si>
  <si>
    <t>Familia</t>
  </si>
  <si>
    <t>Clientes</t>
  </si>
  <si>
    <t>Molde_Maquina</t>
  </si>
  <si>
    <t>a_Natureza_Complexidade</t>
  </si>
  <si>
    <t>d_Responsavel</t>
  </si>
  <si>
    <t>f_Interfaces</t>
  </si>
  <si>
    <t>g_Participacao_Cliente</t>
  </si>
  <si>
    <t>h_Requisitos_Provisao</t>
  </si>
  <si>
    <t>i_Nivel_Controlo</t>
  </si>
  <si>
    <t>Inicio</t>
  </si>
  <si>
    <t>Fim_Planeado</t>
  </si>
  <si>
    <t>Fim_Real</t>
  </si>
  <si>
    <t>Lotes_Lancamento</t>
  </si>
  <si>
    <t>Lotes_1a</t>
  </si>
  <si>
    <t>Lotes_Rejeitados</t>
  </si>
  <si>
    <t>FPY_Lancamento</t>
  </si>
  <si>
    <t>Meta_Safe_Launch</t>
  </si>
  <si>
    <t>Etapas_Concluidas</t>
  </si>
  <si>
    <t>Acoes_Abertas</t>
  </si>
  <si>
    <t>Situacao</t>
  </si>
  <si>
    <t>DD-26-01</t>
  </si>
  <si>
    <t>Frascos alimentares 500/1 000 ml (HDPE-FG, PP-FG)</t>
  </si>
  <si>
    <t>FA-030-HDPE-FG-1000; FA-030-PP-FG-1000; FA-031-HDPE-FG-500; FA-031-PP-FG-500</t>
  </si>
  <si>
    <t>FA-03</t>
  </si>
  <si>
    <t>CUST-015; CUST-016</t>
  </si>
  <si>
    <t>M-SOP-030/031 · ISBM-009</t>
  </si>
  <si>
    <t>Média: novo material de grau alimentar e requisitos de migração</t>
  </si>
  <si>
    <t>Responsável de R&amp;D</t>
  </si>
  <si>
    <t>R&amp;D ↔ ferramentaria ↔ laboratório ↔ cliente</t>
  </si>
  <si>
    <t>Aprovação de desenho e de amostras T1; ensaio no enchimento</t>
  </si>
  <si>
    <t>Plano de controlo com migração por lote; BPF (IT-SOP-03)</t>
  </si>
  <si>
    <t>Alto (alimentar)</t>
  </si>
  <si>
    <t>Fechado</t>
  </si>
  <si>
    <t>DD-26-02</t>
  </si>
  <si>
    <t>Frascos farmacêuticos 100/250 ml (PP-PG, PET-PG)</t>
  </si>
  <si>
    <t>FP-032-PP-PG-100; FP-032-PET-PG-100; FP-033-PP-PG-250; FP-033-PET-PG-250</t>
  </si>
  <si>
    <t>FP-03</t>
  </si>
  <si>
    <t>CUST-017; CUST-018</t>
  </si>
  <si>
    <t>M-SOP-032/033 · ISBM-010</t>
  </si>
  <si>
    <t>Alta: grau farmacêutico, rastreabilidade e notificação de alterações</t>
  </si>
  <si>
    <t>R&amp;D ↔ qualidade ↔ cliente (auditoria)</t>
  </si>
  <si>
    <t>Acordo de qualidade; aprovação de cada etapa</t>
  </si>
  <si>
    <t>Rastreabilidade ao lote de resina; certificado por lote</t>
  </si>
  <si>
    <t>Muito alto (farma)</t>
  </si>
  <si>
    <t>DD-26-03</t>
  </si>
  <si>
    <t>Potes injetados 50/100 ml (PP, PP-PG)</t>
  </si>
  <si>
    <t>PT-010-PP-050; PT-010-PP-PG-050; PT-011-PP-100; PT-011-PP-PG-100</t>
  </si>
  <si>
    <t>PT-01</t>
  </si>
  <si>
    <t>CUST-015; CUST-017</t>
  </si>
  <si>
    <t>M-INJ-010/011 · IM-007</t>
  </si>
  <si>
    <t>Média: novo formato (pote) na injeção</t>
  </si>
  <si>
    <t>R&amp;D ↔ injeção ↔ laboratório</t>
  </si>
  <si>
    <t>Aprovação de amostras</t>
  </si>
  <si>
    <t>Plano de controlo de potes (PC-INJ-01 rev. 05)</t>
  </si>
  <si>
    <t>Alto</t>
  </si>
  <si>
    <t>DD-26-04</t>
  </si>
  <si>
    <t>Tampa farmacêutica com anel de inviolabilidade 24/410 (PP-PG)</t>
  </si>
  <si>
    <t>TE-012-PP-PG-24410</t>
  </si>
  <si>
    <t>TE-012</t>
  </si>
  <si>
    <t>M-INJ-012 · IM-008</t>
  </si>
  <si>
    <t>Alta: função de segurança (evidência de violação)</t>
  </si>
  <si>
    <t>R&amp;D ↔ ferramentaria externa ↔ laboratório</t>
  </si>
  <si>
    <t>Validação do anel pelo cliente</t>
  </si>
  <si>
    <t>Ensaio do anel por lote (LAB-M-12); característica crítica S = 10</t>
  </si>
  <si>
    <t>DD-26-05</t>
  </si>
  <si>
    <t>Tampa de pote de encaixe 70 mm (PP, PP-PG)</t>
  </si>
  <si>
    <t>TP-013-PP-070; TP-013-PP-PG-070</t>
  </si>
  <si>
    <t>TP-013</t>
  </si>
  <si>
    <t>M-INJ-013 · IM-008</t>
  </si>
  <si>
    <t>Baixa: geometria simples de encaixe</t>
  </si>
  <si>
    <t>R&amp;D ↔ injeção</t>
  </si>
  <si>
    <t>Ensaio de força de remoção (não binário)</t>
  </si>
  <si>
    <t>Médio</t>
  </si>
  <si>
    <t>DD-26-06</t>
  </si>
  <si>
    <t>Tampa de rosca alimentar 28/410 (HDPE-FG, PP-FG)</t>
  </si>
  <si>
    <t>TA-014-HDPE-FG-28410; TA-014-PP-FG-28410</t>
  </si>
  <si>
    <t>TA-014</t>
  </si>
  <si>
    <t>M-INJ-014 · IM-009 (linha dedicada a contacto alimentar)</t>
  </si>
  <si>
    <t>Média: material de grau alimentar; vedação</t>
  </si>
  <si>
    <t>Aprovação de amostras; ensaio de vedação no cliente</t>
  </si>
  <si>
    <t>Plano de controlo de vedação e rosca</t>
  </si>
  <si>
    <t>Alinea</t>
  </si>
  <si>
    <t>Tipo_Entrada</t>
  </si>
  <si>
    <t>Entrada</t>
  </si>
  <si>
    <t>Completa_Sem_Ambiguidade</t>
  </si>
  <si>
    <t>Conflitos_Resolvidos</t>
  </si>
  <si>
    <t>a)</t>
  </si>
  <si>
    <t>Requisitos funcionais e de desempenho</t>
  </si>
  <si>
    <t>Volume 500/1 000 ml; estanquidade; queda 1,2 m cheio; compatível com enchimento a quente até 60 °C</t>
  </si>
  <si>
    <t>Sim</t>
  </si>
  <si>
    <t>b)</t>
  </si>
  <si>
    <t>Informação de designs anteriores semelhantes</t>
  </si>
  <si>
    <t>Família FR-007 (HDPE); lições de espessura da ISBM-003</t>
  </si>
  <si>
    <t>c)</t>
  </si>
  <si>
    <t>Requisitos legais e regulamentares</t>
  </si>
  <si>
    <t>Reg. 1935/2004; Reg. 10/2011; BPF 2023/2006; PPWR</t>
  </si>
  <si>
    <t>d)</t>
  </si>
  <si>
    <t>Normas e códigos de prática assumidos</t>
  </si>
  <si>
    <t>EN 1186-3:2022; ASTM D2463-23</t>
  </si>
  <si>
    <t>e)</t>
  </si>
  <si>
    <t>Consequências potenciais de falha</t>
  </si>
  <si>
    <t>Contaminação de alimentos; recolha</t>
  </si>
  <si>
    <t>Volume 100/250 ml; estanquidade; barreira; compatível com esterilização por irradiação (PET-PG)</t>
  </si>
  <si>
    <t>FR-011/012-PET-400 (curva de aprendizagem, R12)</t>
  </si>
  <si>
    <t>Ph. Eur. 3.2.2; acordo de qualidade; PPWR</t>
  </si>
  <si>
    <t>ISO 15378 (referência); ASTM D2463-23</t>
  </si>
  <si>
    <t>Medicamento comprometido; recolha e perda do cliente</t>
  </si>
  <si>
    <t>Volume 50/100 ml; empilhamento; fecho com TP-013</t>
  </si>
  <si>
    <t>Nenhum pote anterior — risco maior</t>
  </si>
  <si>
    <t>Reg. 10/2011 (versão alimentar); PPWR</t>
  </si>
  <si>
    <t>ASTM D642</t>
  </si>
  <si>
    <t>Fuga do conteúdo</t>
  </si>
  <si>
    <t>Anel separa na 1.ª abertura com força 15–35 N; não separa no transporte</t>
  </si>
  <si>
    <t>Tampas TR 24/410 (rosca) — sem anel anterior</t>
  </si>
  <si>
    <t>21 CFR 211.132 (referência do cliente); Ph. Eur.</t>
  </si>
  <si>
    <t>Método interno LAB-M-12</t>
  </si>
  <si>
    <t>Violação não evidente: risco para o doente (S = 10)</t>
  </si>
  <si>
    <t>Força de remoção 20–40 N; vedação ao pó</t>
  </si>
  <si>
    <t>Não</t>
  </si>
  <si>
    <t>Nenhuma tampa de encaixe anterior</t>
  </si>
  <si>
    <t>Reg. 10/2011; PPWR</t>
  </si>
  <si>
    <t>Método interno de força de remoção</t>
  </si>
  <si>
    <t>Abertura acidental</t>
  </si>
  <si>
    <t>Binário de abertura 8–16 N·cm; vedação; retenção de binário</t>
  </si>
  <si>
    <t>TR-001 28/410 (back-off e binário em reclamações)</t>
  </si>
  <si>
    <t>Reg. 1935/2004; Reg. 10/2011; PPWR</t>
  </si>
  <si>
    <t>ASTM D2063 (binário)</t>
  </si>
  <si>
    <t>Fuga; contaminação</t>
  </si>
  <si>
    <t>CONTROLOS DO DESIGN — STAGE-GATE (8.3.4)</t>
  </si>
  <si>
    <t>ID_Etapa</t>
  </si>
  <si>
    <t>Gate</t>
  </si>
  <si>
    <t>Descricao</t>
  </si>
  <si>
    <t>Tipo</t>
  </si>
  <si>
    <t>Data_Planeada</t>
  </si>
  <si>
    <t>Data_Real</t>
  </si>
  <si>
    <t>Resultado</t>
  </si>
  <si>
    <t>Problemas_Acoes</t>
  </si>
  <si>
    <t>ID_Alteracao</t>
  </si>
  <si>
    <t>Atraso_Dias</t>
  </si>
  <si>
    <t>DD-26-01-G0</t>
  </si>
  <si>
    <t>G0</t>
  </si>
  <si>
    <t>Revisão de conceito e entradas</t>
  </si>
  <si>
    <t>Revisão (8.3.4 b)</t>
  </si>
  <si>
    <t>Aprovado</t>
  </si>
  <si>
    <t>DD-26-01-G1</t>
  </si>
  <si>
    <t>G1</t>
  </si>
  <si>
    <t>Revisão de design (desenho 3D, simulação, DFMEA)</t>
  </si>
  <si>
    <t>DD-26-01-G2</t>
  </si>
  <si>
    <t>G2</t>
  </si>
  <si>
    <t>Verificação: amostras T1 — dimensional, peso, ensaios de laboratório</t>
  </si>
  <si>
    <t>Verificação (8.3.4 c)</t>
  </si>
  <si>
    <t>DD-26-01-G3</t>
  </si>
  <si>
    <t>G3</t>
  </si>
  <si>
    <t>Validação: ensaio no enchimento do cliente e ensaios de uso</t>
  </si>
  <si>
    <t>Validação (8.3.4 d)</t>
  </si>
  <si>
    <t>DD-26-01-G4</t>
  </si>
  <si>
    <t>G4</t>
  </si>
  <si>
    <t>Libertação para série e safe launch (6 semanas)</t>
  </si>
  <si>
    <t>Revisão final / libertação</t>
  </si>
  <si>
    <t>DD-26-01-G5</t>
  </si>
  <si>
    <t>G5</t>
  </si>
  <si>
    <t>Fecho do projeto: auditoria da configuração pós-lançamento e lições aprendidas</t>
  </si>
  <si>
    <t>DD-26-02-G0</t>
  </si>
  <si>
    <t>DD-26-02-G1</t>
  </si>
  <si>
    <t>DD-26-02-G2</t>
  </si>
  <si>
    <t>Aprovado com ações</t>
  </si>
  <si>
    <t>FP-032: queda falhou em 1/20 frascos — aumentar espessura na base</t>
  </si>
  <si>
    <t>DC-26-03</t>
  </si>
  <si>
    <t>DD-26-02-G3</t>
  </si>
  <si>
    <t>DD-26-02-G4</t>
  </si>
  <si>
    <t>DD-26-02-G5</t>
  </si>
  <si>
    <t>DD-26-03-G0</t>
  </si>
  <si>
    <t>DD-26-03-G1</t>
  </si>
  <si>
    <t>DD-26-03-G2</t>
  </si>
  <si>
    <t>DD-26-03-G3</t>
  </si>
  <si>
    <t>DD-26-03-G4</t>
  </si>
  <si>
    <t>DD-26-03-G5</t>
  </si>
  <si>
    <t>DD-26-04-G0</t>
  </si>
  <si>
    <t>DD-26-04-G1</t>
  </si>
  <si>
    <t>DD-26-04-G2</t>
  </si>
  <si>
    <t>Força de rotura das pontes acima de 35 N em 2 cavidades; retificar pontes</t>
  </si>
  <si>
    <t>DC-26-02</t>
  </si>
  <si>
    <t>DD-26-04-G3</t>
  </si>
  <si>
    <t>DD-26-04-G4</t>
  </si>
  <si>
    <t>DD-26-04-G5</t>
  </si>
  <si>
    <t>DD-26-05-G0</t>
  </si>
  <si>
    <t>DD-26-05-G1</t>
  </si>
  <si>
    <t>DD-26-05-G2</t>
  </si>
  <si>
    <t>Plano de controlo herdou 'binário' e 'rosca' de tampa de rosca — rever características</t>
  </si>
  <si>
    <t>DC-26-01</t>
  </si>
  <si>
    <t>DD-26-05-G3</t>
  </si>
  <si>
    <t>DD-26-05-G4</t>
  </si>
  <si>
    <t>DD-26-05-G5</t>
  </si>
  <si>
    <t>Validação da estanquidade com o cliente sem registo (CON-Q-26-13 → CAPA-Q-26-14); registada em 10/12/2026</t>
  </si>
  <si>
    <t>DD-26-06-G0</t>
  </si>
  <si>
    <t>DD-26-06-G1</t>
  </si>
  <si>
    <t>DD-26-06-G2</t>
  </si>
  <si>
    <t>DD-26-06-G3</t>
  </si>
  <si>
    <t>Vedação marginal com o vedante do cliente; ajustar tolerância do lábio</t>
  </si>
  <si>
    <t>DC-26-04</t>
  </si>
  <si>
    <t>DD-26-06-G4</t>
  </si>
  <si>
    <t>DD-26-06-G5</t>
  </si>
  <si>
    <t>Especificacao_Desenho</t>
  </si>
  <si>
    <t>Plano_Controlo</t>
  </si>
  <si>
    <t>Criterios_Aceitacao</t>
  </si>
  <si>
    <t>Informacao_Produto</t>
  </si>
  <si>
    <t>ESP-FA-030/031; desenho D-FA-030 rev. B</t>
  </si>
  <si>
    <t>PC-SOP-01 rev. 04 (migração por lote, estanquidade)</t>
  </si>
  <si>
    <t>AQL crítico 0,1 (fuga); migração ≤ 10 mg/dm²</t>
  </si>
  <si>
    <t>Declaração de conformidade FCM por lote; dossier PPWR</t>
  </si>
  <si>
    <t>Concluídas</t>
  </si>
  <si>
    <t>ESP-FP-032/033; desenho D-FP-032 rev. C</t>
  </si>
  <si>
    <t>PC-SOP-01 rev. 04</t>
  </si>
  <si>
    <t>AQL crítico 0,1; rastreabilidade ao lote de resina</t>
  </si>
  <si>
    <t>Certificado CQ-02 por lote; notificação de alterações</t>
  </si>
  <si>
    <t>ESP-PT-010/011</t>
  </si>
  <si>
    <t>PC-INJ-01 rev. 05</t>
  </si>
  <si>
    <t>Carga de empilhamento ≥ 25 kgf</t>
  </si>
  <si>
    <t>Declaração FCM (versão PP)</t>
  </si>
  <si>
    <t>ESP-TE-012 rev. B (pontes retificadas)</t>
  </si>
  <si>
    <t>PC-INJ-01 rev. 05 (anel por lote)</t>
  </si>
  <si>
    <t>Força de rotura das pontes 15–35 N; 0 falhas em 32 amostras</t>
  </si>
  <si>
    <t>Certificado com resultado do anel (MOC-Q-26-15)</t>
  </si>
  <si>
    <t>ESP-TP-013 rev. 01 (força de remoção)</t>
  </si>
  <si>
    <t>PC-INJ-01 rev. 06</t>
  </si>
  <si>
    <t>Força de remoção 20–40 N</t>
  </si>
  <si>
    <t>Declaração FCM</t>
  </si>
  <si>
    <t>ESP-TA-014 rev. A</t>
  </si>
  <si>
    <t>Binário 8–16 N·cm; vedação 100% no ensaio de fuga</t>
  </si>
  <si>
    <t>Declaração FCM; dossier PPWR</t>
  </si>
  <si>
    <t>ALTERAÇÕES DO DESIGN (8.3.6)</t>
  </si>
  <si>
    <t>DC-26-01: auditoria da configuração (ISO 10007) encontrou a característica 'rosca' ainda aplicada à tampa de encaixe TP-013 no dataset de inspeção por atributos</t>
  </si>
  <si>
    <t>Data</t>
  </si>
  <si>
    <t>Alteracao</t>
  </si>
  <si>
    <t>Origem</t>
  </si>
  <si>
    <t>Resultado_Revisao</t>
  </si>
  <si>
    <t>Autorizado_Por</t>
  </si>
  <si>
    <t>Data_Autorizacao</t>
  </si>
  <si>
    <t>Acoes_Impacto_Adverso</t>
  </si>
  <si>
    <t>Características de inspeção de TP-013 revistas: 'binário' → 'força de remoção'; 'rosca' não aplicável a tampa de encaixe</t>
  </si>
  <si>
    <t>Revisão G2: tampa sem rosca não pode ser ensaiada a binário nem a rosca</t>
  </si>
  <si>
    <t>Parcial: binário corrigido em 22/09 (MOC-Q-26-08); a característica 'rosca' continuou no plano de inspeção por atributos e rejeitou 7 lotes (auditoria da configuração de 28/09)</t>
  </si>
  <si>
    <t>Retirar 'rosca' do plano de atributos de TP-013; reavaliar os 7 lotes rejeitados; auditoria da configuração aos 17 SKU</t>
  </si>
  <si>
    <t>Implementada</t>
  </si>
  <si>
    <t>Retificação das pontes do anel de inviolabilidade (2 cavidades)</t>
  </si>
  <si>
    <t>Verificação G2: força de rotura &gt; 35 N</t>
  </si>
  <si>
    <t>Reensaio 32 amostras conforme</t>
  </si>
  <si>
    <t>Ensaio 100% do anel nas primeiras 6 semanas; PFMEA S = 10</t>
  </si>
  <si>
    <t>FP-032: +0,15 mm de espessura na base</t>
  </si>
  <si>
    <t>Verificação G2: falha no ensaio de queda</t>
  </si>
  <si>
    <t>Queda 20/20 conforme após alteração</t>
  </si>
  <si>
    <t>Notificação ao cliente farmacêutico antes da validação (acordo de qualidade)</t>
  </si>
  <si>
    <t>Tolerância do lábio de vedação TA-014 ajustada ao vedante do cliente</t>
  </si>
  <si>
    <t>Validação G3 no cliente</t>
  </si>
  <si>
    <t>Vedação 100% conforme no ensaio de fuga</t>
  </si>
  <si>
    <t>Ensaio de vedação por lote no safe launch</t>
  </si>
  <si>
    <t>DC-26-05</t>
  </si>
  <si>
    <t>DD-26-01..06</t>
  </si>
  <si>
    <t>Especificação única por SKU (nominais herdados de lotes doadores)</t>
  </si>
  <si>
    <t>Auditoria de dados pós-lançamento</t>
  </si>
  <si>
    <t>Dados reexpressos contra a especificação correta</t>
  </si>
  <si>
    <t>Regra no ERP: um nominal por característica e SKU (MOC-Q-26-09)</t>
  </si>
  <si>
    <t>LISTAS CONTROLADAS (domínios de validação de dados) — editar aqui para alterar opções</t>
  </si>
  <si>
    <t>DataReferencia</t>
  </si>
  <si>
    <t>EstadoProj</t>
  </si>
  <si>
    <t>TipoEtapa</t>
  </si>
  <si>
    <t>ResEtapa</t>
  </si>
  <si>
    <t>SimNao</t>
  </si>
  <si>
    <t>EstadoAlt</t>
  </si>
  <si>
    <t>EstadoSaida</t>
  </si>
  <si>
    <t>Funcao</t>
  </si>
  <si>
    <t>Planeado</t>
  </si>
  <si>
    <t>Em análise</t>
  </si>
  <si>
    <t>Diretor Geral (Gestão de Topo)</t>
  </si>
  <si>
    <t>Em desenvolvimento</t>
  </si>
  <si>
    <t>Em curso</t>
  </si>
  <si>
    <t>Em revisão</t>
  </si>
  <si>
    <t>Diretor Industrial</t>
  </si>
  <si>
    <t>Em safe launch</t>
  </si>
  <si>
    <t>Reprovado</t>
  </si>
  <si>
    <t>Pendentes</t>
  </si>
  <si>
    <t>Pendente</t>
  </si>
  <si>
    <t>Rejeitada</t>
  </si>
  <si>
    <t>Gerente de Produção</t>
  </si>
  <si>
    <t>Gerente de Manutenção</t>
  </si>
  <si>
    <t>Diretor Comercial</t>
  </si>
  <si>
    <t>Responsável de Compras</t>
  </si>
  <si>
    <t>Responsável de Armazém e Logística</t>
  </si>
  <si>
    <t>Responsável de Recursos Humanos</t>
  </si>
  <si>
    <t>Gerente de Dados / TI</t>
  </si>
  <si>
    <t>Técnico(a) da Qualidade / Inspetor(a)</t>
  </si>
  <si>
    <t>Técnico(a) de Laboratório</t>
  </si>
  <si>
    <t>Engenheiro(a) de Processo</t>
  </si>
  <si>
    <t>Chefe de Turno</t>
  </si>
  <si>
    <t>Operador(a) de Injeção</t>
  </si>
  <si>
    <t>Operador(a) de Sopro (ISBM)</t>
  </si>
  <si>
    <t>Operador(a) de Serigrafia</t>
  </si>
  <si>
    <t>Operador(a) de Hot Foil</t>
  </si>
  <si>
    <t>Técnico(a) de Manutenção</t>
  </si>
  <si>
    <t>Técnico(a) de Metrologia</t>
  </si>
  <si>
    <t>Auditor(a) Interno(a) do SGQ</t>
  </si>
  <si>
    <t>Gestor(a) de Cliente (Key Account)</t>
  </si>
  <si>
    <t>Planeador(a) de Produção</t>
  </si>
  <si>
    <t>Operador(a) de Armazém / Empilhador</t>
  </si>
  <si>
    <t>Gestor do SGA / EHS (Responsável Ambiental)</t>
  </si>
  <si>
    <t>Folha</t>
  </si>
  <si>
    <t>Tabela</t>
  </si>
  <si>
    <t>Coluna</t>
  </si>
  <si>
    <t>Dominio_Unidade</t>
  </si>
  <si>
    <t>Obrigatorio</t>
  </si>
  <si>
    <t>Chave</t>
  </si>
  <si>
    <t>tbl_projetos_dd</t>
  </si>
  <si>
    <t>Texto</t>
  </si>
  <si>
    <t>Projeto.</t>
  </si>
  <si>
    <t>PK</t>
  </si>
  <si>
    <t>Título.</t>
  </si>
  <si>
    <t>Produtos (IDs do dataset).</t>
  </si>
  <si>
    <t>Prefixo da família.</t>
  </si>
  <si>
    <t>Clientes (8.3.2 g).</t>
  </si>
  <si>
    <t>Molde e máquina.</t>
  </si>
  <si>
    <t>8.3.2 a).</t>
  </si>
  <si>
    <t>8.3.2 d).</t>
  </si>
  <si>
    <t>Lista lst_Funcao</t>
  </si>
  <si>
    <t>8.3.2 f).</t>
  </si>
  <si>
    <t>8.3.2 g).</t>
  </si>
  <si>
    <t>8.3.2 h).</t>
  </si>
  <si>
    <t>8.3.2 i).</t>
  </si>
  <si>
    <t>Data (aaaa-mm-dd)</t>
  </si>
  <si>
    <t>Início.</t>
  </si>
  <si>
    <t>Fim planeado.</t>
  </si>
  <si>
    <t>Libertação para série.</t>
  </si>
  <si>
    <t>Estado.</t>
  </si>
  <si>
    <t>Lista lst_EstadoProj</t>
  </si>
  <si>
    <t>Inteiro</t>
  </si>
  <si>
    <t>Lotes com decisão desde o lançamento (dataset jul–dez/2026).</t>
  </si>
  <si>
    <t>Lotes aprovados à primeira (dataset).</t>
  </si>
  <si>
    <t>Lotes rejeitados (dataset).</t>
  </si>
  <si>
    <t>Percentagem (fração 0-1)</t>
  </si>
  <si>
    <t>Calculado (fórmula)</t>
  </si>
  <si>
    <t>FPY de lote desde o lançamento.</t>
  </si>
  <si>
    <t>Meta de FPY no safe launch.</t>
  </si>
  <si>
    <t>Gates aprovados.</t>
  </si>
  <si>
    <t>Alterações de design em curso.</t>
  </si>
  <si>
    <t>Situação do lançamento.</t>
  </si>
  <si>
    <t>tbl_entradas_dd</t>
  </si>
  <si>
    <t>FK → tbl_projetos_dd</t>
  </si>
  <si>
    <t>8.3.3 a)–e).</t>
  </si>
  <si>
    <t>Categoria.</t>
  </si>
  <si>
    <t>Entrada determinada.</t>
  </si>
  <si>
    <t>Completa e sem ambiguidade (8.3.3).</t>
  </si>
  <si>
    <t>Lista lst_SimNao</t>
  </si>
  <si>
    <t>Entradas contraditórias resolvidas.</t>
  </si>
  <si>
    <t>tbl_etapas</t>
  </si>
  <si>
    <t>Etapa.</t>
  </si>
  <si>
    <t>Gate.</t>
  </si>
  <si>
    <t>Revisão / verificação / validação (8.3.4).</t>
  </si>
  <si>
    <t>Lista lst_TipoEtapa</t>
  </si>
  <si>
    <t>Data planeada.</t>
  </si>
  <si>
    <t>Data real.</t>
  </si>
  <si>
    <t>Resultado.</t>
  </si>
  <si>
    <t>Lista lst_ResEtapa</t>
  </si>
  <si>
    <t>Problemas e ações (8.3.4 e).</t>
  </si>
  <si>
    <t>Alteração de design.</t>
  </si>
  <si>
    <t>FK → tbl_alteracoes_dd</t>
  </si>
  <si>
    <t>Real − planeado.</t>
  </si>
  <si>
    <t>tbl_saidas_dd</t>
  </si>
  <si>
    <t>PK / FK</t>
  </si>
  <si>
    <t>8.3.5 d) características do produto.</t>
  </si>
  <si>
    <t>8.3.5 b) c) adequado aos processos seguintes; monitorização.</t>
  </si>
  <si>
    <t>8.3.5 c) critérios de aceitação.</t>
  </si>
  <si>
    <t>8.3.5 d) informação para utilização segura e correta.</t>
  </si>
  <si>
    <t>Lista lst_EstadoSaida</t>
  </si>
  <si>
    <t>tbl_alteracoes_dd</t>
  </si>
  <si>
    <t>Data.</t>
  </si>
  <si>
    <t>8.3.6 a) alteração.</t>
  </si>
  <si>
    <t>Onde foi identificada.</t>
  </si>
  <si>
    <t>8.3.6 b) resultado da revisão.</t>
  </si>
  <si>
    <t>8.3.6 c) autorização.</t>
  </si>
  <si>
    <t>Data da autorização.</t>
  </si>
  <si>
    <t>8.3.6 d) ações para prevenir impacto adverso.</t>
  </si>
  <si>
    <t>Lista lst_EstadoAlt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</si>
</sst>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4"/>
      <color rgb="FF0F2F3A"/>
      <name val="Arial"/>
    </font>
    <font>
      <i/>
      <sz val="10"/>
      <color rgb="FF4A5A60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</fills>
  <borders count="2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5" fillId="5" borderId="0" xfId="0" applyFont="1" applyFill="1"/>
    <xf numFmtId="0" fontId="0" fillId="5" borderId="0" xfId="0" applyFill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49" fontId="4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1" fontId="4" fillId="0" borderId="1" xfId="0" applyNumberFormat="1" applyFont="1" applyBorder="1" applyAlignment="1">
      <alignment vertical="top" wrapText="1"/>
    </xf>
    <xf numFmtId="165" fontId="4" fillId="4" borderId="1" xfId="0" applyNumberFormat="1" applyFont="1" applyFill="1" applyBorder="1" applyAlignment="1">
      <alignment vertical="top" wrapText="1"/>
    </xf>
    <xf numFmtId="9" fontId="4" fillId="0" borderId="1" xfId="0" applyNumberFormat="1" applyFont="1" applyBorder="1" applyAlignment="1">
      <alignment vertical="top" wrapText="1"/>
    </xf>
    <xf numFmtId="1" fontId="4" fillId="4" borderId="1" xfId="0" applyNumberFormat="1" applyFont="1" applyFill="1" applyBorder="1" applyAlignment="1">
      <alignment vertical="top" wrapText="1"/>
    </xf>
    <xf numFmtId="49" fontId="4" fillId="4" borderId="1" xfId="0" applyNumberFormat="1" applyFont="1" applyFill="1" applyBorder="1" applyAlignment="1">
      <alignment vertical="top" wrapText="1"/>
    </xf>
    <xf numFmtId="0" fontId="5" fillId="0" borderId="0" xfId="0" applyFont="1"/>
    <xf numFmtId="0" fontId="3" fillId="2" borderId="0" xfId="0" applyFont="1" applyFill="1" applyAlignment="1">
      <alignment horizontal="center" vertical="top" wrapText="1"/>
    </xf>
    <xf numFmtId="164" fontId="4" fillId="0" borderId="0" xfId="0" applyNumberFormat="1" applyFont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12"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projetos_dd" displayName="tbl_projetos_dd" ref="A4:X10">
  <autoFilter ref="A4:X10" xr:uid="{00000000-0009-0000-0100-000001000000}"/>
  <tableColumns count="24">
    <tableColumn id="1" xr3:uid="{00000000-0010-0000-0000-000001000000}" name="ID_Projeto"/>
    <tableColumn id="2" xr3:uid="{00000000-0010-0000-0000-000002000000}" name="Titulo"/>
    <tableColumn id="3" xr3:uid="{00000000-0010-0000-0000-000003000000}" name="SKUs"/>
    <tableColumn id="4" xr3:uid="{00000000-0010-0000-0000-000004000000}" name="Familia"/>
    <tableColumn id="5" xr3:uid="{00000000-0010-0000-0000-000005000000}" name="Clientes"/>
    <tableColumn id="6" xr3:uid="{00000000-0010-0000-0000-000006000000}" name="Molde_Maquina"/>
    <tableColumn id="7" xr3:uid="{00000000-0010-0000-0000-000007000000}" name="a_Natureza_Complexidade"/>
    <tableColumn id="8" xr3:uid="{00000000-0010-0000-0000-000008000000}" name="d_Responsavel"/>
    <tableColumn id="9" xr3:uid="{00000000-0010-0000-0000-000009000000}" name="f_Interfaces"/>
    <tableColumn id="10" xr3:uid="{00000000-0010-0000-0000-00000A000000}" name="g_Participacao_Cliente"/>
    <tableColumn id="11" xr3:uid="{00000000-0010-0000-0000-00000B000000}" name="h_Requisitos_Provisao"/>
    <tableColumn id="12" xr3:uid="{00000000-0010-0000-0000-00000C000000}" name="i_Nivel_Controlo"/>
    <tableColumn id="13" xr3:uid="{00000000-0010-0000-0000-00000D000000}" name="Inicio"/>
    <tableColumn id="14" xr3:uid="{00000000-0010-0000-0000-00000E000000}" name="Fim_Planeado"/>
    <tableColumn id="15" xr3:uid="{00000000-0010-0000-0000-00000F000000}" name="Fim_Real"/>
    <tableColumn id="16" xr3:uid="{00000000-0010-0000-0000-000010000000}" name="Estado"/>
    <tableColumn id="17" xr3:uid="{00000000-0010-0000-0000-000011000000}" name="Lotes_Lancamento"/>
    <tableColumn id="18" xr3:uid="{00000000-0010-0000-0000-000012000000}" name="Lotes_1a"/>
    <tableColumn id="19" xr3:uid="{00000000-0010-0000-0000-000013000000}" name="Lotes_Rejeitados"/>
    <tableColumn id="20" xr3:uid="{00000000-0010-0000-0000-000014000000}" name="FPY_Lancamento"/>
    <tableColumn id="21" xr3:uid="{00000000-0010-0000-0000-000015000000}" name="Meta_Safe_Launch"/>
    <tableColumn id="22" xr3:uid="{00000000-0010-0000-0000-000016000000}" name="Etapas_Concluidas"/>
    <tableColumn id="23" xr3:uid="{00000000-0010-0000-0000-000017000000}" name="Acoes_Abertas"/>
    <tableColumn id="24" xr3:uid="{00000000-0010-0000-0000-000018000000}" name="Situacao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entradas_dd" displayName="tbl_entradas_dd" ref="A1:F31">
  <autoFilter ref="A1:F31" xr:uid="{00000000-0009-0000-0100-000002000000}"/>
  <tableColumns count="6">
    <tableColumn id="1" xr3:uid="{00000000-0010-0000-0100-000001000000}" name="ID_Projeto"/>
    <tableColumn id="2" xr3:uid="{00000000-0010-0000-0100-000002000000}" name="Alinea"/>
    <tableColumn id="3" xr3:uid="{00000000-0010-0000-0100-000003000000}" name="Tipo_Entrada"/>
    <tableColumn id="4" xr3:uid="{00000000-0010-0000-0100-000004000000}" name="Entrada"/>
    <tableColumn id="5" xr3:uid="{00000000-0010-0000-0100-000005000000}" name="Completa_Sem_Ambiguidade"/>
    <tableColumn id="6" xr3:uid="{00000000-0010-0000-0100-000006000000}" name="Conflitos_Resolvidos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etapas" displayName="tbl_etapas" ref="A4:K40">
  <autoFilter ref="A4:K40" xr:uid="{00000000-0009-0000-0100-000003000000}"/>
  <tableColumns count="11">
    <tableColumn id="1" xr3:uid="{00000000-0010-0000-0200-000001000000}" name="ID_Etapa"/>
    <tableColumn id="2" xr3:uid="{00000000-0010-0000-0200-000002000000}" name="ID_Projeto"/>
    <tableColumn id="3" xr3:uid="{00000000-0010-0000-0200-000003000000}" name="Gate"/>
    <tableColumn id="4" xr3:uid="{00000000-0010-0000-0200-000004000000}" name="Descricao"/>
    <tableColumn id="5" xr3:uid="{00000000-0010-0000-0200-000005000000}" name="Tipo"/>
    <tableColumn id="6" xr3:uid="{00000000-0010-0000-0200-000006000000}" name="Data_Planeada"/>
    <tableColumn id="7" xr3:uid="{00000000-0010-0000-0200-000007000000}" name="Data_Real"/>
    <tableColumn id="8" xr3:uid="{00000000-0010-0000-0200-000008000000}" name="Resultado"/>
    <tableColumn id="9" xr3:uid="{00000000-0010-0000-0200-000009000000}" name="Problemas_Acoes"/>
    <tableColumn id="10" xr3:uid="{00000000-0010-0000-0200-00000A000000}" name="ID_Alteracao"/>
    <tableColumn id="11" xr3:uid="{00000000-0010-0000-0200-00000B000000}" name="Atraso_Dias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saidas_dd" displayName="tbl_saidas_dd" ref="A1:F7">
  <autoFilter ref="A1:F7" xr:uid="{00000000-0009-0000-0100-000004000000}"/>
  <tableColumns count="6">
    <tableColumn id="1" xr3:uid="{00000000-0010-0000-0300-000001000000}" name="ID_Projeto"/>
    <tableColumn id="2" xr3:uid="{00000000-0010-0000-0300-000002000000}" name="Especificacao_Desenho"/>
    <tableColumn id="3" xr3:uid="{00000000-0010-0000-0300-000003000000}" name="Plano_Controlo"/>
    <tableColumn id="4" xr3:uid="{00000000-0010-0000-0300-000004000000}" name="Criterios_Aceitacao"/>
    <tableColumn id="5" xr3:uid="{00000000-0010-0000-0300-000005000000}" name="Informacao_Produto"/>
    <tableColumn id="6" xr3:uid="{00000000-0010-0000-0300-000006000000}" name="Estado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alteracoes_dd" displayName="tbl_alteracoes_dd" ref="A4:J9">
  <autoFilter ref="A4:J9" xr:uid="{00000000-0009-0000-0100-000005000000}"/>
  <tableColumns count="10">
    <tableColumn id="1" xr3:uid="{00000000-0010-0000-0400-000001000000}" name="ID_Alteracao"/>
    <tableColumn id="2" xr3:uid="{00000000-0010-0000-0400-000002000000}" name="ID_Projeto"/>
    <tableColumn id="3" xr3:uid="{00000000-0010-0000-0400-000003000000}" name="Data"/>
    <tableColumn id="4" xr3:uid="{00000000-0010-0000-0400-000004000000}" name="Alteracao"/>
    <tableColumn id="5" xr3:uid="{00000000-0010-0000-0400-000005000000}" name="Origem"/>
    <tableColumn id="6" xr3:uid="{00000000-0010-0000-0400-000006000000}" name="Resultado_Revisao"/>
    <tableColumn id="7" xr3:uid="{00000000-0010-0000-0400-000007000000}" name="Autorizado_Por"/>
    <tableColumn id="8" xr3:uid="{00000000-0010-0000-0400-000008000000}" name="Data_Autorizacao"/>
    <tableColumn id="9" xr3:uid="{00000000-0010-0000-0400-000009000000}" name="Acoes_Impacto_Adverso"/>
    <tableColumn id="10" xr3:uid="{00000000-0010-0000-0400-00000A000000}" name="Estado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dicionario" displayName="tbl_dicionario" ref="A1:I58">
  <autoFilter ref="A1:I58" xr:uid="{00000000-0009-0000-0100-000006000000}"/>
  <tableColumns count="9">
    <tableColumn id="1" xr3:uid="{00000000-0010-0000-0500-000001000000}" name="Folha"/>
    <tableColumn id="2" xr3:uid="{00000000-0010-0000-0500-000002000000}" name="Tabela"/>
    <tableColumn id="3" xr3:uid="{00000000-0010-0000-0500-000003000000}" name="Coluna"/>
    <tableColumn id="4" xr3:uid="{00000000-0010-0000-0500-000004000000}" name="Tipo"/>
    <tableColumn id="5" xr3:uid="{00000000-0010-0000-0500-000005000000}" name="Origem"/>
    <tableColumn id="6" xr3:uid="{00000000-0010-0000-0500-000006000000}" name="Descricao"/>
    <tableColumn id="7" xr3:uid="{00000000-0010-0000-0500-000007000000}" name="Dominio_Unidade"/>
    <tableColumn id="8" xr3:uid="{00000000-0010-0000-0500-000008000000}" name="Obrigatorio"/>
    <tableColumn id="9" xr3:uid="{00000000-0010-0000-05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46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39.6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39.6" x14ac:dyDescent="0.3">
      <c r="A16" s="5" t="s">
        <v>21</v>
      </c>
      <c r="B16" s="6" t="s">
        <v>22</v>
      </c>
    </row>
    <row r="17" spans="1:2" ht="26.4" x14ac:dyDescent="0.3">
      <c r="A17" s="5" t="s">
        <v>23</v>
      </c>
      <c r="B17" s="6" t="s">
        <v>24</v>
      </c>
    </row>
    <row r="18" spans="1:2" ht="26.4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ht="52.8" x14ac:dyDescent="0.3">
      <c r="A21" s="5" t="s">
        <v>28</v>
      </c>
      <c r="B21" s="6" t="s">
        <v>29</v>
      </c>
    </row>
    <row r="22" spans="1:2" x14ac:dyDescent="0.3">
      <c r="A22" s="5" t="s">
        <v>30</v>
      </c>
      <c r="B22" s="6" t="s">
        <v>31</v>
      </c>
    </row>
    <row r="23" spans="1:2" ht="26.4" x14ac:dyDescent="0.3">
      <c r="A23" s="5" t="s">
        <v>32</v>
      </c>
      <c r="B23" s="6" t="s">
        <v>33</v>
      </c>
    </row>
    <row r="25" spans="1:2" x14ac:dyDescent="0.3">
      <c r="A25" s="3" t="s">
        <v>34</v>
      </c>
      <c r="B25" s="4"/>
    </row>
    <row r="26" spans="1:2" x14ac:dyDescent="0.3">
      <c r="A26" s="5" t="s">
        <v>35</v>
      </c>
      <c r="B26" s="6" t="s">
        <v>36</v>
      </c>
    </row>
    <row r="27" spans="1:2" x14ac:dyDescent="0.3">
      <c r="A27" s="5" t="s">
        <v>37</v>
      </c>
      <c r="B27" s="6" t="s">
        <v>38</v>
      </c>
    </row>
    <row r="28" spans="1:2" x14ac:dyDescent="0.3">
      <c r="A28" s="5" t="s">
        <v>39</v>
      </c>
      <c r="B28" s="6" t="s">
        <v>40</v>
      </c>
    </row>
    <row r="29" spans="1:2" x14ac:dyDescent="0.3">
      <c r="A29" s="5" t="s">
        <v>41</v>
      </c>
      <c r="B29" s="6" t="s">
        <v>42</v>
      </c>
    </row>
    <row r="30" spans="1:2" x14ac:dyDescent="0.3">
      <c r="A30" s="5" t="s">
        <v>43</v>
      </c>
      <c r="B30" s="6" t="s">
        <v>44</v>
      </c>
    </row>
    <row r="31" spans="1:2" x14ac:dyDescent="0.3">
      <c r="A31" s="5" t="s">
        <v>45</v>
      </c>
      <c r="B31" s="6" t="s">
        <v>46</v>
      </c>
    </row>
    <row r="32" spans="1:2" x14ac:dyDescent="0.3">
      <c r="A32" s="5" t="s">
        <v>47</v>
      </c>
      <c r="B32" s="6" t="s">
        <v>48</v>
      </c>
    </row>
    <row r="34" spans="1:2" x14ac:dyDescent="0.3">
      <c r="A34" s="3" t="s">
        <v>49</v>
      </c>
      <c r="B34" s="4"/>
    </row>
    <row r="35" spans="1:2" ht="26.4" x14ac:dyDescent="0.3">
      <c r="A35" s="5" t="s">
        <v>50</v>
      </c>
      <c r="B35" s="6" t="s">
        <v>51</v>
      </c>
    </row>
    <row r="36" spans="1:2" x14ac:dyDescent="0.3">
      <c r="A36" s="5" t="s">
        <v>52</v>
      </c>
      <c r="B36" s="6" t="s">
        <v>53</v>
      </c>
    </row>
    <row r="37" spans="1:2" x14ac:dyDescent="0.3">
      <c r="A37" s="5" t="s">
        <v>54</v>
      </c>
      <c r="B37" s="6" t="s">
        <v>55</v>
      </c>
    </row>
    <row r="38" spans="1:2" ht="26.4" x14ac:dyDescent="0.3">
      <c r="A38" s="5" t="s">
        <v>56</v>
      </c>
      <c r="B38" s="6" t="s">
        <v>57</v>
      </c>
    </row>
    <row r="39" spans="1:2" ht="26.4" x14ac:dyDescent="0.3">
      <c r="A39" s="5" t="s">
        <v>58</v>
      </c>
      <c r="B39" s="6" t="s">
        <v>59</v>
      </c>
    </row>
    <row r="40" spans="1:2" ht="39.6" x14ac:dyDescent="0.3">
      <c r="A40" s="5" t="s">
        <v>60</v>
      </c>
      <c r="B40" s="6" t="s">
        <v>61</v>
      </c>
    </row>
    <row r="42" spans="1:2" x14ac:dyDescent="0.3">
      <c r="A42" s="3" t="s">
        <v>62</v>
      </c>
      <c r="B42" s="4"/>
    </row>
    <row r="43" spans="1:2" x14ac:dyDescent="0.3">
      <c r="A43" s="5" t="s">
        <v>63</v>
      </c>
      <c r="B43" s="6" t="s">
        <v>64</v>
      </c>
    </row>
    <row r="44" spans="1:2" x14ac:dyDescent="0.3">
      <c r="A44" s="5" t="s">
        <v>65</v>
      </c>
      <c r="B44" s="6" t="s">
        <v>66</v>
      </c>
    </row>
    <row r="45" spans="1:2" x14ac:dyDescent="0.3">
      <c r="A45" s="5" t="s">
        <v>67</v>
      </c>
      <c r="B45" s="6" t="s">
        <v>68</v>
      </c>
    </row>
    <row r="46" spans="1:2" x14ac:dyDescent="0.3">
      <c r="A46" s="5" t="s">
        <v>69</v>
      </c>
      <c r="B46" s="6" t="s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10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36" customWidth="1"/>
    <col min="3" max="3" width="40" customWidth="1"/>
    <col min="4" max="4" width="7" customWidth="1"/>
    <col min="5" max="5" width="16" customWidth="1"/>
    <col min="6" max="6" width="20" customWidth="1"/>
    <col min="7" max="7" width="30" customWidth="1"/>
    <col min="8" max="8" width="20" customWidth="1"/>
    <col min="9" max="9" width="26" customWidth="1"/>
    <col min="10" max="10" width="28" customWidth="1"/>
    <col min="11" max="11" width="30" customWidth="1"/>
    <col min="12" max="12" width="14" customWidth="1"/>
    <col min="13" max="15" width="11" customWidth="1"/>
    <col min="16" max="16" width="13" customWidth="1"/>
    <col min="17" max="19" width="8" customWidth="1"/>
    <col min="20" max="20" width="9" customWidth="1"/>
    <col min="21" max="21" width="8" customWidth="1"/>
    <col min="22" max="22" width="9" customWidth="1"/>
    <col min="23" max="23" width="8" customWidth="1"/>
    <col min="24" max="24" width="16" customWidth="1"/>
  </cols>
  <sheetData>
    <row r="1" spans="1:24" ht="17.399999999999999" x14ac:dyDescent="0.3">
      <c r="A1" s="1" t="s">
        <v>71</v>
      </c>
    </row>
    <row r="2" spans="1:24" x14ac:dyDescent="0.3">
      <c r="A2" s="2" t="s">
        <v>72</v>
      </c>
    </row>
    <row r="4" spans="1:24" ht="39.6" x14ac:dyDescent="0.3">
      <c r="A4" s="8" t="s">
        <v>73</v>
      </c>
      <c r="B4" s="8" t="s">
        <v>74</v>
      </c>
      <c r="C4" s="8" t="s">
        <v>75</v>
      </c>
      <c r="D4" s="8" t="s">
        <v>76</v>
      </c>
      <c r="E4" s="8" t="s">
        <v>77</v>
      </c>
      <c r="F4" s="8" t="s">
        <v>78</v>
      </c>
      <c r="G4" s="8" t="s">
        <v>79</v>
      </c>
      <c r="H4" s="8" t="s">
        <v>80</v>
      </c>
      <c r="I4" s="8" t="s">
        <v>81</v>
      </c>
      <c r="J4" s="8" t="s">
        <v>82</v>
      </c>
      <c r="K4" s="8" t="s">
        <v>83</v>
      </c>
      <c r="L4" s="8" t="s">
        <v>84</v>
      </c>
      <c r="M4" s="8" t="s">
        <v>85</v>
      </c>
      <c r="N4" s="8" t="s">
        <v>86</v>
      </c>
      <c r="O4" s="8" t="s">
        <v>87</v>
      </c>
      <c r="P4" s="8" t="s">
        <v>14</v>
      </c>
      <c r="Q4" s="8" t="s">
        <v>88</v>
      </c>
      <c r="R4" s="8" t="s">
        <v>89</v>
      </c>
      <c r="S4" s="8" t="s">
        <v>90</v>
      </c>
      <c r="T4" s="9" t="s">
        <v>91</v>
      </c>
      <c r="U4" s="8" t="s">
        <v>92</v>
      </c>
      <c r="V4" s="9" t="s">
        <v>93</v>
      </c>
      <c r="W4" s="9" t="s">
        <v>94</v>
      </c>
      <c r="X4" s="9" t="s">
        <v>95</v>
      </c>
    </row>
    <row r="5" spans="1:24" ht="48" customHeight="1" x14ac:dyDescent="0.3">
      <c r="A5" s="10" t="s">
        <v>96</v>
      </c>
      <c r="B5" s="10" t="s">
        <v>97</v>
      </c>
      <c r="C5" s="10" t="s">
        <v>98</v>
      </c>
      <c r="D5" s="10" t="s">
        <v>99</v>
      </c>
      <c r="E5" s="10" t="s">
        <v>100</v>
      </c>
      <c r="F5" s="10" t="s">
        <v>101</v>
      </c>
      <c r="G5" s="10" t="s">
        <v>102</v>
      </c>
      <c r="H5" s="10" t="s">
        <v>103</v>
      </c>
      <c r="I5" s="10" t="s">
        <v>104</v>
      </c>
      <c r="J5" s="10" t="s">
        <v>105</v>
      </c>
      <c r="K5" s="10" t="s">
        <v>106</v>
      </c>
      <c r="L5" s="10" t="s">
        <v>107</v>
      </c>
      <c r="M5" s="11">
        <v>46034</v>
      </c>
      <c r="N5" s="11">
        <v>46203</v>
      </c>
      <c r="O5" s="11">
        <v>46209</v>
      </c>
      <c r="P5" s="10" t="s">
        <v>108</v>
      </c>
      <c r="Q5" s="12">
        <v>135</v>
      </c>
      <c r="R5" s="12">
        <v>124</v>
      </c>
      <c r="S5" s="12">
        <v>11</v>
      </c>
      <c r="T5" s="13">
        <f t="shared" ref="T5:T10" si="0">IFERROR(R5/Q5,"")</f>
        <v>0.91851851851851851</v>
      </c>
      <c r="U5" s="14">
        <v>0.9</v>
      </c>
      <c r="V5" s="15">
        <f>COUNTIFS(tbl_etapas[ID_Projeto],A5,tbl_etapas[Resultado],"Aprovado*")</f>
        <v>6</v>
      </c>
      <c r="W5" s="15">
        <f>COUNTIFS(tbl_alteracoes_dd[ID_Projeto],A5,tbl_alteracoes_dd[Estado],"Em curso")</f>
        <v>0</v>
      </c>
      <c r="X5" s="16" t="str">
        <f t="shared" ref="X5:X10" si="1">IF(A5="","",IF(T5="","Sem dados",IF(T5&gt;=U5,"Lançamento OK","Reforçar safe launch")))</f>
        <v>Lançamento OK</v>
      </c>
    </row>
    <row r="6" spans="1:24" ht="48" customHeight="1" x14ac:dyDescent="0.3">
      <c r="A6" s="10" t="s">
        <v>109</v>
      </c>
      <c r="B6" s="10" t="s">
        <v>110</v>
      </c>
      <c r="C6" s="10" t="s">
        <v>111</v>
      </c>
      <c r="D6" s="10" t="s">
        <v>112</v>
      </c>
      <c r="E6" s="10" t="s">
        <v>113</v>
      </c>
      <c r="F6" s="10" t="s">
        <v>114</v>
      </c>
      <c r="G6" s="10" t="s">
        <v>115</v>
      </c>
      <c r="H6" s="10" t="s">
        <v>103</v>
      </c>
      <c r="I6" s="10" t="s">
        <v>116</v>
      </c>
      <c r="J6" s="10" t="s">
        <v>117</v>
      </c>
      <c r="K6" s="10" t="s">
        <v>118</v>
      </c>
      <c r="L6" s="10" t="s">
        <v>119</v>
      </c>
      <c r="M6" s="11">
        <v>46034</v>
      </c>
      <c r="N6" s="11">
        <v>46203</v>
      </c>
      <c r="O6" s="11">
        <v>46210</v>
      </c>
      <c r="P6" s="10" t="s">
        <v>108</v>
      </c>
      <c r="Q6" s="12">
        <v>133</v>
      </c>
      <c r="R6" s="12">
        <v>127</v>
      </c>
      <c r="S6" s="12">
        <v>6</v>
      </c>
      <c r="T6" s="13">
        <f t="shared" si="0"/>
        <v>0.95488721804511278</v>
      </c>
      <c r="U6" s="14">
        <v>0.9</v>
      </c>
      <c r="V6" s="15">
        <f>COUNTIFS(tbl_etapas[ID_Projeto],A6,tbl_etapas[Resultado],"Aprovado*")</f>
        <v>6</v>
      </c>
      <c r="W6" s="15">
        <f>COUNTIFS(tbl_alteracoes_dd[ID_Projeto],A6,tbl_alteracoes_dd[Estado],"Em curso")</f>
        <v>0</v>
      </c>
      <c r="X6" s="16" t="str">
        <f t="shared" si="1"/>
        <v>Lançamento OK</v>
      </c>
    </row>
    <row r="7" spans="1:24" ht="48" customHeight="1" x14ac:dyDescent="0.3">
      <c r="A7" s="10" t="s">
        <v>120</v>
      </c>
      <c r="B7" s="10" t="s">
        <v>121</v>
      </c>
      <c r="C7" s="10" t="s">
        <v>122</v>
      </c>
      <c r="D7" s="10" t="s">
        <v>123</v>
      </c>
      <c r="E7" s="10" t="s">
        <v>124</v>
      </c>
      <c r="F7" s="10" t="s">
        <v>125</v>
      </c>
      <c r="G7" s="10" t="s">
        <v>126</v>
      </c>
      <c r="H7" s="10" t="s">
        <v>103</v>
      </c>
      <c r="I7" s="10" t="s">
        <v>127</v>
      </c>
      <c r="J7" s="10" t="s">
        <v>128</v>
      </c>
      <c r="K7" s="10" t="s">
        <v>129</v>
      </c>
      <c r="L7" s="10" t="s">
        <v>130</v>
      </c>
      <c r="M7" s="11">
        <v>46055</v>
      </c>
      <c r="N7" s="11">
        <v>46203</v>
      </c>
      <c r="O7" s="11">
        <v>46209</v>
      </c>
      <c r="P7" s="10" t="s">
        <v>108</v>
      </c>
      <c r="Q7" s="12">
        <v>144</v>
      </c>
      <c r="R7" s="12">
        <v>125</v>
      </c>
      <c r="S7" s="12">
        <v>19</v>
      </c>
      <c r="T7" s="13">
        <f t="shared" si="0"/>
        <v>0.86805555555555558</v>
      </c>
      <c r="U7" s="14">
        <v>0.9</v>
      </c>
      <c r="V7" s="15">
        <f>COUNTIFS(tbl_etapas[ID_Projeto],A7,tbl_etapas[Resultado],"Aprovado*")</f>
        <v>6</v>
      </c>
      <c r="W7" s="15">
        <f>COUNTIFS(tbl_alteracoes_dd[ID_Projeto],A7,tbl_alteracoes_dd[Estado],"Em curso")</f>
        <v>0</v>
      </c>
      <c r="X7" s="16" t="str">
        <f t="shared" si="1"/>
        <v>Reforçar safe launch</v>
      </c>
    </row>
    <row r="8" spans="1:24" ht="48" customHeight="1" x14ac:dyDescent="0.3">
      <c r="A8" s="10" t="s">
        <v>131</v>
      </c>
      <c r="B8" s="10" t="s">
        <v>132</v>
      </c>
      <c r="C8" s="10" t="s">
        <v>133</v>
      </c>
      <c r="D8" s="10" t="s">
        <v>134</v>
      </c>
      <c r="E8" s="10" t="s">
        <v>113</v>
      </c>
      <c r="F8" s="10" t="s">
        <v>135</v>
      </c>
      <c r="G8" s="10" t="s">
        <v>136</v>
      </c>
      <c r="H8" s="10" t="s">
        <v>103</v>
      </c>
      <c r="I8" s="10" t="s">
        <v>137</v>
      </c>
      <c r="J8" s="10" t="s">
        <v>138</v>
      </c>
      <c r="K8" s="10" t="s">
        <v>139</v>
      </c>
      <c r="L8" s="10" t="s">
        <v>119</v>
      </c>
      <c r="M8" s="11">
        <v>46041</v>
      </c>
      <c r="N8" s="11">
        <v>46203</v>
      </c>
      <c r="O8" s="11">
        <v>46209</v>
      </c>
      <c r="P8" s="10" t="s">
        <v>108</v>
      </c>
      <c r="Q8" s="12">
        <v>50</v>
      </c>
      <c r="R8" s="12">
        <v>46</v>
      </c>
      <c r="S8" s="12">
        <v>4</v>
      </c>
      <c r="T8" s="13">
        <f t="shared" si="0"/>
        <v>0.92</v>
      </c>
      <c r="U8" s="14">
        <v>0.9</v>
      </c>
      <c r="V8" s="15">
        <f>COUNTIFS(tbl_etapas[ID_Projeto],A8,tbl_etapas[Resultado],"Aprovado*")</f>
        <v>6</v>
      </c>
      <c r="W8" s="15">
        <f>COUNTIFS(tbl_alteracoes_dd[ID_Projeto],A8,tbl_alteracoes_dd[Estado],"Em curso")</f>
        <v>0</v>
      </c>
      <c r="X8" s="16" t="str">
        <f t="shared" si="1"/>
        <v>Lançamento OK</v>
      </c>
    </row>
    <row r="9" spans="1:24" ht="48" customHeight="1" x14ac:dyDescent="0.3">
      <c r="A9" s="10" t="s">
        <v>140</v>
      </c>
      <c r="B9" s="10" t="s">
        <v>141</v>
      </c>
      <c r="C9" s="10" t="s">
        <v>142</v>
      </c>
      <c r="D9" s="10" t="s">
        <v>143</v>
      </c>
      <c r="E9" s="10" t="s">
        <v>124</v>
      </c>
      <c r="F9" s="10" t="s">
        <v>144</v>
      </c>
      <c r="G9" s="10" t="s">
        <v>145</v>
      </c>
      <c r="H9" s="10" t="s">
        <v>103</v>
      </c>
      <c r="I9" s="10" t="s">
        <v>146</v>
      </c>
      <c r="J9" s="10" t="s">
        <v>128</v>
      </c>
      <c r="K9" s="10" t="s">
        <v>147</v>
      </c>
      <c r="L9" s="10" t="s">
        <v>148</v>
      </c>
      <c r="M9" s="11">
        <v>46069</v>
      </c>
      <c r="N9" s="11">
        <v>46203</v>
      </c>
      <c r="O9" s="11">
        <v>46210</v>
      </c>
      <c r="P9" s="10" t="s">
        <v>108</v>
      </c>
      <c r="Q9" s="12">
        <v>98</v>
      </c>
      <c r="R9" s="12">
        <v>84</v>
      </c>
      <c r="S9" s="12">
        <v>14</v>
      </c>
      <c r="T9" s="13">
        <f t="shared" si="0"/>
        <v>0.8571428571428571</v>
      </c>
      <c r="U9" s="14">
        <v>0.9</v>
      </c>
      <c r="V9" s="15">
        <f>COUNTIFS(tbl_etapas[ID_Projeto],A9,tbl_etapas[Resultado],"Aprovado*")</f>
        <v>6</v>
      </c>
      <c r="W9" s="15">
        <f>COUNTIFS(tbl_alteracoes_dd[ID_Projeto],A9,tbl_alteracoes_dd[Estado],"Em curso")</f>
        <v>0</v>
      </c>
      <c r="X9" s="16" t="str">
        <f t="shared" si="1"/>
        <v>Reforçar safe launch</v>
      </c>
    </row>
    <row r="10" spans="1:24" ht="48" customHeight="1" x14ac:dyDescent="0.3">
      <c r="A10" s="10" t="s">
        <v>149</v>
      </c>
      <c r="B10" s="10" t="s">
        <v>150</v>
      </c>
      <c r="C10" s="10" t="s">
        <v>151</v>
      </c>
      <c r="D10" s="10" t="s">
        <v>152</v>
      </c>
      <c r="E10" s="10" t="s">
        <v>100</v>
      </c>
      <c r="F10" s="10" t="s">
        <v>153</v>
      </c>
      <c r="G10" s="10" t="s">
        <v>154</v>
      </c>
      <c r="H10" s="10" t="s">
        <v>103</v>
      </c>
      <c r="I10" s="10" t="s">
        <v>127</v>
      </c>
      <c r="J10" s="10" t="s">
        <v>155</v>
      </c>
      <c r="K10" s="10" t="s">
        <v>156</v>
      </c>
      <c r="L10" s="10" t="s">
        <v>107</v>
      </c>
      <c r="M10" s="11">
        <v>46069</v>
      </c>
      <c r="N10" s="11">
        <v>46203</v>
      </c>
      <c r="O10" s="11">
        <v>46209</v>
      </c>
      <c r="P10" s="10" t="s">
        <v>108</v>
      </c>
      <c r="Q10" s="12">
        <v>137</v>
      </c>
      <c r="R10" s="12">
        <v>115</v>
      </c>
      <c r="S10" s="12">
        <v>22</v>
      </c>
      <c r="T10" s="13">
        <f t="shared" si="0"/>
        <v>0.83941605839416056</v>
      </c>
      <c r="U10" s="14">
        <v>0.9</v>
      </c>
      <c r="V10" s="15">
        <f>COUNTIFS(tbl_etapas[ID_Projeto],A10,tbl_etapas[Resultado],"Aprovado*")</f>
        <v>6</v>
      </c>
      <c r="W10" s="15">
        <f>COUNTIFS(tbl_alteracoes_dd[ID_Projeto],A10,tbl_alteracoes_dd[Estado],"Em curso")</f>
        <v>0</v>
      </c>
      <c r="X10" s="16" t="str">
        <f t="shared" si="1"/>
        <v>Reforçar safe launch</v>
      </c>
    </row>
  </sheetData>
  <conditionalFormatting sqref="T5:T210">
    <cfRule type="expression" dxfId="11" priority="3">
      <formula>AND(T5&lt;&gt;"",T5&lt;0.9)</formula>
    </cfRule>
  </conditionalFormatting>
  <conditionalFormatting sqref="X5:X210">
    <cfRule type="expression" dxfId="10" priority="1">
      <formula>ISNUMBER(SEARCH("Reforçar",X5))</formula>
    </cfRule>
    <cfRule type="expression" dxfId="9" priority="2">
      <formula>ISNUMBER(SEARCH("OK",X5))</formula>
    </cfRule>
  </conditionalFormatting>
  <dataValidations count="2">
    <dataValidation type="list" allowBlank="1" showErrorMessage="1" errorTitle="Valor inválido" error="Valor fora da lista controlada (ver folha Listas)." sqref="H5:H210" xr:uid="{00000000-0002-0000-0100-000000000000}">
      <formula1>lst_Funcao</formula1>
    </dataValidation>
    <dataValidation type="list" allowBlank="1" showErrorMessage="1" errorTitle="Valor inválido" error="Valor fora da lista controlada (ver folha Listas)." sqref="P5:P210" xr:uid="{00000000-0002-0000-0100-000001000000}">
      <formula1>lst_EstadoProj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31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6" customWidth="1"/>
    <col min="3" max="3" width="30" customWidth="1"/>
    <col min="4" max="4" width="60" customWidth="1"/>
    <col min="5" max="6" width="10" customWidth="1"/>
  </cols>
  <sheetData>
    <row r="1" spans="1:6" ht="39.6" x14ac:dyDescent="0.3">
      <c r="A1" s="8" t="s">
        <v>73</v>
      </c>
      <c r="B1" s="8" t="s">
        <v>157</v>
      </c>
      <c r="C1" s="8" t="s">
        <v>158</v>
      </c>
      <c r="D1" s="8" t="s">
        <v>159</v>
      </c>
      <c r="E1" s="8" t="s">
        <v>160</v>
      </c>
      <c r="F1" s="8" t="s">
        <v>161</v>
      </c>
    </row>
    <row r="2" spans="1:6" ht="30" customHeight="1" x14ac:dyDescent="0.3">
      <c r="A2" s="10" t="s">
        <v>96</v>
      </c>
      <c r="B2" s="10" t="s">
        <v>162</v>
      </c>
      <c r="C2" s="10" t="s">
        <v>163</v>
      </c>
      <c r="D2" s="10" t="s">
        <v>164</v>
      </c>
      <c r="E2" s="10" t="s">
        <v>165</v>
      </c>
      <c r="F2" s="10" t="s">
        <v>165</v>
      </c>
    </row>
    <row r="3" spans="1:6" ht="30" customHeight="1" x14ac:dyDescent="0.3">
      <c r="A3" s="10" t="s">
        <v>96</v>
      </c>
      <c r="B3" s="10" t="s">
        <v>166</v>
      </c>
      <c r="C3" s="10" t="s">
        <v>167</v>
      </c>
      <c r="D3" s="10" t="s">
        <v>168</v>
      </c>
      <c r="E3" s="10" t="s">
        <v>165</v>
      </c>
      <c r="F3" s="10" t="s">
        <v>165</v>
      </c>
    </row>
    <row r="4" spans="1:6" ht="30" customHeight="1" x14ac:dyDescent="0.3">
      <c r="A4" s="10" t="s">
        <v>96</v>
      </c>
      <c r="B4" s="10" t="s">
        <v>169</v>
      </c>
      <c r="C4" s="10" t="s">
        <v>170</v>
      </c>
      <c r="D4" s="10" t="s">
        <v>171</v>
      </c>
      <c r="E4" s="10" t="s">
        <v>165</v>
      </c>
      <c r="F4" s="10" t="s">
        <v>165</v>
      </c>
    </row>
    <row r="5" spans="1:6" ht="30" customHeight="1" x14ac:dyDescent="0.3">
      <c r="A5" s="10" t="s">
        <v>96</v>
      </c>
      <c r="B5" s="10" t="s">
        <v>172</v>
      </c>
      <c r="C5" s="10" t="s">
        <v>173</v>
      </c>
      <c r="D5" s="10" t="s">
        <v>174</v>
      </c>
      <c r="E5" s="10" t="s">
        <v>165</v>
      </c>
      <c r="F5" s="10" t="s">
        <v>165</v>
      </c>
    </row>
    <row r="6" spans="1:6" ht="30" customHeight="1" x14ac:dyDescent="0.3">
      <c r="A6" s="10" t="s">
        <v>96</v>
      </c>
      <c r="B6" s="10" t="s">
        <v>175</v>
      </c>
      <c r="C6" s="10" t="s">
        <v>176</v>
      </c>
      <c r="D6" s="10" t="s">
        <v>177</v>
      </c>
      <c r="E6" s="10" t="s">
        <v>165</v>
      </c>
      <c r="F6" s="10" t="s">
        <v>165</v>
      </c>
    </row>
    <row r="7" spans="1:6" ht="30" customHeight="1" x14ac:dyDescent="0.3">
      <c r="A7" s="10" t="s">
        <v>109</v>
      </c>
      <c r="B7" s="10" t="s">
        <v>162</v>
      </c>
      <c r="C7" s="10" t="s">
        <v>163</v>
      </c>
      <c r="D7" s="10" t="s">
        <v>178</v>
      </c>
      <c r="E7" s="10" t="s">
        <v>165</v>
      </c>
      <c r="F7" s="10" t="s">
        <v>165</v>
      </c>
    </row>
    <row r="8" spans="1:6" ht="30" customHeight="1" x14ac:dyDescent="0.3">
      <c r="A8" s="10" t="s">
        <v>109</v>
      </c>
      <c r="B8" s="10" t="s">
        <v>166</v>
      </c>
      <c r="C8" s="10" t="s">
        <v>167</v>
      </c>
      <c r="D8" s="10" t="s">
        <v>179</v>
      </c>
      <c r="E8" s="10" t="s">
        <v>165</v>
      </c>
      <c r="F8" s="10" t="s">
        <v>165</v>
      </c>
    </row>
    <row r="9" spans="1:6" ht="30" customHeight="1" x14ac:dyDescent="0.3">
      <c r="A9" s="10" t="s">
        <v>109</v>
      </c>
      <c r="B9" s="10" t="s">
        <v>169</v>
      </c>
      <c r="C9" s="10" t="s">
        <v>170</v>
      </c>
      <c r="D9" s="10" t="s">
        <v>180</v>
      </c>
      <c r="E9" s="10" t="s">
        <v>165</v>
      </c>
      <c r="F9" s="10" t="s">
        <v>165</v>
      </c>
    </row>
    <row r="10" spans="1:6" ht="30" customHeight="1" x14ac:dyDescent="0.3">
      <c r="A10" s="10" t="s">
        <v>109</v>
      </c>
      <c r="B10" s="10" t="s">
        <v>172</v>
      </c>
      <c r="C10" s="10" t="s">
        <v>173</v>
      </c>
      <c r="D10" s="10" t="s">
        <v>181</v>
      </c>
      <c r="E10" s="10" t="s">
        <v>165</v>
      </c>
      <c r="F10" s="10" t="s">
        <v>165</v>
      </c>
    </row>
    <row r="11" spans="1:6" ht="30" customHeight="1" x14ac:dyDescent="0.3">
      <c r="A11" s="10" t="s">
        <v>109</v>
      </c>
      <c r="B11" s="10" t="s">
        <v>175</v>
      </c>
      <c r="C11" s="10" t="s">
        <v>176</v>
      </c>
      <c r="D11" s="10" t="s">
        <v>182</v>
      </c>
      <c r="E11" s="10" t="s">
        <v>165</v>
      </c>
      <c r="F11" s="10" t="s">
        <v>165</v>
      </c>
    </row>
    <row r="12" spans="1:6" ht="30" customHeight="1" x14ac:dyDescent="0.3">
      <c r="A12" s="10" t="s">
        <v>120</v>
      </c>
      <c r="B12" s="10" t="s">
        <v>162</v>
      </c>
      <c r="C12" s="10" t="s">
        <v>163</v>
      </c>
      <c r="D12" s="10" t="s">
        <v>183</v>
      </c>
      <c r="E12" s="10" t="s">
        <v>165</v>
      </c>
      <c r="F12" s="10" t="s">
        <v>165</v>
      </c>
    </row>
    <row r="13" spans="1:6" ht="30" customHeight="1" x14ac:dyDescent="0.3">
      <c r="A13" s="10" t="s">
        <v>120</v>
      </c>
      <c r="B13" s="10" t="s">
        <v>166</v>
      </c>
      <c r="C13" s="10" t="s">
        <v>167</v>
      </c>
      <c r="D13" s="10" t="s">
        <v>184</v>
      </c>
      <c r="E13" s="10" t="s">
        <v>165</v>
      </c>
      <c r="F13" s="10" t="s">
        <v>165</v>
      </c>
    </row>
    <row r="14" spans="1:6" ht="30" customHeight="1" x14ac:dyDescent="0.3">
      <c r="A14" s="10" t="s">
        <v>120</v>
      </c>
      <c r="B14" s="10" t="s">
        <v>169</v>
      </c>
      <c r="C14" s="10" t="s">
        <v>170</v>
      </c>
      <c r="D14" s="10" t="s">
        <v>185</v>
      </c>
      <c r="E14" s="10" t="s">
        <v>165</v>
      </c>
      <c r="F14" s="10" t="s">
        <v>165</v>
      </c>
    </row>
    <row r="15" spans="1:6" ht="30" customHeight="1" x14ac:dyDescent="0.3">
      <c r="A15" s="10" t="s">
        <v>120</v>
      </c>
      <c r="B15" s="10" t="s">
        <v>172</v>
      </c>
      <c r="C15" s="10" t="s">
        <v>173</v>
      </c>
      <c r="D15" s="10" t="s">
        <v>186</v>
      </c>
      <c r="E15" s="10" t="s">
        <v>165</v>
      </c>
      <c r="F15" s="10" t="s">
        <v>165</v>
      </c>
    </row>
    <row r="16" spans="1:6" ht="30" customHeight="1" x14ac:dyDescent="0.3">
      <c r="A16" s="10" t="s">
        <v>120</v>
      </c>
      <c r="B16" s="10" t="s">
        <v>175</v>
      </c>
      <c r="C16" s="10" t="s">
        <v>176</v>
      </c>
      <c r="D16" s="10" t="s">
        <v>187</v>
      </c>
      <c r="E16" s="10" t="s">
        <v>165</v>
      </c>
      <c r="F16" s="10" t="s">
        <v>165</v>
      </c>
    </row>
    <row r="17" spans="1:6" ht="30" customHeight="1" x14ac:dyDescent="0.3">
      <c r="A17" s="10" t="s">
        <v>131</v>
      </c>
      <c r="B17" s="10" t="s">
        <v>162</v>
      </c>
      <c r="C17" s="10" t="s">
        <v>163</v>
      </c>
      <c r="D17" s="10" t="s">
        <v>188</v>
      </c>
      <c r="E17" s="10" t="s">
        <v>165</v>
      </c>
      <c r="F17" s="10" t="s">
        <v>165</v>
      </c>
    </row>
    <row r="18" spans="1:6" ht="30" customHeight="1" x14ac:dyDescent="0.3">
      <c r="A18" s="10" t="s">
        <v>131</v>
      </c>
      <c r="B18" s="10" t="s">
        <v>166</v>
      </c>
      <c r="C18" s="10" t="s">
        <v>167</v>
      </c>
      <c r="D18" s="10" t="s">
        <v>189</v>
      </c>
      <c r="E18" s="10" t="s">
        <v>165</v>
      </c>
      <c r="F18" s="10" t="s">
        <v>165</v>
      </c>
    </row>
    <row r="19" spans="1:6" ht="30" customHeight="1" x14ac:dyDescent="0.3">
      <c r="A19" s="10" t="s">
        <v>131</v>
      </c>
      <c r="B19" s="10" t="s">
        <v>169</v>
      </c>
      <c r="C19" s="10" t="s">
        <v>170</v>
      </c>
      <c r="D19" s="10" t="s">
        <v>190</v>
      </c>
      <c r="E19" s="10" t="s">
        <v>165</v>
      </c>
      <c r="F19" s="10" t="s">
        <v>165</v>
      </c>
    </row>
    <row r="20" spans="1:6" ht="30" customHeight="1" x14ac:dyDescent="0.3">
      <c r="A20" s="10" t="s">
        <v>131</v>
      </c>
      <c r="B20" s="10" t="s">
        <v>172</v>
      </c>
      <c r="C20" s="10" t="s">
        <v>173</v>
      </c>
      <c r="D20" s="10" t="s">
        <v>191</v>
      </c>
      <c r="E20" s="10" t="s">
        <v>165</v>
      </c>
      <c r="F20" s="10" t="s">
        <v>165</v>
      </c>
    </row>
    <row r="21" spans="1:6" ht="30" customHeight="1" x14ac:dyDescent="0.3">
      <c r="A21" s="10" t="s">
        <v>131</v>
      </c>
      <c r="B21" s="10" t="s">
        <v>175</v>
      </c>
      <c r="C21" s="10" t="s">
        <v>176</v>
      </c>
      <c r="D21" s="10" t="s">
        <v>192</v>
      </c>
      <c r="E21" s="10" t="s">
        <v>165</v>
      </c>
      <c r="F21" s="10" t="s">
        <v>165</v>
      </c>
    </row>
    <row r="22" spans="1:6" ht="30" customHeight="1" x14ac:dyDescent="0.3">
      <c r="A22" s="10" t="s">
        <v>140</v>
      </c>
      <c r="B22" s="10" t="s">
        <v>162</v>
      </c>
      <c r="C22" s="10" t="s">
        <v>163</v>
      </c>
      <c r="D22" s="10" t="s">
        <v>193</v>
      </c>
      <c r="E22" s="10" t="s">
        <v>194</v>
      </c>
      <c r="F22" s="10" t="s">
        <v>165</v>
      </c>
    </row>
    <row r="23" spans="1:6" ht="30" customHeight="1" x14ac:dyDescent="0.3">
      <c r="A23" s="10" t="s">
        <v>140</v>
      </c>
      <c r="B23" s="10" t="s">
        <v>166</v>
      </c>
      <c r="C23" s="10" t="s">
        <v>167</v>
      </c>
      <c r="D23" s="10" t="s">
        <v>195</v>
      </c>
      <c r="E23" s="10" t="s">
        <v>165</v>
      </c>
      <c r="F23" s="10" t="s">
        <v>165</v>
      </c>
    </row>
    <row r="24" spans="1:6" ht="30" customHeight="1" x14ac:dyDescent="0.3">
      <c r="A24" s="10" t="s">
        <v>140</v>
      </c>
      <c r="B24" s="10" t="s">
        <v>169</v>
      </c>
      <c r="C24" s="10" t="s">
        <v>170</v>
      </c>
      <c r="D24" s="10" t="s">
        <v>196</v>
      </c>
      <c r="E24" s="10" t="s">
        <v>165</v>
      </c>
      <c r="F24" s="10" t="s">
        <v>165</v>
      </c>
    </row>
    <row r="25" spans="1:6" ht="30" customHeight="1" x14ac:dyDescent="0.3">
      <c r="A25" s="10" t="s">
        <v>140</v>
      </c>
      <c r="B25" s="10" t="s">
        <v>172</v>
      </c>
      <c r="C25" s="10" t="s">
        <v>173</v>
      </c>
      <c r="D25" s="10" t="s">
        <v>197</v>
      </c>
      <c r="E25" s="10" t="s">
        <v>165</v>
      </c>
      <c r="F25" s="10" t="s">
        <v>165</v>
      </c>
    </row>
    <row r="26" spans="1:6" ht="30" customHeight="1" x14ac:dyDescent="0.3">
      <c r="A26" s="10" t="s">
        <v>140</v>
      </c>
      <c r="B26" s="10" t="s">
        <v>175</v>
      </c>
      <c r="C26" s="10" t="s">
        <v>176</v>
      </c>
      <c r="D26" s="10" t="s">
        <v>198</v>
      </c>
      <c r="E26" s="10" t="s">
        <v>165</v>
      </c>
      <c r="F26" s="10" t="s">
        <v>165</v>
      </c>
    </row>
    <row r="27" spans="1:6" ht="30" customHeight="1" x14ac:dyDescent="0.3">
      <c r="A27" s="10" t="s">
        <v>149</v>
      </c>
      <c r="B27" s="10" t="s">
        <v>162</v>
      </c>
      <c r="C27" s="10" t="s">
        <v>163</v>
      </c>
      <c r="D27" s="10" t="s">
        <v>199</v>
      </c>
      <c r="E27" s="10" t="s">
        <v>165</v>
      </c>
      <c r="F27" s="10" t="s">
        <v>165</v>
      </c>
    </row>
    <row r="28" spans="1:6" ht="30" customHeight="1" x14ac:dyDescent="0.3">
      <c r="A28" s="10" t="s">
        <v>149</v>
      </c>
      <c r="B28" s="10" t="s">
        <v>166</v>
      </c>
      <c r="C28" s="10" t="s">
        <v>167</v>
      </c>
      <c r="D28" s="10" t="s">
        <v>200</v>
      </c>
      <c r="E28" s="10" t="s">
        <v>165</v>
      </c>
      <c r="F28" s="10" t="s">
        <v>165</v>
      </c>
    </row>
    <row r="29" spans="1:6" ht="30" customHeight="1" x14ac:dyDescent="0.3">
      <c r="A29" s="10" t="s">
        <v>149</v>
      </c>
      <c r="B29" s="10" t="s">
        <v>169</v>
      </c>
      <c r="C29" s="10" t="s">
        <v>170</v>
      </c>
      <c r="D29" s="10" t="s">
        <v>201</v>
      </c>
      <c r="E29" s="10" t="s">
        <v>165</v>
      </c>
      <c r="F29" s="10" t="s">
        <v>165</v>
      </c>
    </row>
    <row r="30" spans="1:6" ht="30" customHeight="1" x14ac:dyDescent="0.3">
      <c r="A30" s="10" t="s">
        <v>149</v>
      </c>
      <c r="B30" s="10" t="s">
        <v>172</v>
      </c>
      <c r="C30" s="10" t="s">
        <v>173</v>
      </c>
      <c r="D30" s="10" t="s">
        <v>202</v>
      </c>
      <c r="E30" s="10" t="s">
        <v>165</v>
      </c>
      <c r="F30" s="10" t="s">
        <v>165</v>
      </c>
    </row>
    <row r="31" spans="1:6" ht="30" customHeight="1" x14ac:dyDescent="0.3">
      <c r="A31" s="10" t="s">
        <v>149</v>
      </c>
      <c r="B31" s="10" t="s">
        <v>175</v>
      </c>
      <c r="C31" s="10" t="s">
        <v>176</v>
      </c>
      <c r="D31" s="10" t="s">
        <v>203</v>
      </c>
      <c r="E31" s="10" t="s">
        <v>165</v>
      </c>
      <c r="F31" s="10" t="s">
        <v>165</v>
      </c>
    </row>
  </sheetData>
  <conditionalFormatting sqref="E2:E231">
    <cfRule type="expression" dxfId="8" priority="1">
      <formula>ISNUMBER(SEARCH("Não",E2))</formula>
    </cfRule>
  </conditionalFormatting>
  <dataValidations count="1">
    <dataValidation type="list" allowBlank="1" showErrorMessage="1" errorTitle="Valor inválido" error="Valor fora da lista controlada (ver folha Listas)." sqref="E2:F231" xr:uid="{00000000-0002-0000-0200-000000000000}">
      <formula1>lst_SimNao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40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2" max="2" width="9" customWidth="1"/>
    <col min="3" max="3" width="5" customWidth="1"/>
    <col min="4" max="4" width="44" customWidth="1"/>
    <col min="5" max="5" width="18" customWidth="1"/>
    <col min="6" max="7" width="11" customWidth="1"/>
    <col min="8" max="8" width="13" customWidth="1"/>
    <col min="9" max="9" width="44" customWidth="1"/>
    <col min="10" max="10" width="9" customWidth="1"/>
    <col min="11" max="11" width="7" customWidth="1"/>
  </cols>
  <sheetData>
    <row r="1" spans="1:11" ht="17.399999999999999" x14ac:dyDescent="0.3">
      <c r="A1" s="1" t="s">
        <v>204</v>
      </c>
    </row>
    <row r="4" spans="1:11" ht="26.4" x14ac:dyDescent="0.3">
      <c r="A4" s="8" t="s">
        <v>205</v>
      </c>
      <c r="B4" s="8" t="s">
        <v>73</v>
      </c>
      <c r="C4" s="8" t="s">
        <v>206</v>
      </c>
      <c r="D4" s="8" t="s">
        <v>207</v>
      </c>
      <c r="E4" s="8" t="s">
        <v>208</v>
      </c>
      <c r="F4" s="8" t="s">
        <v>209</v>
      </c>
      <c r="G4" s="8" t="s">
        <v>210</v>
      </c>
      <c r="H4" s="8" t="s">
        <v>211</v>
      </c>
      <c r="I4" s="8" t="s">
        <v>212</v>
      </c>
      <c r="J4" s="8" t="s">
        <v>213</v>
      </c>
      <c r="K4" s="9" t="s">
        <v>214</v>
      </c>
    </row>
    <row r="5" spans="1:11" ht="30" customHeight="1" x14ac:dyDescent="0.3">
      <c r="A5" s="10" t="s">
        <v>215</v>
      </c>
      <c r="B5" s="10" t="s">
        <v>96</v>
      </c>
      <c r="C5" s="10" t="s">
        <v>216</v>
      </c>
      <c r="D5" s="10" t="s">
        <v>217</v>
      </c>
      <c r="E5" s="10" t="s">
        <v>218</v>
      </c>
      <c r="F5" s="11">
        <v>46034</v>
      </c>
      <c r="G5" s="11">
        <v>46034</v>
      </c>
      <c r="H5" s="10" t="s">
        <v>219</v>
      </c>
      <c r="I5" s="10"/>
      <c r="J5" s="10"/>
      <c r="K5" s="15">
        <f t="shared" ref="K5:K40" si="0">IF(OR(G5="",F5=""),"",G5-F5)</f>
        <v>0</v>
      </c>
    </row>
    <row r="6" spans="1:11" ht="30" customHeight="1" x14ac:dyDescent="0.3">
      <c r="A6" s="10" t="s">
        <v>220</v>
      </c>
      <c r="B6" s="10" t="s">
        <v>96</v>
      </c>
      <c r="C6" s="10" t="s">
        <v>221</v>
      </c>
      <c r="D6" s="10" t="s">
        <v>222</v>
      </c>
      <c r="E6" s="10" t="s">
        <v>218</v>
      </c>
      <c r="F6" s="11">
        <v>46064</v>
      </c>
      <c r="G6" s="11">
        <v>46064</v>
      </c>
      <c r="H6" s="10" t="s">
        <v>219</v>
      </c>
      <c r="I6" s="10"/>
      <c r="J6" s="10"/>
      <c r="K6" s="15">
        <f t="shared" si="0"/>
        <v>0</v>
      </c>
    </row>
    <row r="7" spans="1:11" ht="30" customHeight="1" x14ac:dyDescent="0.3">
      <c r="A7" s="10" t="s">
        <v>223</v>
      </c>
      <c r="B7" s="10" t="s">
        <v>96</v>
      </c>
      <c r="C7" s="10" t="s">
        <v>224</v>
      </c>
      <c r="D7" s="10" t="s">
        <v>225</v>
      </c>
      <c r="E7" s="10" t="s">
        <v>226</v>
      </c>
      <c r="F7" s="11">
        <v>46119</v>
      </c>
      <c r="G7" s="11">
        <v>46119</v>
      </c>
      <c r="H7" s="10" t="s">
        <v>219</v>
      </c>
      <c r="I7" s="10"/>
      <c r="J7" s="10"/>
      <c r="K7" s="15">
        <f t="shared" si="0"/>
        <v>0</v>
      </c>
    </row>
    <row r="8" spans="1:11" ht="30" customHeight="1" x14ac:dyDescent="0.3">
      <c r="A8" s="10" t="s">
        <v>227</v>
      </c>
      <c r="B8" s="10" t="s">
        <v>96</v>
      </c>
      <c r="C8" s="10" t="s">
        <v>228</v>
      </c>
      <c r="D8" s="10" t="s">
        <v>229</v>
      </c>
      <c r="E8" s="10" t="s">
        <v>230</v>
      </c>
      <c r="F8" s="11">
        <v>46164</v>
      </c>
      <c r="G8" s="11">
        <v>46164</v>
      </c>
      <c r="H8" s="10" t="s">
        <v>219</v>
      </c>
      <c r="I8" s="10"/>
      <c r="J8" s="10"/>
      <c r="K8" s="15">
        <f t="shared" si="0"/>
        <v>0</v>
      </c>
    </row>
    <row r="9" spans="1:11" ht="30" customHeight="1" x14ac:dyDescent="0.3">
      <c r="A9" s="10" t="s">
        <v>231</v>
      </c>
      <c r="B9" s="10" t="s">
        <v>96</v>
      </c>
      <c r="C9" s="10" t="s">
        <v>232</v>
      </c>
      <c r="D9" s="10" t="s">
        <v>233</v>
      </c>
      <c r="E9" s="10" t="s">
        <v>234</v>
      </c>
      <c r="F9" s="11">
        <v>46204</v>
      </c>
      <c r="G9" s="11">
        <v>46208</v>
      </c>
      <c r="H9" s="10" t="s">
        <v>219</v>
      </c>
      <c r="I9" s="10"/>
      <c r="J9" s="10"/>
      <c r="K9" s="15">
        <f t="shared" si="0"/>
        <v>4</v>
      </c>
    </row>
    <row r="10" spans="1:11" ht="30" customHeight="1" x14ac:dyDescent="0.3">
      <c r="A10" s="10" t="s">
        <v>235</v>
      </c>
      <c r="B10" s="10" t="s">
        <v>96</v>
      </c>
      <c r="C10" s="10" t="s">
        <v>236</v>
      </c>
      <c r="D10" s="10" t="s">
        <v>237</v>
      </c>
      <c r="E10" s="10" t="s">
        <v>234</v>
      </c>
      <c r="F10" s="11">
        <v>46324</v>
      </c>
      <c r="G10" s="11">
        <v>46324</v>
      </c>
      <c r="H10" s="10" t="s">
        <v>219</v>
      </c>
      <c r="I10" s="10"/>
      <c r="J10" s="10"/>
      <c r="K10" s="15">
        <f t="shared" si="0"/>
        <v>0</v>
      </c>
    </row>
    <row r="11" spans="1:11" ht="30" customHeight="1" x14ac:dyDescent="0.3">
      <c r="A11" s="10" t="s">
        <v>238</v>
      </c>
      <c r="B11" s="10" t="s">
        <v>109</v>
      </c>
      <c r="C11" s="10" t="s">
        <v>216</v>
      </c>
      <c r="D11" s="10" t="s">
        <v>217</v>
      </c>
      <c r="E11" s="10" t="s">
        <v>218</v>
      </c>
      <c r="F11" s="11">
        <v>46034</v>
      </c>
      <c r="G11" s="11">
        <v>46034</v>
      </c>
      <c r="H11" s="10" t="s">
        <v>219</v>
      </c>
      <c r="I11" s="10"/>
      <c r="J11" s="10"/>
      <c r="K11" s="15">
        <f t="shared" si="0"/>
        <v>0</v>
      </c>
    </row>
    <row r="12" spans="1:11" ht="30" customHeight="1" x14ac:dyDescent="0.3">
      <c r="A12" s="10" t="s">
        <v>239</v>
      </c>
      <c r="B12" s="10" t="s">
        <v>109</v>
      </c>
      <c r="C12" s="10" t="s">
        <v>221</v>
      </c>
      <c r="D12" s="10" t="s">
        <v>222</v>
      </c>
      <c r="E12" s="10" t="s">
        <v>218</v>
      </c>
      <c r="F12" s="11">
        <v>46064</v>
      </c>
      <c r="G12" s="11">
        <v>46064</v>
      </c>
      <c r="H12" s="10" t="s">
        <v>219</v>
      </c>
      <c r="I12" s="10"/>
      <c r="J12" s="10"/>
      <c r="K12" s="15">
        <f t="shared" si="0"/>
        <v>0</v>
      </c>
    </row>
    <row r="13" spans="1:11" ht="30" customHeight="1" x14ac:dyDescent="0.3">
      <c r="A13" s="10" t="s">
        <v>240</v>
      </c>
      <c r="B13" s="10" t="s">
        <v>109</v>
      </c>
      <c r="C13" s="10" t="s">
        <v>224</v>
      </c>
      <c r="D13" s="10" t="s">
        <v>225</v>
      </c>
      <c r="E13" s="10" t="s">
        <v>226</v>
      </c>
      <c r="F13" s="11">
        <v>46119</v>
      </c>
      <c r="G13" s="11">
        <v>46122</v>
      </c>
      <c r="H13" s="10" t="s">
        <v>241</v>
      </c>
      <c r="I13" s="10" t="s">
        <v>242</v>
      </c>
      <c r="J13" s="10" t="s">
        <v>243</v>
      </c>
      <c r="K13" s="15">
        <f t="shared" si="0"/>
        <v>3</v>
      </c>
    </row>
    <row r="14" spans="1:11" ht="30" customHeight="1" x14ac:dyDescent="0.3">
      <c r="A14" s="10" t="s">
        <v>244</v>
      </c>
      <c r="B14" s="10" t="s">
        <v>109</v>
      </c>
      <c r="C14" s="10" t="s">
        <v>228</v>
      </c>
      <c r="D14" s="10" t="s">
        <v>229</v>
      </c>
      <c r="E14" s="10" t="s">
        <v>230</v>
      </c>
      <c r="F14" s="11">
        <v>46164</v>
      </c>
      <c r="G14" s="11">
        <v>46164</v>
      </c>
      <c r="H14" s="10" t="s">
        <v>219</v>
      </c>
      <c r="I14" s="10"/>
      <c r="J14" s="10"/>
      <c r="K14" s="15">
        <f t="shared" si="0"/>
        <v>0</v>
      </c>
    </row>
    <row r="15" spans="1:11" ht="30" customHeight="1" x14ac:dyDescent="0.3">
      <c r="A15" s="10" t="s">
        <v>245</v>
      </c>
      <c r="B15" s="10" t="s">
        <v>109</v>
      </c>
      <c r="C15" s="10" t="s">
        <v>232</v>
      </c>
      <c r="D15" s="10" t="s">
        <v>233</v>
      </c>
      <c r="E15" s="10" t="s">
        <v>234</v>
      </c>
      <c r="F15" s="11">
        <v>46204</v>
      </c>
      <c r="G15" s="11">
        <v>46208</v>
      </c>
      <c r="H15" s="10" t="s">
        <v>219</v>
      </c>
      <c r="I15" s="10"/>
      <c r="J15" s="10"/>
      <c r="K15" s="15">
        <f t="shared" si="0"/>
        <v>4</v>
      </c>
    </row>
    <row r="16" spans="1:11" ht="30" customHeight="1" x14ac:dyDescent="0.3">
      <c r="A16" s="10" t="s">
        <v>246</v>
      </c>
      <c r="B16" s="10" t="s">
        <v>109</v>
      </c>
      <c r="C16" s="10" t="s">
        <v>236</v>
      </c>
      <c r="D16" s="10" t="s">
        <v>237</v>
      </c>
      <c r="E16" s="10" t="s">
        <v>234</v>
      </c>
      <c r="F16" s="11">
        <v>46324</v>
      </c>
      <c r="G16" s="11">
        <v>46324</v>
      </c>
      <c r="H16" s="10" t="s">
        <v>219</v>
      </c>
      <c r="I16" s="10"/>
      <c r="J16" s="10"/>
      <c r="K16" s="15">
        <f t="shared" si="0"/>
        <v>0</v>
      </c>
    </row>
    <row r="17" spans="1:11" ht="30" customHeight="1" x14ac:dyDescent="0.3">
      <c r="A17" s="10" t="s">
        <v>247</v>
      </c>
      <c r="B17" s="10" t="s">
        <v>120</v>
      </c>
      <c r="C17" s="10" t="s">
        <v>216</v>
      </c>
      <c r="D17" s="10" t="s">
        <v>217</v>
      </c>
      <c r="E17" s="10" t="s">
        <v>218</v>
      </c>
      <c r="F17" s="11">
        <v>46055</v>
      </c>
      <c r="G17" s="11">
        <v>46055</v>
      </c>
      <c r="H17" s="10" t="s">
        <v>219</v>
      </c>
      <c r="I17" s="10"/>
      <c r="J17" s="10"/>
      <c r="K17" s="15">
        <f t="shared" si="0"/>
        <v>0</v>
      </c>
    </row>
    <row r="18" spans="1:11" ht="30" customHeight="1" x14ac:dyDescent="0.3">
      <c r="A18" s="10" t="s">
        <v>248</v>
      </c>
      <c r="B18" s="10" t="s">
        <v>120</v>
      </c>
      <c r="C18" s="10" t="s">
        <v>221</v>
      </c>
      <c r="D18" s="10" t="s">
        <v>222</v>
      </c>
      <c r="E18" s="10" t="s">
        <v>218</v>
      </c>
      <c r="F18" s="11">
        <v>46085</v>
      </c>
      <c r="G18" s="11">
        <v>46085</v>
      </c>
      <c r="H18" s="10" t="s">
        <v>219</v>
      </c>
      <c r="I18" s="10"/>
      <c r="J18" s="10"/>
      <c r="K18" s="15">
        <f t="shared" si="0"/>
        <v>0</v>
      </c>
    </row>
    <row r="19" spans="1:11" ht="30" customHeight="1" x14ac:dyDescent="0.3">
      <c r="A19" s="10" t="s">
        <v>249</v>
      </c>
      <c r="B19" s="10" t="s">
        <v>120</v>
      </c>
      <c r="C19" s="10" t="s">
        <v>224</v>
      </c>
      <c r="D19" s="10" t="s">
        <v>225</v>
      </c>
      <c r="E19" s="10" t="s">
        <v>226</v>
      </c>
      <c r="F19" s="11">
        <v>46140</v>
      </c>
      <c r="G19" s="11">
        <v>46140</v>
      </c>
      <c r="H19" s="10" t="s">
        <v>219</v>
      </c>
      <c r="I19" s="10"/>
      <c r="J19" s="10"/>
      <c r="K19" s="15">
        <f t="shared" si="0"/>
        <v>0</v>
      </c>
    </row>
    <row r="20" spans="1:11" ht="30" customHeight="1" x14ac:dyDescent="0.3">
      <c r="A20" s="10" t="s">
        <v>250</v>
      </c>
      <c r="B20" s="10" t="s">
        <v>120</v>
      </c>
      <c r="C20" s="10" t="s">
        <v>228</v>
      </c>
      <c r="D20" s="10" t="s">
        <v>229</v>
      </c>
      <c r="E20" s="10" t="s">
        <v>230</v>
      </c>
      <c r="F20" s="11">
        <v>46185</v>
      </c>
      <c r="G20" s="11">
        <v>46185</v>
      </c>
      <c r="H20" s="10" t="s">
        <v>219</v>
      </c>
      <c r="I20" s="10"/>
      <c r="J20" s="10"/>
      <c r="K20" s="15">
        <f t="shared" si="0"/>
        <v>0</v>
      </c>
    </row>
    <row r="21" spans="1:11" ht="30" customHeight="1" x14ac:dyDescent="0.3">
      <c r="A21" s="10" t="s">
        <v>251</v>
      </c>
      <c r="B21" s="10" t="s">
        <v>120</v>
      </c>
      <c r="C21" s="10" t="s">
        <v>232</v>
      </c>
      <c r="D21" s="10" t="s">
        <v>233</v>
      </c>
      <c r="E21" s="10" t="s">
        <v>234</v>
      </c>
      <c r="F21" s="11">
        <v>46225</v>
      </c>
      <c r="G21" s="11">
        <v>46229</v>
      </c>
      <c r="H21" s="10" t="s">
        <v>219</v>
      </c>
      <c r="I21" s="10"/>
      <c r="J21" s="10"/>
      <c r="K21" s="15">
        <f t="shared" si="0"/>
        <v>4</v>
      </c>
    </row>
    <row r="22" spans="1:11" ht="30" customHeight="1" x14ac:dyDescent="0.3">
      <c r="A22" s="10" t="s">
        <v>252</v>
      </c>
      <c r="B22" s="10" t="s">
        <v>120</v>
      </c>
      <c r="C22" s="10" t="s">
        <v>236</v>
      </c>
      <c r="D22" s="10" t="s">
        <v>237</v>
      </c>
      <c r="E22" s="10" t="s">
        <v>234</v>
      </c>
      <c r="F22" s="11">
        <v>46345</v>
      </c>
      <c r="G22" s="11">
        <v>46345</v>
      </c>
      <c r="H22" s="10" t="s">
        <v>219</v>
      </c>
      <c r="I22" s="10"/>
      <c r="J22" s="10"/>
      <c r="K22" s="15">
        <f t="shared" si="0"/>
        <v>0</v>
      </c>
    </row>
    <row r="23" spans="1:11" ht="30" customHeight="1" x14ac:dyDescent="0.3">
      <c r="A23" s="10" t="s">
        <v>253</v>
      </c>
      <c r="B23" s="10" t="s">
        <v>131</v>
      </c>
      <c r="C23" s="10" t="s">
        <v>216</v>
      </c>
      <c r="D23" s="10" t="s">
        <v>217</v>
      </c>
      <c r="E23" s="10" t="s">
        <v>218</v>
      </c>
      <c r="F23" s="11">
        <v>46041</v>
      </c>
      <c r="G23" s="11">
        <v>46041</v>
      </c>
      <c r="H23" s="10" t="s">
        <v>219</v>
      </c>
      <c r="I23" s="10"/>
      <c r="J23" s="10"/>
      <c r="K23" s="15">
        <f t="shared" si="0"/>
        <v>0</v>
      </c>
    </row>
    <row r="24" spans="1:11" ht="30" customHeight="1" x14ac:dyDescent="0.3">
      <c r="A24" s="10" t="s">
        <v>254</v>
      </c>
      <c r="B24" s="10" t="s">
        <v>131</v>
      </c>
      <c r="C24" s="10" t="s">
        <v>221</v>
      </c>
      <c r="D24" s="10" t="s">
        <v>222</v>
      </c>
      <c r="E24" s="10" t="s">
        <v>218</v>
      </c>
      <c r="F24" s="11">
        <v>46071</v>
      </c>
      <c r="G24" s="11">
        <v>46071</v>
      </c>
      <c r="H24" s="10" t="s">
        <v>219</v>
      </c>
      <c r="I24" s="10"/>
      <c r="J24" s="10"/>
      <c r="K24" s="15">
        <f t="shared" si="0"/>
        <v>0</v>
      </c>
    </row>
    <row r="25" spans="1:11" ht="30" customHeight="1" x14ac:dyDescent="0.3">
      <c r="A25" s="10" t="s">
        <v>255</v>
      </c>
      <c r="B25" s="10" t="s">
        <v>131</v>
      </c>
      <c r="C25" s="10" t="s">
        <v>224</v>
      </c>
      <c r="D25" s="10" t="s">
        <v>225</v>
      </c>
      <c r="E25" s="10" t="s">
        <v>226</v>
      </c>
      <c r="F25" s="11">
        <v>46126</v>
      </c>
      <c r="G25" s="11">
        <v>46129</v>
      </c>
      <c r="H25" s="10" t="s">
        <v>241</v>
      </c>
      <c r="I25" s="10" t="s">
        <v>256</v>
      </c>
      <c r="J25" s="10" t="s">
        <v>257</v>
      </c>
      <c r="K25" s="15">
        <f t="shared" si="0"/>
        <v>3</v>
      </c>
    </row>
    <row r="26" spans="1:11" ht="30" customHeight="1" x14ac:dyDescent="0.3">
      <c r="A26" s="10" t="s">
        <v>258</v>
      </c>
      <c r="B26" s="10" t="s">
        <v>131</v>
      </c>
      <c r="C26" s="10" t="s">
        <v>228</v>
      </c>
      <c r="D26" s="10" t="s">
        <v>229</v>
      </c>
      <c r="E26" s="10" t="s">
        <v>230</v>
      </c>
      <c r="F26" s="11">
        <v>46171</v>
      </c>
      <c r="G26" s="11">
        <v>46171</v>
      </c>
      <c r="H26" s="10" t="s">
        <v>219</v>
      </c>
      <c r="I26" s="10"/>
      <c r="J26" s="10"/>
      <c r="K26" s="15">
        <f t="shared" si="0"/>
        <v>0</v>
      </c>
    </row>
    <row r="27" spans="1:11" ht="30" customHeight="1" x14ac:dyDescent="0.3">
      <c r="A27" s="10" t="s">
        <v>259</v>
      </c>
      <c r="B27" s="10" t="s">
        <v>131</v>
      </c>
      <c r="C27" s="10" t="s">
        <v>232</v>
      </c>
      <c r="D27" s="10" t="s">
        <v>233</v>
      </c>
      <c r="E27" s="10" t="s">
        <v>234</v>
      </c>
      <c r="F27" s="11">
        <v>46211</v>
      </c>
      <c r="G27" s="11">
        <v>46215</v>
      </c>
      <c r="H27" s="10" t="s">
        <v>219</v>
      </c>
      <c r="I27" s="10"/>
      <c r="J27" s="10"/>
      <c r="K27" s="15">
        <f t="shared" si="0"/>
        <v>4</v>
      </c>
    </row>
    <row r="28" spans="1:11" ht="30" customHeight="1" x14ac:dyDescent="0.3">
      <c r="A28" s="10" t="s">
        <v>260</v>
      </c>
      <c r="B28" s="10" t="s">
        <v>131</v>
      </c>
      <c r="C28" s="10" t="s">
        <v>236</v>
      </c>
      <c r="D28" s="10" t="s">
        <v>237</v>
      </c>
      <c r="E28" s="10" t="s">
        <v>234</v>
      </c>
      <c r="F28" s="11">
        <v>46331</v>
      </c>
      <c r="G28" s="11">
        <v>46331</v>
      </c>
      <c r="H28" s="10" t="s">
        <v>219</v>
      </c>
      <c r="I28" s="10"/>
      <c r="J28" s="10"/>
      <c r="K28" s="15">
        <f t="shared" si="0"/>
        <v>0</v>
      </c>
    </row>
    <row r="29" spans="1:11" ht="30" customHeight="1" x14ac:dyDescent="0.3">
      <c r="A29" s="10" t="s">
        <v>261</v>
      </c>
      <c r="B29" s="10" t="s">
        <v>140</v>
      </c>
      <c r="C29" s="10" t="s">
        <v>216</v>
      </c>
      <c r="D29" s="10" t="s">
        <v>217</v>
      </c>
      <c r="E29" s="10" t="s">
        <v>218</v>
      </c>
      <c r="F29" s="11">
        <v>46069</v>
      </c>
      <c r="G29" s="11">
        <v>46069</v>
      </c>
      <c r="H29" s="10" t="s">
        <v>219</v>
      </c>
      <c r="I29" s="10"/>
      <c r="J29" s="10"/>
      <c r="K29" s="15">
        <f t="shared" si="0"/>
        <v>0</v>
      </c>
    </row>
    <row r="30" spans="1:11" ht="30" customHeight="1" x14ac:dyDescent="0.3">
      <c r="A30" s="10" t="s">
        <v>262</v>
      </c>
      <c r="B30" s="10" t="s">
        <v>140</v>
      </c>
      <c r="C30" s="10" t="s">
        <v>221</v>
      </c>
      <c r="D30" s="10" t="s">
        <v>222</v>
      </c>
      <c r="E30" s="10" t="s">
        <v>218</v>
      </c>
      <c r="F30" s="11">
        <v>46099</v>
      </c>
      <c r="G30" s="11">
        <v>46099</v>
      </c>
      <c r="H30" s="10" t="s">
        <v>219</v>
      </c>
      <c r="I30" s="10"/>
      <c r="J30" s="10"/>
      <c r="K30" s="15">
        <f t="shared" si="0"/>
        <v>0</v>
      </c>
    </row>
    <row r="31" spans="1:11" ht="30" customHeight="1" x14ac:dyDescent="0.3">
      <c r="A31" s="10" t="s">
        <v>263</v>
      </c>
      <c r="B31" s="10" t="s">
        <v>140</v>
      </c>
      <c r="C31" s="10" t="s">
        <v>224</v>
      </c>
      <c r="D31" s="10" t="s">
        <v>225</v>
      </c>
      <c r="E31" s="10" t="s">
        <v>226</v>
      </c>
      <c r="F31" s="11">
        <v>46154</v>
      </c>
      <c r="G31" s="11">
        <v>46157</v>
      </c>
      <c r="H31" s="10" t="s">
        <v>241</v>
      </c>
      <c r="I31" s="10" t="s">
        <v>264</v>
      </c>
      <c r="J31" s="10" t="s">
        <v>265</v>
      </c>
      <c r="K31" s="15">
        <f t="shared" si="0"/>
        <v>3</v>
      </c>
    </row>
    <row r="32" spans="1:11" ht="30" customHeight="1" x14ac:dyDescent="0.3">
      <c r="A32" s="10" t="s">
        <v>266</v>
      </c>
      <c r="B32" s="10" t="s">
        <v>140</v>
      </c>
      <c r="C32" s="10" t="s">
        <v>228</v>
      </c>
      <c r="D32" s="10" t="s">
        <v>229</v>
      </c>
      <c r="E32" s="10" t="s">
        <v>230</v>
      </c>
      <c r="F32" s="11">
        <v>46199</v>
      </c>
      <c r="G32" s="11">
        <v>46199</v>
      </c>
      <c r="H32" s="10" t="s">
        <v>219</v>
      </c>
      <c r="I32" s="10"/>
      <c r="J32" s="10"/>
      <c r="K32" s="15">
        <f t="shared" si="0"/>
        <v>0</v>
      </c>
    </row>
    <row r="33" spans="1:11" ht="30" customHeight="1" x14ac:dyDescent="0.3">
      <c r="A33" s="10" t="s">
        <v>267</v>
      </c>
      <c r="B33" s="10" t="s">
        <v>140</v>
      </c>
      <c r="C33" s="10" t="s">
        <v>232</v>
      </c>
      <c r="D33" s="10" t="s">
        <v>233</v>
      </c>
      <c r="E33" s="10" t="s">
        <v>234</v>
      </c>
      <c r="F33" s="11">
        <v>46239</v>
      </c>
      <c r="G33" s="11">
        <v>46243</v>
      </c>
      <c r="H33" s="10" t="s">
        <v>219</v>
      </c>
      <c r="I33" s="10"/>
      <c r="J33" s="10"/>
      <c r="K33" s="15">
        <f t="shared" si="0"/>
        <v>4</v>
      </c>
    </row>
    <row r="34" spans="1:11" ht="30" customHeight="1" x14ac:dyDescent="0.3">
      <c r="A34" s="10" t="s">
        <v>268</v>
      </c>
      <c r="B34" s="10" t="s">
        <v>140</v>
      </c>
      <c r="C34" s="10" t="s">
        <v>236</v>
      </c>
      <c r="D34" s="10" t="s">
        <v>237</v>
      </c>
      <c r="E34" s="10" t="s">
        <v>234</v>
      </c>
      <c r="F34" s="11">
        <v>46359</v>
      </c>
      <c r="G34" s="11">
        <v>46362</v>
      </c>
      <c r="H34" s="10" t="s">
        <v>241</v>
      </c>
      <c r="I34" s="10" t="s">
        <v>269</v>
      </c>
      <c r="J34" s="10" t="s">
        <v>265</v>
      </c>
      <c r="K34" s="15">
        <f t="shared" si="0"/>
        <v>3</v>
      </c>
    </row>
    <row r="35" spans="1:11" ht="30" customHeight="1" x14ac:dyDescent="0.3">
      <c r="A35" s="10" t="s">
        <v>270</v>
      </c>
      <c r="B35" s="10" t="s">
        <v>149</v>
      </c>
      <c r="C35" s="10" t="s">
        <v>216</v>
      </c>
      <c r="D35" s="10" t="s">
        <v>217</v>
      </c>
      <c r="E35" s="10" t="s">
        <v>218</v>
      </c>
      <c r="F35" s="11">
        <v>46069</v>
      </c>
      <c r="G35" s="11">
        <v>46069</v>
      </c>
      <c r="H35" s="10" t="s">
        <v>219</v>
      </c>
      <c r="I35" s="10"/>
      <c r="J35" s="10"/>
      <c r="K35" s="15">
        <f t="shared" si="0"/>
        <v>0</v>
      </c>
    </row>
    <row r="36" spans="1:11" ht="30" customHeight="1" x14ac:dyDescent="0.3">
      <c r="A36" s="10" t="s">
        <v>271</v>
      </c>
      <c r="B36" s="10" t="s">
        <v>149</v>
      </c>
      <c r="C36" s="10" t="s">
        <v>221</v>
      </c>
      <c r="D36" s="10" t="s">
        <v>222</v>
      </c>
      <c r="E36" s="10" t="s">
        <v>218</v>
      </c>
      <c r="F36" s="11">
        <v>46099</v>
      </c>
      <c r="G36" s="11">
        <v>46099</v>
      </c>
      <c r="H36" s="10" t="s">
        <v>219</v>
      </c>
      <c r="I36" s="10"/>
      <c r="J36" s="10"/>
      <c r="K36" s="15">
        <f t="shared" si="0"/>
        <v>0</v>
      </c>
    </row>
    <row r="37" spans="1:11" ht="30" customHeight="1" x14ac:dyDescent="0.3">
      <c r="A37" s="10" t="s">
        <v>272</v>
      </c>
      <c r="B37" s="10" t="s">
        <v>149</v>
      </c>
      <c r="C37" s="10" t="s">
        <v>224</v>
      </c>
      <c r="D37" s="10" t="s">
        <v>225</v>
      </c>
      <c r="E37" s="10" t="s">
        <v>226</v>
      </c>
      <c r="F37" s="11">
        <v>46154</v>
      </c>
      <c r="G37" s="11">
        <v>46154</v>
      </c>
      <c r="H37" s="10" t="s">
        <v>219</v>
      </c>
      <c r="I37" s="10"/>
      <c r="J37" s="10"/>
      <c r="K37" s="15">
        <f t="shared" si="0"/>
        <v>0</v>
      </c>
    </row>
    <row r="38" spans="1:11" ht="30" customHeight="1" x14ac:dyDescent="0.3">
      <c r="A38" s="10" t="s">
        <v>273</v>
      </c>
      <c r="B38" s="10" t="s">
        <v>149</v>
      </c>
      <c r="C38" s="10" t="s">
        <v>228</v>
      </c>
      <c r="D38" s="10" t="s">
        <v>229</v>
      </c>
      <c r="E38" s="10" t="s">
        <v>230</v>
      </c>
      <c r="F38" s="11">
        <v>46199</v>
      </c>
      <c r="G38" s="11">
        <v>46202</v>
      </c>
      <c r="H38" s="10" t="s">
        <v>241</v>
      </c>
      <c r="I38" s="10" t="s">
        <v>274</v>
      </c>
      <c r="J38" s="10" t="s">
        <v>275</v>
      </c>
      <c r="K38" s="15">
        <f t="shared" si="0"/>
        <v>3</v>
      </c>
    </row>
    <row r="39" spans="1:11" ht="30" customHeight="1" x14ac:dyDescent="0.3">
      <c r="A39" s="10" t="s">
        <v>276</v>
      </c>
      <c r="B39" s="10" t="s">
        <v>149</v>
      </c>
      <c r="C39" s="10" t="s">
        <v>232</v>
      </c>
      <c r="D39" s="10" t="s">
        <v>233</v>
      </c>
      <c r="E39" s="10" t="s">
        <v>234</v>
      </c>
      <c r="F39" s="11">
        <v>46239</v>
      </c>
      <c r="G39" s="11">
        <v>46243</v>
      </c>
      <c r="H39" s="10" t="s">
        <v>219</v>
      </c>
      <c r="I39" s="10"/>
      <c r="J39" s="10"/>
      <c r="K39" s="15">
        <f t="shared" si="0"/>
        <v>4</v>
      </c>
    </row>
    <row r="40" spans="1:11" ht="30" customHeight="1" x14ac:dyDescent="0.3">
      <c r="A40" s="10" t="s">
        <v>277</v>
      </c>
      <c r="B40" s="10" t="s">
        <v>149</v>
      </c>
      <c r="C40" s="10" t="s">
        <v>236</v>
      </c>
      <c r="D40" s="10" t="s">
        <v>237</v>
      </c>
      <c r="E40" s="10" t="s">
        <v>234</v>
      </c>
      <c r="F40" s="11">
        <v>46359</v>
      </c>
      <c r="G40" s="11">
        <v>46359</v>
      </c>
      <c r="H40" s="10" t="s">
        <v>219</v>
      </c>
      <c r="I40" s="10"/>
      <c r="J40" s="10"/>
      <c r="K40" s="15">
        <f t="shared" si="0"/>
        <v>0</v>
      </c>
    </row>
  </sheetData>
  <conditionalFormatting sqref="H5:H240">
    <cfRule type="expression" dxfId="7" priority="1">
      <formula>ISNUMBER(SEARCH("ações",H5))</formula>
    </cfRule>
    <cfRule type="expression" dxfId="6" priority="2">
      <formula>ISNUMBER(SEARCH("Reprovado",H5))</formula>
    </cfRule>
    <cfRule type="expression" dxfId="5" priority="3">
      <formula>ISNUMBER(SEARCH("Aprovado",H5))</formula>
    </cfRule>
  </conditionalFormatting>
  <conditionalFormatting sqref="K5:K240">
    <cfRule type="expression" dxfId="4" priority="4">
      <formula>AND(K5&lt;&gt;"",K5&gt;7)</formula>
    </cfRule>
  </conditionalFormatting>
  <dataValidations count="2">
    <dataValidation type="list" allowBlank="1" showErrorMessage="1" errorTitle="Valor inválido" error="Valor fora da lista controlada (ver folha Listas)." sqref="E5:E240" xr:uid="{00000000-0002-0000-0300-000000000000}">
      <formula1>lst_TipoEtapa</formula1>
    </dataValidation>
    <dataValidation type="list" allowBlank="1" showErrorMessage="1" errorTitle="Valor inválido" error="Valor fora da lista controlada (ver folha Listas)." sqref="H5:H240" xr:uid="{00000000-0002-0000-0300-000001000000}">
      <formula1>lst_ResEtapa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7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34" customWidth="1"/>
    <col min="3" max="3" width="30" customWidth="1"/>
    <col min="4" max="5" width="36" customWidth="1"/>
    <col min="6" max="6" width="11" customWidth="1"/>
  </cols>
  <sheetData>
    <row r="1" spans="1:6" ht="26.4" x14ac:dyDescent="0.3">
      <c r="A1" s="8" t="s">
        <v>73</v>
      </c>
      <c r="B1" s="8" t="s">
        <v>278</v>
      </c>
      <c r="C1" s="8" t="s">
        <v>279</v>
      </c>
      <c r="D1" s="8" t="s">
        <v>280</v>
      </c>
      <c r="E1" s="8" t="s">
        <v>281</v>
      </c>
      <c r="F1" s="8" t="s">
        <v>14</v>
      </c>
    </row>
    <row r="2" spans="1:6" ht="30" customHeight="1" x14ac:dyDescent="0.3">
      <c r="A2" s="10" t="s">
        <v>96</v>
      </c>
      <c r="B2" s="10" t="s">
        <v>282</v>
      </c>
      <c r="C2" s="10" t="s">
        <v>283</v>
      </c>
      <c r="D2" s="10" t="s">
        <v>284</v>
      </c>
      <c r="E2" s="10" t="s">
        <v>285</v>
      </c>
      <c r="F2" s="10" t="s">
        <v>286</v>
      </c>
    </row>
    <row r="3" spans="1:6" ht="30" customHeight="1" x14ac:dyDescent="0.3">
      <c r="A3" s="10" t="s">
        <v>109</v>
      </c>
      <c r="B3" s="10" t="s">
        <v>287</v>
      </c>
      <c r="C3" s="10" t="s">
        <v>288</v>
      </c>
      <c r="D3" s="10" t="s">
        <v>289</v>
      </c>
      <c r="E3" s="10" t="s">
        <v>290</v>
      </c>
      <c r="F3" s="10" t="s">
        <v>286</v>
      </c>
    </row>
    <row r="4" spans="1:6" ht="30" customHeight="1" x14ac:dyDescent="0.3">
      <c r="A4" s="10" t="s">
        <v>120</v>
      </c>
      <c r="B4" s="10" t="s">
        <v>291</v>
      </c>
      <c r="C4" s="10" t="s">
        <v>292</v>
      </c>
      <c r="D4" s="10" t="s">
        <v>293</v>
      </c>
      <c r="E4" s="10" t="s">
        <v>294</v>
      </c>
      <c r="F4" s="10" t="s">
        <v>286</v>
      </c>
    </row>
    <row r="5" spans="1:6" ht="30" customHeight="1" x14ac:dyDescent="0.3">
      <c r="A5" s="10" t="s">
        <v>131</v>
      </c>
      <c r="B5" s="10" t="s">
        <v>295</v>
      </c>
      <c r="C5" s="10" t="s">
        <v>296</v>
      </c>
      <c r="D5" s="10" t="s">
        <v>297</v>
      </c>
      <c r="E5" s="10" t="s">
        <v>298</v>
      </c>
      <c r="F5" s="10" t="s">
        <v>286</v>
      </c>
    </row>
    <row r="6" spans="1:6" ht="30" customHeight="1" x14ac:dyDescent="0.3">
      <c r="A6" s="10" t="s">
        <v>140</v>
      </c>
      <c r="B6" s="10" t="s">
        <v>299</v>
      </c>
      <c r="C6" s="10" t="s">
        <v>300</v>
      </c>
      <c r="D6" s="10" t="s">
        <v>301</v>
      </c>
      <c r="E6" s="10" t="s">
        <v>302</v>
      </c>
      <c r="F6" s="10" t="s">
        <v>286</v>
      </c>
    </row>
    <row r="7" spans="1:6" ht="30" customHeight="1" x14ac:dyDescent="0.3">
      <c r="A7" s="10" t="s">
        <v>149</v>
      </c>
      <c r="B7" s="10" t="s">
        <v>303</v>
      </c>
      <c r="C7" s="10" t="s">
        <v>292</v>
      </c>
      <c r="D7" s="10" t="s">
        <v>304</v>
      </c>
      <c r="E7" s="10" t="s">
        <v>305</v>
      </c>
      <c r="F7" s="10" t="s">
        <v>286</v>
      </c>
    </row>
  </sheetData>
  <conditionalFormatting sqref="F2:F207">
    <cfRule type="expression" dxfId="3" priority="1">
      <formula>ISNUMBER(SEARCH("revisão",F2))</formula>
    </cfRule>
    <cfRule type="expression" dxfId="2" priority="2">
      <formula>ISNUMBER(SEARCH("Concluídas",F2))</formula>
    </cfRule>
  </conditionalFormatting>
  <dataValidations count="1">
    <dataValidation type="list" allowBlank="1" showErrorMessage="1" errorTitle="Valor inválido" error="Valor fora da lista controlada (ver folha Listas)." sqref="F2:F207" xr:uid="{00000000-0002-0000-0400-000000000000}">
      <formula1>lst_EstadoSaida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9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3" width="11" customWidth="1"/>
    <col min="4" max="4" width="44" customWidth="1"/>
    <col min="5" max="5" width="30" customWidth="1"/>
    <col min="6" max="6" width="44" customWidth="1"/>
    <col min="7" max="7" width="20" customWidth="1"/>
    <col min="8" max="8" width="11" customWidth="1"/>
    <col min="9" max="9" width="44" customWidth="1"/>
    <col min="10" max="10" width="11" customWidth="1"/>
  </cols>
  <sheetData>
    <row r="1" spans="1:10" ht="17.399999999999999" x14ac:dyDescent="0.3">
      <c r="A1" s="1" t="s">
        <v>306</v>
      </c>
    </row>
    <row r="2" spans="1:10" x14ac:dyDescent="0.3">
      <c r="A2" s="2" t="s">
        <v>307</v>
      </c>
    </row>
    <row r="4" spans="1:10" ht="26.4" x14ac:dyDescent="0.3">
      <c r="A4" s="8" t="s">
        <v>213</v>
      </c>
      <c r="B4" s="8" t="s">
        <v>73</v>
      </c>
      <c r="C4" s="8" t="s">
        <v>308</v>
      </c>
      <c r="D4" s="8" t="s">
        <v>309</v>
      </c>
      <c r="E4" s="8" t="s">
        <v>310</v>
      </c>
      <c r="F4" s="8" t="s">
        <v>311</v>
      </c>
      <c r="G4" s="8" t="s">
        <v>312</v>
      </c>
      <c r="H4" s="8" t="s">
        <v>313</v>
      </c>
      <c r="I4" s="8" t="s">
        <v>314</v>
      </c>
      <c r="J4" s="8" t="s">
        <v>14</v>
      </c>
    </row>
    <row r="5" spans="1:10" ht="60" customHeight="1" x14ac:dyDescent="0.3">
      <c r="A5" s="10" t="s">
        <v>265</v>
      </c>
      <c r="B5" s="10" t="s">
        <v>140</v>
      </c>
      <c r="C5" s="11">
        <v>46183</v>
      </c>
      <c r="D5" s="10" t="s">
        <v>315</v>
      </c>
      <c r="E5" s="10" t="s">
        <v>316</v>
      </c>
      <c r="F5" s="10" t="s">
        <v>317</v>
      </c>
      <c r="G5" s="10" t="s">
        <v>11</v>
      </c>
      <c r="H5" s="11">
        <v>46287</v>
      </c>
      <c r="I5" s="10" t="s">
        <v>318</v>
      </c>
      <c r="J5" s="10" t="s">
        <v>319</v>
      </c>
    </row>
    <row r="6" spans="1:10" ht="60" customHeight="1" x14ac:dyDescent="0.3">
      <c r="A6" s="10" t="s">
        <v>257</v>
      </c>
      <c r="B6" s="10" t="s">
        <v>131</v>
      </c>
      <c r="C6" s="11">
        <v>46148</v>
      </c>
      <c r="D6" s="10" t="s">
        <v>320</v>
      </c>
      <c r="E6" s="10" t="s">
        <v>321</v>
      </c>
      <c r="F6" s="10" t="s">
        <v>322</v>
      </c>
      <c r="G6" s="10" t="s">
        <v>103</v>
      </c>
      <c r="H6" s="11">
        <v>46150</v>
      </c>
      <c r="I6" s="10" t="s">
        <v>323</v>
      </c>
      <c r="J6" s="10" t="s">
        <v>319</v>
      </c>
    </row>
    <row r="7" spans="1:10" ht="60" customHeight="1" x14ac:dyDescent="0.3">
      <c r="A7" s="10" t="s">
        <v>243</v>
      </c>
      <c r="B7" s="10" t="s">
        <v>109</v>
      </c>
      <c r="C7" s="11">
        <v>46154</v>
      </c>
      <c r="D7" s="10" t="s">
        <v>324</v>
      </c>
      <c r="E7" s="10" t="s">
        <v>325</v>
      </c>
      <c r="F7" s="10" t="s">
        <v>326</v>
      </c>
      <c r="G7" s="10" t="s">
        <v>103</v>
      </c>
      <c r="H7" s="11">
        <v>46156</v>
      </c>
      <c r="I7" s="10" t="s">
        <v>327</v>
      </c>
      <c r="J7" s="10" t="s">
        <v>319</v>
      </c>
    </row>
    <row r="8" spans="1:10" ht="60" customHeight="1" x14ac:dyDescent="0.3">
      <c r="A8" s="10" t="s">
        <v>275</v>
      </c>
      <c r="B8" s="10" t="s">
        <v>149</v>
      </c>
      <c r="C8" s="11">
        <v>46191</v>
      </c>
      <c r="D8" s="10" t="s">
        <v>328</v>
      </c>
      <c r="E8" s="10" t="s">
        <v>329</v>
      </c>
      <c r="F8" s="10" t="s">
        <v>330</v>
      </c>
      <c r="G8" s="10" t="s">
        <v>103</v>
      </c>
      <c r="H8" s="11">
        <v>46193</v>
      </c>
      <c r="I8" s="10" t="s">
        <v>331</v>
      </c>
      <c r="J8" s="10" t="s">
        <v>319</v>
      </c>
    </row>
    <row r="9" spans="1:10" ht="60" customHeight="1" x14ac:dyDescent="0.3">
      <c r="A9" s="10" t="s">
        <v>332</v>
      </c>
      <c r="B9" s="10" t="s">
        <v>333</v>
      </c>
      <c r="C9" s="11">
        <v>46283</v>
      </c>
      <c r="D9" s="10" t="s">
        <v>334</v>
      </c>
      <c r="E9" s="10" t="s">
        <v>335</v>
      </c>
      <c r="F9" s="10" t="s">
        <v>336</v>
      </c>
      <c r="G9" s="10" t="s">
        <v>11</v>
      </c>
      <c r="H9" s="11">
        <v>46288</v>
      </c>
      <c r="I9" s="10" t="s">
        <v>337</v>
      </c>
      <c r="J9" s="10" t="s">
        <v>319</v>
      </c>
    </row>
  </sheetData>
  <conditionalFormatting sqref="J5:J209">
    <cfRule type="expression" dxfId="1" priority="1">
      <formula>ISNUMBER(SEARCH("Em curso",J5))</formula>
    </cfRule>
    <cfRule type="expression" dxfId="0" priority="2">
      <formula>ISNUMBER(SEARCH("Implementada",J5))</formula>
    </cfRule>
  </conditionalFormatting>
  <dataValidations count="2">
    <dataValidation type="list" allowBlank="1" showErrorMessage="1" errorTitle="Valor inválido" error="Valor fora da lista controlada (ver folha Listas)." sqref="G5:G209" xr:uid="{00000000-0002-0000-0500-000000000000}">
      <formula1>lst_Funcao</formula1>
    </dataValidation>
    <dataValidation type="list" allowBlank="1" showErrorMessage="1" errorTitle="Valor inválido" error="Valor fora da lista controlada (ver folha Listas)." sqref="J5:J209" xr:uid="{00000000-0002-0000-0500-000001000000}">
      <formula1>lst_EstadoAlt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8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6" customWidth="1"/>
    <col min="2" max="2" width="20" customWidth="1"/>
    <col min="3" max="3" width="28" customWidth="1"/>
    <col min="4" max="4" width="20" customWidth="1"/>
    <col min="5" max="7" width="16" customWidth="1"/>
    <col min="8" max="8" width="45" customWidth="1"/>
  </cols>
  <sheetData>
    <row r="1" spans="1:8" x14ac:dyDescent="0.3">
      <c r="A1" s="17" t="s">
        <v>338</v>
      </c>
    </row>
    <row r="2" spans="1:8" x14ac:dyDescent="0.3">
      <c r="A2" s="18" t="s">
        <v>339</v>
      </c>
      <c r="B2" s="18" t="s">
        <v>340</v>
      </c>
      <c r="C2" s="18" t="s">
        <v>341</v>
      </c>
      <c r="D2" s="18" t="s">
        <v>342</v>
      </c>
      <c r="E2" s="18" t="s">
        <v>343</v>
      </c>
      <c r="F2" s="18" t="s">
        <v>344</v>
      </c>
      <c r="G2" s="18" t="s">
        <v>345</v>
      </c>
      <c r="H2" s="18" t="s">
        <v>346</v>
      </c>
    </row>
    <row r="3" spans="1:8" x14ac:dyDescent="0.3">
      <c r="A3" s="19">
        <v>46387</v>
      </c>
      <c r="B3" s="6" t="s">
        <v>347</v>
      </c>
      <c r="C3" s="6" t="s">
        <v>218</v>
      </c>
      <c r="D3" s="6" t="s">
        <v>219</v>
      </c>
      <c r="E3" s="6" t="s">
        <v>165</v>
      </c>
      <c r="F3" s="6" t="s">
        <v>348</v>
      </c>
      <c r="G3" s="6" t="s">
        <v>286</v>
      </c>
      <c r="H3" s="6" t="s">
        <v>349</v>
      </c>
    </row>
    <row r="4" spans="1:8" x14ac:dyDescent="0.3">
      <c r="B4" s="6" t="s">
        <v>350</v>
      </c>
      <c r="C4" s="6" t="s">
        <v>226</v>
      </c>
      <c r="D4" s="6" t="s">
        <v>241</v>
      </c>
      <c r="E4" s="6" t="s">
        <v>194</v>
      </c>
      <c r="F4" s="6" t="s">
        <v>351</v>
      </c>
      <c r="G4" s="6" t="s">
        <v>352</v>
      </c>
      <c r="H4" s="6" t="s">
        <v>353</v>
      </c>
    </row>
    <row r="5" spans="1:8" x14ac:dyDescent="0.3">
      <c r="B5" s="6" t="s">
        <v>354</v>
      </c>
      <c r="C5" s="6" t="s">
        <v>230</v>
      </c>
      <c r="D5" s="6" t="s">
        <v>355</v>
      </c>
      <c r="F5" s="6" t="s">
        <v>319</v>
      </c>
      <c r="G5" s="6" t="s">
        <v>356</v>
      </c>
      <c r="H5" s="6" t="s">
        <v>11</v>
      </c>
    </row>
    <row r="6" spans="1:8" x14ac:dyDescent="0.3">
      <c r="B6" s="6" t="s">
        <v>108</v>
      </c>
      <c r="C6" s="6" t="s">
        <v>234</v>
      </c>
      <c r="D6" s="6" t="s">
        <v>357</v>
      </c>
      <c r="F6" s="6" t="s">
        <v>358</v>
      </c>
      <c r="H6" s="6" t="s">
        <v>359</v>
      </c>
    </row>
    <row r="7" spans="1:8" x14ac:dyDescent="0.3">
      <c r="H7" s="6" t="s">
        <v>360</v>
      </c>
    </row>
    <row r="8" spans="1:8" x14ac:dyDescent="0.3">
      <c r="H8" s="6" t="s">
        <v>361</v>
      </c>
    </row>
    <row r="9" spans="1:8" x14ac:dyDescent="0.3">
      <c r="H9" s="6" t="s">
        <v>362</v>
      </c>
    </row>
    <row r="10" spans="1:8" x14ac:dyDescent="0.3">
      <c r="H10" s="6" t="s">
        <v>103</v>
      </c>
    </row>
    <row r="11" spans="1:8" x14ac:dyDescent="0.3">
      <c r="H11" s="6" t="s">
        <v>363</v>
      </c>
    </row>
    <row r="12" spans="1:8" x14ac:dyDescent="0.3">
      <c r="H12" s="6" t="s">
        <v>364</v>
      </c>
    </row>
    <row r="13" spans="1:8" x14ac:dyDescent="0.3">
      <c r="H13" s="6" t="s">
        <v>365</v>
      </c>
    </row>
    <row r="14" spans="1:8" x14ac:dyDescent="0.3">
      <c r="H14" s="6" t="s">
        <v>366</v>
      </c>
    </row>
    <row r="15" spans="1:8" x14ac:dyDescent="0.3">
      <c r="H15" s="6" t="s">
        <v>367</v>
      </c>
    </row>
    <row r="16" spans="1:8" x14ac:dyDescent="0.3">
      <c r="H16" s="6" t="s">
        <v>368</v>
      </c>
    </row>
    <row r="17" spans="8:8" x14ac:dyDescent="0.3">
      <c r="H17" s="6" t="s">
        <v>369</v>
      </c>
    </row>
    <row r="18" spans="8:8" x14ac:dyDescent="0.3">
      <c r="H18" s="6" t="s">
        <v>370</v>
      </c>
    </row>
    <row r="19" spans="8:8" x14ac:dyDescent="0.3">
      <c r="H19" s="6" t="s">
        <v>371</v>
      </c>
    </row>
    <row r="20" spans="8:8" x14ac:dyDescent="0.3">
      <c r="H20" s="6" t="s">
        <v>372</v>
      </c>
    </row>
    <row r="21" spans="8:8" x14ac:dyDescent="0.3">
      <c r="H21" s="6" t="s">
        <v>373</v>
      </c>
    </row>
    <row r="22" spans="8:8" x14ac:dyDescent="0.3">
      <c r="H22" s="6" t="s">
        <v>374</v>
      </c>
    </row>
    <row r="23" spans="8:8" x14ac:dyDescent="0.3">
      <c r="H23" s="6" t="s">
        <v>375</v>
      </c>
    </row>
    <row r="24" spans="8:8" x14ac:dyDescent="0.3">
      <c r="H24" s="6" t="s">
        <v>376</v>
      </c>
    </row>
    <row r="25" spans="8:8" x14ac:dyDescent="0.3">
      <c r="H25" s="6" t="s">
        <v>377</v>
      </c>
    </row>
    <row r="26" spans="8:8" x14ac:dyDescent="0.3">
      <c r="H26" s="6" t="s">
        <v>378</v>
      </c>
    </row>
    <row r="27" spans="8:8" x14ac:dyDescent="0.3">
      <c r="H27" s="6" t="s">
        <v>379</v>
      </c>
    </row>
    <row r="28" spans="8:8" x14ac:dyDescent="0.3">
      <c r="H28" s="6" t="s">
        <v>380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8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381</v>
      </c>
      <c r="B1" s="8" t="s">
        <v>382</v>
      </c>
      <c r="C1" s="8" t="s">
        <v>383</v>
      </c>
      <c r="D1" s="8" t="s">
        <v>208</v>
      </c>
      <c r="E1" s="8" t="s">
        <v>310</v>
      </c>
      <c r="F1" s="8" t="s">
        <v>207</v>
      </c>
      <c r="G1" s="8" t="s">
        <v>384</v>
      </c>
      <c r="H1" s="8" t="s">
        <v>385</v>
      </c>
      <c r="I1" s="8" t="s">
        <v>386</v>
      </c>
    </row>
    <row r="2" spans="1:9" x14ac:dyDescent="0.3">
      <c r="A2" s="20" t="s">
        <v>35</v>
      </c>
      <c r="B2" s="20" t="s">
        <v>387</v>
      </c>
      <c r="C2" s="20" t="s">
        <v>73</v>
      </c>
      <c r="D2" s="20" t="s">
        <v>388</v>
      </c>
      <c r="E2" s="20" t="s">
        <v>159</v>
      </c>
      <c r="F2" s="20" t="s">
        <v>389</v>
      </c>
      <c r="G2" s="20"/>
      <c r="H2" s="20" t="s">
        <v>165</v>
      </c>
      <c r="I2" s="20" t="s">
        <v>390</v>
      </c>
    </row>
    <row r="3" spans="1:9" x14ac:dyDescent="0.3">
      <c r="A3" s="20" t="s">
        <v>35</v>
      </c>
      <c r="B3" s="20" t="s">
        <v>387</v>
      </c>
      <c r="C3" s="20" t="s">
        <v>74</v>
      </c>
      <c r="D3" s="20" t="s">
        <v>388</v>
      </c>
      <c r="E3" s="20" t="s">
        <v>159</v>
      </c>
      <c r="F3" s="20" t="s">
        <v>391</v>
      </c>
      <c r="G3" s="20"/>
      <c r="H3" s="20" t="s">
        <v>165</v>
      </c>
      <c r="I3" s="20"/>
    </row>
    <row r="4" spans="1:9" x14ac:dyDescent="0.3">
      <c r="A4" s="20" t="s">
        <v>35</v>
      </c>
      <c r="B4" s="20" t="s">
        <v>387</v>
      </c>
      <c r="C4" s="20" t="s">
        <v>75</v>
      </c>
      <c r="D4" s="20" t="s">
        <v>388</v>
      </c>
      <c r="E4" s="20" t="s">
        <v>159</v>
      </c>
      <c r="F4" s="20" t="s">
        <v>392</v>
      </c>
      <c r="G4" s="20"/>
      <c r="H4" s="20" t="s">
        <v>165</v>
      </c>
      <c r="I4" s="20"/>
    </row>
    <row r="5" spans="1:9" x14ac:dyDescent="0.3">
      <c r="A5" s="20" t="s">
        <v>35</v>
      </c>
      <c r="B5" s="20" t="s">
        <v>387</v>
      </c>
      <c r="C5" s="20" t="s">
        <v>76</v>
      </c>
      <c r="D5" s="20" t="s">
        <v>388</v>
      </c>
      <c r="E5" s="20" t="s">
        <v>159</v>
      </c>
      <c r="F5" s="20" t="s">
        <v>393</v>
      </c>
      <c r="G5" s="20"/>
      <c r="H5" s="20" t="s">
        <v>165</v>
      </c>
      <c r="I5" s="20"/>
    </row>
    <row r="6" spans="1:9" x14ac:dyDescent="0.3">
      <c r="A6" s="20" t="s">
        <v>35</v>
      </c>
      <c r="B6" s="20" t="s">
        <v>387</v>
      </c>
      <c r="C6" s="20" t="s">
        <v>77</v>
      </c>
      <c r="D6" s="20" t="s">
        <v>388</v>
      </c>
      <c r="E6" s="20" t="s">
        <v>159</v>
      </c>
      <c r="F6" s="20" t="s">
        <v>394</v>
      </c>
      <c r="G6" s="20"/>
      <c r="H6" s="20" t="s">
        <v>165</v>
      </c>
      <c r="I6" s="20"/>
    </row>
    <row r="7" spans="1:9" x14ac:dyDescent="0.3">
      <c r="A7" s="20" t="s">
        <v>35</v>
      </c>
      <c r="B7" s="20" t="s">
        <v>387</v>
      </c>
      <c r="C7" s="20" t="s">
        <v>78</v>
      </c>
      <c r="D7" s="20" t="s">
        <v>388</v>
      </c>
      <c r="E7" s="20" t="s">
        <v>159</v>
      </c>
      <c r="F7" s="20" t="s">
        <v>395</v>
      </c>
      <c r="G7" s="20"/>
      <c r="H7" s="20" t="s">
        <v>165</v>
      </c>
      <c r="I7" s="20"/>
    </row>
    <row r="8" spans="1:9" x14ac:dyDescent="0.3">
      <c r="A8" s="20" t="s">
        <v>35</v>
      </c>
      <c r="B8" s="20" t="s">
        <v>387</v>
      </c>
      <c r="C8" s="20" t="s">
        <v>79</v>
      </c>
      <c r="D8" s="20" t="s">
        <v>388</v>
      </c>
      <c r="E8" s="20" t="s">
        <v>159</v>
      </c>
      <c r="F8" s="20" t="s">
        <v>396</v>
      </c>
      <c r="G8" s="20"/>
      <c r="H8" s="20" t="s">
        <v>165</v>
      </c>
      <c r="I8" s="20"/>
    </row>
    <row r="9" spans="1:9" x14ac:dyDescent="0.3">
      <c r="A9" s="20" t="s">
        <v>35</v>
      </c>
      <c r="B9" s="20" t="s">
        <v>387</v>
      </c>
      <c r="C9" s="20" t="s">
        <v>80</v>
      </c>
      <c r="D9" s="20" t="s">
        <v>388</v>
      </c>
      <c r="E9" s="20" t="s">
        <v>159</v>
      </c>
      <c r="F9" s="20" t="s">
        <v>397</v>
      </c>
      <c r="G9" s="20" t="s">
        <v>398</v>
      </c>
      <c r="H9" s="20" t="s">
        <v>165</v>
      </c>
      <c r="I9" s="20"/>
    </row>
    <row r="10" spans="1:9" x14ac:dyDescent="0.3">
      <c r="A10" s="20" t="s">
        <v>35</v>
      </c>
      <c r="B10" s="20" t="s">
        <v>387</v>
      </c>
      <c r="C10" s="20" t="s">
        <v>81</v>
      </c>
      <c r="D10" s="20" t="s">
        <v>388</v>
      </c>
      <c r="E10" s="20" t="s">
        <v>159</v>
      </c>
      <c r="F10" s="20" t="s">
        <v>399</v>
      </c>
      <c r="G10" s="20"/>
      <c r="H10" s="20" t="s">
        <v>165</v>
      </c>
      <c r="I10" s="20"/>
    </row>
    <row r="11" spans="1:9" x14ac:dyDescent="0.3">
      <c r="A11" s="20" t="s">
        <v>35</v>
      </c>
      <c r="B11" s="20" t="s">
        <v>387</v>
      </c>
      <c r="C11" s="20" t="s">
        <v>82</v>
      </c>
      <c r="D11" s="20" t="s">
        <v>388</v>
      </c>
      <c r="E11" s="20" t="s">
        <v>159</v>
      </c>
      <c r="F11" s="20" t="s">
        <v>400</v>
      </c>
      <c r="G11" s="20"/>
      <c r="H11" s="20" t="s">
        <v>165</v>
      </c>
      <c r="I11" s="20"/>
    </row>
    <row r="12" spans="1:9" x14ac:dyDescent="0.3">
      <c r="A12" s="20" t="s">
        <v>35</v>
      </c>
      <c r="B12" s="20" t="s">
        <v>387</v>
      </c>
      <c r="C12" s="20" t="s">
        <v>83</v>
      </c>
      <c r="D12" s="20" t="s">
        <v>388</v>
      </c>
      <c r="E12" s="20" t="s">
        <v>159</v>
      </c>
      <c r="F12" s="20" t="s">
        <v>401</v>
      </c>
      <c r="G12" s="20"/>
      <c r="H12" s="20" t="s">
        <v>165</v>
      </c>
      <c r="I12" s="20"/>
    </row>
    <row r="13" spans="1:9" x14ac:dyDescent="0.3">
      <c r="A13" s="20" t="s">
        <v>35</v>
      </c>
      <c r="B13" s="20" t="s">
        <v>387</v>
      </c>
      <c r="C13" s="20" t="s">
        <v>84</v>
      </c>
      <c r="D13" s="20" t="s">
        <v>388</v>
      </c>
      <c r="E13" s="20" t="s">
        <v>159</v>
      </c>
      <c r="F13" s="20" t="s">
        <v>402</v>
      </c>
      <c r="G13" s="20"/>
      <c r="H13" s="20" t="s">
        <v>165</v>
      </c>
      <c r="I13" s="20"/>
    </row>
    <row r="14" spans="1:9" ht="26.4" x14ac:dyDescent="0.3">
      <c r="A14" s="20" t="s">
        <v>35</v>
      </c>
      <c r="B14" s="20" t="s">
        <v>387</v>
      </c>
      <c r="C14" s="20" t="s">
        <v>85</v>
      </c>
      <c r="D14" s="20" t="s">
        <v>403</v>
      </c>
      <c r="E14" s="20" t="s">
        <v>159</v>
      </c>
      <c r="F14" s="20" t="s">
        <v>404</v>
      </c>
      <c r="G14" s="20"/>
      <c r="H14" s="20" t="s">
        <v>165</v>
      </c>
      <c r="I14" s="20"/>
    </row>
    <row r="15" spans="1:9" ht="26.4" x14ac:dyDescent="0.3">
      <c r="A15" s="20" t="s">
        <v>35</v>
      </c>
      <c r="B15" s="20" t="s">
        <v>387</v>
      </c>
      <c r="C15" s="20" t="s">
        <v>86</v>
      </c>
      <c r="D15" s="20" t="s">
        <v>403</v>
      </c>
      <c r="E15" s="20" t="s">
        <v>159</v>
      </c>
      <c r="F15" s="20" t="s">
        <v>405</v>
      </c>
      <c r="G15" s="20"/>
      <c r="H15" s="20" t="s">
        <v>165</v>
      </c>
      <c r="I15" s="20"/>
    </row>
    <row r="16" spans="1:9" ht="26.4" x14ac:dyDescent="0.3">
      <c r="A16" s="20" t="s">
        <v>35</v>
      </c>
      <c r="B16" s="20" t="s">
        <v>387</v>
      </c>
      <c r="C16" s="20" t="s">
        <v>87</v>
      </c>
      <c r="D16" s="20" t="s">
        <v>403</v>
      </c>
      <c r="E16" s="20" t="s">
        <v>159</v>
      </c>
      <c r="F16" s="20" t="s">
        <v>406</v>
      </c>
      <c r="G16" s="20"/>
      <c r="H16" s="20" t="s">
        <v>194</v>
      </c>
      <c r="I16" s="20"/>
    </row>
    <row r="17" spans="1:9" x14ac:dyDescent="0.3">
      <c r="A17" s="20" t="s">
        <v>35</v>
      </c>
      <c r="B17" s="20" t="s">
        <v>387</v>
      </c>
      <c r="C17" s="20" t="s">
        <v>14</v>
      </c>
      <c r="D17" s="20" t="s">
        <v>388</v>
      </c>
      <c r="E17" s="20" t="s">
        <v>159</v>
      </c>
      <c r="F17" s="20" t="s">
        <v>407</v>
      </c>
      <c r="G17" s="20" t="s">
        <v>408</v>
      </c>
      <c r="H17" s="20" t="s">
        <v>165</v>
      </c>
      <c r="I17" s="20"/>
    </row>
    <row r="18" spans="1:9" x14ac:dyDescent="0.3">
      <c r="A18" s="20" t="s">
        <v>35</v>
      </c>
      <c r="B18" s="20" t="s">
        <v>387</v>
      </c>
      <c r="C18" s="20" t="s">
        <v>88</v>
      </c>
      <c r="D18" s="20" t="s">
        <v>409</v>
      </c>
      <c r="E18" s="20" t="s">
        <v>159</v>
      </c>
      <c r="F18" s="20" t="s">
        <v>410</v>
      </c>
      <c r="G18" s="20"/>
      <c r="H18" s="20" t="s">
        <v>165</v>
      </c>
      <c r="I18" s="20"/>
    </row>
    <row r="19" spans="1:9" x14ac:dyDescent="0.3">
      <c r="A19" s="20" t="s">
        <v>35</v>
      </c>
      <c r="B19" s="20" t="s">
        <v>387</v>
      </c>
      <c r="C19" s="20" t="s">
        <v>89</v>
      </c>
      <c r="D19" s="20" t="s">
        <v>409</v>
      </c>
      <c r="E19" s="20" t="s">
        <v>159</v>
      </c>
      <c r="F19" s="20" t="s">
        <v>411</v>
      </c>
      <c r="G19" s="20"/>
      <c r="H19" s="20" t="s">
        <v>165</v>
      </c>
      <c r="I19" s="20"/>
    </row>
    <row r="20" spans="1:9" x14ac:dyDescent="0.3">
      <c r="A20" s="20" t="s">
        <v>35</v>
      </c>
      <c r="B20" s="20" t="s">
        <v>387</v>
      </c>
      <c r="C20" s="20" t="s">
        <v>90</v>
      </c>
      <c r="D20" s="20" t="s">
        <v>409</v>
      </c>
      <c r="E20" s="20" t="s">
        <v>159</v>
      </c>
      <c r="F20" s="20" t="s">
        <v>412</v>
      </c>
      <c r="G20" s="20"/>
      <c r="H20" s="20" t="s">
        <v>165</v>
      </c>
      <c r="I20" s="20"/>
    </row>
    <row r="21" spans="1:9" ht="26.4" x14ac:dyDescent="0.3">
      <c r="A21" s="20" t="s">
        <v>35</v>
      </c>
      <c r="B21" s="20" t="s">
        <v>387</v>
      </c>
      <c r="C21" s="20" t="s">
        <v>91</v>
      </c>
      <c r="D21" s="20" t="s">
        <v>413</v>
      </c>
      <c r="E21" s="20" t="s">
        <v>414</v>
      </c>
      <c r="F21" s="20" t="s">
        <v>415</v>
      </c>
      <c r="G21" s="20"/>
      <c r="H21" s="20" t="s">
        <v>165</v>
      </c>
      <c r="I21" s="20"/>
    </row>
    <row r="22" spans="1:9" ht="26.4" x14ac:dyDescent="0.3">
      <c r="A22" s="20" t="s">
        <v>35</v>
      </c>
      <c r="B22" s="20" t="s">
        <v>387</v>
      </c>
      <c r="C22" s="20" t="s">
        <v>92</v>
      </c>
      <c r="D22" s="20" t="s">
        <v>413</v>
      </c>
      <c r="E22" s="20" t="s">
        <v>159</v>
      </c>
      <c r="F22" s="20" t="s">
        <v>416</v>
      </c>
      <c r="G22" s="20"/>
      <c r="H22" s="20" t="s">
        <v>165</v>
      </c>
      <c r="I22" s="20"/>
    </row>
    <row r="23" spans="1:9" x14ac:dyDescent="0.3">
      <c r="A23" s="20" t="s">
        <v>35</v>
      </c>
      <c r="B23" s="20" t="s">
        <v>387</v>
      </c>
      <c r="C23" s="20" t="s">
        <v>93</v>
      </c>
      <c r="D23" s="20" t="s">
        <v>409</v>
      </c>
      <c r="E23" s="20" t="s">
        <v>414</v>
      </c>
      <c r="F23" s="20" t="s">
        <v>417</v>
      </c>
      <c r="G23" s="20"/>
      <c r="H23" s="20" t="s">
        <v>165</v>
      </c>
      <c r="I23" s="20"/>
    </row>
    <row r="24" spans="1:9" x14ac:dyDescent="0.3">
      <c r="A24" s="20" t="s">
        <v>35</v>
      </c>
      <c r="B24" s="20" t="s">
        <v>387</v>
      </c>
      <c r="C24" s="20" t="s">
        <v>94</v>
      </c>
      <c r="D24" s="20" t="s">
        <v>409</v>
      </c>
      <c r="E24" s="20" t="s">
        <v>414</v>
      </c>
      <c r="F24" s="20" t="s">
        <v>418</v>
      </c>
      <c r="G24" s="20"/>
      <c r="H24" s="20" t="s">
        <v>165</v>
      </c>
      <c r="I24" s="20"/>
    </row>
    <row r="25" spans="1:9" x14ac:dyDescent="0.3">
      <c r="A25" s="20" t="s">
        <v>35</v>
      </c>
      <c r="B25" s="20" t="s">
        <v>387</v>
      </c>
      <c r="C25" s="20" t="s">
        <v>95</v>
      </c>
      <c r="D25" s="20" t="s">
        <v>388</v>
      </c>
      <c r="E25" s="20" t="s">
        <v>414</v>
      </c>
      <c r="F25" s="20" t="s">
        <v>419</v>
      </c>
      <c r="G25" s="20"/>
      <c r="H25" s="20" t="s">
        <v>165</v>
      </c>
      <c r="I25" s="20"/>
    </row>
    <row r="26" spans="1:9" ht="39.6" x14ac:dyDescent="0.3">
      <c r="A26" s="20" t="s">
        <v>37</v>
      </c>
      <c r="B26" s="20" t="s">
        <v>420</v>
      </c>
      <c r="C26" s="20" t="s">
        <v>73</v>
      </c>
      <c r="D26" s="20" t="s">
        <v>388</v>
      </c>
      <c r="E26" s="20" t="s">
        <v>159</v>
      </c>
      <c r="F26" s="20" t="s">
        <v>389</v>
      </c>
      <c r="G26" s="20"/>
      <c r="H26" s="20" t="s">
        <v>165</v>
      </c>
      <c r="I26" s="20" t="s">
        <v>421</v>
      </c>
    </row>
    <row r="27" spans="1:9" x14ac:dyDescent="0.3">
      <c r="A27" s="20" t="s">
        <v>37</v>
      </c>
      <c r="B27" s="20" t="s">
        <v>420</v>
      </c>
      <c r="C27" s="20" t="s">
        <v>157</v>
      </c>
      <c r="D27" s="20" t="s">
        <v>388</v>
      </c>
      <c r="E27" s="20" t="s">
        <v>159</v>
      </c>
      <c r="F27" s="20" t="s">
        <v>422</v>
      </c>
      <c r="G27" s="20"/>
      <c r="H27" s="20" t="s">
        <v>165</v>
      </c>
      <c r="I27" s="20"/>
    </row>
    <row r="28" spans="1:9" x14ac:dyDescent="0.3">
      <c r="A28" s="20" t="s">
        <v>37</v>
      </c>
      <c r="B28" s="20" t="s">
        <v>420</v>
      </c>
      <c r="C28" s="20" t="s">
        <v>158</v>
      </c>
      <c r="D28" s="20" t="s">
        <v>388</v>
      </c>
      <c r="E28" s="20" t="s">
        <v>159</v>
      </c>
      <c r="F28" s="20" t="s">
        <v>423</v>
      </c>
      <c r="G28" s="20"/>
      <c r="H28" s="20" t="s">
        <v>165</v>
      </c>
      <c r="I28" s="20"/>
    </row>
    <row r="29" spans="1:9" x14ac:dyDescent="0.3">
      <c r="A29" s="20" t="s">
        <v>37</v>
      </c>
      <c r="B29" s="20" t="s">
        <v>420</v>
      </c>
      <c r="C29" s="20" t="s">
        <v>159</v>
      </c>
      <c r="D29" s="20" t="s">
        <v>388</v>
      </c>
      <c r="E29" s="20" t="s">
        <v>159</v>
      </c>
      <c r="F29" s="20" t="s">
        <v>424</v>
      </c>
      <c r="G29" s="20"/>
      <c r="H29" s="20" t="s">
        <v>165</v>
      </c>
      <c r="I29" s="20"/>
    </row>
    <row r="30" spans="1:9" x14ac:dyDescent="0.3">
      <c r="A30" s="20" t="s">
        <v>37</v>
      </c>
      <c r="B30" s="20" t="s">
        <v>420</v>
      </c>
      <c r="C30" s="20" t="s">
        <v>160</v>
      </c>
      <c r="D30" s="20" t="s">
        <v>388</v>
      </c>
      <c r="E30" s="20" t="s">
        <v>159</v>
      </c>
      <c r="F30" s="20" t="s">
        <v>425</v>
      </c>
      <c r="G30" s="20" t="s">
        <v>426</v>
      </c>
      <c r="H30" s="20" t="s">
        <v>165</v>
      </c>
      <c r="I30" s="20"/>
    </row>
    <row r="31" spans="1:9" x14ac:dyDescent="0.3">
      <c r="A31" s="20" t="s">
        <v>37</v>
      </c>
      <c r="B31" s="20" t="s">
        <v>420</v>
      </c>
      <c r="C31" s="20" t="s">
        <v>161</v>
      </c>
      <c r="D31" s="20" t="s">
        <v>388</v>
      </c>
      <c r="E31" s="20" t="s">
        <v>159</v>
      </c>
      <c r="F31" s="20" t="s">
        <v>427</v>
      </c>
      <c r="G31" s="20" t="s">
        <v>426</v>
      </c>
      <c r="H31" s="20" t="s">
        <v>165</v>
      </c>
      <c r="I31" s="20"/>
    </row>
    <row r="32" spans="1:9" x14ac:dyDescent="0.3">
      <c r="A32" s="20" t="s">
        <v>39</v>
      </c>
      <c r="B32" s="20" t="s">
        <v>428</v>
      </c>
      <c r="C32" s="20" t="s">
        <v>205</v>
      </c>
      <c r="D32" s="20" t="s">
        <v>388</v>
      </c>
      <c r="E32" s="20" t="s">
        <v>159</v>
      </c>
      <c r="F32" s="20" t="s">
        <v>429</v>
      </c>
      <c r="G32" s="20"/>
      <c r="H32" s="20" t="s">
        <v>165</v>
      </c>
      <c r="I32" s="20" t="s">
        <v>390</v>
      </c>
    </row>
    <row r="33" spans="1:9" ht="39.6" x14ac:dyDescent="0.3">
      <c r="A33" s="20" t="s">
        <v>39</v>
      </c>
      <c r="B33" s="20" t="s">
        <v>428</v>
      </c>
      <c r="C33" s="20" t="s">
        <v>73</v>
      </c>
      <c r="D33" s="20" t="s">
        <v>388</v>
      </c>
      <c r="E33" s="20" t="s">
        <v>159</v>
      </c>
      <c r="F33" s="20" t="s">
        <v>389</v>
      </c>
      <c r="G33" s="20"/>
      <c r="H33" s="20" t="s">
        <v>165</v>
      </c>
      <c r="I33" s="20" t="s">
        <v>421</v>
      </c>
    </row>
    <row r="34" spans="1:9" x14ac:dyDescent="0.3">
      <c r="A34" s="20" t="s">
        <v>39</v>
      </c>
      <c r="B34" s="20" t="s">
        <v>428</v>
      </c>
      <c r="C34" s="20" t="s">
        <v>206</v>
      </c>
      <c r="D34" s="20" t="s">
        <v>388</v>
      </c>
      <c r="E34" s="20" t="s">
        <v>159</v>
      </c>
      <c r="F34" s="20" t="s">
        <v>430</v>
      </c>
      <c r="G34" s="20"/>
      <c r="H34" s="20" t="s">
        <v>165</v>
      </c>
      <c r="I34" s="20"/>
    </row>
    <row r="35" spans="1:9" x14ac:dyDescent="0.3">
      <c r="A35" s="20" t="s">
        <v>39</v>
      </c>
      <c r="B35" s="20" t="s">
        <v>428</v>
      </c>
      <c r="C35" s="20" t="s">
        <v>207</v>
      </c>
      <c r="D35" s="20" t="s">
        <v>388</v>
      </c>
      <c r="E35" s="20" t="s">
        <v>159</v>
      </c>
      <c r="F35" s="20" t="s">
        <v>429</v>
      </c>
      <c r="G35" s="20"/>
      <c r="H35" s="20" t="s">
        <v>165</v>
      </c>
      <c r="I35" s="20"/>
    </row>
    <row r="36" spans="1:9" x14ac:dyDescent="0.3">
      <c r="A36" s="20" t="s">
        <v>39</v>
      </c>
      <c r="B36" s="20" t="s">
        <v>428</v>
      </c>
      <c r="C36" s="20" t="s">
        <v>208</v>
      </c>
      <c r="D36" s="20" t="s">
        <v>388</v>
      </c>
      <c r="E36" s="20" t="s">
        <v>159</v>
      </c>
      <c r="F36" s="20" t="s">
        <v>431</v>
      </c>
      <c r="G36" s="20" t="s">
        <v>432</v>
      </c>
      <c r="H36" s="20" t="s">
        <v>165</v>
      </c>
      <c r="I36" s="20"/>
    </row>
    <row r="37" spans="1:9" ht="26.4" x14ac:dyDescent="0.3">
      <c r="A37" s="20" t="s">
        <v>39</v>
      </c>
      <c r="B37" s="20" t="s">
        <v>428</v>
      </c>
      <c r="C37" s="20" t="s">
        <v>209</v>
      </c>
      <c r="D37" s="20" t="s">
        <v>403</v>
      </c>
      <c r="E37" s="20" t="s">
        <v>159</v>
      </c>
      <c r="F37" s="20" t="s">
        <v>433</v>
      </c>
      <c r="G37" s="20"/>
      <c r="H37" s="20" t="s">
        <v>165</v>
      </c>
      <c r="I37" s="20"/>
    </row>
    <row r="38" spans="1:9" ht="26.4" x14ac:dyDescent="0.3">
      <c r="A38" s="20" t="s">
        <v>39</v>
      </c>
      <c r="B38" s="20" t="s">
        <v>428</v>
      </c>
      <c r="C38" s="20" t="s">
        <v>210</v>
      </c>
      <c r="D38" s="20" t="s">
        <v>403</v>
      </c>
      <c r="E38" s="20" t="s">
        <v>159</v>
      </c>
      <c r="F38" s="20" t="s">
        <v>434</v>
      </c>
      <c r="G38" s="20"/>
      <c r="H38" s="20" t="s">
        <v>165</v>
      </c>
      <c r="I38" s="20"/>
    </row>
    <row r="39" spans="1:9" x14ac:dyDescent="0.3">
      <c r="A39" s="20" t="s">
        <v>39</v>
      </c>
      <c r="B39" s="20" t="s">
        <v>428</v>
      </c>
      <c r="C39" s="20" t="s">
        <v>211</v>
      </c>
      <c r="D39" s="20" t="s">
        <v>388</v>
      </c>
      <c r="E39" s="20" t="s">
        <v>159</v>
      </c>
      <c r="F39" s="20" t="s">
        <v>435</v>
      </c>
      <c r="G39" s="20" t="s">
        <v>436</v>
      </c>
      <c r="H39" s="20" t="s">
        <v>165</v>
      </c>
      <c r="I39" s="20"/>
    </row>
    <row r="40" spans="1:9" x14ac:dyDescent="0.3">
      <c r="A40" s="20" t="s">
        <v>39</v>
      </c>
      <c r="B40" s="20" t="s">
        <v>428</v>
      </c>
      <c r="C40" s="20" t="s">
        <v>212</v>
      </c>
      <c r="D40" s="20" t="s">
        <v>388</v>
      </c>
      <c r="E40" s="20" t="s">
        <v>159</v>
      </c>
      <c r="F40" s="20" t="s">
        <v>437</v>
      </c>
      <c r="G40" s="20"/>
      <c r="H40" s="20" t="s">
        <v>194</v>
      </c>
      <c r="I40" s="20"/>
    </row>
    <row r="41" spans="1:9" ht="39.6" x14ac:dyDescent="0.3">
      <c r="A41" s="20" t="s">
        <v>39</v>
      </c>
      <c r="B41" s="20" t="s">
        <v>428</v>
      </c>
      <c r="C41" s="20" t="s">
        <v>213</v>
      </c>
      <c r="D41" s="20" t="s">
        <v>388</v>
      </c>
      <c r="E41" s="20" t="s">
        <v>159</v>
      </c>
      <c r="F41" s="20" t="s">
        <v>438</v>
      </c>
      <c r="G41" s="20"/>
      <c r="H41" s="20" t="s">
        <v>194</v>
      </c>
      <c r="I41" s="20" t="s">
        <v>439</v>
      </c>
    </row>
    <row r="42" spans="1:9" x14ac:dyDescent="0.3">
      <c r="A42" s="20" t="s">
        <v>39</v>
      </c>
      <c r="B42" s="20" t="s">
        <v>428</v>
      </c>
      <c r="C42" s="20" t="s">
        <v>214</v>
      </c>
      <c r="D42" s="20" t="s">
        <v>409</v>
      </c>
      <c r="E42" s="20" t="s">
        <v>414</v>
      </c>
      <c r="F42" s="20" t="s">
        <v>440</v>
      </c>
      <c r="G42" s="20"/>
      <c r="H42" s="20" t="s">
        <v>165</v>
      </c>
      <c r="I42" s="20"/>
    </row>
    <row r="43" spans="1:9" x14ac:dyDescent="0.3">
      <c r="A43" s="20" t="s">
        <v>41</v>
      </c>
      <c r="B43" s="20" t="s">
        <v>441</v>
      </c>
      <c r="C43" s="20" t="s">
        <v>73</v>
      </c>
      <c r="D43" s="20" t="s">
        <v>388</v>
      </c>
      <c r="E43" s="20" t="s">
        <v>159</v>
      </c>
      <c r="F43" s="20" t="s">
        <v>389</v>
      </c>
      <c r="G43" s="20"/>
      <c r="H43" s="20" t="s">
        <v>165</v>
      </c>
      <c r="I43" s="20" t="s">
        <v>442</v>
      </c>
    </row>
    <row r="44" spans="1:9" x14ac:dyDescent="0.3">
      <c r="A44" s="20" t="s">
        <v>41</v>
      </c>
      <c r="B44" s="20" t="s">
        <v>441</v>
      </c>
      <c r="C44" s="20" t="s">
        <v>278</v>
      </c>
      <c r="D44" s="20" t="s">
        <v>388</v>
      </c>
      <c r="E44" s="20" t="s">
        <v>159</v>
      </c>
      <c r="F44" s="20" t="s">
        <v>443</v>
      </c>
      <c r="G44" s="20"/>
      <c r="H44" s="20" t="s">
        <v>165</v>
      </c>
      <c r="I44" s="20"/>
    </row>
    <row r="45" spans="1:9" x14ac:dyDescent="0.3">
      <c r="A45" s="20" t="s">
        <v>41</v>
      </c>
      <c r="B45" s="20" t="s">
        <v>441</v>
      </c>
      <c r="C45" s="20" t="s">
        <v>279</v>
      </c>
      <c r="D45" s="20" t="s">
        <v>388</v>
      </c>
      <c r="E45" s="20" t="s">
        <v>159</v>
      </c>
      <c r="F45" s="20" t="s">
        <v>444</v>
      </c>
      <c r="G45" s="20"/>
      <c r="H45" s="20" t="s">
        <v>165</v>
      </c>
      <c r="I45" s="20"/>
    </row>
    <row r="46" spans="1:9" x14ac:dyDescent="0.3">
      <c r="A46" s="20" t="s">
        <v>41</v>
      </c>
      <c r="B46" s="20" t="s">
        <v>441</v>
      </c>
      <c r="C46" s="20" t="s">
        <v>280</v>
      </c>
      <c r="D46" s="20" t="s">
        <v>388</v>
      </c>
      <c r="E46" s="20" t="s">
        <v>159</v>
      </c>
      <c r="F46" s="20" t="s">
        <v>445</v>
      </c>
      <c r="G46" s="20"/>
      <c r="H46" s="20" t="s">
        <v>165</v>
      </c>
      <c r="I46" s="20"/>
    </row>
    <row r="47" spans="1:9" x14ac:dyDescent="0.3">
      <c r="A47" s="20" t="s">
        <v>41</v>
      </c>
      <c r="B47" s="20" t="s">
        <v>441</v>
      </c>
      <c r="C47" s="20" t="s">
        <v>281</v>
      </c>
      <c r="D47" s="20" t="s">
        <v>388</v>
      </c>
      <c r="E47" s="20" t="s">
        <v>159</v>
      </c>
      <c r="F47" s="20" t="s">
        <v>446</v>
      </c>
      <c r="G47" s="20"/>
      <c r="H47" s="20" t="s">
        <v>165</v>
      </c>
      <c r="I47" s="20"/>
    </row>
    <row r="48" spans="1:9" x14ac:dyDescent="0.3">
      <c r="A48" s="20" t="s">
        <v>41</v>
      </c>
      <c r="B48" s="20" t="s">
        <v>441</v>
      </c>
      <c r="C48" s="20" t="s">
        <v>14</v>
      </c>
      <c r="D48" s="20" t="s">
        <v>388</v>
      </c>
      <c r="E48" s="20" t="s">
        <v>159</v>
      </c>
      <c r="F48" s="20" t="s">
        <v>407</v>
      </c>
      <c r="G48" s="20" t="s">
        <v>447</v>
      </c>
      <c r="H48" s="20" t="s">
        <v>165</v>
      </c>
      <c r="I48" s="20"/>
    </row>
    <row r="49" spans="1:9" x14ac:dyDescent="0.3">
      <c r="A49" s="20" t="s">
        <v>43</v>
      </c>
      <c r="B49" s="20" t="s">
        <v>448</v>
      </c>
      <c r="C49" s="20" t="s">
        <v>213</v>
      </c>
      <c r="D49" s="20" t="s">
        <v>388</v>
      </c>
      <c r="E49" s="20" t="s">
        <v>159</v>
      </c>
      <c r="F49" s="20" t="s">
        <v>438</v>
      </c>
      <c r="G49" s="20"/>
      <c r="H49" s="20" t="s">
        <v>165</v>
      </c>
      <c r="I49" s="20" t="s">
        <v>390</v>
      </c>
    </row>
    <row r="50" spans="1:9" x14ac:dyDescent="0.3">
      <c r="A50" s="20" t="s">
        <v>43</v>
      </c>
      <c r="B50" s="20" t="s">
        <v>448</v>
      </c>
      <c r="C50" s="20" t="s">
        <v>73</v>
      </c>
      <c r="D50" s="20" t="s">
        <v>388</v>
      </c>
      <c r="E50" s="20" t="s">
        <v>159</v>
      </c>
      <c r="F50" s="20" t="s">
        <v>389</v>
      </c>
      <c r="G50" s="20"/>
      <c r="H50" s="20" t="s">
        <v>165</v>
      </c>
      <c r="I50" s="20"/>
    </row>
    <row r="51" spans="1:9" ht="26.4" x14ac:dyDescent="0.3">
      <c r="A51" s="20" t="s">
        <v>43</v>
      </c>
      <c r="B51" s="20" t="s">
        <v>448</v>
      </c>
      <c r="C51" s="20" t="s">
        <v>308</v>
      </c>
      <c r="D51" s="20" t="s">
        <v>403</v>
      </c>
      <c r="E51" s="20" t="s">
        <v>159</v>
      </c>
      <c r="F51" s="20" t="s">
        <v>449</v>
      </c>
      <c r="G51" s="20"/>
      <c r="H51" s="20" t="s">
        <v>165</v>
      </c>
      <c r="I51" s="20"/>
    </row>
    <row r="52" spans="1:9" x14ac:dyDescent="0.3">
      <c r="A52" s="20" t="s">
        <v>43</v>
      </c>
      <c r="B52" s="20" t="s">
        <v>448</v>
      </c>
      <c r="C52" s="20" t="s">
        <v>309</v>
      </c>
      <c r="D52" s="20" t="s">
        <v>388</v>
      </c>
      <c r="E52" s="20" t="s">
        <v>159</v>
      </c>
      <c r="F52" s="20" t="s">
        <v>450</v>
      </c>
      <c r="G52" s="20"/>
      <c r="H52" s="20" t="s">
        <v>165</v>
      </c>
      <c r="I52" s="20"/>
    </row>
    <row r="53" spans="1:9" x14ac:dyDescent="0.3">
      <c r="A53" s="20" t="s">
        <v>43</v>
      </c>
      <c r="B53" s="20" t="s">
        <v>448</v>
      </c>
      <c r="C53" s="20" t="s">
        <v>310</v>
      </c>
      <c r="D53" s="20" t="s">
        <v>388</v>
      </c>
      <c r="E53" s="20" t="s">
        <v>159</v>
      </c>
      <c r="F53" s="20" t="s">
        <v>451</v>
      </c>
      <c r="G53" s="20"/>
      <c r="H53" s="20" t="s">
        <v>165</v>
      </c>
      <c r="I53" s="20"/>
    </row>
    <row r="54" spans="1:9" x14ac:dyDescent="0.3">
      <c r="A54" s="20" t="s">
        <v>43</v>
      </c>
      <c r="B54" s="20" t="s">
        <v>448</v>
      </c>
      <c r="C54" s="20" t="s">
        <v>311</v>
      </c>
      <c r="D54" s="20" t="s">
        <v>388</v>
      </c>
      <c r="E54" s="20" t="s">
        <v>159</v>
      </c>
      <c r="F54" s="20" t="s">
        <v>452</v>
      </c>
      <c r="G54" s="20"/>
      <c r="H54" s="20" t="s">
        <v>165</v>
      </c>
      <c r="I54" s="20"/>
    </row>
    <row r="55" spans="1:9" x14ac:dyDescent="0.3">
      <c r="A55" s="20" t="s">
        <v>43</v>
      </c>
      <c r="B55" s="20" t="s">
        <v>448</v>
      </c>
      <c r="C55" s="20" t="s">
        <v>312</v>
      </c>
      <c r="D55" s="20" t="s">
        <v>388</v>
      </c>
      <c r="E55" s="20" t="s">
        <v>159</v>
      </c>
      <c r="F55" s="20" t="s">
        <v>453</v>
      </c>
      <c r="G55" s="20" t="s">
        <v>398</v>
      </c>
      <c r="H55" s="20" t="s">
        <v>165</v>
      </c>
      <c r="I55" s="20"/>
    </row>
    <row r="56" spans="1:9" ht="26.4" x14ac:dyDescent="0.3">
      <c r="A56" s="20" t="s">
        <v>43</v>
      </c>
      <c r="B56" s="20" t="s">
        <v>448</v>
      </c>
      <c r="C56" s="20" t="s">
        <v>313</v>
      </c>
      <c r="D56" s="20" t="s">
        <v>403</v>
      </c>
      <c r="E56" s="20" t="s">
        <v>159</v>
      </c>
      <c r="F56" s="20" t="s">
        <v>454</v>
      </c>
      <c r="G56" s="20"/>
      <c r="H56" s="20" t="s">
        <v>165</v>
      </c>
      <c r="I56" s="20"/>
    </row>
    <row r="57" spans="1:9" x14ac:dyDescent="0.3">
      <c r="A57" s="20" t="s">
        <v>43</v>
      </c>
      <c r="B57" s="20" t="s">
        <v>448</v>
      </c>
      <c r="C57" s="20" t="s">
        <v>314</v>
      </c>
      <c r="D57" s="20" t="s">
        <v>388</v>
      </c>
      <c r="E57" s="20" t="s">
        <v>159</v>
      </c>
      <c r="F57" s="20" t="s">
        <v>455</v>
      </c>
      <c r="G57" s="20"/>
      <c r="H57" s="20" t="s">
        <v>165</v>
      </c>
      <c r="I57" s="20"/>
    </row>
    <row r="58" spans="1:9" x14ac:dyDescent="0.3">
      <c r="A58" s="20" t="s">
        <v>43</v>
      </c>
      <c r="B58" s="20" t="s">
        <v>448</v>
      </c>
      <c r="C58" s="20" t="s">
        <v>14</v>
      </c>
      <c r="D58" s="20" t="s">
        <v>388</v>
      </c>
      <c r="E58" s="20" t="s">
        <v>159</v>
      </c>
      <c r="F58" s="20" t="s">
        <v>407</v>
      </c>
      <c r="G58" s="20" t="s">
        <v>456</v>
      </c>
      <c r="H58" s="20" t="s">
        <v>165</v>
      </c>
      <c r="I58" s="20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8</vt:i4>
      </vt:variant>
      <vt:variant>
        <vt:lpstr>Intervalos com Nome</vt:lpstr>
      </vt:variant>
      <vt:variant>
        <vt:i4>14</vt:i4>
      </vt:variant>
    </vt:vector>
  </HeadingPairs>
  <TitlesOfParts>
    <vt:vector size="22" baseType="lpstr">
      <vt:lpstr>00_LEIA-ME</vt:lpstr>
      <vt:lpstr>Projetos_DD</vt:lpstr>
      <vt:lpstr>Entradas_DD</vt:lpstr>
      <vt:lpstr>Etapas_Controlo</vt:lpstr>
      <vt:lpstr>Saidas_DD</vt:lpstr>
      <vt:lpstr>Alteracoes_Design</vt:lpstr>
      <vt:lpstr>Listas</vt:lpstr>
      <vt:lpstr>Dicionario_Dados</vt:lpstr>
      <vt:lpstr>DataRef</vt:lpstr>
      <vt:lpstr>lst_DataReferencia</vt:lpstr>
      <vt:lpstr>lst_EstadoAlt</vt:lpstr>
      <vt:lpstr>lst_EstadoProj</vt:lpstr>
      <vt:lpstr>lst_EstadoSaida</vt:lpstr>
      <vt:lpstr>lst_Funcao</vt:lpstr>
      <vt:lpstr>lst_ResEtapa</vt:lpstr>
      <vt:lpstr>lst_SimNao</vt:lpstr>
      <vt:lpstr>lst_TipoEtapa</vt:lpstr>
      <vt:lpstr>Alteracoes_Design!Títulos_de_Impressão</vt:lpstr>
      <vt:lpstr>Entradas_DD!Títulos_de_Impressão</vt:lpstr>
      <vt:lpstr>Etapas_Controlo!Títulos_de_Impressão</vt:lpstr>
      <vt:lpstr>Projetos_DD!Títulos_de_Impressão</vt:lpstr>
      <vt:lpstr>Saidas_DD!Títulos_de_Impressão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RG-SGQ-11 Design e Desenvolvimento de Produtos</dc:title>
  <dc:subject>SGQ NP EN ISO 9001:2026 — Plasticom</dc:subject>
  <dc:creator>Gerente da Qualidade</dc:creator>
  <cp:lastModifiedBy>Aline Meireles</cp:lastModifiedBy>
  <dcterms:created xsi:type="dcterms:W3CDTF">2026-09-30T16:46:50Z</dcterms:created>
  <dcterms:modified xsi:type="dcterms:W3CDTF">2026-09-30T16:47:13Z</dcterms:modified>
</cp:coreProperties>
</file>