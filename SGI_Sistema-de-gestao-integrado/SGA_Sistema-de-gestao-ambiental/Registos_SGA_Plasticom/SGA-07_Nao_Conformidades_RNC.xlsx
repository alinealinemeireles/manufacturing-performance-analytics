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EB7816F6-1161-4698-825D-C01FD971AC3B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Registo_NC" sheetId="2" r:id="rId2"/>
    <sheet name="Cinco_Porques" sheetId="3" r:id="rId3"/>
    <sheet name="RNC_Formulario" sheetId="4" r:id="rId4"/>
    <sheet name="Indicadores_NC" sheetId="5" r:id="rId5"/>
    <sheet name="Registo_Incidentes" sheetId="6" r:id="rId6"/>
    <sheet name="Listas" sheetId="7" r:id="rId7"/>
    <sheet name="Dicionario_Dados" sheetId="8" r:id="rId8"/>
  </sheets>
  <definedNames>
    <definedName name="DataRef">Listas!$A$3</definedName>
    <definedName name="lst_Cat6M">Listas!$G$3:$G$8</definedName>
    <definedName name="lst_Classificacao">Listas!$E$3:$E$5</definedName>
    <definedName name="lst_DataReferencia">Listas!$A$3:$A$3</definedName>
    <definedName name="lst_Eficacia">Listas!$J$3:$J$5</definedName>
    <definedName name="lst_Estado">Listas!$I$3:$I$5</definedName>
    <definedName name="lst_Funcao">Listas!$L$3:$L$24</definedName>
    <definedName name="lst_INC_Cond">Listas!$O$3:$O$4</definedName>
    <definedName name="lst_INC_Estado">Listas!$R$3:$R$5</definedName>
    <definedName name="lst_INC_Meio">Listas!$N$3:$N$10</definedName>
    <definedName name="lst_INC_SimNao">Listas!$Q$3:$Q$4</definedName>
    <definedName name="lst_INC_Tipo">Listas!$M$3:$M$11</definedName>
    <definedName name="lst_INC_Turno">Listas!$P$3:$P$5</definedName>
    <definedName name="lst_Metodo">Listas!$H$3:$H$6</definedName>
    <definedName name="lst_Origem">Listas!$B$3:$B$10</definedName>
    <definedName name="lst_Processo">Listas!$C$3:$C$18</definedName>
    <definedName name="lst_Severidade">Listas!$F$3:$F$5</definedName>
    <definedName name="lst_SimNao">Listas!$K$3:$K$4</definedName>
    <definedName name="lst_TipoRegisto">Listas!$D$3:$D$5</definedName>
    <definedName name="_xlnm.Print_Titles" localSheetId="2">Cinco_Porques!$1:$1</definedName>
    <definedName name="_xlnm.Print_Titles" localSheetId="5">Registo_Incidentes!$4:$4</definedName>
    <definedName name="_xlnm.Print_Titles" localSheetId="1">Registo_NC!$4:$4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5" i="6" l="1"/>
  <c r="C65" i="6"/>
  <c r="X64" i="6"/>
  <c r="C64" i="6"/>
  <c r="X63" i="6"/>
  <c r="C63" i="6"/>
  <c r="X62" i="6"/>
  <c r="C62" i="6"/>
  <c r="X61" i="6"/>
  <c r="C61" i="6"/>
  <c r="X60" i="6"/>
  <c r="C60" i="6"/>
  <c r="X59" i="6"/>
  <c r="C59" i="6"/>
  <c r="X58" i="6"/>
  <c r="C58" i="6"/>
  <c r="X57" i="6"/>
  <c r="C57" i="6"/>
  <c r="X56" i="6"/>
  <c r="C56" i="6"/>
  <c r="X55" i="6"/>
  <c r="C55" i="6"/>
  <c r="X54" i="6"/>
  <c r="C54" i="6"/>
  <c r="X53" i="6"/>
  <c r="C53" i="6"/>
  <c r="X52" i="6"/>
  <c r="C52" i="6"/>
  <c r="X51" i="6"/>
  <c r="C51" i="6"/>
  <c r="X50" i="6"/>
  <c r="C50" i="6"/>
  <c r="X49" i="6"/>
  <c r="C49" i="6"/>
  <c r="X48" i="6"/>
  <c r="C48" i="6"/>
  <c r="X47" i="6"/>
  <c r="C47" i="6"/>
  <c r="X46" i="6"/>
  <c r="C46" i="6"/>
  <c r="X45" i="6"/>
  <c r="C45" i="6"/>
  <c r="X44" i="6"/>
  <c r="C44" i="6"/>
  <c r="X43" i="6"/>
  <c r="C43" i="6"/>
  <c r="X42" i="6"/>
  <c r="C42" i="6"/>
  <c r="X41" i="6"/>
  <c r="C41" i="6"/>
  <c r="X40" i="6"/>
  <c r="C40" i="6"/>
  <c r="X39" i="6"/>
  <c r="C39" i="6"/>
  <c r="X38" i="6"/>
  <c r="C38" i="6"/>
  <c r="X37" i="6"/>
  <c r="C37" i="6"/>
  <c r="X36" i="6"/>
  <c r="C36" i="6"/>
  <c r="X35" i="6"/>
  <c r="C35" i="6"/>
  <c r="X34" i="6"/>
  <c r="C34" i="6"/>
  <c r="X33" i="6"/>
  <c r="C33" i="6"/>
  <c r="X32" i="6"/>
  <c r="C32" i="6"/>
  <c r="X31" i="6"/>
  <c r="C31" i="6"/>
  <c r="X30" i="6"/>
  <c r="C30" i="6"/>
  <c r="X29" i="6"/>
  <c r="C29" i="6"/>
  <c r="X28" i="6"/>
  <c r="C28" i="6"/>
  <c r="X27" i="6"/>
  <c r="C27" i="6"/>
  <c r="X26" i="6"/>
  <c r="C26" i="6"/>
  <c r="X25" i="6"/>
  <c r="C25" i="6"/>
  <c r="X24" i="6"/>
  <c r="C24" i="6"/>
  <c r="X23" i="6"/>
  <c r="C23" i="6"/>
  <c r="X22" i="6"/>
  <c r="C22" i="6"/>
  <c r="X21" i="6"/>
  <c r="C21" i="6"/>
  <c r="X20" i="6"/>
  <c r="C20" i="6"/>
  <c r="X19" i="6"/>
  <c r="C19" i="6"/>
  <c r="X18" i="6"/>
  <c r="C18" i="6"/>
  <c r="X17" i="6"/>
  <c r="C17" i="6"/>
  <c r="X16" i="6"/>
  <c r="C16" i="6"/>
  <c r="X15" i="6"/>
  <c r="C15" i="6"/>
  <c r="X14" i="6"/>
  <c r="C14" i="6"/>
  <c r="X13" i="6"/>
  <c r="C13" i="6"/>
  <c r="X12" i="6"/>
  <c r="C12" i="6"/>
  <c r="X11" i="6"/>
  <c r="C11" i="6"/>
  <c r="X10" i="6"/>
  <c r="C10" i="6"/>
  <c r="X9" i="6"/>
  <c r="C9" i="6"/>
  <c r="X8" i="6"/>
  <c r="C8" i="6"/>
  <c r="X7" i="6"/>
  <c r="C7" i="6"/>
  <c r="X6" i="6"/>
  <c r="C6" i="6"/>
  <c r="X5" i="6"/>
  <c r="C5" i="6"/>
  <c r="B15" i="5"/>
  <c r="B14" i="5"/>
  <c r="B13" i="5"/>
  <c r="E11" i="5"/>
  <c r="D11" i="5"/>
  <c r="C11" i="5"/>
  <c r="B11" i="5"/>
  <c r="E10" i="5"/>
  <c r="D10" i="5"/>
  <c r="C10" i="5"/>
  <c r="B10" i="5"/>
  <c r="D9" i="5"/>
  <c r="C9" i="5"/>
  <c r="B9" i="5"/>
  <c r="E8" i="5"/>
  <c r="D8" i="5"/>
  <c r="C8" i="5"/>
  <c r="B8" i="5"/>
  <c r="D7" i="5"/>
  <c r="C7" i="5"/>
  <c r="B7" i="5"/>
  <c r="E6" i="5"/>
  <c r="D6" i="5"/>
  <c r="C6" i="5"/>
  <c r="B6" i="5"/>
  <c r="D5" i="5"/>
  <c r="C5" i="5"/>
  <c r="B5" i="5"/>
  <c r="D4" i="5"/>
  <c r="C4" i="5"/>
  <c r="B4" i="5"/>
  <c r="B31" i="4"/>
  <c r="B30" i="4"/>
  <c r="B29" i="4"/>
  <c r="B28" i="4"/>
  <c r="B27" i="4"/>
  <c r="B26" i="4"/>
  <c r="B25" i="4"/>
  <c r="B24" i="4"/>
  <c r="B14" i="4"/>
  <c r="B13" i="4"/>
  <c r="B12" i="4"/>
  <c r="B11" i="4"/>
  <c r="B10" i="4"/>
  <c r="B9" i="4"/>
  <c r="B8" i="4"/>
  <c r="B7" i="4"/>
  <c r="B6" i="4"/>
  <c r="C13" i="3"/>
  <c r="C12" i="3"/>
  <c r="C11" i="3"/>
  <c r="C10" i="3"/>
  <c r="C9" i="3"/>
  <c r="C8" i="3"/>
  <c r="C7" i="3"/>
  <c r="C6" i="3"/>
  <c r="C5" i="3"/>
  <c r="C4" i="3"/>
  <c r="C3" i="3"/>
  <c r="C2" i="3"/>
  <c r="A22" i="4" s="1"/>
  <c r="AF19" i="2"/>
  <c r="Z19" i="2"/>
  <c r="Y19" i="2"/>
  <c r="R19" i="2"/>
  <c r="AF18" i="2"/>
  <c r="Z18" i="2"/>
  <c r="Y18" i="2"/>
  <c r="R18" i="2"/>
  <c r="AF17" i="2"/>
  <c r="Z17" i="2"/>
  <c r="Y17" i="2"/>
  <c r="R17" i="2"/>
  <c r="AF16" i="2"/>
  <c r="Z16" i="2"/>
  <c r="Y16" i="2"/>
  <c r="R16" i="2"/>
  <c r="AF15" i="2"/>
  <c r="Z15" i="2"/>
  <c r="Y15" i="2"/>
  <c r="R15" i="2"/>
  <c r="AF14" i="2"/>
  <c r="Z14" i="2"/>
  <c r="Y14" i="2"/>
  <c r="R14" i="2"/>
  <c r="AF13" i="2"/>
  <c r="Z13" i="2"/>
  <c r="Y13" i="2"/>
  <c r="R13" i="2"/>
  <c r="AF12" i="2"/>
  <c r="Z12" i="2"/>
  <c r="Y12" i="2"/>
  <c r="R12" i="2"/>
  <c r="AF11" i="2"/>
  <c r="Z11" i="2"/>
  <c r="Y11" i="2"/>
  <c r="E4" i="5" s="1"/>
  <c r="R11" i="2"/>
  <c r="AF10" i="2"/>
  <c r="Z10" i="2"/>
  <c r="Y10" i="2"/>
  <c r="R10" i="2"/>
  <c r="AF9" i="2"/>
  <c r="Z9" i="2"/>
  <c r="Y9" i="2"/>
  <c r="R9" i="2"/>
  <c r="AF8" i="2"/>
  <c r="Z8" i="2"/>
  <c r="Y8" i="2"/>
  <c r="R8" i="2"/>
  <c r="AF7" i="2"/>
  <c r="Z7" i="2"/>
  <c r="Y7" i="2"/>
  <c r="E9" i="5" s="1"/>
  <c r="R7" i="2"/>
  <c r="AF6" i="2"/>
  <c r="Z6" i="2"/>
  <c r="Y6" i="2"/>
  <c r="E7" i="5" s="1"/>
  <c r="R6" i="2"/>
  <c r="AF5" i="2"/>
  <c r="Z5" i="2"/>
  <c r="Y5" i="2"/>
  <c r="E5" i="5" s="1"/>
  <c r="R5" i="2"/>
  <c r="B18" i="4" l="1"/>
  <c r="B22" i="4"/>
  <c r="B19" i="4"/>
  <c r="B20" i="4"/>
  <c r="D18" i="4"/>
  <c r="D19" i="4"/>
  <c r="D20" i="4"/>
  <c r="D21" i="4"/>
  <c r="D22" i="4"/>
  <c r="B21" i="4"/>
  <c r="F18" i="4"/>
  <c r="F19" i="4"/>
  <c r="F20" i="4"/>
  <c r="F21" i="4"/>
  <c r="F22" i="4"/>
  <c r="A18" i="4"/>
  <c r="A19" i="4"/>
  <c r="A20" i="4"/>
  <c r="A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Identificador da NC/incidente.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Data de deteção.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Como foi detetada.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ID da ronda, constatação, requisito ou incidente.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Local exato.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NC, incidente ou reclamação.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NC Maior / Menor / Legal.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Cláusula ISO 14001:2026 e/ou diploma legal.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Descrição da NC.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Evidência (o que se viu, documento, data).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Consequência ambiental/legal potencial.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Severidade.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Correção imediata (controlar e corrigir; lidar com as consequências).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Causa raiz identificada.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Categoria Ishikawa.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Método de análise de causa.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N.º de níveis de 'porquê' registados na tabela 5 Porquês.
[calculado]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Ação de correção no PAM.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Ação corretiva no PAM.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Prazo de tratamento.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Data de fecho.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Dias entre deteção e fecho (ou até à data de referência).
[calculado]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Fechada dentro do prazo?
[calculado]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Resultado da verificação de eficácia.</t>
        </r>
      </text>
    </comment>
    <comment ref="AB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Data da verificação de eficácia.</t>
        </r>
      </text>
    </comment>
    <comment ref="AC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Repetição de NC anterior.</t>
        </r>
      </text>
    </comment>
    <comment ref="AD4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Custo associado (correção + ações).</t>
        </r>
      </text>
    </comment>
    <comment ref="AE4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Quem detetou.</t>
        </r>
      </text>
    </comment>
    <comment ref="AF4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Regras de qualidade do registo.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NC analisada.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Nível do porquê (1 a 5).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Chave técnica (NC|nível).
[calculado]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Pergunta 'Porquê...?'.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Resposta.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Evidência que confirma a resposta.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Sim no nível que é a causa raiz.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Identificador do incidente (INC-AAAA-nn).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Data da ocorrência.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Automático aaaamm (para séries temporais; numérico para funcionar em Excel de qualquer idioma).
[calculado]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Tipo de incidente.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Local.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O que aconteceu.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Substância / fluxo envolvido.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Quantidade libertada.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Meio afetado.</t>
        </r>
      </text>
    </comment>
    <comment ref="L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Se foi contido sem atingir o meio exterior.</t>
        </r>
      </text>
    </comment>
    <comment ref="M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1 mínima … 5 muito grave.</t>
        </r>
      </text>
    </comment>
    <comment ref="N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Condição anormal ou de emergência (ISO 14001:2026 6.1.2).</t>
        </r>
      </text>
    </comment>
    <comment ref="O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Se foi comunicado a autoridade/entidade gestora.</t>
        </r>
      </text>
    </comment>
    <comment ref="P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Cenário de emergência (RG-SGA-12).</t>
        </r>
      </text>
    </comment>
    <comment ref="Q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Aspeto ambiental.</t>
        </r>
      </text>
    </comment>
    <comment ref="R4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Resposta e contenção.</t>
        </r>
      </text>
    </comment>
    <comment ref="S4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NC aberta (quando aplicável).</t>
        </r>
      </text>
    </comment>
    <comment ref="T4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Custo direto (limpeza, reparação, resíduos).</t>
        </r>
      </text>
    </comment>
    <comment ref="U4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Quem reportou.</t>
        </r>
      </text>
    </comment>
    <comment ref="V4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Turno (vazio se externo).</t>
        </r>
      </text>
    </comment>
    <comment ref="W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X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Automático.
[calculado]</t>
        </r>
      </text>
    </comment>
  </commentList>
</comments>
</file>

<file path=xl/sharedStrings.xml><?xml version="1.0" encoding="utf-8"?>
<sst xmlns="http://schemas.openxmlformats.org/spreadsheetml/2006/main" count="1513" uniqueCount="652">
  <si>
    <t>RG-SGA-07 — Relatórios de Não Conformidade, Incidentes e Ações Corretivas (RNC)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</si>
  <si>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</si>
  <si>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</si>
  <si>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</si>
  <si>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RG-SGA-07</t>
  </si>
  <si>
    <t>Título</t>
  </si>
  <si>
    <t>Relatórios de Não Conformidade, Incidentes e Ações Corretivas (RNC)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</si>
  <si>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</si>
  <si>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</si>
  <si>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</si>
  <si>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</si>
  <si>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</si>
  <si>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</si>
  <si>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</si>
  <si>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</si>
  <si>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</si>
  <si>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</si>
  <si>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</si>
  <si>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</si>
  <si>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</si>
  <si>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</si>
  <si>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</si>
  <si>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Registar cada não conformidade e incidente ambiental com evidência objetiva, requisito violado, correção imediata, análise de causa raiz (5 Porquês em formato de tabela), ligação às ações C1/C2 no PAM, prazo, fecho e verificação da eficácia. Inclui histórico de 2025-2026 para análise de tempos de resposta, recorrência e eficácia.</t>
  </si>
  <si>
    <t>Atividades do curso</t>
  </si>
  <si>
    <t>Atividade 6.1 — Tarefa 1 (5 Porquês do kit antipoluição, NC-SGA-26-03) e registo das NC originadas nas Atividades 3.3 e 5.3.</t>
  </si>
  <si>
    <t>Requisitos ISO 14001:2026</t>
  </si>
  <si>
    <t>10.2 Não conformidade e ação corretiva (ISO 14001:2026: reagir, controlar e corrigir, lidar com as consequências, avaliar a necessidade de eliminar a causa, rever a eficácia); 8.2; 9.1.2</t>
  </si>
  <si>
    <t>ESTRUTURA DO FICHEIRO</t>
  </si>
  <si>
    <t>Registo_NC</t>
  </si>
  <si>
    <t>Registo de não conformidades e incidentes ambientais (1 linha por NC).</t>
  </si>
  <si>
    <t>Cinco_Porques</t>
  </si>
  <si>
    <t>Análise dos 5 Porquês em formato longo (1 linha por nível) — permite análise de texto e de padrões de causa.</t>
  </si>
  <si>
    <t>RNC_Formulario</t>
  </si>
  <si>
    <t>Relatório de Não Conformidade (formato de impressão) da NC selecionada em B5 — por defeito NC-SGA-26-03 (Atividade 6.1).</t>
  </si>
  <si>
    <t>Indicadores_NC</t>
  </si>
  <si>
    <t>Indicadores calculados: NC por origem e estado, tempo médio de fecho, eficácia e recorrência.</t>
  </si>
  <si>
    <t>Registo_Incidentes</t>
  </si>
  <si>
    <t>Registo de incidentes, quase-incidentes, condições anormais e reclamações ambientais (1 linha por ocorrência).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</si>
  <si>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</si>
  <si>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</si>
  <si>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</si>
  <si>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</si>
  <si>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</si>
  <si>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</si>
  <si>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</si>
  <si>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</si>
  <si>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</si>
  <si>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</si>
  <si>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</si>
  <si>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</si>
  <si>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</si>
  <si>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</si>
  <si>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</si>
  <si>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</si>
  <si>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</si>
  <si>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</si>
  <si>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RG-SGA-06 PAM</t>
  </si>
  <si>
    <t>ID_PAM_C1 / ID_PAM_C2 ligam as ações de correção e corretivas.</t>
  </si>
  <si>
    <t>RG-SGA-10 Rondas / RG-SGA-14 Auditoria / RG-SGA-04 Legal</t>
  </si>
  <si>
    <t>ID_Origem indica o registo que detetou a NC.</t>
  </si>
  <si>
    <t>REGISTO DE NÃO CONFORMIDADES E INCIDENTES AMBIENTAIS — PLASTICOM</t>
  </si>
  <si>
    <t>Reagir → corrigir (C1) → analisar a causa → ação corretiva (C2) → verificar a eficácia · Dias, prazo e controlo de qualidade calculados</t>
  </si>
  <si>
    <t>ID_NC</t>
  </si>
  <si>
    <t>Data_Detecao</t>
  </si>
  <si>
    <t>Origem</t>
  </si>
  <si>
    <t>ID_Origem</t>
  </si>
  <si>
    <t>Processo</t>
  </si>
  <si>
    <t>Local</t>
  </si>
  <si>
    <t>Tipo_Registo</t>
  </si>
  <si>
    <t>Classificacao</t>
  </si>
  <si>
    <t>Requisito_Violado</t>
  </si>
  <si>
    <t>Descricao</t>
  </si>
  <si>
    <t>Evidencia_Objetiva</t>
  </si>
  <si>
    <t>Impacte_Potencial</t>
  </si>
  <si>
    <t>Severidade</t>
  </si>
  <si>
    <t>Correcao_C1</t>
  </si>
  <si>
    <t>Causa_Raiz</t>
  </si>
  <si>
    <t>Categoria_6M</t>
  </si>
  <si>
    <t>Metodo_Analise</t>
  </si>
  <si>
    <t>N_Porques</t>
  </si>
  <si>
    <t>ID_PAM_C1</t>
  </si>
  <si>
    <t>ID_PAM_C2</t>
  </si>
  <si>
    <t>Responsavel</t>
  </si>
  <si>
    <t>Prazo</t>
  </si>
  <si>
    <t>Data_Fecho</t>
  </si>
  <si>
    <t>Dias_Aberta</t>
  </si>
  <si>
    <t>No_Prazo</t>
  </si>
  <si>
    <t>Eficacia</t>
  </si>
  <si>
    <t>Data_Verif_Eficacia</t>
  </si>
  <si>
    <t>Recorrente</t>
  </si>
  <si>
    <t>Custo_EUR</t>
  </si>
  <si>
    <t>Reportado_Por</t>
  </si>
  <si>
    <t>Controlo_Qualidade</t>
  </si>
  <si>
    <t>NC-SGA-25-01</t>
  </si>
  <si>
    <t>Auditoria interna</t>
  </si>
  <si>
    <t>AUD-2025-01</t>
  </si>
  <si>
    <t>ARQ</t>
  </si>
  <si>
    <t>Armazém de químicos</t>
  </si>
  <si>
    <t>Não conformidade</t>
  </si>
  <si>
    <t>NC Menor</t>
  </si>
  <si>
    <t>6.1.3 / REACH-CLP</t>
  </si>
  <si>
    <t>5 FDS em falta no ponto de uso da serigrafia.</t>
  </si>
  <si>
    <t>Dossier de FDS da SS-001 sem as FDS de 5 tintas novas.</t>
  </si>
  <si>
    <t>Exposição e resposta inadequada em derrame.</t>
  </si>
  <si>
    <t>Baixa</t>
  </si>
  <si>
    <t>Imprimir e colocar as 5 FDS no posto.</t>
  </si>
  <si>
    <t>Receção de novos químicos sem verificação de FDS.</t>
  </si>
  <si>
    <t>Método</t>
  </si>
  <si>
    <t>5 Porquês</t>
  </si>
  <si>
    <t>Responsável de Armazém e Logística</t>
  </si>
  <si>
    <t>Fechada</t>
  </si>
  <si>
    <t>Eficaz</t>
  </si>
  <si>
    <t>Não</t>
  </si>
  <si>
    <t>Auditor interno</t>
  </si>
  <si>
    <t>NC-SGA-25-02</t>
  </si>
  <si>
    <t>Avaliação da conformidade legal</t>
  </si>
  <si>
    <t>LEG-13</t>
  </si>
  <si>
    <t>PRS</t>
  </si>
  <si>
    <t>Parque de resíduos</t>
  </si>
  <si>
    <t>NC Legal</t>
  </si>
  <si>
    <t>Portaria 145/2017 (e-GAR)</t>
  </si>
  <si>
    <t>2 e-GAR de setembro sem confirmação de receção pelo destinatário após 30 dias.</t>
  </si>
  <si>
    <t>Consulta SILiAmb de 14/10/2025.</t>
  </si>
  <si>
    <t>Rastreabilidade de resíduos incompleta.</t>
  </si>
  <si>
    <t>Média</t>
  </si>
  <si>
    <t>Contactar o operador e obter a confirmação no SILiAmb.</t>
  </si>
  <si>
    <t>Sem conferência mensal das e-GAR.</t>
  </si>
  <si>
    <t>Gestor do SGA</t>
  </si>
  <si>
    <t>NC-SGA-25-03</t>
  </si>
  <si>
    <t>Incidente ambiental</t>
  </si>
  <si>
    <t>INC-2025-07</t>
  </si>
  <si>
    <t>UTL</t>
  </si>
  <si>
    <t>Chiller CH-01</t>
  </si>
  <si>
    <t>8.1 / Reg. (UE) 2024/573</t>
  </si>
  <si>
    <t>Fuga de 3,2 kg de R410A no chiller CH-01 (6,7 tCO2e).</t>
  </si>
  <si>
    <t>Relatório do técnico certificado de 18/11/2025.</t>
  </si>
  <si>
    <t>Emissão de gás com efeito de estufa.</t>
  </si>
  <si>
    <t>Reparação da brasagem e reposição de carga por técnico certificado.</t>
  </si>
  <si>
    <t>Corrosão de uma brasagem por vibração (suporte sem amortecedor).</t>
  </si>
  <si>
    <t>Máquina</t>
  </si>
  <si>
    <t>Ishikawa</t>
  </si>
  <si>
    <t>Gerente de Manutenção</t>
  </si>
  <si>
    <t>Técnico de manutenção</t>
  </si>
  <si>
    <t>NC-SGA-26-00</t>
  </si>
  <si>
    <t>INC-2026-02</t>
  </si>
  <si>
    <t>SOP</t>
  </si>
  <si>
    <t>ISBM-005</t>
  </si>
  <si>
    <t>8.1</t>
  </si>
  <si>
    <t>Fuga de ≈ 15 L de óleo hidráulico da ISBM-005 para o pavimento (contida com absorventes).</t>
  </si>
  <si>
    <t>Registo de incidente e ordem de trabalho de 11/02/2026.</t>
  </si>
  <si>
    <t>Contaminação do solo (contida).</t>
  </si>
  <si>
    <t>Contenção com absorventes; limpeza; encaminhamento 15 02 02*.</t>
  </si>
  <si>
    <t>Mangueira hidráulica envelhecida sem substituição preventiva por horas de operação.</t>
  </si>
  <si>
    <t>Operador de sopro</t>
  </si>
  <si>
    <t>NC-SGA-26-01</t>
  </si>
  <si>
    <t>LEG-05</t>
  </si>
  <si>
    <t>Sala de compressores</t>
  </si>
  <si>
    <t>DL 9/2007 (RGR); 6.3</t>
  </si>
  <si>
    <t>Sem avaliação acústica após a substituição dos compressores (fev/2026).</t>
  </si>
  <si>
    <t>Último relatório acústico AC-2023-041 (09/2023).</t>
  </si>
  <si>
    <t>Incomodidade da vizinhança; coima.</t>
  </si>
  <si>
    <t>Contratar avaliação acústica (PAM-26-03).</t>
  </si>
  <si>
    <t>Gestão de mudanças sem checklist ambiental/legal.</t>
  </si>
  <si>
    <t>PAM-26-03</t>
  </si>
  <si>
    <t>PAM-26-17</t>
  </si>
  <si>
    <t>Gestor do SGA / EHS (Responsável Ambiental)</t>
  </si>
  <si>
    <t>Por avaliar</t>
  </si>
  <si>
    <t>NC-SGA-26-02</t>
  </si>
  <si>
    <t>LEG-09</t>
  </si>
  <si>
    <t>RD</t>
  </si>
  <si>
    <t>R&amp;D / Dossier de produto</t>
  </si>
  <si>
    <t>Reg. (UE) 2025/40 (PPWR); 6.1.3</t>
  </si>
  <si>
    <t>Só 9 de 22 famílias com documentação técnica e declaração UE de conformidade PPWR.</t>
  </si>
  <si>
    <t>Lista de dossiers de 10/09/2026.</t>
  </si>
  <si>
    <t>Impossibilidade de colocar no mercado; coima.</t>
  </si>
  <si>
    <t>Alta</t>
  </si>
  <si>
    <t>Priorizar as famílias de maior volume.</t>
  </si>
  <si>
    <t>Vigilância legal sem regulamentos europeus de produto.</t>
  </si>
  <si>
    <t>PAM-26-10</t>
  </si>
  <si>
    <t>Responsável de R&amp;D</t>
  </si>
  <si>
    <t>Em tratamento</t>
  </si>
  <si>
    <t>NC-SGA-26-03</t>
  </si>
  <si>
    <t>Ronda ambiental</t>
  </si>
  <si>
    <t>RON-06</t>
  </si>
  <si>
    <t>INJ</t>
  </si>
  <si>
    <t>Zona entre injeção e serigrafia (kit KIT-03)</t>
  </si>
  <si>
    <t>8.2; 7.2; 7.3</t>
  </si>
  <si>
    <t>Kit antipoluição com selo quebrado, praticamente vazio e sem qualquer registo de utilização.</t>
  </si>
  <si>
    <t>Ronda ambiental mensal de 15/09/2026: KIT-03 com 1 de 12 almofadas absorventes, sem barreiras nem luvas; selo partido; registo de incidentes sem entradas desde 02/2026.</t>
  </si>
  <si>
    <t>Derrame não contido no próximo evento; derrame anterior não investigado.</t>
  </si>
  <si>
    <t>Reposição imediata e selagem (PAM-26-04).</t>
  </si>
  <si>
    <t>IT-SGA-01 sem etapa pós-uso, sem stock mínimo nem responsável pela reposição; formação não cobre o ciclo pós-utilização.</t>
  </si>
  <si>
    <t>PAM-26-04</t>
  </si>
  <si>
    <t>PAM-26-05</t>
  </si>
  <si>
    <t>Gestor do SGA (ronda)</t>
  </si>
  <si>
    <t>NC-SGA-26-04</t>
  </si>
  <si>
    <t>CONST-01</t>
  </si>
  <si>
    <t>3 bidões de 200 L de óleo hidráulico novo no chão, sem bacia de retenção.</t>
  </si>
  <si>
    <t>Observação direta na auditoria de 16/09/2026 (fotografia AUD-01-F03).</t>
  </si>
  <si>
    <t>Contaminação do solo em caso de rotura.</t>
  </si>
  <si>
    <t>Transferir os bidões para bacia provisória.</t>
  </si>
  <si>
    <t>Capacidade de retenção não dimensionada para o stock máximo.</t>
  </si>
  <si>
    <t>Material</t>
  </si>
  <si>
    <t>PAM-26-19</t>
  </si>
  <si>
    <t>NC-SGA-26-05</t>
  </si>
  <si>
    <t>CONST-03</t>
  </si>
  <si>
    <t>8.1; DL 102-D/2020</t>
  </si>
  <si>
    <t>Contentor de absorventes contaminados (15 02 02*) sem identificação LER e sem tampa.</t>
  </si>
  <si>
    <t>Observação direta (fotografia AUD-01-F07).</t>
  </si>
  <si>
    <t>Mistura de resíduos; escorrência em chuva.</t>
  </si>
  <si>
    <t>Colocar tampa e etiqueta provisória.</t>
  </si>
  <si>
    <t>Sem etiquetas padronizadas nem verificação na ronda.</t>
  </si>
  <si>
    <t>PAM-26-15</t>
  </si>
  <si>
    <t>NC-SGA-26-06</t>
  </si>
  <si>
    <t>CONST-05</t>
  </si>
  <si>
    <t>Manutenção / engenharia</t>
  </si>
  <si>
    <t>6.3 Planeamento de alterações</t>
  </si>
  <si>
    <t>Substituição dos compressores (fev/2026) sem avaliação de aspetos, requisitos legais e riscos.</t>
  </si>
  <si>
    <t>Pedido de investimento INV-2026-004 sem análise ambiental.</t>
  </si>
  <si>
    <t>Novos impactes não avaliados (ruído).</t>
  </si>
  <si>
    <t>—</t>
  </si>
  <si>
    <t>Processo de gestão de mudanças inexistente.</t>
  </si>
  <si>
    <t>NC-SGA-26-07</t>
  </si>
  <si>
    <t>CONST-06</t>
  </si>
  <si>
    <t>9.1.1</t>
  </si>
  <si>
    <t>Balança de plataforma do parque de resíduos sem verificação desde 03/2024.</t>
  </si>
  <si>
    <t>Etiqueta de verificação de 03/2024; plano de calibração sem o equipamento.</t>
  </si>
  <si>
    <t>Dados de resíduos (MIRR) pouco fiáveis.</t>
  </si>
  <si>
    <t>Suspender o uso da balança até à verificação (usar a balança da expedição).</t>
  </si>
  <si>
    <t>Inventário de equipamentos de medição ambiental incompleto.</t>
  </si>
  <si>
    <t>Medição</t>
  </si>
  <si>
    <t>PAM-26-20</t>
  </si>
  <si>
    <t>Gerente da Qualidade</t>
  </si>
  <si>
    <t>NC-SGA-26-08</t>
  </si>
  <si>
    <t>CONST-07</t>
  </si>
  <si>
    <t>SER</t>
  </si>
  <si>
    <t>Serigrafia SS-001</t>
  </si>
  <si>
    <t>7.2; 7.3</t>
  </si>
  <si>
    <t>Operador do turno 2 sem formação na instrução de limpeza de ecrãs; 2 latas de solvente abertas no posto.</t>
  </si>
  <si>
    <t>Entrevista e observação; matriz de competências sem registo.</t>
  </si>
  <si>
    <t>Emissões de COV e risco de incêndio.</t>
  </si>
  <si>
    <t>Fechar as latas; formação imediata no posto.</t>
  </si>
  <si>
    <t>Integração de operadores temporários sem formação ambiental.</t>
  </si>
  <si>
    <t>Mão de obra</t>
  </si>
  <si>
    <t>PAM-26-08</t>
  </si>
  <si>
    <t>Sim</t>
  </si>
  <si>
    <t>NC-SGA-26-09</t>
  </si>
  <si>
    <t>CONST-10</t>
  </si>
  <si>
    <t>GER</t>
  </si>
  <si>
    <t>Plano de emergência</t>
  </si>
  <si>
    <t>8.2</t>
  </si>
  <si>
    <t>Nunca foi feito simulacro de derrame; no simulacro de incêndio a válvula de corte pluvial demorou 9 min (meta ≤ 5 min).</t>
  </si>
  <si>
    <t>Relatório de simulacro de 14/11/2025; plano de simulacros 2026.</t>
  </si>
  <si>
    <t>Resposta ineficaz a emergência ambiental.</t>
  </si>
  <si>
    <t>Plano de simulacros só cobre requisitos SCIE (incêndio).</t>
  </si>
  <si>
    <t>PAM-26-21</t>
  </si>
  <si>
    <t>NC-SGA-26-10</t>
  </si>
  <si>
    <t>INC-2026-12</t>
  </si>
  <si>
    <t>Injetora IM-004</t>
  </si>
  <si>
    <t>8.1; 8.2</t>
  </si>
  <si>
    <t>Fuga de ≈ 8 L de óleo hidráulico da IM-004 para o pavimento, sem tabuleiro de retenção sob a unidade hidráulica.</t>
  </si>
  <si>
    <t>Ronda do turno 1 de 06/11/2026; fotografias; OT-2026-24.</t>
  </si>
  <si>
    <t>Contaminação do solo / rede pluvial se não contida.</t>
  </si>
  <si>
    <t>Contenção com o KIT-02, limpeza e resíduo 15 02 02* (OT-2026-24).</t>
  </si>
  <si>
    <t>Mangueiras hidráulicas das injetoras antigas fora do plano de substituição por horas (só a ISBM-005 tinha plano) e unidade hidráulica sem tabuleiro.</t>
  </si>
  <si>
    <t>Operador de Injeção</t>
  </si>
  <si>
    <t>NC-SGA-26-11</t>
  </si>
  <si>
    <t>CONST-14</t>
  </si>
  <si>
    <t>CMP</t>
  </si>
  <si>
    <t>Compras / R&amp;D</t>
  </si>
  <si>
    <t>8.1; 9.1.1; ISO 14021</t>
  </si>
  <si>
    <t>Lotes de rPET de jul a out/2026 recebidos com o certificado EN 15343 expirado e contados como reciclado no KPI e nas fichas técnicas.</t>
  </si>
  <si>
    <t>AUD-2026-02: CERT-03 expirado a 30/06/2026; 6 lotes de rPET sem prova.</t>
  </si>
  <si>
    <t>Alegação de conteúdo reciclado sem prova perante clientes.</t>
  </si>
  <si>
    <t>Lotes reclassificados como virgem no KPI; clientes afetados informados (2).</t>
  </si>
  <si>
    <t>O controlo de validade dos certificados não bloqueava a receção (verificação só anual).</t>
  </si>
  <si>
    <t>PAM-26-25</t>
  </si>
  <si>
    <t>Responsável de Compras</t>
  </si>
  <si>
    <t>Auditor externo</t>
  </si>
  <si>
    <t>Nivel</t>
  </si>
  <si>
    <t>Chave</t>
  </si>
  <si>
    <t>Pergunta_Porque</t>
  </si>
  <si>
    <t>Resposta</t>
  </si>
  <si>
    <t>Evidencia</t>
  </si>
  <si>
    <t>E_Causa_Raiz</t>
  </si>
  <si>
    <t>Porque é que o kit está vazio?</t>
  </si>
  <si>
    <t>Porque alguém o usou para conter um derrame (provavelmente óleo ou tinta na zona injeção/serigrafia, em agosto) e o conteúdo não foi reposto.</t>
  </si>
  <si>
    <t>Selo partido; absorventes em falta; manchas de óleo junto à IM-006.</t>
  </si>
  <si>
    <t>Porque é que não foi reposto?</t>
  </si>
  <si>
    <t>Porque quem o usou não avisou o armazém nem o Gestor do SGA e ninguém ficou responsável por repor.</t>
  </si>
  <si>
    <t>Nenhum pedido de material nem registo de incidente em ago–set/2026.</t>
  </si>
  <si>
    <t>Porque é que não avisou?</t>
  </si>
  <si>
    <t>Porque a IT-SGA-01 (derrames) termina na limpeza: não diz que é obrigatório registar o incidente, pedir reposição e voltar a selar.</t>
  </si>
  <si>
    <t>IT-SGA-01 rev. 00, passos 1 a 6.</t>
  </si>
  <si>
    <t>Porque é que a instrução não prevê o pós-uso?</t>
  </si>
  <si>
    <t>Porque foi escrita apenas para a resposta imediata; não existe stock mínimo de kits nem responsável pela reposição.</t>
  </si>
  <si>
    <t>Sem artigo 'kit de derrame' no stock do armazém.</t>
  </si>
  <si>
    <t>Porque é que a falha não foi detetada mais cedo?</t>
  </si>
  <si>
    <t>Porque a ronda só verificava se o kit estava no lugar (não o selo nem o conteúdo) e a formação de derrames ensinou a usar o kit, não o ciclo pós-utilização.</t>
  </si>
  <si>
    <t>Checklist RON-06 antigo: 'kit presente? S/N'; plano de formação 2025.</t>
  </si>
  <si>
    <t>Porque não existe avaliação acústica recente?</t>
  </si>
  <si>
    <t>Ninguém a pediu após a troca dos compressores.</t>
  </si>
  <si>
    <t>Pedido de investimento INV-2026-004.</t>
  </si>
  <si>
    <t>Porque ninguém a pediu?</t>
  </si>
  <si>
    <t>A alteração foi tratada só como investimento técnico.</t>
  </si>
  <si>
    <t>Aprovação pela Direção Industrial sem parecer do SGA.</t>
  </si>
  <si>
    <t>Porque não houve parecer do SGA?</t>
  </si>
  <si>
    <t>O pedido de alteração não tem checklist ambiental/legal.</t>
  </si>
  <si>
    <t>Formulário de investimento em vigor.</t>
  </si>
  <si>
    <t>Porque não tem checklist?</t>
  </si>
  <si>
    <t>O processo de planeamento de alterações (6.3 da ISO 14001:2026) ainda não foi implementado.</t>
  </si>
  <si>
    <t>Lista mestra de documentos sem procedimento de mudanças.</t>
  </si>
  <si>
    <t>Porque estão os bidões no chão?</t>
  </si>
  <si>
    <t>As bacias existentes estavam cheias.</t>
  </si>
  <si>
    <t>2 bacias com 4 bidões; 3 bidões fora.</t>
  </si>
  <si>
    <t>Porque estavam cheias?</t>
  </si>
  <si>
    <t>A compra de óleo passou a ser feita em lotes de 5 bidões por causa do desconto.</t>
  </si>
  <si>
    <t>Encomenda de 08/2026.</t>
  </si>
  <si>
    <t>Porque não se ajustou a contenção?</t>
  </si>
  <si>
    <t>O processo de compras não considera a capacidade de armazenagem com retenção.</t>
  </si>
  <si>
    <t>Procedimento de compras sem critério de armazenagem.</t>
  </si>
  <si>
    <t>PLASTICOM</t>
  </si>
  <si>
    <t>RELATÓRIO DE NÃO CONFORMIDADE (RNC)</t>
  </si>
  <si>
    <t>Mod. RNC-SGA</t>
  </si>
  <si>
    <t>Plasticom — Unidade 1 (Marinha Grande, Portugal) · NP EN ISO 14001:2026</t>
  </si>
  <si>
    <t>Rev. 01 · 31/12/2026</t>
  </si>
  <si>
    <t>N.º da NC (escolher)</t>
  </si>
  <si>
    <t>Data de deteção</t>
  </si>
  <si>
    <t>Origem / referência</t>
  </si>
  <si>
    <t>Classificação</t>
  </si>
  <si>
    <t>Requisito violado</t>
  </si>
  <si>
    <t>Descrição</t>
  </si>
  <si>
    <t>Evidência objetiva</t>
  </si>
  <si>
    <t>Impacte potencial</t>
  </si>
  <si>
    <t>Correção imediata (C1)</t>
  </si>
  <si>
    <t>INVESTIGAÇÃO — 5 PORQUÊS</t>
  </si>
  <si>
    <t>Nível</t>
  </si>
  <si>
    <t>Pergunta</t>
  </si>
  <si>
    <t>Evidência</t>
  </si>
  <si>
    <t>CAUSA RAIZ</t>
  </si>
  <si>
    <t>Categoria (6M)</t>
  </si>
  <si>
    <t>Ação de correção (PAM)</t>
  </si>
  <si>
    <t>Ação corretiva (PAM)</t>
  </si>
  <si>
    <t>Responsável</t>
  </si>
  <si>
    <t>Verificação de eficácia prevista</t>
  </si>
  <si>
    <t>Elaborado: Gestor(a) do SGA/EHS</t>
  </si>
  <si>
    <t>Aprovado: Diretor Industrial</t>
  </si>
  <si>
    <t>INDICADORES DE NÃO CONFORMIDADES — calculado</t>
  </si>
  <si>
    <t>Total</t>
  </si>
  <si>
    <t>Abertas / em tratamento</t>
  </si>
  <si>
    <t>Fechadas</t>
  </si>
  <si>
    <t>Dias médios (fechadas)</t>
  </si>
  <si>
    <t>Auditoria externa</t>
  </si>
  <si>
    <t>Monitorização e medição</t>
  </si>
  <si>
    <t>Reclamação de parte interessada</t>
  </si>
  <si>
    <t>Simulacro</t>
  </si>
  <si>
    <t>Taxa de eficácia (fechadas verificadas)</t>
  </si>
  <si>
    <t>NC recorrentes</t>
  </si>
  <si>
    <t>Custo total das NC (€)</t>
  </si>
  <si>
    <t>REGISTO DE INCIDENTES E QUASE-INCIDENTES AMBIENTAIS</t>
  </si>
  <si>
    <t>Todos os incidentes são registados; os que exigem ação corretiva abrem NC (ID_NC) · Condição anormal ≠ emergência (ISO 14001:2026 6.1.2)</t>
  </si>
  <si>
    <t>ID_Incidente</t>
  </si>
  <si>
    <t>Data</t>
  </si>
  <si>
    <t>Ano_Mes</t>
  </si>
  <si>
    <t>Tipo</t>
  </si>
  <si>
    <t>Substancia</t>
  </si>
  <si>
    <t>Quantidade</t>
  </si>
  <si>
    <t>Unidade</t>
  </si>
  <si>
    <t>Meio_Afetado</t>
  </si>
  <si>
    <t>Contido_no_Local</t>
  </si>
  <si>
    <t>Severidade_1a5</t>
  </si>
  <si>
    <t>Condicao</t>
  </si>
  <si>
    <t>Comunicado_Autoridade</t>
  </si>
  <si>
    <t>ID_Cenario_EMG</t>
  </si>
  <si>
    <t>ID_Aspeto</t>
  </si>
  <si>
    <t>Resposta_Imediata</t>
  </si>
  <si>
    <t>Turno</t>
  </si>
  <si>
    <t>Classe_Gravidade</t>
  </si>
  <si>
    <t>INC-2025-01</t>
  </si>
  <si>
    <t>Quase-incidente</t>
  </si>
  <si>
    <t>Bidão de solvente de 25 L tombado por empilhador; tampa fechada, sem derrame.</t>
  </si>
  <si>
    <t>Solvente de limpeza</t>
  </si>
  <si>
    <t>L</t>
  </si>
  <si>
    <t>Nenhum</t>
  </si>
  <si>
    <t>Anormal</t>
  </si>
  <si>
    <t>EMG-01</t>
  </si>
  <si>
    <t>AA-005</t>
  </si>
  <si>
    <t>Bidão recolocado em bacia; corredor sinalizado.</t>
  </si>
  <si>
    <t>Operador de Armazém / Empilhador</t>
  </si>
  <si>
    <t>1</t>
  </si>
  <si>
    <t>Fechado</t>
  </si>
  <si>
    <t>INC-2025-02</t>
  </si>
  <si>
    <t>Derrame</t>
  </si>
  <si>
    <t>Derrame de tinta durante a mudança de cor.</t>
  </si>
  <si>
    <t>Tinta de serigrafia</t>
  </si>
  <si>
    <t>Pavimento (contido)</t>
  </si>
  <si>
    <t>AA-017</t>
  </si>
  <si>
    <t>Absorvente do KIT-04; resíduo 15 02 02*.</t>
  </si>
  <si>
    <t>Operador de Serigrafia</t>
  </si>
  <si>
    <t>2</t>
  </si>
  <si>
    <t>INC-2025-03</t>
  </si>
  <si>
    <t>Perda de granulado</t>
  </si>
  <si>
    <t>REC</t>
  </si>
  <si>
    <t>Zona de descarga de big bags</t>
  </si>
  <si>
    <t>Big bag rasgado; parte do granulado arrastado pela chuva para a sarjeta.</t>
  </si>
  <si>
    <t>Granulado PP</t>
  </si>
  <si>
    <t>kg</t>
  </si>
  <si>
    <t>Rede pluvial</t>
  </si>
  <si>
    <t>EMG-06</t>
  </si>
  <si>
    <t>AA-003</t>
  </si>
  <si>
    <t>Varrimento e aspiração da sarjeta.</t>
  </si>
  <si>
    <t>Chefe de Turno</t>
  </si>
  <si>
    <t>INC-2025-04</t>
  </si>
  <si>
    <t>Reclamação externa</t>
  </si>
  <si>
    <t>Envolvente (vizinho a norte)</t>
  </si>
  <si>
    <t>Reclamação de odor a solvente durante a onda de calor.</t>
  </si>
  <si>
    <t>COV</t>
  </si>
  <si>
    <t>Ar</t>
  </si>
  <si>
    <t>AA-014</t>
  </si>
  <si>
    <t>Recipientes fechados; exaustão verificada; resposta ao reclamante (COM-EXT-2025-03).</t>
  </si>
  <si>
    <t>Comunidade / vizinhança</t>
  </si>
  <si>
    <t>INC-2025-05</t>
  </si>
  <si>
    <t>Fuga de óleo</t>
  </si>
  <si>
    <t>IM-003</t>
  </si>
  <si>
    <t>Fuga de óleo hidráulico no tabuleiro da máquina.</t>
  </si>
  <si>
    <t>Óleo hidráulico</t>
  </si>
  <si>
    <t>EMG-03</t>
  </si>
  <si>
    <t>AA-009</t>
  </si>
  <si>
    <t>Tabuleiro esvaziado; óleo 13 01 10*.</t>
  </si>
  <si>
    <t>3</t>
  </si>
  <si>
    <t>INC-2025-06</t>
  </si>
  <si>
    <t>Descarga anómala</t>
  </si>
  <si>
    <t>Torre de arrefecimento TR-01</t>
  </si>
  <si>
    <t>Bomba doseadora avariada: sobredosagem de biocida na purga para o coletor.</t>
  </si>
  <si>
    <t>Biocida (isotiazolinona)</t>
  </si>
  <si>
    <t>Coletor municipal</t>
  </si>
  <si>
    <t>Emergência</t>
  </si>
  <si>
    <t>EMG-05</t>
  </si>
  <si>
    <t>AA-024</t>
  </si>
  <si>
    <t>Purga fechada; entidade gestora notificada (COM-EXT-2025-05); bomba substituída (OT-2025-14).</t>
  </si>
  <si>
    <t>Técnico de Utilidades</t>
  </si>
  <si>
    <t>Fuga de gás fluorado</t>
  </si>
  <si>
    <t>Fuga de R410A detetada no controlo de fugas.</t>
  </si>
  <si>
    <t>R410A</t>
  </si>
  <si>
    <t>EMG-04</t>
  </si>
  <si>
    <t>AA-025</t>
  </si>
  <si>
    <t>Reparação da brasagem e recarga por técnico certificado (OT-2025-19).</t>
  </si>
  <si>
    <t>Técnico de Manutenção</t>
  </si>
  <si>
    <t>INC-2025-08</t>
  </si>
  <si>
    <t>Contentor de tinta residual (08 03 12*) sem tampa sob chuva, detetado em ronda.</t>
  </si>
  <si>
    <t>Tinta residual</t>
  </si>
  <si>
    <t>AA-027</t>
  </si>
  <si>
    <t>Tampa colocada; reforço na ronda RON-08.</t>
  </si>
  <si>
    <t>Auditor Interno do SGA</t>
  </si>
  <si>
    <t>INC-2026-01</t>
  </si>
  <si>
    <t>MAN</t>
  </si>
  <si>
    <t>Oficina de manutenção</t>
  </si>
  <si>
    <t>Derrame durante a mudança de óleo de um redutor.</t>
  </si>
  <si>
    <t>Óleo mineral</t>
  </si>
  <si>
    <t>AA-026</t>
  </si>
  <si>
    <t>Absorvente do KIT-02.</t>
  </si>
  <si>
    <t>Fuga de ≈ 15 L de óleo hidráulico para o pavimento (mangueira envelhecida).</t>
  </si>
  <si>
    <t>AA-013</t>
  </si>
  <si>
    <t>Contenção com absorventes; mangueira substituída (OT-2026-04).</t>
  </si>
  <si>
    <t>Operador de Sopro (ISBM)</t>
  </si>
  <si>
    <t>INC-2026-03</t>
  </si>
  <si>
    <t>Zona dos silos</t>
  </si>
  <si>
    <t>Perda na trasfega pneumática; sarjeta sem filtro recebeu granulado.</t>
  </si>
  <si>
    <t>Granulado HDPE</t>
  </si>
  <si>
    <t>Aspiração; pedido de filtros de sarjeta (PAM-26-11).</t>
  </si>
  <si>
    <t>INC-2026-04</t>
  </si>
  <si>
    <t>Armazém de MP</t>
  </si>
  <si>
    <t>Garfo do empilhador perfurou um big bag no interior; recolhido sem perdas para o exterior.</t>
  </si>
  <si>
    <t>Granulado PET</t>
  </si>
  <si>
    <t>Recolha; formação de manobra.</t>
  </si>
  <si>
    <t>INC-2026-05</t>
  </si>
  <si>
    <t>Serigrafia SS-002</t>
  </si>
  <si>
    <t>Derrame de solvente na limpeza de ecrãs.</t>
  </si>
  <si>
    <t>Absorvente; recipiente de segurança com fecho automático pedido.</t>
  </si>
  <si>
    <t>INC-2026-06</t>
  </si>
  <si>
    <t>Envolvente (habitações a sul)</t>
  </si>
  <si>
    <t>Reclamação de ruído noturno após a instalação dos compressores novos.</t>
  </si>
  <si>
    <t>Ruído</t>
  </si>
  <si>
    <t>AA-022</t>
  </si>
  <si>
    <t>Resposta ao reclamante (COM-EXT-2026-08); medição indicativa interna.</t>
  </si>
  <si>
    <t>INC-2026-07</t>
  </si>
  <si>
    <t>Segunda reclamação de ruído noturno (mesmo recetor).</t>
  </si>
  <si>
    <t>Avaliação acústica acreditada contratada (PAM-26-03); conforme em 28/10/2026.</t>
  </si>
  <si>
    <t>INC-2026-08</t>
  </si>
  <si>
    <t>Condição anormal</t>
  </si>
  <si>
    <t>Onda de calor: reposição de água +35% e alarme de temperatura dos moldes.</t>
  </si>
  <si>
    <t>Água de rede</t>
  </si>
  <si>
    <t>m³</t>
  </si>
  <si>
    <t>Recurso (água/energia)</t>
  </si>
  <si>
    <t>AA-023</t>
  </si>
  <si>
    <t>Redução de carga no pico; revisão do OBJ-05.</t>
  </si>
  <si>
    <t>INC-2026-09</t>
  </si>
  <si>
    <t>Big bag rasgado; 1 sarjeta sem filtro — granulado na rede pluvial.</t>
  </si>
  <si>
    <t>Aspiração da caixa pluvial; prioridade ao PAM-26-11.</t>
  </si>
  <si>
    <t>INC-2026-10</t>
  </si>
  <si>
    <t>Rede de ar comprimido</t>
  </si>
  <si>
    <t>Fuga em mangueira de ar comprimido (≈ 4 kW de perdas) sinalizada na ronda.</t>
  </si>
  <si>
    <t>Ar comprimido</t>
  </si>
  <si>
    <t>AA-021</t>
  </si>
  <si>
    <t>Mangueira substituída (OT-2026-17).</t>
  </si>
  <si>
    <t>INC-2026-11</t>
  </si>
  <si>
    <t>Zona entre injeção e serigrafia</t>
  </si>
  <si>
    <t>Derrame de tinta com o KIT-03 incompleto (absorventes em falta).</t>
  </si>
  <si>
    <t>Absorvente de outro kit; KIT-03 reposto em 16/09.</t>
  </si>
  <si>
    <t>Rutura de mangueira hidráulica: ≈ 8 L de óleo no pavimento sem tabuleiro de retenção sob a unidade hidráulica.</t>
  </si>
  <si>
    <t>Contenção com o KIT-02; mangueira substituída (OT-2026-24).</t>
  </si>
  <si>
    <t>INC-2026-13</t>
  </si>
  <si>
    <t>Empilhador tocou num IBC de óleo durante a arrumação; sem rutura.</t>
  </si>
  <si>
    <t>Marcação de corredor e batente de proteção instalados.</t>
  </si>
  <si>
    <t>LISTAS CONTROLADAS (domínios de validação de dados) — editar aqui para alterar opções</t>
  </si>
  <si>
    <t>DataReferencia</t>
  </si>
  <si>
    <t>TipoRegisto</t>
  </si>
  <si>
    <t>Cat6M</t>
  </si>
  <si>
    <t>Metodo</t>
  </si>
  <si>
    <t>SimNao</t>
  </si>
  <si>
    <t>Funcao</t>
  </si>
  <si>
    <t>INC_Tipo</t>
  </si>
  <si>
    <t>INC_Meio</t>
  </si>
  <si>
    <t>INC_Cond</t>
  </si>
  <si>
    <t>INC_Turno</t>
  </si>
  <si>
    <t>INC_SimNao</t>
  </si>
  <si>
    <t>INC_Estado</t>
  </si>
  <si>
    <t>NC Maior</t>
  </si>
  <si>
    <t>Aberta</t>
  </si>
  <si>
    <t>Diretor Geral (Gestão de Topo)</t>
  </si>
  <si>
    <t>Aberto</t>
  </si>
  <si>
    <t>Diretor Industrial</t>
  </si>
  <si>
    <t>Solo</t>
  </si>
  <si>
    <t>Em análise</t>
  </si>
  <si>
    <t>Reclamação</t>
  </si>
  <si>
    <t>5 Porquês + Ishikawa</t>
  </si>
  <si>
    <t>Não eficaz</t>
  </si>
  <si>
    <t>Análise de árvore de falhas</t>
  </si>
  <si>
    <t>Gerente de Produção</t>
  </si>
  <si>
    <t>HFS</t>
  </si>
  <si>
    <t>Meio ambiente</t>
  </si>
  <si>
    <t>Emissão / odor</t>
  </si>
  <si>
    <t>MOA</t>
  </si>
  <si>
    <t>Responsável de Recursos Humanos</t>
  </si>
  <si>
    <t>EXP</t>
  </si>
  <si>
    <t>Diretor Financeiro</t>
  </si>
  <si>
    <t>LAB</t>
  </si>
  <si>
    <t>ADM</t>
  </si>
  <si>
    <t>Operador de Hot Foil</t>
  </si>
  <si>
    <t>Representante dos Trabalhadores (SST/Ambiente)</t>
  </si>
  <si>
    <t>Técnico de Qualidade/Ambiente</t>
  </si>
  <si>
    <t>Folha</t>
  </si>
  <si>
    <t>Tabela</t>
  </si>
  <si>
    <t>Coluna</t>
  </si>
  <si>
    <t>Dominio_Unidade</t>
  </si>
  <si>
    <t>Obrigatorio</t>
  </si>
  <si>
    <t>tbl_nc</t>
  </si>
  <si>
    <t>Texto</t>
  </si>
  <si>
    <t>Entrada</t>
  </si>
  <si>
    <t>Identificador da NC/incidente.</t>
  </si>
  <si>
    <t>NC-SGA-AA-nn</t>
  </si>
  <si>
    <t>PK</t>
  </si>
  <si>
    <t>Data (aaaa-mm-dd)</t>
  </si>
  <si>
    <t>Data de deteção.</t>
  </si>
  <si>
    <t>Como foi detetada.</t>
  </si>
  <si>
    <t>Lista lst_Origem</t>
  </si>
  <si>
    <t>ID da ronda, constatação, requisito ou incidente.</t>
  </si>
  <si>
    <t>FK</t>
  </si>
  <si>
    <t>Processo.</t>
  </si>
  <si>
    <t>Lista lst_Processo</t>
  </si>
  <si>
    <t>FK → dim processo</t>
  </si>
  <si>
    <t>Local exato.</t>
  </si>
  <si>
    <t>NC, incidente ou reclamação.</t>
  </si>
  <si>
    <t>Lista lst_TipoRegisto</t>
  </si>
  <si>
    <t>NC Maior / Menor / Legal.</t>
  </si>
  <si>
    <t>Lista lst_Classificacao</t>
  </si>
  <si>
    <t>Cláusula ISO 14001:2026 e/ou diploma legal.</t>
  </si>
  <si>
    <t>Descrição da NC.</t>
  </si>
  <si>
    <t>Evidência (o que se viu, documento, data).</t>
  </si>
  <si>
    <t>Consequência ambiental/legal potencial.</t>
  </si>
  <si>
    <t>Severidade.</t>
  </si>
  <si>
    <t>Lista lst_Severidade</t>
  </si>
  <si>
    <t>Correção imediata (controlar e corrigir; lidar com as consequências).</t>
  </si>
  <si>
    <t>Causa raiz identificada.</t>
  </si>
  <si>
    <t>Categoria Ishikawa.</t>
  </si>
  <si>
    <t>Lista lst_Cat6M</t>
  </si>
  <si>
    <t>Método de análise de causa.</t>
  </si>
  <si>
    <t>Lista lst_Metodo</t>
  </si>
  <si>
    <t>Inteiro</t>
  </si>
  <si>
    <t>Calculado (fórmula)</t>
  </si>
  <si>
    <t>N.º de níveis de 'porquê' registados na tabela 5 Porquês.</t>
  </si>
  <si>
    <t>Ação de correção no PAM.</t>
  </si>
  <si>
    <t>FK → RG-SGA-06</t>
  </si>
  <si>
    <t>Ação corretiva no PAM.</t>
  </si>
  <si>
    <t>Responsável.</t>
  </si>
  <si>
    <t>Lista lst_Funcao</t>
  </si>
  <si>
    <t>Prazo de tratamento.</t>
  </si>
  <si>
    <t>Estado.</t>
  </si>
  <si>
    <t>Lista lst_Estado</t>
  </si>
  <si>
    <t>Data de fecho.</t>
  </si>
  <si>
    <t>Dias entre deteção e fecho (ou até à data de referência).</t>
  </si>
  <si>
    <t>Fechada dentro do prazo?</t>
  </si>
  <si>
    <t>Resultado da verificação de eficácia.</t>
  </si>
  <si>
    <t>Lista lst_Eficacia</t>
  </si>
  <si>
    <t>Data da verificação de eficácia.</t>
  </si>
  <si>
    <t>Repetição de NC anterior.</t>
  </si>
  <si>
    <t>Lista lst_SimNao</t>
  </si>
  <si>
    <t>Moeda (EUR)</t>
  </si>
  <si>
    <t>Custo associado (correção + ações).</t>
  </si>
  <si>
    <t>Quem detetou.</t>
  </si>
  <si>
    <t>Regras de qualidade do registo.</t>
  </si>
  <si>
    <t>tbl_5porques</t>
  </si>
  <si>
    <t>NC analisada.</t>
  </si>
  <si>
    <t>FK → tbl_nc</t>
  </si>
  <si>
    <t>Nível do porquê (1 a 5).</t>
  </si>
  <si>
    <t>Chave técnica (NC|nível).</t>
  </si>
  <si>
    <t>Pergunta 'Porquê...?'.</t>
  </si>
  <si>
    <t>Resposta.</t>
  </si>
  <si>
    <t>Evidência que confirma a resposta.</t>
  </si>
  <si>
    <t>Sim no nível que é a causa raiz.</t>
  </si>
  <si>
    <t>tbl_incidentes</t>
  </si>
  <si>
    <t>Identificador do incidente (INC-AAAA-nn).</t>
  </si>
  <si>
    <t>Data da ocorrência.</t>
  </si>
  <si>
    <t>Automático aaaamm (para séries temporais; numérico para funcionar em Excel de qualquer idioma).</t>
  </si>
  <si>
    <t>Tipo de incidente.</t>
  </si>
  <si>
    <t>Lista lst_INC_Tipo</t>
  </si>
  <si>
    <t>Local.</t>
  </si>
  <si>
    <t>O que aconteceu.</t>
  </si>
  <si>
    <t>Substância / fluxo envolvido.</t>
  </si>
  <si>
    <t>Decimal</t>
  </si>
  <si>
    <t>Quantidade libertada.</t>
  </si>
  <si>
    <t>Unidade.</t>
  </si>
  <si>
    <t>Meio afetado.</t>
  </si>
  <si>
    <t>Lista lst_INC_Meio</t>
  </si>
  <si>
    <t>Se foi contido sem atingir o meio exterior.</t>
  </si>
  <si>
    <t>Lista lst_INC_SimNao</t>
  </si>
  <si>
    <t>1 mínima … 5 muito grave.</t>
  </si>
  <si>
    <t>Condição anormal ou de emergência (ISO 14001:2026 6.1.2).</t>
  </si>
  <si>
    <t>Lista lst_INC_Cond</t>
  </si>
  <si>
    <t>Se foi comunicado a autoridade/entidade gestora.</t>
  </si>
  <si>
    <t>Cenário de emergência (RG-SGA-12).</t>
  </si>
  <si>
    <t>FK → tbl_cenarios</t>
  </si>
  <si>
    <t>Aspeto ambiental.</t>
  </si>
  <si>
    <t>FK → tbl_aspetos</t>
  </si>
  <si>
    <t>Resposta e contenção.</t>
  </si>
  <si>
    <t>NC aberta (quando aplicável).</t>
  </si>
  <si>
    <t>Custo direto (limpeza, reparação, resíduos).</t>
  </si>
  <si>
    <t>Quem reportou.</t>
  </si>
  <si>
    <t>Turno (vazio se externo).</t>
  </si>
  <si>
    <t>Lista lst_INC_Turno</t>
  </si>
  <si>
    <t>Lista lst_INC_Estado</t>
  </si>
  <si>
    <t>Automático.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</si>
</sst>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\€"/>
  </numFmts>
  <fonts count="8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6"/>
      <color rgb="FF1F4E5F"/>
      <name val="Arial"/>
    </font>
    <font>
      <b/>
      <sz val="13"/>
      <color rgb="FF0F2F3A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4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/>
      <bottom style="medium">
        <color rgb="FF1F4E5F"/>
      </bottom>
      <diagonal/>
    </border>
    <border>
      <left/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7" fillId="5" borderId="0" xfId="0" applyFont="1" applyFill="1"/>
    <xf numFmtId="0" fontId="0" fillId="5" borderId="0" xfId="0" applyFill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0" fillId="0" borderId="2" xfId="0" applyBorder="1"/>
    <xf numFmtId="0" fontId="7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" fontId="0" fillId="0" borderId="0" xfId="0" applyNumberFormat="1"/>
    <xf numFmtId="9" fontId="0" fillId="0" borderId="0" xfId="0" applyNumberFormat="1"/>
    <xf numFmtId="165" fontId="0" fillId="0" borderId="0" xfId="0" applyNumberFormat="1"/>
    <xf numFmtId="4" fontId="4" fillId="0" borderId="1" xfId="0" applyNumberFormat="1" applyFont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3" xfId="0" applyBorder="1"/>
    <xf numFmtId="0" fontId="0" fillId="0" borderId="1" xfId="0" applyBorder="1"/>
    <xf numFmtId="14" fontId="4" fillId="0" borderId="1" xfId="0" applyNumberFormat="1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19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nc" displayName="tbl_nc" ref="A4:AF19">
  <autoFilter ref="A4:AF19" xr:uid="{00000000-0009-0000-0100-000001000000}"/>
  <tableColumns count="32">
    <tableColumn id="1" xr3:uid="{00000000-0010-0000-0000-000001000000}" name="ID_NC"/>
    <tableColumn id="2" xr3:uid="{00000000-0010-0000-0000-000002000000}" name="Data_Detecao"/>
    <tableColumn id="3" xr3:uid="{00000000-0010-0000-0000-000003000000}" name="Origem"/>
    <tableColumn id="4" xr3:uid="{00000000-0010-0000-0000-000004000000}" name="ID_Origem"/>
    <tableColumn id="5" xr3:uid="{00000000-0010-0000-0000-000005000000}" name="Processo"/>
    <tableColumn id="6" xr3:uid="{00000000-0010-0000-0000-000006000000}" name="Local"/>
    <tableColumn id="7" xr3:uid="{00000000-0010-0000-0000-000007000000}" name="Tipo_Registo"/>
    <tableColumn id="8" xr3:uid="{00000000-0010-0000-0000-000008000000}" name="Classificacao"/>
    <tableColumn id="9" xr3:uid="{00000000-0010-0000-0000-000009000000}" name="Requisito_Violado"/>
    <tableColumn id="10" xr3:uid="{00000000-0010-0000-0000-00000A000000}" name="Descricao"/>
    <tableColumn id="11" xr3:uid="{00000000-0010-0000-0000-00000B000000}" name="Evidencia_Objetiva"/>
    <tableColumn id="12" xr3:uid="{00000000-0010-0000-0000-00000C000000}" name="Impacte_Potencial"/>
    <tableColumn id="13" xr3:uid="{00000000-0010-0000-0000-00000D000000}" name="Severidade"/>
    <tableColumn id="14" xr3:uid="{00000000-0010-0000-0000-00000E000000}" name="Correcao_C1"/>
    <tableColumn id="15" xr3:uid="{00000000-0010-0000-0000-00000F000000}" name="Causa_Raiz"/>
    <tableColumn id="16" xr3:uid="{00000000-0010-0000-0000-000010000000}" name="Categoria_6M"/>
    <tableColumn id="17" xr3:uid="{00000000-0010-0000-0000-000011000000}" name="Metodo_Analise"/>
    <tableColumn id="18" xr3:uid="{00000000-0010-0000-0000-000012000000}" name="N_Porques"/>
    <tableColumn id="19" xr3:uid="{00000000-0010-0000-0000-000013000000}" name="ID_PAM_C1"/>
    <tableColumn id="20" xr3:uid="{00000000-0010-0000-0000-000014000000}" name="ID_PAM_C2"/>
    <tableColumn id="21" xr3:uid="{00000000-0010-0000-0000-000015000000}" name="Responsavel"/>
    <tableColumn id="22" xr3:uid="{00000000-0010-0000-0000-000016000000}" name="Prazo"/>
    <tableColumn id="23" xr3:uid="{00000000-0010-0000-0000-000017000000}" name="Estado"/>
    <tableColumn id="24" xr3:uid="{00000000-0010-0000-0000-000018000000}" name="Data_Fecho"/>
    <tableColumn id="25" xr3:uid="{00000000-0010-0000-0000-000019000000}" name="Dias_Aberta"/>
    <tableColumn id="26" xr3:uid="{00000000-0010-0000-0000-00001A000000}" name="No_Prazo"/>
    <tableColumn id="27" xr3:uid="{00000000-0010-0000-0000-00001B000000}" name="Eficacia"/>
    <tableColumn id="28" xr3:uid="{00000000-0010-0000-0000-00001C000000}" name="Data_Verif_Eficacia"/>
    <tableColumn id="29" xr3:uid="{00000000-0010-0000-0000-00001D000000}" name="Recorrente"/>
    <tableColumn id="30" xr3:uid="{00000000-0010-0000-0000-00001E000000}" name="Custo_EUR"/>
    <tableColumn id="31" xr3:uid="{00000000-0010-0000-0000-00001F000000}" name="Reportado_Por"/>
    <tableColumn id="32" xr3:uid="{00000000-0010-0000-0000-000020000000}" name="Controlo_Qualidad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5porques" displayName="tbl_5porques" ref="A1:G13">
  <autoFilter ref="A1:G13" xr:uid="{00000000-0009-0000-0100-000002000000}"/>
  <tableColumns count="7">
    <tableColumn id="1" xr3:uid="{00000000-0010-0000-0100-000001000000}" name="ID_NC"/>
    <tableColumn id="2" xr3:uid="{00000000-0010-0000-0100-000002000000}" name="Nivel"/>
    <tableColumn id="3" xr3:uid="{00000000-0010-0000-0100-000003000000}" name="Chave"/>
    <tableColumn id="4" xr3:uid="{00000000-0010-0000-0100-000004000000}" name="Pergunta_Porque"/>
    <tableColumn id="5" xr3:uid="{00000000-0010-0000-0100-000005000000}" name="Resposta"/>
    <tableColumn id="6" xr3:uid="{00000000-0010-0000-0100-000006000000}" name="Evidencia"/>
    <tableColumn id="7" xr3:uid="{00000000-0010-0000-0100-000007000000}" name="E_Causa_Raiz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incidentes" displayName="tbl_incidentes" ref="A4:X65">
  <autoFilter ref="A4:X65" xr:uid="{00000000-0009-0000-0100-000003000000}"/>
  <tableColumns count="24">
    <tableColumn id="1" xr3:uid="{00000000-0010-0000-0200-000001000000}" name="ID_Incidente"/>
    <tableColumn id="2" xr3:uid="{00000000-0010-0000-0200-000002000000}" name="Data"/>
    <tableColumn id="3" xr3:uid="{00000000-0010-0000-0200-000003000000}" name="Ano_Mes"/>
    <tableColumn id="4" xr3:uid="{00000000-0010-0000-0200-000004000000}" name="Tipo"/>
    <tableColumn id="5" xr3:uid="{00000000-0010-0000-0200-000005000000}" name="Processo"/>
    <tableColumn id="6" xr3:uid="{00000000-0010-0000-0200-000006000000}" name="Local"/>
    <tableColumn id="7" xr3:uid="{00000000-0010-0000-0200-000007000000}" name="Descricao"/>
    <tableColumn id="8" xr3:uid="{00000000-0010-0000-0200-000008000000}" name="Substancia"/>
    <tableColumn id="9" xr3:uid="{00000000-0010-0000-0200-000009000000}" name="Quantidade"/>
    <tableColumn id="10" xr3:uid="{00000000-0010-0000-0200-00000A000000}" name="Unidade"/>
    <tableColumn id="11" xr3:uid="{00000000-0010-0000-0200-00000B000000}" name="Meio_Afetado"/>
    <tableColumn id="12" xr3:uid="{00000000-0010-0000-0200-00000C000000}" name="Contido_no_Local"/>
    <tableColumn id="13" xr3:uid="{00000000-0010-0000-0200-00000D000000}" name="Severidade_1a5"/>
    <tableColumn id="14" xr3:uid="{00000000-0010-0000-0200-00000E000000}" name="Condicao"/>
    <tableColumn id="15" xr3:uid="{00000000-0010-0000-0200-00000F000000}" name="Comunicado_Autoridade"/>
    <tableColumn id="16" xr3:uid="{00000000-0010-0000-0200-000010000000}" name="ID_Cenario_EMG"/>
    <tableColumn id="17" xr3:uid="{00000000-0010-0000-0200-000011000000}" name="ID_Aspeto"/>
    <tableColumn id="18" xr3:uid="{00000000-0010-0000-0200-000012000000}" name="Resposta_Imediata"/>
    <tableColumn id="19" xr3:uid="{00000000-0010-0000-0200-000013000000}" name="ID_NC"/>
    <tableColumn id="20" xr3:uid="{00000000-0010-0000-0200-000014000000}" name="Custo_EUR"/>
    <tableColumn id="21" xr3:uid="{00000000-0010-0000-0200-000015000000}" name="Reportado_Por"/>
    <tableColumn id="22" xr3:uid="{00000000-0010-0000-0200-000016000000}" name="Turno"/>
    <tableColumn id="23" xr3:uid="{00000000-0010-0000-0200-000017000000}" name="Estado"/>
    <tableColumn id="24" xr3:uid="{00000000-0010-0000-0200-000018000000}" name="Classe_Gravidad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64">
  <autoFilter ref="A1:I64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9" spans="1:2" x14ac:dyDescent="0.3">
      <c r="A29" s="3" t="s">
        <v>42</v>
      </c>
      <c r="B29" s="4"/>
    </row>
    <row r="30" spans="1:2" ht="26.4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7" spans="1:2" x14ac:dyDescent="0.3">
      <c r="A37" s="3" t="s">
        <v>55</v>
      </c>
      <c r="B37" s="4"/>
    </row>
    <row r="38" spans="1:2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11" customWidth="1"/>
    <col min="3" max="3" width="18" customWidth="1"/>
    <col min="4" max="4" width="11" customWidth="1"/>
    <col min="5" max="5" width="8" customWidth="1"/>
    <col min="6" max="6" width="20" customWidth="1"/>
    <col min="7" max="7" width="14" customWidth="1"/>
    <col min="8" max="8" width="10" customWidth="1"/>
    <col min="9" max="9" width="20" customWidth="1"/>
    <col min="10" max="11" width="42" customWidth="1"/>
    <col min="12" max="12" width="26" customWidth="1"/>
    <col min="13" max="13" width="9" customWidth="1"/>
    <col min="14" max="14" width="34" customWidth="1"/>
    <col min="15" max="15" width="40" customWidth="1"/>
    <col min="16" max="16" width="11" customWidth="1"/>
    <col min="17" max="17" width="12" customWidth="1"/>
    <col min="18" max="18" width="8" customWidth="1"/>
    <col min="19" max="20" width="10" customWidth="1"/>
    <col min="21" max="21" width="26" customWidth="1"/>
    <col min="22" max="22" width="11" customWidth="1"/>
    <col min="23" max="23" width="12" customWidth="1"/>
    <col min="24" max="24" width="11" customWidth="1"/>
    <col min="25" max="26" width="9" customWidth="1"/>
    <col min="27" max="27" width="10" customWidth="1"/>
    <col min="28" max="28" width="11" customWidth="1"/>
    <col min="29" max="30" width="9" customWidth="1"/>
    <col min="31" max="31" width="18" customWidth="1"/>
    <col min="32" max="32" width="20" customWidth="1"/>
  </cols>
  <sheetData>
    <row r="1" spans="1:32" ht="17.399999999999999" x14ac:dyDescent="0.3">
      <c r="A1" s="1" t="s">
        <v>60</v>
      </c>
    </row>
    <row r="2" spans="1:32" x14ac:dyDescent="0.3">
      <c r="A2" s="2" t="s">
        <v>61</v>
      </c>
    </row>
    <row r="4" spans="1:32" ht="26.4" x14ac:dyDescent="0.3">
      <c r="A4" s="8" t="s">
        <v>62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8" t="s">
        <v>77</v>
      </c>
      <c r="Q4" s="8" t="s">
        <v>78</v>
      </c>
      <c r="R4" s="9" t="s">
        <v>79</v>
      </c>
      <c r="S4" s="8" t="s">
        <v>80</v>
      </c>
      <c r="T4" s="8" t="s">
        <v>81</v>
      </c>
      <c r="U4" s="8" t="s">
        <v>82</v>
      </c>
      <c r="V4" s="8" t="s">
        <v>83</v>
      </c>
      <c r="W4" s="8" t="s">
        <v>14</v>
      </c>
      <c r="X4" s="8" t="s">
        <v>84</v>
      </c>
      <c r="Y4" s="9" t="s">
        <v>85</v>
      </c>
      <c r="Z4" s="9" t="s">
        <v>86</v>
      </c>
      <c r="AA4" s="8" t="s">
        <v>87</v>
      </c>
      <c r="AB4" s="8" t="s">
        <v>88</v>
      </c>
      <c r="AC4" s="8" t="s">
        <v>89</v>
      </c>
      <c r="AD4" s="8" t="s">
        <v>90</v>
      </c>
      <c r="AE4" s="8" t="s">
        <v>91</v>
      </c>
      <c r="AF4" s="9" t="s">
        <v>92</v>
      </c>
    </row>
    <row r="5" spans="1:32" ht="79.95" customHeight="1" x14ac:dyDescent="0.3">
      <c r="A5" s="10" t="s">
        <v>93</v>
      </c>
      <c r="B5" s="11">
        <v>45924</v>
      </c>
      <c r="C5" s="10" t="s">
        <v>94</v>
      </c>
      <c r="D5" s="10" t="s">
        <v>95</v>
      </c>
      <c r="E5" s="10" t="s">
        <v>96</v>
      </c>
      <c r="F5" s="10" t="s">
        <v>97</v>
      </c>
      <c r="G5" s="10" t="s">
        <v>98</v>
      </c>
      <c r="H5" s="10" t="s">
        <v>99</v>
      </c>
      <c r="I5" s="10" t="s">
        <v>100</v>
      </c>
      <c r="J5" s="10" t="s">
        <v>101</v>
      </c>
      <c r="K5" s="10" t="s">
        <v>102</v>
      </c>
      <c r="L5" s="10" t="s">
        <v>103</v>
      </c>
      <c r="M5" s="10" t="s">
        <v>104</v>
      </c>
      <c r="N5" s="10" t="s">
        <v>105</v>
      </c>
      <c r="O5" s="10" t="s">
        <v>106</v>
      </c>
      <c r="P5" s="10" t="s">
        <v>107</v>
      </c>
      <c r="Q5" s="10" t="s">
        <v>108</v>
      </c>
      <c r="R5" s="12">
        <f>COUNTIF(tbl_5porques[ID_NC],A5)</f>
        <v>0</v>
      </c>
      <c r="S5" s="10"/>
      <c r="T5" s="10"/>
      <c r="U5" s="10" t="s">
        <v>109</v>
      </c>
      <c r="V5" s="11">
        <v>45961</v>
      </c>
      <c r="W5" s="10" t="s">
        <v>110</v>
      </c>
      <c r="X5" s="11">
        <v>45950</v>
      </c>
      <c r="Y5" s="12">
        <f t="shared" ref="Y5:Y19" si="0">IF(X5="",DataRef-B5,X5-B5)</f>
        <v>26</v>
      </c>
      <c r="Z5" s="13" t="str">
        <f t="shared" ref="Z5:Z19" si="1">IF(X5="",IF(V5&lt;DataRef,"Atrasada","Em curso"),IF(X5&lt;=V5,"Sim","Não"))</f>
        <v>Sim</v>
      </c>
      <c r="AA5" s="10" t="s">
        <v>111</v>
      </c>
      <c r="AB5" s="11">
        <v>46037</v>
      </c>
      <c r="AC5" s="10" t="s">
        <v>112</v>
      </c>
      <c r="AD5" s="14">
        <v>0</v>
      </c>
      <c r="AE5" s="10" t="s">
        <v>113</v>
      </c>
      <c r="AF5" s="13" t="str">
        <f t="shared" ref="AF5:AF19" si="2">IF(AND(H5&lt;&gt;"",O5=""),"FALTA causa raiz",IF(AND(W5="Fechada",AA5="Por avaliar",AB5&lt;DataRef),"FALTA verificar eficácia",IF(AND(W5&lt;&gt;"Fechada",T5="",P5&lt;&gt;""),"FALTA ação corretiva (C2)","OK")))</f>
        <v>OK</v>
      </c>
    </row>
    <row r="6" spans="1:32" ht="79.95" customHeight="1" x14ac:dyDescent="0.3">
      <c r="A6" s="10" t="s">
        <v>114</v>
      </c>
      <c r="B6" s="11">
        <v>45944</v>
      </c>
      <c r="C6" s="10" t="s">
        <v>115</v>
      </c>
      <c r="D6" s="10" t="s">
        <v>116</v>
      </c>
      <c r="E6" s="10" t="s">
        <v>117</v>
      </c>
      <c r="F6" s="10" t="s">
        <v>118</v>
      </c>
      <c r="G6" s="10" t="s">
        <v>98</v>
      </c>
      <c r="H6" s="10" t="s">
        <v>119</v>
      </c>
      <c r="I6" s="10" t="s">
        <v>120</v>
      </c>
      <c r="J6" s="10" t="s">
        <v>121</v>
      </c>
      <c r="K6" s="10" t="s">
        <v>122</v>
      </c>
      <c r="L6" s="10" t="s">
        <v>123</v>
      </c>
      <c r="M6" s="10" t="s">
        <v>124</v>
      </c>
      <c r="N6" s="10" t="s">
        <v>125</v>
      </c>
      <c r="O6" s="10" t="s">
        <v>126</v>
      </c>
      <c r="P6" s="10" t="s">
        <v>107</v>
      </c>
      <c r="Q6" s="10" t="s">
        <v>108</v>
      </c>
      <c r="R6" s="12">
        <f>COUNTIF(tbl_5porques[ID_NC],A6)</f>
        <v>0</v>
      </c>
      <c r="S6" s="10"/>
      <c r="T6" s="10"/>
      <c r="U6" s="10" t="s">
        <v>109</v>
      </c>
      <c r="V6" s="11">
        <v>45976</v>
      </c>
      <c r="W6" s="10" t="s">
        <v>110</v>
      </c>
      <c r="X6" s="11">
        <v>45966</v>
      </c>
      <c r="Y6" s="12">
        <f t="shared" si="0"/>
        <v>22</v>
      </c>
      <c r="Z6" s="13" t="str">
        <f t="shared" si="1"/>
        <v>Sim</v>
      </c>
      <c r="AA6" s="10" t="s">
        <v>111</v>
      </c>
      <c r="AB6" s="11">
        <v>46063</v>
      </c>
      <c r="AC6" s="10" t="s">
        <v>112</v>
      </c>
      <c r="AD6" s="14">
        <v>0</v>
      </c>
      <c r="AE6" s="10" t="s">
        <v>127</v>
      </c>
      <c r="AF6" s="13" t="str">
        <f t="shared" si="2"/>
        <v>OK</v>
      </c>
    </row>
    <row r="7" spans="1:32" ht="79.95" customHeight="1" x14ac:dyDescent="0.3">
      <c r="A7" s="10" t="s">
        <v>128</v>
      </c>
      <c r="B7" s="11">
        <v>45979</v>
      </c>
      <c r="C7" s="10" t="s">
        <v>129</v>
      </c>
      <c r="D7" s="10" t="s">
        <v>130</v>
      </c>
      <c r="E7" s="10" t="s">
        <v>131</v>
      </c>
      <c r="F7" s="10" t="s">
        <v>132</v>
      </c>
      <c r="G7" s="10" t="s">
        <v>129</v>
      </c>
      <c r="H7" s="10" t="s">
        <v>99</v>
      </c>
      <c r="I7" s="10" t="s">
        <v>133</v>
      </c>
      <c r="J7" s="10" t="s">
        <v>134</v>
      </c>
      <c r="K7" s="10" t="s">
        <v>135</v>
      </c>
      <c r="L7" s="10" t="s">
        <v>136</v>
      </c>
      <c r="M7" s="10" t="s">
        <v>124</v>
      </c>
      <c r="N7" s="10" t="s">
        <v>137</v>
      </c>
      <c r="O7" s="10" t="s">
        <v>138</v>
      </c>
      <c r="P7" s="10" t="s">
        <v>139</v>
      </c>
      <c r="Q7" s="10" t="s">
        <v>140</v>
      </c>
      <c r="R7" s="12">
        <f>COUNTIF(tbl_5porques[ID_NC],A7)</f>
        <v>0</v>
      </c>
      <c r="S7" s="10"/>
      <c r="T7" s="10"/>
      <c r="U7" s="10" t="s">
        <v>141</v>
      </c>
      <c r="V7" s="11">
        <v>46006</v>
      </c>
      <c r="W7" s="10" t="s">
        <v>110</v>
      </c>
      <c r="X7" s="11">
        <v>46001</v>
      </c>
      <c r="Y7" s="12">
        <f t="shared" si="0"/>
        <v>22</v>
      </c>
      <c r="Z7" s="13" t="str">
        <f t="shared" si="1"/>
        <v>Sim</v>
      </c>
      <c r="AA7" s="10" t="s">
        <v>111</v>
      </c>
      <c r="AB7" s="11">
        <v>46162</v>
      </c>
      <c r="AC7" s="10" t="s">
        <v>112</v>
      </c>
      <c r="AD7" s="14">
        <v>1450</v>
      </c>
      <c r="AE7" s="10" t="s">
        <v>142</v>
      </c>
      <c r="AF7" s="13" t="str">
        <f t="shared" si="2"/>
        <v>OK</v>
      </c>
    </row>
    <row r="8" spans="1:32" ht="79.95" customHeight="1" x14ac:dyDescent="0.3">
      <c r="A8" s="10" t="s">
        <v>143</v>
      </c>
      <c r="B8" s="11">
        <v>46064</v>
      </c>
      <c r="C8" s="10" t="s">
        <v>129</v>
      </c>
      <c r="D8" s="10" t="s">
        <v>144</v>
      </c>
      <c r="E8" s="10" t="s">
        <v>145</v>
      </c>
      <c r="F8" s="10" t="s">
        <v>146</v>
      </c>
      <c r="G8" s="10" t="s">
        <v>129</v>
      </c>
      <c r="H8" s="10" t="s">
        <v>99</v>
      </c>
      <c r="I8" s="10" t="s">
        <v>147</v>
      </c>
      <c r="J8" s="10" t="s">
        <v>148</v>
      </c>
      <c r="K8" s="10" t="s">
        <v>149</v>
      </c>
      <c r="L8" s="10" t="s">
        <v>150</v>
      </c>
      <c r="M8" s="10" t="s">
        <v>124</v>
      </c>
      <c r="N8" s="10" t="s">
        <v>151</v>
      </c>
      <c r="O8" s="10" t="s">
        <v>152</v>
      </c>
      <c r="P8" s="10" t="s">
        <v>139</v>
      </c>
      <c r="Q8" s="10" t="s">
        <v>108</v>
      </c>
      <c r="R8" s="12">
        <f>COUNTIF(tbl_5porques[ID_NC],A8)</f>
        <v>0</v>
      </c>
      <c r="S8" s="10"/>
      <c r="T8" s="10"/>
      <c r="U8" s="10" t="s">
        <v>141</v>
      </c>
      <c r="V8" s="11">
        <v>46112</v>
      </c>
      <c r="W8" s="10" t="s">
        <v>110</v>
      </c>
      <c r="X8" s="11">
        <v>46101</v>
      </c>
      <c r="Y8" s="12">
        <f t="shared" si="0"/>
        <v>37</v>
      </c>
      <c r="Z8" s="13" t="str">
        <f t="shared" si="1"/>
        <v>Sim</v>
      </c>
      <c r="AA8" s="10" t="s">
        <v>111</v>
      </c>
      <c r="AB8" s="11">
        <v>46204</v>
      </c>
      <c r="AC8" s="10" t="s">
        <v>112</v>
      </c>
      <c r="AD8" s="14">
        <v>900</v>
      </c>
      <c r="AE8" s="10" t="s">
        <v>153</v>
      </c>
      <c r="AF8" s="13" t="str">
        <f t="shared" si="2"/>
        <v>OK</v>
      </c>
    </row>
    <row r="9" spans="1:32" ht="79.95" customHeight="1" x14ac:dyDescent="0.3">
      <c r="A9" s="10" t="s">
        <v>154</v>
      </c>
      <c r="B9" s="11">
        <v>46275</v>
      </c>
      <c r="C9" s="10" t="s">
        <v>115</v>
      </c>
      <c r="D9" s="10" t="s">
        <v>155</v>
      </c>
      <c r="E9" s="10" t="s">
        <v>131</v>
      </c>
      <c r="F9" s="10" t="s">
        <v>156</v>
      </c>
      <c r="G9" s="10" t="s">
        <v>98</v>
      </c>
      <c r="H9" s="10" t="s">
        <v>119</v>
      </c>
      <c r="I9" s="10" t="s">
        <v>157</v>
      </c>
      <c r="J9" s="10" t="s">
        <v>158</v>
      </c>
      <c r="K9" s="10" t="s">
        <v>159</v>
      </c>
      <c r="L9" s="10" t="s">
        <v>160</v>
      </c>
      <c r="M9" s="10" t="s">
        <v>124</v>
      </c>
      <c r="N9" s="10" t="s">
        <v>161</v>
      </c>
      <c r="O9" s="10" t="s">
        <v>162</v>
      </c>
      <c r="P9" s="10" t="s">
        <v>107</v>
      </c>
      <c r="Q9" s="10" t="s">
        <v>108</v>
      </c>
      <c r="R9" s="12">
        <f>COUNTIF(tbl_5porques[ID_NC],A9)</f>
        <v>4</v>
      </c>
      <c r="S9" s="10" t="s">
        <v>163</v>
      </c>
      <c r="T9" s="10" t="s">
        <v>164</v>
      </c>
      <c r="U9" s="10" t="s">
        <v>165</v>
      </c>
      <c r="V9" s="11">
        <v>46356</v>
      </c>
      <c r="W9" s="10" t="s">
        <v>110</v>
      </c>
      <c r="X9" s="11">
        <v>46351</v>
      </c>
      <c r="Y9" s="12">
        <f t="shared" si="0"/>
        <v>76</v>
      </c>
      <c r="Z9" s="13" t="str">
        <f t="shared" si="1"/>
        <v>Sim</v>
      </c>
      <c r="AA9" s="10" t="s">
        <v>166</v>
      </c>
      <c r="AB9" s="11">
        <v>46492</v>
      </c>
      <c r="AC9" s="10" t="s">
        <v>112</v>
      </c>
      <c r="AD9" s="14">
        <v>1800</v>
      </c>
      <c r="AE9" s="10" t="s">
        <v>127</v>
      </c>
      <c r="AF9" s="13" t="str">
        <f t="shared" si="2"/>
        <v>OK</v>
      </c>
    </row>
    <row r="10" spans="1:32" ht="79.95" customHeight="1" x14ac:dyDescent="0.3">
      <c r="A10" s="10" t="s">
        <v>167</v>
      </c>
      <c r="B10" s="11">
        <v>46275</v>
      </c>
      <c r="C10" s="10" t="s">
        <v>115</v>
      </c>
      <c r="D10" s="10" t="s">
        <v>168</v>
      </c>
      <c r="E10" s="10" t="s">
        <v>169</v>
      </c>
      <c r="F10" s="10" t="s">
        <v>170</v>
      </c>
      <c r="G10" s="10" t="s">
        <v>98</v>
      </c>
      <c r="H10" s="10" t="s">
        <v>119</v>
      </c>
      <c r="I10" s="10" t="s">
        <v>171</v>
      </c>
      <c r="J10" s="10" t="s">
        <v>172</v>
      </c>
      <c r="K10" s="10" t="s">
        <v>173</v>
      </c>
      <c r="L10" s="10" t="s">
        <v>174</v>
      </c>
      <c r="M10" s="10" t="s">
        <v>175</v>
      </c>
      <c r="N10" s="10" t="s">
        <v>176</v>
      </c>
      <c r="O10" s="10" t="s">
        <v>177</v>
      </c>
      <c r="P10" s="10" t="s">
        <v>107</v>
      </c>
      <c r="Q10" s="10" t="s">
        <v>108</v>
      </c>
      <c r="R10" s="12">
        <f>COUNTIF(tbl_5porques[ID_NC],A10)</f>
        <v>0</v>
      </c>
      <c r="S10" s="10"/>
      <c r="T10" s="10" t="s">
        <v>178</v>
      </c>
      <c r="U10" s="10" t="s">
        <v>179</v>
      </c>
      <c r="V10" s="11">
        <v>46568</v>
      </c>
      <c r="W10" s="10" t="s">
        <v>180</v>
      </c>
      <c r="X10" s="11"/>
      <c r="Y10" s="12">
        <f t="shared" si="0"/>
        <v>112</v>
      </c>
      <c r="Z10" s="13" t="str">
        <f t="shared" si="1"/>
        <v>Em curso</v>
      </c>
      <c r="AA10" s="10" t="s">
        <v>166</v>
      </c>
      <c r="AB10" s="11">
        <v>46402</v>
      </c>
      <c r="AC10" s="10" t="s">
        <v>112</v>
      </c>
      <c r="AD10" s="14">
        <v>26000</v>
      </c>
      <c r="AE10" s="10" t="s">
        <v>127</v>
      </c>
      <c r="AF10" s="13" t="str">
        <f t="shared" si="2"/>
        <v>OK</v>
      </c>
    </row>
    <row r="11" spans="1:32" ht="79.95" customHeight="1" x14ac:dyDescent="0.3">
      <c r="A11" s="10" t="s">
        <v>181</v>
      </c>
      <c r="B11" s="11">
        <v>46280</v>
      </c>
      <c r="C11" s="10" t="s">
        <v>182</v>
      </c>
      <c r="D11" s="10" t="s">
        <v>183</v>
      </c>
      <c r="E11" s="10" t="s">
        <v>184</v>
      </c>
      <c r="F11" s="10" t="s">
        <v>185</v>
      </c>
      <c r="G11" s="10" t="s">
        <v>98</v>
      </c>
      <c r="H11" s="10" t="s">
        <v>99</v>
      </c>
      <c r="I11" s="10" t="s">
        <v>186</v>
      </c>
      <c r="J11" s="10" t="s">
        <v>187</v>
      </c>
      <c r="K11" s="10" t="s">
        <v>188</v>
      </c>
      <c r="L11" s="10" t="s">
        <v>189</v>
      </c>
      <c r="M11" s="10" t="s">
        <v>124</v>
      </c>
      <c r="N11" s="10" t="s">
        <v>190</v>
      </c>
      <c r="O11" s="10" t="s">
        <v>191</v>
      </c>
      <c r="P11" s="10" t="s">
        <v>107</v>
      </c>
      <c r="Q11" s="10" t="s">
        <v>108</v>
      </c>
      <c r="R11" s="12">
        <f>COUNTIF(tbl_5porques[ID_NC],A11)</f>
        <v>5</v>
      </c>
      <c r="S11" s="10" t="s">
        <v>192</v>
      </c>
      <c r="T11" s="10" t="s">
        <v>193</v>
      </c>
      <c r="U11" s="10" t="s">
        <v>165</v>
      </c>
      <c r="V11" s="11">
        <v>46326</v>
      </c>
      <c r="W11" s="10" t="s">
        <v>110</v>
      </c>
      <c r="X11" s="11">
        <v>46324</v>
      </c>
      <c r="Y11" s="12">
        <f t="shared" si="0"/>
        <v>44</v>
      </c>
      <c r="Z11" s="13" t="str">
        <f t="shared" si="1"/>
        <v>Sim</v>
      </c>
      <c r="AA11" s="10" t="s">
        <v>111</v>
      </c>
      <c r="AB11" s="11">
        <v>46371</v>
      </c>
      <c r="AC11" s="10" t="s">
        <v>112</v>
      </c>
      <c r="AD11" s="14">
        <v>1130</v>
      </c>
      <c r="AE11" s="10" t="s">
        <v>194</v>
      </c>
      <c r="AF11" s="13" t="str">
        <f t="shared" si="2"/>
        <v>OK</v>
      </c>
    </row>
    <row r="12" spans="1:32" ht="79.95" customHeight="1" x14ac:dyDescent="0.3">
      <c r="A12" s="10" t="s">
        <v>195</v>
      </c>
      <c r="B12" s="11">
        <v>46281</v>
      </c>
      <c r="C12" s="10" t="s">
        <v>94</v>
      </c>
      <c r="D12" s="10" t="s">
        <v>196</v>
      </c>
      <c r="E12" s="10" t="s">
        <v>96</v>
      </c>
      <c r="F12" s="10" t="s">
        <v>97</v>
      </c>
      <c r="G12" s="10" t="s">
        <v>98</v>
      </c>
      <c r="H12" s="10" t="s">
        <v>99</v>
      </c>
      <c r="I12" s="10" t="s">
        <v>147</v>
      </c>
      <c r="J12" s="10" t="s">
        <v>197</v>
      </c>
      <c r="K12" s="10" t="s">
        <v>198</v>
      </c>
      <c r="L12" s="10" t="s">
        <v>199</v>
      </c>
      <c r="M12" s="10" t="s">
        <v>124</v>
      </c>
      <c r="N12" s="10" t="s">
        <v>200</v>
      </c>
      <c r="O12" s="10" t="s">
        <v>201</v>
      </c>
      <c r="P12" s="10" t="s">
        <v>202</v>
      </c>
      <c r="Q12" s="10" t="s">
        <v>108</v>
      </c>
      <c r="R12" s="12">
        <f>COUNTIF(tbl_5porques[ID_NC],A12)</f>
        <v>3</v>
      </c>
      <c r="S12" s="10"/>
      <c r="T12" s="10" t="s">
        <v>203</v>
      </c>
      <c r="U12" s="10" t="s">
        <v>109</v>
      </c>
      <c r="V12" s="11">
        <v>46310</v>
      </c>
      <c r="W12" s="10" t="s">
        <v>110</v>
      </c>
      <c r="X12" s="11">
        <v>46315</v>
      </c>
      <c r="Y12" s="12">
        <f t="shared" si="0"/>
        <v>34</v>
      </c>
      <c r="Z12" s="13" t="str">
        <f t="shared" si="1"/>
        <v>Não</v>
      </c>
      <c r="AA12" s="10" t="s">
        <v>111</v>
      </c>
      <c r="AB12" s="11">
        <v>46361</v>
      </c>
      <c r="AC12" s="10" t="s">
        <v>112</v>
      </c>
      <c r="AD12" s="14">
        <v>1200</v>
      </c>
      <c r="AE12" s="10" t="s">
        <v>113</v>
      </c>
      <c r="AF12" s="13" t="str">
        <f t="shared" si="2"/>
        <v>OK</v>
      </c>
    </row>
    <row r="13" spans="1:32" ht="79.95" customHeight="1" x14ac:dyDescent="0.3">
      <c r="A13" s="10" t="s">
        <v>204</v>
      </c>
      <c r="B13" s="11">
        <v>46281</v>
      </c>
      <c r="C13" s="10" t="s">
        <v>94</v>
      </c>
      <c r="D13" s="10" t="s">
        <v>205</v>
      </c>
      <c r="E13" s="10" t="s">
        <v>117</v>
      </c>
      <c r="F13" s="10" t="s">
        <v>118</v>
      </c>
      <c r="G13" s="10" t="s">
        <v>98</v>
      </c>
      <c r="H13" s="10" t="s">
        <v>99</v>
      </c>
      <c r="I13" s="10" t="s">
        <v>206</v>
      </c>
      <c r="J13" s="10" t="s">
        <v>207</v>
      </c>
      <c r="K13" s="10" t="s">
        <v>208</v>
      </c>
      <c r="L13" s="10" t="s">
        <v>209</v>
      </c>
      <c r="M13" s="10" t="s">
        <v>104</v>
      </c>
      <c r="N13" s="10" t="s">
        <v>210</v>
      </c>
      <c r="O13" s="10" t="s">
        <v>211</v>
      </c>
      <c r="P13" s="10" t="s">
        <v>202</v>
      </c>
      <c r="Q13" s="10" t="s">
        <v>108</v>
      </c>
      <c r="R13" s="12">
        <f>COUNTIF(tbl_5porques[ID_NC],A13)</f>
        <v>0</v>
      </c>
      <c r="S13" s="10"/>
      <c r="T13" s="10" t="s">
        <v>212</v>
      </c>
      <c r="U13" s="10" t="s">
        <v>109</v>
      </c>
      <c r="V13" s="11">
        <v>46310</v>
      </c>
      <c r="W13" s="10" t="s">
        <v>110</v>
      </c>
      <c r="X13" s="11">
        <v>46309</v>
      </c>
      <c r="Y13" s="12">
        <f t="shared" si="0"/>
        <v>28</v>
      </c>
      <c r="Z13" s="13" t="str">
        <f t="shared" si="1"/>
        <v>Sim</v>
      </c>
      <c r="AA13" s="10" t="s">
        <v>111</v>
      </c>
      <c r="AB13" s="11">
        <v>46361</v>
      </c>
      <c r="AC13" s="10" t="s">
        <v>112</v>
      </c>
      <c r="AD13" s="14">
        <v>400</v>
      </c>
      <c r="AE13" s="10" t="s">
        <v>113</v>
      </c>
      <c r="AF13" s="13" t="str">
        <f t="shared" si="2"/>
        <v>OK</v>
      </c>
    </row>
    <row r="14" spans="1:32" ht="79.95" customHeight="1" x14ac:dyDescent="0.3">
      <c r="A14" s="10" t="s">
        <v>213</v>
      </c>
      <c r="B14" s="11">
        <v>46282</v>
      </c>
      <c r="C14" s="10" t="s">
        <v>94</v>
      </c>
      <c r="D14" s="10" t="s">
        <v>214</v>
      </c>
      <c r="E14" s="10" t="s">
        <v>131</v>
      </c>
      <c r="F14" s="10" t="s">
        <v>215</v>
      </c>
      <c r="G14" s="10" t="s">
        <v>98</v>
      </c>
      <c r="H14" s="10" t="s">
        <v>99</v>
      </c>
      <c r="I14" s="10" t="s">
        <v>216</v>
      </c>
      <c r="J14" s="10" t="s">
        <v>217</v>
      </c>
      <c r="K14" s="10" t="s">
        <v>218</v>
      </c>
      <c r="L14" s="10" t="s">
        <v>219</v>
      </c>
      <c r="M14" s="10" t="s">
        <v>124</v>
      </c>
      <c r="N14" s="10" t="s">
        <v>220</v>
      </c>
      <c r="O14" s="10" t="s">
        <v>221</v>
      </c>
      <c r="P14" s="10" t="s">
        <v>107</v>
      </c>
      <c r="Q14" s="10" t="s">
        <v>108</v>
      </c>
      <c r="R14" s="12">
        <f>COUNTIF(tbl_5porques[ID_NC],A14)</f>
        <v>0</v>
      </c>
      <c r="S14" s="10"/>
      <c r="T14" s="10" t="s">
        <v>164</v>
      </c>
      <c r="U14" s="10" t="s">
        <v>165</v>
      </c>
      <c r="V14" s="11">
        <v>46356</v>
      </c>
      <c r="W14" s="10" t="s">
        <v>110</v>
      </c>
      <c r="X14" s="11">
        <v>46351</v>
      </c>
      <c r="Y14" s="12">
        <f t="shared" si="0"/>
        <v>69</v>
      </c>
      <c r="Z14" s="13" t="str">
        <f t="shared" si="1"/>
        <v>Sim</v>
      </c>
      <c r="AA14" s="10" t="s">
        <v>166</v>
      </c>
      <c r="AB14" s="11">
        <v>46492</v>
      </c>
      <c r="AC14" s="10" t="s">
        <v>112</v>
      </c>
      <c r="AD14" s="14">
        <v>0</v>
      </c>
      <c r="AE14" s="10" t="s">
        <v>113</v>
      </c>
      <c r="AF14" s="13" t="str">
        <f t="shared" si="2"/>
        <v>OK</v>
      </c>
    </row>
    <row r="15" spans="1:32" ht="79.95" customHeight="1" x14ac:dyDescent="0.3">
      <c r="A15" s="10" t="s">
        <v>222</v>
      </c>
      <c r="B15" s="11">
        <v>46282</v>
      </c>
      <c r="C15" s="10" t="s">
        <v>94</v>
      </c>
      <c r="D15" s="10" t="s">
        <v>223</v>
      </c>
      <c r="E15" s="10" t="s">
        <v>117</v>
      </c>
      <c r="F15" s="10" t="s">
        <v>118</v>
      </c>
      <c r="G15" s="10" t="s">
        <v>98</v>
      </c>
      <c r="H15" s="10" t="s">
        <v>99</v>
      </c>
      <c r="I15" s="10" t="s">
        <v>224</v>
      </c>
      <c r="J15" s="10" t="s">
        <v>225</v>
      </c>
      <c r="K15" s="10" t="s">
        <v>226</v>
      </c>
      <c r="L15" s="10" t="s">
        <v>227</v>
      </c>
      <c r="M15" s="10" t="s">
        <v>104</v>
      </c>
      <c r="N15" s="10" t="s">
        <v>228</v>
      </c>
      <c r="O15" s="10" t="s">
        <v>229</v>
      </c>
      <c r="P15" s="10" t="s">
        <v>230</v>
      </c>
      <c r="Q15" s="10" t="s">
        <v>108</v>
      </c>
      <c r="R15" s="12">
        <f>COUNTIF(tbl_5porques[ID_NC],A15)</f>
        <v>0</v>
      </c>
      <c r="S15" s="10"/>
      <c r="T15" s="10" t="s">
        <v>231</v>
      </c>
      <c r="U15" s="10" t="s">
        <v>232</v>
      </c>
      <c r="V15" s="11">
        <v>46326</v>
      </c>
      <c r="W15" s="10" t="s">
        <v>110</v>
      </c>
      <c r="X15" s="11">
        <v>46318</v>
      </c>
      <c r="Y15" s="12">
        <f t="shared" si="0"/>
        <v>36</v>
      </c>
      <c r="Z15" s="13" t="str">
        <f t="shared" si="1"/>
        <v>Sim</v>
      </c>
      <c r="AA15" s="10" t="s">
        <v>111</v>
      </c>
      <c r="AB15" s="11">
        <v>46371</v>
      </c>
      <c r="AC15" s="10" t="s">
        <v>112</v>
      </c>
      <c r="AD15" s="14">
        <v>350</v>
      </c>
      <c r="AE15" s="10" t="s">
        <v>113</v>
      </c>
      <c r="AF15" s="13" t="str">
        <f t="shared" si="2"/>
        <v>OK</v>
      </c>
    </row>
    <row r="16" spans="1:32" ht="79.95" customHeight="1" x14ac:dyDescent="0.3">
      <c r="A16" s="10" t="s">
        <v>233</v>
      </c>
      <c r="B16" s="11">
        <v>46282</v>
      </c>
      <c r="C16" s="10" t="s">
        <v>94</v>
      </c>
      <c r="D16" s="10" t="s">
        <v>234</v>
      </c>
      <c r="E16" s="10" t="s">
        <v>235</v>
      </c>
      <c r="F16" s="10" t="s">
        <v>236</v>
      </c>
      <c r="G16" s="10" t="s">
        <v>98</v>
      </c>
      <c r="H16" s="10" t="s">
        <v>99</v>
      </c>
      <c r="I16" s="10" t="s">
        <v>237</v>
      </c>
      <c r="J16" s="10" t="s">
        <v>238</v>
      </c>
      <c r="K16" s="10" t="s">
        <v>239</v>
      </c>
      <c r="L16" s="10" t="s">
        <v>240</v>
      </c>
      <c r="M16" s="10" t="s">
        <v>124</v>
      </c>
      <c r="N16" s="10" t="s">
        <v>241</v>
      </c>
      <c r="O16" s="10" t="s">
        <v>242</v>
      </c>
      <c r="P16" s="10" t="s">
        <v>243</v>
      </c>
      <c r="Q16" s="10" t="s">
        <v>108</v>
      </c>
      <c r="R16" s="12">
        <f>COUNTIF(tbl_5porques[ID_NC],A16)</f>
        <v>0</v>
      </c>
      <c r="S16" s="10"/>
      <c r="T16" s="10" t="s">
        <v>244</v>
      </c>
      <c r="U16" s="10" t="s">
        <v>165</v>
      </c>
      <c r="V16" s="11">
        <v>46341</v>
      </c>
      <c r="W16" s="10" t="s">
        <v>110</v>
      </c>
      <c r="X16" s="11">
        <v>46336</v>
      </c>
      <c r="Y16" s="12">
        <f t="shared" si="0"/>
        <v>54</v>
      </c>
      <c r="Z16" s="13" t="str">
        <f t="shared" si="1"/>
        <v>Sim</v>
      </c>
      <c r="AA16" s="10" t="s">
        <v>111</v>
      </c>
      <c r="AB16" s="11">
        <v>46366</v>
      </c>
      <c r="AC16" s="10" t="s">
        <v>245</v>
      </c>
      <c r="AD16" s="14">
        <v>0</v>
      </c>
      <c r="AE16" s="10" t="s">
        <v>113</v>
      </c>
      <c r="AF16" s="13" t="str">
        <f t="shared" si="2"/>
        <v>OK</v>
      </c>
    </row>
    <row r="17" spans="1:32" ht="79.95" customHeight="1" x14ac:dyDescent="0.3">
      <c r="A17" s="10" t="s">
        <v>246</v>
      </c>
      <c r="B17" s="11">
        <v>46282</v>
      </c>
      <c r="C17" s="10" t="s">
        <v>94</v>
      </c>
      <c r="D17" s="10" t="s">
        <v>247</v>
      </c>
      <c r="E17" s="10" t="s">
        <v>248</v>
      </c>
      <c r="F17" s="10" t="s">
        <v>249</v>
      </c>
      <c r="G17" s="10" t="s">
        <v>98</v>
      </c>
      <c r="H17" s="10" t="s">
        <v>99</v>
      </c>
      <c r="I17" s="10" t="s">
        <v>250</v>
      </c>
      <c r="J17" s="10" t="s">
        <v>251</v>
      </c>
      <c r="K17" s="10" t="s">
        <v>252</v>
      </c>
      <c r="L17" s="10" t="s">
        <v>253</v>
      </c>
      <c r="M17" s="10" t="s">
        <v>124</v>
      </c>
      <c r="N17" s="10" t="s">
        <v>220</v>
      </c>
      <c r="O17" s="10" t="s">
        <v>254</v>
      </c>
      <c r="P17" s="10" t="s">
        <v>107</v>
      </c>
      <c r="Q17" s="10" t="s">
        <v>108</v>
      </c>
      <c r="R17" s="12">
        <f>COUNTIF(tbl_5porques[ID_NC],A17)</f>
        <v>0</v>
      </c>
      <c r="S17" s="10"/>
      <c r="T17" s="10" t="s">
        <v>255</v>
      </c>
      <c r="U17" s="10" t="s">
        <v>165</v>
      </c>
      <c r="V17" s="11">
        <v>46371</v>
      </c>
      <c r="W17" s="10" t="s">
        <v>110</v>
      </c>
      <c r="X17" s="11">
        <v>46367</v>
      </c>
      <c r="Y17" s="12">
        <f t="shared" si="0"/>
        <v>85</v>
      </c>
      <c r="Z17" s="13" t="str">
        <f t="shared" si="1"/>
        <v>Sim</v>
      </c>
      <c r="AA17" s="10" t="s">
        <v>111</v>
      </c>
      <c r="AB17" s="11">
        <v>46367</v>
      </c>
      <c r="AC17" s="10" t="s">
        <v>112</v>
      </c>
      <c r="AD17" s="14">
        <v>800</v>
      </c>
      <c r="AE17" s="10" t="s">
        <v>113</v>
      </c>
      <c r="AF17" s="13" t="str">
        <f t="shared" si="2"/>
        <v>OK</v>
      </c>
    </row>
    <row r="18" spans="1:32" ht="79.95" customHeight="1" x14ac:dyDescent="0.3">
      <c r="A18" s="10" t="s">
        <v>256</v>
      </c>
      <c r="B18" s="11">
        <v>46332</v>
      </c>
      <c r="C18" s="10" t="s">
        <v>129</v>
      </c>
      <c r="D18" s="10" t="s">
        <v>257</v>
      </c>
      <c r="E18" s="10" t="s">
        <v>184</v>
      </c>
      <c r="F18" s="10" t="s">
        <v>258</v>
      </c>
      <c r="G18" s="10" t="s">
        <v>98</v>
      </c>
      <c r="H18" s="10" t="s">
        <v>99</v>
      </c>
      <c r="I18" s="10" t="s">
        <v>259</v>
      </c>
      <c r="J18" s="10" t="s">
        <v>260</v>
      </c>
      <c r="K18" s="10" t="s">
        <v>261</v>
      </c>
      <c r="L18" s="10" t="s">
        <v>262</v>
      </c>
      <c r="M18" s="10" t="s">
        <v>124</v>
      </c>
      <c r="N18" s="10" t="s">
        <v>263</v>
      </c>
      <c r="O18" s="10" t="s">
        <v>264</v>
      </c>
      <c r="P18" s="10" t="s">
        <v>139</v>
      </c>
      <c r="Q18" s="10" t="s">
        <v>108</v>
      </c>
      <c r="R18" s="12">
        <f>COUNTIF(tbl_5porques[ID_NC],A18)</f>
        <v>0</v>
      </c>
      <c r="S18" s="10"/>
      <c r="T18" s="10"/>
      <c r="U18" s="10" t="s">
        <v>141</v>
      </c>
      <c r="V18" s="11">
        <v>46371</v>
      </c>
      <c r="W18" s="10" t="s">
        <v>110</v>
      </c>
      <c r="X18" s="11">
        <v>46360</v>
      </c>
      <c r="Y18" s="12">
        <f t="shared" si="0"/>
        <v>28</v>
      </c>
      <c r="Z18" s="13" t="str">
        <f t="shared" si="1"/>
        <v>Sim</v>
      </c>
      <c r="AA18" s="10" t="s">
        <v>111</v>
      </c>
      <c r="AB18" s="11">
        <v>46374</v>
      </c>
      <c r="AC18" s="10" t="s">
        <v>245</v>
      </c>
      <c r="AD18" s="14">
        <v>1300</v>
      </c>
      <c r="AE18" s="10" t="s">
        <v>265</v>
      </c>
      <c r="AF18" s="13" t="str">
        <f t="shared" si="2"/>
        <v>OK</v>
      </c>
    </row>
    <row r="19" spans="1:32" ht="79.95" customHeight="1" x14ac:dyDescent="0.3">
      <c r="A19" s="10" t="s">
        <v>266</v>
      </c>
      <c r="B19" s="11">
        <v>46345</v>
      </c>
      <c r="C19" s="10" t="s">
        <v>94</v>
      </c>
      <c r="D19" s="10" t="s">
        <v>267</v>
      </c>
      <c r="E19" s="10" t="s">
        <v>268</v>
      </c>
      <c r="F19" s="10" t="s">
        <v>269</v>
      </c>
      <c r="G19" s="10" t="s">
        <v>98</v>
      </c>
      <c r="H19" s="10" t="s">
        <v>99</v>
      </c>
      <c r="I19" s="10" t="s">
        <v>270</v>
      </c>
      <c r="J19" s="10" t="s">
        <v>271</v>
      </c>
      <c r="K19" s="10" t="s">
        <v>272</v>
      </c>
      <c r="L19" s="10" t="s">
        <v>273</v>
      </c>
      <c r="M19" s="10" t="s">
        <v>124</v>
      </c>
      <c r="N19" s="10" t="s">
        <v>274</v>
      </c>
      <c r="O19" s="10" t="s">
        <v>275</v>
      </c>
      <c r="P19" s="10" t="s">
        <v>107</v>
      </c>
      <c r="Q19" s="10" t="s">
        <v>108</v>
      </c>
      <c r="R19" s="12">
        <f>COUNTIF(tbl_5porques[ID_NC],A19)</f>
        <v>0</v>
      </c>
      <c r="S19" s="10"/>
      <c r="T19" s="10" t="s">
        <v>276</v>
      </c>
      <c r="U19" s="10" t="s">
        <v>277</v>
      </c>
      <c r="V19" s="11">
        <v>46387</v>
      </c>
      <c r="W19" s="10" t="s">
        <v>110</v>
      </c>
      <c r="X19" s="11">
        <v>46374</v>
      </c>
      <c r="Y19" s="12">
        <f t="shared" si="0"/>
        <v>29</v>
      </c>
      <c r="Z19" s="13" t="str">
        <f t="shared" si="1"/>
        <v>Sim</v>
      </c>
      <c r="AA19" s="10" t="s">
        <v>166</v>
      </c>
      <c r="AB19" s="11">
        <v>46477</v>
      </c>
      <c r="AC19" s="10" t="s">
        <v>112</v>
      </c>
      <c r="AD19" s="14">
        <v>400</v>
      </c>
      <c r="AE19" s="10" t="s">
        <v>278</v>
      </c>
      <c r="AF19" s="13" t="str">
        <f t="shared" si="2"/>
        <v>OK</v>
      </c>
    </row>
  </sheetData>
  <conditionalFormatting sqref="H5:H219">
    <cfRule type="expression" dxfId="18" priority="4">
      <formula>ISNUMBER(SEARCH("Legal",H5))</formula>
    </cfRule>
    <cfRule type="expression" dxfId="17" priority="5">
      <formula>ISNUMBER(SEARCH("Maior",H5))</formula>
    </cfRule>
    <cfRule type="expression" dxfId="16" priority="6">
      <formula>ISNUMBER(SEARCH("Menor",H5))</formula>
    </cfRule>
  </conditionalFormatting>
  <conditionalFormatting sqref="W5:W219">
    <cfRule type="expression" dxfId="15" priority="1">
      <formula>ISNUMBER(SEARCH("Aberta",W5))</formula>
    </cfRule>
    <cfRule type="expression" dxfId="14" priority="2">
      <formula>ISNUMBER(SEARCH("Em tratamento",W5))</formula>
    </cfRule>
    <cfRule type="expression" dxfId="13" priority="3">
      <formula>ISNUMBER(SEARCH("Fechada",W5))</formula>
    </cfRule>
  </conditionalFormatting>
  <conditionalFormatting sqref="Z5:Z219">
    <cfRule type="expression" dxfId="12" priority="11">
      <formula>ISNUMBER(SEARCH("Atrasada",Z5))</formula>
    </cfRule>
    <cfRule type="expression" dxfId="11" priority="12">
      <formula>ISNUMBER(SEARCH("Não",Z5))</formula>
    </cfRule>
    <cfRule type="expression" dxfId="10" priority="13">
      <formula>ISNUMBER(SEARCH("Sim",Z5))</formula>
    </cfRule>
  </conditionalFormatting>
  <conditionalFormatting sqref="AA5:AA219">
    <cfRule type="expression" dxfId="9" priority="7">
      <formula>ISNUMBER(SEARCH("Não eficaz",AA5))</formula>
    </cfRule>
    <cfRule type="expression" dxfId="8" priority="8">
      <formula>ISNUMBER(SEARCH("Eficaz",AA5))</formula>
    </cfRule>
  </conditionalFormatting>
  <conditionalFormatting sqref="AF5:AF219">
    <cfRule type="expression" dxfId="7" priority="9">
      <formula>ISNUMBER(SEARCH("FALTA",AF5))</formula>
    </cfRule>
    <cfRule type="expression" dxfId="6" priority="10">
      <formula>ISNUMBER(SEARCH("OK",AF5))</formula>
    </cfRule>
  </conditionalFormatting>
  <dataValidations count="11">
    <dataValidation type="list" allowBlank="1" showErrorMessage="1" errorTitle="Valor inválido" error="Valor fora da lista controlada (ver folha Listas)." sqref="C5:C219" xr:uid="{00000000-0002-0000-0100-000000000000}">
      <formula1>lst_Origem</formula1>
    </dataValidation>
    <dataValidation type="list" allowBlank="1" showErrorMessage="1" errorTitle="Valor inválido" error="Valor fora da lista controlada (ver folha Listas)." sqref="E5:E219" xr:uid="{00000000-0002-0000-0100-000001000000}">
      <formula1>lst_Processo</formula1>
    </dataValidation>
    <dataValidation type="list" allowBlank="1" showErrorMessage="1" errorTitle="Valor inválido" error="Valor fora da lista controlada (ver folha Listas)." sqref="G5:G219" xr:uid="{00000000-0002-0000-0100-000002000000}">
      <formula1>lst_TipoRegisto</formula1>
    </dataValidation>
    <dataValidation type="list" allowBlank="1" showErrorMessage="1" errorTitle="Valor inválido" error="Valor fora da lista controlada (ver folha Listas)." sqref="H5:H219" xr:uid="{00000000-0002-0000-0100-000003000000}">
      <formula1>lst_Classificacao</formula1>
    </dataValidation>
    <dataValidation type="list" allowBlank="1" showErrorMessage="1" errorTitle="Valor inválido" error="Valor fora da lista controlada (ver folha Listas)." sqref="M5:M219" xr:uid="{00000000-0002-0000-0100-000004000000}">
      <formula1>lst_Severidade</formula1>
    </dataValidation>
    <dataValidation type="list" allowBlank="1" showErrorMessage="1" errorTitle="Valor inválido" error="Valor fora da lista controlada (ver folha Listas)." sqref="P5:P219" xr:uid="{00000000-0002-0000-0100-000005000000}">
      <formula1>lst_Cat6M</formula1>
    </dataValidation>
    <dataValidation type="list" allowBlank="1" showErrorMessage="1" errorTitle="Valor inválido" error="Valor fora da lista controlada (ver folha Listas)." sqref="Q5:Q219" xr:uid="{00000000-0002-0000-0100-000006000000}">
      <formula1>lst_Metodo</formula1>
    </dataValidation>
    <dataValidation type="list" allowBlank="1" showErrorMessage="1" errorTitle="Valor inválido" error="Valor fora da lista controlada (ver folha Listas)." sqref="U5:U219" xr:uid="{00000000-0002-0000-0100-000007000000}">
      <formula1>lst_Funcao</formula1>
    </dataValidation>
    <dataValidation type="list" allowBlank="1" showErrorMessage="1" errorTitle="Valor inválido" error="Valor fora da lista controlada (ver folha Listas)." sqref="W5:W219" xr:uid="{00000000-0002-0000-0100-000008000000}">
      <formula1>lst_Estado</formula1>
    </dataValidation>
    <dataValidation type="list" allowBlank="1" showErrorMessage="1" errorTitle="Valor inválido" error="Valor fora da lista controlada (ver folha Listas)." sqref="AA5:AA219" xr:uid="{00000000-0002-0000-0100-000009000000}">
      <formula1>lst_Eficacia</formula1>
    </dataValidation>
    <dataValidation type="list" allowBlank="1" showErrorMessage="1" errorTitle="Valor inválido" error="Valor fora da lista controlada (ver folha Listas)." sqref="AC5:AC219" xr:uid="{00000000-0002-0000-0100-00000A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6" customWidth="1"/>
    <col min="3" max="3" width="16" customWidth="1"/>
    <col min="4" max="4" width="40" customWidth="1"/>
    <col min="5" max="5" width="60" customWidth="1"/>
    <col min="6" max="6" width="40" customWidth="1"/>
    <col min="7" max="7" width="10" customWidth="1"/>
  </cols>
  <sheetData>
    <row r="1" spans="1:7" ht="26.4" x14ac:dyDescent="0.3">
      <c r="A1" s="8" t="s">
        <v>62</v>
      </c>
      <c r="B1" s="8" t="s">
        <v>279</v>
      </c>
      <c r="C1" s="9" t="s">
        <v>280</v>
      </c>
      <c r="D1" s="8" t="s">
        <v>281</v>
      </c>
      <c r="E1" s="8" t="s">
        <v>282</v>
      </c>
      <c r="F1" s="8" t="s">
        <v>283</v>
      </c>
      <c r="G1" s="8" t="s">
        <v>284</v>
      </c>
    </row>
    <row r="2" spans="1:7" ht="48" customHeight="1" x14ac:dyDescent="0.3">
      <c r="A2" s="10" t="s">
        <v>181</v>
      </c>
      <c r="B2" s="15">
        <v>1</v>
      </c>
      <c r="C2" s="13" t="str">
        <f t="shared" ref="C2:C13" si="0">A2&amp;"|"&amp;B2</f>
        <v>NC-SGA-26-03|1</v>
      </c>
      <c r="D2" s="10" t="s">
        <v>285</v>
      </c>
      <c r="E2" s="10" t="s">
        <v>286</v>
      </c>
      <c r="F2" s="10" t="s">
        <v>287</v>
      </c>
      <c r="G2" s="10" t="s">
        <v>112</v>
      </c>
    </row>
    <row r="3" spans="1:7" ht="48" customHeight="1" x14ac:dyDescent="0.3">
      <c r="A3" s="10" t="s">
        <v>181</v>
      </c>
      <c r="B3" s="15">
        <v>2</v>
      </c>
      <c r="C3" s="13" t="str">
        <f t="shared" si="0"/>
        <v>NC-SGA-26-03|2</v>
      </c>
      <c r="D3" s="10" t="s">
        <v>288</v>
      </c>
      <c r="E3" s="10" t="s">
        <v>289</v>
      </c>
      <c r="F3" s="10" t="s">
        <v>290</v>
      </c>
      <c r="G3" s="10" t="s">
        <v>112</v>
      </c>
    </row>
    <row r="4" spans="1:7" ht="48" customHeight="1" x14ac:dyDescent="0.3">
      <c r="A4" s="10" t="s">
        <v>181</v>
      </c>
      <c r="B4" s="15">
        <v>3</v>
      </c>
      <c r="C4" s="13" t="str">
        <f t="shared" si="0"/>
        <v>NC-SGA-26-03|3</v>
      </c>
      <c r="D4" s="10" t="s">
        <v>291</v>
      </c>
      <c r="E4" s="10" t="s">
        <v>292</v>
      </c>
      <c r="F4" s="10" t="s">
        <v>293</v>
      </c>
      <c r="G4" s="10" t="s">
        <v>112</v>
      </c>
    </row>
    <row r="5" spans="1:7" ht="48" customHeight="1" x14ac:dyDescent="0.3">
      <c r="A5" s="10" t="s">
        <v>181</v>
      </c>
      <c r="B5" s="15">
        <v>4</v>
      </c>
      <c r="C5" s="13" t="str">
        <f t="shared" si="0"/>
        <v>NC-SGA-26-03|4</v>
      </c>
      <c r="D5" s="10" t="s">
        <v>294</v>
      </c>
      <c r="E5" s="10" t="s">
        <v>295</v>
      </c>
      <c r="F5" s="10" t="s">
        <v>296</v>
      </c>
      <c r="G5" s="10" t="s">
        <v>112</v>
      </c>
    </row>
    <row r="6" spans="1:7" ht="48" customHeight="1" x14ac:dyDescent="0.3">
      <c r="A6" s="10" t="s">
        <v>181</v>
      </c>
      <c r="B6" s="15">
        <v>5</v>
      </c>
      <c r="C6" s="13" t="str">
        <f t="shared" si="0"/>
        <v>NC-SGA-26-03|5</v>
      </c>
      <c r="D6" s="10" t="s">
        <v>297</v>
      </c>
      <c r="E6" s="10" t="s">
        <v>298</v>
      </c>
      <c r="F6" s="10" t="s">
        <v>299</v>
      </c>
      <c r="G6" s="10" t="s">
        <v>245</v>
      </c>
    </row>
    <row r="7" spans="1:7" ht="48" customHeight="1" x14ac:dyDescent="0.3">
      <c r="A7" s="10" t="s">
        <v>154</v>
      </c>
      <c r="B7" s="15">
        <v>1</v>
      </c>
      <c r="C7" s="13" t="str">
        <f t="shared" si="0"/>
        <v>NC-SGA-26-01|1</v>
      </c>
      <c r="D7" s="10" t="s">
        <v>300</v>
      </c>
      <c r="E7" s="10" t="s">
        <v>301</v>
      </c>
      <c r="F7" s="10" t="s">
        <v>302</v>
      </c>
      <c r="G7" s="10" t="s">
        <v>112</v>
      </c>
    </row>
    <row r="8" spans="1:7" ht="48" customHeight="1" x14ac:dyDescent="0.3">
      <c r="A8" s="10" t="s">
        <v>154</v>
      </c>
      <c r="B8" s="15">
        <v>2</v>
      </c>
      <c r="C8" s="13" t="str">
        <f t="shared" si="0"/>
        <v>NC-SGA-26-01|2</v>
      </c>
      <c r="D8" s="10" t="s">
        <v>303</v>
      </c>
      <c r="E8" s="10" t="s">
        <v>304</v>
      </c>
      <c r="F8" s="10" t="s">
        <v>305</v>
      </c>
      <c r="G8" s="10" t="s">
        <v>112</v>
      </c>
    </row>
    <row r="9" spans="1:7" ht="48" customHeight="1" x14ac:dyDescent="0.3">
      <c r="A9" s="10" t="s">
        <v>154</v>
      </c>
      <c r="B9" s="15">
        <v>3</v>
      </c>
      <c r="C9" s="13" t="str">
        <f t="shared" si="0"/>
        <v>NC-SGA-26-01|3</v>
      </c>
      <c r="D9" s="10" t="s">
        <v>306</v>
      </c>
      <c r="E9" s="10" t="s">
        <v>307</v>
      </c>
      <c r="F9" s="10" t="s">
        <v>308</v>
      </c>
      <c r="G9" s="10" t="s">
        <v>112</v>
      </c>
    </row>
    <row r="10" spans="1:7" ht="48" customHeight="1" x14ac:dyDescent="0.3">
      <c r="A10" s="10" t="s">
        <v>154</v>
      </c>
      <c r="B10" s="15">
        <v>4</v>
      </c>
      <c r="C10" s="13" t="str">
        <f t="shared" si="0"/>
        <v>NC-SGA-26-01|4</v>
      </c>
      <c r="D10" s="10" t="s">
        <v>309</v>
      </c>
      <c r="E10" s="10" t="s">
        <v>310</v>
      </c>
      <c r="F10" s="10" t="s">
        <v>311</v>
      </c>
      <c r="G10" s="10" t="s">
        <v>245</v>
      </c>
    </row>
    <row r="11" spans="1:7" ht="48" customHeight="1" x14ac:dyDescent="0.3">
      <c r="A11" s="10" t="s">
        <v>195</v>
      </c>
      <c r="B11" s="15">
        <v>1</v>
      </c>
      <c r="C11" s="13" t="str">
        <f t="shared" si="0"/>
        <v>NC-SGA-26-04|1</v>
      </c>
      <c r="D11" s="10" t="s">
        <v>312</v>
      </c>
      <c r="E11" s="10" t="s">
        <v>313</v>
      </c>
      <c r="F11" s="10" t="s">
        <v>314</v>
      </c>
      <c r="G11" s="10" t="s">
        <v>112</v>
      </c>
    </row>
    <row r="12" spans="1:7" ht="48" customHeight="1" x14ac:dyDescent="0.3">
      <c r="A12" s="10" t="s">
        <v>195</v>
      </c>
      <c r="B12" s="15">
        <v>2</v>
      </c>
      <c r="C12" s="13" t="str">
        <f t="shared" si="0"/>
        <v>NC-SGA-26-04|2</v>
      </c>
      <c r="D12" s="10" t="s">
        <v>315</v>
      </c>
      <c r="E12" s="10" t="s">
        <v>316</v>
      </c>
      <c r="F12" s="10" t="s">
        <v>317</v>
      </c>
      <c r="G12" s="10" t="s">
        <v>112</v>
      </c>
    </row>
    <row r="13" spans="1:7" ht="48" customHeight="1" x14ac:dyDescent="0.3">
      <c r="A13" s="10" t="s">
        <v>195</v>
      </c>
      <c r="B13" s="15">
        <v>3</v>
      </c>
      <c r="C13" s="13" t="str">
        <f t="shared" si="0"/>
        <v>NC-SGA-26-04|3</v>
      </c>
      <c r="D13" s="10" t="s">
        <v>318</v>
      </c>
      <c r="E13" s="10" t="s">
        <v>319</v>
      </c>
      <c r="F13" s="10" t="s">
        <v>320</v>
      </c>
      <c r="G13" s="10" t="s">
        <v>245</v>
      </c>
    </row>
  </sheetData>
  <conditionalFormatting sqref="G2:G213">
    <cfRule type="expression" dxfId="5" priority="1">
      <formula>ISNUMBER(SEARCH("Sim",G2))</formula>
    </cfRule>
  </conditionalFormatting>
  <dataValidations count="1">
    <dataValidation type="list" allowBlank="1" showErrorMessage="1" errorTitle="Valor inválido" error="Valor fora da lista controlada (ver folha Listas)." sqref="G2:G213" xr:uid="{00000000-0002-0000-02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1:F33"/>
  <sheetViews>
    <sheetView showGridLines="0" workbookViewId="0"/>
  </sheetViews>
  <sheetFormatPr defaultRowHeight="14.4" x14ac:dyDescent="0.3"/>
  <cols>
    <col min="1" max="1" width="26" customWidth="1"/>
    <col min="2" max="6" width="22" customWidth="1"/>
  </cols>
  <sheetData>
    <row r="1" spans="1:6" ht="21" x14ac:dyDescent="0.4">
      <c r="A1" s="16" t="s">
        <v>321</v>
      </c>
      <c r="B1" s="17" t="s">
        <v>322</v>
      </c>
      <c r="F1" s="18" t="s">
        <v>323</v>
      </c>
    </row>
    <row r="2" spans="1:6" x14ac:dyDescent="0.3">
      <c r="B2" s="2" t="s">
        <v>324</v>
      </c>
      <c r="F2" s="19" t="s">
        <v>325</v>
      </c>
    </row>
    <row r="3" spans="1:6" x14ac:dyDescent="0.3">
      <c r="A3" s="20"/>
      <c r="B3" s="20"/>
      <c r="C3" s="20"/>
      <c r="D3" s="20"/>
      <c r="E3" s="20"/>
      <c r="F3" s="20"/>
    </row>
    <row r="5" spans="1:6" x14ac:dyDescent="0.3">
      <c r="A5" s="21" t="s">
        <v>326</v>
      </c>
      <c r="B5" s="34" t="s">
        <v>181</v>
      </c>
      <c r="C5" s="31"/>
      <c r="D5" s="31"/>
      <c r="E5" s="31"/>
      <c r="F5" s="31"/>
    </row>
    <row r="6" spans="1:6" x14ac:dyDescent="0.3">
      <c r="A6" s="21" t="s">
        <v>327</v>
      </c>
      <c r="B6" s="32">
        <f>INDEX(Registo_NC!$B$5:$B$19,MATCH($B$5,Registo_NC!$A$5:$A$19,0))</f>
        <v>46280</v>
      </c>
      <c r="C6" s="31"/>
      <c r="D6" s="31"/>
      <c r="E6" s="31"/>
      <c r="F6" s="31"/>
    </row>
    <row r="7" spans="1:6" x14ac:dyDescent="0.3">
      <c r="A7" s="21" t="s">
        <v>328</v>
      </c>
      <c r="B7" s="29" t="str">
        <f>INDEX(Registo_NC!$C$5:$C$19,MATCH($B$5,Registo_NC!$A$5:$A$19,0))&amp;" — "&amp;INDEX(Registo_NC!$D$5:$D$19,MATCH($B$5,Registo_NC!$A$5:$A$19,0))</f>
        <v>Ronda ambiental — RON-06</v>
      </c>
      <c r="C7" s="31"/>
      <c r="D7" s="31"/>
      <c r="E7" s="31"/>
      <c r="F7" s="31"/>
    </row>
    <row r="8" spans="1:6" x14ac:dyDescent="0.3">
      <c r="A8" s="21" t="s">
        <v>67</v>
      </c>
      <c r="B8" s="29" t="str">
        <f>INDEX(Registo_NC!$F$5:$F$19,MATCH($B$5,Registo_NC!$A$5:$A$19,0))</f>
        <v>Zona entre injeção e serigrafia (kit KIT-03)</v>
      </c>
      <c r="C8" s="31"/>
      <c r="D8" s="31"/>
      <c r="E8" s="31"/>
      <c r="F8" s="31"/>
    </row>
    <row r="9" spans="1:6" x14ac:dyDescent="0.3">
      <c r="A9" s="21" t="s">
        <v>329</v>
      </c>
      <c r="B9" s="29" t="str">
        <f>INDEX(Registo_NC!$H$5:$H$19,MATCH($B$5,Registo_NC!$A$5:$A$19,0))</f>
        <v>NC Menor</v>
      </c>
      <c r="C9" s="31"/>
      <c r="D9" s="31"/>
      <c r="E9" s="31"/>
      <c r="F9" s="31"/>
    </row>
    <row r="10" spans="1:6" x14ac:dyDescent="0.3">
      <c r="A10" s="21" t="s">
        <v>330</v>
      </c>
      <c r="B10" s="29" t="str">
        <f>INDEX(Registo_NC!$I$5:$I$19,MATCH($B$5,Registo_NC!$A$5:$A$19,0))</f>
        <v>8.2; 7.2; 7.3</v>
      </c>
      <c r="C10" s="31"/>
      <c r="D10" s="31"/>
      <c r="E10" s="31"/>
      <c r="F10" s="31"/>
    </row>
    <row r="11" spans="1:6" ht="34.049999999999997" customHeight="1" x14ac:dyDescent="0.3">
      <c r="A11" s="21" t="s">
        <v>331</v>
      </c>
      <c r="B11" s="29" t="str">
        <f>INDEX(Registo_NC!$J$5:$J$19,MATCH($B$5,Registo_NC!$A$5:$A$19,0))</f>
        <v>Kit antipoluição com selo quebrado, praticamente vazio e sem qualquer registo de utilização.</v>
      </c>
      <c r="C11" s="31"/>
      <c r="D11" s="31"/>
      <c r="E11" s="31"/>
      <c r="F11" s="31"/>
    </row>
    <row r="12" spans="1:6" ht="34.049999999999997" customHeight="1" x14ac:dyDescent="0.3">
      <c r="A12" s="21" t="s">
        <v>332</v>
      </c>
      <c r="B12" s="29" t="str">
        <f>INDEX(Registo_NC!$K$5:$K$19,MATCH($B$5,Registo_NC!$A$5:$A$19,0))</f>
        <v>Ronda ambiental mensal de 15/09/2026: KIT-03 com 1 de 12 almofadas absorventes, sem barreiras nem luvas; selo partido; registo de incidentes sem entradas desde 02/2026.</v>
      </c>
      <c r="C12" s="31"/>
      <c r="D12" s="31"/>
      <c r="E12" s="31"/>
      <c r="F12" s="31"/>
    </row>
    <row r="13" spans="1:6" x14ac:dyDescent="0.3">
      <c r="A13" s="21" t="s">
        <v>333</v>
      </c>
      <c r="B13" s="29" t="str">
        <f>INDEX(Registo_NC!$L$5:$L$19,MATCH($B$5,Registo_NC!$A$5:$A$19,0))</f>
        <v>Derrame não contido no próximo evento; derrame anterior não investigado.</v>
      </c>
      <c r="C13" s="31"/>
      <c r="D13" s="31"/>
      <c r="E13" s="31"/>
      <c r="F13" s="31"/>
    </row>
    <row r="14" spans="1:6" ht="34.049999999999997" customHeight="1" x14ac:dyDescent="0.3">
      <c r="A14" s="21" t="s">
        <v>334</v>
      </c>
      <c r="B14" s="29" t="str">
        <f>INDEX(Registo_NC!$N$5:$N$19,MATCH($B$5,Registo_NC!$A$5:$A$19,0))</f>
        <v>Reposição imediata e selagem (PAM-26-04).</v>
      </c>
      <c r="C14" s="31"/>
      <c r="D14" s="31"/>
      <c r="E14" s="31"/>
      <c r="F14" s="31"/>
    </row>
    <row r="16" spans="1:6" x14ac:dyDescent="0.3">
      <c r="A16" s="18" t="s">
        <v>335</v>
      </c>
    </row>
    <row r="17" spans="1:6" x14ac:dyDescent="0.3">
      <c r="A17" s="8" t="s">
        <v>336</v>
      </c>
      <c r="B17" s="33" t="s">
        <v>337</v>
      </c>
      <c r="C17" s="30"/>
      <c r="D17" s="33" t="s">
        <v>282</v>
      </c>
      <c r="E17" s="30"/>
      <c r="F17" s="8" t="s">
        <v>338</v>
      </c>
    </row>
    <row r="18" spans="1:6" ht="61.95" customHeight="1" x14ac:dyDescent="0.3">
      <c r="A18" s="22" t="str">
        <f>IFERROR(IF(INDEX(Cinco_Porques!$G$2:$G$13,MATCH($B$5&amp;"|1",Cinco_Porques!$C$2:$C$13,0))="Sim","1 ► causa raiz","1"),"")</f>
        <v>1</v>
      </c>
      <c r="B18" s="29" t="str">
        <f>IFERROR(INDEX(Cinco_Porques!$D$2:$D$13,MATCH($B$5&amp;"|1",Cinco_Porques!$C$2:$C$13,0)),"")</f>
        <v>Porque é que o kit está vazio?</v>
      </c>
      <c r="C18" s="30"/>
      <c r="D18" s="29" t="str">
        <f>IFERROR(INDEX(Cinco_Porques!$E$2:$E$13,MATCH($B$5&amp;"|1",Cinco_Porques!$C$2:$C$13,0)),"")</f>
        <v>Porque alguém o usou para conter um derrame (provavelmente óleo ou tinta na zona injeção/serigrafia, em agosto) e o conteúdo não foi reposto.</v>
      </c>
      <c r="E18" s="30"/>
      <c r="F18" s="22" t="str">
        <f>IFERROR(INDEX(Cinco_Porques!$F$2:$F$13,MATCH($B$5&amp;"|1",Cinco_Porques!$C$2:$C$13,0)),"")</f>
        <v>Selo partido; absorventes em falta; manchas de óleo junto à IM-006.</v>
      </c>
    </row>
    <row r="19" spans="1:6" ht="61.95" customHeight="1" x14ac:dyDescent="0.3">
      <c r="A19" s="22" t="str">
        <f>IFERROR(IF(INDEX(Cinco_Porques!$G$2:$G$13,MATCH($B$5&amp;"|2",Cinco_Porques!$C$2:$C$13,0))="Sim","2 ► causa raiz","2"),"")</f>
        <v>2</v>
      </c>
      <c r="B19" s="29" t="str">
        <f>IFERROR(INDEX(Cinco_Porques!$D$2:$D$13,MATCH($B$5&amp;"|2",Cinco_Porques!$C$2:$C$13,0)),"")</f>
        <v>Porque é que não foi reposto?</v>
      </c>
      <c r="C19" s="30"/>
      <c r="D19" s="29" t="str">
        <f>IFERROR(INDEX(Cinco_Porques!$E$2:$E$13,MATCH($B$5&amp;"|2",Cinco_Porques!$C$2:$C$13,0)),"")</f>
        <v>Porque quem o usou não avisou o armazém nem o Gestor do SGA e ninguém ficou responsável por repor.</v>
      </c>
      <c r="E19" s="30"/>
      <c r="F19" s="22" t="str">
        <f>IFERROR(INDEX(Cinco_Porques!$F$2:$F$13,MATCH($B$5&amp;"|2",Cinco_Porques!$C$2:$C$13,0)),"")</f>
        <v>Nenhum pedido de material nem registo de incidente em ago–set/2026.</v>
      </c>
    </row>
    <row r="20" spans="1:6" ht="61.95" customHeight="1" x14ac:dyDescent="0.3">
      <c r="A20" s="22" t="str">
        <f>IFERROR(IF(INDEX(Cinco_Porques!$G$2:$G$13,MATCH($B$5&amp;"|3",Cinco_Porques!$C$2:$C$13,0))="Sim","3 ► causa raiz","3"),"")</f>
        <v>3</v>
      </c>
      <c r="B20" s="29" t="str">
        <f>IFERROR(INDEX(Cinco_Porques!$D$2:$D$13,MATCH($B$5&amp;"|3",Cinco_Porques!$C$2:$C$13,0)),"")</f>
        <v>Porque é que não avisou?</v>
      </c>
      <c r="C20" s="30"/>
      <c r="D20" s="29" t="str">
        <f>IFERROR(INDEX(Cinco_Porques!$E$2:$E$13,MATCH($B$5&amp;"|3",Cinco_Porques!$C$2:$C$13,0)),"")</f>
        <v>Porque a IT-SGA-01 (derrames) termina na limpeza: não diz que é obrigatório registar o incidente, pedir reposição e voltar a selar.</v>
      </c>
      <c r="E20" s="30"/>
      <c r="F20" s="22" t="str">
        <f>IFERROR(INDEX(Cinco_Porques!$F$2:$F$13,MATCH($B$5&amp;"|3",Cinco_Porques!$C$2:$C$13,0)),"")</f>
        <v>IT-SGA-01 rev. 00, passos 1 a 6.</v>
      </c>
    </row>
    <row r="21" spans="1:6" ht="61.95" customHeight="1" x14ac:dyDescent="0.3">
      <c r="A21" s="22" t="str">
        <f>IFERROR(IF(INDEX(Cinco_Porques!$G$2:$G$13,MATCH($B$5&amp;"|4",Cinco_Porques!$C$2:$C$13,0))="Sim","4 ► causa raiz","4"),"")</f>
        <v>4</v>
      </c>
      <c r="B21" s="29" t="str">
        <f>IFERROR(INDEX(Cinco_Porques!$D$2:$D$13,MATCH($B$5&amp;"|4",Cinco_Porques!$C$2:$C$13,0)),"")</f>
        <v>Porque é que a instrução não prevê o pós-uso?</v>
      </c>
      <c r="C21" s="30"/>
      <c r="D21" s="29" t="str">
        <f>IFERROR(INDEX(Cinco_Porques!$E$2:$E$13,MATCH($B$5&amp;"|4",Cinco_Porques!$C$2:$C$13,0)),"")</f>
        <v>Porque foi escrita apenas para a resposta imediata; não existe stock mínimo de kits nem responsável pela reposição.</v>
      </c>
      <c r="E21" s="30"/>
      <c r="F21" s="22" t="str">
        <f>IFERROR(INDEX(Cinco_Porques!$F$2:$F$13,MATCH($B$5&amp;"|4",Cinco_Porques!$C$2:$C$13,0)),"")</f>
        <v>Sem artigo 'kit de derrame' no stock do armazém.</v>
      </c>
    </row>
    <row r="22" spans="1:6" ht="61.95" customHeight="1" x14ac:dyDescent="0.3">
      <c r="A22" s="22" t="str">
        <f>IFERROR(IF(INDEX(Cinco_Porques!$G$2:$G$13,MATCH($B$5&amp;"|5",Cinco_Porques!$C$2:$C$13,0))="Sim","5 ► causa raiz","5"),"")</f>
        <v>5 ► causa raiz</v>
      </c>
      <c r="B22" s="29" t="str">
        <f>IFERROR(INDEX(Cinco_Porques!$D$2:$D$13,MATCH($B$5&amp;"|5",Cinco_Porques!$C$2:$C$13,0)),"")</f>
        <v>Porque é que a falha não foi detetada mais cedo?</v>
      </c>
      <c r="C22" s="30"/>
      <c r="D22" s="29" t="str">
        <f>IFERROR(INDEX(Cinco_Porques!$E$2:$E$13,MATCH($B$5&amp;"|5",Cinco_Porques!$C$2:$C$13,0)),"")</f>
        <v>Porque a ronda só verificava se o kit estava no lugar (não o selo nem o conteúdo) e a formação de derrames ensinou a usar o kit, não o ciclo pós-utilização.</v>
      </c>
      <c r="E22" s="30"/>
      <c r="F22" s="22" t="str">
        <f>IFERROR(INDEX(Cinco_Porques!$F$2:$F$13,MATCH($B$5&amp;"|5",Cinco_Porques!$C$2:$C$13,0)),"")</f>
        <v>Checklist RON-06 antigo: 'kit presente? S/N'; plano de formação 2025.</v>
      </c>
    </row>
    <row r="24" spans="1:6" ht="34.049999999999997" customHeight="1" x14ac:dyDescent="0.3">
      <c r="A24" s="21" t="s">
        <v>339</v>
      </c>
      <c r="B24" s="34" t="str">
        <f>INDEX(Registo_NC!$O$5:$O$19,MATCH($B$5,Registo_NC!$A$5:$A$19,0))&amp;""</f>
        <v>IT-SGA-01 sem etapa pós-uso, sem stock mínimo nem responsável pela reposição; formação não cobre o ciclo pós-utilização.</v>
      </c>
      <c r="C24" s="31"/>
      <c r="D24" s="31"/>
      <c r="E24" s="31"/>
      <c r="F24" s="31"/>
    </row>
    <row r="25" spans="1:6" x14ac:dyDescent="0.3">
      <c r="A25" s="21" t="s">
        <v>340</v>
      </c>
      <c r="B25" s="29" t="str">
        <f>INDEX(Registo_NC!$P$5:$P$19,MATCH($B$5,Registo_NC!$A$5:$A$19,0))&amp;""</f>
        <v>Método</v>
      </c>
      <c r="C25" s="31"/>
      <c r="D25" s="31"/>
      <c r="E25" s="31"/>
      <c r="F25" s="31"/>
    </row>
    <row r="26" spans="1:6" x14ac:dyDescent="0.3">
      <c r="A26" s="21" t="s">
        <v>341</v>
      </c>
      <c r="B26" s="29" t="str">
        <f>INDEX(Registo_NC!$S$5:$S$19,MATCH($B$5,Registo_NC!$A$5:$A$19,0))&amp;""</f>
        <v>PAM-26-04</v>
      </c>
      <c r="C26" s="31"/>
      <c r="D26" s="31"/>
      <c r="E26" s="31"/>
      <c r="F26" s="31"/>
    </row>
    <row r="27" spans="1:6" x14ac:dyDescent="0.3">
      <c r="A27" s="21" t="s">
        <v>342</v>
      </c>
      <c r="B27" s="29" t="str">
        <f>INDEX(Registo_NC!$T$5:$T$19,MATCH($B$5,Registo_NC!$A$5:$A$19,0))&amp;""</f>
        <v>PAM-26-05</v>
      </c>
      <c r="C27" s="31"/>
      <c r="D27" s="31"/>
      <c r="E27" s="31"/>
      <c r="F27" s="31"/>
    </row>
    <row r="28" spans="1:6" x14ac:dyDescent="0.3">
      <c r="A28" s="21" t="s">
        <v>343</v>
      </c>
      <c r="B28" s="29" t="str">
        <f>INDEX(Registo_NC!$U$5:$U$19,MATCH($B$5,Registo_NC!$A$5:$A$19,0))&amp;""</f>
        <v>Gestor do SGA / EHS (Responsável Ambiental)</v>
      </c>
      <c r="C28" s="31"/>
      <c r="D28" s="31"/>
      <c r="E28" s="31"/>
      <c r="F28" s="31"/>
    </row>
    <row r="29" spans="1:6" x14ac:dyDescent="0.3">
      <c r="A29" s="21" t="s">
        <v>83</v>
      </c>
      <c r="B29" s="32">
        <f>INDEX(Registo_NC!$V$5:$V$19,MATCH($B$5,Registo_NC!$A$5:$A$19,0))</f>
        <v>46326</v>
      </c>
      <c r="C29" s="31"/>
      <c r="D29" s="31"/>
      <c r="E29" s="31"/>
      <c r="F29" s="31"/>
    </row>
    <row r="30" spans="1:6" x14ac:dyDescent="0.3">
      <c r="A30" s="21" t="s">
        <v>14</v>
      </c>
      <c r="B30" s="29" t="str">
        <f>INDEX(Registo_NC!$W$5:$W$19,MATCH($B$5,Registo_NC!$A$5:$A$19,0))&amp;""</f>
        <v>Fechada</v>
      </c>
      <c r="C30" s="31"/>
      <c r="D30" s="31"/>
      <c r="E30" s="31"/>
      <c r="F30" s="31"/>
    </row>
    <row r="31" spans="1:6" ht="26.4" x14ac:dyDescent="0.3">
      <c r="A31" s="21" t="s">
        <v>344</v>
      </c>
      <c r="B31" s="32">
        <f>INDEX(Registo_NC!$AB$5:$AB$19,MATCH($B$5,Registo_NC!$A$5:$A$19,0))</f>
        <v>46371</v>
      </c>
      <c r="C31" s="31"/>
      <c r="D31" s="31"/>
      <c r="E31" s="31"/>
      <c r="F31" s="31"/>
    </row>
    <row r="33" spans="1:4" x14ac:dyDescent="0.3">
      <c r="A33" s="19" t="s">
        <v>345</v>
      </c>
      <c r="D33" s="19" t="s">
        <v>346</v>
      </c>
    </row>
  </sheetData>
  <mergeCells count="30">
    <mergeCell ref="B6:F6"/>
    <mergeCell ref="B24:F24"/>
    <mergeCell ref="B20:C20"/>
    <mergeCell ref="B5:F5"/>
    <mergeCell ref="B26:F26"/>
    <mergeCell ref="B31:F31"/>
    <mergeCell ref="D22:E22"/>
    <mergeCell ref="B18:C18"/>
    <mergeCell ref="B27:F27"/>
    <mergeCell ref="D21:E21"/>
    <mergeCell ref="B21:C21"/>
    <mergeCell ref="B29:F29"/>
    <mergeCell ref="B19:C19"/>
    <mergeCell ref="B28:F28"/>
    <mergeCell ref="D18:E18"/>
    <mergeCell ref="B30:F30"/>
    <mergeCell ref="D20:E20"/>
    <mergeCell ref="B7:F7"/>
    <mergeCell ref="D19:E19"/>
    <mergeCell ref="B25:F25"/>
    <mergeCell ref="B22:C22"/>
    <mergeCell ref="B12:F12"/>
    <mergeCell ref="B11:F11"/>
    <mergeCell ref="B17:C17"/>
    <mergeCell ref="B14:F14"/>
    <mergeCell ref="B8:F8"/>
    <mergeCell ref="D17:E17"/>
    <mergeCell ref="B13:F13"/>
    <mergeCell ref="B10:F10"/>
    <mergeCell ref="B9:F9"/>
  </mergeCells>
  <pageMargins left="0.75" right="0.75" top="1" bottom="1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Registo_NC!$A$5:$A$19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showGridLines="0" workbookViewId="0"/>
  </sheetViews>
  <sheetFormatPr defaultRowHeight="14.4" x14ac:dyDescent="0.3"/>
  <cols>
    <col min="1" max="1" width="34" customWidth="1"/>
    <col min="2" max="2" width="9" customWidth="1"/>
    <col min="3" max="3" width="22" customWidth="1"/>
    <col min="4" max="4" width="10" customWidth="1"/>
    <col min="5" max="5" width="22" customWidth="1"/>
  </cols>
  <sheetData>
    <row r="1" spans="1:5" ht="17.399999999999999" x14ac:dyDescent="0.3">
      <c r="A1" s="1" t="s">
        <v>347</v>
      </c>
    </row>
    <row r="3" spans="1:5" ht="26.4" x14ac:dyDescent="0.3">
      <c r="A3" s="8" t="s">
        <v>64</v>
      </c>
      <c r="B3" s="8" t="s">
        <v>348</v>
      </c>
      <c r="C3" s="8" t="s">
        <v>349</v>
      </c>
      <c r="D3" s="8" t="s">
        <v>350</v>
      </c>
      <c r="E3" s="8" t="s">
        <v>351</v>
      </c>
    </row>
    <row r="4" spans="1:5" x14ac:dyDescent="0.3">
      <c r="A4" t="s">
        <v>182</v>
      </c>
      <c r="B4">
        <f>COUNTIF(Registo_NC!$C$5:$C$19,"Ronda ambiental")</f>
        <v>1</v>
      </c>
      <c r="C4">
        <f>COUNTIFS(Registo_NC!$C$5:$C$19,"Ronda ambiental",Registo_NC!$W$5:$W$19,"&lt;&gt;Fechada")</f>
        <v>0</v>
      </c>
      <c r="D4">
        <f>COUNTIFS(Registo_NC!$C$5:$C$19,"Ronda ambiental",Registo_NC!$W$5:$W$19,"Fechada")</f>
        <v>1</v>
      </c>
      <c r="E4" s="23">
        <f>IFERROR(AVERAGEIFS(Registo_NC!$Y$5:$Y$19,Registo_NC!$C$5:$C$19,"Ronda ambiental",Registo_NC!$W$5:$W$19,"Fechada"),"")</f>
        <v>44</v>
      </c>
    </row>
    <row r="5" spans="1:5" x14ac:dyDescent="0.3">
      <c r="A5" t="s">
        <v>94</v>
      </c>
      <c r="B5">
        <f>COUNTIF(Registo_NC!$C$5:$C$19,"Auditoria interna")</f>
        <v>8</v>
      </c>
      <c r="C5">
        <f>COUNTIFS(Registo_NC!$C$5:$C$19,"Auditoria interna",Registo_NC!$W$5:$W$19,"&lt;&gt;Fechada")</f>
        <v>0</v>
      </c>
      <c r="D5">
        <f>COUNTIFS(Registo_NC!$C$5:$C$19,"Auditoria interna",Registo_NC!$W$5:$W$19,"Fechada")</f>
        <v>8</v>
      </c>
      <c r="E5" s="23">
        <f>IFERROR(AVERAGEIFS(Registo_NC!$Y$5:$Y$19,Registo_NC!$C$5:$C$19,"Auditoria interna",Registo_NC!$W$5:$W$19,"Fechada"),"")</f>
        <v>45.125</v>
      </c>
    </row>
    <row r="6" spans="1:5" x14ac:dyDescent="0.3">
      <c r="A6" t="s">
        <v>352</v>
      </c>
      <c r="B6">
        <f>COUNTIF(Registo_NC!$C$5:$C$19,"Auditoria externa")</f>
        <v>0</v>
      </c>
      <c r="C6">
        <f>COUNTIFS(Registo_NC!$C$5:$C$19,"Auditoria externa",Registo_NC!$W$5:$W$19,"&lt;&gt;Fechada")</f>
        <v>0</v>
      </c>
      <c r="D6">
        <f>COUNTIFS(Registo_NC!$C$5:$C$19,"Auditoria externa",Registo_NC!$W$5:$W$19,"Fechada")</f>
        <v>0</v>
      </c>
      <c r="E6" s="23" t="str">
        <f>IFERROR(AVERAGEIFS(Registo_NC!$Y$5:$Y$19,Registo_NC!$C$5:$C$19,"Auditoria externa",Registo_NC!$W$5:$W$19,"Fechada"),"")</f>
        <v/>
      </c>
    </row>
    <row r="7" spans="1:5" x14ac:dyDescent="0.3">
      <c r="A7" t="s">
        <v>115</v>
      </c>
      <c r="B7">
        <f>COUNTIF(Registo_NC!$C$5:$C$19,"Avaliação da conformidade legal")</f>
        <v>3</v>
      </c>
      <c r="C7">
        <f>COUNTIFS(Registo_NC!$C$5:$C$19,"Avaliação da conformidade legal",Registo_NC!$W$5:$W$19,"&lt;&gt;Fechada")</f>
        <v>1</v>
      </c>
      <c r="D7">
        <f>COUNTIFS(Registo_NC!$C$5:$C$19,"Avaliação da conformidade legal",Registo_NC!$W$5:$W$19,"Fechada")</f>
        <v>2</v>
      </c>
      <c r="E7" s="23">
        <f>IFERROR(AVERAGEIFS(Registo_NC!$Y$5:$Y$19,Registo_NC!$C$5:$C$19,"Avaliação da conformidade legal",Registo_NC!$W$5:$W$19,"Fechada"),"")</f>
        <v>49</v>
      </c>
    </row>
    <row r="8" spans="1:5" x14ac:dyDescent="0.3">
      <c r="A8" t="s">
        <v>353</v>
      </c>
      <c r="B8">
        <f>COUNTIF(Registo_NC!$C$5:$C$19,"Monitorização e medição")</f>
        <v>0</v>
      </c>
      <c r="C8">
        <f>COUNTIFS(Registo_NC!$C$5:$C$19,"Monitorização e medição",Registo_NC!$W$5:$W$19,"&lt;&gt;Fechada")</f>
        <v>0</v>
      </c>
      <c r="D8">
        <f>COUNTIFS(Registo_NC!$C$5:$C$19,"Monitorização e medição",Registo_NC!$W$5:$W$19,"Fechada")</f>
        <v>0</v>
      </c>
      <c r="E8" s="23" t="str">
        <f>IFERROR(AVERAGEIFS(Registo_NC!$Y$5:$Y$19,Registo_NC!$C$5:$C$19,"Monitorização e medição",Registo_NC!$W$5:$W$19,"Fechada"),"")</f>
        <v/>
      </c>
    </row>
    <row r="9" spans="1:5" x14ac:dyDescent="0.3">
      <c r="A9" t="s">
        <v>129</v>
      </c>
      <c r="B9">
        <f>COUNTIF(Registo_NC!$C$5:$C$19,"Incidente ambiental")</f>
        <v>3</v>
      </c>
      <c r="C9">
        <f>COUNTIFS(Registo_NC!$C$5:$C$19,"Incidente ambiental",Registo_NC!$W$5:$W$19,"&lt;&gt;Fechada")</f>
        <v>0</v>
      </c>
      <c r="D9">
        <f>COUNTIFS(Registo_NC!$C$5:$C$19,"Incidente ambiental",Registo_NC!$W$5:$W$19,"Fechada")</f>
        <v>3</v>
      </c>
      <c r="E9" s="23">
        <f>IFERROR(AVERAGEIFS(Registo_NC!$Y$5:$Y$19,Registo_NC!$C$5:$C$19,"Incidente ambiental",Registo_NC!$W$5:$W$19,"Fechada"),"")</f>
        <v>29</v>
      </c>
    </row>
    <row r="10" spans="1:5" x14ac:dyDescent="0.3">
      <c r="A10" t="s">
        <v>354</v>
      </c>
      <c r="B10">
        <f>COUNTIF(Registo_NC!$C$5:$C$19,"Reclamação de parte interessada")</f>
        <v>0</v>
      </c>
      <c r="C10">
        <f>COUNTIFS(Registo_NC!$C$5:$C$19,"Reclamação de parte interessada",Registo_NC!$W$5:$W$19,"&lt;&gt;Fechada")</f>
        <v>0</v>
      </c>
      <c r="D10">
        <f>COUNTIFS(Registo_NC!$C$5:$C$19,"Reclamação de parte interessada",Registo_NC!$W$5:$W$19,"Fechada")</f>
        <v>0</v>
      </c>
      <c r="E10" s="23" t="str">
        <f>IFERROR(AVERAGEIFS(Registo_NC!$Y$5:$Y$19,Registo_NC!$C$5:$C$19,"Reclamação de parte interessada",Registo_NC!$W$5:$W$19,"Fechada"),"")</f>
        <v/>
      </c>
    </row>
    <row r="11" spans="1:5" x14ac:dyDescent="0.3">
      <c r="A11" t="s">
        <v>355</v>
      </c>
      <c r="B11">
        <f>COUNTIF(Registo_NC!$C$5:$C$19,"Simulacro")</f>
        <v>0</v>
      </c>
      <c r="C11">
        <f>COUNTIFS(Registo_NC!$C$5:$C$19,"Simulacro",Registo_NC!$W$5:$W$19,"&lt;&gt;Fechada")</f>
        <v>0</v>
      </c>
      <c r="D11">
        <f>COUNTIFS(Registo_NC!$C$5:$C$19,"Simulacro",Registo_NC!$W$5:$W$19,"Fechada")</f>
        <v>0</v>
      </c>
      <c r="E11" s="23" t="str">
        <f>IFERROR(AVERAGEIFS(Registo_NC!$Y$5:$Y$19,Registo_NC!$C$5:$C$19,"Simulacro",Registo_NC!$W$5:$W$19,"Fechada"),"")</f>
        <v/>
      </c>
    </row>
    <row r="13" spans="1:5" x14ac:dyDescent="0.3">
      <c r="A13" s="18" t="s">
        <v>356</v>
      </c>
      <c r="B13" s="24">
        <f>IFERROR(COUNTIF(Registo_NC!$AA$5:$AA$19,"Eficaz")/COUNTIFS(Registo_NC!$AA$5:$AA$19,"&lt;&gt;Por avaliar"),"")</f>
        <v>1</v>
      </c>
    </row>
    <row r="14" spans="1:5" x14ac:dyDescent="0.3">
      <c r="A14" s="18" t="s">
        <v>357</v>
      </c>
      <c r="B14" s="23">
        <f>COUNTIF(Registo_NC!$AC$5:$AC$19,"Sim")</f>
        <v>2</v>
      </c>
    </row>
    <row r="15" spans="1:5" x14ac:dyDescent="0.3">
      <c r="A15" s="18" t="s">
        <v>358</v>
      </c>
      <c r="B15" s="25">
        <f>SUM(Registo_NC!$AD$5:$AD$19)</f>
        <v>35730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6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" customWidth="1"/>
    <col min="3" max="3" width="8" customWidth="1"/>
    <col min="4" max="4" width="18" customWidth="1"/>
    <col min="5" max="5" width="8" customWidth="1"/>
    <col min="6" max="6" width="24" customWidth="1"/>
    <col min="7" max="7" width="44" customWidth="1"/>
    <col min="8" max="8" width="18" customWidth="1"/>
    <col min="9" max="9" width="9" customWidth="1"/>
    <col min="10" max="10" width="7" customWidth="1"/>
    <col min="11" max="11" width="18" customWidth="1"/>
    <col min="12" max="13" width="8" customWidth="1"/>
    <col min="14" max="14" width="11" customWidth="1"/>
    <col min="15" max="16" width="9" customWidth="1"/>
    <col min="17" max="17" width="8" customWidth="1"/>
    <col min="18" max="18" width="40" customWidth="1"/>
    <col min="19" max="19" width="12" customWidth="1"/>
    <col min="20" max="20" width="9" customWidth="1"/>
    <col min="21" max="21" width="22" customWidth="1"/>
    <col min="22" max="22" width="6" customWidth="1"/>
    <col min="23" max="23" width="10" customWidth="1"/>
    <col min="24" max="24" width="12" customWidth="1"/>
  </cols>
  <sheetData>
    <row r="1" spans="1:24" ht="17.399999999999999" x14ac:dyDescent="0.3">
      <c r="A1" s="1" t="s">
        <v>359</v>
      </c>
    </row>
    <row r="2" spans="1:24" x14ac:dyDescent="0.3">
      <c r="A2" s="2" t="s">
        <v>360</v>
      </c>
    </row>
    <row r="4" spans="1:24" ht="39.6" x14ac:dyDescent="0.3">
      <c r="A4" s="8" t="s">
        <v>361</v>
      </c>
      <c r="B4" s="8" t="s">
        <v>362</v>
      </c>
      <c r="C4" s="9" t="s">
        <v>363</v>
      </c>
      <c r="D4" s="8" t="s">
        <v>364</v>
      </c>
      <c r="E4" s="8" t="s">
        <v>66</v>
      </c>
      <c r="F4" s="8" t="s">
        <v>67</v>
      </c>
      <c r="G4" s="8" t="s">
        <v>71</v>
      </c>
      <c r="H4" s="8" t="s">
        <v>365</v>
      </c>
      <c r="I4" s="8" t="s">
        <v>366</v>
      </c>
      <c r="J4" s="8" t="s">
        <v>367</v>
      </c>
      <c r="K4" s="8" t="s">
        <v>368</v>
      </c>
      <c r="L4" s="8" t="s">
        <v>369</v>
      </c>
      <c r="M4" s="8" t="s">
        <v>370</v>
      </c>
      <c r="N4" s="8" t="s">
        <v>371</v>
      </c>
      <c r="O4" s="8" t="s">
        <v>372</v>
      </c>
      <c r="P4" s="8" t="s">
        <v>373</v>
      </c>
      <c r="Q4" s="8" t="s">
        <v>374</v>
      </c>
      <c r="R4" s="8" t="s">
        <v>375</v>
      </c>
      <c r="S4" s="8" t="s">
        <v>62</v>
      </c>
      <c r="T4" s="8" t="s">
        <v>90</v>
      </c>
      <c r="U4" s="8" t="s">
        <v>91</v>
      </c>
      <c r="V4" s="8" t="s">
        <v>376</v>
      </c>
      <c r="W4" s="8" t="s">
        <v>14</v>
      </c>
      <c r="X4" s="9" t="s">
        <v>377</v>
      </c>
    </row>
    <row r="5" spans="1:24" ht="40.049999999999997" customHeight="1" x14ac:dyDescent="0.3">
      <c r="A5" s="10" t="s">
        <v>378</v>
      </c>
      <c r="B5" s="11">
        <v>45734</v>
      </c>
      <c r="C5" s="12">
        <f t="shared" ref="C5:C36" si="0">IF(B5="","",YEAR(B5)*100+MONTH(B5))</f>
        <v>202503</v>
      </c>
      <c r="D5" s="10" t="s">
        <v>379</v>
      </c>
      <c r="E5" s="10" t="s">
        <v>96</v>
      </c>
      <c r="F5" s="10" t="s">
        <v>97</v>
      </c>
      <c r="G5" s="10" t="s">
        <v>380</v>
      </c>
      <c r="H5" s="10" t="s">
        <v>381</v>
      </c>
      <c r="I5" s="26">
        <v>0</v>
      </c>
      <c r="J5" s="10" t="s">
        <v>382</v>
      </c>
      <c r="K5" s="10" t="s">
        <v>383</v>
      </c>
      <c r="L5" s="10" t="s">
        <v>245</v>
      </c>
      <c r="M5" s="15">
        <v>1</v>
      </c>
      <c r="N5" s="10" t="s">
        <v>384</v>
      </c>
      <c r="O5" s="10" t="s">
        <v>112</v>
      </c>
      <c r="P5" s="10" t="s">
        <v>385</v>
      </c>
      <c r="Q5" s="10" t="s">
        <v>386</v>
      </c>
      <c r="R5" s="10" t="s">
        <v>387</v>
      </c>
      <c r="S5" s="10"/>
      <c r="T5" s="14">
        <v>0</v>
      </c>
      <c r="U5" s="10" t="s">
        <v>388</v>
      </c>
      <c r="V5" s="10" t="s">
        <v>389</v>
      </c>
      <c r="W5" s="10" t="s">
        <v>390</v>
      </c>
      <c r="X5" s="13" t="str">
        <f t="shared" ref="X5:X36" si="1">IF(M5="","",IF(M5&gt;=4,"Grave",IF(M5=3,"Moderado","Leve")))</f>
        <v>Leve</v>
      </c>
    </row>
    <row r="6" spans="1:24" ht="40.049999999999997" customHeight="1" x14ac:dyDescent="0.3">
      <c r="A6" s="10" t="s">
        <v>391</v>
      </c>
      <c r="B6" s="11">
        <v>45769</v>
      </c>
      <c r="C6" s="12">
        <f t="shared" si="0"/>
        <v>202504</v>
      </c>
      <c r="D6" s="10" t="s">
        <v>392</v>
      </c>
      <c r="E6" s="10" t="s">
        <v>235</v>
      </c>
      <c r="F6" s="10" t="s">
        <v>236</v>
      </c>
      <c r="G6" s="10" t="s">
        <v>393</v>
      </c>
      <c r="H6" s="10" t="s">
        <v>394</v>
      </c>
      <c r="I6" s="26">
        <v>2</v>
      </c>
      <c r="J6" s="10" t="s">
        <v>382</v>
      </c>
      <c r="K6" s="10" t="s">
        <v>395</v>
      </c>
      <c r="L6" s="10" t="s">
        <v>245</v>
      </c>
      <c r="M6" s="15">
        <v>2</v>
      </c>
      <c r="N6" s="10" t="s">
        <v>384</v>
      </c>
      <c r="O6" s="10" t="s">
        <v>112</v>
      </c>
      <c r="P6" s="10" t="s">
        <v>385</v>
      </c>
      <c r="Q6" s="10" t="s">
        <v>396</v>
      </c>
      <c r="R6" s="10" t="s">
        <v>397</v>
      </c>
      <c r="S6" s="10"/>
      <c r="T6" s="14">
        <v>60</v>
      </c>
      <c r="U6" s="10" t="s">
        <v>398</v>
      </c>
      <c r="V6" s="10" t="s">
        <v>399</v>
      </c>
      <c r="W6" s="10" t="s">
        <v>390</v>
      </c>
      <c r="X6" s="13" t="str">
        <f t="shared" si="1"/>
        <v>Leve</v>
      </c>
    </row>
    <row r="7" spans="1:24" ht="40.049999999999997" customHeight="1" x14ac:dyDescent="0.3">
      <c r="A7" s="10" t="s">
        <v>400</v>
      </c>
      <c r="B7" s="11">
        <v>45807</v>
      </c>
      <c r="C7" s="12">
        <f t="shared" si="0"/>
        <v>202505</v>
      </c>
      <c r="D7" s="10" t="s">
        <v>401</v>
      </c>
      <c r="E7" s="10" t="s">
        <v>402</v>
      </c>
      <c r="F7" s="10" t="s">
        <v>403</v>
      </c>
      <c r="G7" s="10" t="s">
        <v>404</v>
      </c>
      <c r="H7" s="10" t="s">
        <v>405</v>
      </c>
      <c r="I7" s="26">
        <v>5</v>
      </c>
      <c r="J7" s="10" t="s">
        <v>406</v>
      </c>
      <c r="K7" s="10" t="s">
        <v>407</v>
      </c>
      <c r="L7" s="10" t="s">
        <v>112</v>
      </c>
      <c r="M7" s="15">
        <v>2</v>
      </c>
      <c r="N7" s="10" t="s">
        <v>384</v>
      </c>
      <c r="O7" s="10" t="s">
        <v>112</v>
      </c>
      <c r="P7" s="10" t="s">
        <v>408</v>
      </c>
      <c r="Q7" s="10" t="s">
        <v>409</v>
      </c>
      <c r="R7" s="10" t="s">
        <v>410</v>
      </c>
      <c r="S7" s="10"/>
      <c r="T7" s="14">
        <v>120</v>
      </c>
      <c r="U7" s="10" t="s">
        <v>411</v>
      </c>
      <c r="V7" s="10" t="s">
        <v>389</v>
      </c>
      <c r="W7" s="10" t="s">
        <v>390</v>
      </c>
      <c r="X7" s="13" t="str">
        <f t="shared" si="1"/>
        <v>Leve</v>
      </c>
    </row>
    <row r="8" spans="1:24" ht="40.049999999999997" customHeight="1" x14ac:dyDescent="0.3">
      <c r="A8" s="10" t="s">
        <v>412</v>
      </c>
      <c r="B8" s="11">
        <v>45834</v>
      </c>
      <c r="C8" s="12">
        <f t="shared" si="0"/>
        <v>202506</v>
      </c>
      <c r="D8" s="10" t="s">
        <v>413</v>
      </c>
      <c r="E8" s="10" t="s">
        <v>235</v>
      </c>
      <c r="F8" s="10" t="s">
        <v>414</v>
      </c>
      <c r="G8" s="10" t="s">
        <v>415</v>
      </c>
      <c r="H8" s="10" t="s">
        <v>416</v>
      </c>
      <c r="I8" s="26"/>
      <c r="J8" s="10"/>
      <c r="K8" s="10" t="s">
        <v>417</v>
      </c>
      <c r="L8" s="10" t="s">
        <v>245</v>
      </c>
      <c r="M8" s="15">
        <v>2</v>
      </c>
      <c r="N8" s="10" t="s">
        <v>384</v>
      </c>
      <c r="O8" s="10" t="s">
        <v>112</v>
      </c>
      <c r="P8" s="10"/>
      <c r="Q8" s="10" t="s">
        <v>418</v>
      </c>
      <c r="R8" s="10" t="s">
        <v>419</v>
      </c>
      <c r="S8" s="10"/>
      <c r="T8" s="14">
        <v>0</v>
      </c>
      <c r="U8" s="10" t="s">
        <v>420</v>
      </c>
      <c r="V8" s="10"/>
      <c r="W8" s="10" t="s">
        <v>390</v>
      </c>
      <c r="X8" s="13" t="str">
        <f t="shared" si="1"/>
        <v>Leve</v>
      </c>
    </row>
    <row r="9" spans="1:24" ht="40.049999999999997" customHeight="1" x14ac:dyDescent="0.3">
      <c r="A9" s="10" t="s">
        <v>421</v>
      </c>
      <c r="B9" s="11">
        <v>45853</v>
      </c>
      <c r="C9" s="12">
        <f t="shared" si="0"/>
        <v>202507</v>
      </c>
      <c r="D9" s="10" t="s">
        <v>422</v>
      </c>
      <c r="E9" s="10" t="s">
        <v>184</v>
      </c>
      <c r="F9" s="10" t="s">
        <v>423</v>
      </c>
      <c r="G9" s="10" t="s">
        <v>424</v>
      </c>
      <c r="H9" s="10" t="s">
        <v>425</v>
      </c>
      <c r="I9" s="26">
        <v>5</v>
      </c>
      <c r="J9" s="10" t="s">
        <v>382</v>
      </c>
      <c r="K9" s="10" t="s">
        <v>395</v>
      </c>
      <c r="L9" s="10" t="s">
        <v>245</v>
      </c>
      <c r="M9" s="15">
        <v>1</v>
      </c>
      <c r="N9" s="10" t="s">
        <v>384</v>
      </c>
      <c r="O9" s="10" t="s">
        <v>112</v>
      </c>
      <c r="P9" s="10" t="s">
        <v>426</v>
      </c>
      <c r="Q9" s="10" t="s">
        <v>427</v>
      </c>
      <c r="R9" s="10" t="s">
        <v>428</v>
      </c>
      <c r="S9" s="10"/>
      <c r="T9" s="14">
        <v>40</v>
      </c>
      <c r="U9" s="10" t="s">
        <v>265</v>
      </c>
      <c r="V9" s="10" t="s">
        <v>429</v>
      </c>
      <c r="W9" s="10" t="s">
        <v>390</v>
      </c>
      <c r="X9" s="13" t="str">
        <f t="shared" si="1"/>
        <v>Leve</v>
      </c>
    </row>
    <row r="10" spans="1:24" ht="40.049999999999997" customHeight="1" x14ac:dyDescent="0.3">
      <c r="A10" s="10" t="s">
        <v>430</v>
      </c>
      <c r="B10" s="11">
        <v>45881</v>
      </c>
      <c r="C10" s="12">
        <f t="shared" si="0"/>
        <v>202508</v>
      </c>
      <c r="D10" s="10" t="s">
        <v>431</v>
      </c>
      <c r="E10" s="10" t="s">
        <v>131</v>
      </c>
      <c r="F10" s="10" t="s">
        <v>432</v>
      </c>
      <c r="G10" s="10" t="s">
        <v>433</v>
      </c>
      <c r="H10" s="10" t="s">
        <v>434</v>
      </c>
      <c r="I10" s="26">
        <v>40</v>
      </c>
      <c r="J10" s="10" t="s">
        <v>382</v>
      </c>
      <c r="K10" s="10" t="s">
        <v>435</v>
      </c>
      <c r="L10" s="10" t="s">
        <v>112</v>
      </c>
      <c r="M10" s="15">
        <v>3</v>
      </c>
      <c r="N10" s="10" t="s">
        <v>436</v>
      </c>
      <c r="O10" s="10" t="s">
        <v>245</v>
      </c>
      <c r="P10" s="10" t="s">
        <v>437</v>
      </c>
      <c r="Q10" s="10" t="s">
        <v>438</v>
      </c>
      <c r="R10" s="10" t="s">
        <v>439</v>
      </c>
      <c r="S10" s="10"/>
      <c r="T10" s="14">
        <v>850</v>
      </c>
      <c r="U10" s="10" t="s">
        <v>440</v>
      </c>
      <c r="V10" s="10" t="s">
        <v>399</v>
      </c>
      <c r="W10" s="10" t="s">
        <v>390</v>
      </c>
      <c r="X10" s="13" t="str">
        <f t="shared" si="1"/>
        <v>Moderado</v>
      </c>
    </row>
    <row r="11" spans="1:24" ht="40.049999999999997" customHeight="1" x14ac:dyDescent="0.3">
      <c r="A11" s="10" t="s">
        <v>130</v>
      </c>
      <c r="B11" s="11">
        <v>45979</v>
      </c>
      <c r="C11" s="12">
        <f t="shared" si="0"/>
        <v>202511</v>
      </c>
      <c r="D11" s="10" t="s">
        <v>441</v>
      </c>
      <c r="E11" s="10" t="s">
        <v>131</v>
      </c>
      <c r="F11" s="10" t="s">
        <v>132</v>
      </c>
      <c r="G11" s="10" t="s">
        <v>442</v>
      </c>
      <c r="H11" s="10" t="s">
        <v>443</v>
      </c>
      <c r="I11" s="26">
        <v>3.2</v>
      </c>
      <c r="J11" s="10" t="s">
        <v>406</v>
      </c>
      <c r="K11" s="10" t="s">
        <v>417</v>
      </c>
      <c r="L11" s="10" t="s">
        <v>112</v>
      </c>
      <c r="M11" s="15">
        <v>3</v>
      </c>
      <c r="N11" s="10" t="s">
        <v>436</v>
      </c>
      <c r="O11" s="10" t="s">
        <v>112</v>
      </c>
      <c r="P11" s="10" t="s">
        <v>444</v>
      </c>
      <c r="Q11" s="10" t="s">
        <v>445</v>
      </c>
      <c r="R11" s="10" t="s">
        <v>446</v>
      </c>
      <c r="S11" s="10" t="s">
        <v>128</v>
      </c>
      <c r="T11" s="14">
        <v>1450</v>
      </c>
      <c r="U11" s="10" t="s">
        <v>447</v>
      </c>
      <c r="V11" s="10" t="s">
        <v>389</v>
      </c>
      <c r="W11" s="10" t="s">
        <v>390</v>
      </c>
      <c r="X11" s="13" t="str">
        <f t="shared" si="1"/>
        <v>Moderado</v>
      </c>
    </row>
    <row r="12" spans="1:24" ht="40.049999999999997" customHeight="1" x14ac:dyDescent="0.3">
      <c r="A12" s="10" t="s">
        <v>448</v>
      </c>
      <c r="B12" s="11">
        <v>46000</v>
      </c>
      <c r="C12" s="12">
        <f t="shared" si="0"/>
        <v>202512</v>
      </c>
      <c r="D12" s="10" t="s">
        <v>379</v>
      </c>
      <c r="E12" s="10" t="s">
        <v>117</v>
      </c>
      <c r="F12" s="10" t="s">
        <v>118</v>
      </c>
      <c r="G12" s="10" t="s">
        <v>449</v>
      </c>
      <c r="H12" s="10" t="s">
        <v>450</v>
      </c>
      <c r="I12" s="26">
        <v>0</v>
      </c>
      <c r="J12" s="10" t="s">
        <v>382</v>
      </c>
      <c r="K12" s="10" t="s">
        <v>383</v>
      </c>
      <c r="L12" s="10" t="s">
        <v>245</v>
      </c>
      <c r="M12" s="15">
        <v>1</v>
      </c>
      <c r="N12" s="10" t="s">
        <v>384</v>
      </c>
      <c r="O12" s="10" t="s">
        <v>112</v>
      </c>
      <c r="P12" s="10" t="s">
        <v>385</v>
      </c>
      <c r="Q12" s="10" t="s">
        <v>451</v>
      </c>
      <c r="R12" s="10" t="s">
        <v>452</v>
      </c>
      <c r="S12" s="10"/>
      <c r="T12" s="14">
        <v>0</v>
      </c>
      <c r="U12" s="10" t="s">
        <v>453</v>
      </c>
      <c r="V12" s="10" t="s">
        <v>389</v>
      </c>
      <c r="W12" s="10" t="s">
        <v>390</v>
      </c>
      <c r="X12" s="13" t="str">
        <f t="shared" si="1"/>
        <v>Leve</v>
      </c>
    </row>
    <row r="13" spans="1:24" ht="40.049999999999997" customHeight="1" x14ac:dyDescent="0.3">
      <c r="A13" s="10" t="s">
        <v>454</v>
      </c>
      <c r="B13" s="11">
        <v>46042</v>
      </c>
      <c r="C13" s="12">
        <f t="shared" si="0"/>
        <v>202601</v>
      </c>
      <c r="D13" s="10" t="s">
        <v>392</v>
      </c>
      <c r="E13" s="10" t="s">
        <v>455</v>
      </c>
      <c r="F13" s="10" t="s">
        <v>456</v>
      </c>
      <c r="G13" s="10" t="s">
        <v>457</v>
      </c>
      <c r="H13" s="10" t="s">
        <v>458</v>
      </c>
      <c r="I13" s="26">
        <v>3</v>
      </c>
      <c r="J13" s="10" t="s">
        <v>382</v>
      </c>
      <c r="K13" s="10" t="s">
        <v>395</v>
      </c>
      <c r="L13" s="10" t="s">
        <v>245</v>
      </c>
      <c r="M13" s="15">
        <v>1</v>
      </c>
      <c r="N13" s="10" t="s">
        <v>384</v>
      </c>
      <c r="O13" s="10" t="s">
        <v>112</v>
      </c>
      <c r="P13" s="10" t="s">
        <v>426</v>
      </c>
      <c r="Q13" s="10" t="s">
        <v>459</v>
      </c>
      <c r="R13" s="10" t="s">
        <v>460</v>
      </c>
      <c r="S13" s="10"/>
      <c r="T13" s="14">
        <v>30</v>
      </c>
      <c r="U13" s="10" t="s">
        <v>447</v>
      </c>
      <c r="V13" s="10" t="s">
        <v>389</v>
      </c>
      <c r="W13" s="10" t="s">
        <v>390</v>
      </c>
      <c r="X13" s="13" t="str">
        <f t="shared" si="1"/>
        <v>Leve</v>
      </c>
    </row>
    <row r="14" spans="1:24" ht="40.049999999999997" customHeight="1" x14ac:dyDescent="0.3">
      <c r="A14" s="10" t="s">
        <v>144</v>
      </c>
      <c r="B14" s="11">
        <v>46064</v>
      </c>
      <c r="C14" s="12">
        <f t="shared" si="0"/>
        <v>202602</v>
      </c>
      <c r="D14" s="10" t="s">
        <v>422</v>
      </c>
      <c r="E14" s="10" t="s">
        <v>145</v>
      </c>
      <c r="F14" s="10" t="s">
        <v>146</v>
      </c>
      <c r="G14" s="10" t="s">
        <v>461</v>
      </c>
      <c r="H14" s="10" t="s">
        <v>425</v>
      </c>
      <c r="I14" s="26">
        <v>15</v>
      </c>
      <c r="J14" s="10" t="s">
        <v>382</v>
      </c>
      <c r="K14" s="10" t="s">
        <v>395</v>
      </c>
      <c r="L14" s="10" t="s">
        <v>245</v>
      </c>
      <c r="M14" s="15">
        <v>2</v>
      </c>
      <c r="N14" s="10" t="s">
        <v>436</v>
      </c>
      <c r="O14" s="10" t="s">
        <v>112</v>
      </c>
      <c r="P14" s="10" t="s">
        <v>426</v>
      </c>
      <c r="Q14" s="10" t="s">
        <v>462</v>
      </c>
      <c r="R14" s="10" t="s">
        <v>463</v>
      </c>
      <c r="S14" s="10" t="s">
        <v>143</v>
      </c>
      <c r="T14" s="14">
        <v>900</v>
      </c>
      <c r="U14" s="10" t="s">
        <v>464</v>
      </c>
      <c r="V14" s="10" t="s">
        <v>399</v>
      </c>
      <c r="W14" s="10" t="s">
        <v>390</v>
      </c>
      <c r="X14" s="13" t="str">
        <f t="shared" si="1"/>
        <v>Leve</v>
      </c>
    </row>
    <row r="15" spans="1:24" ht="40.049999999999997" customHeight="1" x14ac:dyDescent="0.3">
      <c r="A15" s="10" t="s">
        <v>465</v>
      </c>
      <c r="B15" s="11">
        <v>46086</v>
      </c>
      <c r="C15" s="12">
        <f t="shared" si="0"/>
        <v>202603</v>
      </c>
      <c r="D15" s="10" t="s">
        <v>401</v>
      </c>
      <c r="E15" s="10" t="s">
        <v>402</v>
      </c>
      <c r="F15" s="10" t="s">
        <v>466</v>
      </c>
      <c r="G15" s="10" t="s">
        <v>467</v>
      </c>
      <c r="H15" s="10" t="s">
        <v>468</v>
      </c>
      <c r="I15" s="26">
        <v>8</v>
      </c>
      <c r="J15" s="10" t="s">
        <v>406</v>
      </c>
      <c r="K15" s="10" t="s">
        <v>407</v>
      </c>
      <c r="L15" s="10" t="s">
        <v>112</v>
      </c>
      <c r="M15" s="15">
        <v>2</v>
      </c>
      <c r="N15" s="10" t="s">
        <v>384</v>
      </c>
      <c r="O15" s="10" t="s">
        <v>112</v>
      </c>
      <c r="P15" s="10" t="s">
        <v>408</v>
      </c>
      <c r="Q15" s="10" t="s">
        <v>409</v>
      </c>
      <c r="R15" s="10" t="s">
        <v>469</v>
      </c>
      <c r="S15" s="10"/>
      <c r="T15" s="14">
        <v>150</v>
      </c>
      <c r="U15" s="10" t="s">
        <v>411</v>
      </c>
      <c r="V15" s="10" t="s">
        <v>389</v>
      </c>
      <c r="W15" s="10" t="s">
        <v>390</v>
      </c>
      <c r="X15" s="13" t="str">
        <f t="shared" si="1"/>
        <v>Leve</v>
      </c>
    </row>
    <row r="16" spans="1:24" ht="40.049999999999997" customHeight="1" x14ac:dyDescent="0.3">
      <c r="A16" s="10" t="s">
        <v>470</v>
      </c>
      <c r="B16" s="11">
        <v>46129</v>
      </c>
      <c r="C16" s="12">
        <f t="shared" si="0"/>
        <v>202604</v>
      </c>
      <c r="D16" s="10" t="s">
        <v>379</v>
      </c>
      <c r="E16" s="10" t="s">
        <v>402</v>
      </c>
      <c r="F16" s="10" t="s">
        <v>471</v>
      </c>
      <c r="G16" s="10" t="s">
        <v>472</v>
      </c>
      <c r="H16" s="10" t="s">
        <v>473</v>
      </c>
      <c r="I16" s="26">
        <v>1</v>
      </c>
      <c r="J16" s="10" t="s">
        <v>406</v>
      </c>
      <c r="K16" s="10" t="s">
        <v>395</v>
      </c>
      <c r="L16" s="10" t="s">
        <v>245</v>
      </c>
      <c r="M16" s="15">
        <v>1</v>
      </c>
      <c r="N16" s="10" t="s">
        <v>384</v>
      </c>
      <c r="O16" s="10" t="s">
        <v>112</v>
      </c>
      <c r="P16" s="10" t="s">
        <v>408</v>
      </c>
      <c r="Q16" s="10" t="s">
        <v>409</v>
      </c>
      <c r="R16" s="10" t="s">
        <v>474</v>
      </c>
      <c r="S16" s="10"/>
      <c r="T16" s="14">
        <v>20</v>
      </c>
      <c r="U16" s="10" t="s">
        <v>388</v>
      </c>
      <c r="V16" s="10" t="s">
        <v>399</v>
      </c>
      <c r="W16" s="10" t="s">
        <v>390</v>
      </c>
      <c r="X16" s="13" t="str">
        <f t="shared" si="1"/>
        <v>Leve</v>
      </c>
    </row>
    <row r="17" spans="1:24" ht="40.049999999999997" customHeight="1" x14ac:dyDescent="0.3">
      <c r="A17" s="10" t="s">
        <v>475</v>
      </c>
      <c r="B17" s="11">
        <v>46170</v>
      </c>
      <c r="C17" s="12">
        <f t="shared" si="0"/>
        <v>202605</v>
      </c>
      <c r="D17" s="10" t="s">
        <v>392</v>
      </c>
      <c r="E17" s="10" t="s">
        <v>235</v>
      </c>
      <c r="F17" s="10" t="s">
        <v>476</v>
      </c>
      <c r="G17" s="10" t="s">
        <v>477</v>
      </c>
      <c r="H17" s="10" t="s">
        <v>381</v>
      </c>
      <c r="I17" s="26">
        <v>1</v>
      </c>
      <c r="J17" s="10" t="s">
        <v>382</v>
      </c>
      <c r="K17" s="10" t="s">
        <v>395</v>
      </c>
      <c r="L17" s="10" t="s">
        <v>245</v>
      </c>
      <c r="M17" s="15">
        <v>1</v>
      </c>
      <c r="N17" s="10" t="s">
        <v>384</v>
      </c>
      <c r="O17" s="10" t="s">
        <v>112</v>
      </c>
      <c r="P17" s="10" t="s">
        <v>385</v>
      </c>
      <c r="Q17" s="10" t="s">
        <v>418</v>
      </c>
      <c r="R17" s="10" t="s">
        <v>478</v>
      </c>
      <c r="S17" s="10"/>
      <c r="T17" s="14">
        <v>15</v>
      </c>
      <c r="U17" s="10" t="s">
        <v>398</v>
      </c>
      <c r="V17" s="10" t="s">
        <v>429</v>
      </c>
      <c r="W17" s="10" t="s">
        <v>390</v>
      </c>
      <c r="X17" s="13" t="str">
        <f t="shared" si="1"/>
        <v>Leve</v>
      </c>
    </row>
    <row r="18" spans="1:24" ht="40.049999999999997" customHeight="1" x14ac:dyDescent="0.3">
      <c r="A18" s="10" t="s">
        <v>479</v>
      </c>
      <c r="B18" s="11">
        <v>46196</v>
      </c>
      <c r="C18" s="12">
        <f t="shared" si="0"/>
        <v>202606</v>
      </c>
      <c r="D18" s="10" t="s">
        <v>413</v>
      </c>
      <c r="E18" s="10" t="s">
        <v>131</v>
      </c>
      <c r="F18" s="10" t="s">
        <v>480</v>
      </c>
      <c r="G18" s="10" t="s">
        <v>481</v>
      </c>
      <c r="H18" s="10" t="s">
        <v>482</v>
      </c>
      <c r="I18" s="26"/>
      <c r="J18" s="10"/>
      <c r="K18" s="10" t="s">
        <v>482</v>
      </c>
      <c r="L18" s="10" t="s">
        <v>112</v>
      </c>
      <c r="M18" s="15">
        <v>2</v>
      </c>
      <c r="N18" s="10" t="s">
        <v>384</v>
      </c>
      <c r="O18" s="10" t="s">
        <v>112</v>
      </c>
      <c r="P18" s="10"/>
      <c r="Q18" s="10" t="s">
        <v>483</v>
      </c>
      <c r="R18" s="10" t="s">
        <v>484</v>
      </c>
      <c r="S18" s="10" t="s">
        <v>154</v>
      </c>
      <c r="T18" s="14">
        <v>0</v>
      </c>
      <c r="U18" s="10" t="s">
        <v>420</v>
      </c>
      <c r="V18" s="10"/>
      <c r="W18" s="10" t="s">
        <v>390</v>
      </c>
      <c r="X18" s="13" t="str">
        <f t="shared" si="1"/>
        <v>Leve</v>
      </c>
    </row>
    <row r="19" spans="1:24" ht="40.049999999999997" customHeight="1" x14ac:dyDescent="0.3">
      <c r="A19" s="10" t="s">
        <v>485</v>
      </c>
      <c r="B19" s="11">
        <v>46211</v>
      </c>
      <c r="C19" s="12">
        <f t="shared" si="0"/>
        <v>202607</v>
      </c>
      <c r="D19" s="10" t="s">
        <v>413</v>
      </c>
      <c r="E19" s="10" t="s">
        <v>131</v>
      </c>
      <c r="F19" s="10" t="s">
        <v>480</v>
      </c>
      <c r="G19" s="10" t="s">
        <v>486</v>
      </c>
      <c r="H19" s="10" t="s">
        <v>482</v>
      </c>
      <c r="I19" s="26"/>
      <c r="J19" s="10"/>
      <c r="K19" s="10" t="s">
        <v>482</v>
      </c>
      <c r="L19" s="10" t="s">
        <v>112</v>
      </c>
      <c r="M19" s="15">
        <v>2</v>
      </c>
      <c r="N19" s="10" t="s">
        <v>384</v>
      </c>
      <c r="O19" s="10" t="s">
        <v>112</v>
      </c>
      <c r="P19" s="10"/>
      <c r="Q19" s="10" t="s">
        <v>483</v>
      </c>
      <c r="R19" s="10" t="s">
        <v>487</v>
      </c>
      <c r="S19" s="10" t="s">
        <v>154</v>
      </c>
      <c r="T19" s="14">
        <v>0</v>
      </c>
      <c r="U19" s="10" t="s">
        <v>420</v>
      </c>
      <c r="V19" s="10"/>
      <c r="W19" s="10" t="s">
        <v>390</v>
      </c>
      <c r="X19" s="13" t="str">
        <f t="shared" si="1"/>
        <v>Leve</v>
      </c>
    </row>
    <row r="20" spans="1:24" ht="40.049999999999997" customHeight="1" x14ac:dyDescent="0.3">
      <c r="A20" s="10" t="s">
        <v>488</v>
      </c>
      <c r="B20" s="11">
        <v>46224</v>
      </c>
      <c r="C20" s="12">
        <f t="shared" si="0"/>
        <v>202607</v>
      </c>
      <c r="D20" s="10" t="s">
        <v>489</v>
      </c>
      <c r="E20" s="10" t="s">
        <v>131</v>
      </c>
      <c r="F20" s="10" t="s">
        <v>432</v>
      </c>
      <c r="G20" s="10" t="s">
        <v>490</v>
      </c>
      <c r="H20" s="10" t="s">
        <v>491</v>
      </c>
      <c r="I20" s="26">
        <v>95</v>
      </c>
      <c r="J20" s="10" t="s">
        <v>492</v>
      </c>
      <c r="K20" s="10" t="s">
        <v>493</v>
      </c>
      <c r="L20" s="10" t="s">
        <v>245</v>
      </c>
      <c r="M20" s="15">
        <v>1</v>
      </c>
      <c r="N20" s="10" t="s">
        <v>384</v>
      </c>
      <c r="O20" s="10" t="s">
        <v>112</v>
      </c>
      <c r="P20" s="10"/>
      <c r="Q20" s="10" t="s">
        <v>494</v>
      </c>
      <c r="R20" s="10" t="s">
        <v>495</v>
      </c>
      <c r="S20" s="10"/>
      <c r="T20" s="14">
        <v>0</v>
      </c>
      <c r="U20" s="10" t="s">
        <v>440</v>
      </c>
      <c r="V20" s="10" t="s">
        <v>399</v>
      </c>
      <c r="W20" s="10" t="s">
        <v>390</v>
      </c>
      <c r="X20" s="13" t="str">
        <f t="shared" si="1"/>
        <v>Leve</v>
      </c>
    </row>
    <row r="21" spans="1:24" ht="40.049999999999997" customHeight="1" x14ac:dyDescent="0.3">
      <c r="A21" s="10" t="s">
        <v>496</v>
      </c>
      <c r="B21" s="11">
        <v>46238</v>
      </c>
      <c r="C21" s="12">
        <f t="shared" si="0"/>
        <v>202608</v>
      </c>
      <c r="D21" s="10" t="s">
        <v>401</v>
      </c>
      <c r="E21" s="10" t="s">
        <v>402</v>
      </c>
      <c r="F21" s="10" t="s">
        <v>403</v>
      </c>
      <c r="G21" s="10" t="s">
        <v>497</v>
      </c>
      <c r="H21" s="10" t="s">
        <v>405</v>
      </c>
      <c r="I21" s="26">
        <v>12</v>
      </c>
      <c r="J21" s="10" t="s">
        <v>406</v>
      </c>
      <c r="K21" s="10" t="s">
        <v>407</v>
      </c>
      <c r="L21" s="10" t="s">
        <v>112</v>
      </c>
      <c r="M21" s="15">
        <v>3</v>
      </c>
      <c r="N21" s="10" t="s">
        <v>436</v>
      </c>
      <c r="O21" s="10" t="s">
        <v>112</v>
      </c>
      <c r="P21" s="10" t="s">
        <v>408</v>
      </c>
      <c r="Q21" s="10" t="s">
        <v>409</v>
      </c>
      <c r="R21" s="10" t="s">
        <v>498</v>
      </c>
      <c r="S21" s="10"/>
      <c r="T21" s="14">
        <v>380</v>
      </c>
      <c r="U21" s="10" t="s">
        <v>411</v>
      </c>
      <c r="V21" s="10" t="s">
        <v>389</v>
      </c>
      <c r="W21" s="10" t="s">
        <v>390</v>
      </c>
      <c r="X21" s="13" t="str">
        <f t="shared" si="1"/>
        <v>Moderado</v>
      </c>
    </row>
    <row r="22" spans="1:24" ht="40.049999999999997" customHeight="1" x14ac:dyDescent="0.3">
      <c r="A22" s="10" t="s">
        <v>499</v>
      </c>
      <c r="B22" s="11">
        <v>46253</v>
      </c>
      <c r="C22" s="12">
        <f t="shared" si="0"/>
        <v>202608</v>
      </c>
      <c r="D22" s="10" t="s">
        <v>489</v>
      </c>
      <c r="E22" s="10" t="s">
        <v>131</v>
      </c>
      <c r="F22" s="10" t="s">
        <v>500</v>
      </c>
      <c r="G22" s="10" t="s">
        <v>501</v>
      </c>
      <c r="H22" s="10" t="s">
        <v>502</v>
      </c>
      <c r="I22" s="26"/>
      <c r="J22" s="10"/>
      <c r="K22" s="10" t="s">
        <v>493</v>
      </c>
      <c r="L22" s="10" t="s">
        <v>245</v>
      </c>
      <c r="M22" s="15">
        <v>1</v>
      </c>
      <c r="N22" s="10" t="s">
        <v>384</v>
      </c>
      <c r="O22" s="10" t="s">
        <v>112</v>
      </c>
      <c r="P22" s="10"/>
      <c r="Q22" s="10" t="s">
        <v>503</v>
      </c>
      <c r="R22" s="10" t="s">
        <v>504</v>
      </c>
      <c r="S22" s="10"/>
      <c r="T22" s="14">
        <v>45</v>
      </c>
      <c r="U22" s="10" t="s">
        <v>440</v>
      </c>
      <c r="V22" s="10" t="s">
        <v>399</v>
      </c>
      <c r="W22" s="10" t="s">
        <v>390</v>
      </c>
      <c r="X22" s="13" t="str">
        <f t="shared" si="1"/>
        <v>Leve</v>
      </c>
    </row>
    <row r="23" spans="1:24" ht="40.049999999999997" customHeight="1" x14ac:dyDescent="0.3">
      <c r="A23" s="10" t="s">
        <v>505</v>
      </c>
      <c r="B23" s="11">
        <v>46277</v>
      </c>
      <c r="C23" s="12">
        <f t="shared" si="0"/>
        <v>202609</v>
      </c>
      <c r="D23" s="10" t="s">
        <v>392</v>
      </c>
      <c r="E23" s="10" t="s">
        <v>184</v>
      </c>
      <c r="F23" s="10" t="s">
        <v>506</v>
      </c>
      <c r="G23" s="10" t="s">
        <v>507</v>
      </c>
      <c r="H23" s="10" t="s">
        <v>394</v>
      </c>
      <c r="I23" s="26">
        <v>4</v>
      </c>
      <c r="J23" s="10" t="s">
        <v>382</v>
      </c>
      <c r="K23" s="10" t="s">
        <v>395</v>
      </c>
      <c r="L23" s="10" t="s">
        <v>245</v>
      </c>
      <c r="M23" s="15">
        <v>2</v>
      </c>
      <c r="N23" s="10" t="s">
        <v>436</v>
      </c>
      <c r="O23" s="10" t="s">
        <v>112</v>
      </c>
      <c r="P23" s="10" t="s">
        <v>385</v>
      </c>
      <c r="Q23" s="10" t="s">
        <v>386</v>
      </c>
      <c r="R23" s="10" t="s">
        <v>508</v>
      </c>
      <c r="S23" s="10" t="s">
        <v>181</v>
      </c>
      <c r="T23" s="14">
        <v>90</v>
      </c>
      <c r="U23" s="10" t="s">
        <v>411</v>
      </c>
      <c r="V23" s="10" t="s">
        <v>399</v>
      </c>
      <c r="W23" s="10" t="s">
        <v>390</v>
      </c>
      <c r="X23" s="13" t="str">
        <f t="shared" si="1"/>
        <v>Leve</v>
      </c>
    </row>
    <row r="24" spans="1:24" ht="40.049999999999997" customHeight="1" x14ac:dyDescent="0.3">
      <c r="A24" s="10" t="s">
        <v>257</v>
      </c>
      <c r="B24" s="11">
        <v>46332</v>
      </c>
      <c r="C24" s="12">
        <f t="shared" si="0"/>
        <v>202611</v>
      </c>
      <c r="D24" s="10" t="s">
        <v>422</v>
      </c>
      <c r="E24" s="10" t="s">
        <v>184</v>
      </c>
      <c r="F24" s="10" t="s">
        <v>258</v>
      </c>
      <c r="G24" s="10" t="s">
        <v>509</v>
      </c>
      <c r="H24" s="10" t="s">
        <v>425</v>
      </c>
      <c r="I24" s="26">
        <v>8</v>
      </c>
      <c r="J24" s="10" t="s">
        <v>382</v>
      </c>
      <c r="K24" s="10" t="s">
        <v>395</v>
      </c>
      <c r="L24" s="10" t="s">
        <v>245</v>
      </c>
      <c r="M24" s="15">
        <v>2</v>
      </c>
      <c r="N24" s="10" t="s">
        <v>384</v>
      </c>
      <c r="O24" s="10" t="s">
        <v>112</v>
      </c>
      <c r="P24" s="10" t="s">
        <v>426</v>
      </c>
      <c r="Q24" s="10" t="s">
        <v>427</v>
      </c>
      <c r="R24" s="10" t="s">
        <v>510</v>
      </c>
      <c r="S24" s="10" t="s">
        <v>256</v>
      </c>
      <c r="T24" s="14">
        <v>260</v>
      </c>
      <c r="U24" s="10" t="s">
        <v>265</v>
      </c>
      <c r="V24" s="10" t="s">
        <v>389</v>
      </c>
      <c r="W24" s="10" t="s">
        <v>390</v>
      </c>
      <c r="X24" s="13" t="str">
        <f t="shared" si="1"/>
        <v>Leve</v>
      </c>
    </row>
    <row r="25" spans="1:24" ht="40.049999999999997" customHeight="1" x14ac:dyDescent="0.3">
      <c r="A25" s="10" t="s">
        <v>511</v>
      </c>
      <c r="B25" s="11">
        <v>46373</v>
      </c>
      <c r="C25" s="12">
        <f t="shared" si="0"/>
        <v>202612</v>
      </c>
      <c r="D25" s="10" t="s">
        <v>379</v>
      </c>
      <c r="E25" s="10" t="s">
        <v>96</v>
      </c>
      <c r="F25" s="10" t="s">
        <v>97</v>
      </c>
      <c r="G25" s="10" t="s">
        <v>512</v>
      </c>
      <c r="H25" s="10" t="s">
        <v>425</v>
      </c>
      <c r="I25" s="26"/>
      <c r="J25" s="10"/>
      <c r="K25" s="10" t="s">
        <v>383</v>
      </c>
      <c r="L25" s="10" t="s">
        <v>245</v>
      </c>
      <c r="M25" s="15">
        <v>1</v>
      </c>
      <c r="N25" s="10" t="s">
        <v>384</v>
      </c>
      <c r="O25" s="10" t="s">
        <v>112</v>
      </c>
      <c r="P25" s="10" t="s">
        <v>385</v>
      </c>
      <c r="Q25" s="10" t="s">
        <v>386</v>
      </c>
      <c r="R25" s="10" t="s">
        <v>513</v>
      </c>
      <c r="S25" s="10"/>
      <c r="T25" s="14">
        <v>120</v>
      </c>
      <c r="U25" s="10" t="s">
        <v>388</v>
      </c>
      <c r="V25" s="10" t="s">
        <v>399</v>
      </c>
      <c r="W25" s="10" t="s">
        <v>390</v>
      </c>
      <c r="X25" s="13" t="str">
        <f t="shared" si="1"/>
        <v>Leve</v>
      </c>
    </row>
    <row r="26" spans="1:24" ht="40.049999999999997" customHeight="1" x14ac:dyDescent="0.3">
      <c r="A26" s="10"/>
      <c r="B26" s="11"/>
      <c r="C26" s="12" t="str">
        <f t="shared" si="0"/>
        <v/>
      </c>
      <c r="D26" s="10"/>
      <c r="E26" s="10"/>
      <c r="F26" s="10"/>
      <c r="G26" s="10"/>
      <c r="H26" s="10"/>
      <c r="I26" s="26"/>
      <c r="J26" s="10"/>
      <c r="K26" s="10"/>
      <c r="L26" s="10"/>
      <c r="M26" s="15"/>
      <c r="N26" s="10"/>
      <c r="O26" s="10"/>
      <c r="P26" s="10"/>
      <c r="Q26" s="10"/>
      <c r="R26" s="10"/>
      <c r="S26" s="10"/>
      <c r="T26" s="14"/>
      <c r="U26" s="10"/>
      <c r="V26" s="10"/>
      <c r="W26" s="10"/>
      <c r="X26" s="13" t="str">
        <f t="shared" si="1"/>
        <v/>
      </c>
    </row>
    <row r="27" spans="1:24" ht="40.049999999999997" customHeight="1" x14ac:dyDescent="0.3">
      <c r="A27" s="10"/>
      <c r="B27" s="11"/>
      <c r="C27" s="12" t="str">
        <f t="shared" si="0"/>
        <v/>
      </c>
      <c r="D27" s="10"/>
      <c r="E27" s="10"/>
      <c r="F27" s="10"/>
      <c r="G27" s="10"/>
      <c r="H27" s="10"/>
      <c r="I27" s="26"/>
      <c r="J27" s="10"/>
      <c r="K27" s="10"/>
      <c r="L27" s="10"/>
      <c r="M27" s="15"/>
      <c r="N27" s="10"/>
      <c r="O27" s="10"/>
      <c r="P27" s="10"/>
      <c r="Q27" s="10"/>
      <c r="R27" s="10"/>
      <c r="S27" s="10"/>
      <c r="T27" s="14"/>
      <c r="U27" s="10"/>
      <c r="V27" s="10"/>
      <c r="W27" s="10"/>
      <c r="X27" s="13" t="str">
        <f t="shared" si="1"/>
        <v/>
      </c>
    </row>
    <row r="28" spans="1:24" ht="40.049999999999997" customHeight="1" x14ac:dyDescent="0.3">
      <c r="A28" s="10"/>
      <c r="B28" s="11"/>
      <c r="C28" s="12" t="str">
        <f t="shared" si="0"/>
        <v/>
      </c>
      <c r="D28" s="10"/>
      <c r="E28" s="10"/>
      <c r="F28" s="10"/>
      <c r="G28" s="10"/>
      <c r="H28" s="10"/>
      <c r="I28" s="26"/>
      <c r="J28" s="10"/>
      <c r="K28" s="10"/>
      <c r="L28" s="10"/>
      <c r="M28" s="15"/>
      <c r="N28" s="10"/>
      <c r="O28" s="10"/>
      <c r="P28" s="10"/>
      <c r="Q28" s="10"/>
      <c r="R28" s="10"/>
      <c r="S28" s="10"/>
      <c r="T28" s="14"/>
      <c r="U28" s="10"/>
      <c r="V28" s="10"/>
      <c r="W28" s="10"/>
      <c r="X28" s="13" t="str">
        <f t="shared" si="1"/>
        <v/>
      </c>
    </row>
    <row r="29" spans="1:24" ht="40.049999999999997" customHeight="1" x14ac:dyDescent="0.3">
      <c r="A29" s="10"/>
      <c r="B29" s="11"/>
      <c r="C29" s="12" t="str">
        <f t="shared" si="0"/>
        <v/>
      </c>
      <c r="D29" s="10"/>
      <c r="E29" s="10"/>
      <c r="F29" s="10"/>
      <c r="G29" s="10"/>
      <c r="H29" s="10"/>
      <c r="I29" s="26"/>
      <c r="J29" s="10"/>
      <c r="K29" s="10"/>
      <c r="L29" s="10"/>
      <c r="M29" s="15"/>
      <c r="N29" s="10"/>
      <c r="O29" s="10"/>
      <c r="P29" s="10"/>
      <c r="Q29" s="10"/>
      <c r="R29" s="10"/>
      <c r="S29" s="10"/>
      <c r="T29" s="14"/>
      <c r="U29" s="10"/>
      <c r="V29" s="10"/>
      <c r="W29" s="10"/>
      <c r="X29" s="13" t="str">
        <f t="shared" si="1"/>
        <v/>
      </c>
    </row>
    <row r="30" spans="1:24" ht="40.049999999999997" customHeight="1" x14ac:dyDescent="0.3">
      <c r="A30" s="10"/>
      <c r="B30" s="11"/>
      <c r="C30" s="12" t="str">
        <f t="shared" si="0"/>
        <v/>
      </c>
      <c r="D30" s="10"/>
      <c r="E30" s="10"/>
      <c r="F30" s="10"/>
      <c r="G30" s="10"/>
      <c r="H30" s="10"/>
      <c r="I30" s="26"/>
      <c r="J30" s="10"/>
      <c r="K30" s="10"/>
      <c r="L30" s="10"/>
      <c r="M30" s="15"/>
      <c r="N30" s="10"/>
      <c r="O30" s="10"/>
      <c r="P30" s="10"/>
      <c r="Q30" s="10"/>
      <c r="R30" s="10"/>
      <c r="S30" s="10"/>
      <c r="T30" s="14"/>
      <c r="U30" s="10"/>
      <c r="V30" s="10"/>
      <c r="W30" s="10"/>
      <c r="X30" s="13" t="str">
        <f t="shared" si="1"/>
        <v/>
      </c>
    </row>
    <row r="31" spans="1:24" ht="40.049999999999997" customHeight="1" x14ac:dyDescent="0.3">
      <c r="A31" s="10"/>
      <c r="B31" s="11"/>
      <c r="C31" s="12" t="str">
        <f t="shared" si="0"/>
        <v/>
      </c>
      <c r="D31" s="10"/>
      <c r="E31" s="10"/>
      <c r="F31" s="10"/>
      <c r="G31" s="10"/>
      <c r="H31" s="10"/>
      <c r="I31" s="26"/>
      <c r="J31" s="10"/>
      <c r="K31" s="10"/>
      <c r="L31" s="10"/>
      <c r="M31" s="15"/>
      <c r="N31" s="10"/>
      <c r="O31" s="10"/>
      <c r="P31" s="10"/>
      <c r="Q31" s="10"/>
      <c r="R31" s="10"/>
      <c r="S31" s="10"/>
      <c r="T31" s="14"/>
      <c r="U31" s="10"/>
      <c r="V31" s="10"/>
      <c r="W31" s="10"/>
      <c r="X31" s="13" t="str">
        <f t="shared" si="1"/>
        <v/>
      </c>
    </row>
    <row r="32" spans="1:24" ht="40.049999999999997" customHeight="1" x14ac:dyDescent="0.3">
      <c r="A32" s="10"/>
      <c r="B32" s="11"/>
      <c r="C32" s="12" t="str">
        <f t="shared" si="0"/>
        <v/>
      </c>
      <c r="D32" s="10"/>
      <c r="E32" s="10"/>
      <c r="F32" s="10"/>
      <c r="G32" s="10"/>
      <c r="H32" s="10"/>
      <c r="I32" s="26"/>
      <c r="J32" s="10"/>
      <c r="K32" s="10"/>
      <c r="L32" s="10"/>
      <c r="M32" s="15"/>
      <c r="N32" s="10"/>
      <c r="O32" s="10"/>
      <c r="P32" s="10"/>
      <c r="Q32" s="10"/>
      <c r="R32" s="10"/>
      <c r="S32" s="10"/>
      <c r="T32" s="14"/>
      <c r="U32" s="10"/>
      <c r="V32" s="10"/>
      <c r="W32" s="10"/>
      <c r="X32" s="13" t="str">
        <f t="shared" si="1"/>
        <v/>
      </c>
    </row>
    <row r="33" spans="1:24" ht="40.049999999999997" customHeight="1" x14ac:dyDescent="0.3">
      <c r="A33" s="10"/>
      <c r="B33" s="11"/>
      <c r="C33" s="12" t="str">
        <f t="shared" si="0"/>
        <v/>
      </c>
      <c r="D33" s="10"/>
      <c r="E33" s="10"/>
      <c r="F33" s="10"/>
      <c r="G33" s="10"/>
      <c r="H33" s="10"/>
      <c r="I33" s="26"/>
      <c r="J33" s="10"/>
      <c r="K33" s="10"/>
      <c r="L33" s="10"/>
      <c r="M33" s="15"/>
      <c r="N33" s="10"/>
      <c r="O33" s="10"/>
      <c r="P33" s="10"/>
      <c r="Q33" s="10"/>
      <c r="R33" s="10"/>
      <c r="S33" s="10"/>
      <c r="T33" s="14"/>
      <c r="U33" s="10"/>
      <c r="V33" s="10"/>
      <c r="W33" s="10"/>
      <c r="X33" s="13" t="str">
        <f t="shared" si="1"/>
        <v/>
      </c>
    </row>
    <row r="34" spans="1:24" ht="40.049999999999997" customHeight="1" x14ac:dyDescent="0.3">
      <c r="A34" s="10"/>
      <c r="B34" s="11"/>
      <c r="C34" s="12" t="str">
        <f t="shared" si="0"/>
        <v/>
      </c>
      <c r="D34" s="10"/>
      <c r="E34" s="10"/>
      <c r="F34" s="10"/>
      <c r="G34" s="10"/>
      <c r="H34" s="10"/>
      <c r="I34" s="26"/>
      <c r="J34" s="10"/>
      <c r="K34" s="10"/>
      <c r="L34" s="10"/>
      <c r="M34" s="15"/>
      <c r="N34" s="10"/>
      <c r="O34" s="10"/>
      <c r="P34" s="10"/>
      <c r="Q34" s="10"/>
      <c r="R34" s="10"/>
      <c r="S34" s="10"/>
      <c r="T34" s="14"/>
      <c r="U34" s="10"/>
      <c r="V34" s="10"/>
      <c r="W34" s="10"/>
      <c r="X34" s="13" t="str">
        <f t="shared" si="1"/>
        <v/>
      </c>
    </row>
    <row r="35" spans="1:24" ht="40.049999999999997" customHeight="1" x14ac:dyDescent="0.3">
      <c r="A35" s="10"/>
      <c r="B35" s="11"/>
      <c r="C35" s="12" t="str">
        <f t="shared" si="0"/>
        <v/>
      </c>
      <c r="D35" s="10"/>
      <c r="E35" s="10"/>
      <c r="F35" s="10"/>
      <c r="G35" s="10"/>
      <c r="H35" s="10"/>
      <c r="I35" s="26"/>
      <c r="J35" s="10"/>
      <c r="K35" s="10"/>
      <c r="L35" s="10"/>
      <c r="M35" s="15"/>
      <c r="N35" s="10"/>
      <c r="O35" s="10"/>
      <c r="P35" s="10"/>
      <c r="Q35" s="10"/>
      <c r="R35" s="10"/>
      <c r="S35" s="10"/>
      <c r="T35" s="14"/>
      <c r="U35" s="10"/>
      <c r="V35" s="10"/>
      <c r="W35" s="10"/>
      <c r="X35" s="13" t="str">
        <f t="shared" si="1"/>
        <v/>
      </c>
    </row>
    <row r="36" spans="1:24" ht="40.049999999999997" customHeight="1" x14ac:dyDescent="0.3">
      <c r="A36" s="10"/>
      <c r="B36" s="11"/>
      <c r="C36" s="12" t="str">
        <f t="shared" si="0"/>
        <v/>
      </c>
      <c r="D36" s="10"/>
      <c r="E36" s="10"/>
      <c r="F36" s="10"/>
      <c r="G36" s="10"/>
      <c r="H36" s="10"/>
      <c r="I36" s="26"/>
      <c r="J36" s="10"/>
      <c r="K36" s="10"/>
      <c r="L36" s="10"/>
      <c r="M36" s="15"/>
      <c r="N36" s="10"/>
      <c r="O36" s="10"/>
      <c r="P36" s="10"/>
      <c r="Q36" s="10"/>
      <c r="R36" s="10"/>
      <c r="S36" s="10"/>
      <c r="T36" s="14"/>
      <c r="U36" s="10"/>
      <c r="V36" s="10"/>
      <c r="W36" s="10"/>
      <c r="X36" s="13" t="str">
        <f t="shared" si="1"/>
        <v/>
      </c>
    </row>
    <row r="37" spans="1:24" ht="40.049999999999997" customHeight="1" x14ac:dyDescent="0.3">
      <c r="A37" s="10"/>
      <c r="B37" s="11"/>
      <c r="C37" s="12" t="str">
        <f t="shared" ref="C37:C68" si="2">IF(B37="","",YEAR(B37)*100+MONTH(B37))</f>
        <v/>
      </c>
      <c r="D37" s="10"/>
      <c r="E37" s="10"/>
      <c r="F37" s="10"/>
      <c r="G37" s="10"/>
      <c r="H37" s="10"/>
      <c r="I37" s="26"/>
      <c r="J37" s="10"/>
      <c r="K37" s="10"/>
      <c r="L37" s="10"/>
      <c r="M37" s="15"/>
      <c r="N37" s="10"/>
      <c r="O37" s="10"/>
      <c r="P37" s="10"/>
      <c r="Q37" s="10"/>
      <c r="R37" s="10"/>
      <c r="S37" s="10"/>
      <c r="T37" s="14"/>
      <c r="U37" s="10"/>
      <c r="V37" s="10"/>
      <c r="W37" s="10"/>
      <c r="X37" s="13" t="str">
        <f t="shared" ref="X37:X65" si="3">IF(M37="","",IF(M37&gt;=4,"Grave",IF(M37=3,"Moderado","Leve")))</f>
        <v/>
      </c>
    </row>
    <row r="38" spans="1:24" ht="40.049999999999997" customHeight="1" x14ac:dyDescent="0.3">
      <c r="A38" s="10"/>
      <c r="B38" s="11"/>
      <c r="C38" s="12" t="str">
        <f t="shared" si="2"/>
        <v/>
      </c>
      <c r="D38" s="10"/>
      <c r="E38" s="10"/>
      <c r="F38" s="10"/>
      <c r="G38" s="10"/>
      <c r="H38" s="10"/>
      <c r="I38" s="26"/>
      <c r="J38" s="10"/>
      <c r="K38" s="10"/>
      <c r="L38" s="10"/>
      <c r="M38" s="15"/>
      <c r="N38" s="10"/>
      <c r="O38" s="10"/>
      <c r="P38" s="10"/>
      <c r="Q38" s="10"/>
      <c r="R38" s="10"/>
      <c r="S38" s="10"/>
      <c r="T38" s="14"/>
      <c r="U38" s="10"/>
      <c r="V38" s="10"/>
      <c r="W38" s="10"/>
      <c r="X38" s="13" t="str">
        <f t="shared" si="3"/>
        <v/>
      </c>
    </row>
    <row r="39" spans="1:24" ht="40.049999999999997" customHeight="1" x14ac:dyDescent="0.3">
      <c r="A39" s="10"/>
      <c r="B39" s="11"/>
      <c r="C39" s="12" t="str">
        <f t="shared" si="2"/>
        <v/>
      </c>
      <c r="D39" s="10"/>
      <c r="E39" s="10"/>
      <c r="F39" s="10"/>
      <c r="G39" s="10"/>
      <c r="H39" s="10"/>
      <c r="I39" s="26"/>
      <c r="J39" s="10"/>
      <c r="K39" s="10"/>
      <c r="L39" s="10"/>
      <c r="M39" s="15"/>
      <c r="N39" s="10"/>
      <c r="O39" s="10"/>
      <c r="P39" s="10"/>
      <c r="Q39" s="10"/>
      <c r="R39" s="10"/>
      <c r="S39" s="10"/>
      <c r="T39" s="14"/>
      <c r="U39" s="10"/>
      <c r="V39" s="10"/>
      <c r="W39" s="10"/>
      <c r="X39" s="13" t="str">
        <f t="shared" si="3"/>
        <v/>
      </c>
    </row>
    <row r="40" spans="1:24" ht="40.049999999999997" customHeight="1" x14ac:dyDescent="0.3">
      <c r="A40" s="10"/>
      <c r="B40" s="11"/>
      <c r="C40" s="12" t="str">
        <f t="shared" si="2"/>
        <v/>
      </c>
      <c r="D40" s="10"/>
      <c r="E40" s="10"/>
      <c r="F40" s="10"/>
      <c r="G40" s="10"/>
      <c r="H40" s="10"/>
      <c r="I40" s="26"/>
      <c r="J40" s="10"/>
      <c r="K40" s="10"/>
      <c r="L40" s="10"/>
      <c r="M40" s="15"/>
      <c r="N40" s="10"/>
      <c r="O40" s="10"/>
      <c r="P40" s="10"/>
      <c r="Q40" s="10"/>
      <c r="R40" s="10"/>
      <c r="S40" s="10"/>
      <c r="T40" s="14"/>
      <c r="U40" s="10"/>
      <c r="V40" s="10"/>
      <c r="W40" s="10"/>
      <c r="X40" s="13" t="str">
        <f t="shared" si="3"/>
        <v/>
      </c>
    </row>
    <row r="41" spans="1:24" ht="40.049999999999997" customHeight="1" x14ac:dyDescent="0.3">
      <c r="A41" s="10"/>
      <c r="B41" s="11"/>
      <c r="C41" s="12" t="str">
        <f t="shared" si="2"/>
        <v/>
      </c>
      <c r="D41" s="10"/>
      <c r="E41" s="10"/>
      <c r="F41" s="10"/>
      <c r="G41" s="10"/>
      <c r="H41" s="10"/>
      <c r="I41" s="26"/>
      <c r="J41" s="10"/>
      <c r="K41" s="10"/>
      <c r="L41" s="10"/>
      <c r="M41" s="15"/>
      <c r="N41" s="10"/>
      <c r="O41" s="10"/>
      <c r="P41" s="10"/>
      <c r="Q41" s="10"/>
      <c r="R41" s="10"/>
      <c r="S41" s="10"/>
      <c r="T41" s="14"/>
      <c r="U41" s="10"/>
      <c r="V41" s="10"/>
      <c r="W41" s="10"/>
      <c r="X41" s="13" t="str">
        <f t="shared" si="3"/>
        <v/>
      </c>
    </row>
    <row r="42" spans="1:24" ht="40.049999999999997" customHeight="1" x14ac:dyDescent="0.3">
      <c r="A42" s="10"/>
      <c r="B42" s="11"/>
      <c r="C42" s="12" t="str">
        <f t="shared" si="2"/>
        <v/>
      </c>
      <c r="D42" s="10"/>
      <c r="E42" s="10"/>
      <c r="F42" s="10"/>
      <c r="G42" s="10"/>
      <c r="H42" s="10"/>
      <c r="I42" s="26"/>
      <c r="J42" s="10"/>
      <c r="K42" s="10"/>
      <c r="L42" s="10"/>
      <c r="M42" s="15"/>
      <c r="N42" s="10"/>
      <c r="O42" s="10"/>
      <c r="P42" s="10"/>
      <c r="Q42" s="10"/>
      <c r="R42" s="10"/>
      <c r="S42" s="10"/>
      <c r="T42" s="14"/>
      <c r="U42" s="10"/>
      <c r="V42" s="10"/>
      <c r="W42" s="10"/>
      <c r="X42" s="13" t="str">
        <f t="shared" si="3"/>
        <v/>
      </c>
    </row>
    <row r="43" spans="1:24" ht="40.049999999999997" customHeight="1" x14ac:dyDescent="0.3">
      <c r="A43" s="10"/>
      <c r="B43" s="11"/>
      <c r="C43" s="12" t="str">
        <f t="shared" si="2"/>
        <v/>
      </c>
      <c r="D43" s="10"/>
      <c r="E43" s="10"/>
      <c r="F43" s="10"/>
      <c r="G43" s="10"/>
      <c r="H43" s="10"/>
      <c r="I43" s="26"/>
      <c r="J43" s="10"/>
      <c r="K43" s="10"/>
      <c r="L43" s="10"/>
      <c r="M43" s="15"/>
      <c r="N43" s="10"/>
      <c r="O43" s="10"/>
      <c r="P43" s="10"/>
      <c r="Q43" s="10"/>
      <c r="R43" s="10"/>
      <c r="S43" s="10"/>
      <c r="T43" s="14"/>
      <c r="U43" s="10"/>
      <c r="V43" s="10"/>
      <c r="W43" s="10"/>
      <c r="X43" s="13" t="str">
        <f t="shared" si="3"/>
        <v/>
      </c>
    </row>
    <row r="44" spans="1:24" ht="40.049999999999997" customHeight="1" x14ac:dyDescent="0.3">
      <c r="A44" s="10"/>
      <c r="B44" s="11"/>
      <c r="C44" s="12" t="str">
        <f t="shared" si="2"/>
        <v/>
      </c>
      <c r="D44" s="10"/>
      <c r="E44" s="10"/>
      <c r="F44" s="10"/>
      <c r="G44" s="10"/>
      <c r="H44" s="10"/>
      <c r="I44" s="26"/>
      <c r="J44" s="10"/>
      <c r="K44" s="10"/>
      <c r="L44" s="10"/>
      <c r="M44" s="15"/>
      <c r="N44" s="10"/>
      <c r="O44" s="10"/>
      <c r="P44" s="10"/>
      <c r="Q44" s="10"/>
      <c r="R44" s="10"/>
      <c r="S44" s="10"/>
      <c r="T44" s="14"/>
      <c r="U44" s="10"/>
      <c r="V44" s="10"/>
      <c r="W44" s="10"/>
      <c r="X44" s="13" t="str">
        <f t="shared" si="3"/>
        <v/>
      </c>
    </row>
    <row r="45" spans="1:24" ht="40.049999999999997" customHeight="1" x14ac:dyDescent="0.3">
      <c r="A45" s="10"/>
      <c r="B45" s="11"/>
      <c r="C45" s="12" t="str">
        <f t="shared" si="2"/>
        <v/>
      </c>
      <c r="D45" s="10"/>
      <c r="E45" s="10"/>
      <c r="F45" s="10"/>
      <c r="G45" s="10"/>
      <c r="H45" s="10"/>
      <c r="I45" s="26"/>
      <c r="J45" s="10"/>
      <c r="K45" s="10"/>
      <c r="L45" s="10"/>
      <c r="M45" s="15"/>
      <c r="N45" s="10"/>
      <c r="O45" s="10"/>
      <c r="P45" s="10"/>
      <c r="Q45" s="10"/>
      <c r="R45" s="10"/>
      <c r="S45" s="10"/>
      <c r="T45" s="14"/>
      <c r="U45" s="10"/>
      <c r="V45" s="10"/>
      <c r="W45" s="10"/>
      <c r="X45" s="13" t="str">
        <f t="shared" si="3"/>
        <v/>
      </c>
    </row>
    <row r="46" spans="1:24" ht="40.049999999999997" customHeight="1" x14ac:dyDescent="0.3">
      <c r="A46" s="10"/>
      <c r="B46" s="11"/>
      <c r="C46" s="12" t="str">
        <f t="shared" si="2"/>
        <v/>
      </c>
      <c r="D46" s="10"/>
      <c r="E46" s="10"/>
      <c r="F46" s="10"/>
      <c r="G46" s="10"/>
      <c r="H46" s="10"/>
      <c r="I46" s="26"/>
      <c r="J46" s="10"/>
      <c r="K46" s="10"/>
      <c r="L46" s="10"/>
      <c r="M46" s="15"/>
      <c r="N46" s="10"/>
      <c r="O46" s="10"/>
      <c r="P46" s="10"/>
      <c r="Q46" s="10"/>
      <c r="R46" s="10"/>
      <c r="S46" s="10"/>
      <c r="T46" s="14"/>
      <c r="U46" s="10"/>
      <c r="V46" s="10"/>
      <c r="W46" s="10"/>
      <c r="X46" s="13" t="str">
        <f t="shared" si="3"/>
        <v/>
      </c>
    </row>
    <row r="47" spans="1:24" ht="40.049999999999997" customHeight="1" x14ac:dyDescent="0.3">
      <c r="A47" s="10"/>
      <c r="B47" s="11"/>
      <c r="C47" s="12" t="str">
        <f t="shared" si="2"/>
        <v/>
      </c>
      <c r="D47" s="10"/>
      <c r="E47" s="10"/>
      <c r="F47" s="10"/>
      <c r="G47" s="10"/>
      <c r="H47" s="10"/>
      <c r="I47" s="26"/>
      <c r="J47" s="10"/>
      <c r="K47" s="10"/>
      <c r="L47" s="10"/>
      <c r="M47" s="15"/>
      <c r="N47" s="10"/>
      <c r="O47" s="10"/>
      <c r="P47" s="10"/>
      <c r="Q47" s="10"/>
      <c r="R47" s="10"/>
      <c r="S47" s="10"/>
      <c r="T47" s="14"/>
      <c r="U47" s="10"/>
      <c r="V47" s="10"/>
      <c r="W47" s="10"/>
      <c r="X47" s="13" t="str">
        <f t="shared" si="3"/>
        <v/>
      </c>
    </row>
    <row r="48" spans="1:24" ht="40.049999999999997" customHeight="1" x14ac:dyDescent="0.3">
      <c r="A48" s="10"/>
      <c r="B48" s="11"/>
      <c r="C48" s="12" t="str">
        <f t="shared" si="2"/>
        <v/>
      </c>
      <c r="D48" s="10"/>
      <c r="E48" s="10"/>
      <c r="F48" s="10"/>
      <c r="G48" s="10"/>
      <c r="H48" s="10"/>
      <c r="I48" s="26"/>
      <c r="J48" s="10"/>
      <c r="K48" s="10"/>
      <c r="L48" s="10"/>
      <c r="M48" s="15"/>
      <c r="N48" s="10"/>
      <c r="O48" s="10"/>
      <c r="P48" s="10"/>
      <c r="Q48" s="10"/>
      <c r="R48" s="10"/>
      <c r="S48" s="10"/>
      <c r="T48" s="14"/>
      <c r="U48" s="10"/>
      <c r="V48" s="10"/>
      <c r="W48" s="10"/>
      <c r="X48" s="13" t="str">
        <f t="shared" si="3"/>
        <v/>
      </c>
    </row>
    <row r="49" spans="1:24" ht="40.049999999999997" customHeight="1" x14ac:dyDescent="0.3">
      <c r="A49" s="10"/>
      <c r="B49" s="11"/>
      <c r="C49" s="12" t="str">
        <f t="shared" si="2"/>
        <v/>
      </c>
      <c r="D49" s="10"/>
      <c r="E49" s="10"/>
      <c r="F49" s="10"/>
      <c r="G49" s="10"/>
      <c r="H49" s="10"/>
      <c r="I49" s="26"/>
      <c r="J49" s="10"/>
      <c r="K49" s="10"/>
      <c r="L49" s="10"/>
      <c r="M49" s="15"/>
      <c r="N49" s="10"/>
      <c r="O49" s="10"/>
      <c r="P49" s="10"/>
      <c r="Q49" s="10"/>
      <c r="R49" s="10"/>
      <c r="S49" s="10"/>
      <c r="T49" s="14"/>
      <c r="U49" s="10"/>
      <c r="V49" s="10"/>
      <c r="W49" s="10"/>
      <c r="X49" s="13" t="str">
        <f t="shared" si="3"/>
        <v/>
      </c>
    </row>
    <row r="50" spans="1:24" ht="40.049999999999997" customHeight="1" x14ac:dyDescent="0.3">
      <c r="A50" s="10"/>
      <c r="B50" s="11"/>
      <c r="C50" s="12" t="str">
        <f t="shared" si="2"/>
        <v/>
      </c>
      <c r="D50" s="10"/>
      <c r="E50" s="10"/>
      <c r="F50" s="10"/>
      <c r="G50" s="10"/>
      <c r="H50" s="10"/>
      <c r="I50" s="26"/>
      <c r="J50" s="10"/>
      <c r="K50" s="10"/>
      <c r="L50" s="10"/>
      <c r="M50" s="15"/>
      <c r="N50" s="10"/>
      <c r="O50" s="10"/>
      <c r="P50" s="10"/>
      <c r="Q50" s="10"/>
      <c r="R50" s="10"/>
      <c r="S50" s="10"/>
      <c r="T50" s="14"/>
      <c r="U50" s="10"/>
      <c r="V50" s="10"/>
      <c r="W50" s="10"/>
      <c r="X50" s="13" t="str">
        <f t="shared" si="3"/>
        <v/>
      </c>
    </row>
    <row r="51" spans="1:24" ht="40.049999999999997" customHeight="1" x14ac:dyDescent="0.3">
      <c r="A51" s="10"/>
      <c r="B51" s="11"/>
      <c r="C51" s="12" t="str">
        <f t="shared" si="2"/>
        <v/>
      </c>
      <c r="D51" s="10"/>
      <c r="E51" s="10"/>
      <c r="F51" s="10"/>
      <c r="G51" s="10"/>
      <c r="H51" s="10"/>
      <c r="I51" s="26"/>
      <c r="J51" s="10"/>
      <c r="K51" s="10"/>
      <c r="L51" s="10"/>
      <c r="M51" s="15"/>
      <c r="N51" s="10"/>
      <c r="O51" s="10"/>
      <c r="P51" s="10"/>
      <c r="Q51" s="10"/>
      <c r="R51" s="10"/>
      <c r="S51" s="10"/>
      <c r="T51" s="14"/>
      <c r="U51" s="10"/>
      <c r="V51" s="10"/>
      <c r="W51" s="10"/>
      <c r="X51" s="13" t="str">
        <f t="shared" si="3"/>
        <v/>
      </c>
    </row>
    <row r="52" spans="1:24" ht="40.049999999999997" customHeight="1" x14ac:dyDescent="0.3">
      <c r="A52" s="10"/>
      <c r="B52" s="11"/>
      <c r="C52" s="12" t="str">
        <f t="shared" si="2"/>
        <v/>
      </c>
      <c r="D52" s="10"/>
      <c r="E52" s="10"/>
      <c r="F52" s="10"/>
      <c r="G52" s="10"/>
      <c r="H52" s="10"/>
      <c r="I52" s="26"/>
      <c r="J52" s="10"/>
      <c r="K52" s="10"/>
      <c r="L52" s="10"/>
      <c r="M52" s="15"/>
      <c r="N52" s="10"/>
      <c r="O52" s="10"/>
      <c r="P52" s="10"/>
      <c r="Q52" s="10"/>
      <c r="R52" s="10"/>
      <c r="S52" s="10"/>
      <c r="T52" s="14"/>
      <c r="U52" s="10"/>
      <c r="V52" s="10"/>
      <c r="W52" s="10"/>
      <c r="X52" s="13" t="str">
        <f t="shared" si="3"/>
        <v/>
      </c>
    </row>
    <row r="53" spans="1:24" ht="40.049999999999997" customHeight="1" x14ac:dyDescent="0.3">
      <c r="A53" s="10"/>
      <c r="B53" s="11"/>
      <c r="C53" s="12" t="str">
        <f t="shared" si="2"/>
        <v/>
      </c>
      <c r="D53" s="10"/>
      <c r="E53" s="10"/>
      <c r="F53" s="10"/>
      <c r="G53" s="10"/>
      <c r="H53" s="10"/>
      <c r="I53" s="26"/>
      <c r="J53" s="10"/>
      <c r="K53" s="10"/>
      <c r="L53" s="10"/>
      <c r="M53" s="15"/>
      <c r="N53" s="10"/>
      <c r="O53" s="10"/>
      <c r="P53" s="10"/>
      <c r="Q53" s="10"/>
      <c r="R53" s="10"/>
      <c r="S53" s="10"/>
      <c r="T53" s="14"/>
      <c r="U53" s="10"/>
      <c r="V53" s="10"/>
      <c r="W53" s="10"/>
      <c r="X53" s="13" t="str">
        <f t="shared" si="3"/>
        <v/>
      </c>
    </row>
    <row r="54" spans="1:24" ht="40.049999999999997" customHeight="1" x14ac:dyDescent="0.3">
      <c r="A54" s="10"/>
      <c r="B54" s="11"/>
      <c r="C54" s="12" t="str">
        <f t="shared" si="2"/>
        <v/>
      </c>
      <c r="D54" s="10"/>
      <c r="E54" s="10"/>
      <c r="F54" s="10"/>
      <c r="G54" s="10"/>
      <c r="H54" s="10"/>
      <c r="I54" s="26"/>
      <c r="J54" s="10"/>
      <c r="K54" s="10"/>
      <c r="L54" s="10"/>
      <c r="M54" s="15"/>
      <c r="N54" s="10"/>
      <c r="O54" s="10"/>
      <c r="P54" s="10"/>
      <c r="Q54" s="10"/>
      <c r="R54" s="10"/>
      <c r="S54" s="10"/>
      <c r="T54" s="14"/>
      <c r="U54" s="10"/>
      <c r="V54" s="10"/>
      <c r="W54" s="10"/>
      <c r="X54" s="13" t="str">
        <f t="shared" si="3"/>
        <v/>
      </c>
    </row>
    <row r="55" spans="1:24" ht="40.049999999999997" customHeight="1" x14ac:dyDescent="0.3">
      <c r="A55" s="10"/>
      <c r="B55" s="11"/>
      <c r="C55" s="12" t="str">
        <f t="shared" si="2"/>
        <v/>
      </c>
      <c r="D55" s="10"/>
      <c r="E55" s="10"/>
      <c r="F55" s="10"/>
      <c r="G55" s="10"/>
      <c r="H55" s="10"/>
      <c r="I55" s="26"/>
      <c r="J55" s="10"/>
      <c r="K55" s="10"/>
      <c r="L55" s="10"/>
      <c r="M55" s="15"/>
      <c r="N55" s="10"/>
      <c r="O55" s="10"/>
      <c r="P55" s="10"/>
      <c r="Q55" s="10"/>
      <c r="R55" s="10"/>
      <c r="S55" s="10"/>
      <c r="T55" s="14"/>
      <c r="U55" s="10"/>
      <c r="V55" s="10"/>
      <c r="W55" s="10"/>
      <c r="X55" s="13" t="str">
        <f t="shared" si="3"/>
        <v/>
      </c>
    </row>
    <row r="56" spans="1:24" ht="40.049999999999997" customHeight="1" x14ac:dyDescent="0.3">
      <c r="A56" s="10"/>
      <c r="B56" s="11"/>
      <c r="C56" s="12" t="str">
        <f t="shared" si="2"/>
        <v/>
      </c>
      <c r="D56" s="10"/>
      <c r="E56" s="10"/>
      <c r="F56" s="10"/>
      <c r="G56" s="10"/>
      <c r="H56" s="10"/>
      <c r="I56" s="26"/>
      <c r="J56" s="10"/>
      <c r="K56" s="10"/>
      <c r="L56" s="10"/>
      <c r="M56" s="15"/>
      <c r="N56" s="10"/>
      <c r="O56" s="10"/>
      <c r="P56" s="10"/>
      <c r="Q56" s="10"/>
      <c r="R56" s="10"/>
      <c r="S56" s="10"/>
      <c r="T56" s="14"/>
      <c r="U56" s="10"/>
      <c r="V56" s="10"/>
      <c r="W56" s="10"/>
      <c r="X56" s="13" t="str">
        <f t="shared" si="3"/>
        <v/>
      </c>
    </row>
    <row r="57" spans="1:24" ht="40.049999999999997" customHeight="1" x14ac:dyDescent="0.3">
      <c r="A57" s="10"/>
      <c r="B57" s="11"/>
      <c r="C57" s="12" t="str">
        <f t="shared" si="2"/>
        <v/>
      </c>
      <c r="D57" s="10"/>
      <c r="E57" s="10"/>
      <c r="F57" s="10"/>
      <c r="G57" s="10"/>
      <c r="H57" s="10"/>
      <c r="I57" s="26"/>
      <c r="J57" s="10"/>
      <c r="K57" s="10"/>
      <c r="L57" s="10"/>
      <c r="M57" s="15"/>
      <c r="N57" s="10"/>
      <c r="O57" s="10"/>
      <c r="P57" s="10"/>
      <c r="Q57" s="10"/>
      <c r="R57" s="10"/>
      <c r="S57" s="10"/>
      <c r="T57" s="14"/>
      <c r="U57" s="10"/>
      <c r="V57" s="10"/>
      <c r="W57" s="10"/>
      <c r="X57" s="13" t="str">
        <f t="shared" si="3"/>
        <v/>
      </c>
    </row>
    <row r="58" spans="1:24" ht="40.049999999999997" customHeight="1" x14ac:dyDescent="0.3">
      <c r="A58" s="10"/>
      <c r="B58" s="11"/>
      <c r="C58" s="12" t="str">
        <f t="shared" si="2"/>
        <v/>
      </c>
      <c r="D58" s="10"/>
      <c r="E58" s="10"/>
      <c r="F58" s="10"/>
      <c r="G58" s="10"/>
      <c r="H58" s="10"/>
      <c r="I58" s="26"/>
      <c r="J58" s="10"/>
      <c r="K58" s="10"/>
      <c r="L58" s="10"/>
      <c r="M58" s="15"/>
      <c r="N58" s="10"/>
      <c r="O58" s="10"/>
      <c r="P58" s="10"/>
      <c r="Q58" s="10"/>
      <c r="R58" s="10"/>
      <c r="S58" s="10"/>
      <c r="T58" s="14"/>
      <c r="U58" s="10"/>
      <c r="V58" s="10"/>
      <c r="W58" s="10"/>
      <c r="X58" s="13" t="str">
        <f t="shared" si="3"/>
        <v/>
      </c>
    </row>
    <row r="59" spans="1:24" ht="40.049999999999997" customHeight="1" x14ac:dyDescent="0.3">
      <c r="A59" s="10"/>
      <c r="B59" s="11"/>
      <c r="C59" s="12" t="str">
        <f t="shared" si="2"/>
        <v/>
      </c>
      <c r="D59" s="10"/>
      <c r="E59" s="10"/>
      <c r="F59" s="10"/>
      <c r="G59" s="10"/>
      <c r="H59" s="10"/>
      <c r="I59" s="26"/>
      <c r="J59" s="10"/>
      <c r="K59" s="10"/>
      <c r="L59" s="10"/>
      <c r="M59" s="15"/>
      <c r="N59" s="10"/>
      <c r="O59" s="10"/>
      <c r="P59" s="10"/>
      <c r="Q59" s="10"/>
      <c r="R59" s="10"/>
      <c r="S59" s="10"/>
      <c r="T59" s="14"/>
      <c r="U59" s="10"/>
      <c r="V59" s="10"/>
      <c r="W59" s="10"/>
      <c r="X59" s="13" t="str">
        <f t="shared" si="3"/>
        <v/>
      </c>
    </row>
    <row r="60" spans="1:24" ht="40.049999999999997" customHeight="1" x14ac:dyDescent="0.3">
      <c r="A60" s="10"/>
      <c r="B60" s="11"/>
      <c r="C60" s="12" t="str">
        <f t="shared" si="2"/>
        <v/>
      </c>
      <c r="D60" s="10"/>
      <c r="E60" s="10"/>
      <c r="F60" s="10"/>
      <c r="G60" s="10"/>
      <c r="H60" s="10"/>
      <c r="I60" s="26"/>
      <c r="J60" s="10"/>
      <c r="K60" s="10"/>
      <c r="L60" s="10"/>
      <c r="M60" s="15"/>
      <c r="N60" s="10"/>
      <c r="O60" s="10"/>
      <c r="P60" s="10"/>
      <c r="Q60" s="10"/>
      <c r="R60" s="10"/>
      <c r="S60" s="10"/>
      <c r="T60" s="14"/>
      <c r="U60" s="10"/>
      <c r="V60" s="10"/>
      <c r="W60" s="10"/>
      <c r="X60" s="13" t="str">
        <f t="shared" si="3"/>
        <v/>
      </c>
    </row>
    <row r="61" spans="1:24" ht="40.049999999999997" customHeight="1" x14ac:dyDescent="0.3">
      <c r="A61" s="10"/>
      <c r="B61" s="11"/>
      <c r="C61" s="12" t="str">
        <f t="shared" si="2"/>
        <v/>
      </c>
      <c r="D61" s="10"/>
      <c r="E61" s="10"/>
      <c r="F61" s="10"/>
      <c r="G61" s="10"/>
      <c r="H61" s="10"/>
      <c r="I61" s="26"/>
      <c r="J61" s="10"/>
      <c r="K61" s="10"/>
      <c r="L61" s="10"/>
      <c r="M61" s="15"/>
      <c r="N61" s="10"/>
      <c r="O61" s="10"/>
      <c r="P61" s="10"/>
      <c r="Q61" s="10"/>
      <c r="R61" s="10"/>
      <c r="S61" s="10"/>
      <c r="T61" s="14"/>
      <c r="U61" s="10"/>
      <c r="V61" s="10"/>
      <c r="W61" s="10"/>
      <c r="X61" s="13" t="str">
        <f t="shared" si="3"/>
        <v/>
      </c>
    </row>
    <row r="62" spans="1:24" ht="40.049999999999997" customHeight="1" x14ac:dyDescent="0.3">
      <c r="A62" s="10"/>
      <c r="B62" s="11"/>
      <c r="C62" s="12" t="str">
        <f t="shared" si="2"/>
        <v/>
      </c>
      <c r="D62" s="10"/>
      <c r="E62" s="10"/>
      <c r="F62" s="10"/>
      <c r="G62" s="10"/>
      <c r="H62" s="10"/>
      <c r="I62" s="26"/>
      <c r="J62" s="10"/>
      <c r="K62" s="10"/>
      <c r="L62" s="10"/>
      <c r="M62" s="15"/>
      <c r="N62" s="10"/>
      <c r="O62" s="10"/>
      <c r="P62" s="10"/>
      <c r="Q62" s="10"/>
      <c r="R62" s="10"/>
      <c r="S62" s="10"/>
      <c r="T62" s="14"/>
      <c r="U62" s="10"/>
      <c r="V62" s="10"/>
      <c r="W62" s="10"/>
      <c r="X62" s="13" t="str">
        <f t="shared" si="3"/>
        <v/>
      </c>
    </row>
    <row r="63" spans="1:24" ht="40.049999999999997" customHeight="1" x14ac:dyDescent="0.3">
      <c r="A63" s="10"/>
      <c r="B63" s="11"/>
      <c r="C63" s="12" t="str">
        <f t="shared" si="2"/>
        <v/>
      </c>
      <c r="D63" s="10"/>
      <c r="E63" s="10"/>
      <c r="F63" s="10"/>
      <c r="G63" s="10"/>
      <c r="H63" s="10"/>
      <c r="I63" s="26"/>
      <c r="J63" s="10"/>
      <c r="K63" s="10"/>
      <c r="L63" s="10"/>
      <c r="M63" s="15"/>
      <c r="N63" s="10"/>
      <c r="O63" s="10"/>
      <c r="P63" s="10"/>
      <c r="Q63" s="10"/>
      <c r="R63" s="10"/>
      <c r="S63" s="10"/>
      <c r="T63" s="14"/>
      <c r="U63" s="10"/>
      <c r="V63" s="10"/>
      <c r="W63" s="10"/>
      <c r="X63" s="13" t="str">
        <f t="shared" si="3"/>
        <v/>
      </c>
    </row>
    <row r="64" spans="1:24" ht="40.049999999999997" customHeight="1" x14ac:dyDescent="0.3">
      <c r="A64" s="10"/>
      <c r="B64" s="11"/>
      <c r="C64" s="12" t="str">
        <f t="shared" si="2"/>
        <v/>
      </c>
      <c r="D64" s="10"/>
      <c r="E64" s="10"/>
      <c r="F64" s="10"/>
      <c r="G64" s="10"/>
      <c r="H64" s="10"/>
      <c r="I64" s="26"/>
      <c r="J64" s="10"/>
      <c r="K64" s="10"/>
      <c r="L64" s="10"/>
      <c r="M64" s="15"/>
      <c r="N64" s="10"/>
      <c r="O64" s="10"/>
      <c r="P64" s="10"/>
      <c r="Q64" s="10"/>
      <c r="R64" s="10"/>
      <c r="S64" s="10"/>
      <c r="T64" s="14"/>
      <c r="U64" s="10"/>
      <c r="V64" s="10"/>
      <c r="W64" s="10"/>
      <c r="X64" s="13" t="str">
        <f t="shared" si="3"/>
        <v/>
      </c>
    </row>
    <row r="65" spans="1:24" ht="40.049999999999997" customHeight="1" x14ac:dyDescent="0.3">
      <c r="A65" s="10"/>
      <c r="B65" s="11"/>
      <c r="C65" s="12" t="str">
        <f t="shared" si="2"/>
        <v/>
      </c>
      <c r="D65" s="10"/>
      <c r="E65" s="10"/>
      <c r="F65" s="10"/>
      <c r="G65" s="10"/>
      <c r="H65" s="10"/>
      <c r="I65" s="26"/>
      <c r="J65" s="10"/>
      <c r="K65" s="10"/>
      <c r="L65" s="10"/>
      <c r="M65" s="15"/>
      <c r="N65" s="10"/>
      <c r="O65" s="10"/>
      <c r="P65" s="10"/>
      <c r="Q65" s="10"/>
      <c r="R65" s="10"/>
      <c r="S65" s="10"/>
      <c r="T65" s="14"/>
      <c r="U65" s="10"/>
      <c r="V65" s="10"/>
      <c r="W65" s="10"/>
      <c r="X65" s="13" t="str">
        <f t="shared" si="3"/>
        <v/>
      </c>
    </row>
  </sheetData>
  <conditionalFormatting sqref="L5:L265">
    <cfRule type="expression" dxfId="4" priority="4">
      <formula>ISNUMBER(SEARCH("Não",L5))</formula>
    </cfRule>
  </conditionalFormatting>
  <conditionalFormatting sqref="N5:N265">
    <cfRule type="expression" dxfId="3" priority="5">
      <formula>ISNUMBER(SEARCH("Emergência",N5))</formula>
    </cfRule>
  </conditionalFormatting>
  <conditionalFormatting sqref="X5:X265">
    <cfRule type="expression" dxfId="2" priority="1">
      <formula>ISNUMBER(SEARCH("Grave",X5))</formula>
    </cfRule>
    <cfRule type="expression" dxfId="1" priority="2">
      <formula>ISNUMBER(SEARCH("Moderado",X5))</formula>
    </cfRule>
    <cfRule type="expression" dxfId="0" priority="3">
      <formula>ISNUMBER(SEARCH("Leve",X5))</formula>
    </cfRule>
  </conditionalFormatting>
  <dataValidations count="7">
    <dataValidation type="list" allowBlank="1" showErrorMessage="1" errorTitle="Valor inválido" error="Valor fora da lista controlada (ver folha Listas)." sqref="D5:D265" xr:uid="{00000000-0002-0000-0500-000000000000}">
      <formula1>lst_INC_Tipo</formula1>
    </dataValidation>
    <dataValidation type="list" allowBlank="1" showErrorMessage="1" errorTitle="Valor inválido" error="Valor fora da lista controlada (ver folha Listas)." sqref="E5:E265" xr:uid="{00000000-0002-0000-0500-000001000000}">
      <formula1>lst_Processo</formula1>
    </dataValidation>
    <dataValidation type="list" allowBlank="1" showErrorMessage="1" errorTitle="Valor inválido" error="Valor fora da lista controlada (ver folha Listas)." sqref="K5:K265" xr:uid="{00000000-0002-0000-0500-000002000000}">
      <formula1>lst_INC_Meio</formula1>
    </dataValidation>
    <dataValidation type="list" allowBlank="1" showErrorMessage="1" errorTitle="Valor inválido" error="Valor fora da lista controlada (ver folha Listas)." sqref="L5:L265 O5:O265" xr:uid="{00000000-0002-0000-0500-000003000000}">
      <formula1>lst_INC_SimNao</formula1>
    </dataValidation>
    <dataValidation type="list" allowBlank="1" showErrorMessage="1" errorTitle="Valor inválido" error="Valor fora da lista controlada (ver folha Listas)." sqref="N5:N265" xr:uid="{00000000-0002-0000-0500-000004000000}">
      <formula1>lst_INC_Cond</formula1>
    </dataValidation>
    <dataValidation type="list" allowBlank="1" showErrorMessage="1" errorTitle="Valor inválido" error="Valor fora da lista controlada (ver folha Listas)." sqref="V5:V265" xr:uid="{00000000-0002-0000-0500-000006000000}">
      <formula1>lst_INC_Turno</formula1>
    </dataValidation>
    <dataValidation type="list" allowBlank="1" showErrorMessage="1" errorTitle="Valor inválido" error="Valor fora da lista controlada (ver folha Listas)." sqref="W5:W265" xr:uid="{00000000-0002-0000-0500-000007000000}">
      <formula1>lst_INC_Estado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33" customWidth="1"/>
    <col min="3" max="3" width="16" customWidth="1"/>
    <col min="4" max="4" width="21" customWidth="1"/>
    <col min="5" max="7" width="16" customWidth="1"/>
    <col min="8" max="8" width="29" customWidth="1"/>
    <col min="9" max="11" width="16" customWidth="1"/>
    <col min="12" max="12" width="48" customWidth="1"/>
    <col min="13" max="13" width="22" customWidth="1"/>
    <col min="14" max="14" width="24" customWidth="1"/>
    <col min="15" max="18" width="16" customWidth="1"/>
  </cols>
  <sheetData>
    <row r="1" spans="1:18" x14ac:dyDescent="0.3">
      <c r="A1" s="18" t="s">
        <v>514</v>
      </c>
    </row>
    <row r="2" spans="1:18" x14ac:dyDescent="0.3">
      <c r="A2" s="27" t="s">
        <v>515</v>
      </c>
      <c r="B2" s="27" t="s">
        <v>64</v>
      </c>
      <c r="C2" s="27" t="s">
        <v>66</v>
      </c>
      <c r="D2" s="27" t="s">
        <v>516</v>
      </c>
      <c r="E2" s="27" t="s">
        <v>69</v>
      </c>
      <c r="F2" s="27" t="s">
        <v>74</v>
      </c>
      <c r="G2" s="27" t="s">
        <v>517</v>
      </c>
      <c r="H2" s="27" t="s">
        <v>518</v>
      </c>
      <c r="I2" s="27" t="s">
        <v>14</v>
      </c>
      <c r="J2" s="27" t="s">
        <v>87</v>
      </c>
      <c r="K2" s="27" t="s">
        <v>519</v>
      </c>
      <c r="L2" s="27" t="s">
        <v>520</v>
      </c>
      <c r="M2" s="27" t="s">
        <v>521</v>
      </c>
      <c r="N2" s="27" t="s">
        <v>522</v>
      </c>
      <c r="O2" s="27" t="s">
        <v>523</v>
      </c>
      <c r="P2" s="27" t="s">
        <v>524</v>
      </c>
      <c r="Q2" s="27" t="s">
        <v>525</v>
      </c>
      <c r="R2" s="27" t="s">
        <v>526</v>
      </c>
    </row>
    <row r="3" spans="1:18" x14ac:dyDescent="0.3">
      <c r="A3" s="28">
        <v>46387</v>
      </c>
      <c r="B3" s="6" t="s">
        <v>182</v>
      </c>
      <c r="C3" s="6" t="s">
        <v>402</v>
      </c>
      <c r="D3" s="6" t="s">
        <v>98</v>
      </c>
      <c r="E3" s="6" t="s">
        <v>527</v>
      </c>
      <c r="F3" s="6" t="s">
        <v>104</v>
      </c>
      <c r="G3" s="6" t="s">
        <v>107</v>
      </c>
      <c r="H3" s="6" t="s">
        <v>108</v>
      </c>
      <c r="I3" s="6" t="s">
        <v>528</v>
      </c>
      <c r="J3" s="6" t="s">
        <v>166</v>
      </c>
      <c r="K3" s="6" t="s">
        <v>245</v>
      </c>
      <c r="L3" s="6" t="s">
        <v>529</v>
      </c>
      <c r="M3" s="6" t="s">
        <v>392</v>
      </c>
      <c r="N3" s="6" t="s">
        <v>395</v>
      </c>
      <c r="O3" s="6" t="s">
        <v>384</v>
      </c>
      <c r="P3" s="6" t="s">
        <v>389</v>
      </c>
      <c r="Q3" s="6" t="s">
        <v>245</v>
      </c>
      <c r="R3" s="6" t="s">
        <v>530</v>
      </c>
    </row>
    <row r="4" spans="1:18" x14ac:dyDescent="0.3">
      <c r="B4" s="6" t="s">
        <v>94</v>
      </c>
      <c r="C4" s="6" t="s">
        <v>96</v>
      </c>
      <c r="D4" s="6" t="s">
        <v>129</v>
      </c>
      <c r="E4" s="6" t="s">
        <v>99</v>
      </c>
      <c r="F4" s="6" t="s">
        <v>124</v>
      </c>
      <c r="G4" s="6" t="s">
        <v>139</v>
      </c>
      <c r="H4" s="6" t="s">
        <v>140</v>
      </c>
      <c r="I4" s="6" t="s">
        <v>180</v>
      </c>
      <c r="J4" s="6" t="s">
        <v>111</v>
      </c>
      <c r="K4" s="6" t="s">
        <v>112</v>
      </c>
      <c r="L4" s="6" t="s">
        <v>531</v>
      </c>
      <c r="M4" s="6" t="s">
        <v>422</v>
      </c>
      <c r="N4" s="6" t="s">
        <v>532</v>
      </c>
      <c r="O4" s="6" t="s">
        <v>436</v>
      </c>
      <c r="P4" s="6" t="s">
        <v>399</v>
      </c>
      <c r="Q4" s="6" t="s">
        <v>112</v>
      </c>
      <c r="R4" s="6" t="s">
        <v>533</v>
      </c>
    </row>
    <row r="5" spans="1:18" x14ac:dyDescent="0.3">
      <c r="B5" s="6" t="s">
        <v>352</v>
      </c>
      <c r="C5" s="6" t="s">
        <v>184</v>
      </c>
      <c r="D5" s="6" t="s">
        <v>534</v>
      </c>
      <c r="E5" s="6" t="s">
        <v>119</v>
      </c>
      <c r="F5" s="6" t="s">
        <v>175</v>
      </c>
      <c r="G5" s="6" t="s">
        <v>202</v>
      </c>
      <c r="H5" s="6" t="s">
        <v>535</v>
      </c>
      <c r="I5" s="6" t="s">
        <v>110</v>
      </c>
      <c r="J5" s="6" t="s">
        <v>536</v>
      </c>
      <c r="L5" s="6" t="s">
        <v>165</v>
      </c>
      <c r="M5" s="6" t="s">
        <v>441</v>
      </c>
      <c r="N5" s="6" t="s">
        <v>407</v>
      </c>
      <c r="P5" s="6" t="s">
        <v>429</v>
      </c>
      <c r="R5" s="6" t="s">
        <v>390</v>
      </c>
    </row>
    <row r="6" spans="1:18" x14ac:dyDescent="0.3">
      <c r="B6" s="6" t="s">
        <v>115</v>
      </c>
      <c r="C6" s="6" t="s">
        <v>145</v>
      </c>
      <c r="G6" s="6" t="s">
        <v>243</v>
      </c>
      <c r="H6" s="6" t="s">
        <v>537</v>
      </c>
      <c r="L6" s="6" t="s">
        <v>538</v>
      </c>
      <c r="M6" s="6" t="s">
        <v>401</v>
      </c>
      <c r="N6" s="6" t="s">
        <v>435</v>
      </c>
    </row>
    <row r="7" spans="1:18" x14ac:dyDescent="0.3">
      <c r="B7" s="6" t="s">
        <v>353</v>
      </c>
      <c r="C7" s="6" t="s">
        <v>235</v>
      </c>
      <c r="G7" s="6" t="s">
        <v>230</v>
      </c>
      <c r="L7" s="6" t="s">
        <v>141</v>
      </c>
      <c r="M7" s="6" t="s">
        <v>431</v>
      </c>
      <c r="N7" s="6" t="s">
        <v>417</v>
      </c>
    </row>
    <row r="8" spans="1:18" x14ac:dyDescent="0.3">
      <c r="B8" s="6" t="s">
        <v>129</v>
      </c>
      <c r="C8" s="6" t="s">
        <v>539</v>
      </c>
      <c r="G8" s="6" t="s">
        <v>540</v>
      </c>
      <c r="L8" s="6" t="s">
        <v>232</v>
      </c>
      <c r="M8" s="6" t="s">
        <v>541</v>
      </c>
      <c r="N8" s="6" t="s">
        <v>482</v>
      </c>
    </row>
    <row r="9" spans="1:18" x14ac:dyDescent="0.3">
      <c r="B9" s="6" t="s">
        <v>354</v>
      </c>
      <c r="C9" s="6" t="s">
        <v>542</v>
      </c>
      <c r="L9" s="6" t="s">
        <v>109</v>
      </c>
      <c r="M9" s="6" t="s">
        <v>413</v>
      </c>
      <c r="N9" s="6" t="s">
        <v>493</v>
      </c>
    </row>
    <row r="10" spans="1:18" x14ac:dyDescent="0.3">
      <c r="B10" s="6" t="s">
        <v>355</v>
      </c>
      <c r="C10" s="6" t="s">
        <v>131</v>
      </c>
      <c r="L10" s="6" t="s">
        <v>277</v>
      </c>
      <c r="M10" s="6" t="s">
        <v>379</v>
      </c>
      <c r="N10" s="6" t="s">
        <v>383</v>
      </c>
    </row>
    <row r="11" spans="1:18" x14ac:dyDescent="0.3">
      <c r="C11" s="6" t="s">
        <v>455</v>
      </c>
      <c r="L11" s="6" t="s">
        <v>179</v>
      </c>
      <c r="M11" s="6" t="s">
        <v>489</v>
      </c>
    </row>
    <row r="12" spans="1:18" x14ac:dyDescent="0.3">
      <c r="C12" s="6" t="s">
        <v>117</v>
      </c>
      <c r="L12" s="6" t="s">
        <v>543</v>
      </c>
    </row>
    <row r="13" spans="1:18" x14ac:dyDescent="0.3">
      <c r="C13" s="6" t="s">
        <v>544</v>
      </c>
      <c r="L13" s="6" t="s">
        <v>545</v>
      </c>
    </row>
    <row r="14" spans="1:18" x14ac:dyDescent="0.3">
      <c r="C14" s="6" t="s">
        <v>546</v>
      </c>
      <c r="L14" s="6" t="s">
        <v>398</v>
      </c>
    </row>
    <row r="15" spans="1:18" x14ac:dyDescent="0.3">
      <c r="C15" s="6" t="s">
        <v>169</v>
      </c>
      <c r="L15" s="6" t="s">
        <v>265</v>
      </c>
    </row>
    <row r="16" spans="1:18" x14ac:dyDescent="0.3">
      <c r="C16" s="6" t="s">
        <v>268</v>
      </c>
      <c r="L16" s="6" t="s">
        <v>464</v>
      </c>
    </row>
    <row r="17" spans="3:12" x14ac:dyDescent="0.3">
      <c r="C17" s="6" t="s">
        <v>547</v>
      </c>
      <c r="L17" s="6" t="s">
        <v>548</v>
      </c>
    </row>
    <row r="18" spans="3:12" x14ac:dyDescent="0.3">
      <c r="C18" s="6" t="s">
        <v>248</v>
      </c>
      <c r="L18" s="6" t="s">
        <v>447</v>
      </c>
    </row>
    <row r="19" spans="3:12" x14ac:dyDescent="0.3">
      <c r="L19" s="6" t="s">
        <v>440</v>
      </c>
    </row>
    <row r="20" spans="3:12" x14ac:dyDescent="0.3">
      <c r="L20" s="6" t="s">
        <v>388</v>
      </c>
    </row>
    <row r="21" spans="3:12" x14ac:dyDescent="0.3">
      <c r="L21" s="6" t="s">
        <v>411</v>
      </c>
    </row>
    <row r="22" spans="3:12" x14ac:dyDescent="0.3">
      <c r="L22" s="6" t="s">
        <v>453</v>
      </c>
    </row>
    <row r="23" spans="3:12" x14ac:dyDescent="0.3">
      <c r="L23" s="6" t="s">
        <v>549</v>
      </c>
    </row>
    <row r="24" spans="3:12" x14ac:dyDescent="0.3">
      <c r="L24" s="6" t="s">
        <v>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551</v>
      </c>
      <c r="B1" s="8" t="s">
        <v>552</v>
      </c>
      <c r="C1" s="8" t="s">
        <v>553</v>
      </c>
      <c r="D1" s="8" t="s">
        <v>364</v>
      </c>
      <c r="E1" s="8" t="s">
        <v>64</v>
      </c>
      <c r="F1" s="8" t="s">
        <v>71</v>
      </c>
      <c r="G1" s="8" t="s">
        <v>554</v>
      </c>
      <c r="H1" s="8" t="s">
        <v>555</v>
      </c>
      <c r="I1" s="8" t="s">
        <v>280</v>
      </c>
    </row>
    <row r="2" spans="1:9" x14ac:dyDescent="0.3">
      <c r="A2" s="22" t="s">
        <v>28</v>
      </c>
      <c r="B2" s="22" t="s">
        <v>556</v>
      </c>
      <c r="C2" s="22" t="s">
        <v>62</v>
      </c>
      <c r="D2" s="22" t="s">
        <v>557</v>
      </c>
      <c r="E2" s="22" t="s">
        <v>558</v>
      </c>
      <c r="F2" s="22" t="s">
        <v>559</v>
      </c>
      <c r="G2" s="22" t="s">
        <v>560</v>
      </c>
      <c r="H2" s="22" t="s">
        <v>245</v>
      </c>
      <c r="I2" s="22" t="s">
        <v>561</v>
      </c>
    </row>
    <row r="3" spans="1:9" ht="26.4" x14ac:dyDescent="0.3">
      <c r="A3" s="22" t="s">
        <v>28</v>
      </c>
      <c r="B3" s="22" t="s">
        <v>556</v>
      </c>
      <c r="C3" s="22" t="s">
        <v>63</v>
      </c>
      <c r="D3" s="22" t="s">
        <v>562</v>
      </c>
      <c r="E3" s="22" t="s">
        <v>558</v>
      </c>
      <c r="F3" s="22" t="s">
        <v>563</v>
      </c>
      <c r="G3" s="22"/>
      <c r="H3" s="22" t="s">
        <v>245</v>
      </c>
      <c r="I3" s="22"/>
    </row>
    <row r="4" spans="1:9" x14ac:dyDescent="0.3">
      <c r="A4" s="22" t="s">
        <v>28</v>
      </c>
      <c r="B4" s="22" t="s">
        <v>556</v>
      </c>
      <c r="C4" s="22" t="s">
        <v>64</v>
      </c>
      <c r="D4" s="22" t="s">
        <v>557</v>
      </c>
      <c r="E4" s="22" t="s">
        <v>558</v>
      </c>
      <c r="F4" s="22" t="s">
        <v>564</v>
      </c>
      <c r="G4" s="22" t="s">
        <v>565</v>
      </c>
      <c r="H4" s="22" t="s">
        <v>245</v>
      </c>
      <c r="I4" s="22"/>
    </row>
    <row r="5" spans="1:9" x14ac:dyDescent="0.3">
      <c r="A5" s="22" t="s">
        <v>28</v>
      </c>
      <c r="B5" s="22" t="s">
        <v>556</v>
      </c>
      <c r="C5" s="22" t="s">
        <v>65</v>
      </c>
      <c r="D5" s="22" t="s">
        <v>557</v>
      </c>
      <c r="E5" s="22" t="s">
        <v>558</v>
      </c>
      <c r="F5" s="22" t="s">
        <v>566</v>
      </c>
      <c r="G5" s="22"/>
      <c r="H5" s="22" t="s">
        <v>245</v>
      </c>
      <c r="I5" s="22" t="s">
        <v>567</v>
      </c>
    </row>
    <row r="6" spans="1:9" ht="26.4" x14ac:dyDescent="0.3">
      <c r="A6" s="22" t="s">
        <v>28</v>
      </c>
      <c r="B6" s="22" t="s">
        <v>556</v>
      </c>
      <c r="C6" s="22" t="s">
        <v>66</v>
      </c>
      <c r="D6" s="22" t="s">
        <v>557</v>
      </c>
      <c r="E6" s="22" t="s">
        <v>558</v>
      </c>
      <c r="F6" s="22" t="s">
        <v>568</v>
      </c>
      <c r="G6" s="22" t="s">
        <v>569</v>
      </c>
      <c r="H6" s="22" t="s">
        <v>245</v>
      </c>
      <c r="I6" s="22" t="s">
        <v>570</v>
      </c>
    </row>
    <row r="7" spans="1:9" x14ac:dyDescent="0.3">
      <c r="A7" s="22" t="s">
        <v>28</v>
      </c>
      <c r="B7" s="22" t="s">
        <v>556</v>
      </c>
      <c r="C7" s="22" t="s">
        <v>67</v>
      </c>
      <c r="D7" s="22" t="s">
        <v>557</v>
      </c>
      <c r="E7" s="22" t="s">
        <v>558</v>
      </c>
      <c r="F7" s="22" t="s">
        <v>571</v>
      </c>
      <c r="G7" s="22"/>
      <c r="H7" s="22" t="s">
        <v>245</v>
      </c>
      <c r="I7" s="22"/>
    </row>
    <row r="8" spans="1:9" x14ac:dyDescent="0.3">
      <c r="A8" s="22" t="s">
        <v>28</v>
      </c>
      <c r="B8" s="22" t="s">
        <v>556</v>
      </c>
      <c r="C8" s="22" t="s">
        <v>68</v>
      </c>
      <c r="D8" s="22" t="s">
        <v>557</v>
      </c>
      <c r="E8" s="22" t="s">
        <v>558</v>
      </c>
      <c r="F8" s="22" t="s">
        <v>572</v>
      </c>
      <c r="G8" s="22" t="s">
        <v>573</v>
      </c>
      <c r="H8" s="22" t="s">
        <v>245</v>
      </c>
      <c r="I8" s="22"/>
    </row>
    <row r="9" spans="1:9" x14ac:dyDescent="0.3">
      <c r="A9" s="22" t="s">
        <v>28</v>
      </c>
      <c r="B9" s="22" t="s">
        <v>556</v>
      </c>
      <c r="C9" s="22" t="s">
        <v>69</v>
      </c>
      <c r="D9" s="22" t="s">
        <v>557</v>
      </c>
      <c r="E9" s="22" t="s">
        <v>558</v>
      </c>
      <c r="F9" s="22" t="s">
        <v>574</v>
      </c>
      <c r="G9" s="22" t="s">
        <v>575</v>
      </c>
      <c r="H9" s="22" t="s">
        <v>245</v>
      </c>
      <c r="I9" s="22"/>
    </row>
    <row r="10" spans="1:9" x14ac:dyDescent="0.3">
      <c r="A10" s="22" t="s">
        <v>28</v>
      </c>
      <c r="B10" s="22" t="s">
        <v>556</v>
      </c>
      <c r="C10" s="22" t="s">
        <v>70</v>
      </c>
      <c r="D10" s="22" t="s">
        <v>557</v>
      </c>
      <c r="E10" s="22" t="s">
        <v>558</v>
      </c>
      <c r="F10" s="22" t="s">
        <v>576</v>
      </c>
      <c r="G10" s="22"/>
      <c r="H10" s="22" t="s">
        <v>245</v>
      </c>
      <c r="I10" s="22"/>
    </row>
    <row r="11" spans="1:9" x14ac:dyDescent="0.3">
      <c r="A11" s="22" t="s">
        <v>28</v>
      </c>
      <c r="B11" s="22" t="s">
        <v>556</v>
      </c>
      <c r="C11" s="22" t="s">
        <v>71</v>
      </c>
      <c r="D11" s="22" t="s">
        <v>557</v>
      </c>
      <c r="E11" s="22" t="s">
        <v>558</v>
      </c>
      <c r="F11" s="22" t="s">
        <v>577</v>
      </c>
      <c r="G11" s="22"/>
      <c r="H11" s="22" t="s">
        <v>245</v>
      </c>
      <c r="I11" s="22"/>
    </row>
    <row r="12" spans="1:9" x14ac:dyDescent="0.3">
      <c r="A12" s="22" t="s">
        <v>28</v>
      </c>
      <c r="B12" s="22" t="s">
        <v>556</v>
      </c>
      <c r="C12" s="22" t="s">
        <v>72</v>
      </c>
      <c r="D12" s="22" t="s">
        <v>557</v>
      </c>
      <c r="E12" s="22" t="s">
        <v>558</v>
      </c>
      <c r="F12" s="22" t="s">
        <v>578</v>
      </c>
      <c r="G12" s="22"/>
      <c r="H12" s="22" t="s">
        <v>245</v>
      </c>
      <c r="I12" s="22"/>
    </row>
    <row r="13" spans="1:9" x14ac:dyDescent="0.3">
      <c r="A13" s="22" t="s">
        <v>28</v>
      </c>
      <c r="B13" s="22" t="s">
        <v>556</v>
      </c>
      <c r="C13" s="22" t="s">
        <v>73</v>
      </c>
      <c r="D13" s="22" t="s">
        <v>557</v>
      </c>
      <c r="E13" s="22" t="s">
        <v>558</v>
      </c>
      <c r="F13" s="22" t="s">
        <v>579</v>
      </c>
      <c r="G13" s="22"/>
      <c r="H13" s="22" t="s">
        <v>245</v>
      </c>
      <c r="I13" s="22"/>
    </row>
    <row r="14" spans="1:9" x14ac:dyDescent="0.3">
      <c r="A14" s="22" t="s">
        <v>28</v>
      </c>
      <c r="B14" s="22" t="s">
        <v>556</v>
      </c>
      <c r="C14" s="22" t="s">
        <v>74</v>
      </c>
      <c r="D14" s="22" t="s">
        <v>557</v>
      </c>
      <c r="E14" s="22" t="s">
        <v>558</v>
      </c>
      <c r="F14" s="22" t="s">
        <v>580</v>
      </c>
      <c r="G14" s="22" t="s">
        <v>581</v>
      </c>
      <c r="H14" s="22" t="s">
        <v>245</v>
      </c>
      <c r="I14" s="22"/>
    </row>
    <row r="15" spans="1:9" x14ac:dyDescent="0.3">
      <c r="A15" s="22" t="s">
        <v>28</v>
      </c>
      <c r="B15" s="22" t="s">
        <v>556</v>
      </c>
      <c r="C15" s="22" t="s">
        <v>75</v>
      </c>
      <c r="D15" s="22" t="s">
        <v>557</v>
      </c>
      <c r="E15" s="22" t="s">
        <v>558</v>
      </c>
      <c r="F15" s="22" t="s">
        <v>582</v>
      </c>
      <c r="G15" s="22"/>
      <c r="H15" s="22" t="s">
        <v>245</v>
      </c>
      <c r="I15" s="22"/>
    </row>
    <row r="16" spans="1:9" x14ac:dyDescent="0.3">
      <c r="A16" s="22" t="s">
        <v>28</v>
      </c>
      <c r="B16" s="22" t="s">
        <v>556</v>
      </c>
      <c r="C16" s="22" t="s">
        <v>76</v>
      </c>
      <c r="D16" s="22" t="s">
        <v>557</v>
      </c>
      <c r="E16" s="22" t="s">
        <v>558</v>
      </c>
      <c r="F16" s="22" t="s">
        <v>583</v>
      </c>
      <c r="G16" s="22"/>
      <c r="H16" s="22" t="s">
        <v>245</v>
      </c>
      <c r="I16" s="22"/>
    </row>
    <row r="17" spans="1:9" x14ac:dyDescent="0.3">
      <c r="A17" s="22" t="s">
        <v>28</v>
      </c>
      <c r="B17" s="22" t="s">
        <v>556</v>
      </c>
      <c r="C17" s="22" t="s">
        <v>77</v>
      </c>
      <c r="D17" s="22" t="s">
        <v>557</v>
      </c>
      <c r="E17" s="22" t="s">
        <v>558</v>
      </c>
      <c r="F17" s="22" t="s">
        <v>584</v>
      </c>
      <c r="G17" s="22" t="s">
        <v>585</v>
      </c>
      <c r="H17" s="22" t="s">
        <v>245</v>
      </c>
      <c r="I17" s="22"/>
    </row>
    <row r="18" spans="1:9" x14ac:dyDescent="0.3">
      <c r="A18" s="22" t="s">
        <v>28</v>
      </c>
      <c r="B18" s="22" t="s">
        <v>556</v>
      </c>
      <c r="C18" s="22" t="s">
        <v>78</v>
      </c>
      <c r="D18" s="22" t="s">
        <v>557</v>
      </c>
      <c r="E18" s="22" t="s">
        <v>558</v>
      </c>
      <c r="F18" s="22" t="s">
        <v>586</v>
      </c>
      <c r="G18" s="22" t="s">
        <v>587</v>
      </c>
      <c r="H18" s="22" t="s">
        <v>245</v>
      </c>
      <c r="I18" s="22"/>
    </row>
    <row r="19" spans="1:9" x14ac:dyDescent="0.3">
      <c r="A19" s="22" t="s">
        <v>28</v>
      </c>
      <c r="B19" s="22" t="s">
        <v>556</v>
      </c>
      <c r="C19" s="22" t="s">
        <v>79</v>
      </c>
      <c r="D19" s="22" t="s">
        <v>588</v>
      </c>
      <c r="E19" s="22" t="s">
        <v>589</v>
      </c>
      <c r="F19" s="22" t="s">
        <v>590</v>
      </c>
      <c r="G19" s="22"/>
      <c r="H19" s="22" t="s">
        <v>245</v>
      </c>
      <c r="I19" s="22"/>
    </row>
    <row r="20" spans="1:9" ht="26.4" x14ac:dyDescent="0.3">
      <c r="A20" s="22" t="s">
        <v>28</v>
      </c>
      <c r="B20" s="22" t="s">
        <v>556</v>
      </c>
      <c r="C20" s="22" t="s">
        <v>80</v>
      </c>
      <c r="D20" s="22" t="s">
        <v>557</v>
      </c>
      <c r="E20" s="22" t="s">
        <v>558</v>
      </c>
      <c r="F20" s="22" t="s">
        <v>591</v>
      </c>
      <c r="G20" s="22"/>
      <c r="H20" s="22" t="s">
        <v>112</v>
      </c>
      <c r="I20" s="22" t="s">
        <v>592</v>
      </c>
    </row>
    <row r="21" spans="1:9" ht="26.4" x14ac:dyDescent="0.3">
      <c r="A21" s="22" t="s">
        <v>28</v>
      </c>
      <c r="B21" s="22" t="s">
        <v>556</v>
      </c>
      <c r="C21" s="22" t="s">
        <v>81</v>
      </c>
      <c r="D21" s="22" t="s">
        <v>557</v>
      </c>
      <c r="E21" s="22" t="s">
        <v>558</v>
      </c>
      <c r="F21" s="22" t="s">
        <v>593</v>
      </c>
      <c r="G21" s="22"/>
      <c r="H21" s="22" t="s">
        <v>112</v>
      </c>
      <c r="I21" s="22" t="s">
        <v>592</v>
      </c>
    </row>
    <row r="22" spans="1:9" x14ac:dyDescent="0.3">
      <c r="A22" s="22" t="s">
        <v>28</v>
      </c>
      <c r="B22" s="22" t="s">
        <v>556</v>
      </c>
      <c r="C22" s="22" t="s">
        <v>82</v>
      </c>
      <c r="D22" s="22" t="s">
        <v>557</v>
      </c>
      <c r="E22" s="22" t="s">
        <v>558</v>
      </c>
      <c r="F22" s="22" t="s">
        <v>594</v>
      </c>
      <c r="G22" s="22" t="s">
        <v>595</v>
      </c>
      <c r="H22" s="22" t="s">
        <v>245</v>
      </c>
      <c r="I22" s="22"/>
    </row>
    <row r="23" spans="1:9" ht="26.4" x14ac:dyDescent="0.3">
      <c r="A23" s="22" t="s">
        <v>28</v>
      </c>
      <c r="B23" s="22" t="s">
        <v>556</v>
      </c>
      <c r="C23" s="22" t="s">
        <v>83</v>
      </c>
      <c r="D23" s="22" t="s">
        <v>562</v>
      </c>
      <c r="E23" s="22" t="s">
        <v>558</v>
      </c>
      <c r="F23" s="22" t="s">
        <v>596</v>
      </c>
      <c r="G23" s="22"/>
      <c r="H23" s="22" t="s">
        <v>245</v>
      </c>
      <c r="I23" s="22"/>
    </row>
    <row r="24" spans="1:9" x14ac:dyDescent="0.3">
      <c r="A24" s="22" t="s">
        <v>28</v>
      </c>
      <c r="B24" s="22" t="s">
        <v>556</v>
      </c>
      <c r="C24" s="22" t="s">
        <v>14</v>
      </c>
      <c r="D24" s="22" t="s">
        <v>557</v>
      </c>
      <c r="E24" s="22" t="s">
        <v>558</v>
      </c>
      <c r="F24" s="22" t="s">
        <v>597</v>
      </c>
      <c r="G24" s="22" t="s">
        <v>598</v>
      </c>
      <c r="H24" s="22" t="s">
        <v>245</v>
      </c>
      <c r="I24" s="22"/>
    </row>
    <row r="25" spans="1:9" ht="26.4" x14ac:dyDescent="0.3">
      <c r="A25" s="22" t="s">
        <v>28</v>
      </c>
      <c r="B25" s="22" t="s">
        <v>556</v>
      </c>
      <c r="C25" s="22" t="s">
        <v>84</v>
      </c>
      <c r="D25" s="22" t="s">
        <v>562</v>
      </c>
      <c r="E25" s="22" t="s">
        <v>558</v>
      </c>
      <c r="F25" s="22" t="s">
        <v>599</v>
      </c>
      <c r="G25" s="22"/>
      <c r="H25" s="22" t="s">
        <v>112</v>
      </c>
      <c r="I25" s="22"/>
    </row>
    <row r="26" spans="1:9" x14ac:dyDescent="0.3">
      <c r="A26" s="22" t="s">
        <v>28</v>
      </c>
      <c r="B26" s="22" t="s">
        <v>556</v>
      </c>
      <c r="C26" s="22" t="s">
        <v>85</v>
      </c>
      <c r="D26" s="22" t="s">
        <v>588</v>
      </c>
      <c r="E26" s="22" t="s">
        <v>589</v>
      </c>
      <c r="F26" s="22" t="s">
        <v>600</v>
      </c>
      <c r="G26" s="22"/>
      <c r="H26" s="22" t="s">
        <v>245</v>
      </c>
      <c r="I26" s="22"/>
    </row>
    <row r="27" spans="1:9" x14ac:dyDescent="0.3">
      <c r="A27" s="22" t="s">
        <v>28</v>
      </c>
      <c r="B27" s="22" t="s">
        <v>556</v>
      </c>
      <c r="C27" s="22" t="s">
        <v>86</v>
      </c>
      <c r="D27" s="22" t="s">
        <v>557</v>
      </c>
      <c r="E27" s="22" t="s">
        <v>589</v>
      </c>
      <c r="F27" s="22" t="s">
        <v>601</v>
      </c>
      <c r="G27" s="22"/>
      <c r="H27" s="22" t="s">
        <v>245</v>
      </c>
      <c r="I27" s="22"/>
    </row>
    <row r="28" spans="1:9" x14ac:dyDescent="0.3">
      <c r="A28" s="22" t="s">
        <v>28</v>
      </c>
      <c r="B28" s="22" t="s">
        <v>556</v>
      </c>
      <c r="C28" s="22" t="s">
        <v>87</v>
      </c>
      <c r="D28" s="22" t="s">
        <v>557</v>
      </c>
      <c r="E28" s="22" t="s">
        <v>558</v>
      </c>
      <c r="F28" s="22" t="s">
        <v>602</v>
      </c>
      <c r="G28" s="22" t="s">
        <v>603</v>
      </c>
      <c r="H28" s="22" t="s">
        <v>245</v>
      </c>
      <c r="I28" s="22"/>
    </row>
    <row r="29" spans="1:9" ht="26.4" x14ac:dyDescent="0.3">
      <c r="A29" s="22" t="s">
        <v>28</v>
      </c>
      <c r="B29" s="22" t="s">
        <v>556</v>
      </c>
      <c r="C29" s="22" t="s">
        <v>88</v>
      </c>
      <c r="D29" s="22" t="s">
        <v>562</v>
      </c>
      <c r="E29" s="22" t="s">
        <v>558</v>
      </c>
      <c r="F29" s="22" t="s">
        <v>604</v>
      </c>
      <c r="G29" s="22"/>
      <c r="H29" s="22" t="s">
        <v>245</v>
      </c>
      <c r="I29" s="22"/>
    </row>
    <row r="30" spans="1:9" x14ac:dyDescent="0.3">
      <c r="A30" s="22" t="s">
        <v>28</v>
      </c>
      <c r="B30" s="22" t="s">
        <v>556</v>
      </c>
      <c r="C30" s="22" t="s">
        <v>89</v>
      </c>
      <c r="D30" s="22" t="s">
        <v>557</v>
      </c>
      <c r="E30" s="22" t="s">
        <v>558</v>
      </c>
      <c r="F30" s="22" t="s">
        <v>605</v>
      </c>
      <c r="G30" s="22" t="s">
        <v>606</v>
      </c>
      <c r="H30" s="22" t="s">
        <v>245</v>
      </c>
      <c r="I30" s="22"/>
    </row>
    <row r="31" spans="1:9" x14ac:dyDescent="0.3">
      <c r="A31" s="22" t="s">
        <v>28</v>
      </c>
      <c r="B31" s="22" t="s">
        <v>556</v>
      </c>
      <c r="C31" s="22" t="s">
        <v>90</v>
      </c>
      <c r="D31" s="22" t="s">
        <v>607</v>
      </c>
      <c r="E31" s="22" t="s">
        <v>558</v>
      </c>
      <c r="F31" s="22" t="s">
        <v>608</v>
      </c>
      <c r="G31" s="22"/>
      <c r="H31" s="22" t="s">
        <v>245</v>
      </c>
      <c r="I31" s="22"/>
    </row>
    <row r="32" spans="1:9" x14ac:dyDescent="0.3">
      <c r="A32" s="22" t="s">
        <v>28</v>
      </c>
      <c r="B32" s="22" t="s">
        <v>556</v>
      </c>
      <c r="C32" s="22" t="s">
        <v>91</v>
      </c>
      <c r="D32" s="22" t="s">
        <v>557</v>
      </c>
      <c r="E32" s="22" t="s">
        <v>558</v>
      </c>
      <c r="F32" s="22" t="s">
        <v>609</v>
      </c>
      <c r="G32" s="22"/>
      <c r="H32" s="22" t="s">
        <v>245</v>
      </c>
      <c r="I32" s="22"/>
    </row>
    <row r="33" spans="1:9" x14ac:dyDescent="0.3">
      <c r="A33" s="22" t="s">
        <v>28</v>
      </c>
      <c r="B33" s="22" t="s">
        <v>556</v>
      </c>
      <c r="C33" s="22" t="s">
        <v>92</v>
      </c>
      <c r="D33" s="22" t="s">
        <v>557</v>
      </c>
      <c r="E33" s="22" t="s">
        <v>589</v>
      </c>
      <c r="F33" s="22" t="s">
        <v>610</v>
      </c>
      <c r="G33" s="22"/>
      <c r="H33" s="22" t="s">
        <v>245</v>
      </c>
      <c r="I33" s="22"/>
    </row>
    <row r="34" spans="1:9" x14ac:dyDescent="0.3">
      <c r="A34" s="22" t="s">
        <v>30</v>
      </c>
      <c r="B34" s="22" t="s">
        <v>611</v>
      </c>
      <c r="C34" s="22" t="s">
        <v>62</v>
      </c>
      <c r="D34" s="22" t="s">
        <v>557</v>
      </c>
      <c r="E34" s="22" t="s">
        <v>558</v>
      </c>
      <c r="F34" s="22" t="s">
        <v>612</v>
      </c>
      <c r="G34" s="22"/>
      <c r="H34" s="22" t="s">
        <v>245</v>
      </c>
      <c r="I34" s="22" t="s">
        <v>613</v>
      </c>
    </row>
    <row r="35" spans="1:9" x14ac:dyDescent="0.3">
      <c r="A35" s="22" t="s">
        <v>30</v>
      </c>
      <c r="B35" s="22" t="s">
        <v>611</v>
      </c>
      <c r="C35" s="22" t="s">
        <v>279</v>
      </c>
      <c r="D35" s="22" t="s">
        <v>588</v>
      </c>
      <c r="E35" s="22" t="s">
        <v>558</v>
      </c>
      <c r="F35" s="22" t="s">
        <v>614</v>
      </c>
      <c r="G35" s="22"/>
      <c r="H35" s="22" t="s">
        <v>245</v>
      </c>
      <c r="I35" s="22"/>
    </row>
    <row r="36" spans="1:9" x14ac:dyDescent="0.3">
      <c r="A36" s="22" t="s">
        <v>30</v>
      </c>
      <c r="B36" s="22" t="s">
        <v>611</v>
      </c>
      <c r="C36" s="22" t="s">
        <v>280</v>
      </c>
      <c r="D36" s="22" t="s">
        <v>557</v>
      </c>
      <c r="E36" s="22" t="s">
        <v>589</v>
      </c>
      <c r="F36" s="22" t="s">
        <v>615</v>
      </c>
      <c r="G36" s="22"/>
      <c r="H36" s="22" t="s">
        <v>245</v>
      </c>
      <c r="I36" s="22"/>
    </row>
    <row r="37" spans="1:9" x14ac:dyDescent="0.3">
      <c r="A37" s="22" t="s">
        <v>30</v>
      </c>
      <c r="B37" s="22" t="s">
        <v>611</v>
      </c>
      <c r="C37" s="22" t="s">
        <v>281</v>
      </c>
      <c r="D37" s="22" t="s">
        <v>557</v>
      </c>
      <c r="E37" s="22" t="s">
        <v>558</v>
      </c>
      <c r="F37" s="22" t="s">
        <v>616</v>
      </c>
      <c r="G37" s="22"/>
      <c r="H37" s="22" t="s">
        <v>245</v>
      </c>
      <c r="I37" s="22"/>
    </row>
    <row r="38" spans="1:9" x14ac:dyDescent="0.3">
      <c r="A38" s="22" t="s">
        <v>30</v>
      </c>
      <c r="B38" s="22" t="s">
        <v>611</v>
      </c>
      <c r="C38" s="22" t="s">
        <v>282</v>
      </c>
      <c r="D38" s="22" t="s">
        <v>557</v>
      </c>
      <c r="E38" s="22" t="s">
        <v>558</v>
      </c>
      <c r="F38" s="22" t="s">
        <v>617</v>
      </c>
      <c r="G38" s="22"/>
      <c r="H38" s="22" t="s">
        <v>245</v>
      </c>
      <c r="I38" s="22"/>
    </row>
    <row r="39" spans="1:9" x14ac:dyDescent="0.3">
      <c r="A39" s="22" t="s">
        <v>30</v>
      </c>
      <c r="B39" s="22" t="s">
        <v>611</v>
      </c>
      <c r="C39" s="22" t="s">
        <v>283</v>
      </c>
      <c r="D39" s="22" t="s">
        <v>557</v>
      </c>
      <c r="E39" s="22" t="s">
        <v>558</v>
      </c>
      <c r="F39" s="22" t="s">
        <v>618</v>
      </c>
      <c r="G39" s="22"/>
      <c r="H39" s="22" t="s">
        <v>245</v>
      </c>
      <c r="I39" s="22"/>
    </row>
    <row r="40" spans="1:9" x14ac:dyDescent="0.3">
      <c r="A40" s="22" t="s">
        <v>30</v>
      </c>
      <c r="B40" s="22" t="s">
        <v>611</v>
      </c>
      <c r="C40" s="22" t="s">
        <v>284</v>
      </c>
      <c r="D40" s="22" t="s">
        <v>557</v>
      </c>
      <c r="E40" s="22" t="s">
        <v>558</v>
      </c>
      <c r="F40" s="22" t="s">
        <v>619</v>
      </c>
      <c r="G40" s="22" t="s">
        <v>606</v>
      </c>
      <c r="H40" s="22" t="s">
        <v>245</v>
      </c>
      <c r="I40" s="22"/>
    </row>
    <row r="41" spans="1:9" x14ac:dyDescent="0.3">
      <c r="A41" s="22" t="s">
        <v>36</v>
      </c>
      <c r="B41" s="22" t="s">
        <v>620</v>
      </c>
      <c r="C41" s="22" t="s">
        <v>361</v>
      </c>
      <c r="D41" s="22" t="s">
        <v>557</v>
      </c>
      <c r="E41" s="22" t="s">
        <v>558</v>
      </c>
      <c r="F41" s="22" t="s">
        <v>621</v>
      </c>
      <c r="G41" s="22"/>
      <c r="H41" s="22" t="s">
        <v>245</v>
      </c>
      <c r="I41" s="22" t="s">
        <v>561</v>
      </c>
    </row>
    <row r="42" spans="1:9" ht="26.4" x14ac:dyDescent="0.3">
      <c r="A42" s="22" t="s">
        <v>36</v>
      </c>
      <c r="B42" s="22" t="s">
        <v>620</v>
      </c>
      <c r="C42" s="22" t="s">
        <v>362</v>
      </c>
      <c r="D42" s="22" t="s">
        <v>562</v>
      </c>
      <c r="E42" s="22" t="s">
        <v>558</v>
      </c>
      <c r="F42" s="22" t="s">
        <v>622</v>
      </c>
      <c r="G42" s="22"/>
      <c r="H42" s="22" t="s">
        <v>245</v>
      </c>
      <c r="I42" s="22"/>
    </row>
    <row r="43" spans="1:9" ht="26.4" x14ac:dyDescent="0.3">
      <c r="A43" s="22" t="s">
        <v>36</v>
      </c>
      <c r="B43" s="22" t="s">
        <v>620</v>
      </c>
      <c r="C43" s="22" t="s">
        <v>363</v>
      </c>
      <c r="D43" s="22" t="s">
        <v>588</v>
      </c>
      <c r="E43" s="22" t="s">
        <v>589</v>
      </c>
      <c r="F43" s="22" t="s">
        <v>623</v>
      </c>
      <c r="G43" s="22"/>
      <c r="H43" s="22" t="s">
        <v>245</v>
      </c>
      <c r="I43" s="22"/>
    </row>
    <row r="44" spans="1:9" x14ac:dyDescent="0.3">
      <c r="A44" s="22" t="s">
        <v>36</v>
      </c>
      <c r="B44" s="22" t="s">
        <v>620</v>
      </c>
      <c r="C44" s="22" t="s">
        <v>364</v>
      </c>
      <c r="D44" s="22" t="s">
        <v>557</v>
      </c>
      <c r="E44" s="22" t="s">
        <v>558</v>
      </c>
      <c r="F44" s="22" t="s">
        <v>624</v>
      </c>
      <c r="G44" s="22" t="s">
        <v>625</v>
      </c>
      <c r="H44" s="22" t="s">
        <v>245</v>
      </c>
      <c r="I44" s="22"/>
    </row>
    <row r="45" spans="1:9" ht="26.4" x14ac:dyDescent="0.3">
      <c r="A45" s="22" t="s">
        <v>36</v>
      </c>
      <c r="B45" s="22" t="s">
        <v>620</v>
      </c>
      <c r="C45" s="22" t="s">
        <v>66</v>
      </c>
      <c r="D45" s="22" t="s">
        <v>557</v>
      </c>
      <c r="E45" s="22" t="s">
        <v>558</v>
      </c>
      <c r="F45" s="22" t="s">
        <v>568</v>
      </c>
      <c r="G45" s="22" t="s">
        <v>569</v>
      </c>
      <c r="H45" s="22" t="s">
        <v>245</v>
      </c>
      <c r="I45" s="22" t="s">
        <v>570</v>
      </c>
    </row>
    <row r="46" spans="1:9" x14ac:dyDescent="0.3">
      <c r="A46" s="22" t="s">
        <v>36</v>
      </c>
      <c r="B46" s="22" t="s">
        <v>620</v>
      </c>
      <c r="C46" s="22" t="s">
        <v>67</v>
      </c>
      <c r="D46" s="22" t="s">
        <v>557</v>
      </c>
      <c r="E46" s="22" t="s">
        <v>558</v>
      </c>
      <c r="F46" s="22" t="s">
        <v>626</v>
      </c>
      <c r="G46" s="22"/>
      <c r="H46" s="22" t="s">
        <v>245</v>
      </c>
      <c r="I46" s="22"/>
    </row>
    <row r="47" spans="1:9" x14ac:dyDescent="0.3">
      <c r="A47" s="22" t="s">
        <v>36</v>
      </c>
      <c r="B47" s="22" t="s">
        <v>620</v>
      </c>
      <c r="C47" s="22" t="s">
        <v>71</v>
      </c>
      <c r="D47" s="22" t="s">
        <v>557</v>
      </c>
      <c r="E47" s="22" t="s">
        <v>558</v>
      </c>
      <c r="F47" s="22" t="s">
        <v>627</v>
      </c>
      <c r="G47" s="22"/>
      <c r="H47" s="22" t="s">
        <v>245</v>
      </c>
      <c r="I47" s="22"/>
    </row>
    <row r="48" spans="1:9" x14ac:dyDescent="0.3">
      <c r="A48" s="22" t="s">
        <v>36</v>
      </c>
      <c r="B48" s="22" t="s">
        <v>620</v>
      </c>
      <c r="C48" s="22" t="s">
        <v>365</v>
      </c>
      <c r="D48" s="22" t="s">
        <v>557</v>
      </c>
      <c r="E48" s="22" t="s">
        <v>558</v>
      </c>
      <c r="F48" s="22" t="s">
        <v>628</v>
      </c>
      <c r="G48" s="22"/>
      <c r="H48" s="22" t="s">
        <v>112</v>
      </c>
      <c r="I48" s="22"/>
    </row>
    <row r="49" spans="1:9" x14ac:dyDescent="0.3">
      <c r="A49" s="22" t="s">
        <v>36</v>
      </c>
      <c r="B49" s="22" t="s">
        <v>620</v>
      </c>
      <c r="C49" s="22" t="s">
        <v>366</v>
      </c>
      <c r="D49" s="22" t="s">
        <v>629</v>
      </c>
      <c r="E49" s="22" t="s">
        <v>558</v>
      </c>
      <c r="F49" s="22" t="s">
        <v>630</v>
      </c>
      <c r="G49" s="22"/>
      <c r="H49" s="22" t="s">
        <v>112</v>
      </c>
      <c r="I49" s="22"/>
    </row>
    <row r="50" spans="1:9" x14ac:dyDescent="0.3">
      <c r="A50" s="22" t="s">
        <v>36</v>
      </c>
      <c r="B50" s="22" t="s">
        <v>620</v>
      </c>
      <c r="C50" s="22" t="s">
        <v>367</v>
      </c>
      <c r="D50" s="22" t="s">
        <v>557</v>
      </c>
      <c r="E50" s="22" t="s">
        <v>558</v>
      </c>
      <c r="F50" s="22" t="s">
        <v>631</v>
      </c>
      <c r="G50" s="22"/>
      <c r="H50" s="22" t="s">
        <v>112</v>
      </c>
      <c r="I50" s="22"/>
    </row>
    <row r="51" spans="1:9" x14ac:dyDescent="0.3">
      <c r="A51" s="22" t="s">
        <v>36</v>
      </c>
      <c r="B51" s="22" t="s">
        <v>620</v>
      </c>
      <c r="C51" s="22" t="s">
        <v>368</v>
      </c>
      <c r="D51" s="22" t="s">
        <v>557</v>
      </c>
      <c r="E51" s="22" t="s">
        <v>558</v>
      </c>
      <c r="F51" s="22" t="s">
        <v>632</v>
      </c>
      <c r="G51" s="22" t="s">
        <v>633</v>
      </c>
      <c r="H51" s="22" t="s">
        <v>245</v>
      </c>
      <c r="I51" s="22"/>
    </row>
    <row r="52" spans="1:9" x14ac:dyDescent="0.3">
      <c r="A52" s="22" t="s">
        <v>36</v>
      </c>
      <c r="B52" s="22" t="s">
        <v>620</v>
      </c>
      <c r="C52" s="22" t="s">
        <v>369</v>
      </c>
      <c r="D52" s="22" t="s">
        <v>557</v>
      </c>
      <c r="E52" s="22" t="s">
        <v>558</v>
      </c>
      <c r="F52" s="22" t="s">
        <v>634</v>
      </c>
      <c r="G52" s="22" t="s">
        <v>635</v>
      </c>
      <c r="H52" s="22" t="s">
        <v>245</v>
      </c>
      <c r="I52" s="22"/>
    </row>
    <row r="53" spans="1:9" x14ac:dyDescent="0.3">
      <c r="A53" s="22" t="s">
        <v>36</v>
      </c>
      <c r="B53" s="22" t="s">
        <v>620</v>
      </c>
      <c r="C53" s="22" t="s">
        <v>370</v>
      </c>
      <c r="D53" s="22" t="s">
        <v>588</v>
      </c>
      <c r="E53" s="22" t="s">
        <v>558</v>
      </c>
      <c r="F53" s="22" t="s">
        <v>636</v>
      </c>
      <c r="G53" s="22"/>
      <c r="H53" s="22" t="s">
        <v>245</v>
      </c>
      <c r="I53" s="22"/>
    </row>
    <row r="54" spans="1:9" x14ac:dyDescent="0.3">
      <c r="A54" s="22" t="s">
        <v>36</v>
      </c>
      <c r="B54" s="22" t="s">
        <v>620</v>
      </c>
      <c r="C54" s="22" t="s">
        <v>371</v>
      </c>
      <c r="D54" s="22" t="s">
        <v>557</v>
      </c>
      <c r="E54" s="22" t="s">
        <v>558</v>
      </c>
      <c r="F54" s="22" t="s">
        <v>637</v>
      </c>
      <c r="G54" s="22" t="s">
        <v>638</v>
      </c>
      <c r="H54" s="22" t="s">
        <v>245</v>
      </c>
      <c r="I54" s="22"/>
    </row>
    <row r="55" spans="1:9" x14ac:dyDescent="0.3">
      <c r="A55" s="22" t="s">
        <v>36</v>
      </c>
      <c r="B55" s="22" t="s">
        <v>620</v>
      </c>
      <c r="C55" s="22" t="s">
        <v>372</v>
      </c>
      <c r="D55" s="22" t="s">
        <v>557</v>
      </c>
      <c r="E55" s="22" t="s">
        <v>558</v>
      </c>
      <c r="F55" s="22" t="s">
        <v>639</v>
      </c>
      <c r="G55" s="22" t="s">
        <v>635</v>
      </c>
      <c r="H55" s="22" t="s">
        <v>245</v>
      </c>
      <c r="I55" s="22"/>
    </row>
    <row r="56" spans="1:9" ht="26.4" x14ac:dyDescent="0.3">
      <c r="A56" s="22" t="s">
        <v>36</v>
      </c>
      <c r="B56" s="22" t="s">
        <v>620</v>
      </c>
      <c r="C56" s="22" t="s">
        <v>373</v>
      </c>
      <c r="D56" s="22" t="s">
        <v>557</v>
      </c>
      <c r="E56" s="22" t="s">
        <v>558</v>
      </c>
      <c r="F56" s="22" t="s">
        <v>640</v>
      </c>
      <c r="G56" s="22"/>
      <c r="H56" s="22" t="s">
        <v>112</v>
      </c>
      <c r="I56" s="22" t="s">
        <v>641</v>
      </c>
    </row>
    <row r="57" spans="1:9" ht="26.4" x14ac:dyDescent="0.3">
      <c r="A57" s="22" t="s">
        <v>36</v>
      </c>
      <c r="B57" s="22" t="s">
        <v>620</v>
      </c>
      <c r="C57" s="22" t="s">
        <v>374</v>
      </c>
      <c r="D57" s="22" t="s">
        <v>557</v>
      </c>
      <c r="E57" s="22" t="s">
        <v>558</v>
      </c>
      <c r="F57" s="22" t="s">
        <v>642</v>
      </c>
      <c r="G57" s="22"/>
      <c r="H57" s="22" t="s">
        <v>112</v>
      </c>
      <c r="I57" s="22" t="s">
        <v>643</v>
      </c>
    </row>
    <row r="58" spans="1:9" x14ac:dyDescent="0.3">
      <c r="A58" s="22" t="s">
        <v>36</v>
      </c>
      <c r="B58" s="22" t="s">
        <v>620</v>
      </c>
      <c r="C58" s="22" t="s">
        <v>375</v>
      </c>
      <c r="D58" s="22" t="s">
        <v>557</v>
      </c>
      <c r="E58" s="22" t="s">
        <v>558</v>
      </c>
      <c r="F58" s="22" t="s">
        <v>644</v>
      </c>
      <c r="G58" s="22"/>
      <c r="H58" s="22" t="s">
        <v>245</v>
      </c>
      <c r="I58" s="22"/>
    </row>
    <row r="59" spans="1:9" x14ac:dyDescent="0.3">
      <c r="A59" s="22" t="s">
        <v>36</v>
      </c>
      <c r="B59" s="22" t="s">
        <v>620</v>
      </c>
      <c r="C59" s="22" t="s">
        <v>62</v>
      </c>
      <c r="D59" s="22" t="s">
        <v>557</v>
      </c>
      <c r="E59" s="22" t="s">
        <v>558</v>
      </c>
      <c r="F59" s="22" t="s">
        <v>645</v>
      </c>
      <c r="G59" s="22"/>
      <c r="H59" s="22" t="s">
        <v>112</v>
      </c>
      <c r="I59" s="22" t="s">
        <v>613</v>
      </c>
    </row>
    <row r="60" spans="1:9" x14ac:dyDescent="0.3">
      <c r="A60" s="22" t="s">
        <v>36</v>
      </c>
      <c r="B60" s="22" t="s">
        <v>620</v>
      </c>
      <c r="C60" s="22" t="s">
        <v>90</v>
      </c>
      <c r="D60" s="22" t="s">
        <v>607</v>
      </c>
      <c r="E60" s="22" t="s">
        <v>558</v>
      </c>
      <c r="F60" s="22" t="s">
        <v>646</v>
      </c>
      <c r="G60" s="22"/>
      <c r="H60" s="22" t="s">
        <v>245</v>
      </c>
      <c r="I60" s="22"/>
    </row>
    <row r="61" spans="1:9" x14ac:dyDescent="0.3">
      <c r="A61" s="22" t="s">
        <v>36</v>
      </c>
      <c r="B61" s="22" t="s">
        <v>620</v>
      </c>
      <c r="C61" s="22" t="s">
        <v>91</v>
      </c>
      <c r="D61" s="22" t="s">
        <v>557</v>
      </c>
      <c r="E61" s="22" t="s">
        <v>558</v>
      </c>
      <c r="F61" s="22" t="s">
        <v>647</v>
      </c>
      <c r="G61" s="22"/>
      <c r="H61" s="22" t="s">
        <v>245</v>
      </c>
      <c r="I61" s="22"/>
    </row>
    <row r="62" spans="1:9" x14ac:dyDescent="0.3">
      <c r="A62" s="22" t="s">
        <v>36</v>
      </c>
      <c r="B62" s="22" t="s">
        <v>620</v>
      </c>
      <c r="C62" s="22" t="s">
        <v>376</v>
      </c>
      <c r="D62" s="22" t="s">
        <v>557</v>
      </c>
      <c r="E62" s="22" t="s">
        <v>558</v>
      </c>
      <c r="F62" s="22" t="s">
        <v>648</v>
      </c>
      <c r="G62" s="22" t="s">
        <v>649</v>
      </c>
      <c r="H62" s="22" t="s">
        <v>112</v>
      </c>
      <c r="I62" s="22"/>
    </row>
    <row r="63" spans="1:9" x14ac:dyDescent="0.3">
      <c r="A63" s="22" t="s">
        <v>36</v>
      </c>
      <c r="B63" s="22" t="s">
        <v>620</v>
      </c>
      <c r="C63" s="22" t="s">
        <v>14</v>
      </c>
      <c r="D63" s="22" t="s">
        <v>557</v>
      </c>
      <c r="E63" s="22" t="s">
        <v>558</v>
      </c>
      <c r="F63" s="22" t="s">
        <v>597</v>
      </c>
      <c r="G63" s="22" t="s">
        <v>650</v>
      </c>
      <c r="H63" s="22" t="s">
        <v>245</v>
      </c>
      <c r="I63" s="22"/>
    </row>
    <row r="64" spans="1:9" x14ac:dyDescent="0.3">
      <c r="A64" s="22" t="s">
        <v>36</v>
      </c>
      <c r="B64" s="22" t="s">
        <v>620</v>
      </c>
      <c r="C64" s="22" t="s">
        <v>377</v>
      </c>
      <c r="D64" s="22" t="s">
        <v>557</v>
      </c>
      <c r="E64" s="22" t="s">
        <v>589</v>
      </c>
      <c r="F64" s="22" t="s">
        <v>651</v>
      </c>
      <c r="G64" s="22"/>
      <c r="H64" s="22" t="s">
        <v>245</v>
      </c>
      <c r="I64" s="2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22</vt:i4>
      </vt:variant>
    </vt:vector>
  </HeadingPairs>
  <TitlesOfParts>
    <vt:vector size="30" baseType="lpstr">
      <vt:lpstr>00_LEIA-ME</vt:lpstr>
      <vt:lpstr>Registo_NC</vt:lpstr>
      <vt:lpstr>Cinco_Porques</vt:lpstr>
      <vt:lpstr>RNC_Formulario</vt:lpstr>
      <vt:lpstr>Indicadores_NC</vt:lpstr>
      <vt:lpstr>Registo_Incidentes</vt:lpstr>
      <vt:lpstr>Listas</vt:lpstr>
      <vt:lpstr>Dicionario_Dados</vt:lpstr>
      <vt:lpstr>DataRef</vt:lpstr>
      <vt:lpstr>lst_Cat6M</vt:lpstr>
      <vt:lpstr>lst_Classificacao</vt:lpstr>
      <vt:lpstr>lst_DataReferencia</vt:lpstr>
      <vt:lpstr>lst_Eficacia</vt:lpstr>
      <vt:lpstr>lst_Estado</vt:lpstr>
      <vt:lpstr>lst_Funcao</vt:lpstr>
      <vt:lpstr>lst_INC_Cond</vt:lpstr>
      <vt:lpstr>lst_INC_Estado</vt:lpstr>
      <vt:lpstr>lst_INC_Meio</vt:lpstr>
      <vt:lpstr>lst_INC_SimNao</vt:lpstr>
      <vt:lpstr>lst_INC_Tipo</vt:lpstr>
      <vt:lpstr>lst_INC_Turno</vt:lpstr>
      <vt:lpstr>lst_Metodo</vt:lpstr>
      <vt:lpstr>lst_Origem</vt:lpstr>
      <vt:lpstr>lst_Processo</vt:lpstr>
      <vt:lpstr>lst_Severidade</vt:lpstr>
      <vt:lpstr>lst_SimNao</vt:lpstr>
      <vt:lpstr>lst_TipoRegisto</vt:lpstr>
      <vt:lpstr>Cinco_Porques!Títulos_de_Impressão</vt:lpstr>
      <vt:lpstr>Registo_Incidentes!Títulos_de_Impressão</vt:lpstr>
      <vt:lpstr>Registo_NC!Títulos_de_Impressão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RG-SGA-07 Relatórios de Não Conformidade, Incidentes e Ações Corretivas (RNC)</dc:title>
  <dc:subject>SGA NP EN ISO 14001:2026 — Plasticom</dc:subject>
  <dc:creator>Gestor(a) do SGA / EHS</dc:creator>
  <cp:lastModifiedBy>Aline Meireles</cp:lastModifiedBy>
  <dcterms:created xsi:type="dcterms:W3CDTF">2026-09-30T09:57:12Z</dcterms:created>
  <dcterms:modified xsi:type="dcterms:W3CDTF">2026-09-30T09:57:40Z</dcterms:modified>
</cp:coreProperties>
</file>