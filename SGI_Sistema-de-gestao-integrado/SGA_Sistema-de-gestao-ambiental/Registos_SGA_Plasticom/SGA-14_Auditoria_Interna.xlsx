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A_Sistema-de-gestao-ambiental\Registos_SGA_Plasticom\"/>
    </mc:Choice>
  </mc:AlternateContent>
  <xr:revisionPtr revIDLastSave="0" documentId="13_ncr:1_{882CBA0A-005A-4A8E-991A-DE55059E8297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Programa_Auditorias" sheetId="2" r:id="rId2"/>
    <sheet name="Checklist_Constatacoes" sheetId="3" r:id="rId3"/>
    <sheet name="Relatorio_Resumo" sheetId="4" r:id="rId4"/>
    <sheet name="Listas" sheetId="5" r:id="rId5"/>
    <sheet name="Dicionario_Dados" sheetId="6" r:id="rId6"/>
  </sheets>
  <definedNames>
    <definedName name="DataRef">Listas!$A$3</definedName>
    <definedName name="lst_Classificacao">Listas!$C$3:$C$5</definedName>
    <definedName name="lst_Clausula">Listas!$F$3:$F$29</definedName>
    <definedName name="lst_DataReferencia">Listas!$A$3:$A$3</definedName>
    <definedName name="lst_EstadoAud">Listas!$B$3:$B$6</definedName>
    <definedName name="lst_Gravidade">Listas!$D$3:$D$5</definedName>
    <definedName name="lst_Processo">Listas!$E$3:$E$18</definedName>
    <definedName name="_xlnm.Print_Titles" localSheetId="2">Checklist_Constatacoes!$4:$4</definedName>
    <definedName name="_xlnm.Print_Titles" localSheetId="1">Programa_Auditorias!$1:$1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4" l="1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D10" i="4"/>
  <c r="C10" i="4"/>
  <c r="B10" i="4"/>
  <c r="D9" i="4"/>
  <c r="C9" i="4"/>
  <c r="B9" i="4"/>
  <c r="D8" i="4"/>
  <c r="C8" i="4"/>
  <c r="B8" i="4"/>
  <c r="D7" i="4"/>
  <c r="C7" i="4"/>
  <c r="B7" i="4"/>
  <c r="D6" i="4"/>
  <c r="C6" i="4"/>
  <c r="B6" i="4"/>
  <c r="D5" i="4"/>
  <c r="D12" i="4" s="1"/>
  <c r="C5" i="4"/>
  <c r="B5" i="4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M4" i="2"/>
  <c r="L4" i="2"/>
  <c r="M3" i="2"/>
  <c r="L3" i="2"/>
  <c r="M2" i="2"/>
  <c r="L2" i="2"/>
  <c r="B12" i="4" l="1"/>
  <c r="C1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Tema.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Objetivo da auditoria (exigido pela ISO 14001:2026).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Processos/áreas.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Critérios de auditoria.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Início.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Fim.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Auditores.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Como se garante a imparcialidade.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N.º de questões.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N.º de NC.
[calculado]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N.º de OM.
[calculado]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SGA</author>
  </authors>
  <commentList>
    <comment ref="A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Constatação.</t>
        </r>
      </text>
    </comment>
    <comment ref="B4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Auditoria.</t>
        </r>
      </text>
    </comment>
    <comment ref="C4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Âmbito (processo).</t>
        </r>
      </text>
    </comment>
    <comment ref="D4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Código do processo.</t>
        </r>
      </text>
    </comment>
    <comment ref="E4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Cláusula(s) ISO 14001:2026.</t>
        </r>
      </text>
    </comment>
    <comment ref="F4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Pergunta feita.</t>
        </r>
      </text>
    </comment>
    <comment ref="G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O que deveria existir.</t>
        </r>
      </text>
    </comment>
    <comment ref="H4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O que se encontrou (evidência simulada).</t>
        </r>
      </text>
    </comment>
    <comment ref="I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NC (requisito não cumprido) ou OM (oportunidade de melhoria).</t>
        </r>
      </text>
    </comment>
    <comment ref="J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Maior / Menor (NC).</t>
        </r>
      </text>
    </comment>
    <comment ref="K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Cláusula da norma ou requisito legal.</t>
        </r>
      </text>
    </comment>
    <comment ref="L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Porque é NC ou OM.</t>
        </r>
      </text>
    </comment>
    <comment ref="M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NC registada.</t>
        </r>
      </text>
    </comment>
    <comment ref="N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Ação.</t>
        </r>
      </text>
    </comment>
    <comment ref="O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Auditor.</t>
        </r>
      </text>
    </comment>
    <comment ref="P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Regras: NC exige requisito e registo de NC; toda a constatação exige evidência.
[calculado]</t>
        </r>
      </text>
    </comment>
  </commentList>
</comments>
</file>

<file path=xl/sharedStrings.xml><?xml version="1.0" encoding="utf-8"?>
<sst xmlns="http://schemas.openxmlformats.org/spreadsheetml/2006/main" count="615" uniqueCount="340">
  <si>
    <t>RG-SGA-14 — Programa e Registo de Auditoria Interna do SGA</t>
  </si>
  <si>
    <t>Sistema de Gestão Ambiental NP EN ISO 14001:2026 · Plasticom — Unidade 1 (Marinha Grande, Portugal) · Registo do SGA (fábrica simulada)</t>
  </si>
  <si>
    <t>CONTROLO DO DOCUMENTO (7.5 — informação documentada)</t>
  </si>
  <si>
    <t>Código do registo</t>
  </si>
  <si>
    <t>RG-SGA-14</t>
  </si>
  <si>
    <t>Título</t>
  </si>
  <si>
    <t>Programa e Registo de Auditoria Interna do SGA</t>
  </si>
  <si>
    <t>Versão / Revisão</t>
  </si>
  <si>
    <t>01</t>
  </si>
  <si>
    <t>Data de emissão</t>
  </si>
  <si>
    <t>Elaborado por</t>
  </si>
  <si>
    <t>Gestor(a) do SGA / EHS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</si>
  <si>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</si>
  <si>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</si>
  <si>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</si>
  <si>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</si>
  <si>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</si>
  <si>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</si>
  <si>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</si>
  <si>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SGA &gt; Registos_SGA_Plasticom (versão eletrónica é a versão controlada; cópias impressas são não controladas)</t>
  </si>
  <si>
    <t>FINALIDADE E ÂMBITO</t>
  </si>
  <si>
    <t>Finalidade</t>
  </si>
  <si>
    <t>Planear o programa de auditorias por importância ambiental, registar cada questão com a evidência objetiva, classificar a constatação (NC ou OM) com o requisito e ligar às NC e ações. As constatações ficam em formato de tabela para análise por cláusula, processo e classificação.</t>
  </si>
  <si>
    <t>Atividades do curso</t>
  </si>
  <si>
    <t>Atividade 5.3 Parte 1 — da checklist ao relatório: âmbito, questões de auditoria, evidência simulada, classificação NC/OM e justificação por cláusula/requisito legal. A Parte 2 (Lusitana Móveis) está no documento Word.</t>
  </si>
  <si>
    <t>Requisitos ISO 14001:2026</t>
  </si>
  <si>
    <t>9.2.1; 9.2.2 Programa de auditoria interna (ISO 14001:2026: definir objetivos, critérios e âmbito de cada auditoria); ISO 19011:2018</t>
  </si>
  <si>
    <t>ESTRUTURA DO FICHEIRO</t>
  </si>
  <si>
    <t>Programa_Auditorias</t>
  </si>
  <si>
    <t>Programa de auditorias internas 2026-2027 (objetivos, âmbito, critérios).</t>
  </si>
  <si>
    <t>Checklist_Constatacoes</t>
  </si>
  <si>
    <t>Checklist de auditoria com evidência e classificação (1 linha por questão).</t>
  </si>
  <si>
    <t>Relatorio_Resumo</t>
  </si>
  <si>
    <t>Síntese do relatório de auditoria: constatações por cláusula e processo (calculado).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</si>
  <si>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</si>
  <si>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</si>
  <si>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</si>
  <si>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</si>
  <si>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</si>
  <si>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</si>
  <si>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</si>
  <si>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</si>
  <si>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</si>
  <si>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</si>
  <si>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</si>
  <si>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</si>
  <si>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— ver SGA-00_Indice_Modelo_Dados.xlsx.</t>
  </si>
  <si>
    <t>Datas e unidades</t>
  </si>
  <si>
    <t>Datas em formato data (aaaa-mm-dd); números como números; a unidade está no nome da coluna ou no dicionário. Data de referência do SGA: 2026-12-31 (fecho do ano).</t>
  </si>
  <si>
    <t>Dados simulados</t>
  </si>
  <si>
    <t>Fábrica simulada Plasticom. Dados operacionais derivados do dataset do projeto (datasets/silver); dados ambientais e de conformidade são simulação didática — confirmar aplicabilidade legal e números antes de uso real.</t>
  </si>
  <si>
    <t>LIGAÇÕES A OUTROS REGISTOS</t>
  </si>
  <si>
    <t>RG-SGA-07 NC</t>
  </si>
  <si>
    <t>ID_NC liga cada NC de auditoria ao registo de não conformidades.</t>
  </si>
  <si>
    <t>RG-SGA-06 PAM</t>
  </si>
  <si>
    <t>ID_PAM liga a ação corretiva.</t>
  </si>
  <si>
    <t>ID_Auditoria</t>
  </si>
  <si>
    <t>Tema</t>
  </si>
  <si>
    <t>Objetivo</t>
  </si>
  <si>
    <t>Ambito</t>
  </si>
  <si>
    <t>Criterios</t>
  </si>
  <si>
    <t>Data_Inicio</t>
  </si>
  <si>
    <t>Data_Fim</t>
  </si>
  <si>
    <t>Equipa_Auditora</t>
  </si>
  <si>
    <t>Independencia</t>
  </si>
  <si>
    <t>N_Questoes</t>
  </si>
  <si>
    <t>N_NC</t>
  </si>
  <si>
    <t>N_OM</t>
  </si>
  <si>
    <t>AUD-2026-01</t>
  </si>
  <si>
    <t>Controlos operacionais de maior significância ambiental</t>
  </si>
  <si>
    <t>Verificar a conformidade e a eficácia dos controlos operacionais e de emergência nos processos com aspetos significativos; verificar a eficácia das ações da auditoria 2025; preparar a transição para a ISO 14001:2026.</t>
  </si>
  <si>
    <t>Armazém de químicos; parque de resíduos; manutenção/engenharia (alterações); serigrafia; utilidades; emergência</t>
  </si>
  <si>
    <t>ISO 14001:2026 (6.1.2, 6.3, 7.2, 7.3, 8.1, 8.2, 9.1.1); PR-SGA-04; IT-SGA-01; RGGR; REACH/CLP; RGR</t>
  </si>
  <si>
    <t>AUD-001 (auditor líder, Qualidade) + AUD-002</t>
  </si>
  <si>
    <t>Auditores sem responsabilidade direta nas áreas auditadas</t>
  </si>
  <si>
    <t>Realizada</t>
  </si>
  <si>
    <t>AUD-2026-02</t>
  </si>
  <si>
    <t>Produto, compras e conformidade legal</t>
  </si>
  <si>
    <t>Avaliar a conformidade PPWR, a avaliação ambiental de fornecedores e a vigilância legal.</t>
  </si>
  <si>
    <t>R&amp;D; compras; SGA (requisitos legais)</t>
  </si>
  <si>
    <t>ISO 14001:2026 (6.1.3, 8.1 fornecedores externos, 9.1.2); Reg. (UE) 2025/40</t>
  </si>
  <si>
    <t>AUD-003 + auditor externo convidado</t>
  </si>
  <si>
    <t>Auditor externo para R&amp;D</t>
  </si>
  <si>
    <t>AUD-2027-01</t>
  </si>
  <si>
    <t>Liderança, contexto, objetivos e desempenho</t>
  </si>
  <si>
    <t>Verificar a integração do clima e da biodiversidade no contexto (4.1), os objetivos e a avaliação do desempenho e da eficácia (9.1.1).</t>
  </si>
  <si>
    <t>Gestão de topo; SGA; produção</t>
  </si>
  <si>
    <t>ISO 14001:2026 (4, 5, 6.2, 9.1, 9.3)</t>
  </si>
  <si>
    <t>AUD-001 + AUD-003</t>
  </si>
  <si>
    <t>Auditor líder não reporta ao SGA</t>
  </si>
  <si>
    <t>Planeada</t>
  </si>
  <si>
    <t>AUDITORIAS INTERNAS 2026 — CHECKLIST E CONSTATAÇÕES</t>
  </si>
  <si>
    <t>Questão → evidência objetiva → classificação (NC/OM) → requisito → justificação · AUD-2026-01 (16–17/09/2026) e AUD-2026-02 (18–19/11/2026)</t>
  </si>
  <si>
    <t>ID_Constatacao</t>
  </si>
  <si>
    <t>Processo_Auditado</t>
  </si>
  <si>
    <t>Area</t>
  </si>
  <si>
    <t>Clausula</t>
  </si>
  <si>
    <t>Questao_Auditoria</t>
  </si>
  <si>
    <t>Evidencia_Esperada</t>
  </si>
  <si>
    <t>Evidencia_Objetiva</t>
  </si>
  <si>
    <t>Classificacao</t>
  </si>
  <si>
    <t>Gravidade</t>
  </si>
  <si>
    <t>Requisito_Violado_ou_Melhoravel</t>
  </si>
  <si>
    <t>Justificacao</t>
  </si>
  <si>
    <t>ID_NC</t>
  </si>
  <si>
    <t>ID_PAM</t>
  </si>
  <si>
    <t>Auditor</t>
  </si>
  <si>
    <t>Controlo_Qualidade</t>
  </si>
  <si>
    <t>CONST-01</t>
  </si>
  <si>
    <t>Armazém de químicos</t>
  </si>
  <si>
    <t>ARQ</t>
  </si>
  <si>
    <t>8.1</t>
  </si>
  <si>
    <t>Como é garantida a contenção em caso de derrame dos bidões de óleo e de solvente?</t>
  </si>
  <si>
    <t>Todos os recipientes &gt; 20 L sobre bacia; ronda RON-02 conforme.</t>
  </si>
  <si>
    <t>3 bidões de 200 L de óleo hidráulico novo pousados diretamente no chão, sem bacia de retenção (as 2 bacias existentes estavam ocupadas). Fotografia AUD-01-F03.</t>
  </si>
  <si>
    <t>NC</t>
  </si>
  <si>
    <t>Menor</t>
  </si>
  <si>
    <t>ISO 14001:2026 §8.1 (controlo operacional) e PR-SGA-04; risco de incumprimento do regime de prevenção da poluição do solo</t>
  </si>
  <si>
    <t>O critério operacional (bacia obrigatória) está definido mas não é cumprido; há potencial de contaminação do solo. Menor porque não houve derrame e a falha é pontual.</t>
  </si>
  <si>
    <t>NC-SGA-26-04</t>
  </si>
  <si>
    <t>PAM-26-19</t>
  </si>
  <si>
    <t>AUD-001</t>
  </si>
  <si>
    <t>CONST-02</t>
  </si>
  <si>
    <t>6.1.3; 7.5</t>
  </si>
  <si>
    <t>As FDS de todos os químicos em uso estão disponíveis e atualizadas no ponto de uso?</t>
  </si>
  <si>
    <t>FDS de todos os produtos, com revisão ≤ 3 anos.</t>
  </si>
  <si>
    <t>40 de 42 FDS atualizadas; 2 FDS de solventes com revisão de 2021 — atualização já pedida ao fornecedor em 03/09/2026.</t>
  </si>
  <si>
    <t>OM</t>
  </si>
  <si>
    <t>—</t>
  </si>
  <si>
    <t>ISO 14001:2026 §7.5 (informação documentada) e REACH (art. 31)</t>
  </si>
  <si>
    <t>A organização detetou e está a tratar a lacuna; oportunidade de automatizar um alerta de revisão das FDS no inventário.</t>
  </si>
  <si>
    <t>AUD-002</t>
  </si>
  <si>
    <t>CONST-03</t>
  </si>
  <si>
    <t>Parque de resíduos</t>
  </si>
  <si>
    <t>PRS</t>
  </si>
  <si>
    <t>Os resíduos perigosos estão identificados, fechados e armazenados de forma a evitar contaminação?</t>
  </si>
  <si>
    <t>Contentores com código LER, fechados, em bacia e sob cobertura.</t>
  </si>
  <si>
    <t>Contentor de absorventes contaminados (LER 15 02 02*) sem etiqueta e sem tampa, exposto à chuva. Fotografia AUD-01-F07.</t>
  </si>
  <si>
    <t>ISO 14001:2026 §8.1; Decreto-Lei n.º 102-D/2020 (RGGR) — armazenagem adequada dos resíduos</t>
  </si>
  <si>
    <t>Requisito legal e operacional não cumprido; risco de escorrência para a rede pluvial.</t>
  </si>
  <si>
    <t>NC-SGA-26-05</t>
  </si>
  <si>
    <t>PAM-26-15</t>
  </si>
  <si>
    <t>CONST-04</t>
  </si>
  <si>
    <t>9.1.1</t>
  </si>
  <si>
    <t>Como é assegurada a fiabilidade das quantidades de resíduos reportadas no MIRR?</t>
  </si>
  <si>
    <t>Pesagem interna coerente com o peso no destino (e-GAR).</t>
  </si>
  <si>
    <t>Em 2 de 10 e-GAR amostradas a pesagem interna difere 6% do peso confirmado no destino.</t>
  </si>
  <si>
    <t>ISO 14001:2026 §9.1.1 (dados fiáveis)</t>
  </si>
  <si>
    <t>Não há requisito violado (o MIRR usa o peso do destino), mas a reconciliação mensal melhoraria a fiabilidade dos indicadores.</t>
  </si>
  <si>
    <t>CONST-05</t>
  </si>
  <si>
    <t>Manutenção / engenharia</t>
  </si>
  <si>
    <t>MAN</t>
  </si>
  <si>
    <t>6.3</t>
  </si>
  <si>
    <t>Como são avaliados os impactes ambientais e os requisitos legais antes de alterar equipamentos ou processos?</t>
  </si>
  <si>
    <t>Pedido de alteração com análise ambiental/legal aprovada pelo SGA.</t>
  </si>
  <si>
    <t>Os compressores CMP-01/02 foram substituídos em 02/2026 (pedido INV-2026-004) sem avaliação do ruído, dos aspetos ou dos requisitos legais; não existe procedimento de gestão de alterações.</t>
  </si>
  <si>
    <t>ISO 14001:2026 §6.3 Planeamento de alterações (novo requisito)</t>
  </si>
  <si>
    <t>Requisito novo da edição 2026 não implementado; originou a NC legal de ruído (NC-SGA-26-01).</t>
  </si>
  <si>
    <t>NC-SGA-26-06</t>
  </si>
  <si>
    <t>PAM-26-17</t>
  </si>
  <si>
    <t>CONST-06</t>
  </si>
  <si>
    <t>Os equipamentos usados para medir dados ambientais estão calibrados ou verificados?</t>
  </si>
  <si>
    <t>Plano de calibração com todos os equipamentos e etiquetas válidas.</t>
  </si>
  <si>
    <t>Balança de plataforma do parque de resíduos com última verificação em 03/2024 (periodicidade anual) e ausente do plano de calibração.</t>
  </si>
  <si>
    <t>ISO 14001:2026 §9.1.1 (equipamento de monitorização calibrado ou verificado)</t>
  </si>
  <si>
    <t>Equipamento de medição de um indicador reportado à APA sem verificação válida.</t>
  </si>
  <si>
    <t>NC-SGA-26-07</t>
  </si>
  <si>
    <t>PAM-26-20</t>
  </si>
  <si>
    <t>CONST-07</t>
  </si>
  <si>
    <t>Serigrafia</t>
  </si>
  <si>
    <t>SER</t>
  </si>
  <si>
    <t>7.2; 7.3</t>
  </si>
  <si>
    <t>Os operadores conhecem o aspeto significativo do seu posto e aplicam os controlos?</t>
  </si>
  <si>
    <t>Operadores formados na IT de limpeza; recipientes fechados.</t>
  </si>
  <si>
    <t>O operador do turno 2 (temporário, OP-SK-T01) não tem formação na instrução de limpeza e não sabia que o solvente emite COV; 2 latas de solvente abertas no posto.</t>
  </si>
  <si>
    <t>ISO 14001:2026 §7.2 (competência) e §7.3 (consciencialização)</t>
  </si>
  <si>
    <t>Pessoa que realiza trabalho com impacte significativo sem a competência e a consciencialização exigidas.</t>
  </si>
  <si>
    <t>NC-SGA-26-08</t>
  </si>
  <si>
    <t>PAM-26-08</t>
  </si>
  <si>
    <t>CONST-08</t>
  </si>
  <si>
    <t>10.1</t>
  </si>
  <si>
    <t>Como se minimiza a geração de resíduos perigosos (panos e absorventes com solvente)?</t>
  </si>
  <si>
    <t>Medidas de prevenção na fonte.</t>
  </si>
  <si>
    <t>Usam-se panos descartáveis; o resíduo 15 02 02* é ≈ 0,5 t/ano.</t>
  </si>
  <si>
    <t>ISO 14001:2026 §10.1 (melhoria contínua) e hierarquia de resíduos do RGGR</t>
  </si>
  <si>
    <t>Oportunidade: panos reutilizáveis lavados por empresa licenciada reduziriam o resíduo perigoso e o custo.</t>
  </si>
  <si>
    <t>CONST-09</t>
  </si>
  <si>
    <t>Utilidades</t>
  </si>
  <si>
    <t>UTL</t>
  </si>
  <si>
    <t>9.1.1; 6.2</t>
  </si>
  <si>
    <t>Como é controlado o consumo de energia do ar comprimido?</t>
  </si>
  <si>
    <t>Indicador de energia do ar comprimido e fugas etiquetadas.</t>
  </si>
  <si>
    <t>Não há indicador (kWh/Nm³); 3 fugas audíveis sem etiqueta; campanha de fugas (PAM-26-01) em curso com 25% de evolução.</t>
  </si>
  <si>
    <t>ISO 14001:2026 §9.1.1 (o que monitorizar) e §6.2 (objetivo OBJ-01)</t>
  </si>
  <si>
    <t>A ação já está planeada; recomenda-se incluir o KPI kWh/Nm³ no painel mensal para medir a eficácia.</t>
  </si>
  <si>
    <t>PAM-26-01</t>
  </si>
  <si>
    <t>CONST-10</t>
  </si>
  <si>
    <t>Emergência</t>
  </si>
  <si>
    <t>GER</t>
  </si>
  <si>
    <t>8.2</t>
  </si>
  <si>
    <t>As ações de resposta a emergências ambientais são testadas periodicamente?</t>
  </si>
  <si>
    <t>Simulacros dos cenários ambientais com tempos medidos.</t>
  </si>
  <si>
    <t>Nunca foi feito simulacro de derrame; no único simulacro (incêndio, 14/11/2025) a válvula de corte pluvial foi fechada em 9 min (meta ≤ 5 min).</t>
  </si>
  <si>
    <t>ISO 14001:2026 §8.2 (testar periodicamente as ações de resposta planeadas)</t>
  </si>
  <si>
    <t>Cenário de emergência de maior criticidade (EMG-01) nunca testado.</t>
  </si>
  <si>
    <t>NC-SGA-26-09</t>
  </si>
  <si>
    <t>PAM-26-21</t>
  </si>
  <si>
    <t>CONST-11</t>
  </si>
  <si>
    <t>R&amp;D — conformidade PPWR</t>
  </si>
  <si>
    <t>RD</t>
  </si>
  <si>
    <t>6.1.3; 9.1.2</t>
  </si>
  <si>
    <t>Como é demonstrada a conformidade PPWR das famílias colocadas no mercado desde 12/08/2026?</t>
  </si>
  <si>
    <t>Documentação técnica e declaração UE por família.</t>
  </si>
  <si>
    <t>13 de 22 famílias com declaração em 18/11/2026; plano com datas para as restantes; 5 famílias dependem da substituição de PETG/PVC.</t>
  </si>
  <si>
    <t>Reg. (UE) 2025/40 e ISO 14001:2026 §6.1.3</t>
  </si>
  <si>
    <t>A NC legal NC-SGA-26-02 já está aberta e o plano é credível; oportunidade de priorizar pelas vendas.</t>
  </si>
  <si>
    <t>PAM-26-10</t>
  </si>
  <si>
    <t>AUD-003</t>
  </si>
  <si>
    <t>CONST-12</t>
  </si>
  <si>
    <t>Compras</t>
  </si>
  <si>
    <t>CMP</t>
  </si>
  <si>
    <t>A avaliação ambiental dos fornecedores está aplicada e o controlo é proporcional ao risco?</t>
  </si>
  <si>
    <t>Critérios, avaliação e extensão do controlo por fornecedor.</t>
  </si>
  <si>
    <t>Avaliação aplicada a 10 fornecedores críticos (PAM-26-16); controlo coerente com a relevância.</t>
  </si>
  <si>
    <t>Conforme</t>
  </si>
  <si>
    <t>ISO 14001:2026 §8.1 (processos externos)</t>
  </si>
  <si>
    <t>CONST-13</t>
  </si>
  <si>
    <t>6.1.3</t>
  </si>
  <si>
    <t>As declarações de substâncias (SVHC/PFAS) dos fornecedores estão válidas?</t>
  </si>
  <si>
    <t>Declaração anual de todos os fornecedores de matérias com contacto.</t>
  </si>
  <si>
    <t>2 declarações (DEC-05, DEC-09) em falta há mais de 60 dias apesar dos pedidos formais (PAM-26-34).</t>
  </si>
  <si>
    <t>REACH art. 33.º; ISO 14001:2026 §6.1.3</t>
  </si>
  <si>
    <t>Pedido feito; escalar ao fornecedor ou suspender o material.</t>
  </si>
  <si>
    <t>PAM-26-34</t>
  </si>
  <si>
    <t>CONST-14</t>
  </si>
  <si>
    <t>8.1; 9.1.1</t>
  </si>
  <si>
    <t>O conteúdo reciclado declarado aos clientes tem prova (EN 15343) para cada lote?</t>
  </si>
  <si>
    <t>Certificado válido na data de receção de cada lote de PCR/rPET.</t>
  </si>
  <si>
    <t>Lotes de rPET recebidos de jul a out/2026 com o certificado CERT-03 expirado (30/06/2026) contados como reciclado no KPI e nas fichas técnicas.</t>
  </si>
  <si>
    <t>ISO 14001:2026 §8.1 e ISO 14021 §7.8 (alegação de conteúdo reciclado)</t>
  </si>
  <si>
    <t>Alegação sem prova para os lotes em causa.</t>
  </si>
  <si>
    <t>NC-SGA-26-11</t>
  </si>
  <si>
    <t>PAM-26-25</t>
  </si>
  <si>
    <t>Auditor externo</t>
  </si>
  <si>
    <t>RELATÓRIO DE AUDITORIA INTERNA AUD-2026-01 — SÍNTESE</t>
  </si>
  <si>
    <t>Objetivo, âmbito e critérios na folha Programa_Auditorias. Conclusão: o SGA está implementado; os controlos de químicos, resíduos e emergência precisam de reforço e o novo requisito 6.3 (alterações) não está implementado.</t>
  </si>
  <si>
    <t>Processo auditado</t>
  </si>
  <si>
    <t>Questões</t>
  </si>
  <si>
    <t>TOTAL</t>
  </si>
  <si>
    <t>Cláusula</t>
  </si>
  <si>
    <t>7.2</t>
  </si>
  <si>
    <t>7.5</t>
  </si>
  <si>
    <t>LISTAS CONTROLADAS (domínios de validação de dados) — editar aqui para alterar opções</t>
  </si>
  <si>
    <t>DataReferencia</t>
  </si>
  <si>
    <t>EstadoAud</t>
  </si>
  <si>
    <t>Processo</t>
  </si>
  <si>
    <t>Maior</t>
  </si>
  <si>
    <t>REC</t>
  </si>
  <si>
    <t>4.1</t>
  </si>
  <si>
    <t>4.2</t>
  </si>
  <si>
    <t>Adiada</t>
  </si>
  <si>
    <t>INJ</t>
  </si>
  <si>
    <t>4.3</t>
  </si>
  <si>
    <t>Cancelada</t>
  </si>
  <si>
    <t>SOP</t>
  </si>
  <si>
    <t>4.4</t>
  </si>
  <si>
    <t>5.1</t>
  </si>
  <si>
    <t>HFS</t>
  </si>
  <si>
    <t>5.2</t>
  </si>
  <si>
    <t>MOA</t>
  </si>
  <si>
    <t>5.3</t>
  </si>
  <si>
    <t>6.1.1</t>
  </si>
  <si>
    <t>6.1.2</t>
  </si>
  <si>
    <t>EXP</t>
  </si>
  <si>
    <t>6.1.4</t>
  </si>
  <si>
    <t>LAB</t>
  </si>
  <si>
    <t>6.1.5</t>
  </si>
  <si>
    <t>6.2</t>
  </si>
  <si>
    <t>ADM</t>
  </si>
  <si>
    <t>7.1</t>
  </si>
  <si>
    <t>7.3</t>
  </si>
  <si>
    <t>7.4</t>
  </si>
  <si>
    <t>9.1.2</t>
  </si>
  <si>
    <t>9.2</t>
  </si>
  <si>
    <t>9.3</t>
  </si>
  <si>
    <t>10.2</t>
  </si>
  <si>
    <t>Folha</t>
  </si>
  <si>
    <t>Tabela</t>
  </si>
  <si>
    <t>Coluna</t>
  </si>
  <si>
    <t>Tipo</t>
  </si>
  <si>
    <t>Origem</t>
  </si>
  <si>
    <t>Descricao</t>
  </si>
  <si>
    <t>Dominio_Unidade</t>
  </si>
  <si>
    <t>Obrigatorio</t>
  </si>
  <si>
    <t>Chave</t>
  </si>
  <si>
    <t>tbl_programa_auditorias</t>
  </si>
  <si>
    <t>Texto</t>
  </si>
  <si>
    <t>Entrada</t>
  </si>
  <si>
    <t>Auditoria.</t>
  </si>
  <si>
    <t>Sim</t>
  </si>
  <si>
    <t>PK</t>
  </si>
  <si>
    <t>Tema.</t>
  </si>
  <si>
    <t>Objetivo da auditoria (exigido pela ISO 14001:2026).</t>
  </si>
  <si>
    <t>Processos/áreas.</t>
  </si>
  <si>
    <t>Critérios de auditoria.</t>
  </si>
  <si>
    <t>Data (aaaa-mm-dd)</t>
  </si>
  <si>
    <t>Início.</t>
  </si>
  <si>
    <t>Fim.</t>
  </si>
  <si>
    <t>Auditores.</t>
  </si>
  <si>
    <t>Como se garante a imparcialidade.</t>
  </si>
  <si>
    <t>Estado.</t>
  </si>
  <si>
    <t>Lista lst_EstadoAud</t>
  </si>
  <si>
    <t>Inteiro</t>
  </si>
  <si>
    <t>N.º de questões.</t>
  </si>
  <si>
    <t>Calculado (fórmula)</t>
  </si>
  <si>
    <t>N.º de NC.</t>
  </si>
  <si>
    <t>N.º de OM.</t>
  </si>
  <si>
    <t>tbl_constatacoes</t>
  </si>
  <si>
    <t>Constatação.</t>
  </si>
  <si>
    <t>FK → tbl_programa_auditorias</t>
  </si>
  <si>
    <t>Âmbito (processo).</t>
  </si>
  <si>
    <t>Código do processo.</t>
  </si>
  <si>
    <t>Lista lst_Processo</t>
  </si>
  <si>
    <t>Cláusula(s) ISO 14001:2026.</t>
  </si>
  <si>
    <t>Pergunta feita.</t>
  </si>
  <si>
    <t>O que deveria existir.</t>
  </si>
  <si>
    <t>O que se encontrou (evidência simulada).</t>
  </si>
  <si>
    <t>NC (requisito não cumprido) ou OM (oportunidade de melhoria).</t>
  </si>
  <si>
    <t>Lista lst_Classificacao</t>
  </si>
  <si>
    <t>Maior / Menor (NC).</t>
  </si>
  <si>
    <t>Lista lst_Gravidade</t>
  </si>
  <si>
    <t>Cláusula da norma ou requisito legal.</t>
  </si>
  <si>
    <t>Porque é NC ou OM.</t>
  </si>
  <si>
    <t>NC registada.</t>
  </si>
  <si>
    <t>Não</t>
  </si>
  <si>
    <t>FK → RG-SGA-07</t>
  </si>
  <si>
    <t>Ação.</t>
  </si>
  <si>
    <t>FK → RG-SGA-06</t>
  </si>
  <si>
    <t>Auditor.</t>
  </si>
  <si>
    <t>Regras: NC exige requisito e registo de NC; toda a constatação exige evidência.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</si>
</sst>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2" fillId="0" borderId="0" xfId="0" applyNumberFormat="1" applyFont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1" fontId="2" fillId="0" borderId="1" xfId="0" applyNumberFormat="1" applyFont="1" applyBorder="1" applyAlignment="1">
      <alignment vertical="top" wrapText="1"/>
    </xf>
    <xf numFmtId="1" fontId="2" fillId="4" borderId="1" xfId="0" applyNumberFormat="1" applyFont="1" applyFill="1" applyBorder="1" applyAlignment="1">
      <alignment vertical="top" wrapText="1"/>
    </xf>
    <xf numFmtId="49" fontId="2" fillId="4" borderId="1" xfId="0" applyNumberFormat="1" applyFont="1" applyFill="1" applyBorder="1" applyAlignment="1">
      <alignment vertical="top" wrapText="1"/>
    </xf>
    <xf numFmtId="0" fontId="5" fillId="0" borderId="0" xfId="0" applyFont="1"/>
    <xf numFmtId="0" fontId="1" fillId="2" borderId="0" xfId="0" applyFont="1" applyFill="1" applyAlignment="1">
      <alignment horizontal="center" vertical="top" wrapText="1"/>
    </xf>
    <xf numFmtId="164" fontId="2" fillId="0" borderId="0" xfId="0" applyNumberFormat="1" applyFont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5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programa_auditorias" displayName="tbl_programa_auditorias" ref="A1:M4">
  <autoFilter ref="A1:M4" xr:uid="{00000000-0009-0000-0100-000001000000}"/>
  <tableColumns count="13">
    <tableColumn id="1" xr3:uid="{00000000-0010-0000-0000-000001000000}" name="ID_Auditoria"/>
    <tableColumn id="2" xr3:uid="{00000000-0010-0000-0000-000002000000}" name="Tema"/>
    <tableColumn id="3" xr3:uid="{00000000-0010-0000-0000-000003000000}" name="Objetivo"/>
    <tableColumn id="4" xr3:uid="{00000000-0010-0000-0000-000004000000}" name="Ambito"/>
    <tableColumn id="5" xr3:uid="{00000000-0010-0000-0000-000005000000}" name="Criterios"/>
    <tableColumn id="6" xr3:uid="{00000000-0010-0000-0000-000006000000}" name="Data_Inicio"/>
    <tableColumn id="7" xr3:uid="{00000000-0010-0000-0000-000007000000}" name="Data_Fim"/>
    <tableColumn id="8" xr3:uid="{00000000-0010-0000-0000-000008000000}" name="Equipa_Auditora"/>
    <tableColumn id="9" xr3:uid="{00000000-0010-0000-0000-000009000000}" name="Independencia"/>
    <tableColumn id="10" xr3:uid="{00000000-0010-0000-0000-00000A000000}" name="Estado"/>
    <tableColumn id="11" xr3:uid="{00000000-0010-0000-0000-00000B000000}" name="N_Questoes"/>
    <tableColumn id="12" xr3:uid="{00000000-0010-0000-0000-00000C000000}" name="N_NC"/>
    <tableColumn id="13" xr3:uid="{00000000-0010-0000-0000-00000D000000}" name="N_OM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onstatacoes" displayName="tbl_constatacoes" ref="A4:P18">
  <autoFilter ref="A4:P18" xr:uid="{00000000-0009-0000-0100-000002000000}"/>
  <tableColumns count="16">
    <tableColumn id="1" xr3:uid="{00000000-0010-0000-0100-000001000000}" name="ID_Constatacao"/>
    <tableColumn id="2" xr3:uid="{00000000-0010-0000-0100-000002000000}" name="ID_Auditoria"/>
    <tableColumn id="3" xr3:uid="{00000000-0010-0000-0100-000003000000}" name="Processo_Auditado"/>
    <tableColumn id="4" xr3:uid="{00000000-0010-0000-0100-000004000000}" name="Area"/>
    <tableColumn id="5" xr3:uid="{00000000-0010-0000-0100-000005000000}" name="Clausula"/>
    <tableColumn id="6" xr3:uid="{00000000-0010-0000-0100-000006000000}" name="Questao_Auditoria"/>
    <tableColumn id="7" xr3:uid="{00000000-0010-0000-0100-000007000000}" name="Evidencia_Esperada"/>
    <tableColumn id="8" xr3:uid="{00000000-0010-0000-0100-000008000000}" name="Evidencia_Objetiva"/>
    <tableColumn id="9" xr3:uid="{00000000-0010-0000-0100-000009000000}" name="Classificacao"/>
    <tableColumn id="10" xr3:uid="{00000000-0010-0000-0100-00000A000000}" name="Gravidade"/>
    <tableColumn id="11" xr3:uid="{00000000-0010-0000-0100-00000B000000}" name="Requisito_Violado_ou_Melhoravel"/>
    <tableColumn id="12" xr3:uid="{00000000-0010-0000-0100-00000C000000}" name="Justificacao"/>
    <tableColumn id="13" xr3:uid="{00000000-0010-0000-0100-00000D000000}" name="ID_NC"/>
    <tableColumn id="14" xr3:uid="{00000000-0010-0000-0100-00000E000000}" name="ID_PAM"/>
    <tableColumn id="15" xr3:uid="{00000000-0010-0000-0100-00000F000000}" name="Auditor"/>
    <tableColumn id="16" xr3:uid="{00000000-0010-0000-0100-000010000000}" name="Controlo_Qualidad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cionario" displayName="tbl_dicionario" ref="A1:I30">
  <autoFilter ref="A1:I30" xr:uid="{00000000-0009-0000-0100-000003000000}"/>
  <tableColumns count="9">
    <tableColumn id="1" xr3:uid="{00000000-0010-0000-0200-000001000000}" name="Folha"/>
    <tableColumn id="2" xr3:uid="{00000000-0010-0000-0200-000002000000}" name="Tabela"/>
    <tableColumn id="3" xr3:uid="{00000000-0010-0000-0200-000003000000}" name="Coluna"/>
    <tableColumn id="4" xr3:uid="{00000000-0010-0000-0200-000004000000}" name="Tipo"/>
    <tableColumn id="5" xr3:uid="{00000000-0010-0000-0200-000005000000}" name="Origem"/>
    <tableColumn id="6" xr3:uid="{00000000-0010-0000-0200-000006000000}" name="Descricao"/>
    <tableColumn id="7" xr3:uid="{00000000-0010-0000-0200-000007000000}" name="Dominio_Unidade"/>
    <tableColumn id="8" xr3:uid="{00000000-0010-0000-0200-000008000000}" name="Obrigatorio"/>
    <tableColumn id="9" xr3:uid="{00000000-0010-0000-02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37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26.4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x14ac:dyDescent="0.3">
      <c r="A21" s="5" t="s">
        <v>28</v>
      </c>
      <c r="B21" s="6" t="s">
        <v>29</v>
      </c>
    </row>
    <row r="22" spans="1:2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4" spans="1:2" x14ac:dyDescent="0.3">
      <c r="A24" s="5" t="s">
        <v>34</v>
      </c>
      <c r="B24" s="6" t="s">
        <v>35</v>
      </c>
    </row>
    <row r="25" spans="1:2" x14ac:dyDescent="0.3">
      <c r="A25" s="5" t="s">
        <v>36</v>
      </c>
      <c r="B25" s="6" t="s">
        <v>37</v>
      </c>
    </row>
    <row r="27" spans="1:2" x14ac:dyDescent="0.3">
      <c r="A27" s="3" t="s">
        <v>38</v>
      </c>
      <c r="B27" s="4"/>
    </row>
    <row r="28" spans="1:2" ht="26.4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1" spans="1:2" ht="26.4" x14ac:dyDescent="0.3">
      <c r="A31" s="5" t="s">
        <v>45</v>
      </c>
      <c r="B31" s="6" t="s">
        <v>46</v>
      </c>
    </row>
    <row r="32" spans="1:2" ht="26.4" x14ac:dyDescent="0.3">
      <c r="A32" s="5" t="s">
        <v>47</v>
      </c>
      <c r="B32" s="6" t="s">
        <v>48</v>
      </c>
    </row>
    <row r="33" spans="1:2" ht="26.4" x14ac:dyDescent="0.3">
      <c r="A33" s="5" t="s">
        <v>49</v>
      </c>
      <c r="B33" s="6" t="s">
        <v>50</v>
      </c>
    </row>
    <row r="35" spans="1:2" x14ac:dyDescent="0.3">
      <c r="A35" s="3" t="s">
        <v>51</v>
      </c>
      <c r="B35" s="4"/>
    </row>
    <row r="36" spans="1:2" x14ac:dyDescent="0.3">
      <c r="A36" s="5" t="s">
        <v>52</v>
      </c>
      <c r="B36" s="6" t="s">
        <v>53</v>
      </c>
    </row>
    <row r="37" spans="1:2" x14ac:dyDescent="0.3">
      <c r="A37" s="5" t="s">
        <v>54</v>
      </c>
      <c r="B37" s="6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4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2" customWidth="1"/>
    <col min="2" max="2" width="32" customWidth="1"/>
    <col min="3" max="3" width="56" customWidth="1"/>
    <col min="4" max="4" width="40" customWidth="1"/>
    <col min="5" max="5" width="44" customWidth="1"/>
    <col min="6" max="7" width="11" customWidth="1"/>
    <col min="8" max="9" width="30" customWidth="1"/>
    <col min="10" max="10" width="10" customWidth="1"/>
    <col min="11" max="11" width="9" customWidth="1"/>
    <col min="12" max="13" width="7" customWidth="1"/>
  </cols>
  <sheetData>
    <row r="1" spans="1:13" ht="26.4" x14ac:dyDescent="0.3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14</v>
      </c>
      <c r="K1" s="8" t="s">
        <v>65</v>
      </c>
      <c r="L1" s="9" t="s">
        <v>66</v>
      </c>
      <c r="M1" s="9" t="s">
        <v>67</v>
      </c>
    </row>
    <row r="2" spans="1:13" ht="79.95" customHeight="1" x14ac:dyDescent="0.3">
      <c r="A2" s="10" t="s">
        <v>68</v>
      </c>
      <c r="B2" s="10" t="s">
        <v>69</v>
      </c>
      <c r="C2" s="10" t="s">
        <v>70</v>
      </c>
      <c r="D2" s="10" t="s">
        <v>71</v>
      </c>
      <c r="E2" s="10" t="s">
        <v>72</v>
      </c>
      <c r="F2" s="11">
        <v>46281</v>
      </c>
      <c r="G2" s="11">
        <v>46282</v>
      </c>
      <c r="H2" s="10" t="s">
        <v>73</v>
      </c>
      <c r="I2" s="10" t="s">
        <v>74</v>
      </c>
      <c r="J2" s="10" t="s">
        <v>75</v>
      </c>
      <c r="K2" s="12">
        <v>10</v>
      </c>
      <c r="L2" s="13">
        <f>COUNTIFS(tbl_constatacoes[ID_Auditoria],A2,tbl_constatacoes[Classificacao],"NC")</f>
        <v>6</v>
      </c>
      <c r="M2" s="13">
        <f>COUNTIFS(tbl_constatacoes[ID_Auditoria],A2,tbl_constatacoes[Classificacao],"OM")</f>
        <v>4</v>
      </c>
    </row>
    <row r="3" spans="1:13" ht="79.95" customHeight="1" x14ac:dyDescent="0.3">
      <c r="A3" s="10" t="s">
        <v>76</v>
      </c>
      <c r="B3" s="10" t="s">
        <v>77</v>
      </c>
      <c r="C3" s="10" t="s">
        <v>78</v>
      </c>
      <c r="D3" s="10" t="s">
        <v>79</v>
      </c>
      <c r="E3" s="10" t="s">
        <v>80</v>
      </c>
      <c r="F3" s="11">
        <v>46344</v>
      </c>
      <c r="G3" s="11">
        <v>46345</v>
      </c>
      <c r="H3" s="10" t="s">
        <v>81</v>
      </c>
      <c r="I3" s="10" t="s">
        <v>82</v>
      </c>
      <c r="J3" s="10" t="s">
        <v>75</v>
      </c>
      <c r="K3" s="12">
        <v>4</v>
      </c>
      <c r="L3" s="13">
        <f>COUNTIFS(tbl_constatacoes[ID_Auditoria],A3,tbl_constatacoes[Classificacao],"NC")</f>
        <v>1</v>
      </c>
      <c r="M3" s="13">
        <f>COUNTIFS(tbl_constatacoes[ID_Auditoria],A3,tbl_constatacoes[Classificacao],"OM")</f>
        <v>2</v>
      </c>
    </row>
    <row r="4" spans="1:13" ht="79.95" customHeight="1" x14ac:dyDescent="0.3">
      <c r="A4" s="10" t="s">
        <v>83</v>
      </c>
      <c r="B4" s="10" t="s">
        <v>84</v>
      </c>
      <c r="C4" s="10" t="s">
        <v>85</v>
      </c>
      <c r="D4" s="10" t="s">
        <v>86</v>
      </c>
      <c r="E4" s="10" t="s">
        <v>87</v>
      </c>
      <c r="F4" s="11">
        <v>46456</v>
      </c>
      <c r="G4" s="11">
        <v>46457</v>
      </c>
      <c r="H4" s="10" t="s">
        <v>88</v>
      </c>
      <c r="I4" s="10" t="s">
        <v>89</v>
      </c>
      <c r="J4" s="10" t="s">
        <v>90</v>
      </c>
      <c r="K4" s="12">
        <v>0</v>
      </c>
      <c r="L4" s="13">
        <f>COUNTIFS(tbl_constatacoes[ID_Auditoria],A4,tbl_constatacoes[Classificacao],"NC")</f>
        <v>0</v>
      </c>
      <c r="M4" s="13">
        <f>COUNTIFS(tbl_constatacoes[ID_Auditoria],A4,tbl_constatacoes[Classificacao],"OM")</f>
        <v>0</v>
      </c>
    </row>
  </sheetData>
  <dataValidations count="1">
    <dataValidation type="list" allowBlank="1" showErrorMessage="1" errorTitle="Valor inválido" error="Valor fora da lista controlada (ver folha Listas)." sqref="J2:J204" xr:uid="{00000000-0002-0000-0100-000000000000}">
      <formula1>lst_EstadoAud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18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0" customWidth="1"/>
    <col min="2" max="2" width="12" customWidth="1"/>
    <col min="3" max="3" width="20" customWidth="1"/>
    <col min="4" max="4" width="7" customWidth="1"/>
    <col min="5" max="5" width="9" customWidth="1"/>
    <col min="6" max="6" width="46" customWidth="1"/>
    <col min="7" max="7" width="34" customWidth="1"/>
    <col min="8" max="8" width="56" customWidth="1"/>
    <col min="9" max="9" width="9" customWidth="1"/>
    <col min="10" max="10" width="8" customWidth="1"/>
    <col min="11" max="11" width="46" customWidth="1"/>
    <col min="12" max="12" width="50" customWidth="1"/>
    <col min="13" max="13" width="12" customWidth="1"/>
    <col min="14" max="14" width="10" customWidth="1"/>
    <col min="15" max="15" width="9" customWidth="1"/>
    <col min="16" max="16" width="18" customWidth="1"/>
  </cols>
  <sheetData>
    <row r="1" spans="1:16" ht="17.399999999999999" x14ac:dyDescent="0.3">
      <c r="A1" s="1" t="s">
        <v>91</v>
      </c>
    </row>
    <row r="2" spans="1:16" x14ac:dyDescent="0.3">
      <c r="A2" s="2" t="s">
        <v>92</v>
      </c>
    </row>
    <row r="4" spans="1:16" ht="26.4" x14ac:dyDescent="0.3">
      <c r="A4" s="8" t="s">
        <v>93</v>
      </c>
      <c r="B4" s="8" t="s">
        <v>56</v>
      </c>
      <c r="C4" s="8" t="s">
        <v>94</v>
      </c>
      <c r="D4" s="8" t="s">
        <v>95</v>
      </c>
      <c r="E4" s="8" t="s">
        <v>96</v>
      </c>
      <c r="F4" s="8" t="s">
        <v>97</v>
      </c>
      <c r="G4" s="8" t="s">
        <v>98</v>
      </c>
      <c r="H4" s="8" t="s">
        <v>99</v>
      </c>
      <c r="I4" s="8" t="s">
        <v>100</v>
      </c>
      <c r="J4" s="8" t="s">
        <v>101</v>
      </c>
      <c r="K4" s="8" t="s">
        <v>102</v>
      </c>
      <c r="L4" s="8" t="s">
        <v>103</v>
      </c>
      <c r="M4" s="8" t="s">
        <v>104</v>
      </c>
      <c r="N4" s="8" t="s">
        <v>105</v>
      </c>
      <c r="O4" s="8" t="s">
        <v>106</v>
      </c>
      <c r="P4" s="9" t="s">
        <v>107</v>
      </c>
    </row>
    <row r="5" spans="1:16" ht="100.05" customHeight="1" x14ac:dyDescent="0.3">
      <c r="A5" s="10" t="s">
        <v>108</v>
      </c>
      <c r="B5" s="10" t="s">
        <v>68</v>
      </c>
      <c r="C5" s="10" t="s">
        <v>109</v>
      </c>
      <c r="D5" s="10" t="s">
        <v>110</v>
      </c>
      <c r="E5" s="10" t="s">
        <v>111</v>
      </c>
      <c r="F5" s="10" t="s">
        <v>112</v>
      </c>
      <c r="G5" s="10" t="s">
        <v>113</v>
      </c>
      <c r="H5" s="10" t="s">
        <v>114</v>
      </c>
      <c r="I5" s="10" t="s">
        <v>115</v>
      </c>
      <c r="J5" s="10" t="s">
        <v>116</v>
      </c>
      <c r="K5" s="10" t="s">
        <v>117</v>
      </c>
      <c r="L5" s="10" t="s">
        <v>118</v>
      </c>
      <c r="M5" s="10" t="s">
        <v>119</v>
      </c>
      <c r="N5" s="10" t="s">
        <v>120</v>
      </c>
      <c r="O5" s="10" t="s">
        <v>121</v>
      </c>
      <c r="P5" s="14" t="str">
        <f t="shared" ref="P5:P18" si="0">IF(AND(I5="NC",OR(M5="",K5="")),"FALTA NC/requisito",IF(H5="","FALTA evidência","OK"))</f>
        <v>OK</v>
      </c>
    </row>
    <row r="6" spans="1:16" ht="100.05" customHeight="1" x14ac:dyDescent="0.3">
      <c r="A6" s="10" t="s">
        <v>122</v>
      </c>
      <c r="B6" s="10" t="s">
        <v>68</v>
      </c>
      <c r="C6" s="10" t="s">
        <v>109</v>
      </c>
      <c r="D6" s="10" t="s">
        <v>110</v>
      </c>
      <c r="E6" s="10" t="s">
        <v>123</v>
      </c>
      <c r="F6" s="10" t="s">
        <v>124</v>
      </c>
      <c r="G6" s="10" t="s">
        <v>125</v>
      </c>
      <c r="H6" s="10" t="s">
        <v>126</v>
      </c>
      <c r="I6" s="10" t="s">
        <v>127</v>
      </c>
      <c r="J6" s="10" t="s">
        <v>128</v>
      </c>
      <c r="K6" s="10" t="s">
        <v>129</v>
      </c>
      <c r="L6" s="10" t="s">
        <v>130</v>
      </c>
      <c r="M6" s="10"/>
      <c r="N6" s="10"/>
      <c r="O6" s="10" t="s">
        <v>131</v>
      </c>
      <c r="P6" s="14" t="str">
        <f t="shared" si="0"/>
        <v>OK</v>
      </c>
    </row>
    <row r="7" spans="1:16" ht="100.05" customHeight="1" x14ac:dyDescent="0.3">
      <c r="A7" s="10" t="s">
        <v>132</v>
      </c>
      <c r="B7" s="10" t="s">
        <v>68</v>
      </c>
      <c r="C7" s="10" t="s">
        <v>133</v>
      </c>
      <c r="D7" s="10" t="s">
        <v>134</v>
      </c>
      <c r="E7" s="10" t="s">
        <v>111</v>
      </c>
      <c r="F7" s="10" t="s">
        <v>135</v>
      </c>
      <c r="G7" s="10" t="s">
        <v>136</v>
      </c>
      <c r="H7" s="10" t="s">
        <v>137</v>
      </c>
      <c r="I7" s="10" t="s">
        <v>115</v>
      </c>
      <c r="J7" s="10" t="s">
        <v>116</v>
      </c>
      <c r="K7" s="10" t="s">
        <v>138</v>
      </c>
      <c r="L7" s="10" t="s">
        <v>139</v>
      </c>
      <c r="M7" s="10" t="s">
        <v>140</v>
      </c>
      <c r="N7" s="10" t="s">
        <v>141</v>
      </c>
      <c r="O7" s="10" t="s">
        <v>121</v>
      </c>
      <c r="P7" s="14" t="str">
        <f t="shared" si="0"/>
        <v>OK</v>
      </c>
    </row>
    <row r="8" spans="1:16" ht="100.05" customHeight="1" x14ac:dyDescent="0.3">
      <c r="A8" s="10" t="s">
        <v>142</v>
      </c>
      <c r="B8" s="10" t="s">
        <v>68</v>
      </c>
      <c r="C8" s="10" t="s">
        <v>133</v>
      </c>
      <c r="D8" s="10" t="s">
        <v>134</v>
      </c>
      <c r="E8" s="10" t="s">
        <v>143</v>
      </c>
      <c r="F8" s="10" t="s">
        <v>144</v>
      </c>
      <c r="G8" s="10" t="s">
        <v>145</v>
      </c>
      <c r="H8" s="10" t="s">
        <v>146</v>
      </c>
      <c r="I8" s="10" t="s">
        <v>127</v>
      </c>
      <c r="J8" s="10" t="s">
        <v>128</v>
      </c>
      <c r="K8" s="10" t="s">
        <v>147</v>
      </c>
      <c r="L8" s="10" t="s">
        <v>148</v>
      </c>
      <c r="M8" s="10"/>
      <c r="N8" s="10"/>
      <c r="O8" s="10" t="s">
        <v>131</v>
      </c>
      <c r="P8" s="14" t="str">
        <f t="shared" si="0"/>
        <v>OK</v>
      </c>
    </row>
    <row r="9" spans="1:16" ht="100.05" customHeight="1" x14ac:dyDescent="0.3">
      <c r="A9" s="10" t="s">
        <v>149</v>
      </c>
      <c r="B9" s="10" t="s">
        <v>68</v>
      </c>
      <c r="C9" s="10" t="s">
        <v>150</v>
      </c>
      <c r="D9" s="10" t="s">
        <v>151</v>
      </c>
      <c r="E9" s="10" t="s">
        <v>152</v>
      </c>
      <c r="F9" s="10" t="s">
        <v>153</v>
      </c>
      <c r="G9" s="10" t="s">
        <v>154</v>
      </c>
      <c r="H9" s="10" t="s">
        <v>155</v>
      </c>
      <c r="I9" s="10" t="s">
        <v>115</v>
      </c>
      <c r="J9" s="10" t="s">
        <v>116</v>
      </c>
      <c r="K9" s="10" t="s">
        <v>156</v>
      </c>
      <c r="L9" s="10" t="s">
        <v>157</v>
      </c>
      <c r="M9" s="10" t="s">
        <v>158</v>
      </c>
      <c r="N9" s="10" t="s">
        <v>159</v>
      </c>
      <c r="O9" s="10" t="s">
        <v>121</v>
      </c>
      <c r="P9" s="14" t="str">
        <f t="shared" si="0"/>
        <v>OK</v>
      </c>
    </row>
    <row r="10" spans="1:16" ht="100.05" customHeight="1" x14ac:dyDescent="0.3">
      <c r="A10" s="10" t="s">
        <v>160</v>
      </c>
      <c r="B10" s="10" t="s">
        <v>68</v>
      </c>
      <c r="C10" s="10" t="s">
        <v>150</v>
      </c>
      <c r="D10" s="10" t="s">
        <v>134</v>
      </c>
      <c r="E10" s="10" t="s">
        <v>143</v>
      </c>
      <c r="F10" s="10" t="s">
        <v>161</v>
      </c>
      <c r="G10" s="10" t="s">
        <v>162</v>
      </c>
      <c r="H10" s="10" t="s">
        <v>163</v>
      </c>
      <c r="I10" s="10" t="s">
        <v>115</v>
      </c>
      <c r="J10" s="10" t="s">
        <v>116</v>
      </c>
      <c r="K10" s="10" t="s">
        <v>164</v>
      </c>
      <c r="L10" s="10" t="s">
        <v>165</v>
      </c>
      <c r="M10" s="10" t="s">
        <v>166</v>
      </c>
      <c r="N10" s="10" t="s">
        <v>167</v>
      </c>
      <c r="O10" s="10" t="s">
        <v>131</v>
      </c>
      <c r="P10" s="14" t="str">
        <f t="shared" si="0"/>
        <v>OK</v>
      </c>
    </row>
    <row r="11" spans="1:16" ht="100.05" customHeight="1" x14ac:dyDescent="0.3">
      <c r="A11" s="10" t="s">
        <v>168</v>
      </c>
      <c r="B11" s="10" t="s">
        <v>68</v>
      </c>
      <c r="C11" s="10" t="s">
        <v>169</v>
      </c>
      <c r="D11" s="10" t="s">
        <v>170</v>
      </c>
      <c r="E11" s="10" t="s">
        <v>171</v>
      </c>
      <c r="F11" s="10" t="s">
        <v>172</v>
      </c>
      <c r="G11" s="10" t="s">
        <v>173</v>
      </c>
      <c r="H11" s="10" t="s">
        <v>174</v>
      </c>
      <c r="I11" s="10" t="s">
        <v>115</v>
      </c>
      <c r="J11" s="10" t="s">
        <v>116</v>
      </c>
      <c r="K11" s="10" t="s">
        <v>175</v>
      </c>
      <c r="L11" s="10" t="s">
        <v>176</v>
      </c>
      <c r="M11" s="10" t="s">
        <v>177</v>
      </c>
      <c r="N11" s="10" t="s">
        <v>178</v>
      </c>
      <c r="O11" s="10" t="s">
        <v>121</v>
      </c>
      <c r="P11" s="14" t="str">
        <f t="shared" si="0"/>
        <v>OK</v>
      </c>
    </row>
    <row r="12" spans="1:16" ht="100.05" customHeight="1" x14ac:dyDescent="0.3">
      <c r="A12" s="10" t="s">
        <v>179</v>
      </c>
      <c r="B12" s="10" t="s">
        <v>68</v>
      </c>
      <c r="C12" s="10" t="s">
        <v>169</v>
      </c>
      <c r="D12" s="10" t="s">
        <v>170</v>
      </c>
      <c r="E12" s="10" t="s">
        <v>180</v>
      </c>
      <c r="F12" s="10" t="s">
        <v>181</v>
      </c>
      <c r="G12" s="10" t="s">
        <v>182</v>
      </c>
      <c r="H12" s="10" t="s">
        <v>183</v>
      </c>
      <c r="I12" s="10" t="s">
        <v>127</v>
      </c>
      <c r="J12" s="10" t="s">
        <v>128</v>
      </c>
      <c r="K12" s="10" t="s">
        <v>184</v>
      </c>
      <c r="L12" s="10" t="s">
        <v>185</v>
      </c>
      <c r="M12" s="10"/>
      <c r="N12" s="10"/>
      <c r="O12" s="10" t="s">
        <v>131</v>
      </c>
      <c r="P12" s="14" t="str">
        <f t="shared" si="0"/>
        <v>OK</v>
      </c>
    </row>
    <row r="13" spans="1:16" ht="100.05" customHeight="1" x14ac:dyDescent="0.3">
      <c r="A13" s="10" t="s">
        <v>186</v>
      </c>
      <c r="B13" s="10" t="s">
        <v>68</v>
      </c>
      <c r="C13" s="10" t="s">
        <v>187</v>
      </c>
      <c r="D13" s="10" t="s">
        <v>188</v>
      </c>
      <c r="E13" s="10" t="s">
        <v>189</v>
      </c>
      <c r="F13" s="10" t="s">
        <v>190</v>
      </c>
      <c r="G13" s="10" t="s">
        <v>191</v>
      </c>
      <c r="H13" s="10" t="s">
        <v>192</v>
      </c>
      <c r="I13" s="10" t="s">
        <v>127</v>
      </c>
      <c r="J13" s="10" t="s">
        <v>128</v>
      </c>
      <c r="K13" s="10" t="s">
        <v>193</v>
      </c>
      <c r="L13" s="10" t="s">
        <v>194</v>
      </c>
      <c r="M13" s="10"/>
      <c r="N13" s="10" t="s">
        <v>195</v>
      </c>
      <c r="O13" s="10" t="s">
        <v>121</v>
      </c>
      <c r="P13" s="14" t="str">
        <f t="shared" si="0"/>
        <v>OK</v>
      </c>
    </row>
    <row r="14" spans="1:16" ht="100.05" customHeight="1" x14ac:dyDescent="0.3">
      <c r="A14" s="10" t="s">
        <v>196</v>
      </c>
      <c r="B14" s="10" t="s">
        <v>68</v>
      </c>
      <c r="C14" s="10" t="s">
        <v>197</v>
      </c>
      <c r="D14" s="10" t="s">
        <v>198</v>
      </c>
      <c r="E14" s="10" t="s">
        <v>199</v>
      </c>
      <c r="F14" s="10" t="s">
        <v>200</v>
      </c>
      <c r="G14" s="10" t="s">
        <v>201</v>
      </c>
      <c r="H14" s="10" t="s">
        <v>202</v>
      </c>
      <c r="I14" s="10" t="s">
        <v>115</v>
      </c>
      <c r="J14" s="10" t="s">
        <v>116</v>
      </c>
      <c r="K14" s="10" t="s">
        <v>203</v>
      </c>
      <c r="L14" s="10" t="s">
        <v>204</v>
      </c>
      <c r="M14" s="10" t="s">
        <v>205</v>
      </c>
      <c r="N14" s="10" t="s">
        <v>206</v>
      </c>
      <c r="O14" s="10" t="s">
        <v>131</v>
      </c>
      <c r="P14" s="14" t="str">
        <f t="shared" si="0"/>
        <v>OK</v>
      </c>
    </row>
    <row r="15" spans="1:16" ht="100.05" customHeight="1" x14ac:dyDescent="0.3">
      <c r="A15" s="10" t="s">
        <v>207</v>
      </c>
      <c r="B15" s="10" t="s">
        <v>76</v>
      </c>
      <c r="C15" s="10" t="s">
        <v>208</v>
      </c>
      <c r="D15" s="10" t="s">
        <v>209</v>
      </c>
      <c r="E15" s="10" t="s">
        <v>210</v>
      </c>
      <c r="F15" s="10" t="s">
        <v>211</v>
      </c>
      <c r="G15" s="10" t="s">
        <v>212</v>
      </c>
      <c r="H15" s="10" t="s">
        <v>213</v>
      </c>
      <c r="I15" s="10" t="s">
        <v>127</v>
      </c>
      <c r="J15" s="10" t="s">
        <v>128</v>
      </c>
      <c r="K15" s="10" t="s">
        <v>214</v>
      </c>
      <c r="L15" s="10" t="s">
        <v>215</v>
      </c>
      <c r="M15" s="10"/>
      <c r="N15" s="10" t="s">
        <v>216</v>
      </c>
      <c r="O15" s="10" t="s">
        <v>217</v>
      </c>
      <c r="P15" s="14" t="str">
        <f t="shared" si="0"/>
        <v>OK</v>
      </c>
    </row>
    <row r="16" spans="1:16" ht="100.05" customHeight="1" x14ac:dyDescent="0.3">
      <c r="A16" s="10" t="s">
        <v>218</v>
      </c>
      <c r="B16" s="10" t="s">
        <v>76</v>
      </c>
      <c r="C16" s="10" t="s">
        <v>219</v>
      </c>
      <c r="D16" s="10" t="s">
        <v>220</v>
      </c>
      <c r="E16" s="10" t="s">
        <v>111</v>
      </c>
      <c r="F16" s="10" t="s">
        <v>221</v>
      </c>
      <c r="G16" s="10" t="s">
        <v>222</v>
      </c>
      <c r="H16" s="10" t="s">
        <v>223</v>
      </c>
      <c r="I16" s="10" t="s">
        <v>224</v>
      </c>
      <c r="J16" s="10" t="s">
        <v>128</v>
      </c>
      <c r="K16" s="10" t="s">
        <v>225</v>
      </c>
      <c r="L16" s="10" t="s">
        <v>128</v>
      </c>
      <c r="M16" s="10"/>
      <c r="N16" s="10"/>
      <c r="O16" s="10" t="s">
        <v>217</v>
      </c>
      <c r="P16" s="14" t="str">
        <f t="shared" si="0"/>
        <v>OK</v>
      </c>
    </row>
    <row r="17" spans="1:16" ht="100.05" customHeight="1" x14ac:dyDescent="0.3">
      <c r="A17" s="10" t="s">
        <v>226</v>
      </c>
      <c r="B17" s="10" t="s">
        <v>76</v>
      </c>
      <c r="C17" s="10" t="s">
        <v>219</v>
      </c>
      <c r="D17" s="10" t="s">
        <v>220</v>
      </c>
      <c r="E17" s="10" t="s">
        <v>227</v>
      </c>
      <c r="F17" s="10" t="s">
        <v>228</v>
      </c>
      <c r="G17" s="10" t="s">
        <v>229</v>
      </c>
      <c r="H17" s="10" t="s">
        <v>230</v>
      </c>
      <c r="I17" s="10" t="s">
        <v>127</v>
      </c>
      <c r="J17" s="10" t="s">
        <v>128</v>
      </c>
      <c r="K17" s="10" t="s">
        <v>231</v>
      </c>
      <c r="L17" s="10" t="s">
        <v>232</v>
      </c>
      <c r="M17" s="10"/>
      <c r="N17" s="10" t="s">
        <v>233</v>
      </c>
      <c r="O17" s="10" t="s">
        <v>217</v>
      </c>
      <c r="P17" s="14" t="str">
        <f t="shared" si="0"/>
        <v>OK</v>
      </c>
    </row>
    <row r="18" spans="1:16" ht="100.05" customHeight="1" x14ac:dyDescent="0.3">
      <c r="A18" s="10" t="s">
        <v>234</v>
      </c>
      <c r="B18" s="10" t="s">
        <v>76</v>
      </c>
      <c r="C18" s="10" t="s">
        <v>219</v>
      </c>
      <c r="D18" s="10" t="s">
        <v>220</v>
      </c>
      <c r="E18" s="10" t="s">
        <v>235</v>
      </c>
      <c r="F18" s="10" t="s">
        <v>236</v>
      </c>
      <c r="G18" s="10" t="s">
        <v>237</v>
      </c>
      <c r="H18" s="10" t="s">
        <v>238</v>
      </c>
      <c r="I18" s="10" t="s">
        <v>115</v>
      </c>
      <c r="J18" s="10" t="s">
        <v>116</v>
      </c>
      <c r="K18" s="10" t="s">
        <v>239</v>
      </c>
      <c r="L18" s="10" t="s">
        <v>240</v>
      </c>
      <c r="M18" s="10" t="s">
        <v>241</v>
      </c>
      <c r="N18" s="10" t="s">
        <v>242</v>
      </c>
      <c r="O18" s="10" t="s">
        <v>243</v>
      </c>
      <c r="P18" s="14" t="str">
        <f t="shared" si="0"/>
        <v>OK</v>
      </c>
    </row>
  </sheetData>
  <conditionalFormatting sqref="I5:I218">
    <cfRule type="expression" dxfId="4" priority="1">
      <formula>ISNUMBER(SEARCH("NC",I5))</formula>
    </cfRule>
    <cfRule type="expression" dxfId="3" priority="2">
      <formula>ISNUMBER(SEARCH("OM",I5))</formula>
    </cfRule>
    <cfRule type="expression" dxfId="2" priority="3">
      <formula>ISNUMBER(SEARCH("Conforme",I5))</formula>
    </cfRule>
  </conditionalFormatting>
  <conditionalFormatting sqref="P5:P218">
    <cfRule type="expression" dxfId="1" priority="4">
      <formula>ISNUMBER(SEARCH("FALTA",P5))</formula>
    </cfRule>
    <cfRule type="expression" dxfId="0" priority="5">
      <formula>ISNUMBER(SEARCH("OK",P5))</formula>
    </cfRule>
  </conditionalFormatting>
  <dataValidations count="3">
    <dataValidation type="list" allowBlank="1" showErrorMessage="1" errorTitle="Valor inválido" error="Valor fora da lista controlada (ver folha Listas)." sqref="D5:D218" xr:uid="{00000000-0002-0000-0200-000000000000}">
      <formula1>lst_Processo</formula1>
    </dataValidation>
    <dataValidation type="list" allowBlank="1" showErrorMessage="1" errorTitle="Valor inválido" error="Valor fora da lista controlada (ver folha Listas)." sqref="I5:I218" xr:uid="{00000000-0002-0000-0200-000001000000}">
      <formula1>lst_Classificacao</formula1>
    </dataValidation>
    <dataValidation type="list" allowBlank="1" showErrorMessage="1" errorTitle="Valor inválido" error="Valor fora da lista controlada (ver folha Listas)." sqref="J5:J218" xr:uid="{00000000-0002-0000-0200-000002000000}">
      <formula1>lst_Gravidade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22"/>
  <sheetViews>
    <sheetView showGridLines="0" workbookViewId="0"/>
  </sheetViews>
  <sheetFormatPr defaultRowHeight="14.4" x14ac:dyDescent="0.3"/>
  <cols>
    <col min="1" max="1" width="30" customWidth="1"/>
    <col min="2" max="2" width="10" customWidth="1"/>
    <col min="3" max="4" width="8" customWidth="1"/>
  </cols>
  <sheetData>
    <row r="1" spans="1:4" ht="17.399999999999999" x14ac:dyDescent="0.3">
      <c r="A1" s="1" t="s">
        <v>244</v>
      </c>
    </row>
    <row r="2" spans="1:4" x14ac:dyDescent="0.3">
      <c r="A2" s="2" t="s">
        <v>245</v>
      </c>
    </row>
    <row r="4" spans="1:4" x14ac:dyDescent="0.3">
      <c r="A4" s="8" t="s">
        <v>246</v>
      </c>
      <c r="B4" s="8" t="s">
        <v>247</v>
      </c>
      <c r="C4" s="8" t="s">
        <v>115</v>
      </c>
      <c r="D4" s="8" t="s">
        <v>127</v>
      </c>
    </row>
    <row r="5" spans="1:4" x14ac:dyDescent="0.3">
      <c r="A5" t="s">
        <v>109</v>
      </c>
      <c r="B5">
        <f>COUNTIF(Checklist_Constatacoes!$C$5:$C$18,A5)</f>
        <v>2</v>
      </c>
      <c r="C5">
        <f>COUNTIFS(Checklist_Constatacoes!$C$5:$C$18,A5,Checklist_Constatacoes!$I$5:$I$18,"NC")</f>
        <v>1</v>
      </c>
      <c r="D5">
        <f>COUNTIFS(Checklist_Constatacoes!$C$5:$C$18,A5,Checklist_Constatacoes!$I$5:$I$18,"OM")</f>
        <v>1</v>
      </c>
    </row>
    <row r="6" spans="1:4" x14ac:dyDescent="0.3">
      <c r="A6" t="s">
        <v>133</v>
      </c>
      <c r="B6">
        <f>COUNTIF(Checklist_Constatacoes!$C$5:$C$18,A6)</f>
        <v>2</v>
      </c>
      <c r="C6">
        <f>COUNTIFS(Checklist_Constatacoes!$C$5:$C$18,A6,Checklist_Constatacoes!$I$5:$I$18,"NC")</f>
        <v>1</v>
      </c>
      <c r="D6">
        <f>COUNTIFS(Checklist_Constatacoes!$C$5:$C$18,A6,Checklist_Constatacoes!$I$5:$I$18,"OM")</f>
        <v>1</v>
      </c>
    </row>
    <row r="7" spans="1:4" x14ac:dyDescent="0.3">
      <c r="A7" t="s">
        <v>150</v>
      </c>
      <c r="B7">
        <f>COUNTIF(Checklist_Constatacoes!$C$5:$C$18,A7)</f>
        <v>2</v>
      </c>
      <c r="C7">
        <f>COUNTIFS(Checklist_Constatacoes!$C$5:$C$18,A7,Checklist_Constatacoes!$I$5:$I$18,"NC")</f>
        <v>2</v>
      </c>
      <c r="D7">
        <f>COUNTIFS(Checklist_Constatacoes!$C$5:$C$18,A7,Checklist_Constatacoes!$I$5:$I$18,"OM")</f>
        <v>0</v>
      </c>
    </row>
    <row r="8" spans="1:4" x14ac:dyDescent="0.3">
      <c r="A8" t="s">
        <v>169</v>
      </c>
      <c r="B8">
        <f>COUNTIF(Checklist_Constatacoes!$C$5:$C$18,A8)</f>
        <v>2</v>
      </c>
      <c r="C8">
        <f>COUNTIFS(Checklist_Constatacoes!$C$5:$C$18,A8,Checklist_Constatacoes!$I$5:$I$18,"NC")</f>
        <v>1</v>
      </c>
      <c r="D8">
        <f>COUNTIFS(Checklist_Constatacoes!$C$5:$C$18,A8,Checklist_Constatacoes!$I$5:$I$18,"OM")</f>
        <v>1</v>
      </c>
    </row>
    <row r="9" spans="1:4" x14ac:dyDescent="0.3">
      <c r="A9" t="s">
        <v>187</v>
      </c>
      <c r="B9">
        <f>COUNTIF(Checklist_Constatacoes!$C$5:$C$18,A9)</f>
        <v>1</v>
      </c>
      <c r="C9">
        <f>COUNTIFS(Checklist_Constatacoes!$C$5:$C$18,A9,Checklist_Constatacoes!$I$5:$I$18,"NC")</f>
        <v>0</v>
      </c>
      <c r="D9">
        <f>COUNTIFS(Checklist_Constatacoes!$C$5:$C$18,A9,Checklist_Constatacoes!$I$5:$I$18,"OM")</f>
        <v>1</v>
      </c>
    </row>
    <row r="10" spans="1:4" x14ac:dyDescent="0.3">
      <c r="A10" t="s">
        <v>197</v>
      </c>
      <c r="B10">
        <f>COUNTIF(Checklist_Constatacoes!$C$5:$C$18,A10)</f>
        <v>1</v>
      </c>
      <c r="C10">
        <f>COUNTIFS(Checklist_Constatacoes!$C$5:$C$18,A10,Checklist_Constatacoes!$I$5:$I$18,"NC")</f>
        <v>1</v>
      </c>
      <c r="D10">
        <f>COUNTIFS(Checklist_Constatacoes!$C$5:$C$18,A10,Checklist_Constatacoes!$I$5:$I$18,"OM")</f>
        <v>0</v>
      </c>
    </row>
    <row r="12" spans="1:4" x14ac:dyDescent="0.3">
      <c r="A12" s="15" t="s">
        <v>248</v>
      </c>
      <c r="B12" s="15">
        <f>SUM(B5:B11)</f>
        <v>10</v>
      </c>
      <c r="C12" s="15">
        <f>SUM(C5:C11)</f>
        <v>6</v>
      </c>
      <c r="D12" s="15">
        <f>SUM(D5:D11)</f>
        <v>4</v>
      </c>
    </row>
    <row r="14" spans="1:4" x14ac:dyDescent="0.3">
      <c r="A14" s="8" t="s">
        <v>249</v>
      </c>
      <c r="B14" s="8" t="s">
        <v>115</v>
      </c>
      <c r="C14" s="8" t="s">
        <v>127</v>
      </c>
    </row>
    <row r="15" spans="1:4" x14ac:dyDescent="0.3">
      <c r="A15" t="s">
        <v>227</v>
      </c>
      <c r="B15">
        <f>COUNTIFS(Checklist_Constatacoes!$E$5:$E$18,"*6.1.3*",Checklist_Constatacoes!$I$5:$I$18,"NC")</f>
        <v>0</v>
      </c>
      <c r="C15">
        <f>COUNTIFS(Checklist_Constatacoes!$E$5:$E$18,"*6.1.3*",Checklist_Constatacoes!$I$5:$I$18,"OM")</f>
        <v>3</v>
      </c>
    </row>
    <row r="16" spans="1:4" x14ac:dyDescent="0.3">
      <c r="A16" t="s">
        <v>152</v>
      </c>
      <c r="B16">
        <f>COUNTIFS(Checklist_Constatacoes!$E$5:$E$18,"*6.3*",Checklist_Constatacoes!$I$5:$I$18,"NC")</f>
        <v>1</v>
      </c>
      <c r="C16">
        <f>COUNTIFS(Checklist_Constatacoes!$E$5:$E$18,"*6.3*",Checklist_Constatacoes!$I$5:$I$18,"OM")</f>
        <v>0</v>
      </c>
    </row>
    <row r="17" spans="1:3" x14ac:dyDescent="0.3">
      <c r="A17" t="s">
        <v>250</v>
      </c>
      <c r="B17">
        <f>COUNTIFS(Checklist_Constatacoes!$E$5:$E$18,"*7.2*",Checklist_Constatacoes!$I$5:$I$18,"NC")</f>
        <v>1</v>
      </c>
      <c r="C17">
        <f>COUNTIFS(Checklist_Constatacoes!$E$5:$E$18,"*7.2*",Checklist_Constatacoes!$I$5:$I$18,"OM")</f>
        <v>0</v>
      </c>
    </row>
    <row r="18" spans="1:3" x14ac:dyDescent="0.3">
      <c r="A18" t="s">
        <v>251</v>
      </c>
      <c r="B18">
        <f>COUNTIFS(Checklist_Constatacoes!$E$5:$E$18,"*7.5*",Checklist_Constatacoes!$I$5:$I$18,"NC")</f>
        <v>0</v>
      </c>
      <c r="C18">
        <f>COUNTIFS(Checklist_Constatacoes!$E$5:$E$18,"*7.5*",Checklist_Constatacoes!$I$5:$I$18,"OM")</f>
        <v>1</v>
      </c>
    </row>
    <row r="19" spans="1:3" x14ac:dyDescent="0.3">
      <c r="A19" t="s">
        <v>111</v>
      </c>
      <c r="B19">
        <f>COUNTIFS(Checklist_Constatacoes!$E$5:$E$18,"*8.1*",Checklist_Constatacoes!$I$5:$I$18,"NC")</f>
        <v>3</v>
      </c>
      <c r="C19">
        <f>COUNTIFS(Checklist_Constatacoes!$E$5:$E$18,"*8.1*",Checklist_Constatacoes!$I$5:$I$18,"OM")</f>
        <v>0</v>
      </c>
    </row>
    <row r="20" spans="1:3" x14ac:dyDescent="0.3">
      <c r="A20" t="s">
        <v>199</v>
      </c>
      <c r="B20">
        <f>COUNTIFS(Checklist_Constatacoes!$E$5:$E$18,"*8.2*",Checklist_Constatacoes!$I$5:$I$18,"NC")</f>
        <v>1</v>
      </c>
      <c r="C20">
        <f>COUNTIFS(Checklist_Constatacoes!$E$5:$E$18,"*8.2*",Checklist_Constatacoes!$I$5:$I$18,"OM")</f>
        <v>0</v>
      </c>
    </row>
    <row r="21" spans="1:3" x14ac:dyDescent="0.3">
      <c r="A21" t="s">
        <v>143</v>
      </c>
      <c r="B21">
        <f>COUNTIFS(Checklist_Constatacoes!$E$5:$E$18,"*9.1.1*",Checklist_Constatacoes!$I$5:$I$18,"NC")</f>
        <v>2</v>
      </c>
      <c r="C21">
        <f>COUNTIFS(Checklist_Constatacoes!$E$5:$E$18,"*9.1.1*",Checklist_Constatacoes!$I$5:$I$18,"OM")</f>
        <v>2</v>
      </c>
    </row>
    <row r="22" spans="1:3" x14ac:dyDescent="0.3">
      <c r="A22" t="s">
        <v>180</v>
      </c>
      <c r="B22">
        <f>COUNTIFS(Checklist_Constatacoes!$E$5:$E$18,"*10.1*",Checklist_Constatacoes!$I$5:$I$18,"NC")</f>
        <v>0</v>
      </c>
      <c r="C22">
        <f>COUNTIFS(Checklist_Constatacoes!$E$5:$E$18,"*10.1*",Checklist_Constatacoes!$I$5:$I$18,"OM")</f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9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6" width="16" customWidth="1"/>
  </cols>
  <sheetData>
    <row r="1" spans="1:6" x14ac:dyDescent="0.3">
      <c r="A1" s="15" t="s">
        <v>252</v>
      </c>
    </row>
    <row r="2" spans="1:6" x14ac:dyDescent="0.3">
      <c r="A2" s="16" t="s">
        <v>253</v>
      </c>
      <c r="B2" s="16" t="s">
        <v>254</v>
      </c>
      <c r="C2" s="16" t="s">
        <v>100</v>
      </c>
      <c r="D2" s="16" t="s">
        <v>101</v>
      </c>
      <c r="E2" s="16" t="s">
        <v>255</v>
      </c>
      <c r="F2" s="16" t="s">
        <v>96</v>
      </c>
    </row>
    <row r="3" spans="1:6" x14ac:dyDescent="0.3">
      <c r="A3" s="17">
        <v>46387</v>
      </c>
      <c r="B3" s="6" t="s">
        <v>90</v>
      </c>
      <c r="C3" s="6" t="s">
        <v>115</v>
      </c>
      <c r="D3" s="6" t="s">
        <v>256</v>
      </c>
      <c r="E3" s="6" t="s">
        <v>257</v>
      </c>
      <c r="F3" s="6" t="s">
        <v>258</v>
      </c>
    </row>
    <row r="4" spans="1:6" x14ac:dyDescent="0.3">
      <c r="B4" s="6" t="s">
        <v>75</v>
      </c>
      <c r="C4" s="6" t="s">
        <v>127</v>
      </c>
      <c r="D4" s="6" t="s">
        <v>116</v>
      </c>
      <c r="E4" s="6" t="s">
        <v>110</v>
      </c>
      <c r="F4" s="6" t="s">
        <v>259</v>
      </c>
    </row>
    <row r="5" spans="1:6" x14ac:dyDescent="0.3">
      <c r="B5" s="6" t="s">
        <v>260</v>
      </c>
      <c r="C5" s="6" t="s">
        <v>224</v>
      </c>
      <c r="D5" s="6" t="s">
        <v>128</v>
      </c>
      <c r="E5" s="6" t="s">
        <v>261</v>
      </c>
      <c r="F5" s="6" t="s">
        <v>262</v>
      </c>
    </row>
    <row r="6" spans="1:6" x14ac:dyDescent="0.3">
      <c r="B6" s="6" t="s">
        <v>263</v>
      </c>
      <c r="E6" s="6" t="s">
        <v>264</v>
      </c>
      <c r="F6" s="6" t="s">
        <v>265</v>
      </c>
    </row>
    <row r="7" spans="1:6" x14ac:dyDescent="0.3">
      <c r="E7" s="6" t="s">
        <v>170</v>
      </c>
      <c r="F7" s="6" t="s">
        <v>266</v>
      </c>
    </row>
    <row r="8" spans="1:6" x14ac:dyDescent="0.3">
      <c r="E8" s="6" t="s">
        <v>267</v>
      </c>
      <c r="F8" s="6" t="s">
        <v>268</v>
      </c>
    </row>
    <row r="9" spans="1:6" x14ac:dyDescent="0.3">
      <c r="E9" s="6" t="s">
        <v>269</v>
      </c>
      <c r="F9" s="6" t="s">
        <v>270</v>
      </c>
    </row>
    <row r="10" spans="1:6" x14ac:dyDescent="0.3">
      <c r="E10" s="6" t="s">
        <v>188</v>
      </c>
      <c r="F10" s="6" t="s">
        <v>271</v>
      </c>
    </row>
    <row r="11" spans="1:6" x14ac:dyDescent="0.3">
      <c r="E11" s="6" t="s">
        <v>151</v>
      </c>
      <c r="F11" s="6" t="s">
        <v>272</v>
      </c>
    </row>
    <row r="12" spans="1:6" x14ac:dyDescent="0.3">
      <c r="E12" s="6" t="s">
        <v>134</v>
      </c>
      <c r="F12" s="6" t="s">
        <v>227</v>
      </c>
    </row>
    <row r="13" spans="1:6" x14ac:dyDescent="0.3">
      <c r="E13" s="6" t="s">
        <v>273</v>
      </c>
      <c r="F13" s="6" t="s">
        <v>274</v>
      </c>
    </row>
    <row r="14" spans="1:6" x14ac:dyDescent="0.3">
      <c r="E14" s="6" t="s">
        <v>275</v>
      </c>
      <c r="F14" s="6" t="s">
        <v>276</v>
      </c>
    </row>
    <row r="15" spans="1:6" x14ac:dyDescent="0.3">
      <c r="E15" s="6" t="s">
        <v>209</v>
      </c>
      <c r="F15" s="6" t="s">
        <v>277</v>
      </c>
    </row>
    <row r="16" spans="1:6" x14ac:dyDescent="0.3">
      <c r="E16" s="6" t="s">
        <v>220</v>
      </c>
      <c r="F16" s="6" t="s">
        <v>152</v>
      </c>
    </row>
    <row r="17" spans="5:6" x14ac:dyDescent="0.3">
      <c r="E17" s="6" t="s">
        <v>278</v>
      </c>
      <c r="F17" s="6" t="s">
        <v>279</v>
      </c>
    </row>
    <row r="18" spans="5:6" x14ac:dyDescent="0.3">
      <c r="E18" s="6" t="s">
        <v>198</v>
      </c>
      <c r="F18" s="6" t="s">
        <v>250</v>
      </c>
    </row>
    <row r="19" spans="5:6" x14ac:dyDescent="0.3">
      <c r="F19" s="6" t="s">
        <v>280</v>
      </c>
    </row>
    <row r="20" spans="5:6" x14ac:dyDescent="0.3">
      <c r="F20" s="6" t="s">
        <v>281</v>
      </c>
    </row>
    <row r="21" spans="5:6" x14ac:dyDescent="0.3">
      <c r="F21" s="6" t="s">
        <v>251</v>
      </c>
    </row>
    <row r="22" spans="5:6" x14ac:dyDescent="0.3">
      <c r="F22" s="6" t="s">
        <v>111</v>
      </c>
    </row>
    <row r="23" spans="5:6" x14ac:dyDescent="0.3">
      <c r="F23" s="6" t="s">
        <v>199</v>
      </c>
    </row>
    <row r="24" spans="5:6" x14ac:dyDescent="0.3">
      <c r="F24" s="6" t="s">
        <v>143</v>
      </c>
    </row>
    <row r="25" spans="5:6" x14ac:dyDescent="0.3">
      <c r="F25" s="6" t="s">
        <v>282</v>
      </c>
    </row>
    <row r="26" spans="5:6" x14ac:dyDescent="0.3">
      <c r="F26" s="6" t="s">
        <v>283</v>
      </c>
    </row>
    <row r="27" spans="5:6" x14ac:dyDescent="0.3">
      <c r="F27" s="6" t="s">
        <v>284</v>
      </c>
    </row>
    <row r="28" spans="5:6" x14ac:dyDescent="0.3">
      <c r="F28" s="6" t="s">
        <v>180</v>
      </c>
    </row>
    <row r="29" spans="5:6" x14ac:dyDescent="0.3">
      <c r="F29" s="6" t="s">
        <v>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286</v>
      </c>
      <c r="B1" s="8" t="s">
        <v>287</v>
      </c>
      <c r="C1" s="8" t="s">
        <v>288</v>
      </c>
      <c r="D1" s="8" t="s">
        <v>289</v>
      </c>
      <c r="E1" s="8" t="s">
        <v>290</v>
      </c>
      <c r="F1" s="8" t="s">
        <v>291</v>
      </c>
      <c r="G1" s="8" t="s">
        <v>292</v>
      </c>
      <c r="H1" s="8" t="s">
        <v>293</v>
      </c>
      <c r="I1" s="8" t="s">
        <v>294</v>
      </c>
    </row>
    <row r="2" spans="1:9" x14ac:dyDescent="0.3">
      <c r="A2" s="18" t="s">
        <v>28</v>
      </c>
      <c r="B2" s="18" t="s">
        <v>295</v>
      </c>
      <c r="C2" s="18" t="s">
        <v>56</v>
      </c>
      <c r="D2" s="18" t="s">
        <v>296</v>
      </c>
      <c r="E2" s="18" t="s">
        <v>297</v>
      </c>
      <c r="F2" s="18" t="s">
        <v>298</v>
      </c>
      <c r="G2" s="18"/>
      <c r="H2" s="18" t="s">
        <v>299</v>
      </c>
      <c r="I2" s="18" t="s">
        <v>300</v>
      </c>
    </row>
    <row r="3" spans="1:9" x14ac:dyDescent="0.3">
      <c r="A3" s="18" t="s">
        <v>28</v>
      </c>
      <c r="B3" s="18" t="s">
        <v>295</v>
      </c>
      <c r="C3" s="18" t="s">
        <v>57</v>
      </c>
      <c r="D3" s="18" t="s">
        <v>296</v>
      </c>
      <c r="E3" s="18" t="s">
        <v>297</v>
      </c>
      <c r="F3" s="18" t="s">
        <v>301</v>
      </c>
      <c r="G3" s="18"/>
      <c r="H3" s="18" t="s">
        <v>299</v>
      </c>
      <c r="I3" s="18"/>
    </row>
    <row r="4" spans="1:9" x14ac:dyDescent="0.3">
      <c r="A4" s="18" t="s">
        <v>28</v>
      </c>
      <c r="B4" s="18" t="s">
        <v>295</v>
      </c>
      <c r="C4" s="18" t="s">
        <v>58</v>
      </c>
      <c r="D4" s="18" t="s">
        <v>296</v>
      </c>
      <c r="E4" s="18" t="s">
        <v>297</v>
      </c>
      <c r="F4" s="18" t="s">
        <v>302</v>
      </c>
      <c r="G4" s="18"/>
      <c r="H4" s="18" t="s">
        <v>299</v>
      </c>
      <c r="I4" s="18"/>
    </row>
    <row r="5" spans="1:9" x14ac:dyDescent="0.3">
      <c r="A5" s="18" t="s">
        <v>28</v>
      </c>
      <c r="B5" s="18" t="s">
        <v>295</v>
      </c>
      <c r="C5" s="18" t="s">
        <v>59</v>
      </c>
      <c r="D5" s="18" t="s">
        <v>296</v>
      </c>
      <c r="E5" s="18" t="s">
        <v>297</v>
      </c>
      <c r="F5" s="18" t="s">
        <v>303</v>
      </c>
      <c r="G5" s="18"/>
      <c r="H5" s="18" t="s">
        <v>299</v>
      </c>
      <c r="I5" s="18"/>
    </row>
    <row r="6" spans="1:9" x14ac:dyDescent="0.3">
      <c r="A6" s="18" t="s">
        <v>28</v>
      </c>
      <c r="B6" s="18" t="s">
        <v>295</v>
      </c>
      <c r="C6" s="18" t="s">
        <v>60</v>
      </c>
      <c r="D6" s="18" t="s">
        <v>296</v>
      </c>
      <c r="E6" s="18" t="s">
        <v>297</v>
      </c>
      <c r="F6" s="18" t="s">
        <v>304</v>
      </c>
      <c r="G6" s="18"/>
      <c r="H6" s="18" t="s">
        <v>299</v>
      </c>
      <c r="I6" s="18"/>
    </row>
    <row r="7" spans="1:9" ht="26.4" x14ac:dyDescent="0.3">
      <c r="A7" s="18" t="s">
        <v>28</v>
      </c>
      <c r="B7" s="18" t="s">
        <v>295</v>
      </c>
      <c r="C7" s="18" t="s">
        <v>61</v>
      </c>
      <c r="D7" s="18" t="s">
        <v>305</v>
      </c>
      <c r="E7" s="18" t="s">
        <v>297</v>
      </c>
      <c r="F7" s="18" t="s">
        <v>306</v>
      </c>
      <c r="G7" s="18"/>
      <c r="H7" s="18" t="s">
        <v>299</v>
      </c>
      <c r="I7" s="18"/>
    </row>
    <row r="8" spans="1:9" ht="26.4" x14ac:dyDescent="0.3">
      <c r="A8" s="18" t="s">
        <v>28</v>
      </c>
      <c r="B8" s="18" t="s">
        <v>295</v>
      </c>
      <c r="C8" s="18" t="s">
        <v>62</v>
      </c>
      <c r="D8" s="18" t="s">
        <v>305</v>
      </c>
      <c r="E8" s="18" t="s">
        <v>297</v>
      </c>
      <c r="F8" s="18" t="s">
        <v>307</v>
      </c>
      <c r="G8" s="18"/>
      <c r="H8" s="18" t="s">
        <v>299</v>
      </c>
      <c r="I8" s="18"/>
    </row>
    <row r="9" spans="1:9" x14ac:dyDescent="0.3">
      <c r="A9" s="18" t="s">
        <v>28</v>
      </c>
      <c r="B9" s="18" t="s">
        <v>295</v>
      </c>
      <c r="C9" s="18" t="s">
        <v>63</v>
      </c>
      <c r="D9" s="18" t="s">
        <v>296</v>
      </c>
      <c r="E9" s="18" t="s">
        <v>297</v>
      </c>
      <c r="F9" s="18" t="s">
        <v>308</v>
      </c>
      <c r="G9" s="18"/>
      <c r="H9" s="18" t="s">
        <v>299</v>
      </c>
      <c r="I9" s="18"/>
    </row>
    <row r="10" spans="1:9" x14ac:dyDescent="0.3">
      <c r="A10" s="18" t="s">
        <v>28</v>
      </c>
      <c r="B10" s="18" t="s">
        <v>295</v>
      </c>
      <c r="C10" s="18" t="s">
        <v>64</v>
      </c>
      <c r="D10" s="18" t="s">
        <v>296</v>
      </c>
      <c r="E10" s="18" t="s">
        <v>297</v>
      </c>
      <c r="F10" s="18" t="s">
        <v>309</v>
      </c>
      <c r="G10" s="18"/>
      <c r="H10" s="18" t="s">
        <v>299</v>
      </c>
      <c r="I10" s="18"/>
    </row>
    <row r="11" spans="1:9" x14ac:dyDescent="0.3">
      <c r="A11" s="18" t="s">
        <v>28</v>
      </c>
      <c r="B11" s="18" t="s">
        <v>295</v>
      </c>
      <c r="C11" s="18" t="s">
        <v>14</v>
      </c>
      <c r="D11" s="18" t="s">
        <v>296</v>
      </c>
      <c r="E11" s="18" t="s">
        <v>297</v>
      </c>
      <c r="F11" s="18" t="s">
        <v>310</v>
      </c>
      <c r="G11" s="18" t="s">
        <v>311</v>
      </c>
      <c r="H11" s="18" t="s">
        <v>299</v>
      </c>
      <c r="I11" s="18"/>
    </row>
    <row r="12" spans="1:9" x14ac:dyDescent="0.3">
      <c r="A12" s="18" t="s">
        <v>28</v>
      </c>
      <c r="B12" s="18" t="s">
        <v>295</v>
      </c>
      <c r="C12" s="18" t="s">
        <v>65</v>
      </c>
      <c r="D12" s="18" t="s">
        <v>312</v>
      </c>
      <c r="E12" s="18" t="s">
        <v>297</v>
      </c>
      <c r="F12" s="18" t="s">
        <v>313</v>
      </c>
      <c r="G12" s="18"/>
      <c r="H12" s="18" t="s">
        <v>299</v>
      </c>
      <c r="I12" s="18"/>
    </row>
    <row r="13" spans="1:9" x14ac:dyDescent="0.3">
      <c r="A13" s="18" t="s">
        <v>28</v>
      </c>
      <c r="B13" s="18" t="s">
        <v>295</v>
      </c>
      <c r="C13" s="18" t="s">
        <v>66</v>
      </c>
      <c r="D13" s="18" t="s">
        <v>312</v>
      </c>
      <c r="E13" s="18" t="s">
        <v>314</v>
      </c>
      <c r="F13" s="18" t="s">
        <v>315</v>
      </c>
      <c r="G13" s="18"/>
      <c r="H13" s="18" t="s">
        <v>299</v>
      </c>
      <c r="I13" s="18"/>
    </row>
    <row r="14" spans="1:9" x14ac:dyDescent="0.3">
      <c r="A14" s="18" t="s">
        <v>28</v>
      </c>
      <c r="B14" s="18" t="s">
        <v>295</v>
      </c>
      <c r="C14" s="18" t="s">
        <v>67</v>
      </c>
      <c r="D14" s="18" t="s">
        <v>312</v>
      </c>
      <c r="E14" s="18" t="s">
        <v>314</v>
      </c>
      <c r="F14" s="18" t="s">
        <v>316</v>
      </c>
      <c r="G14" s="18"/>
      <c r="H14" s="18" t="s">
        <v>299</v>
      </c>
      <c r="I14" s="18"/>
    </row>
    <row r="15" spans="1:9" x14ac:dyDescent="0.3">
      <c r="A15" s="18" t="s">
        <v>30</v>
      </c>
      <c r="B15" s="18" t="s">
        <v>317</v>
      </c>
      <c r="C15" s="18" t="s">
        <v>93</v>
      </c>
      <c r="D15" s="18" t="s">
        <v>296</v>
      </c>
      <c r="E15" s="18" t="s">
        <v>297</v>
      </c>
      <c r="F15" s="18" t="s">
        <v>318</v>
      </c>
      <c r="G15" s="18"/>
      <c r="H15" s="18" t="s">
        <v>299</v>
      </c>
      <c r="I15" s="18" t="s">
        <v>300</v>
      </c>
    </row>
    <row r="16" spans="1:9" ht="39.6" x14ac:dyDescent="0.3">
      <c r="A16" s="18" t="s">
        <v>30</v>
      </c>
      <c r="B16" s="18" t="s">
        <v>317</v>
      </c>
      <c r="C16" s="18" t="s">
        <v>56</v>
      </c>
      <c r="D16" s="18" t="s">
        <v>296</v>
      </c>
      <c r="E16" s="18" t="s">
        <v>297</v>
      </c>
      <c r="F16" s="18" t="s">
        <v>298</v>
      </c>
      <c r="G16" s="18"/>
      <c r="H16" s="18" t="s">
        <v>299</v>
      </c>
      <c r="I16" s="18" t="s">
        <v>319</v>
      </c>
    </row>
    <row r="17" spans="1:9" x14ac:dyDescent="0.3">
      <c r="A17" s="18" t="s">
        <v>30</v>
      </c>
      <c r="B17" s="18" t="s">
        <v>317</v>
      </c>
      <c r="C17" s="18" t="s">
        <v>94</v>
      </c>
      <c r="D17" s="18" t="s">
        <v>296</v>
      </c>
      <c r="E17" s="18" t="s">
        <v>297</v>
      </c>
      <c r="F17" s="18" t="s">
        <v>320</v>
      </c>
      <c r="G17" s="18"/>
      <c r="H17" s="18" t="s">
        <v>299</v>
      </c>
      <c r="I17" s="18"/>
    </row>
    <row r="18" spans="1:9" x14ac:dyDescent="0.3">
      <c r="A18" s="18" t="s">
        <v>30</v>
      </c>
      <c r="B18" s="18" t="s">
        <v>317</v>
      </c>
      <c r="C18" s="18" t="s">
        <v>95</v>
      </c>
      <c r="D18" s="18" t="s">
        <v>296</v>
      </c>
      <c r="E18" s="18" t="s">
        <v>297</v>
      </c>
      <c r="F18" s="18" t="s">
        <v>321</v>
      </c>
      <c r="G18" s="18" t="s">
        <v>322</v>
      </c>
      <c r="H18" s="18" t="s">
        <v>299</v>
      </c>
      <c r="I18" s="18"/>
    </row>
    <row r="19" spans="1:9" x14ac:dyDescent="0.3">
      <c r="A19" s="18" t="s">
        <v>30</v>
      </c>
      <c r="B19" s="18" t="s">
        <v>317</v>
      </c>
      <c r="C19" s="18" t="s">
        <v>96</v>
      </c>
      <c r="D19" s="18" t="s">
        <v>296</v>
      </c>
      <c r="E19" s="18" t="s">
        <v>297</v>
      </c>
      <c r="F19" s="18" t="s">
        <v>323</v>
      </c>
      <c r="G19" s="18"/>
      <c r="H19" s="18" t="s">
        <v>299</v>
      </c>
      <c r="I19" s="18"/>
    </row>
    <row r="20" spans="1:9" x14ac:dyDescent="0.3">
      <c r="A20" s="18" t="s">
        <v>30</v>
      </c>
      <c r="B20" s="18" t="s">
        <v>317</v>
      </c>
      <c r="C20" s="18" t="s">
        <v>97</v>
      </c>
      <c r="D20" s="18" t="s">
        <v>296</v>
      </c>
      <c r="E20" s="18" t="s">
        <v>297</v>
      </c>
      <c r="F20" s="18" t="s">
        <v>324</v>
      </c>
      <c r="G20" s="18"/>
      <c r="H20" s="18" t="s">
        <v>299</v>
      </c>
      <c r="I20" s="18"/>
    </row>
    <row r="21" spans="1:9" x14ac:dyDescent="0.3">
      <c r="A21" s="18" t="s">
        <v>30</v>
      </c>
      <c r="B21" s="18" t="s">
        <v>317</v>
      </c>
      <c r="C21" s="18" t="s">
        <v>98</v>
      </c>
      <c r="D21" s="18" t="s">
        <v>296</v>
      </c>
      <c r="E21" s="18" t="s">
        <v>297</v>
      </c>
      <c r="F21" s="18" t="s">
        <v>325</v>
      </c>
      <c r="G21" s="18"/>
      <c r="H21" s="18" t="s">
        <v>299</v>
      </c>
      <c r="I21" s="18"/>
    </row>
    <row r="22" spans="1:9" x14ac:dyDescent="0.3">
      <c r="A22" s="18" t="s">
        <v>30</v>
      </c>
      <c r="B22" s="18" t="s">
        <v>317</v>
      </c>
      <c r="C22" s="18" t="s">
        <v>99</v>
      </c>
      <c r="D22" s="18" t="s">
        <v>296</v>
      </c>
      <c r="E22" s="18" t="s">
        <v>297</v>
      </c>
      <c r="F22" s="18" t="s">
        <v>326</v>
      </c>
      <c r="G22" s="18"/>
      <c r="H22" s="18" t="s">
        <v>299</v>
      </c>
      <c r="I22" s="18"/>
    </row>
    <row r="23" spans="1:9" x14ac:dyDescent="0.3">
      <c r="A23" s="18" t="s">
        <v>30</v>
      </c>
      <c r="B23" s="18" t="s">
        <v>317</v>
      </c>
      <c r="C23" s="18" t="s">
        <v>100</v>
      </c>
      <c r="D23" s="18" t="s">
        <v>296</v>
      </c>
      <c r="E23" s="18" t="s">
        <v>297</v>
      </c>
      <c r="F23" s="18" t="s">
        <v>327</v>
      </c>
      <c r="G23" s="18" t="s">
        <v>328</v>
      </c>
      <c r="H23" s="18" t="s">
        <v>299</v>
      </c>
      <c r="I23" s="18"/>
    </row>
    <row r="24" spans="1:9" x14ac:dyDescent="0.3">
      <c r="A24" s="18" t="s">
        <v>30</v>
      </c>
      <c r="B24" s="18" t="s">
        <v>317</v>
      </c>
      <c r="C24" s="18" t="s">
        <v>101</v>
      </c>
      <c r="D24" s="18" t="s">
        <v>296</v>
      </c>
      <c r="E24" s="18" t="s">
        <v>297</v>
      </c>
      <c r="F24" s="18" t="s">
        <v>329</v>
      </c>
      <c r="G24" s="18" t="s">
        <v>330</v>
      </c>
      <c r="H24" s="18" t="s">
        <v>299</v>
      </c>
      <c r="I24" s="18"/>
    </row>
    <row r="25" spans="1:9" x14ac:dyDescent="0.3">
      <c r="A25" s="18" t="s">
        <v>30</v>
      </c>
      <c r="B25" s="18" t="s">
        <v>317</v>
      </c>
      <c r="C25" s="18" t="s">
        <v>102</v>
      </c>
      <c r="D25" s="18" t="s">
        <v>296</v>
      </c>
      <c r="E25" s="18" t="s">
        <v>297</v>
      </c>
      <c r="F25" s="18" t="s">
        <v>331</v>
      </c>
      <c r="G25" s="18"/>
      <c r="H25" s="18" t="s">
        <v>299</v>
      </c>
      <c r="I25" s="18"/>
    </row>
    <row r="26" spans="1:9" x14ac:dyDescent="0.3">
      <c r="A26" s="18" t="s">
        <v>30</v>
      </c>
      <c r="B26" s="18" t="s">
        <v>317</v>
      </c>
      <c r="C26" s="18" t="s">
        <v>103</v>
      </c>
      <c r="D26" s="18" t="s">
        <v>296</v>
      </c>
      <c r="E26" s="18" t="s">
        <v>297</v>
      </c>
      <c r="F26" s="18" t="s">
        <v>332</v>
      </c>
      <c r="G26" s="18"/>
      <c r="H26" s="18" t="s">
        <v>299</v>
      </c>
      <c r="I26" s="18"/>
    </row>
    <row r="27" spans="1:9" ht="26.4" x14ac:dyDescent="0.3">
      <c r="A27" s="18" t="s">
        <v>30</v>
      </c>
      <c r="B27" s="18" t="s">
        <v>317</v>
      </c>
      <c r="C27" s="18" t="s">
        <v>104</v>
      </c>
      <c r="D27" s="18" t="s">
        <v>296</v>
      </c>
      <c r="E27" s="18" t="s">
        <v>297</v>
      </c>
      <c r="F27" s="18" t="s">
        <v>333</v>
      </c>
      <c r="G27" s="18"/>
      <c r="H27" s="18" t="s">
        <v>334</v>
      </c>
      <c r="I27" s="18" t="s">
        <v>335</v>
      </c>
    </row>
    <row r="28" spans="1:9" ht="26.4" x14ac:dyDescent="0.3">
      <c r="A28" s="18" t="s">
        <v>30</v>
      </c>
      <c r="B28" s="18" t="s">
        <v>317</v>
      </c>
      <c r="C28" s="18" t="s">
        <v>105</v>
      </c>
      <c r="D28" s="18" t="s">
        <v>296</v>
      </c>
      <c r="E28" s="18" t="s">
        <v>297</v>
      </c>
      <c r="F28" s="18" t="s">
        <v>336</v>
      </c>
      <c r="G28" s="18"/>
      <c r="H28" s="18" t="s">
        <v>334</v>
      </c>
      <c r="I28" s="18" t="s">
        <v>337</v>
      </c>
    </row>
    <row r="29" spans="1:9" x14ac:dyDescent="0.3">
      <c r="A29" s="18" t="s">
        <v>30</v>
      </c>
      <c r="B29" s="18" t="s">
        <v>317</v>
      </c>
      <c r="C29" s="18" t="s">
        <v>106</v>
      </c>
      <c r="D29" s="18" t="s">
        <v>296</v>
      </c>
      <c r="E29" s="18" t="s">
        <v>297</v>
      </c>
      <c r="F29" s="18" t="s">
        <v>338</v>
      </c>
      <c r="G29" s="18"/>
      <c r="H29" s="18" t="s">
        <v>299</v>
      </c>
      <c r="I29" s="18"/>
    </row>
    <row r="30" spans="1:9" x14ac:dyDescent="0.3">
      <c r="A30" s="18" t="s">
        <v>30</v>
      </c>
      <c r="B30" s="18" t="s">
        <v>317</v>
      </c>
      <c r="C30" s="18" t="s">
        <v>107</v>
      </c>
      <c r="D30" s="18" t="s">
        <v>296</v>
      </c>
      <c r="E30" s="18" t="s">
        <v>314</v>
      </c>
      <c r="F30" s="18" t="s">
        <v>339</v>
      </c>
      <c r="G30" s="18"/>
      <c r="H30" s="18" t="s">
        <v>299</v>
      </c>
      <c r="I30" s="18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9</vt:i4>
      </vt:variant>
    </vt:vector>
  </HeadingPairs>
  <TitlesOfParts>
    <vt:vector size="15" baseType="lpstr">
      <vt:lpstr>00_LEIA-ME</vt:lpstr>
      <vt:lpstr>Programa_Auditorias</vt:lpstr>
      <vt:lpstr>Checklist_Constatacoes</vt:lpstr>
      <vt:lpstr>Relatorio_Resumo</vt:lpstr>
      <vt:lpstr>Listas</vt:lpstr>
      <vt:lpstr>Dicionario_Dados</vt:lpstr>
      <vt:lpstr>DataRef</vt:lpstr>
      <vt:lpstr>lst_Classificacao</vt:lpstr>
      <vt:lpstr>lst_Clausula</vt:lpstr>
      <vt:lpstr>lst_DataReferencia</vt:lpstr>
      <vt:lpstr>lst_EstadoAud</vt:lpstr>
      <vt:lpstr>lst_Gravidade</vt:lpstr>
      <vt:lpstr>lst_Processo</vt:lpstr>
      <vt:lpstr>Checklist_Constatacoes!Títulos_de_Impressão</vt:lpstr>
      <vt:lpstr>Programa_Auditorias!Títulos_de_Impressão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RG-SGA-14 Programa e Registo de Auditoria Interna do SGA</dc:title>
  <dc:subject>SGA NP EN ISO 14001:2026 — Plasticom</dc:subject>
  <dc:creator>Gestor(a) do SGA / EHS</dc:creator>
  <cp:lastModifiedBy>Aline Meireles</cp:lastModifiedBy>
  <dcterms:created xsi:type="dcterms:W3CDTF">2026-09-30T09:57:18Z</dcterms:created>
  <dcterms:modified xsi:type="dcterms:W3CDTF">2026-09-30T09:57:42Z</dcterms:modified>
</cp:coreProperties>
</file>