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83AD8090-657E-458A-9DE0-B55DC71D621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atalogo_Formacao" sheetId="2" r:id="rId2"/>
    <sheet name="Matriz_Competencias" sheetId="3" r:id="rId3"/>
    <sheet name="Registo_Formacao" sheetId="4" r:id="rId4"/>
    <sheet name="Resumo_Atividade_4_1" sheetId="5" r:id="rId5"/>
    <sheet name="Matriz_RACI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Funcao">Listas!$C$3:$C$24</definedName>
    <definedName name="lst_Nivel">Listas!$F$3:$F$5</definedName>
    <definedName name="lst_Processo">Listas!$B$3:$B$18</definedName>
    <definedName name="lst_RACI">Listas!$G$3:$G$8</definedName>
    <definedName name="lst_Resultado">Listas!$E$3:$E$5</definedName>
    <definedName name="lst_SimNao">Listas!$D$3:$D$4</definedName>
    <definedName name="_xlnm.Print_Titles" localSheetId="1">Catalogo_Formacao!$1:$1</definedName>
    <definedName name="_xlnm.Print_Titles" localSheetId="2">Matriz_Competencias!$4:$4</definedName>
    <definedName name="_xlnm.Print_Titles" localSheetId="5">Matriz_RACI!$4:$4</definedName>
    <definedName name="_xlnm.Print_Titles" localSheetId="3">Registo_Formacao!$1:$1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6" l="1"/>
  <c r="Q36" i="6"/>
  <c r="R35" i="6"/>
  <c r="Q35" i="6"/>
  <c r="R34" i="6"/>
  <c r="Q34" i="6"/>
  <c r="R33" i="6"/>
  <c r="Q33" i="6"/>
  <c r="R32" i="6"/>
  <c r="Q32" i="6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B19" i="5"/>
  <c r="B18" i="5"/>
  <c r="B17" i="5"/>
  <c r="B16" i="5"/>
  <c r="B11" i="5"/>
  <c r="B10" i="5"/>
  <c r="B9" i="5"/>
  <c r="B8" i="5"/>
  <c r="B7" i="5"/>
  <c r="B6" i="5"/>
  <c r="B5" i="5"/>
  <c r="B4" i="5"/>
  <c r="B3" i="5"/>
  <c r="K132" i="4"/>
  <c r="L132" i="4" s="1"/>
  <c r="K131" i="4"/>
  <c r="L131" i="4" s="1"/>
  <c r="L130" i="4"/>
  <c r="K130" i="4"/>
  <c r="L129" i="4"/>
  <c r="K129" i="4"/>
  <c r="K128" i="4"/>
  <c r="L128" i="4" s="1"/>
  <c r="K127" i="4"/>
  <c r="L127" i="4" s="1"/>
  <c r="L126" i="4"/>
  <c r="K126" i="4"/>
  <c r="K125" i="4"/>
  <c r="L125" i="4" s="1"/>
  <c r="K124" i="4"/>
  <c r="L124" i="4" s="1"/>
  <c r="K123" i="4"/>
  <c r="L123" i="4" s="1"/>
  <c r="K122" i="4"/>
  <c r="L122" i="4" s="1"/>
  <c r="K121" i="4"/>
  <c r="L121" i="4" s="1"/>
  <c r="K120" i="4"/>
  <c r="L120" i="4" s="1"/>
  <c r="K119" i="4"/>
  <c r="L119" i="4" s="1"/>
  <c r="L118" i="4"/>
  <c r="K118" i="4"/>
  <c r="K117" i="4"/>
  <c r="L117" i="4" s="1"/>
  <c r="K116" i="4"/>
  <c r="L116" i="4" s="1"/>
  <c r="K115" i="4"/>
  <c r="L115" i="4" s="1"/>
  <c r="L114" i="4"/>
  <c r="K114" i="4"/>
  <c r="K113" i="4"/>
  <c r="L113" i="4" s="1"/>
  <c r="K112" i="4"/>
  <c r="L112" i="4" s="1"/>
  <c r="K111" i="4"/>
  <c r="L111" i="4" s="1"/>
  <c r="L110" i="4"/>
  <c r="K110" i="4"/>
  <c r="K109" i="4"/>
  <c r="L109" i="4" s="1"/>
  <c r="K108" i="4"/>
  <c r="L108" i="4" s="1"/>
  <c r="K107" i="4"/>
  <c r="L107" i="4" s="1"/>
  <c r="L106" i="4"/>
  <c r="K106" i="4"/>
  <c r="K105" i="4"/>
  <c r="L105" i="4" s="1"/>
  <c r="K104" i="4"/>
  <c r="L104" i="4" s="1"/>
  <c r="K103" i="4"/>
  <c r="L103" i="4" s="1"/>
  <c r="L102" i="4"/>
  <c r="K102" i="4"/>
  <c r="K101" i="4"/>
  <c r="L101" i="4" s="1"/>
  <c r="K100" i="4"/>
  <c r="L100" i="4" s="1"/>
  <c r="K99" i="4"/>
  <c r="L99" i="4" s="1"/>
  <c r="L98" i="4"/>
  <c r="K98" i="4"/>
  <c r="K97" i="4"/>
  <c r="L97" i="4" s="1"/>
  <c r="K96" i="4"/>
  <c r="L96" i="4" s="1"/>
  <c r="K95" i="4"/>
  <c r="L95" i="4" s="1"/>
  <c r="L94" i="4"/>
  <c r="K94" i="4"/>
  <c r="K93" i="4"/>
  <c r="L93" i="4" s="1"/>
  <c r="K92" i="4"/>
  <c r="L92" i="4" s="1"/>
  <c r="K91" i="4"/>
  <c r="L91" i="4" s="1"/>
  <c r="L90" i="4"/>
  <c r="K90" i="4"/>
  <c r="K89" i="4"/>
  <c r="L89" i="4" s="1"/>
  <c r="K88" i="4"/>
  <c r="L88" i="4" s="1"/>
  <c r="K87" i="4"/>
  <c r="L87" i="4" s="1"/>
  <c r="L86" i="4"/>
  <c r="K86" i="4"/>
  <c r="K85" i="4"/>
  <c r="L85" i="4" s="1"/>
  <c r="K84" i="4"/>
  <c r="L84" i="4" s="1"/>
  <c r="K83" i="4"/>
  <c r="L83" i="4" s="1"/>
  <c r="L82" i="4"/>
  <c r="K82" i="4"/>
  <c r="K81" i="4"/>
  <c r="L81" i="4" s="1"/>
  <c r="K80" i="4"/>
  <c r="L80" i="4" s="1"/>
  <c r="K79" i="4"/>
  <c r="L79" i="4" s="1"/>
  <c r="L78" i="4"/>
  <c r="K78" i="4"/>
  <c r="K77" i="4"/>
  <c r="L77" i="4" s="1"/>
  <c r="K76" i="4"/>
  <c r="L76" i="4" s="1"/>
  <c r="K75" i="4"/>
  <c r="L75" i="4" s="1"/>
  <c r="L74" i="4"/>
  <c r="K74" i="4"/>
  <c r="K73" i="4"/>
  <c r="L73" i="4" s="1"/>
  <c r="K72" i="4"/>
  <c r="L72" i="4" s="1"/>
  <c r="K71" i="4"/>
  <c r="L71" i="4" s="1"/>
  <c r="L70" i="4"/>
  <c r="K70" i="4"/>
  <c r="K69" i="4"/>
  <c r="L69" i="4" s="1"/>
  <c r="K68" i="4"/>
  <c r="L68" i="4" s="1"/>
  <c r="K67" i="4"/>
  <c r="L67" i="4" s="1"/>
  <c r="L66" i="4"/>
  <c r="K66" i="4"/>
  <c r="K65" i="4"/>
  <c r="L65" i="4" s="1"/>
  <c r="K64" i="4"/>
  <c r="L64" i="4" s="1"/>
  <c r="K63" i="4"/>
  <c r="L63" i="4" s="1"/>
  <c r="L62" i="4"/>
  <c r="K62" i="4"/>
  <c r="K61" i="4"/>
  <c r="L61" i="4" s="1"/>
  <c r="L60" i="4"/>
  <c r="K60" i="4"/>
  <c r="K59" i="4"/>
  <c r="L59" i="4" s="1"/>
  <c r="L58" i="4"/>
  <c r="K58" i="4"/>
  <c r="K57" i="4"/>
  <c r="L57" i="4" s="1"/>
  <c r="K56" i="4"/>
  <c r="L56" i="4" s="1"/>
  <c r="K55" i="4"/>
  <c r="L55" i="4" s="1"/>
  <c r="L54" i="4"/>
  <c r="K54" i="4"/>
  <c r="K53" i="4"/>
  <c r="L53" i="4" s="1"/>
  <c r="L52" i="4"/>
  <c r="K52" i="4"/>
  <c r="K51" i="4"/>
  <c r="L51" i="4" s="1"/>
  <c r="L50" i="4"/>
  <c r="K50" i="4"/>
  <c r="K49" i="4"/>
  <c r="L49" i="4" s="1"/>
  <c r="K48" i="4"/>
  <c r="L48" i="4" s="1"/>
  <c r="K47" i="4"/>
  <c r="L47" i="4" s="1"/>
  <c r="L46" i="4"/>
  <c r="K46" i="4"/>
  <c r="K45" i="4"/>
  <c r="L45" i="4" s="1"/>
  <c r="L44" i="4"/>
  <c r="K44" i="4"/>
  <c r="K43" i="4"/>
  <c r="L43" i="4" s="1"/>
  <c r="L42" i="4"/>
  <c r="K42" i="4"/>
  <c r="K41" i="4"/>
  <c r="L41" i="4" s="1"/>
  <c r="K40" i="4"/>
  <c r="L40" i="4" s="1"/>
  <c r="K39" i="4"/>
  <c r="L39" i="4" s="1"/>
  <c r="L38" i="4"/>
  <c r="K38" i="4"/>
  <c r="K37" i="4"/>
  <c r="L37" i="4" s="1"/>
  <c r="L36" i="4"/>
  <c r="K36" i="4"/>
  <c r="K35" i="4"/>
  <c r="L35" i="4" s="1"/>
  <c r="L34" i="4"/>
  <c r="K34" i="4"/>
  <c r="K33" i="4"/>
  <c r="L33" i="4" s="1"/>
  <c r="K32" i="4"/>
  <c r="L32" i="4" s="1"/>
  <c r="K31" i="4"/>
  <c r="L31" i="4" s="1"/>
  <c r="L30" i="4"/>
  <c r="K30" i="4"/>
  <c r="K29" i="4"/>
  <c r="L29" i="4" s="1"/>
  <c r="L28" i="4"/>
  <c r="K28" i="4"/>
  <c r="K27" i="4"/>
  <c r="L27" i="4" s="1"/>
  <c r="L26" i="4"/>
  <c r="K26" i="4"/>
  <c r="K25" i="4"/>
  <c r="L25" i="4" s="1"/>
  <c r="K24" i="4"/>
  <c r="L24" i="4" s="1"/>
  <c r="K23" i="4"/>
  <c r="L23" i="4" s="1"/>
  <c r="L22" i="4"/>
  <c r="K22" i="4"/>
  <c r="K21" i="4"/>
  <c r="L21" i="4" s="1"/>
  <c r="L20" i="4"/>
  <c r="K20" i="4"/>
  <c r="K19" i="4"/>
  <c r="L19" i="4" s="1"/>
  <c r="L18" i="4"/>
  <c r="K18" i="4"/>
  <c r="K17" i="4"/>
  <c r="L17" i="4" s="1"/>
  <c r="K16" i="4"/>
  <c r="L16" i="4" s="1"/>
  <c r="K15" i="4"/>
  <c r="L15" i="4" s="1"/>
  <c r="L14" i="4"/>
  <c r="K14" i="4"/>
  <c r="K13" i="4"/>
  <c r="L13" i="4" s="1"/>
  <c r="L12" i="4"/>
  <c r="K12" i="4"/>
  <c r="K11" i="4"/>
  <c r="L11" i="4" s="1"/>
  <c r="L10" i="4"/>
  <c r="K10" i="4"/>
  <c r="K9" i="4"/>
  <c r="L9" i="4" s="1"/>
  <c r="K8" i="4"/>
  <c r="L8" i="4" s="1"/>
  <c r="K7" i="4"/>
  <c r="L7" i="4" s="1"/>
  <c r="L6" i="4"/>
  <c r="K6" i="4"/>
  <c r="K5" i="4"/>
  <c r="L5" i="4" s="1"/>
  <c r="L4" i="4"/>
  <c r="K4" i="4"/>
  <c r="K3" i="4"/>
  <c r="L3" i="4" s="1"/>
  <c r="L2" i="4"/>
  <c r="K2" i="4"/>
  <c r="N12" i="3"/>
  <c r="H12" i="3"/>
  <c r="N11" i="3"/>
  <c r="H11" i="3"/>
  <c r="N10" i="3"/>
  <c r="H10" i="3"/>
  <c r="N9" i="3"/>
  <c r="H9" i="3"/>
  <c r="N8" i="3"/>
  <c r="H8" i="3"/>
  <c r="N7" i="3"/>
  <c r="H7" i="3"/>
  <c r="N6" i="3"/>
  <c r="H6" i="3"/>
  <c r="N5" i="3"/>
  <c r="H5" i="3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O7" i="3" l="1"/>
  <c r="P7" i="3" s="1"/>
  <c r="Q7" i="3" s="1"/>
  <c r="O8" i="3"/>
  <c r="P8" i="3" s="1"/>
  <c r="Q8" i="3" s="1"/>
  <c r="O12" i="3"/>
  <c r="P12" i="3" s="1"/>
  <c r="Q12" i="3" s="1"/>
  <c r="O5" i="3"/>
  <c r="P5" i="3" s="1"/>
  <c r="O9" i="3"/>
  <c r="P9" i="3" s="1"/>
  <c r="Q9" i="3" s="1"/>
  <c r="O11" i="3"/>
  <c r="P11" i="3" s="1"/>
  <c r="Q11" i="3" s="1"/>
  <c r="O6" i="3"/>
  <c r="P6" i="3" s="1"/>
  <c r="Q6" i="3" s="1"/>
  <c r="O10" i="3"/>
  <c r="P10" i="3" s="1"/>
  <c r="Q10" i="3" s="1"/>
  <c r="Q5" i="3" l="1"/>
  <c r="B13" i="5" s="1"/>
  <c r="B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da ação de formação.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Designação.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Duração (horas).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Entidade formadora.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Exigida por lei.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Periodicidade de reciclagem (0 = certificação sem reciclagem).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N.º de registos individuais.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do perfil.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Função operacional.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Aspeto significativo associado.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Aspeto ambiental significativo/relevante da função.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Nível de educação exigido.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Ações de formação obrigatórias (IDs).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Primeira formação e n.º de outras.
[calculado]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Experiência mínima.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Competências comportamentais.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O que o colaborador precisa de saber sobre as consequências do seu trabalho (7.3).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Consequência de não cumprir.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Como se avalia a eficácia (reação, aprendizagem, comportamento).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N.º de colaboradores no perfil (registos ÷ formações obrigatórias).
[calculado]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Registos de formação aprovados e válidos.
[calculado]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% de formações obrigatórias concluídas e válidas no perfil.
[calculado]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OK = 100%; Parcial ≥ 80%; Pendente &lt; 80%.
[calculado]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Função escolhida na Atividade 4.1.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Identificador do registo.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ID do colaborador (dataset dim_operator ou interno).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Perfil de competência.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Formação.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Data em que concluiu.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Horas.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Nota do teste (0-100).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Nível de avaliação da eficácia (Kirkpatrick).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Periodicidade de reciclagem.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Data de validade.
[calculado]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Válida na data de referência.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Identificador.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Processo do SGA.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Cláusulas ISO 14001:2026.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Gestor do SGA / EHS (Responsável Ambiental): R executa · A aprova e presta contas · C consultado · I informado.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Diretor Industrial: R executa · A aprova e presta contas · C consultado · I informado.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Diretor Geral (Gestão de Topo): R executa · A aprova e presta contas · C consultado · I informado.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Gerente de Produção: R executa · A aprova e presta contas · C consultado · I informado.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Gerente de Manutenção: R executa · A aprova e presta contas · C consultado · I informado.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Gerente da Qualidade: R executa · A aprova e presta contas · C consultado · I informado.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Responsável de Armazém e Logística: R executa · A aprova e presta contas · C consultado · I informado.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Responsável de Compras: R executa · A aprova e presta contas · C consultado · I informado.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Responsável de R&amp;D: R executa · A aprova e presta contas · C consultado · I informado.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Responsável de Recursos Humanos: R executa · A aprova e presta contas · C consultado · I informado.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Diretor Financeiro: R executa · A aprova e presta contas · C consultado · I informado.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Chefe de Turno: R executa · A aprova e presta contas · C consultado · I informado.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Operadores: R executa · A aprova e presta contas · C consultado · I informado.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N.º de funções com A (deve ser 1).
[calculado]</t>
        </r>
      </text>
    </comment>
    <comment ref="R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Verificação: exatamente um A.
[calculado]</t>
        </r>
      </text>
    </comment>
  </commentList>
</comments>
</file>

<file path=xl/sharedStrings.xml><?xml version="1.0" encoding="utf-8"?>
<sst xmlns="http://schemas.openxmlformats.org/spreadsheetml/2006/main" count="1997" uniqueCount="627">
  <si>
    <t>RG-SGA-08 — Matriz de Competências e Consciencialização Ambiental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</si>
  <si>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</si>
  <si>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</si>
  <si>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</si>
  <si>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RG-SGA-08</t>
  </si>
  <si>
    <t>Título</t>
  </si>
  <si>
    <t>Matriz de Competências e Consciencialização Ambiental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</si>
  <si>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</si>
  <si>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</si>
  <si>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</si>
  <si>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</si>
  <si>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</si>
  <si>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</si>
  <si>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</si>
  <si>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</si>
  <si>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</si>
  <si>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</si>
  <si>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</si>
  <si>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</si>
  <si>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</si>
  <si>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</si>
  <si>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</si>
  <si>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Definir, para cada função cujo trabalho afeta o desempenho ambiental, a competência necessária (Competência = Educação + Formação + Experiência + Soft skills), o tema crítico de consciencialização e a forma de avaliar a eficácia da formação (reação, aprendizagem, comportamento). Regista a formação individual para medir a cobertura e cruzar com o desempenho (ex.: NC, scrap, solvente por operador).</t>
  </si>
  <si>
    <t>Atividades do curso</t>
  </si>
  <si>
    <t>Atividade 4.1 — Definição da Matriz de Competências Ambientais (função selecionada: Operador de Serigrafia, AAS de COV). A frase 'Competência vs Consciencialização' está no documento Word.</t>
  </si>
  <si>
    <t>Requisitos ISO 14001:2026</t>
  </si>
  <si>
    <t>7.1 Recursos; 7.2 Competência; 7.3 Consciencialização (ISO 14001:2026)</t>
  </si>
  <si>
    <t>ESTRUTURA DO FICHEIRO</t>
  </si>
  <si>
    <t>Catalogo_Formacao</t>
  </si>
  <si>
    <t>Catálogo de ações de formação ambiental.</t>
  </si>
  <si>
    <t>Matriz_Competencias</t>
  </si>
  <si>
    <t>Matriz de competências ambientais por função (cruzando função × aspeto significativo).</t>
  </si>
  <si>
    <t>Registo_Formacao</t>
  </si>
  <si>
    <t>Registo individual de formação ambiental (1 linha por colaborador × formação).</t>
  </si>
  <si>
    <t>Resumo_Atividade_4_1</t>
  </si>
  <si>
    <t>Ficha da Atividade 4.1 (Operador de Serigrafia), calculada a partir da matriz.</t>
  </si>
  <si>
    <t>Matriz_RACI</t>
  </si>
  <si>
    <t>Funções, responsabilidades e autoridades do SGA por processo (5.3), no formato RACI.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</si>
  <si>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</si>
  <si>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</si>
  <si>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</si>
  <si>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</si>
  <si>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</si>
  <si>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</si>
  <si>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</si>
  <si>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</si>
  <si>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</si>
  <si>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</si>
  <si>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</si>
  <si>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</si>
  <si>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</si>
  <si>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</si>
  <si>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</si>
  <si>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</si>
  <si>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</si>
  <si>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</si>
  <si>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RG-SGA-03 Aspetos</t>
  </si>
  <si>
    <t>ID_Aspeto_AAS liga a função ao aspeto significativo que controla.</t>
  </si>
  <si>
    <t>Dataset da fábrica</t>
  </si>
  <si>
    <t>Os IDs de colaborador (OP-*, técnicos) são os do dataset (dim_operator), permitindo cruzar formação com defeitos e produtividade.</t>
  </si>
  <si>
    <t>ID_Formacao</t>
  </si>
  <si>
    <t>Formacao</t>
  </si>
  <si>
    <t>Duracao_h</t>
  </si>
  <si>
    <t>Entidade</t>
  </si>
  <si>
    <t>Obrigatoria_Legal</t>
  </si>
  <si>
    <t>Reciclagem_Meses</t>
  </si>
  <si>
    <t>N_Registos</t>
  </si>
  <si>
    <t>FOR-01</t>
  </si>
  <si>
    <t>Manuseamento seguro de produtos químicos (REACH/CLP, leitura de FDS e rótulos)</t>
  </si>
  <si>
    <t>Interna (Gestor SGA)</t>
  </si>
  <si>
    <t>Não</t>
  </si>
  <si>
    <t>FOR-02</t>
  </si>
  <si>
    <t>Limpeza de ecrãs com solvente: método, dispensador de segurança e controlo de COV</t>
  </si>
  <si>
    <t>Interna (chefe de serigrafia)</t>
  </si>
  <si>
    <t>FOR-03</t>
  </si>
  <si>
    <t>Resposta a derrames e uso do kit antipoluição (incl. pós-uso: registar, repor, selar)</t>
  </si>
  <si>
    <t>FOR-04</t>
  </si>
  <si>
    <t>Segregação de resíduos e códigos LER; preenchimento de e-GAR</t>
  </si>
  <si>
    <t>FOR-05</t>
  </si>
  <si>
    <t>Segregação de scrap por polímero/cor e reintegração (regrind)</t>
  </si>
  <si>
    <t>Interna (Eng. de Processo)</t>
  </si>
  <si>
    <t>FOR-06</t>
  </si>
  <si>
    <t>Operation Clean Sweep: prevenção de perdas de granulado</t>
  </si>
  <si>
    <t>FOR-07</t>
  </si>
  <si>
    <t>Certificação de técnico de gases fluorados (categoria I)</t>
  </si>
  <si>
    <t>Entidade certificadora externa</t>
  </si>
  <si>
    <t>Sim</t>
  </si>
  <si>
    <t>FOR-08</t>
  </si>
  <si>
    <t>Deteção de fugas de ar comprimido por ultrassom</t>
  </si>
  <si>
    <t>Fornecedor do equipamento</t>
  </si>
  <si>
    <t>FOR-09</t>
  </si>
  <si>
    <t>Condução de empilhadores e movimentação de químicos</t>
  </si>
  <si>
    <t>Entidade formadora certificada</t>
  </si>
  <si>
    <t>FOR-10</t>
  </si>
  <si>
    <t>Auditor interno ISO 14001:2026 (inclui ISO 19011)</t>
  </si>
  <si>
    <t>FOR-11</t>
  </si>
  <si>
    <t>Sensibilização ambiental de acolhimento (política, aspetos significativos, emergência)</t>
  </si>
  <si>
    <t>Interna (RH + SGA)</t>
  </si>
  <si>
    <t>FOR-12</t>
  </si>
  <si>
    <t>Operação da torre de arrefecimento e tratamento de água (biocidas)</t>
  </si>
  <si>
    <t>Fornecedor do tratamento de água</t>
  </si>
  <si>
    <t>FOR-13</t>
  </si>
  <si>
    <t>Uso seguro de diisocianatos — nível intermédio (REACH anexo XVII, entrada 74)</t>
  </si>
  <si>
    <t>Formação ISOPA/ALIPA (e-learning)</t>
  </si>
  <si>
    <t>FOR-14</t>
  </si>
  <si>
    <t>Trabalho com agentes cancerígenos, mutagénicos e reprotóxicos (DL 301/2000)</t>
  </si>
  <si>
    <t>Interna (EHS + medicina do trabalho)</t>
  </si>
  <si>
    <t>FOR-15</t>
  </si>
  <si>
    <t>ADR 1.3 — preparação de expedições de resíduos perigosos</t>
  </si>
  <si>
    <t>Entidade formadora externa</t>
  </si>
  <si>
    <t>MATRIZ DE COMPETÊNCIAS AMBIENTAIS — PLASTICOM</t>
  </si>
  <si>
    <t>Competência = Educação + Formação + Experiência + Soft skills · Consciencialização = entender o impacto das próprias ações · Cobertura calculada a partir do registo individual</t>
  </si>
  <si>
    <t>ID_Competencia</t>
  </si>
  <si>
    <t>Funcao</t>
  </si>
  <si>
    <t>Processo</t>
  </si>
  <si>
    <t>ID_Aspeto_AAS</t>
  </si>
  <si>
    <t>Aspeto_Significativo</t>
  </si>
  <si>
    <t>Educacao_Habilitacoes</t>
  </si>
  <si>
    <t>Formacao_Obrigatoria</t>
  </si>
  <si>
    <t>Formacao_Descricao</t>
  </si>
  <si>
    <t>Experiencia</t>
  </si>
  <si>
    <t>Soft_Skills</t>
  </si>
  <si>
    <t>Tema_Consciencializacao</t>
  </si>
  <si>
    <t>Consequencia_Desvio</t>
  </si>
  <si>
    <t>Avaliacao_Eficacia</t>
  </si>
  <si>
    <t>N_Colaboradores</t>
  </si>
  <si>
    <t>Registos_Aprovados</t>
  </si>
  <si>
    <t>Cobertura</t>
  </si>
  <si>
    <t>Selecionado_Atv_4_1</t>
  </si>
  <si>
    <t>COMP-01</t>
  </si>
  <si>
    <t>Operador de Serigrafia</t>
  </si>
  <si>
    <t>SER</t>
  </si>
  <si>
    <t>AA-014</t>
  </si>
  <si>
    <t>Emissão de COV na limpeza de ecrãs com solvente (AAS, IRA 40)</t>
  </si>
  <si>
    <t>9.º ano de escolaridade</t>
  </si>
  <si>
    <t>FOR-01; FOR-02; FOR-03; FOR-11; FOR-13; FOR-14</t>
  </si>
  <si>
    <t>6 meses em decoração industrial com acompanhamento</t>
  </si>
  <si>
    <t>Rigor na dosagem; comunicação de desvios ao chefe de turno</t>
  </si>
  <si>
    <t>Deixar latas ou panos de solvente abertos aumenta as emissões de COV (poluição do ar), o consumo de solvente e o risco de incêndio e intoxicação; cada limpeza desnecessária gasta solvente e gera resíduo perigoso.</t>
  </si>
  <si>
    <t>Mais COV, mais resíduos 15 02 02* e 08 03 12*, desvio do objetivo OBJ-03.</t>
  </si>
  <si>
    <t>Aprendizagem: teste prático no posto. Comportamento: observação após 3 meses (latas fechadas, dispensador usado).</t>
  </si>
  <si>
    <t>COMP-02</t>
  </si>
  <si>
    <t>Operador de Injeção</t>
  </si>
  <si>
    <t>INJ</t>
  </si>
  <si>
    <t>AA-007</t>
  </si>
  <si>
    <t>Consumo de energia e geração de scrap na injeção</t>
  </si>
  <si>
    <t>12.º ano ou experiência comprovada em moldação</t>
  </si>
  <si>
    <t>FOR-05; FOR-06; FOR-11</t>
  </si>
  <si>
    <t>1 ano em moldação por injeção</t>
  </si>
  <si>
    <t>Atenção a alarmes; trabalho em equipa na passagem de turno</t>
  </si>
  <si>
    <t>Máquinas aquecidas em vazio e scrap misturado desperdiçam energia e polímero; granulado no chão pode chegar à rede pluvial.</t>
  </si>
  <si>
    <t>Mais kWh/1.000 un e mais scrap (OBJ-01, OBJ-02).</t>
  </si>
  <si>
    <t>Aprendizagem: questionário. Comportamento: auditoria às caixas de scrap segregado.</t>
  </si>
  <si>
    <t>COMP-03</t>
  </si>
  <si>
    <t>Operador de Sopro (ISBM)</t>
  </si>
  <si>
    <t>SOP</t>
  </si>
  <si>
    <t>AA-011</t>
  </si>
  <si>
    <t>Geração de scrap e purgas de arranque no sopro</t>
  </si>
  <si>
    <t>1 ano em sopro/ISBM</t>
  </si>
  <si>
    <t>Atenção a alarmes; registo rigoroso das purgas</t>
  </si>
  <si>
    <t>Cada arranque mal parametrizado gera kg de purga; a mistura de cores impede a reintegração.</t>
  </si>
  <si>
    <t>Mais scrap e polímero virgem (OBJ-02).</t>
  </si>
  <si>
    <t>Aprendizagem: questionário. Comportamento: registo de purgas por arranque.</t>
  </si>
  <si>
    <t>COMP-04</t>
  </si>
  <si>
    <t>Responsável de Armazém e Logística</t>
  </si>
  <si>
    <t>ARQ</t>
  </si>
  <si>
    <t>AA-005</t>
  </si>
  <si>
    <t>Derrame de químicos no armazém; gestão de resíduos perigosos</t>
  </si>
  <si>
    <t>12.º ano de escolaridade</t>
  </si>
  <si>
    <t>FOR-01; FOR-03; FOR-04; FOR-09; FOR-11; FOR-15</t>
  </si>
  <si>
    <t>2 anos em logística industrial</t>
  </si>
  <si>
    <t>Organização; capacidade de decisão em emergência</t>
  </si>
  <si>
    <t>Bidões fora de bacia, contentores sem identificação LER ou e-GAR incompletas geram contaminação do solo e coimas.</t>
  </si>
  <si>
    <t>Contaminação do solo e da água; NC legal (RGGR).</t>
  </si>
  <si>
    <t>Comportamento: resultado das rondas RON-01/02/07/08.</t>
  </si>
  <si>
    <t>COMP-05</t>
  </si>
  <si>
    <t>Técnico de Manutenção</t>
  </si>
  <si>
    <t>MAN</t>
  </si>
  <si>
    <t>AA-021</t>
  </si>
  <si>
    <t>Fugas de ar comprimido, óleos usados e fugas de óleo hidráulico</t>
  </si>
  <si>
    <t>Curso profissional de eletromecânica (nível 4)</t>
  </si>
  <si>
    <t>FOR-01; FOR-03; FOR-08; FOR-11</t>
  </si>
  <si>
    <t>2 anos em manutenção industrial</t>
  </si>
  <si>
    <t>Diagnóstico; registo das intervenções</t>
  </si>
  <si>
    <t>Uma fuga de ar de 3 mm a 7 bar consome ≈ 3 kW nos compressores (≈ 3.000 €/ano em laboração contínua); óleo derramado é resíduo perigoso e contamina o solo.</t>
  </si>
  <si>
    <t>Mais energia (OBJ-01) e derrames.</t>
  </si>
  <si>
    <t>Comportamento: n.º de fugas etiquetadas e reparadas por campanha.</t>
  </si>
  <si>
    <t>COMP-06</t>
  </si>
  <si>
    <t>Técnico de Utilidades</t>
  </si>
  <si>
    <t>UTL</t>
  </si>
  <si>
    <t>AA-023</t>
  </si>
  <si>
    <t>Água da torre de arrefecimento, purga com biocida e chiller (gás fluorado)</t>
  </si>
  <si>
    <t>Curso profissional de eletromecânica ou frio (nível 4)</t>
  </si>
  <si>
    <t>FOR-01; FOR-07; FOR-12; FOR-11</t>
  </si>
  <si>
    <t>3 anos em utilidades industriais</t>
  </si>
  <si>
    <t>Rigor no registo de leituras</t>
  </si>
  <si>
    <t>Purga mal regulada desperdiça água e descarrega biocida; uma fuga de R410A de 3 kg equivale a ≈ 6 tCO2e.</t>
  </si>
  <si>
    <t>Consumo de água (OBJ-05); emissões de GEE; NC legal (gases fluorados).</t>
  </si>
  <si>
    <t>Aprendizagem: certificado FOR-07 válido. Comportamento: registos de leituras e controlo de fugas.</t>
  </si>
  <si>
    <t>COMP-07</t>
  </si>
  <si>
    <t>Operador de Armazém / Empilhador</t>
  </si>
  <si>
    <t>REC</t>
  </si>
  <si>
    <t>AA-003</t>
  </si>
  <si>
    <t>Perdas de granulado na descarga de big bags</t>
  </si>
  <si>
    <t>9.º ano + carta de condução de empilhador</t>
  </si>
  <si>
    <t>FOR-06; FOR-09; FOR-03; FOR-11</t>
  </si>
  <si>
    <t>6 meses em armazém</t>
  </si>
  <si>
    <t>Cuidado na movimentação</t>
  </si>
  <si>
    <t>Um big bag rasgado pode libertar milhares de grânulos que chegam às sarjetas e ao rio (microplásticos).</t>
  </si>
  <si>
    <t>Poluição por microplásticos; regulamento de granulados (OBJ-06).</t>
  </si>
  <si>
    <t>Comportamento: inspeção semanal das sarjetas.</t>
  </si>
  <si>
    <t>COMP-08</t>
  </si>
  <si>
    <t>Auditor Interno do SGA</t>
  </si>
  <si>
    <t>ADM</t>
  </si>
  <si>
    <t>Transversal (avaliação do SGA)</t>
  </si>
  <si>
    <t>Licenciatura ou 12.º ano + experiência em sistemas de gestão</t>
  </si>
  <si>
    <t>Participação em 2 auditorias como observador</t>
  </si>
  <si>
    <t>Imparcialidade; comunicação; escrita de constatações baseadas em evidência</t>
  </si>
  <si>
    <t>Uma constatação sem evidência objetiva ou sem requisito não gera melhoria e perde credibilidade.</t>
  </si>
  <si>
    <t>Auditorias ineficazes (9.2).</t>
  </si>
  <si>
    <t>Avaliação do auditor após cada auditoria (feedback do auditado).</t>
  </si>
  <si>
    <t>ID_Registo</t>
  </si>
  <si>
    <t>Colaborador</t>
  </si>
  <si>
    <t>Data_Realizacao</t>
  </si>
  <si>
    <t>Resultado</t>
  </si>
  <si>
    <t>Nota_Teste</t>
  </si>
  <si>
    <t>Nivel_Avaliado</t>
  </si>
  <si>
    <t>Validade</t>
  </si>
  <si>
    <t>Valida</t>
  </si>
  <si>
    <t>RF-0001</t>
  </si>
  <si>
    <t>OP-SK-001</t>
  </si>
  <si>
    <t>Aprovado</t>
  </si>
  <si>
    <t>Aprendizagem</t>
  </si>
  <si>
    <t>RF-0002</t>
  </si>
  <si>
    <t>RF-0003</t>
  </si>
  <si>
    <t>RF-0004</t>
  </si>
  <si>
    <t>Comportamento</t>
  </si>
  <si>
    <t>RF-0005</t>
  </si>
  <si>
    <t>OP-SK-002</t>
  </si>
  <si>
    <t>RF-0006</t>
  </si>
  <si>
    <t>RF-0007</t>
  </si>
  <si>
    <t>RF-0008</t>
  </si>
  <si>
    <t>RF-0009</t>
  </si>
  <si>
    <t>OP-SK-003</t>
  </si>
  <si>
    <t>RF-0010</t>
  </si>
  <si>
    <t>RF-0011</t>
  </si>
  <si>
    <t>RF-0012</t>
  </si>
  <si>
    <t>RF-0013</t>
  </si>
  <si>
    <t>OP-SK-004</t>
  </si>
  <si>
    <t>RF-0014</t>
  </si>
  <si>
    <t>RF-0015</t>
  </si>
  <si>
    <t>RF-0016</t>
  </si>
  <si>
    <t>RF-0017</t>
  </si>
  <si>
    <t>OP-SK-005</t>
  </si>
  <si>
    <t>RF-0018</t>
  </si>
  <si>
    <t>RF-0019</t>
  </si>
  <si>
    <t>RF-0020</t>
  </si>
  <si>
    <t>RF-0021</t>
  </si>
  <si>
    <t>OP-SK-T01</t>
  </si>
  <si>
    <t>RF-0022</t>
  </si>
  <si>
    <t>RF-0023</t>
  </si>
  <si>
    <t>RF-0024</t>
  </si>
  <si>
    <t>RF-0025</t>
  </si>
  <si>
    <t>OP-INJ-001</t>
  </si>
  <si>
    <t>RF-0026</t>
  </si>
  <si>
    <t>RF-0027</t>
  </si>
  <si>
    <t>RF-0028</t>
  </si>
  <si>
    <t>OP-INJ-002</t>
  </si>
  <si>
    <t>RF-0029</t>
  </si>
  <si>
    <t>RF-0030</t>
  </si>
  <si>
    <t>RF-0031</t>
  </si>
  <si>
    <t>OP-INJ-003</t>
  </si>
  <si>
    <t>RF-0032</t>
  </si>
  <si>
    <t>RF-0033</t>
  </si>
  <si>
    <t>RF-0034</t>
  </si>
  <si>
    <t>OP-INJ-004</t>
  </si>
  <si>
    <t>RF-0035</t>
  </si>
  <si>
    <t>RF-0036</t>
  </si>
  <si>
    <t>RF-0037</t>
  </si>
  <si>
    <t>OP-INJ-005</t>
  </si>
  <si>
    <t>RF-0038</t>
  </si>
  <si>
    <t>RF-0039</t>
  </si>
  <si>
    <t>RF-0040</t>
  </si>
  <si>
    <t>AUX-INJ-001</t>
  </si>
  <si>
    <t>RF-0041</t>
  </si>
  <si>
    <t>RF-0042</t>
  </si>
  <si>
    <t>RF-0043</t>
  </si>
  <si>
    <t>OP-SOP-001</t>
  </si>
  <si>
    <t>RF-0044</t>
  </si>
  <si>
    <t>RF-0045</t>
  </si>
  <si>
    <t>RF-0046</t>
  </si>
  <si>
    <t>OP-SOP-002</t>
  </si>
  <si>
    <t>RF-0047</t>
  </si>
  <si>
    <t>RF-0048</t>
  </si>
  <si>
    <t>RF-0049</t>
  </si>
  <si>
    <t>OP-SOP-003</t>
  </si>
  <si>
    <t>RF-0050</t>
  </si>
  <si>
    <t>RF-0051</t>
  </si>
  <si>
    <t>RF-0052</t>
  </si>
  <si>
    <t>OP-SOP-004</t>
  </si>
  <si>
    <t>RF-0053</t>
  </si>
  <si>
    <t>RF-0054</t>
  </si>
  <si>
    <t>RF-0055</t>
  </si>
  <si>
    <t>OP-SOP-005</t>
  </si>
  <si>
    <t>RF-0056</t>
  </si>
  <si>
    <t>RF-0057</t>
  </si>
  <si>
    <t>RF-0058</t>
  </si>
  <si>
    <t>OP-SOP-006</t>
  </si>
  <si>
    <t>RF-0059</t>
  </si>
  <si>
    <t>RF-0060</t>
  </si>
  <si>
    <t>RF-0061</t>
  </si>
  <si>
    <t>ARM-001</t>
  </si>
  <si>
    <t>RF-0062</t>
  </si>
  <si>
    <t>RF-0063</t>
  </si>
  <si>
    <t>RF-0064</t>
  </si>
  <si>
    <t>RF-0065</t>
  </si>
  <si>
    <t>RF-0066</t>
  </si>
  <si>
    <t>ARM-002</t>
  </si>
  <si>
    <t>RF-0067</t>
  </si>
  <si>
    <t>RF-0068</t>
  </si>
  <si>
    <t>RF-0069</t>
  </si>
  <si>
    <t>RF-0070</t>
  </si>
  <si>
    <t>RF-0071</t>
  </si>
  <si>
    <t>Sandra Reis</t>
  </si>
  <si>
    <t>RF-0072</t>
  </si>
  <si>
    <t>RF-0073</t>
  </si>
  <si>
    <t>RF-0074</t>
  </si>
  <si>
    <t>RF-0075</t>
  </si>
  <si>
    <t>Hugo Marques</t>
  </si>
  <si>
    <t>RF-0076</t>
  </si>
  <si>
    <t>RF-0077</t>
  </si>
  <si>
    <t>RF-0078</t>
  </si>
  <si>
    <t>RF-0079</t>
  </si>
  <si>
    <t>Rui Fonseca</t>
  </si>
  <si>
    <t>RF-0080</t>
  </si>
  <si>
    <t>RF-0081</t>
  </si>
  <si>
    <t>RF-0082</t>
  </si>
  <si>
    <t>RF-0083</t>
  </si>
  <si>
    <t>Vitor Sousa</t>
  </si>
  <si>
    <t>RF-0084</t>
  </si>
  <si>
    <t>RF-0085</t>
  </si>
  <si>
    <t>RF-0086</t>
  </si>
  <si>
    <t>RF-0087</t>
  </si>
  <si>
    <t>Marta Nogueira</t>
  </si>
  <si>
    <t>RF-0088</t>
  </si>
  <si>
    <t>RF-0089</t>
  </si>
  <si>
    <t>RF-0090</t>
  </si>
  <si>
    <t>RF-0091</t>
  </si>
  <si>
    <t>José Pinto</t>
  </si>
  <si>
    <t>RF-0092</t>
  </si>
  <si>
    <t>RF-0093</t>
  </si>
  <si>
    <t>RF-0094</t>
  </si>
  <si>
    <t>RF-0095</t>
  </si>
  <si>
    <t>UTL-001</t>
  </si>
  <si>
    <t>RF-0096</t>
  </si>
  <si>
    <t>RF-0097</t>
  </si>
  <si>
    <t>RF-0098</t>
  </si>
  <si>
    <t>RF-0099</t>
  </si>
  <si>
    <t>UTL-002</t>
  </si>
  <si>
    <t>RF-0100</t>
  </si>
  <si>
    <t>RF-0101</t>
  </si>
  <si>
    <t>RF-0102</t>
  </si>
  <si>
    <t>RF-0103</t>
  </si>
  <si>
    <t>EMP-001</t>
  </si>
  <si>
    <t>RF-0104</t>
  </si>
  <si>
    <t>RF-0105</t>
  </si>
  <si>
    <t>RF-0106</t>
  </si>
  <si>
    <t>RF-0107</t>
  </si>
  <si>
    <t>EMP-002</t>
  </si>
  <si>
    <t>RF-0108</t>
  </si>
  <si>
    <t>RF-0109</t>
  </si>
  <si>
    <t>RF-0110</t>
  </si>
  <si>
    <t>RF-0111</t>
  </si>
  <si>
    <t>EMP-003</t>
  </si>
  <si>
    <t>RF-0112</t>
  </si>
  <si>
    <t>RF-0113</t>
  </si>
  <si>
    <t>RF-0114</t>
  </si>
  <si>
    <t>RF-0115</t>
  </si>
  <si>
    <t>AUD-001</t>
  </si>
  <si>
    <t>RF-0116</t>
  </si>
  <si>
    <t>AUD-002</t>
  </si>
  <si>
    <t>RF-0117</t>
  </si>
  <si>
    <t>AUD-003</t>
  </si>
  <si>
    <t>RF-0118</t>
  </si>
  <si>
    <t>RF-0119</t>
  </si>
  <si>
    <t>RF-0120</t>
  </si>
  <si>
    <t>RF-0121</t>
  </si>
  <si>
    <t>RF-0122</t>
  </si>
  <si>
    <t>RF-0123</t>
  </si>
  <si>
    <t>RF-0124</t>
  </si>
  <si>
    <t>RF-0125</t>
  </si>
  <si>
    <t>RF-0126</t>
  </si>
  <si>
    <t>RF-0127</t>
  </si>
  <si>
    <t>RF-0128</t>
  </si>
  <si>
    <t>Pendente</t>
  </si>
  <si>
    <t>RF-0129</t>
  </si>
  <si>
    <t>RF-0130</t>
  </si>
  <si>
    <t>RF-0131</t>
  </si>
  <si>
    <t>ATIVIDADE 4.1 — MATRIZ DE COMPETÊNCIAS AMBIENTAIS (função selecionada)</t>
  </si>
  <si>
    <t>Função</t>
  </si>
  <si>
    <t>Aspeto Significativo</t>
  </si>
  <si>
    <t>Educação (habilitações)</t>
  </si>
  <si>
    <t>Formação específica obrigatória (IDs)</t>
  </si>
  <si>
    <t>Experiência</t>
  </si>
  <si>
    <t>Soft skills</t>
  </si>
  <si>
    <t>Consciencialização (tema crítico)</t>
  </si>
  <si>
    <t>Consequência de não cumprir</t>
  </si>
  <si>
    <t>Avaliação da eficácia da formação</t>
  </si>
  <si>
    <t>Cobertura atual da formação</t>
  </si>
  <si>
    <t>Formações da função</t>
  </si>
  <si>
    <t>FUNÇÕES, RESPONSABILIDADES E AUTORIDADES — MATRIZ RACI (5.3)</t>
  </si>
  <si>
    <t>R executa · A aprova e presta contas (um por processo) · C consultado · I informado · A gestão de topo mantém a responsabilidade final (5.1)</t>
  </si>
  <si>
    <t>ID_Processo</t>
  </si>
  <si>
    <t>Processo_SGA</t>
  </si>
  <si>
    <t>Clausula</t>
  </si>
  <si>
    <t>Diretor_Geral</t>
  </si>
  <si>
    <t>Diretor_Industrial</t>
  </si>
  <si>
    <t>Gestor_SGA</t>
  </si>
  <si>
    <t>Gerente_Producao</t>
  </si>
  <si>
    <t>Gerente_Manutencao</t>
  </si>
  <si>
    <t>Gerente_Qualidade</t>
  </si>
  <si>
    <t>Resp_Armazem_Logistica</t>
  </si>
  <si>
    <t>Resp_Compras</t>
  </si>
  <si>
    <t>Resp_RD</t>
  </si>
  <si>
    <t>Resp_RH</t>
  </si>
  <si>
    <t>Diretor_Financeiro</t>
  </si>
  <si>
    <t>Chefes_Turno</t>
  </si>
  <si>
    <t>Operadores</t>
  </si>
  <si>
    <t>N_Aprovadores</t>
  </si>
  <si>
    <t>Controlo_RACI</t>
  </si>
  <si>
    <t>PS-01</t>
  </si>
  <si>
    <t>Contexto e partes interessadas</t>
  </si>
  <si>
    <t>4.1; 4.2</t>
  </si>
  <si>
    <t>A</t>
  </si>
  <si>
    <t>C</t>
  </si>
  <si>
    <t>R</t>
  </si>
  <si>
    <t>I</t>
  </si>
  <si>
    <t>PS-02</t>
  </si>
  <si>
    <t>Âmbito e política ambiental</t>
  </si>
  <si>
    <t>4.3; 5.2</t>
  </si>
  <si>
    <t>R/A</t>
  </si>
  <si>
    <t>PS-03</t>
  </si>
  <si>
    <t>Liderança, recursos e revisão pela gestão</t>
  </si>
  <si>
    <t>5.1; 7.1; 9.3</t>
  </si>
  <si>
    <t>—</t>
  </si>
  <si>
    <t>PS-04</t>
  </si>
  <si>
    <t>Aspetos e impactes ambientais</t>
  </si>
  <si>
    <t>6.1.2</t>
  </si>
  <si>
    <t>PS-05</t>
  </si>
  <si>
    <t>Obrigações de conformidade e avaliação</t>
  </si>
  <si>
    <t>6.1.3; 9.1.2</t>
  </si>
  <si>
    <t>PS-06</t>
  </si>
  <si>
    <t>Riscos e oportunidades e planeamento de ações</t>
  </si>
  <si>
    <t>6.1.4; 6.1.5</t>
  </si>
  <si>
    <t>PS-07</t>
  </si>
  <si>
    <t>Objetivos ambientais e programas</t>
  </si>
  <si>
    <t>6.2</t>
  </si>
  <si>
    <t>PS-08</t>
  </si>
  <si>
    <t>Planeamento de alterações</t>
  </si>
  <si>
    <t>6.3</t>
  </si>
  <si>
    <t>PS-09</t>
  </si>
  <si>
    <t>Competência e consciencialização</t>
  </si>
  <si>
    <t>7.2; 7.3</t>
  </si>
  <si>
    <t>PS-10</t>
  </si>
  <si>
    <t>Comunicação interna e externa</t>
  </si>
  <si>
    <t>7.4</t>
  </si>
  <si>
    <t>PS-11</t>
  </si>
  <si>
    <t>Informação documentada</t>
  </si>
  <si>
    <t>7.5</t>
  </si>
  <si>
    <t>PS-12</t>
  </si>
  <si>
    <t>Controlo operacional da produção (injeção, sopro, decoração)</t>
  </si>
  <si>
    <t>8.1</t>
  </si>
  <si>
    <t>PS-13</t>
  </si>
  <si>
    <t>Químicos, resíduos e perdas de granulado</t>
  </si>
  <si>
    <t>PS-14</t>
  </si>
  <si>
    <t>Utilidades, energia, água e F-gas</t>
  </si>
  <si>
    <t>8.1; 7.1</t>
  </si>
  <si>
    <t>PS-15</t>
  </si>
  <si>
    <t>Processos, produtos e serviços externos</t>
  </si>
  <si>
    <t>PS-16</t>
  </si>
  <si>
    <t>Conceção de embalagens (ciclo de vida, PPWR)</t>
  </si>
  <si>
    <t>8.1; 6.1.2</t>
  </si>
  <si>
    <t>PS-17</t>
  </si>
  <si>
    <t>Preparação e resposta a emergências</t>
  </si>
  <si>
    <t>8.2</t>
  </si>
  <si>
    <t>PS-18</t>
  </si>
  <si>
    <t>Monitorização, medição e calibração</t>
  </si>
  <si>
    <t>9.1.1</t>
  </si>
  <si>
    <t>PS-19</t>
  </si>
  <si>
    <t>Auditoria interna</t>
  </si>
  <si>
    <t>9.2</t>
  </si>
  <si>
    <t>PS-20</t>
  </si>
  <si>
    <t>Não conformidades, incidentes e ação corretiva</t>
  </si>
  <si>
    <t>10.2</t>
  </si>
  <si>
    <t>PS-21</t>
  </si>
  <si>
    <t>Melhoria contínua e Kaizen</t>
  </si>
  <si>
    <t>10.1</t>
  </si>
  <si>
    <t>PS-22</t>
  </si>
  <si>
    <t>Dupla materialidade e reporte ESG</t>
  </si>
  <si>
    <t>4.1; 6.1.4</t>
  </si>
  <si>
    <t>PS-23</t>
  </si>
  <si>
    <t>Avaliação de reciclabilidade (RecyClass) e graus PPWR</t>
  </si>
  <si>
    <t>8.1; 6.1.3</t>
  </si>
  <si>
    <t>PS-24</t>
  </si>
  <si>
    <t>Documentação técnica e declaração UE de conformidade (PPWR, FCM)</t>
  </si>
  <si>
    <t>6.1.3; 7.5</t>
  </si>
  <si>
    <t>PS-25</t>
  </si>
  <si>
    <t>Conteúdo reciclado e certificados de PCR</t>
  </si>
  <si>
    <t>PS-26</t>
  </si>
  <si>
    <t>RAP de embalagens e informação aos clientes por país</t>
  </si>
  <si>
    <t>6.1.3</t>
  </si>
  <si>
    <t>PS-27</t>
  </si>
  <si>
    <t>Alegações ambientais de produto</t>
  </si>
  <si>
    <t>LISTAS CONTROLADAS (domínios de validação de dados) — editar aqui para alterar opções</t>
  </si>
  <si>
    <t>DataReferencia</t>
  </si>
  <si>
    <t>SimNao</t>
  </si>
  <si>
    <t>Nivel</t>
  </si>
  <si>
    <t>RACI</t>
  </si>
  <si>
    <t>Diretor Geral (Gestão de Topo)</t>
  </si>
  <si>
    <t>Reação</t>
  </si>
  <si>
    <t>Diretor Industrial</t>
  </si>
  <si>
    <t>Reprovado</t>
  </si>
  <si>
    <t>Gestor do SGA / EHS (Responsável Ambiental)</t>
  </si>
  <si>
    <t>Gerente de Produção</t>
  </si>
  <si>
    <t>Gerente de Manutenção</t>
  </si>
  <si>
    <t>HFS</t>
  </si>
  <si>
    <t>Gerente da Qualidade</t>
  </si>
  <si>
    <t>MOA</t>
  </si>
  <si>
    <t>Responsável de Compras</t>
  </si>
  <si>
    <t>Responsável de R&amp;D</t>
  </si>
  <si>
    <t>PRS</t>
  </si>
  <si>
    <t>Responsável de Recursos Humanos</t>
  </si>
  <si>
    <t>EXP</t>
  </si>
  <si>
    <t>Diretor Financeiro</t>
  </si>
  <si>
    <t>LAB</t>
  </si>
  <si>
    <t>RD</t>
  </si>
  <si>
    <t>CMP</t>
  </si>
  <si>
    <t>Operador de Hot Foil</t>
  </si>
  <si>
    <t>GER</t>
  </si>
  <si>
    <t>Chefe de Turno</t>
  </si>
  <si>
    <t>Representante dos Trabalhadores (SST/Ambiente)</t>
  </si>
  <si>
    <t>Técnico de Qualidade/Ambiente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</si>
  <si>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</si>
  <si>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</si>
  <si>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</si>
  <si>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</si>
  <si>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</si>
  <si>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</si>
  <si>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</si>
  <si>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</si>
  <si>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</si>
  <si>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tbl_formacoes</t>
  </si>
  <si>
    <t>Texto</t>
  </si>
  <si>
    <t>Entrada</t>
  </si>
  <si>
    <t>Identificador da ação de formação.</t>
  </si>
  <si>
    <t>PK</t>
  </si>
  <si>
    <t>Designação.</t>
  </si>
  <si>
    <t>Inteiro</t>
  </si>
  <si>
    <t>Duração (horas).</t>
  </si>
  <si>
    <t>Entidade formadora.</t>
  </si>
  <si>
    <t>Exigida por lei.</t>
  </si>
  <si>
    <t>Lista lst_SimNao</t>
  </si>
  <si>
    <t>Periodicidade de reciclagem (0 = certificação sem reciclagem).</t>
  </si>
  <si>
    <t>Calculado (fórmula)</t>
  </si>
  <si>
    <t>N.º de registos individuais.</t>
  </si>
  <si>
    <t>tbl_competencias</t>
  </si>
  <si>
    <t>Identificador do perfil.</t>
  </si>
  <si>
    <t>Função operacional.</t>
  </si>
  <si>
    <t>Lista lst_Funcao</t>
  </si>
  <si>
    <t>Processo.</t>
  </si>
  <si>
    <t>Lista lst_Processo</t>
  </si>
  <si>
    <t>Aspeto significativo associado.</t>
  </si>
  <si>
    <t>FK → RG-SGA-03</t>
  </si>
  <si>
    <t>Aspeto ambiental significativo/relevante da função.</t>
  </si>
  <si>
    <t>Nível de educação exigido.</t>
  </si>
  <si>
    <t>Ações de formação obrigatórias (IDs).</t>
  </si>
  <si>
    <t>FK → tbl_formacoes</t>
  </si>
  <si>
    <t>Primeira formação e n.º de outras.</t>
  </si>
  <si>
    <t>Experiência mínima.</t>
  </si>
  <si>
    <t>Competências comportamentais.</t>
  </si>
  <si>
    <t>O que o colaborador precisa de saber sobre as consequências do seu trabalho (7.3).</t>
  </si>
  <si>
    <t>Consequência de não cumprir.</t>
  </si>
  <si>
    <t>Como se avalia a eficácia (reação, aprendizagem, comportamento).</t>
  </si>
  <si>
    <t>N.º de colaboradores no perfil (registos ÷ formações obrigatórias).</t>
  </si>
  <si>
    <t>Registos de formação aprovados e válidos.</t>
  </si>
  <si>
    <t>Percentagem (fração 0-1)</t>
  </si>
  <si>
    <t>% de formações obrigatórias concluídas e válidas no perfil.</t>
  </si>
  <si>
    <t>OK = 100%; Parcial ≥ 80%; Pendente &lt; 80%.</t>
  </si>
  <si>
    <t>Função escolhida na Atividade 4.1.</t>
  </si>
  <si>
    <t>tbl_registo_formacao</t>
  </si>
  <si>
    <t>Identificador do registo.</t>
  </si>
  <si>
    <t>ID do colaborador (dataset dim_operator ou interno).</t>
  </si>
  <si>
    <t>FK → dim_operator</t>
  </si>
  <si>
    <t>Perfil de competência.</t>
  </si>
  <si>
    <t>FK → tbl_competencias</t>
  </si>
  <si>
    <t>Formação.</t>
  </si>
  <si>
    <t>Data (aaaa-mm-dd)</t>
  </si>
  <si>
    <t>Data em que concluiu.</t>
  </si>
  <si>
    <t>Horas.</t>
  </si>
  <si>
    <t>Resultado.</t>
  </si>
  <si>
    <t>Lista lst_Resultado</t>
  </si>
  <si>
    <t>Nota do teste (0-100).</t>
  </si>
  <si>
    <t>Nível de avaliação da eficácia (Kirkpatrick).</t>
  </si>
  <si>
    <t>Lista lst_Nivel</t>
  </si>
  <si>
    <t>Periodicidade de reciclagem.</t>
  </si>
  <si>
    <t>Data de validade.</t>
  </si>
  <si>
    <t>Válida na data de referência.</t>
  </si>
  <si>
    <t>tbl_raci</t>
  </si>
  <si>
    <t>Identificador.</t>
  </si>
  <si>
    <t>Processo do SGA.</t>
  </si>
  <si>
    <t>Cláusulas ISO 14001:2026.</t>
  </si>
  <si>
    <t>Gestor do SGA / EHS (Responsável Ambiental): R executa · A aprova e presta contas · C consultado · I informado.</t>
  </si>
  <si>
    <t>Lista lst_RACI</t>
  </si>
  <si>
    <t>Diretor Industrial: R executa · A aprova e presta contas · C consultado · I informado.</t>
  </si>
  <si>
    <t>Diretor Geral (Gestão de Topo): R executa · A aprova e presta contas · C consultado · I informado.</t>
  </si>
  <si>
    <t>Gerente de Produção: R executa · A aprova e presta contas · C consultado · I informado.</t>
  </si>
  <si>
    <t>Gerente de Manutenção: R executa · A aprova e presta contas · C consultado · I informado.</t>
  </si>
  <si>
    <t>Gerente da Qualidade: R executa · A aprova e presta contas · C consultado · I informado.</t>
  </si>
  <si>
    <t>Responsável de Armazém e Logística: R executa · A aprova e presta contas · C consultado · I informado.</t>
  </si>
  <si>
    <t>Responsável de Compras: R executa · A aprova e presta contas · C consultado · I informado.</t>
  </si>
  <si>
    <t>Responsável de R&amp;D: R executa · A aprova e presta contas · C consultado · I informado.</t>
  </si>
  <si>
    <t>Responsável de Recursos Humanos: R executa · A aprova e presta contas · C consultado · I informado.</t>
  </si>
  <si>
    <t>Diretor Financeiro: R executa · A aprova e presta contas · C consultado · I informado.</t>
  </si>
  <si>
    <t>Chefe de Turno: R executa · A aprova e presta contas · C consultado · I informado.</t>
  </si>
  <si>
    <t>Operadores: R executa · A aprova e presta contas · C consultado · I informado.</t>
  </si>
  <si>
    <t>N.º de funções com A (deve ser 1).</t>
  </si>
  <si>
    <t>Verificação: exatamente um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</si>
</sst>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top" wrapText="1"/>
    </xf>
    <xf numFmtId="164" fontId="2" fillId="0" borderId="0" xfId="0" applyNumberFormat="1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11"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ormacoes" displayName="tbl_formacoes" ref="A1:G16">
  <autoFilter ref="A1:G16" xr:uid="{00000000-0009-0000-0100-000001000000}"/>
  <tableColumns count="7">
    <tableColumn id="1" xr3:uid="{00000000-0010-0000-0000-000001000000}" name="ID_Formacao"/>
    <tableColumn id="2" xr3:uid="{00000000-0010-0000-0000-000002000000}" name="Formacao"/>
    <tableColumn id="3" xr3:uid="{00000000-0010-0000-0000-000003000000}" name="Duracao_h"/>
    <tableColumn id="4" xr3:uid="{00000000-0010-0000-0000-000004000000}" name="Entidade"/>
    <tableColumn id="5" xr3:uid="{00000000-0010-0000-0000-000005000000}" name="Obrigatoria_Legal"/>
    <tableColumn id="6" xr3:uid="{00000000-0010-0000-0000-000006000000}" name="Reciclagem_Meses"/>
    <tableColumn id="7" xr3:uid="{00000000-0010-0000-0000-000007000000}" name="N_Regist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mpetencias" displayName="tbl_competencias" ref="A4:R12">
  <autoFilter ref="A4:R12" xr:uid="{00000000-0009-0000-0100-000002000000}"/>
  <tableColumns count="18">
    <tableColumn id="1" xr3:uid="{00000000-0010-0000-0100-000001000000}" name="ID_Competencia"/>
    <tableColumn id="2" xr3:uid="{00000000-0010-0000-0100-000002000000}" name="Funcao"/>
    <tableColumn id="3" xr3:uid="{00000000-0010-0000-0100-000003000000}" name="Processo"/>
    <tableColumn id="4" xr3:uid="{00000000-0010-0000-0100-000004000000}" name="ID_Aspeto_AAS"/>
    <tableColumn id="5" xr3:uid="{00000000-0010-0000-0100-000005000000}" name="Aspeto_Significativo"/>
    <tableColumn id="6" xr3:uid="{00000000-0010-0000-0100-000006000000}" name="Educacao_Habilitacoes"/>
    <tableColumn id="7" xr3:uid="{00000000-0010-0000-0100-000007000000}" name="Formacao_Obrigatoria"/>
    <tableColumn id="8" xr3:uid="{00000000-0010-0000-0100-000008000000}" name="Formacao_Descricao"/>
    <tableColumn id="9" xr3:uid="{00000000-0010-0000-0100-000009000000}" name="Experiencia"/>
    <tableColumn id="10" xr3:uid="{00000000-0010-0000-0100-00000A000000}" name="Soft_Skills"/>
    <tableColumn id="11" xr3:uid="{00000000-0010-0000-0100-00000B000000}" name="Tema_Consciencializacao"/>
    <tableColumn id="12" xr3:uid="{00000000-0010-0000-0100-00000C000000}" name="Consequencia_Desvio"/>
    <tableColumn id="13" xr3:uid="{00000000-0010-0000-0100-00000D000000}" name="Avaliacao_Eficacia"/>
    <tableColumn id="14" xr3:uid="{00000000-0010-0000-0100-00000E000000}" name="N_Colaboradores"/>
    <tableColumn id="15" xr3:uid="{00000000-0010-0000-0100-00000F000000}" name="Registos_Aprovados"/>
    <tableColumn id="16" xr3:uid="{00000000-0010-0000-0100-000010000000}" name="Cobertura"/>
    <tableColumn id="17" xr3:uid="{00000000-0010-0000-0100-000011000000}" name="Estado"/>
    <tableColumn id="18" xr3:uid="{00000000-0010-0000-0100-000012000000}" name="Selecionado_Atv_4_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gisto_formacao" displayName="tbl_registo_formacao" ref="A1:L132">
  <autoFilter ref="A1:L132" xr:uid="{00000000-0009-0000-0100-000003000000}"/>
  <tableColumns count="12">
    <tableColumn id="1" xr3:uid="{00000000-0010-0000-0200-000001000000}" name="ID_Registo"/>
    <tableColumn id="2" xr3:uid="{00000000-0010-0000-0200-000002000000}" name="Colaborador"/>
    <tableColumn id="3" xr3:uid="{00000000-0010-0000-0200-000003000000}" name="ID_Competencia"/>
    <tableColumn id="4" xr3:uid="{00000000-0010-0000-0200-000004000000}" name="ID_Formacao"/>
    <tableColumn id="5" xr3:uid="{00000000-0010-0000-0200-000005000000}" name="Data_Realizacao"/>
    <tableColumn id="6" xr3:uid="{00000000-0010-0000-0200-000006000000}" name="Duracao_h"/>
    <tableColumn id="7" xr3:uid="{00000000-0010-0000-0200-000007000000}" name="Resultado"/>
    <tableColumn id="8" xr3:uid="{00000000-0010-0000-0200-000008000000}" name="Nota_Teste"/>
    <tableColumn id="9" xr3:uid="{00000000-0010-0000-0200-000009000000}" name="Nivel_Avaliado"/>
    <tableColumn id="10" xr3:uid="{00000000-0010-0000-0200-00000A000000}" name="Reciclagem_Meses"/>
    <tableColumn id="11" xr3:uid="{00000000-0010-0000-0200-00000B000000}" name="Validade"/>
    <tableColumn id="12" xr3:uid="{00000000-0010-0000-0200-00000C000000}" name="Vali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raci" displayName="tbl_raci" ref="A4:R36">
  <autoFilter ref="A4:R36" xr:uid="{00000000-0009-0000-0100-000004000000}"/>
  <tableColumns count="18">
    <tableColumn id="1" xr3:uid="{00000000-0010-0000-0300-000001000000}" name="ID_Processo"/>
    <tableColumn id="2" xr3:uid="{00000000-0010-0000-0300-000002000000}" name="Processo_SGA"/>
    <tableColumn id="3" xr3:uid="{00000000-0010-0000-0300-000003000000}" name="Clausula"/>
    <tableColumn id="4" xr3:uid="{00000000-0010-0000-0300-000004000000}" name="Diretor_Geral"/>
    <tableColumn id="5" xr3:uid="{00000000-0010-0000-0300-000005000000}" name="Diretor_Industrial"/>
    <tableColumn id="6" xr3:uid="{00000000-0010-0000-0300-000006000000}" name="Gestor_SGA"/>
    <tableColumn id="7" xr3:uid="{00000000-0010-0000-0300-000007000000}" name="Gerente_Producao"/>
    <tableColumn id="8" xr3:uid="{00000000-0010-0000-0300-000008000000}" name="Gerente_Manutencao"/>
    <tableColumn id="9" xr3:uid="{00000000-0010-0000-0300-000009000000}" name="Gerente_Qualidade"/>
    <tableColumn id="10" xr3:uid="{00000000-0010-0000-0300-00000A000000}" name="Resp_Armazem_Logistica"/>
    <tableColumn id="11" xr3:uid="{00000000-0010-0000-0300-00000B000000}" name="Resp_Compras"/>
    <tableColumn id="12" xr3:uid="{00000000-0010-0000-0300-00000C000000}" name="Resp_RD"/>
    <tableColumn id="13" xr3:uid="{00000000-0010-0000-0300-00000D000000}" name="Resp_RH"/>
    <tableColumn id="14" xr3:uid="{00000000-0010-0000-0300-00000E000000}" name="Diretor_Financeiro"/>
    <tableColumn id="15" xr3:uid="{00000000-0010-0000-0300-00000F000000}" name="Chefes_Turno"/>
    <tableColumn id="16" xr3:uid="{00000000-0010-0000-0300-000010000000}" name="Operadores"/>
    <tableColumn id="17" xr3:uid="{00000000-0010-0000-0300-000011000000}" name="N_Aprovadores"/>
    <tableColumn id="18" xr3:uid="{00000000-0010-0000-0300-000012000000}" name="Controlo_RACI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56">
  <autoFilter ref="A1:I56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x14ac:dyDescent="0.3">
      <c r="A38" s="5" t="s">
        <v>56</v>
      </c>
      <c r="B38" s="6" t="s">
        <v>57</v>
      </c>
    </row>
    <row r="39" spans="1:2" ht="26.4" x14ac:dyDescent="0.3">
      <c r="A39" s="5" t="s">
        <v>58</v>
      </c>
      <c r="B39" s="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60" customWidth="1"/>
    <col min="3" max="3" width="9" customWidth="1"/>
    <col min="4" max="4" width="28" customWidth="1"/>
    <col min="5" max="6" width="10" customWidth="1"/>
    <col min="7" max="7" width="9" customWidth="1"/>
  </cols>
  <sheetData>
    <row r="1" spans="1:7" ht="26.4" x14ac:dyDescent="0.3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  <c r="G1" s="9" t="s">
        <v>66</v>
      </c>
    </row>
    <row r="2" spans="1:7" ht="26.4" x14ac:dyDescent="0.3">
      <c r="A2" s="10" t="s">
        <v>67</v>
      </c>
      <c r="B2" s="10" t="s">
        <v>68</v>
      </c>
      <c r="C2" s="11">
        <v>4</v>
      </c>
      <c r="D2" s="10" t="s">
        <v>69</v>
      </c>
      <c r="E2" s="10" t="s">
        <v>70</v>
      </c>
      <c r="F2" s="11">
        <v>24</v>
      </c>
      <c r="G2" s="12">
        <f>COUNTIF(tbl_registo_formacao[ID_Formacao],A2)</f>
        <v>16</v>
      </c>
    </row>
    <row r="3" spans="1:7" ht="26.4" x14ac:dyDescent="0.3">
      <c r="A3" s="10" t="s">
        <v>71</v>
      </c>
      <c r="B3" s="10" t="s">
        <v>72</v>
      </c>
      <c r="C3" s="11">
        <v>2</v>
      </c>
      <c r="D3" s="10" t="s">
        <v>73</v>
      </c>
      <c r="E3" s="10" t="s">
        <v>70</v>
      </c>
      <c r="F3" s="11">
        <v>12</v>
      </c>
      <c r="G3" s="12">
        <f>COUNTIF(tbl_registo_formacao[ID_Formacao],A3)</f>
        <v>6</v>
      </c>
    </row>
    <row r="4" spans="1:7" ht="26.4" x14ac:dyDescent="0.3">
      <c r="A4" s="10" t="s">
        <v>74</v>
      </c>
      <c r="B4" s="10" t="s">
        <v>75</v>
      </c>
      <c r="C4" s="11">
        <v>2</v>
      </c>
      <c r="D4" s="10" t="s">
        <v>69</v>
      </c>
      <c r="E4" s="10" t="s">
        <v>70</v>
      </c>
      <c r="F4" s="11">
        <v>12</v>
      </c>
      <c r="G4" s="12">
        <f>COUNTIF(tbl_registo_formacao[ID_Formacao],A4)</f>
        <v>17</v>
      </c>
    </row>
    <row r="5" spans="1:7" x14ac:dyDescent="0.3">
      <c r="A5" s="10" t="s">
        <v>76</v>
      </c>
      <c r="B5" s="10" t="s">
        <v>77</v>
      </c>
      <c r="C5" s="11">
        <v>3</v>
      </c>
      <c r="D5" s="10" t="s">
        <v>69</v>
      </c>
      <c r="E5" s="10" t="s">
        <v>70</v>
      </c>
      <c r="F5" s="11">
        <v>24</v>
      </c>
      <c r="G5" s="12">
        <f>COUNTIF(tbl_registo_formacao[ID_Formacao],A5)</f>
        <v>2</v>
      </c>
    </row>
    <row r="6" spans="1:7" x14ac:dyDescent="0.3">
      <c r="A6" s="10" t="s">
        <v>78</v>
      </c>
      <c r="B6" s="10" t="s">
        <v>79</v>
      </c>
      <c r="C6" s="11">
        <v>1</v>
      </c>
      <c r="D6" s="10" t="s">
        <v>80</v>
      </c>
      <c r="E6" s="10" t="s">
        <v>70</v>
      </c>
      <c r="F6" s="11">
        <v>24</v>
      </c>
      <c r="G6" s="12">
        <f>COUNTIF(tbl_registo_formacao[ID_Formacao],A6)</f>
        <v>12</v>
      </c>
    </row>
    <row r="7" spans="1:7" x14ac:dyDescent="0.3">
      <c r="A7" s="10" t="s">
        <v>81</v>
      </c>
      <c r="B7" s="10" t="s">
        <v>82</v>
      </c>
      <c r="C7" s="11">
        <v>1</v>
      </c>
      <c r="D7" s="10" t="s">
        <v>69</v>
      </c>
      <c r="E7" s="10" t="s">
        <v>70</v>
      </c>
      <c r="F7" s="11">
        <v>24</v>
      </c>
      <c r="G7" s="12">
        <f>COUNTIF(tbl_registo_formacao[ID_Formacao],A7)</f>
        <v>15</v>
      </c>
    </row>
    <row r="8" spans="1:7" x14ac:dyDescent="0.3">
      <c r="A8" s="10" t="s">
        <v>83</v>
      </c>
      <c r="B8" s="10" t="s">
        <v>84</v>
      </c>
      <c r="C8" s="11">
        <v>35</v>
      </c>
      <c r="D8" s="10" t="s">
        <v>85</v>
      </c>
      <c r="E8" s="10" t="s">
        <v>86</v>
      </c>
      <c r="F8" s="11">
        <v>0</v>
      </c>
      <c r="G8" s="12">
        <f>COUNTIF(tbl_registo_formacao[ID_Formacao],A8)</f>
        <v>2</v>
      </c>
    </row>
    <row r="9" spans="1:7" x14ac:dyDescent="0.3">
      <c r="A9" s="10" t="s">
        <v>87</v>
      </c>
      <c r="B9" s="10" t="s">
        <v>88</v>
      </c>
      <c r="C9" s="11">
        <v>4</v>
      </c>
      <c r="D9" s="10" t="s">
        <v>89</v>
      </c>
      <c r="E9" s="10" t="s">
        <v>70</v>
      </c>
      <c r="F9" s="11">
        <v>36</v>
      </c>
      <c r="G9" s="12">
        <f>COUNTIF(tbl_registo_formacao[ID_Formacao],A9)</f>
        <v>6</v>
      </c>
    </row>
    <row r="10" spans="1:7" x14ac:dyDescent="0.3">
      <c r="A10" s="10" t="s">
        <v>90</v>
      </c>
      <c r="B10" s="10" t="s">
        <v>91</v>
      </c>
      <c r="C10" s="11">
        <v>16</v>
      </c>
      <c r="D10" s="10" t="s">
        <v>92</v>
      </c>
      <c r="E10" s="10" t="s">
        <v>86</v>
      </c>
      <c r="F10" s="11">
        <v>60</v>
      </c>
      <c r="G10" s="12">
        <f>COUNTIF(tbl_registo_formacao[ID_Formacao],A10)</f>
        <v>5</v>
      </c>
    </row>
    <row r="11" spans="1:7" x14ac:dyDescent="0.3">
      <c r="A11" s="10" t="s">
        <v>93</v>
      </c>
      <c r="B11" s="10" t="s">
        <v>94</v>
      </c>
      <c r="C11" s="11">
        <v>21</v>
      </c>
      <c r="D11" s="10" t="s">
        <v>92</v>
      </c>
      <c r="E11" s="10" t="s">
        <v>70</v>
      </c>
      <c r="F11" s="11">
        <v>36</v>
      </c>
      <c r="G11" s="12">
        <f>COUNTIF(tbl_registo_formacao[ID_Formacao],A11)</f>
        <v>3</v>
      </c>
    </row>
    <row r="12" spans="1:7" ht="26.4" x14ac:dyDescent="0.3">
      <c r="A12" s="10" t="s">
        <v>95</v>
      </c>
      <c r="B12" s="10" t="s">
        <v>96</v>
      </c>
      <c r="C12" s="11">
        <v>1</v>
      </c>
      <c r="D12" s="10" t="s">
        <v>97</v>
      </c>
      <c r="E12" s="10" t="s">
        <v>70</v>
      </c>
      <c r="F12" s="11">
        <v>12</v>
      </c>
      <c r="G12" s="12">
        <f>COUNTIF(tbl_registo_formacao[ID_Formacao],A12)</f>
        <v>31</v>
      </c>
    </row>
    <row r="13" spans="1:7" ht="26.4" x14ac:dyDescent="0.3">
      <c r="A13" s="10" t="s">
        <v>98</v>
      </c>
      <c r="B13" s="10" t="s">
        <v>99</v>
      </c>
      <c r="C13" s="11">
        <v>4</v>
      </c>
      <c r="D13" s="10" t="s">
        <v>100</v>
      </c>
      <c r="E13" s="10" t="s">
        <v>70</v>
      </c>
      <c r="F13" s="11">
        <v>24</v>
      </c>
      <c r="G13" s="12">
        <f>COUNTIF(tbl_registo_formacao[ID_Formacao],A13)</f>
        <v>2</v>
      </c>
    </row>
    <row r="14" spans="1:7" ht="26.4" x14ac:dyDescent="0.3">
      <c r="A14" s="10" t="s">
        <v>101</v>
      </c>
      <c r="B14" s="10" t="s">
        <v>102</v>
      </c>
      <c r="C14" s="11">
        <v>8</v>
      </c>
      <c r="D14" s="10" t="s">
        <v>103</v>
      </c>
      <c r="E14" s="10" t="s">
        <v>86</v>
      </c>
      <c r="F14" s="11">
        <v>60</v>
      </c>
      <c r="G14" s="12">
        <f>COUNTIF(tbl_registo_formacao[ID_Formacao],A14)</f>
        <v>6</v>
      </c>
    </row>
    <row r="15" spans="1:7" ht="26.4" x14ac:dyDescent="0.3">
      <c r="A15" s="10" t="s">
        <v>104</v>
      </c>
      <c r="B15" s="10" t="s">
        <v>105</v>
      </c>
      <c r="C15" s="11">
        <v>2</v>
      </c>
      <c r="D15" s="10" t="s">
        <v>106</v>
      </c>
      <c r="E15" s="10" t="s">
        <v>86</v>
      </c>
      <c r="F15" s="11">
        <v>12</v>
      </c>
      <c r="G15" s="12">
        <f>COUNTIF(tbl_registo_formacao[ID_Formacao],A15)</f>
        <v>6</v>
      </c>
    </row>
    <row r="16" spans="1:7" x14ac:dyDescent="0.3">
      <c r="A16" s="10" t="s">
        <v>107</v>
      </c>
      <c r="B16" s="10" t="s">
        <v>108</v>
      </c>
      <c r="C16" s="11">
        <v>8</v>
      </c>
      <c r="D16" s="10" t="s">
        <v>109</v>
      </c>
      <c r="E16" s="10" t="s">
        <v>86</v>
      </c>
      <c r="F16" s="11">
        <v>60</v>
      </c>
      <c r="G16" s="12">
        <f>COUNTIF(tbl_registo_formacao[ID_Formacao],A16)</f>
        <v>2</v>
      </c>
    </row>
  </sheetData>
  <dataValidations count="1">
    <dataValidation type="list" allowBlank="1" showErrorMessage="1" errorTitle="Valor inválido" error="Valor fora da lista controlada (ver folha Listas)." sqref="E2:E216" xr:uid="{00000000-0002-0000-01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6" customWidth="1"/>
    <col min="3" max="3" width="8" customWidth="1"/>
    <col min="4" max="4" width="9" customWidth="1"/>
    <col min="5" max="5" width="34" customWidth="1"/>
    <col min="6" max="6" width="24" customWidth="1"/>
    <col min="7" max="7" width="22" customWidth="1"/>
    <col min="8" max="8" width="44" customWidth="1"/>
    <col min="9" max="9" width="26" customWidth="1"/>
    <col min="10" max="10" width="28" customWidth="1"/>
    <col min="11" max="11" width="52" customWidth="1"/>
    <col min="12" max="12" width="30" customWidth="1"/>
    <col min="13" max="13" width="36" customWidth="1"/>
    <col min="14" max="15" width="10" customWidth="1"/>
    <col min="16" max="16" width="9" customWidth="1"/>
    <col min="17" max="17" width="11" customWidth="1"/>
    <col min="18" max="18" width="10" customWidth="1"/>
  </cols>
  <sheetData>
    <row r="1" spans="1:18" ht="17.399999999999999" x14ac:dyDescent="0.3">
      <c r="A1" s="1" t="s">
        <v>110</v>
      </c>
    </row>
    <row r="2" spans="1:18" x14ac:dyDescent="0.3">
      <c r="A2" s="2" t="s">
        <v>111</v>
      </c>
    </row>
    <row r="4" spans="1:18" ht="39.6" x14ac:dyDescent="0.3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117</v>
      </c>
      <c r="G4" s="8" t="s">
        <v>118</v>
      </c>
      <c r="H4" s="9" t="s">
        <v>119</v>
      </c>
      <c r="I4" s="8" t="s">
        <v>120</v>
      </c>
      <c r="J4" s="8" t="s">
        <v>121</v>
      </c>
      <c r="K4" s="8" t="s">
        <v>122</v>
      </c>
      <c r="L4" s="8" t="s">
        <v>123</v>
      </c>
      <c r="M4" s="8" t="s">
        <v>124</v>
      </c>
      <c r="N4" s="9" t="s">
        <v>125</v>
      </c>
      <c r="O4" s="9" t="s">
        <v>126</v>
      </c>
      <c r="P4" s="9" t="s">
        <v>127</v>
      </c>
      <c r="Q4" s="9" t="s">
        <v>14</v>
      </c>
      <c r="R4" s="8" t="s">
        <v>128</v>
      </c>
    </row>
    <row r="5" spans="1:18" ht="109.95" customHeight="1" x14ac:dyDescent="0.3">
      <c r="A5" s="10" t="s">
        <v>129</v>
      </c>
      <c r="B5" s="10" t="s">
        <v>130</v>
      </c>
      <c r="C5" s="10" t="s">
        <v>131</v>
      </c>
      <c r="D5" s="10" t="s">
        <v>132</v>
      </c>
      <c r="E5" s="10" t="s">
        <v>133</v>
      </c>
      <c r="F5" s="10" t="s">
        <v>134</v>
      </c>
      <c r="G5" s="10" t="s">
        <v>135</v>
      </c>
      <c r="H5" s="13" t="str">
        <f>IFERROR(INDEX(tbl_formacoes[Formacao],MATCH(LEFT(G5,6),tbl_formacoes[ID_Formacao],0))&amp;IF(LEN(G5)&gt;6," (+ "&amp;(LEN(G5)-LEN(SUBSTITUTE(G5,";","")))&amp;" outras)",""),"")</f>
        <v>Manuseamento seguro de produtos químicos (REACH/CLP, leitura de FDS e rótulos) (+ 5 outras)</v>
      </c>
      <c r="I5" s="10" t="s">
        <v>136</v>
      </c>
      <c r="J5" s="10" t="s">
        <v>137</v>
      </c>
      <c r="K5" s="10" t="s">
        <v>138</v>
      </c>
      <c r="L5" s="10" t="s">
        <v>139</v>
      </c>
      <c r="M5" s="10" t="s">
        <v>140</v>
      </c>
      <c r="N5" s="12">
        <f>COUNTIF(tbl_registo_formacao[ID_Competencia],A5)/MAX(1,LEN(G5)-LEN(SUBSTITUTE(G5,";",""))+1)</f>
        <v>6</v>
      </c>
      <c r="O5" s="12">
        <f>COUNTIFS(tbl_registo_formacao[ID_Competencia],A5,tbl_registo_formacao[Resultado],"Aprovado",tbl_registo_formacao[Valida],"Sim")</f>
        <v>32</v>
      </c>
      <c r="P5" s="14">
        <f>IFERROR(O5/COUNTIF(tbl_registo_formacao[ID_Competencia],A5),"")</f>
        <v>0.88888888888888884</v>
      </c>
      <c r="Q5" s="13" t="str">
        <f t="shared" ref="Q5:Q12" si="0">IF(P5="","",IF(P5&gt;=1,"✓ OK",IF(P5&gt;=0.8,"Parcial","Pendente")))</f>
        <v>Parcial</v>
      </c>
      <c r="R5" s="10" t="s">
        <v>86</v>
      </c>
    </row>
    <row r="6" spans="1:18" ht="109.95" customHeight="1" x14ac:dyDescent="0.3">
      <c r="A6" s="10" t="s">
        <v>141</v>
      </c>
      <c r="B6" s="10" t="s">
        <v>142</v>
      </c>
      <c r="C6" s="10" t="s">
        <v>143</v>
      </c>
      <c r="D6" s="10" t="s">
        <v>144</v>
      </c>
      <c r="E6" s="10" t="s">
        <v>145</v>
      </c>
      <c r="F6" s="10" t="s">
        <v>146</v>
      </c>
      <c r="G6" s="10" t="s">
        <v>147</v>
      </c>
      <c r="H6" s="13" t="str">
        <f>IFERROR(INDEX(tbl_formacoes[Formacao],MATCH(LEFT(G6,6),tbl_formacoes[ID_Formacao],0))&amp;IF(LEN(G6)&gt;6," (+ "&amp;(LEN(G6)-LEN(SUBSTITUTE(G6,";","")))&amp;" outras)",""),"")</f>
        <v>Segregação de scrap por polímero/cor e reintegração (regrind) (+ 2 outras)</v>
      </c>
      <c r="I6" s="10" t="s">
        <v>148</v>
      </c>
      <c r="J6" s="10" t="s">
        <v>149</v>
      </c>
      <c r="K6" s="10" t="s">
        <v>150</v>
      </c>
      <c r="L6" s="10" t="s">
        <v>151</v>
      </c>
      <c r="M6" s="10" t="s">
        <v>152</v>
      </c>
      <c r="N6" s="12">
        <f>COUNTIF(tbl_registo_formacao[ID_Competencia],A6)/MAX(1,LEN(G6)-LEN(SUBSTITUTE(G6,";",""))+1)</f>
        <v>6</v>
      </c>
      <c r="O6" s="12">
        <f>COUNTIFS(tbl_registo_formacao[ID_Competencia],A6,tbl_registo_formacao[Resultado],"Aprovado",tbl_registo_formacao[Valida],"Sim")</f>
        <v>15</v>
      </c>
      <c r="P6" s="14">
        <f>IFERROR(O6/COUNTIF(tbl_registo_formacao[ID_Competencia],A6),"")</f>
        <v>0.83333333333333337</v>
      </c>
      <c r="Q6" s="13" t="str">
        <f t="shared" si="0"/>
        <v>Parcial</v>
      </c>
      <c r="R6" s="10" t="s">
        <v>70</v>
      </c>
    </row>
    <row r="7" spans="1:18" ht="109.95" customHeight="1" x14ac:dyDescent="0.3">
      <c r="A7" s="10" t="s">
        <v>153</v>
      </c>
      <c r="B7" s="10" t="s">
        <v>154</v>
      </c>
      <c r="C7" s="10" t="s">
        <v>155</v>
      </c>
      <c r="D7" s="10" t="s">
        <v>156</v>
      </c>
      <c r="E7" s="10" t="s">
        <v>157</v>
      </c>
      <c r="F7" s="10" t="s">
        <v>146</v>
      </c>
      <c r="G7" s="10" t="s">
        <v>147</v>
      </c>
      <c r="H7" s="13" t="str">
        <f>IFERROR(INDEX(tbl_formacoes[Formacao],MATCH(LEFT(G7,6),tbl_formacoes[ID_Formacao],0))&amp;IF(LEN(G7)&gt;6," (+ "&amp;(LEN(G7)-LEN(SUBSTITUTE(G7,";","")))&amp;" outras)",""),"")</f>
        <v>Segregação de scrap por polímero/cor e reintegração (regrind) (+ 2 outras)</v>
      </c>
      <c r="I7" s="10" t="s">
        <v>158</v>
      </c>
      <c r="J7" s="10" t="s">
        <v>159</v>
      </c>
      <c r="K7" s="10" t="s">
        <v>160</v>
      </c>
      <c r="L7" s="10" t="s">
        <v>161</v>
      </c>
      <c r="M7" s="10" t="s">
        <v>162</v>
      </c>
      <c r="N7" s="12">
        <f>COUNTIF(tbl_registo_formacao[ID_Competencia],A7)/MAX(1,LEN(G7)-LEN(SUBSTITUTE(G7,";",""))+1)</f>
        <v>6</v>
      </c>
      <c r="O7" s="12">
        <f>COUNTIFS(tbl_registo_formacao[ID_Competencia],A7,tbl_registo_formacao[Resultado],"Aprovado",tbl_registo_formacao[Valida],"Sim")</f>
        <v>13</v>
      </c>
      <c r="P7" s="14">
        <f>IFERROR(O7/COUNTIF(tbl_registo_formacao[ID_Competencia],A7),"")</f>
        <v>0.72222222222222221</v>
      </c>
      <c r="Q7" s="13" t="str">
        <f t="shared" si="0"/>
        <v>Pendente</v>
      </c>
      <c r="R7" s="10" t="s">
        <v>70</v>
      </c>
    </row>
    <row r="8" spans="1:18" ht="109.95" customHeight="1" x14ac:dyDescent="0.3">
      <c r="A8" s="10" t="s">
        <v>163</v>
      </c>
      <c r="B8" s="10" t="s">
        <v>164</v>
      </c>
      <c r="C8" s="10" t="s">
        <v>165</v>
      </c>
      <c r="D8" s="10" t="s">
        <v>166</v>
      </c>
      <c r="E8" s="10" t="s">
        <v>167</v>
      </c>
      <c r="F8" s="10" t="s">
        <v>168</v>
      </c>
      <c r="G8" s="10" t="s">
        <v>169</v>
      </c>
      <c r="H8" s="13" t="str">
        <f>IFERROR(INDEX(tbl_formacoes[Formacao],MATCH(LEFT(G8,6),tbl_formacoes[ID_Formacao],0))&amp;IF(LEN(G8)&gt;6," (+ "&amp;(LEN(G8)-LEN(SUBSTITUTE(G8,";","")))&amp;" outras)",""),"")</f>
        <v>Manuseamento seguro de produtos químicos (REACH/CLP, leitura de FDS e rótulos) (+ 5 outras)</v>
      </c>
      <c r="I8" s="10" t="s">
        <v>170</v>
      </c>
      <c r="J8" s="10" t="s">
        <v>171</v>
      </c>
      <c r="K8" s="10" t="s">
        <v>172</v>
      </c>
      <c r="L8" s="10" t="s">
        <v>173</v>
      </c>
      <c r="M8" s="10" t="s">
        <v>174</v>
      </c>
      <c r="N8" s="12">
        <f>COUNTIF(tbl_registo_formacao[ID_Competencia],A8)/MAX(1,LEN(G8)-LEN(SUBSTITUTE(G8,";",""))+1)</f>
        <v>2</v>
      </c>
      <c r="O8" s="12">
        <f>COUNTIFS(tbl_registo_formacao[ID_Competencia],A8,tbl_registo_formacao[Resultado],"Aprovado",tbl_registo_formacao[Valida],"Sim")</f>
        <v>10</v>
      </c>
      <c r="P8" s="14">
        <f>IFERROR(O8/COUNTIF(tbl_registo_formacao[ID_Competencia],A8),"")</f>
        <v>0.83333333333333337</v>
      </c>
      <c r="Q8" s="13" t="str">
        <f t="shared" si="0"/>
        <v>Parcial</v>
      </c>
      <c r="R8" s="10" t="s">
        <v>70</v>
      </c>
    </row>
    <row r="9" spans="1:18" ht="109.95" customHeight="1" x14ac:dyDescent="0.3">
      <c r="A9" s="10" t="s">
        <v>175</v>
      </c>
      <c r="B9" s="10" t="s">
        <v>176</v>
      </c>
      <c r="C9" s="10" t="s">
        <v>177</v>
      </c>
      <c r="D9" s="10" t="s">
        <v>178</v>
      </c>
      <c r="E9" s="10" t="s">
        <v>179</v>
      </c>
      <c r="F9" s="10" t="s">
        <v>180</v>
      </c>
      <c r="G9" s="10" t="s">
        <v>181</v>
      </c>
      <c r="H9" s="13" t="str">
        <f>IFERROR(INDEX(tbl_formacoes[Formacao],MATCH(LEFT(G9,6),tbl_formacoes[ID_Formacao],0))&amp;IF(LEN(G9)&gt;6," (+ "&amp;(LEN(G9)-LEN(SUBSTITUTE(G9,";","")))&amp;" outras)",""),"")</f>
        <v>Manuseamento seguro de produtos químicos (REACH/CLP, leitura de FDS e rótulos) (+ 3 outras)</v>
      </c>
      <c r="I9" s="10" t="s">
        <v>182</v>
      </c>
      <c r="J9" s="10" t="s">
        <v>183</v>
      </c>
      <c r="K9" s="10" t="s">
        <v>184</v>
      </c>
      <c r="L9" s="10" t="s">
        <v>185</v>
      </c>
      <c r="M9" s="10" t="s">
        <v>186</v>
      </c>
      <c r="N9" s="12">
        <f>COUNTIF(tbl_registo_formacao[ID_Competencia],A9)/MAX(1,LEN(G9)-LEN(SUBSTITUTE(G9,";",""))+1)</f>
        <v>6</v>
      </c>
      <c r="O9" s="12">
        <f>COUNTIFS(tbl_registo_formacao[ID_Competencia],A9,tbl_registo_formacao[Resultado],"Aprovado",tbl_registo_formacao[Valida],"Sim")</f>
        <v>21</v>
      </c>
      <c r="P9" s="14">
        <f>IFERROR(O9/COUNTIF(tbl_registo_formacao[ID_Competencia],A9),"")</f>
        <v>0.875</v>
      </c>
      <c r="Q9" s="13" t="str">
        <f t="shared" si="0"/>
        <v>Parcial</v>
      </c>
      <c r="R9" s="10" t="s">
        <v>70</v>
      </c>
    </row>
    <row r="10" spans="1:18" ht="109.95" customHeight="1" x14ac:dyDescent="0.3">
      <c r="A10" s="10" t="s">
        <v>187</v>
      </c>
      <c r="B10" s="10" t="s">
        <v>188</v>
      </c>
      <c r="C10" s="10" t="s">
        <v>189</v>
      </c>
      <c r="D10" s="10" t="s">
        <v>190</v>
      </c>
      <c r="E10" s="10" t="s">
        <v>191</v>
      </c>
      <c r="F10" s="10" t="s">
        <v>192</v>
      </c>
      <c r="G10" s="10" t="s">
        <v>193</v>
      </c>
      <c r="H10" s="13" t="str">
        <f>IFERROR(INDEX(tbl_formacoes[Formacao],MATCH(LEFT(G10,6),tbl_formacoes[ID_Formacao],0))&amp;IF(LEN(G10)&gt;6," (+ "&amp;(LEN(G10)-LEN(SUBSTITUTE(G10,";","")))&amp;" outras)",""),"")</f>
        <v>Manuseamento seguro de produtos químicos (REACH/CLP, leitura de FDS e rótulos) (+ 3 outras)</v>
      </c>
      <c r="I10" s="10" t="s">
        <v>194</v>
      </c>
      <c r="J10" s="10" t="s">
        <v>195</v>
      </c>
      <c r="K10" s="10" t="s">
        <v>196</v>
      </c>
      <c r="L10" s="10" t="s">
        <v>197</v>
      </c>
      <c r="M10" s="10" t="s">
        <v>198</v>
      </c>
      <c r="N10" s="12">
        <f>COUNTIF(tbl_registo_formacao[ID_Competencia],A10)/MAX(1,LEN(G10)-LEN(SUBSTITUTE(G10,";",""))+1)</f>
        <v>2</v>
      </c>
      <c r="O10" s="12">
        <f>COUNTIFS(tbl_registo_formacao[ID_Competencia],A10,tbl_registo_formacao[Resultado],"Aprovado",tbl_registo_formacao[Valida],"Sim")</f>
        <v>5</v>
      </c>
      <c r="P10" s="14">
        <f>IFERROR(O10/COUNTIF(tbl_registo_formacao[ID_Competencia],A10),"")</f>
        <v>0.625</v>
      </c>
      <c r="Q10" s="13" t="str">
        <f t="shared" si="0"/>
        <v>Pendente</v>
      </c>
      <c r="R10" s="10" t="s">
        <v>70</v>
      </c>
    </row>
    <row r="11" spans="1:18" ht="109.95" customHeight="1" x14ac:dyDescent="0.3">
      <c r="A11" s="10" t="s">
        <v>199</v>
      </c>
      <c r="B11" s="10" t="s">
        <v>200</v>
      </c>
      <c r="C11" s="10" t="s">
        <v>201</v>
      </c>
      <c r="D11" s="10" t="s">
        <v>202</v>
      </c>
      <c r="E11" s="10" t="s">
        <v>203</v>
      </c>
      <c r="F11" s="10" t="s">
        <v>204</v>
      </c>
      <c r="G11" s="10" t="s">
        <v>205</v>
      </c>
      <c r="H11" s="13" t="str">
        <f>IFERROR(INDEX(tbl_formacoes[Formacao],MATCH(LEFT(G11,6),tbl_formacoes[ID_Formacao],0))&amp;IF(LEN(G11)&gt;6," (+ "&amp;(LEN(G11)-LEN(SUBSTITUTE(G11,";","")))&amp;" outras)",""),"")</f>
        <v>Operation Clean Sweep: prevenção de perdas de granulado (+ 3 outras)</v>
      </c>
      <c r="I11" s="10" t="s">
        <v>206</v>
      </c>
      <c r="J11" s="10" t="s">
        <v>207</v>
      </c>
      <c r="K11" s="10" t="s">
        <v>208</v>
      </c>
      <c r="L11" s="10" t="s">
        <v>209</v>
      </c>
      <c r="M11" s="10" t="s">
        <v>210</v>
      </c>
      <c r="N11" s="12">
        <f>COUNTIF(tbl_registo_formacao[ID_Competencia],A11)/MAX(1,LEN(G11)-LEN(SUBSTITUTE(G11,";",""))+1)</f>
        <v>3</v>
      </c>
      <c r="O11" s="12">
        <f>COUNTIFS(tbl_registo_formacao[ID_Competencia],A11,tbl_registo_formacao[Resultado],"Aprovado",tbl_registo_formacao[Valida],"Sim")</f>
        <v>10</v>
      </c>
      <c r="P11" s="14">
        <f>IFERROR(O11/COUNTIF(tbl_registo_formacao[ID_Competencia],A11),"")</f>
        <v>0.83333333333333337</v>
      </c>
      <c r="Q11" s="13" t="str">
        <f t="shared" si="0"/>
        <v>Parcial</v>
      </c>
      <c r="R11" s="10" t="s">
        <v>70</v>
      </c>
    </row>
    <row r="12" spans="1:18" ht="109.95" customHeight="1" x14ac:dyDescent="0.3">
      <c r="A12" s="10" t="s">
        <v>211</v>
      </c>
      <c r="B12" s="10" t="s">
        <v>212</v>
      </c>
      <c r="C12" s="10" t="s">
        <v>213</v>
      </c>
      <c r="D12" s="10"/>
      <c r="E12" s="10" t="s">
        <v>214</v>
      </c>
      <c r="F12" s="10" t="s">
        <v>215</v>
      </c>
      <c r="G12" s="10" t="s">
        <v>93</v>
      </c>
      <c r="H12" s="13" t="str">
        <f>IFERROR(INDEX(tbl_formacoes[Formacao],MATCH(LEFT(G12,6),tbl_formacoes[ID_Formacao],0))&amp;IF(LEN(G12)&gt;6," (+ "&amp;(LEN(G12)-LEN(SUBSTITUTE(G12,";","")))&amp;" outras)",""),"")</f>
        <v>Auditor interno ISO 14001:2026 (inclui ISO 19011)</v>
      </c>
      <c r="I12" s="10" t="s">
        <v>216</v>
      </c>
      <c r="J12" s="10" t="s">
        <v>217</v>
      </c>
      <c r="K12" s="10" t="s">
        <v>218</v>
      </c>
      <c r="L12" s="10" t="s">
        <v>219</v>
      </c>
      <c r="M12" s="10" t="s">
        <v>220</v>
      </c>
      <c r="N12" s="12">
        <f>COUNTIF(tbl_registo_formacao[ID_Competencia],A12)/MAX(1,LEN(G12)-LEN(SUBSTITUTE(G12,";",""))+1)</f>
        <v>3</v>
      </c>
      <c r="O12" s="12">
        <f>COUNTIFS(tbl_registo_formacao[ID_Competencia],A12,tbl_registo_formacao[Resultado],"Aprovado",tbl_registo_formacao[Valida],"Sim")</f>
        <v>3</v>
      </c>
      <c r="P12" s="14">
        <f>IFERROR(O12/COUNTIF(tbl_registo_formacao[ID_Competencia],A12),"")</f>
        <v>1</v>
      </c>
      <c r="Q12" s="13" t="str">
        <f t="shared" si="0"/>
        <v>✓ OK</v>
      </c>
      <c r="R12" s="10" t="s">
        <v>70</v>
      </c>
    </row>
  </sheetData>
  <conditionalFormatting sqref="Q5:Q212">
    <cfRule type="expression" dxfId="10" priority="1">
      <formula>ISNUMBER(SEARCH("OK",Q5))</formula>
    </cfRule>
    <cfRule type="expression" dxfId="9" priority="2">
      <formula>ISNUMBER(SEARCH("Parcial",Q5))</formula>
    </cfRule>
    <cfRule type="expression" dxfId="8" priority="3">
      <formula>ISNUMBER(SEARCH("Pendente",Q5))</formula>
    </cfRule>
  </conditionalFormatting>
  <conditionalFormatting sqref="R5:R212">
    <cfRule type="expression" dxfId="7" priority="4">
      <formula>ISNUMBER(SEARCH("Sim",R5))</formula>
    </cfRule>
  </conditionalFormatting>
  <dataValidations count="3">
    <dataValidation type="list" allowBlank="1" showErrorMessage="1" errorTitle="Valor inválido" error="Valor fora da lista controlada (ver folha Listas)." sqref="B5:B212" xr:uid="{00000000-0002-0000-0200-000000000000}">
      <formula1>lst_Funcao</formula1>
    </dataValidation>
    <dataValidation type="list" allowBlank="1" showErrorMessage="1" errorTitle="Valor inválido" error="Valor fora da lista controlada (ver folha Listas)." sqref="C5:C212" xr:uid="{00000000-0002-0000-0200-000001000000}">
      <formula1>lst_Processo</formula1>
    </dataValidation>
    <dataValidation type="list" allowBlank="1" showErrorMessage="1" errorTitle="Valor inválido" error="Valor fora da lista controlada (ver folha Listas)." sqref="R5:R212" xr:uid="{00000000-0002-0000-0200-000002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32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3" customWidth="1"/>
    <col min="3" max="3" width="10" customWidth="1"/>
    <col min="4" max="4" width="9" customWidth="1"/>
    <col min="5" max="5" width="11" customWidth="1"/>
    <col min="6" max="6" width="8" customWidth="1"/>
    <col min="7" max="7" width="10" customWidth="1"/>
    <col min="8" max="8" width="8" customWidth="1"/>
    <col min="9" max="9" width="13" customWidth="1"/>
    <col min="10" max="10" width="9" customWidth="1"/>
    <col min="11" max="11" width="11" customWidth="1"/>
    <col min="12" max="12" width="7" customWidth="1"/>
  </cols>
  <sheetData>
    <row r="1" spans="1:12" ht="39.6" x14ac:dyDescent="0.3">
      <c r="A1" s="8" t="s">
        <v>221</v>
      </c>
      <c r="B1" s="8" t="s">
        <v>222</v>
      </c>
      <c r="C1" s="8" t="s">
        <v>112</v>
      </c>
      <c r="D1" s="8" t="s">
        <v>60</v>
      </c>
      <c r="E1" s="8" t="s">
        <v>223</v>
      </c>
      <c r="F1" s="8" t="s">
        <v>62</v>
      </c>
      <c r="G1" s="8" t="s">
        <v>224</v>
      </c>
      <c r="H1" s="8" t="s">
        <v>225</v>
      </c>
      <c r="I1" s="8" t="s">
        <v>226</v>
      </c>
      <c r="J1" s="8" t="s">
        <v>65</v>
      </c>
      <c r="K1" s="9" t="s">
        <v>227</v>
      </c>
      <c r="L1" s="9" t="s">
        <v>228</v>
      </c>
    </row>
    <row r="2" spans="1:12" x14ac:dyDescent="0.3">
      <c r="A2" s="10" t="s">
        <v>229</v>
      </c>
      <c r="B2" s="10" t="s">
        <v>230</v>
      </c>
      <c r="C2" s="10" t="s">
        <v>129</v>
      </c>
      <c r="D2" s="10" t="s">
        <v>67</v>
      </c>
      <c r="E2" s="15">
        <v>46245</v>
      </c>
      <c r="F2" s="11">
        <v>4</v>
      </c>
      <c r="G2" s="10" t="s">
        <v>231</v>
      </c>
      <c r="H2" s="11">
        <v>77</v>
      </c>
      <c r="I2" s="10" t="s">
        <v>232</v>
      </c>
      <c r="J2" s="11">
        <v>24</v>
      </c>
      <c r="K2" s="16">
        <f t="shared" ref="K2:K33" si="0">IF(OR(E2="",J2=0),"",EDATE(E2,J2))</f>
        <v>46976</v>
      </c>
      <c r="L2" s="13" t="str">
        <f t="shared" ref="L2:L33" si="1">IF(G2&lt;&gt;"Aprovado","Não",IF(K2="","Sim",IF(K2&gt;=DataRef,"Sim","Não")))</f>
        <v>Sim</v>
      </c>
    </row>
    <row r="3" spans="1:12" x14ac:dyDescent="0.3">
      <c r="A3" s="10" t="s">
        <v>233</v>
      </c>
      <c r="B3" s="10" t="s">
        <v>230</v>
      </c>
      <c r="C3" s="10" t="s">
        <v>129</v>
      </c>
      <c r="D3" s="10" t="s">
        <v>71</v>
      </c>
      <c r="E3" s="15">
        <v>46105</v>
      </c>
      <c r="F3" s="11">
        <v>2</v>
      </c>
      <c r="G3" s="10" t="s">
        <v>231</v>
      </c>
      <c r="H3" s="11">
        <v>92</v>
      </c>
      <c r="I3" s="10" t="s">
        <v>232</v>
      </c>
      <c r="J3" s="11">
        <v>12</v>
      </c>
      <c r="K3" s="16">
        <f t="shared" si="0"/>
        <v>46470</v>
      </c>
      <c r="L3" s="13" t="str">
        <f t="shared" si="1"/>
        <v>Sim</v>
      </c>
    </row>
    <row r="4" spans="1:12" x14ac:dyDescent="0.3">
      <c r="A4" s="10" t="s">
        <v>234</v>
      </c>
      <c r="B4" s="10" t="s">
        <v>230</v>
      </c>
      <c r="C4" s="10" t="s">
        <v>129</v>
      </c>
      <c r="D4" s="10" t="s">
        <v>74</v>
      </c>
      <c r="E4" s="15">
        <v>46333</v>
      </c>
      <c r="F4" s="11">
        <v>2</v>
      </c>
      <c r="G4" s="10" t="s">
        <v>231</v>
      </c>
      <c r="H4" s="11">
        <v>95</v>
      </c>
      <c r="I4" s="10" t="s">
        <v>232</v>
      </c>
      <c r="J4" s="11">
        <v>12</v>
      </c>
      <c r="K4" s="16">
        <f t="shared" si="0"/>
        <v>46698</v>
      </c>
      <c r="L4" s="13" t="str">
        <f t="shared" si="1"/>
        <v>Sim</v>
      </c>
    </row>
    <row r="5" spans="1:12" ht="26.4" x14ac:dyDescent="0.3">
      <c r="A5" s="10" t="s">
        <v>235</v>
      </c>
      <c r="B5" s="10" t="s">
        <v>230</v>
      </c>
      <c r="C5" s="10" t="s">
        <v>129</v>
      </c>
      <c r="D5" s="10" t="s">
        <v>95</v>
      </c>
      <c r="E5" s="15">
        <v>45998</v>
      </c>
      <c r="F5" s="11">
        <v>1</v>
      </c>
      <c r="G5" s="10" t="s">
        <v>231</v>
      </c>
      <c r="H5" s="11">
        <v>96</v>
      </c>
      <c r="I5" s="10" t="s">
        <v>236</v>
      </c>
      <c r="J5" s="11">
        <v>12</v>
      </c>
      <c r="K5" s="16">
        <f t="shared" si="0"/>
        <v>46363</v>
      </c>
      <c r="L5" s="13" t="str">
        <f t="shared" si="1"/>
        <v>Não</v>
      </c>
    </row>
    <row r="6" spans="1:12" ht="26.4" x14ac:dyDescent="0.3">
      <c r="A6" s="10" t="s">
        <v>237</v>
      </c>
      <c r="B6" s="10" t="s">
        <v>238</v>
      </c>
      <c r="C6" s="10" t="s">
        <v>129</v>
      </c>
      <c r="D6" s="10" t="s">
        <v>67</v>
      </c>
      <c r="E6" s="15">
        <v>46103</v>
      </c>
      <c r="F6" s="11">
        <v>4</v>
      </c>
      <c r="G6" s="10" t="s">
        <v>231</v>
      </c>
      <c r="H6" s="11">
        <v>76</v>
      </c>
      <c r="I6" s="10" t="s">
        <v>236</v>
      </c>
      <c r="J6" s="11">
        <v>24</v>
      </c>
      <c r="K6" s="16">
        <f t="shared" si="0"/>
        <v>46834</v>
      </c>
      <c r="L6" s="13" t="str">
        <f t="shared" si="1"/>
        <v>Sim</v>
      </c>
    </row>
    <row r="7" spans="1:12" ht="26.4" x14ac:dyDescent="0.3">
      <c r="A7" s="10" t="s">
        <v>239</v>
      </c>
      <c r="B7" s="10" t="s">
        <v>238</v>
      </c>
      <c r="C7" s="10" t="s">
        <v>129</v>
      </c>
      <c r="D7" s="10" t="s">
        <v>71</v>
      </c>
      <c r="E7" s="15">
        <v>46126</v>
      </c>
      <c r="F7" s="11">
        <v>2</v>
      </c>
      <c r="G7" s="10" t="s">
        <v>231</v>
      </c>
      <c r="H7" s="11">
        <v>88</v>
      </c>
      <c r="I7" s="10" t="s">
        <v>236</v>
      </c>
      <c r="J7" s="11">
        <v>12</v>
      </c>
      <c r="K7" s="16">
        <f t="shared" si="0"/>
        <v>46491</v>
      </c>
      <c r="L7" s="13" t="str">
        <f t="shared" si="1"/>
        <v>Sim</v>
      </c>
    </row>
    <row r="8" spans="1:12" x14ac:dyDescent="0.3">
      <c r="A8" s="10" t="s">
        <v>240</v>
      </c>
      <c r="B8" s="10" t="s">
        <v>238</v>
      </c>
      <c r="C8" s="10" t="s">
        <v>129</v>
      </c>
      <c r="D8" s="10" t="s">
        <v>74</v>
      </c>
      <c r="E8" s="15">
        <v>46197</v>
      </c>
      <c r="F8" s="11">
        <v>2</v>
      </c>
      <c r="G8" s="10" t="s">
        <v>231</v>
      </c>
      <c r="H8" s="11">
        <v>85</v>
      </c>
      <c r="I8" s="10" t="s">
        <v>232</v>
      </c>
      <c r="J8" s="11">
        <v>12</v>
      </c>
      <c r="K8" s="16">
        <f t="shared" si="0"/>
        <v>46562</v>
      </c>
      <c r="L8" s="13" t="str">
        <f t="shared" si="1"/>
        <v>Sim</v>
      </c>
    </row>
    <row r="9" spans="1:12" x14ac:dyDescent="0.3">
      <c r="A9" s="10" t="s">
        <v>241</v>
      </c>
      <c r="B9" s="10" t="s">
        <v>238</v>
      </c>
      <c r="C9" s="10" t="s">
        <v>129</v>
      </c>
      <c r="D9" s="10" t="s">
        <v>95</v>
      </c>
      <c r="E9" s="15">
        <v>46149</v>
      </c>
      <c r="F9" s="11">
        <v>1</v>
      </c>
      <c r="G9" s="10" t="s">
        <v>231</v>
      </c>
      <c r="H9" s="11">
        <v>86</v>
      </c>
      <c r="I9" s="10" t="s">
        <v>232</v>
      </c>
      <c r="J9" s="11">
        <v>12</v>
      </c>
      <c r="K9" s="16">
        <f t="shared" si="0"/>
        <v>46514</v>
      </c>
      <c r="L9" s="13" t="str">
        <f t="shared" si="1"/>
        <v>Sim</v>
      </c>
    </row>
    <row r="10" spans="1:12" ht="26.4" x14ac:dyDescent="0.3">
      <c r="A10" s="10" t="s">
        <v>242</v>
      </c>
      <c r="B10" s="10" t="s">
        <v>243</v>
      </c>
      <c r="C10" s="10" t="s">
        <v>129</v>
      </c>
      <c r="D10" s="10" t="s">
        <v>67</v>
      </c>
      <c r="E10" s="15">
        <v>46000</v>
      </c>
      <c r="F10" s="11">
        <v>4</v>
      </c>
      <c r="G10" s="10" t="s">
        <v>231</v>
      </c>
      <c r="H10" s="11">
        <v>98</v>
      </c>
      <c r="I10" s="10" t="s">
        <v>236</v>
      </c>
      <c r="J10" s="11">
        <v>24</v>
      </c>
      <c r="K10" s="16">
        <f t="shared" si="0"/>
        <v>46730</v>
      </c>
      <c r="L10" s="13" t="str">
        <f t="shared" si="1"/>
        <v>Sim</v>
      </c>
    </row>
    <row r="11" spans="1:12" ht="26.4" x14ac:dyDescent="0.3">
      <c r="A11" s="10" t="s">
        <v>244</v>
      </c>
      <c r="B11" s="10" t="s">
        <v>243</v>
      </c>
      <c r="C11" s="10" t="s">
        <v>129</v>
      </c>
      <c r="D11" s="10" t="s">
        <v>71</v>
      </c>
      <c r="E11" s="15">
        <v>46235</v>
      </c>
      <c r="F11" s="11">
        <v>2</v>
      </c>
      <c r="G11" s="10" t="s">
        <v>231</v>
      </c>
      <c r="H11" s="11">
        <v>98</v>
      </c>
      <c r="I11" s="10" t="s">
        <v>236</v>
      </c>
      <c r="J11" s="11">
        <v>12</v>
      </c>
      <c r="K11" s="16">
        <f t="shared" si="0"/>
        <v>46600</v>
      </c>
      <c r="L11" s="13" t="str">
        <f t="shared" si="1"/>
        <v>Sim</v>
      </c>
    </row>
    <row r="12" spans="1:12" x14ac:dyDescent="0.3">
      <c r="A12" s="10" t="s">
        <v>245</v>
      </c>
      <c r="B12" s="10" t="s">
        <v>243</v>
      </c>
      <c r="C12" s="10" t="s">
        <v>129</v>
      </c>
      <c r="D12" s="10" t="s">
        <v>74</v>
      </c>
      <c r="E12" s="15">
        <v>46314</v>
      </c>
      <c r="F12" s="11">
        <v>2</v>
      </c>
      <c r="G12" s="10" t="s">
        <v>231</v>
      </c>
      <c r="H12" s="11">
        <v>74</v>
      </c>
      <c r="I12" s="10" t="s">
        <v>232</v>
      </c>
      <c r="J12" s="11">
        <v>12</v>
      </c>
      <c r="K12" s="16">
        <f t="shared" si="0"/>
        <v>46679</v>
      </c>
      <c r="L12" s="13" t="str">
        <f t="shared" si="1"/>
        <v>Sim</v>
      </c>
    </row>
    <row r="13" spans="1:12" x14ac:dyDescent="0.3">
      <c r="A13" s="10" t="s">
        <v>246</v>
      </c>
      <c r="B13" s="10" t="s">
        <v>243</v>
      </c>
      <c r="C13" s="10" t="s">
        <v>129</v>
      </c>
      <c r="D13" s="10" t="s">
        <v>95</v>
      </c>
      <c r="E13" s="15">
        <v>46239</v>
      </c>
      <c r="F13" s="11">
        <v>1</v>
      </c>
      <c r="G13" s="10" t="s">
        <v>231</v>
      </c>
      <c r="H13" s="11">
        <v>90</v>
      </c>
      <c r="I13" s="10" t="s">
        <v>232</v>
      </c>
      <c r="J13" s="11">
        <v>12</v>
      </c>
      <c r="K13" s="16">
        <f t="shared" si="0"/>
        <v>46604</v>
      </c>
      <c r="L13" s="13" t="str">
        <f t="shared" si="1"/>
        <v>Sim</v>
      </c>
    </row>
    <row r="14" spans="1:12" x14ac:dyDescent="0.3">
      <c r="A14" s="10" t="s">
        <v>247</v>
      </c>
      <c r="B14" s="10" t="s">
        <v>248</v>
      </c>
      <c r="C14" s="10" t="s">
        <v>129</v>
      </c>
      <c r="D14" s="10" t="s">
        <v>67</v>
      </c>
      <c r="E14" s="15">
        <v>45994</v>
      </c>
      <c r="F14" s="11">
        <v>4</v>
      </c>
      <c r="G14" s="10" t="s">
        <v>231</v>
      </c>
      <c r="H14" s="11">
        <v>98</v>
      </c>
      <c r="I14" s="10" t="s">
        <v>232</v>
      </c>
      <c r="J14" s="11">
        <v>24</v>
      </c>
      <c r="K14" s="16">
        <f t="shared" si="0"/>
        <v>46724</v>
      </c>
      <c r="L14" s="13" t="str">
        <f t="shared" si="1"/>
        <v>Sim</v>
      </c>
    </row>
    <row r="15" spans="1:12" x14ac:dyDescent="0.3">
      <c r="A15" s="10" t="s">
        <v>249</v>
      </c>
      <c r="B15" s="10" t="s">
        <v>248</v>
      </c>
      <c r="C15" s="10" t="s">
        <v>129</v>
      </c>
      <c r="D15" s="10" t="s">
        <v>71</v>
      </c>
      <c r="E15" s="15">
        <v>46111</v>
      </c>
      <c r="F15" s="11">
        <v>2</v>
      </c>
      <c r="G15" s="10" t="s">
        <v>231</v>
      </c>
      <c r="H15" s="11">
        <v>79</v>
      </c>
      <c r="I15" s="10" t="s">
        <v>232</v>
      </c>
      <c r="J15" s="11">
        <v>12</v>
      </c>
      <c r="K15" s="16">
        <f t="shared" si="0"/>
        <v>46476</v>
      </c>
      <c r="L15" s="13" t="str">
        <f t="shared" si="1"/>
        <v>Sim</v>
      </c>
    </row>
    <row r="16" spans="1:12" x14ac:dyDescent="0.3">
      <c r="A16" s="10" t="s">
        <v>250</v>
      </c>
      <c r="B16" s="10" t="s">
        <v>248</v>
      </c>
      <c r="C16" s="10" t="s">
        <v>129</v>
      </c>
      <c r="D16" s="10" t="s">
        <v>74</v>
      </c>
      <c r="E16" s="15">
        <v>46167</v>
      </c>
      <c r="F16" s="11">
        <v>2</v>
      </c>
      <c r="G16" s="10" t="s">
        <v>231</v>
      </c>
      <c r="H16" s="11">
        <v>98</v>
      </c>
      <c r="I16" s="10" t="s">
        <v>232</v>
      </c>
      <c r="J16" s="11">
        <v>12</v>
      </c>
      <c r="K16" s="16">
        <f t="shared" si="0"/>
        <v>46532</v>
      </c>
      <c r="L16" s="13" t="str">
        <f t="shared" si="1"/>
        <v>Sim</v>
      </c>
    </row>
    <row r="17" spans="1:12" x14ac:dyDescent="0.3">
      <c r="A17" s="10" t="s">
        <v>251</v>
      </c>
      <c r="B17" s="10" t="s">
        <v>248</v>
      </c>
      <c r="C17" s="10" t="s">
        <v>129</v>
      </c>
      <c r="D17" s="10" t="s">
        <v>95</v>
      </c>
      <c r="E17" s="15">
        <v>45945</v>
      </c>
      <c r="F17" s="11">
        <v>1</v>
      </c>
      <c r="G17" s="10" t="s">
        <v>231</v>
      </c>
      <c r="H17" s="11">
        <v>88</v>
      </c>
      <c r="I17" s="10" t="s">
        <v>232</v>
      </c>
      <c r="J17" s="11">
        <v>12</v>
      </c>
      <c r="K17" s="16">
        <f t="shared" si="0"/>
        <v>46310</v>
      </c>
      <c r="L17" s="13" t="str">
        <f t="shared" si="1"/>
        <v>Não</v>
      </c>
    </row>
    <row r="18" spans="1:12" ht="26.4" x14ac:dyDescent="0.3">
      <c r="A18" s="10" t="s">
        <v>252</v>
      </c>
      <c r="B18" s="10" t="s">
        <v>253</v>
      </c>
      <c r="C18" s="10" t="s">
        <v>129</v>
      </c>
      <c r="D18" s="10" t="s">
        <v>67</v>
      </c>
      <c r="E18" s="15">
        <v>46238</v>
      </c>
      <c r="F18" s="11">
        <v>4</v>
      </c>
      <c r="G18" s="10" t="s">
        <v>231</v>
      </c>
      <c r="H18" s="11">
        <v>87</v>
      </c>
      <c r="I18" s="10" t="s">
        <v>236</v>
      </c>
      <c r="J18" s="11">
        <v>24</v>
      </c>
      <c r="K18" s="16">
        <f t="shared" si="0"/>
        <v>46969</v>
      </c>
      <c r="L18" s="13" t="str">
        <f t="shared" si="1"/>
        <v>Sim</v>
      </c>
    </row>
    <row r="19" spans="1:12" x14ac:dyDescent="0.3">
      <c r="A19" s="10" t="s">
        <v>254</v>
      </c>
      <c r="B19" s="10" t="s">
        <v>253</v>
      </c>
      <c r="C19" s="10" t="s">
        <v>129</v>
      </c>
      <c r="D19" s="10" t="s">
        <v>71</v>
      </c>
      <c r="E19" s="15">
        <v>46257</v>
      </c>
      <c r="F19" s="11">
        <v>2</v>
      </c>
      <c r="G19" s="10" t="s">
        <v>231</v>
      </c>
      <c r="H19" s="11">
        <v>93</v>
      </c>
      <c r="I19" s="10" t="s">
        <v>232</v>
      </c>
      <c r="J19" s="11">
        <v>12</v>
      </c>
      <c r="K19" s="16">
        <f t="shared" si="0"/>
        <v>46622</v>
      </c>
      <c r="L19" s="13" t="str">
        <f t="shared" si="1"/>
        <v>Sim</v>
      </c>
    </row>
    <row r="20" spans="1:12" ht="26.4" x14ac:dyDescent="0.3">
      <c r="A20" s="10" t="s">
        <v>255</v>
      </c>
      <c r="B20" s="10" t="s">
        <v>253</v>
      </c>
      <c r="C20" s="10" t="s">
        <v>129</v>
      </c>
      <c r="D20" s="10" t="s">
        <v>74</v>
      </c>
      <c r="E20" s="15">
        <v>46130</v>
      </c>
      <c r="F20" s="11">
        <v>2</v>
      </c>
      <c r="G20" s="10" t="s">
        <v>231</v>
      </c>
      <c r="H20" s="11">
        <v>98</v>
      </c>
      <c r="I20" s="10" t="s">
        <v>236</v>
      </c>
      <c r="J20" s="11">
        <v>12</v>
      </c>
      <c r="K20" s="16">
        <f t="shared" si="0"/>
        <v>46495</v>
      </c>
      <c r="L20" s="13" t="str">
        <f t="shared" si="1"/>
        <v>Sim</v>
      </c>
    </row>
    <row r="21" spans="1:12" ht="26.4" x14ac:dyDescent="0.3">
      <c r="A21" s="10" t="s">
        <v>256</v>
      </c>
      <c r="B21" s="10" t="s">
        <v>253</v>
      </c>
      <c r="C21" s="10" t="s">
        <v>129</v>
      </c>
      <c r="D21" s="10" t="s">
        <v>95</v>
      </c>
      <c r="E21" s="15">
        <v>46136</v>
      </c>
      <c r="F21" s="11">
        <v>1</v>
      </c>
      <c r="G21" s="10" t="s">
        <v>231</v>
      </c>
      <c r="H21" s="11">
        <v>98</v>
      </c>
      <c r="I21" s="10" t="s">
        <v>236</v>
      </c>
      <c r="J21" s="11">
        <v>12</v>
      </c>
      <c r="K21" s="16">
        <f t="shared" si="0"/>
        <v>46501</v>
      </c>
      <c r="L21" s="13" t="str">
        <f t="shared" si="1"/>
        <v>Sim</v>
      </c>
    </row>
    <row r="22" spans="1:12" x14ac:dyDescent="0.3">
      <c r="A22" s="10" t="s">
        <v>257</v>
      </c>
      <c r="B22" s="10" t="s">
        <v>258</v>
      </c>
      <c r="C22" s="10" t="s">
        <v>129</v>
      </c>
      <c r="D22" s="10" t="s">
        <v>67</v>
      </c>
      <c r="E22" s="15">
        <v>46185</v>
      </c>
      <c r="F22" s="11">
        <v>4</v>
      </c>
      <c r="G22" s="10" t="s">
        <v>231</v>
      </c>
      <c r="H22" s="11">
        <v>88</v>
      </c>
      <c r="I22" s="10" t="s">
        <v>232</v>
      </c>
      <c r="J22" s="11">
        <v>24</v>
      </c>
      <c r="K22" s="16">
        <f t="shared" si="0"/>
        <v>46916</v>
      </c>
      <c r="L22" s="13" t="str">
        <f t="shared" si="1"/>
        <v>Sim</v>
      </c>
    </row>
    <row r="23" spans="1:12" x14ac:dyDescent="0.3">
      <c r="A23" s="10" t="s">
        <v>259</v>
      </c>
      <c r="B23" s="10" t="s">
        <v>258</v>
      </c>
      <c r="C23" s="10" t="s">
        <v>129</v>
      </c>
      <c r="D23" s="10" t="s">
        <v>71</v>
      </c>
      <c r="E23" s="15">
        <v>46316</v>
      </c>
      <c r="F23" s="11">
        <v>2</v>
      </c>
      <c r="G23" s="10" t="s">
        <v>231</v>
      </c>
      <c r="H23" s="11">
        <v>86</v>
      </c>
      <c r="I23" s="10" t="s">
        <v>232</v>
      </c>
      <c r="J23" s="11">
        <v>12</v>
      </c>
      <c r="K23" s="16">
        <f t="shared" si="0"/>
        <v>46681</v>
      </c>
      <c r="L23" s="13" t="str">
        <f t="shared" si="1"/>
        <v>Sim</v>
      </c>
    </row>
    <row r="24" spans="1:12" x14ac:dyDescent="0.3">
      <c r="A24" s="10" t="s">
        <v>260</v>
      </c>
      <c r="B24" s="10" t="s">
        <v>258</v>
      </c>
      <c r="C24" s="10" t="s">
        <v>129</v>
      </c>
      <c r="D24" s="10" t="s">
        <v>74</v>
      </c>
      <c r="E24" s="15">
        <v>46333</v>
      </c>
      <c r="F24" s="11">
        <v>2</v>
      </c>
      <c r="G24" s="10" t="s">
        <v>231</v>
      </c>
      <c r="H24" s="11">
        <v>88</v>
      </c>
      <c r="I24" s="10" t="s">
        <v>232</v>
      </c>
      <c r="J24" s="11">
        <v>12</v>
      </c>
      <c r="K24" s="16">
        <f t="shared" si="0"/>
        <v>46698</v>
      </c>
      <c r="L24" s="13" t="str">
        <f t="shared" si="1"/>
        <v>Sim</v>
      </c>
    </row>
    <row r="25" spans="1:12" x14ac:dyDescent="0.3">
      <c r="A25" s="10" t="s">
        <v>261</v>
      </c>
      <c r="B25" s="10" t="s">
        <v>258</v>
      </c>
      <c r="C25" s="10" t="s">
        <v>129</v>
      </c>
      <c r="D25" s="10" t="s">
        <v>95</v>
      </c>
      <c r="E25" s="15">
        <v>46098</v>
      </c>
      <c r="F25" s="11">
        <v>1</v>
      </c>
      <c r="G25" s="10" t="s">
        <v>231</v>
      </c>
      <c r="H25" s="11">
        <v>96</v>
      </c>
      <c r="I25" s="10" t="s">
        <v>232</v>
      </c>
      <c r="J25" s="11">
        <v>12</v>
      </c>
      <c r="K25" s="16">
        <f t="shared" si="0"/>
        <v>46463</v>
      </c>
      <c r="L25" s="13" t="str">
        <f t="shared" si="1"/>
        <v>Sim</v>
      </c>
    </row>
    <row r="26" spans="1:12" ht="26.4" x14ac:dyDescent="0.3">
      <c r="A26" s="10" t="s">
        <v>262</v>
      </c>
      <c r="B26" s="10" t="s">
        <v>263</v>
      </c>
      <c r="C26" s="10" t="s">
        <v>141</v>
      </c>
      <c r="D26" s="10" t="s">
        <v>78</v>
      </c>
      <c r="E26" s="15">
        <v>46259</v>
      </c>
      <c r="F26" s="11">
        <v>1</v>
      </c>
      <c r="G26" s="10" t="s">
        <v>231</v>
      </c>
      <c r="H26" s="11">
        <v>76</v>
      </c>
      <c r="I26" s="10" t="s">
        <v>236</v>
      </c>
      <c r="J26" s="11">
        <v>24</v>
      </c>
      <c r="K26" s="16">
        <f t="shared" si="0"/>
        <v>46990</v>
      </c>
      <c r="L26" s="13" t="str">
        <f t="shared" si="1"/>
        <v>Sim</v>
      </c>
    </row>
    <row r="27" spans="1:12" x14ac:dyDescent="0.3">
      <c r="A27" s="10" t="s">
        <v>264</v>
      </c>
      <c r="B27" s="10" t="s">
        <v>263</v>
      </c>
      <c r="C27" s="10" t="s">
        <v>141</v>
      </c>
      <c r="D27" s="10" t="s">
        <v>81</v>
      </c>
      <c r="E27" s="15">
        <v>46061</v>
      </c>
      <c r="F27" s="11">
        <v>1</v>
      </c>
      <c r="G27" s="10" t="s">
        <v>231</v>
      </c>
      <c r="H27" s="11">
        <v>95</v>
      </c>
      <c r="I27" s="10" t="s">
        <v>232</v>
      </c>
      <c r="J27" s="11">
        <v>24</v>
      </c>
      <c r="K27" s="16">
        <f t="shared" si="0"/>
        <v>46791</v>
      </c>
      <c r="L27" s="13" t="str">
        <f t="shared" si="1"/>
        <v>Sim</v>
      </c>
    </row>
    <row r="28" spans="1:12" ht="26.4" x14ac:dyDescent="0.3">
      <c r="A28" s="10" t="s">
        <v>265</v>
      </c>
      <c r="B28" s="10" t="s">
        <v>263</v>
      </c>
      <c r="C28" s="10" t="s">
        <v>141</v>
      </c>
      <c r="D28" s="10" t="s">
        <v>95</v>
      </c>
      <c r="E28" s="15">
        <v>46205</v>
      </c>
      <c r="F28" s="11">
        <v>1</v>
      </c>
      <c r="G28" s="10" t="s">
        <v>231</v>
      </c>
      <c r="H28" s="11">
        <v>98</v>
      </c>
      <c r="I28" s="10" t="s">
        <v>236</v>
      </c>
      <c r="J28" s="11">
        <v>12</v>
      </c>
      <c r="K28" s="16">
        <f t="shared" si="0"/>
        <v>46570</v>
      </c>
      <c r="L28" s="13" t="str">
        <f t="shared" si="1"/>
        <v>Sim</v>
      </c>
    </row>
    <row r="29" spans="1:12" x14ac:dyDescent="0.3">
      <c r="A29" s="10" t="s">
        <v>266</v>
      </c>
      <c r="B29" s="10" t="s">
        <v>267</v>
      </c>
      <c r="C29" s="10" t="s">
        <v>141</v>
      </c>
      <c r="D29" s="10" t="s">
        <v>78</v>
      </c>
      <c r="E29" s="15">
        <v>45947</v>
      </c>
      <c r="F29" s="11">
        <v>1</v>
      </c>
      <c r="G29" s="10" t="s">
        <v>231</v>
      </c>
      <c r="H29" s="11">
        <v>90</v>
      </c>
      <c r="I29" s="10" t="s">
        <v>232</v>
      </c>
      <c r="J29" s="11">
        <v>24</v>
      </c>
      <c r="K29" s="16">
        <f t="shared" si="0"/>
        <v>46677</v>
      </c>
      <c r="L29" s="13" t="str">
        <f t="shared" si="1"/>
        <v>Sim</v>
      </c>
    </row>
    <row r="30" spans="1:12" x14ac:dyDescent="0.3">
      <c r="A30" s="10" t="s">
        <v>268</v>
      </c>
      <c r="B30" s="10" t="s">
        <v>267</v>
      </c>
      <c r="C30" s="10" t="s">
        <v>141</v>
      </c>
      <c r="D30" s="10" t="s">
        <v>81</v>
      </c>
      <c r="E30" s="15">
        <v>46203</v>
      </c>
      <c r="F30" s="11">
        <v>1</v>
      </c>
      <c r="G30" s="10" t="s">
        <v>231</v>
      </c>
      <c r="H30" s="11">
        <v>71</v>
      </c>
      <c r="I30" s="10" t="s">
        <v>232</v>
      </c>
      <c r="J30" s="11">
        <v>24</v>
      </c>
      <c r="K30" s="16">
        <f t="shared" si="0"/>
        <v>46934</v>
      </c>
      <c r="L30" s="13" t="str">
        <f t="shared" si="1"/>
        <v>Sim</v>
      </c>
    </row>
    <row r="31" spans="1:12" ht="26.4" x14ac:dyDescent="0.3">
      <c r="A31" s="10" t="s">
        <v>269</v>
      </c>
      <c r="B31" s="10" t="s">
        <v>267</v>
      </c>
      <c r="C31" s="10" t="s">
        <v>141</v>
      </c>
      <c r="D31" s="10" t="s">
        <v>95</v>
      </c>
      <c r="E31" s="15">
        <v>46205</v>
      </c>
      <c r="F31" s="11">
        <v>1</v>
      </c>
      <c r="G31" s="10" t="s">
        <v>231</v>
      </c>
      <c r="H31" s="11">
        <v>95</v>
      </c>
      <c r="I31" s="10" t="s">
        <v>236</v>
      </c>
      <c r="J31" s="11">
        <v>12</v>
      </c>
      <c r="K31" s="16">
        <f t="shared" si="0"/>
        <v>46570</v>
      </c>
      <c r="L31" s="13" t="str">
        <f t="shared" si="1"/>
        <v>Sim</v>
      </c>
    </row>
    <row r="32" spans="1:12" x14ac:dyDescent="0.3">
      <c r="A32" s="10" t="s">
        <v>270</v>
      </c>
      <c r="B32" s="10" t="s">
        <v>271</v>
      </c>
      <c r="C32" s="10" t="s">
        <v>141</v>
      </c>
      <c r="D32" s="10" t="s">
        <v>78</v>
      </c>
      <c r="E32" s="15">
        <v>46056</v>
      </c>
      <c r="F32" s="11">
        <v>1</v>
      </c>
      <c r="G32" s="10" t="s">
        <v>231</v>
      </c>
      <c r="H32" s="11">
        <v>88</v>
      </c>
      <c r="I32" s="10" t="s">
        <v>232</v>
      </c>
      <c r="J32" s="11">
        <v>24</v>
      </c>
      <c r="K32" s="16">
        <f t="shared" si="0"/>
        <v>46786</v>
      </c>
      <c r="L32" s="13" t="str">
        <f t="shared" si="1"/>
        <v>Sim</v>
      </c>
    </row>
    <row r="33" spans="1:12" x14ac:dyDescent="0.3">
      <c r="A33" s="10" t="s">
        <v>272</v>
      </c>
      <c r="B33" s="10" t="s">
        <v>271</v>
      </c>
      <c r="C33" s="10" t="s">
        <v>141</v>
      </c>
      <c r="D33" s="10" t="s">
        <v>81</v>
      </c>
      <c r="E33" s="15">
        <v>46022</v>
      </c>
      <c r="F33" s="11">
        <v>1</v>
      </c>
      <c r="G33" s="10" t="s">
        <v>231</v>
      </c>
      <c r="H33" s="11">
        <v>70</v>
      </c>
      <c r="I33" s="10" t="s">
        <v>232</v>
      </c>
      <c r="J33" s="11">
        <v>24</v>
      </c>
      <c r="K33" s="16">
        <f t="shared" si="0"/>
        <v>46752</v>
      </c>
      <c r="L33" s="13" t="str">
        <f t="shared" si="1"/>
        <v>Sim</v>
      </c>
    </row>
    <row r="34" spans="1:12" ht="26.4" x14ac:dyDescent="0.3">
      <c r="A34" s="10" t="s">
        <v>273</v>
      </c>
      <c r="B34" s="10" t="s">
        <v>271</v>
      </c>
      <c r="C34" s="10" t="s">
        <v>141</v>
      </c>
      <c r="D34" s="10" t="s">
        <v>95</v>
      </c>
      <c r="E34" s="15">
        <v>45969</v>
      </c>
      <c r="F34" s="11">
        <v>1</v>
      </c>
      <c r="G34" s="10" t="s">
        <v>231</v>
      </c>
      <c r="H34" s="11">
        <v>70</v>
      </c>
      <c r="I34" s="10" t="s">
        <v>236</v>
      </c>
      <c r="J34" s="11">
        <v>12</v>
      </c>
      <c r="K34" s="16">
        <f t="shared" ref="K34:K65" si="2">IF(OR(E34="",J34=0),"",EDATE(E34,J34))</f>
        <v>46334</v>
      </c>
      <c r="L34" s="13" t="str">
        <f t="shared" ref="L34:L65" si="3">IF(G34&lt;&gt;"Aprovado","Não",IF(K34="","Sim",IF(K34&gt;=DataRef,"Sim","Não")))</f>
        <v>Não</v>
      </c>
    </row>
    <row r="35" spans="1:12" x14ac:dyDescent="0.3">
      <c r="A35" s="10" t="s">
        <v>274</v>
      </c>
      <c r="B35" s="10" t="s">
        <v>275</v>
      </c>
      <c r="C35" s="10" t="s">
        <v>141</v>
      </c>
      <c r="D35" s="10" t="s">
        <v>78</v>
      </c>
      <c r="E35" s="15">
        <v>46215</v>
      </c>
      <c r="F35" s="11">
        <v>1</v>
      </c>
      <c r="G35" s="10" t="s">
        <v>231</v>
      </c>
      <c r="H35" s="11">
        <v>74</v>
      </c>
      <c r="I35" s="10" t="s">
        <v>232</v>
      </c>
      <c r="J35" s="11">
        <v>24</v>
      </c>
      <c r="K35" s="16">
        <f t="shared" si="2"/>
        <v>46946</v>
      </c>
      <c r="L35" s="13" t="str">
        <f t="shared" si="3"/>
        <v>Sim</v>
      </c>
    </row>
    <row r="36" spans="1:12" x14ac:dyDescent="0.3">
      <c r="A36" s="10" t="s">
        <v>276</v>
      </c>
      <c r="B36" s="10" t="s">
        <v>275</v>
      </c>
      <c r="C36" s="10" t="s">
        <v>141</v>
      </c>
      <c r="D36" s="10" t="s">
        <v>81</v>
      </c>
      <c r="E36" s="15">
        <v>46089</v>
      </c>
      <c r="F36" s="11">
        <v>1</v>
      </c>
      <c r="G36" s="10" t="s">
        <v>231</v>
      </c>
      <c r="H36" s="11">
        <v>70</v>
      </c>
      <c r="I36" s="10" t="s">
        <v>232</v>
      </c>
      <c r="J36" s="11">
        <v>24</v>
      </c>
      <c r="K36" s="16">
        <f t="shared" si="2"/>
        <v>46820</v>
      </c>
      <c r="L36" s="13" t="str">
        <f t="shared" si="3"/>
        <v>Sim</v>
      </c>
    </row>
    <row r="37" spans="1:12" x14ac:dyDescent="0.3">
      <c r="A37" s="10" t="s">
        <v>277</v>
      </c>
      <c r="B37" s="10" t="s">
        <v>275</v>
      </c>
      <c r="C37" s="10" t="s">
        <v>141</v>
      </c>
      <c r="D37" s="10" t="s">
        <v>95</v>
      </c>
      <c r="E37" s="15">
        <v>46015</v>
      </c>
      <c r="F37" s="11">
        <v>1</v>
      </c>
      <c r="G37" s="10" t="s">
        <v>231</v>
      </c>
      <c r="H37" s="11">
        <v>78</v>
      </c>
      <c r="I37" s="10" t="s">
        <v>232</v>
      </c>
      <c r="J37" s="11">
        <v>12</v>
      </c>
      <c r="K37" s="16">
        <f t="shared" si="2"/>
        <v>46380</v>
      </c>
      <c r="L37" s="13" t="str">
        <f t="shared" si="3"/>
        <v>Não</v>
      </c>
    </row>
    <row r="38" spans="1:12" ht="26.4" x14ac:dyDescent="0.3">
      <c r="A38" s="10" t="s">
        <v>278</v>
      </c>
      <c r="B38" s="10" t="s">
        <v>279</v>
      </c>
      <c r="C38" s="10" t="s">
        <v>141</v>
      </c>
      <c r="D38" s="10" t="s">
        <v>78</v>
      </c>
      <c r="E38" s="15">
        <v>46056</v>
      </c>
      <c r="F38" s="11">
        <v>1</v>
      </c>
      <c r="G38" s="10" t="s">
        <v>231</v>
      </c>
      <c r="H38" s="11">
        <v>74</v>
      </c>
      <c r="I38" s="10" t="s">
        <v>236</v>
      </c>
      <c r="J38" s="11">
        <v>24</v>
      </c>
      <c r="K38" s="16">
        <f t="shared" si="2"/>
        <v>46786</v>
      </c>
      <c r="L38" s="13" t="str">
        <f t="shared" si="3"/>
        <v>Sim</v>
      </c>
    </row>
    <row r="39" spans="1:12" ht="26.4" x14ac:dyDescent="0.3">
      <c r="A39" s="10" t="s">
        <v>280</v>
      </c>
      <c r="B39" s="10" t="s">
        <v>279</v>
      </c>
      <c r="C39" s="10" t="s">
        <v>141</v>
      </c>
      <c r="D39" s="10" t="s">
        <v>81</v>
      </c>
      <c r="E39" s="15">
        <v>46055</v>
      </c>
      <c r="F39" s="11">
        <v>1</v>
      </c>
      <c r="G39" s="10" t="s">
        <v>231</v>
      </c>
      <c r="H39" s="11">
        <v>72</v>
      </c>
      <c r="I39" s="10" t="s">
        <v>236</v>
      </c>
      <c r="J39" s="11">
        <v>24</v>
      </c>
      <c r="K39" s="16">
        <f t="shared" si="2"/>
        <v>46785</v>
      </c>
      <c r="L39" s="13" t="str">
        <f t="shared" si="3"/>
        <v>Sim</v>
      </c>
    </row>
    <row r="40" spans="1:12" x14ac:dyDescent="0.3">
      <c r="A40" s="10" t="s">
        <v>281</v>
      </c>
      <c r="B40" s="10" t="s">
        <v>279</v>
      </c>
      <c r="C40" s="10" t="s">
        <v>141</v>
      </c>
      <c r="D40" s="10" t="s">
        <v>95</v>
      </c>
      <c r="E40" s="15">
        <v>45993</v>
      </c>
      <c r="F40" s="11">
        <v>1</v>
      </c>
      <c r="G40" s="10" t="s">
        <v>231</v>
      </c>
      <c r="H40" s="11">
        <v>70</v>
      </c>
      <c r="I40" s="10" t="s">
        <v>232</v>
      </c>
      <c r="J40" s="11">
        <v>12</v>
      </c>
      <c r="K40" s="16">
        <f t="shared" si="2"/>
        <v>46358</v>
      </c>
      <c r="L40" s="13" t="str">
        <f t="shared" si="3"/>
        <v>Não</v>
      </c>
    </row>
    <row r="41" spans="1:12" x14ac:dyDescent="0.3">
      <c r="A41" s="10" t="s">
        <v>282</v>
      </c>
      <c r="B41" s="10" t="s">
        <v>283</v>
      </c>
      <c r="C41" s="10" t="s">
        <v>141</v>
      </c>
      <c r="D41" s="10" t="s">
        <v>78</v>
      </c>
      <c r="E41" s="15">
        <v>46199</v>
      </c>
      <c r="F41" s="11">
        <v>1</v>
      </c>
      <c r="G41" s="10" t="s">
        <v>231</v>
      </c>
      <c r="H41" s="11">
        <v>79</v>
      </c>
      <c r="I41" s="10" t="s">
        <v>232</v>
      </c>
      <c r="J41" s="11">
        <v>24</v>
      </c>
      <c r="K41" s="16">
        <f t="shared" si="2"/>
        <v>46930</v>
      </c>
      <c r="L41" s="13" t="str">
        <f t="shared" si="3"/>
        <v>Sim</v>
      </c>
    </row>
    <row r="42" spans="1:12" ht="26.4" x14ac:dyDescent="0.3">
      <c r="A42" s="10" t="s">
        <v>284</v>
      </c>
      <c r="B42" s="10" t="s">
        <v>283</v>
      </c>
      <c r="C42" s="10" t="s">
        <v>141</v>
      </c>
      <c r="D42" s="10" t="s">
        <v>81</v>
      </c>
      <c r="E42" s="15">
        <v>46120</v>
      </c>
      <c r="F42" s="11">
        <v>1</v>
      </c>
      <c r="G42" s="10" t="s">
        <v>231</v>
      </c>
      <c r="H42" s="11">
        <v>93</v>
      </c>
      <c r="I42" s="10" t="s">
        <v>236</v>
      </c>
      <c r="J42" s="11">
        <v>24</v>
      </c>
      <c r="K42" s="16">
        <f t="shared" si="2"/>
        <v>46851</v>
      </c>
      <c r="L42" s="13" t="str">
        <f t="shared" si="3"/>
        <v>Sim</v>
      </c>
    </row>
    <row r="43" spans="1:12" x14ac:dyDescent="0.3">
      <c r="A43" s="10" t="s">
        <v>285</v>
      </c>
      <c r="B43" s="10" t="s">
        <v>283</v>
      </c>
      <c r="C43" s="10" t="s">
        <v>141</v>
      </c>
      <c r="D43" s="10" t="s">
        <v>95</v>
      </c>
      <c r="E43" s="15">
        <v>46145</v>
      </c>
      <c r="F43" s="11">
        <v>1</v>
      </c>
      <c r="G43" s="10" t="s">
        <v>231</v>
      </c>
      <c r="H43" s="11">
        <v>78</v>
      </c>
      <c r="I43" s="10" t="s">
        <v>232</v>
      </c>
      <c r="J43" s="11">
        <v>12</v>
      </c>
      <c r="K43" s="16">
        <f t="shared" si="2"/>
        <v>46510</v>
      </c>
      <c r="L43" s="13" t="str">
        <f t="shared" si="3"/>
        <v>Sim</v>
      </c>
    </row>
    <row r="44" spans="1:12" ht="26.4" x14ac:dyDescent="0.3">
      <c r="A44" s="10" t="s">
        <v>286</v>
      </c>
      <c r="B44" s="10" t="s">
        <v>287</v>
      </c>
      <c r="C44" s="10" t="s">
        <v>153</v>
      </c>
      <c r="D44" s="10" t="s">
        <v>78</v>
      </c>
      <c r="E44" s="15">
        <v>46012</v>
      </c>
      <c r="F44" s="11">
        <v>1</v>
      </c>
      <c r="G44" s="10" t="s">
        <v>231</v>
      </c>
      <c r="H44" s="11">
        <v>97</v>
      </c>
      <c r="I44" s="10" t="s">
        <v>236</v>
      </c>
      <c r="J44" s="11">
        <v>24</v>
      </c>
      <c r="K44" s="16">
        <f t="shared" si="2"/>
        <v>46742</v>
      </c>
      <c r="L44" s="13" t="str">
        <f t="shared" si="3"/>
        <v>Sim</v>
      </c>
    </row>
    <row r="45" spans="1:12" ht="26.4" x14ac:dyDescent="0.3">
      <c r="A45" s="10" t="s">
        <v>288</v>
      </c>
      <c r="B45" s="10" t="s">
        <v>287</v>
      </c>
      <c r="C45" s="10" t="s">
        <v>153</v>
      </c>
      <c r="D45" s="10" t="s">
        <v>81</v>
      </c>
      <c r="E45" s="15">
        <v>46163</v>
      </c>
      <c r="F45" s="11">
        <v>1</v>
      </c>
      <c r="G45" s="10" t="s">
        <v>231</v>
      </c>
      <c r="H45" s="11">
        <v>90</v>
      </c>
      <c r="I45" s="10" t="s">
        <v>236</v>
      </c>
      <c r="J45" s="11">
        <v>24</v>
      </c>
      <c r="K45" s="16">
        <f t="shared" si="2"/>
        <v>46894</v>
      </c>
      <c r="L45" s="13" t="str">
        <f t="shared" si="3"/>
        <v>Sim</v>
      </c>
    </row>
    <row r="46" spans="1:12" ht="26.4" x14ac:dyDescent="0.3">
      <c r="A46" s="10" t="s">
        <v>289</v>
      </c>
      <c r="B46" s="10" t="s">
        <v>287</v>
      </c>
      <c r="C46" s="10" t="s">
        <v>153</v>
      </c>
      <c r="D46" s="10" t="s">
        <v>95</v>
      </c>
      <c r="E46" s="15">
        <v>46010</v>
      </c>
      <c r="F46" s="11">
        <v>1</v>
      </c>
      <c r="G46" s="10" t="s">
        <v>231</v>
      </c>
      <c r="H46" s="11">
        <v>96</v>
      </c>
      <c r="I46" s="10" t="s">
        <v>236</v>
      </c>
      <c r="J46" s="11">
        <v>12</v>
      </c>
      <c r="K46" s="16">
        <f t="shared" si="2"/>
        <v>46375</v>
      </c>
      <c r="L46" s="13" t="str">
        <f t="shared" si="3"/>
        <v>Não</v>
      </c>
    </row>
    <row r="47" spans="1:12" ht="26.4" x14ac:dyDescent="0.3">
      <c r="A47" s="10" t="s">
        <v>290</v>
      </c>
      <c r="B47" s="10" t="s">
        <v>291</v>
      </c>
      <c r="C47" s="10" t="s">
        <v>153</v>
      </c>
      <c r="D47" s="10" t="s">
        <v>78</v>
      </c>
      <c r="E47" s="15">
        <v>46253</v>
      </c>
      <c r="F47" s="11">
        <v>1</v>
      </c>
      <c r="G47" s="10" t="s">
        <v>231</v>
      </c>
      <c r="H47" s="11">
        <v>73</v>
      </c>
      <c r="I47" s="10" t="s">
        <v>236</v>
      </c>
      <c r="J47" s="11">
        <v>24</v>
      </c>
      <c r="K47" s="16">
        <f t="shared" si="2"/>
        <v>46984</v>
      </c>
      <c r="L47" s="13" t="str">
        <f t="shared" si="3"/>
        <v>Sim</v>
      </c>
    </row>
    <row r="48" spans="1:12" x14ac:dyDescent="0.3">
      <c r="A48" s="10" t="s">
        <v>292</v>
      </c>
      <c r="B48" s="10" t="s">
        <v>291</v>
      </c>
      <c r="C48" s="10" t="s">
        <v>153</v>
      </c>
      <c r="D48" s="10" t="s">
        <v>81</v>
      </c>
      <c r="E48" s="15">
        <v>46090</v>
      </c>
      <c r="F48" s="11">
        <v>1</v>
      </c>
      <c r="G48" s="10" t="s">
        <v>231</v>
      </c>
      <c r="H48" s="11">
        <v>74</v>
      </c>
      <c r="I48" s="10" t="s">
        <v>232</v>
      </c>
      <c r="J48" s="11">
        <v>24</v>
      </c>
      <c r="K48" s="16">
        <f t="shared" si="2"/>
        <v>46821</v>
      </c>
      <c r="L48" s="13" t="str">
        <f t="shared" si="3"/>
        <v>Sim</v>
      </c>
    </row>
    <row r="49" spans="1:12" ht="26.4" x14ac:dyDescent="0.3">
      <c r="A49" s="10" t="s">
        <v>293</v>
      </c>
      <c r="B49" s="10" t="s">
        <v>291</v>
      </c>
      <c r="C49" s="10" t="s">
        <v>153</v>
      </c>
      <c r="D49" s="10" t="s">
        <v>95</v>
      </c>
      <c r="E49" s="15">
        <v>45947</v>
      </c>
      <c r="F49" s="11">
        <v>1</v>
      </c>
      <c r="G49" s="10" t="s">
        <v>231</v>
      </c>
      <c r="H49" s="11">
        <v>94</v>
      </c>
      <c r="I49" s="10" t="s">
        <v>236</v>
      </c>
      <c r="J49" s="11">
        <v>12</v>
      </c>
      <c r="K49" s="16">
        <f t="shared" si="2"/>
        <v>46312</v>
      </c>
      <c r="L49" s="13" t="str">
        <f t="shared" si="3"/>
        <v>Não</v>
      </c>
    </row>
    <row r="50" spans="1:12" ht="26.4" x14ac:dyDescent="0.3">
      <c r="A50" s="10" t="s">
        <v>294</v>
      </c>
      <c r="B50" s="10" t="s">
        <v>295</v>
      </c>
      <c r="C50" s="10" t="s">
        <v>153</v>
      </c>
      <c r="D50" s="10" t="s">
        <v>78</v>
      </c>
      <c r="E50" s="15">
        <v>45971</v>
      </c>
      <c r="F50" s="11">
        <v>1</v>
      </c>
      <c r="G50" s="10" t="s">
        <v>231</v>
      </c>
      <c r="H50" s="11">
        <v>93</v>
      </c>
      <c r="I50" s="10" t="s">
        <v>236</v>
      </c>
      <c r="J50" s="11">
        <v>24</v>
      </c>
      <c r="K50" s="16">
        <f t="shared" si="2"/>
        <v>46701</v>
      </c>
      <c r="L50" s="13" t="str">
        <f t="shared" si="3"/>
        <v>Sim</v>
      </c>
    </row>
    <row r="51" spans="1:12" x14ac:dyDescent="0.3">
      <c r="A51" s="10" t="s">
        <v>296</v>
      </c>
      <c r="B51" s="10" t="s">
        <v>295</v>
      </c>
      <c r="C51" s="10" t="s">
        <v>153</v>
      </c>
      <c r="D51" s="10" t="s">
        <v>81</v>
      </c>
      <c r="E51" s="15">
        <v>45957</v>
      </c>
      <c r="F51" s="11">
        <v>1</v>
      </c>
      <c r="G51" s="10" t="s">
        <v>231</v>
      </c>
      <c r="H51" s="11">
        <v>78</v>
      </c>
      <c r="I51" s="10" t="s">
        <v>232</v>
      </c>
      <c r="J51" s="11">
        <v>24</v>
      </c>
      <c r="K51" s="16">
        <f t="shared" si="2"/>
        <v>46687</v>
      </c>
      <c r="L51" s="13" t="str">
        <f t="shared" si="3"/>
        <v>Sim</v>
      </c>
    </row>
    <row r="52" spans="1:12" x14ac:dyDescent="0.3">
      <c r="A52" s="10" t="s">
        <v>297</v>
      </c>
      <c r="B52" s="10" t="s">
        <v>295</v>
      </c>
      <c r="C52" s="10" t="s">
        <v>153</v>
      </c>
      <c r="D52" s="10" t="s">
        <v>95</v>
      </c>
      <c r="E52" s="15">
        <v>45965</v>
      </c>
      <c r="F52" s="11">
        <v>1</v>
      </c>
      <c r="G52" s="10" t="s">
        <v>231</v>
      </c>
      <c r="H52" s="11">
        <v>72</v>
      </c>
      <c r="I52" s="10" t="s">
        <v>232</v>
      </c>
      <c r="J52" s="11">
        <v>12</v>
      </c>
      <c r="K52" s="16">
        <f t="shared" si="2"/>
        <v>46330</v>
      </c>
      <c r="L52" s="13" t="str">
        <f t="shared" si="3"/>
        <v>Não</v>
      </c>
    </row>
    <row r="53" spans="1:12" ht="26.4" x14ac:dyDescent="0.3">
      <c r="A53" s="10" t="s">
        <v>298</v>
      </c>
      <c r="B53" s="10" t="s">
        <v>299</v>
      </c>
      <c r="C53" s="10" t="s">
        <v>153</v>
      </c>
      <c r="D53" s="10" t="s">
        <v>78</v>
      </c>
      <c r="E53" s="15">
        <v>46005</v>
      </c>
      <c r="F53" s="11">
        <v>1</v>
      </c>
      <c r="G53" s="10" t="s">
        <v>231</v>
      </c>
      <c r="H53" s="11">
        <v>80</v>
      </c>
      <c r="I53" s="10" t="s">
        <v>236</v>
      </c>
      <c r="J53" s="11">
        <v>24</v>
      </c>
      <c r="K53" s="16">
        <f t="shared" si="2"/>
        <v>46735</v>
      </c>
      <c r="L53" s="13" t="str">
        <f t="shared" si="3"/>
        <v>Sim</v>
      </c>
    </row>
    <row r="54" spans="1:12" x14ac:dyDescent="0.3">
      <c r="A54" s="10" t="s">
        <v>300</v>
      </c>
      <c r="B54" s="10" t="s">
        <v>299</v>
      </c>
      <c r="C54" s="10" t="s">
        <v>153</v>
      </c>
      <c r="D54" s="10" t="s">
        <v>81</v>
      </c>
      <c r="E54" s="15">
        <v>46235</v>
      </c>
      <c r="F54" s="11">
        <v>1</v>
      </c>
      <c r="G54" s="10" t="s">
        <v>231</v>
      </c>
      <c r="H54" s="11">
        <v>86</v>
      </c>
      <c r="I54" s="10" t="s">
        <v>232</v>
      </c>
      <c r="J54" s="11">
        <v>24</v>
      </c>
      <c r="K54" s="16">
        <f t="shared" si="2"/>
        <v>46966</v>
      </c>
      <c r="L54" s="13" t="str">
        <f t="shared" si="3"/>
        <v>Sim</v>
      </c>
    </row>
    <row r="55" spans="1:12" ht="26.4" x14ac:dyDescent="0.3">
      <c r="A55" s="10" t="s">
        <v>301</v>
      </c>
      <c r="B55" s="10" t="s">
        <v>299</v>
      </c>
      <c r="C55" s="10" t="s">
        <v>153</v>
      </c>
      <c r="D55" s="10" t="s">
        <v>95</v>
      </c>
      <c r="E55" s="15">
        <v>45937</v>
      </c>
      <c r="F55" s="11">
        <v>1</v>
      </c>
      <c r="G55" s="10" t="s">
        <v>231</v>
      </c>
      <c r="H55" s="11">
        <v>76</v>
      </c>
      <c r="I55" s="10" t="s">
        <v>236</v>
      </c>
      <c r="J55" s="11">
        <v>12</v>
      </c>
      <c r="K55" s="16">
        <f t="shared" si="2"/>
        <v>46302</v>
      </c>
      <c r="L55" s="13" t="str">
        <f t="shared" si="3"/>
        <v>Não</v>
      </c>
    </row>
    <row r="56" spans="1:12" ht="26.4" x14ac:dyDescent="0.3">
      <c r="A56" s="10" t="s">
        <v>302</v>
      </c>
      <c r="B56" s="10" t="s">
        <v>303</v>
      </c>
      <c r="C56" s="10" t="s">
        <v>153</v>
      </c>
      <c r="D56" s="10" t="s">
        <v>78</v>
      </c>
      <c r="E56" s="15">
        <v>46146</v>
      </c>
      <c r="F56" s="11">
        <v>1</v>
      </c>
      <c r="G56" s="10" t="s">
        <v>231</v>
      </c>
      <c r="H56" s="11">
        <v>96</v>
      </c>
      <c r="I56" s="10" t="s">
        <v>236</v>
      </c>
      <c r="J56" s="11">
        <v>24</v>
      </c>
      <c r="K56" s="16">
        <f t="shared" si="2"/>
        <v>46877</v>
      </c>
      <c r="L56" s="13" t="str">
        <f t="shared" si="3"/>
        <v>Sim</v>
      </c>
    </row>
    <row r="57" spans="1:12" ht="26.4" x14ac:dyDescent="0.3">
      <c r="A57" s="10" t="s">
        <v>304</v>
      </c>
      <c r="B57" s="10" t="s">
        <v>303</v>
      </c>
      <c r="C57" s="10" t="s">
        <v>153</v>
      </c>
      <c r="D57" s="10" t="s">
        <v>81</v>
      </c>
      <c r="E57" s="15">
        <v>46146</v>
      </c>
      <c r="F57" s="11">
        <v>1</v>
      </c>
      <c r="G57" s="10" t="s">
        <v>231</v>
      </c>
      <c r="H57" s="11">
        <v>86</v>
      </c>
      <c r="I57" s="10" t="s">
        <v>236</v>
      </c>
      <c r="J57" s="11">
        <v>24</v>
      </c>
      <c r="K57" s="16">
        <f t="shared" si="2"/>
        <v>46877</v>
      </c>
      <c r="L57" s="13" t="str">
        <f t="shared" si="3"/>
        <v>Sim</v>
      </c>
    </row>
    <row r="58" spans="1:12" x14ac:dyDescent="0.3">
      <c r="A58" s="10" t="s">
        <v>305</v>
      </c>
      <c r="B58" s="10" t="s">
        <v>303</v>
      </c>
      <c r="C58" s="10" t="s">
        <v>153</v>
      </c>
      <c r="D58" s="10" t="s">
        <v>95</v>
      </c>
      <c r="E58" s="15">
        <v>45981</v>
      </c>
      <c r="F58" s="11">
        <v>1</v>
      </c>
      <c r="G58" s="10" t="s">
        <v>231</v>
      </c>
      <c r="H58" s="11">
        <v>79</v>
      </c>
      <c r="I58" s="10" t="s">
        <v>232</v>
      </c>
      <c r="J58" s="11">
        <v>12</v>
      </c>
      <c r="K58" s="16">
        <f t="shared" si="2"/>
        <v>46346</v>
      </c>
      <c r="L58" s="13" t="str">
        <f t="shared" si="3"/>
        <v>Não</v>
      </c>
    </row>
    <row r="59" spans="1:12" x14ac:dyDescent="0.3">
      <c r="A59" s="10" t="s">
        <v>306</v>
      </c>
      <c r="B59" s="10" t="s">
        <v>307</v>
      </c>
      <c r="C59" s="10" t="s">
        <v>153</v>
      </c>
      <c r="D59" s="10" t="s">
        <v>78</v>
      </c>
      <c r="E59" s="15">
        <v>46087</v>
      </c>
      <c r="F59" s="11">
        <v>1</v>
      </c>
      <c r="G59" s="10" t="s">
        <v>231</v>
      </c>
      <c r="H59" s="11">
        <v>85</v>
      </c>
      <c r="I59" s="10" t="s">
        <v>232</v>
      </c>
      <c r="J59" s="11">
        <v>24</v>
      </c>
      <c r="K59" s="16">
        <f t="shared" si="2"/>
        <v>46818</v>
      </c>
      <c r="L59" s="13" t="str">
        <f t="shared" si="3"/>
        <v>Sim</v>
      </c>
    </row>
    <row r="60" spans="1:12" ht="26.4" x14ac:dyDescent="0.3">
      <c r="A60" s="10" t="s">
        <v>308</v>
      </c>
      <c r="B60" s="10" t="s">
        <v>307</v>
      </c>
      <c r="C60" s="10" t="s">
        <v>153</v>
      </c>
      <c r="D60" s="10" t="s">
        <v>81</v>
      </c>
      <c r="E60" s="15">
        <v>46121</v>
      </c>
      <c r="F60" s="11">
        <v>1</v>
      </c>
      <c r="G60" s="10" t="s">
        <v>231</v>
      </c>
      <c r="H60" s="11">
        <v>98</v>
      </c>
      <c r="I60" s="10" t="s">
        <v>236</v>
      </c>
      <c r="J60" s="11">
        <v>24</v>
      </c>
      <c r="K60" s="16">
        <f t="shared" si="2"/>
        <v>46852</v>
      </c>
      <c r="L60" s="13" t="str">
        <f t="shared" si="3"/>
        <v>Sim</v>
      </c>
    </row>
    <row r="61" spans="1:12" ht="26.4" x14ac:dyDescent="0.3">
      <c r="A61" s="10" t="s">
        <v>309</v>
      </c>
      <c r="B61" s="10" t="s">
        <v>307</v>
      </c>
      <c r="C61" s="10" t="s">
        <v>153</v>
      </c>
      <c r="D61" s="10" t="s">
        <v>95</v>
      </c>
      <c r="E61" s="15">
        <v>46093</v>
      </c>
      <c r="F61" s="11">
        <v>1</v>
      </c>
      <c r="G61" s="10" t="s">
        <v>231</v>
      </c>
      <c r="H61" s="11">
        <v>90</v>
      </c>
      <c r="I61" s="10" t="s">
        <v>236</v>
      </c>
      <c r="J61" s="11">
        <v>12</v>
      </c>
      <c r="K61" s="16">
        <f t="shared" si="2"/>
        <v>46458</v>
      </c>
      <c r="L61" s="13" t="str">
        <f t="shared" si="3"/>
        <v>Sim</v>
      </c>
    </row>
    <row r="62" spans="1:12" x14ac:dyDescent="0.3">
      <c r="A62" s="10" t="s">
        <v>310</v>
      </c>
      <c r="B62" s="10" t="s">
        <v>311</v>
      </c>
      <c r="C62" s="10" t="s">
        <v>163</v>
      </c>
      <c r="D62" s="10" t="s">
        <v>67</v>
      </c>
      <c r="E62" s="15">
        <v>45940</v>
      </c>
      <c r="F62" s="11">
        <v>4</v>
      </c>
      <c r="G62" s="10" t="s">
        <v>231</v>
      </c>
      <c r="H62" s="11">
        <v>97</v>
      </c>
      <c r="I62" s="10" t="s">
        <v>232</v>
      </c>
      <c r="J62" s="11">
        <v>24</v>
      </c>
      <c r="K62" s="16">
        <f t="shared" si="2"/>
        <v>46670</v>
      </c>
      <c r="L62" s="13" t="str">
        <f t="shared" si="3"/>
        <v>Sim</v>
      </c>
    </row>
    <row r="63" spans="1:12" x14ac:dyDescent="0.3">
      <c r="A63" s="10" t="s">
        <v>312</v>
      </c>
      <c r="B63" s="10" t="s">
        <v>311</v>
      </c>
      <c r="C63" s="10" t="s">
        <v>163</v>
      </c>
      <c r="D63" s="10" t="s">
        <v>74</v>
      </c>
      <c r="E63" s="15">
        <v>46124</v>
      </c>
      <c r="F63" s="11">
        <v>2</v>
      </c>
      <c r="G63" s="10" t="s">
        <v>231</v>
      </c>
      <c r="H63" s="11">
        <v>75</v>
      </c>
      <c r="I63" s="10" t="s">
        <v>232</v>
      </c>
      <c r="J63" s="11">
        <v>12</v>
      </c>
      <c r="K63" s="16">
        <f t="shared" si="2"/>
        <v>46489</v>
      </c>
      <c r="L63" s="13" t="str">
        <f t="shared" si="3"/>
        <v>Sim</v>
      </c>
    </row>
    <row r="64" spans="1:12" x14ac:dyDescent="0.3">
      <c r="A64" s="10" t="s">
        <v>313</v>
      </c>
      <c r="B64" s="10" t="s">
        <v>311</v>
      </c>
      <c r="C64" s="10" t="s">
        <v>163</v>
      </c>
      <c r="D64" s="10" t="s">
        <v>76</v>
      </c>
      <c r="E64" s="15">
        <v>46036</v>
      </c>
      <c r="F64" s="11">
        <v>3</v>
      </c>
      <c r="G64" s="10" t="s">
        <v>231</v>
      </c>
      <c r="H64" s="11">
        <v>99</v>
      </c>
      <c r="I64" s="10" t="s">
        <v>232</v>
      </c>
      <c r="J64" s="11">
        <v>24</v>
      </c>
      <c r="K64" s="16">
        <f t="shared" si="2"/>
        <v>46766</v>
      </c>
      <c r="L64" s="13" t="str">
        <f t="shared" si="3"/>
        <v>Sim</v>
      </c>
    </row>
    <row r="65" spans="1:12" ht="26.4" x14ac:dyDescent="0.3">
      <c r="A65" s="10" t="s">
        <v>314</v>
      </c>
      <c r="B65" s="10" t="s">
        <v>311</v>
      </c>
      <c r="C65" s="10" t="s">
        <v>163</v>
      </c>
      <c r="D65" s="10" t="s">
        <v>90</v>
      </c>
      <c r="E65" s="15">
        <v>46152</v>
      </c>
      <c r="F65" s="11">
        <v>16</v>
      </c>
      <c r="G65" s="10" t="s">
        <v>231</v>
      </c>
      <c r="H65" s="11">
        <v>91</v>
      </c>
      <c r="I65" s="10" t="s">
        <v>236</v>
      </c>
      <c r="J65" s="11">
        <v>60</v>
      </c>
      <c r="K65" s="16">
        <f t="shared" si="2"/>
        <v>47978</v>
      </c>
      <c r="L65" s="13" t="str">
        <f t="shared" si="3"/>
        <v>Sim</v>
      </c>
    </row>
    <row r="66" spans="1:12" x14ac:dyDescent="0.3">
      <c r="A66" s="10" t="s">
        <v>315</v>
      </c>
      <c r="B66" s="10" t="s">
        <v>311</v>
      </c>
      <c r="C66" s="10" t="s">
        <v>163</v>
      </c>
      <c r="D66" s="10" t="s">
        <v>95</v>
      </c>
      <c r="E66" s="15">
        <v>45987</v>
      </c>
      <c r="F66" s="11">
        <v>1</v>
      </c>
      <c r="G66" s="10" t="s">
        <v>231</v>
      </c>
      <c r="H66" s="11">
        <v>85</v>
      </c>
      <c r="I66" s="10" t="s">
        <v>232</v>
      </c>
      <c r="J66" s="11">
        <v>12</v>
      </c>
      <c r="K66" s="16">
        <f t="shared" ref="K66:K97" si="4">IF(OR(E66="",J66=0),"",EDATE(E66,J66))</f>
        <v>46352</v>
      </c>
      <c r="L66" s="13" t="str">
        <f t="shared" ref="L66:L97" si="5">IF(G66&lt;&gt;"Aprovado","Não",IF(K66="","Sim",IF(K66&gt;=DataRef,"Sim","Não")))</f>
        <v>Não</v>
      </c>
    </row>
    <row r="67" spans="1:12" ht="26.4" x14ac:dyDescent="0.3">
      <c r="A67" s="10" t="s">
        <v>316</v>
      </c>
      <c r="B67" s="10" t="s">
        <v>317</v>
      </c>
      <c r="C67" s="10" t="s">
        <v>163</v>
      </c>
      <c r="D67" s="10" t="s">
        <v>67</v>
      </c>
      <c r="E67" s="15">
        <v>45996</v>
      </c>
      <c r="F67" s="11">
        <v>4</v>
      </c>
      <c r="G67" s="10" t="s">
        <v>231</v>
      </c>
      <c r="H67" s="11">
        <v>94</v>
      </c>
      <c r="I67" s="10" t="s">
        <v>236</v>
      </c>
      <c r="J67" s="11">
        <v>24</v>
      </c>
      <c r="K67" s="16">
        <f t="shared" si="4"/>
        <v>46726</v>
      </c>
      <c r="L67" s="13" t="str">
        <f t="shared" si="5"/>
        <v>Sim</v>
      </c>
    </row>
    <row r="68" spans="1:12" x14ac:dyDescent="0.3">
      <c r="A68" s="10" t="s">
        <v>318</v>
      </c>
      <c r="B68" s="10" t="s">
        <v>317</v>
      </c>
      <c r="C68" s="10" t="s">
        <v>163</v>
      </c>
      <c r="D68" s="10" t="s">
        <v>74</v>
      </c>
      <c r="E68" s="15">
        <v>46118</v>
      </c>
      <c r="F68" s="11">
        <v>2</v>
      </c>
      <c r="G68" s="10" t="s">
        <v>231</v>
      </c>
      <c r="H68" s="11">
        <v>91</v>
      </c>
      <c r="I68" s="10" t="s">
        <v>232</v>
      </c>
      <c r="J68" s="11">
        <v>12</v>
      </c>
      <c r="K68" s="16">
        <f t="shared" si="4"/>
        <v>46483</v>
      </c>
      <c r="L68" s="13" t="str">
        <f t="shared" si="5"/>
        <v>Sim</v>
      </c>
    </row>
    <row r="69" spans="1:12" ht="26.4" x14ac:dyDescent="0.3">
      <c r="A69" s="10" t="s">
        <v>319</v>
      </c>
      <c r="B69" s="10" t="s">
        <v>317</v>
      </c>
      <c r="C69" s="10" t="s">
        <v>163</v>
      </c>
      <c r="D69" s="10" t="s">
        <v>76</v>
      </c>
      <c r="E69" s="15">
        <v>46232</v>
      </c>
      <c r="F69" s="11">
        <v>3</v>
      </c>
      <c r="G69" s="10" t="s">
        <v>231</v>
      </c>
      <c r="H69" s="11">
        <v>95</v>
      </c>
      <c r="I69" s="10" t="s">
        <v>236</v>
      </c>
      <c r="J69" s="11">
        <v>24</v>
      </c>
      <c r="K69" s="16">
        <f t="shared" si="4"/>
        <v>46963</v>
      </c>
      <c r="L69" s="13" t="str">
        <f t="shared" si="5"/>
        <v>Sim</v>
      </c>
    </row>
    <row r="70" spans="1:12" x14ac:dyDescent="0.3">
      <c r="A70" s="10" t="s">
        <v>320</v>
      </c>
      <c r="B70" s="10" t="s">
        <v>317</v>
      </c>
      <c r="C70" s="10" t="s">
        <v>163</v>
      </c>
      <c r="D70" s="10" t="s">
        <v>90</v>
      </c>
      <c r="E70" s="15">
        <v>46052</v>
      </c>
      <c r="F70" s="11">
        <v>16</v>
      </c>
      <c r="G70" s="10" t="s">
        <v>231</v>
      </c>
      <c r="H70" s="11">
        <v>88</v>
      </c>
      <c r="I70" s="10" t="s">
        <v>232</v>
      </c>
      <c r="J70" s="11">
        <v>60</v>
      </c>
      <c r="K70" s="16">
        <f t="shared" si="4"/>
        <v>47878</v>
      </c>
      <c r="L70" s="13" t="str">
        <f t="shared" si="5"/>
        <v>Sim</v>
      </c>
    </row>
    <row r="71" spans="1:12" x14ac:dyDescent="0.3">
      <c r="A71" s="10" t="s">
        <v>321</v>
      </c>
      <c r="B71" s="10" t="s">
        <v>317</v>
      </c>
      <c r="C71" s="10" t="s">
        <v>163</v>
      </c>
      <c r="D71" s="10" t="s">
        <v>95</v>
      </c>
      <c r="E71" s="15">
        <v>45937</v>
      </c>
      <c r="F71" s="11">
        <v>1</v>
      </c>
      <c r="G71" s="10" t="s">
        <v>231</v>
      </c>
      <c r="H71" s="11">
        <v>87</v>
      </c>
      <c r="I71" s="10" t="s">
        <v>232</v>
      </c>
      <c r="J71" s="11">
        <v>12</v>
      </c>
      <c r="K71" s="16">
        <f t="shared" si="4"/>
        <v>46302</v>
      </c>
      <c r="L71" s="13" t="str">
        <f t="shared" si="5"/>
        <v>Não</v>
      </c>
    </row>
    <row r="72" spans="1:12" x14ac:dyDescent="0.3">
      <c r="A72" s="10" t="s">
        <v>322</v>
      </c>
      <c r="B72" s="10" t="s">
        <v>323</v>
      </c>
      <c r="C72" s="10" t="s">
        <v>175</v>
      </c>
      <c r="D72" s="10" t="s">
        <v>67</v>
      </c>
      <c r="E72" s="15">
        <v>46198</v>
      </c>
      <c r="F72" s="11">
        <v>4</v>
      </c>
      <c r="G72" s="10" t="s">
        <v>231</v>
      </c>
      <c r="H72" s="11">
        <v>90</v>
      </c>
      <c r="I72" s="10" t="s">
        <v>232</v>
      </c>
      <c r="J72" s="11">
        <v>24</v>
      </c>
      <c r="K72" s="16">
        <f t="shared" si="4"/>
        <v>46929</v>
      </c>
      <c r="L72" s="13" t="str">
        <f t="shared" si="5"/>
        <v>Sim</v>
      </c>
    </row>
    <row r="73" spans="1:12" x14ac:dyDescent="0.3">
      <c r="A73" s="10" t="s">
        <v>324</v>
      </c>
      <c r="B73" s="10" t="s">
        <v>323</v>
      </c>
      <c r="C73" s="10" t="s">
        <v>175</v>
      </c>
      <c r="D73" s="10" t="s">
        <v>74</v>
      </c>
      <c r="E73" s="15">
        <v>46337</v>
      </c>
      <c r="F73" s="11">
        <v>2</v>
      </c>
      <c r="G73" s="10" t="s">
        <v>231</v>
      </c>
      <c r="H73" s="11">
        <v>72</v>
      </c>
      <c r="I73" s="10" t="s">
        <v>232</v>
      </c>
      <c r="J73" s="11">
        <v>12</v>
      </c>
      <c r="K73" s="16">
        <f t="shared" si="4"/>
        <v>46702</v>
      </c>
      <c r="L73" s="13" t="str">
        <f t="shared" si="5"/>
        <v>Sim</v>
      </c>
    </row>
    <row r="74" spans="1:12" ht="26.4" x14ac:dyDescent="0.3">
      <c r="A74" s="10" t="s">
        <v>325</v>
      </c>
      <c r="B74" s="10" t="s">
        <v>323</v>
      </c>
      <c r="C74" s="10" t="s">
        <v>175</v>
      </c>
      <c r="D74" s="10" t="s">
        <v>87</v>
      </c>
      <c r="E74" s="15">
        <v>46032</v>
      </c>
      <c r="F74" s="11">
        <v>4</v>
      </c>
      <c r="G74" s="10" t="s">
        <v>231</v>
      </c>
      <c r="H74" s="11">
        <v>90</v>
      </c>
      <c r="I74" s="10" t="s">
        <v>236</v>
      </c>
      <c r="J74" s="11">
        <v>36</v>
      </c>
      <c r="K74" s="16">
        <f t="shared" si="4"/>
        <v>47128</v>
      </c>
      <c r="L74" s="13" t="str">
        <f t="shared" si="5"/>
        <v>Sim</v>
      </c>
    </row>
    <row r="75" spans="1:12" x14ac:dyDescent="0.3">
      <c r="A75" s="10" t="s">
        <v>326</v>
      </c>
      <c r="B75" s="10" t="s">
        <v>323</v>
      </c>
      <c r="C75" s="10" t="s">
        <v>175</v>
      </c>
      <c r="D75" s="10" t="s">
        <v>95</v>
      </c>
      <c r="E75" s="15">
        <v>46219</v>
      </c>
      <c r="F75" s="11">
        <v>1</v>
      </c>
      <c r="G75" s="10" t="s">
        <v>231</v>
      </c>
      <c r="H75" s="11">
        <v>74</v>
      </c>
      <c r="I75" s="10" t="s">
        <v>232</v>
      </c>
      <c r="J75" s="11">
        <v>12</v>
      </c>
      <c r="K75" s="16">
        <f t="shared" si="4"/>
        <v>46584</v>
      </c>
      <c r="L75" s="13" t="str">
        <f t="shared" si="5"/>
        <v>Sim</v>
      </c>
    </row>
    <row r="76" spans="1:12" x14ac:dyDescent="0.3">
      <c r="A76" s="10" t="s">
        <v>327</v>
      </c>
      <c r="B76" s="10" t="s">
        <v>328</v>
      </c>
      <c r="C76" s="10" t="s">
        <v>175</v>
      </c>
      <c r="D76" s="10" t="s">
        <v>67</v>
      </c>
      <c r="E76" s="15">
        <v>46080</v>
      </c>
      <c r="F76" s="11">
        <v>4</v>
      </c>
      <c r="G76" s="10" t="s">
        <v>231</v>
      </c>
      <c r="H76" s="11">
        <v>83</v>
      </c>
      <c r="I76" s="10" t="s">
        <v>232</v>
      </c>
      <c r="J76" s="11">
        <v>24</v>
      </c>
      <c r="K76" s="16">
        <f t="shared" si="4"/>
        <v>46810</v>
      </c>
      <c r="L76" s="13" t="str">
        <f t="shared" si="5"/>
        <v>Sim</v>
      </c>
    </row>
    <row r="77" spans="1:12" ht="26.4" x14ac:dyDescent="0.3">
      <c r="A77" s="10" t="s">
        <v>329</v>
      </c>
      <c r="B77" s="10" t="s">
        <v>328</v>
      </c>
      <c r="C77" s="10" t="s">
        <v>175</v>
      </c>
      <c r="D77" s="10" t="s">
        <v>74</v>
      </c>
      <c r="E77" s="15">
        <v>46224</v>
      </c>
      <c r="F77" s="11">
        <v>2</v>
      </c>
      <c r="G77" s="10" t="s">
        <v>231</v>
      </c>
      <c r="H77" s="11">
        <v>91</v>
      </c>
      <c r="I77" s="10" t="s">
        <v>236</v>
      </c>
      <c r="J77" s="11">
        <v>12</v>
      </c>
      <c r="K77" s="16">
        <f t="shared" si="4"/>
        <v>46589</v>
      </c>
      <c r="L77" s="13" t="str">
        <f t="shared" si="5"/>
        <v>Sim</v>
      </c>
    </row>
    <row r="78" spans="1:12" x14ac:dyDescent="0.3">
      <c r="A78" s="10" t="s">
        <v>330</v>
      </c>
      <c r="B78" s="10" t="s">
        <v>328</v>
      </c>
      <c r="C78" s="10" t="s">
        <v>175</v>
      </c>
      <c r="D78" s="10" t="s">
        <v>87</v>
      </c>
      <c r="E78" s="15">
        <v>45954</v>
      </c>
      <c r="F78" s="11">
        <v>4</v>
      </c>
      <c r="G78" s="10" t="s">
        <v>231</v>
      </c>
      <c r="H78" s="11">
        <v>73</v>
      </c>
      <c r="I78" s="10" t="s">
        <v>232</v>
      </c>
      <c r="J78" s="11">
        <v>36</v>
      </c>
      <c r="K78" s="16">
        <f t="shared" si="4"/>
        <v>47050</v>
      </c>
      <c r="L78" s="13" t="str">
        <f t="shared" si="5"/>
        <v>Sim</v>
      </c>
    </row>
    <row r="79" spans="1:12" ht="26.4" x14ac:dyDescent="0.3">
      <c r="A79" s="10" t="s">
        <v>331</v>
      </c>
      <c r="B79" s="10" t="s">
        <v>328</v>
      </c>
      <c r="C79" s="10" t="s">
        <v>175</v>
      </c>
      <c r="D79" s="10" t="s">
        <v>95</v>
      </c>
      <c r="E79" s="15">
        <v>45983</v>
      </c>
      <c r="F79" s="11">
        <v>1</v>
      </c>
      <c r="G79" s="10" t="s">
        <v>231</v>
      </c>
      <c r="H79" s="11">
        <v>73</v>
      </c>
      <c r="I79" s="10" t="s">
        <v>236</v>
      </c>
      <c r="J79" s="11">
        <v>12</v>
      </c>
      <c r="K79" s="16">
        <f t="shared" si="4"/>
        <v>46348</v>
      </c>
      <c r="L79" s="13" t="str">
        <f t="shared" si="5"/>
        <v>Não</v>
      </c>
    </row>
    <row r="80" spans="1:12" ht="26.4" x14ac:dyDescent="0.3">
      <c r="A80" s="10" t="s">
        <v>332</v>
      </c>
      <c r="B80" s="10" t="s">
        <v>333</v>
      </c>
      <c r="C80" s="10" t="s">
        <v>175</v>
      </c>
      <c r="D80" s="10" t="s">
        <v>67</v>
      </c>
      <c r="E80" s="15">
        <v>46059</v>
      </c>
      <c r="F80" s="11">
        <v>4</v>
      </c>
      <c r="G80" s="10" t="s">
        <v>231</v>
      </c>
      <c r="H80" s="11">
        <v>85</v>
      </c>
      <c r="I80" s="10" t="s">
        <v>236</v>
      </c>
      <c r="J80" s="11">
        <v>24</v>
      </c>
      <c r="K80" s="16">
        <f t="shared" si="4"/>
        <v>46789</v>
      </c>
      <c r="L80" s="13" t="str">
        <f t="shared" si="5"/>
        <v>Sim</v>
      </c>
    </row>
    <row r="81" spans="1:12" ht="26.4" x14ac:dyDescent="0.3">
      <c r="A81" s="10" t="s">
        <v>334</v>
      </c>
      <c r="B81" s="10" t="s">
        <v>333</v>
      </c>
      <c r="C81" s="10" t="s">
        <v>175</v>
      </c>
      <c r="D81" s="10" t="s">
        <v>74</v>
      </c>
      <c r="E81" s="15">
        <v>46131</v>
      </c>
      <c r="F81" s="11">
        <v>2</v>
      </c>
      <c r="G81" s="10" t="s">
        <v>231</v>
      </c>
      <c r="H81" s="11">
        <v>97</v>
      </c>
      <c r="I81" s="10" t="s">
        <v>236</v>
      </c>
      <c r="J81" s="11">
        <v>12</v>
      </c>
      <c r="K81" s="16">
        <f t="shared" si="4"/>
        <v>46496</v>
      </c>
      <c r="L81" s="13" t="str">
        <f t="shared" si="5"/>
        <v>Sim</v>
      </c>
    </row>
    <row r="82" spans="1:12" ht="26.4" x14ac:dyDescent="0.3">
      <c r="A82" s="10" t="s">
        <v>335</v>
      </c>
      <c r="B82" s="10" t="s">
        <v>333</v>
      </c>
      <c r="C82" s="10" t="s">
        <v>175</v>
      </c>
      <c r="D82" s="10" t="s">
        <v>87</v>
      </c>
      <c r="E82" s="15">
        <v>45981</v>
      </c>
      <c r="F82" s="11">
        <v>4</v>
      </c>
      <c r="G82" s="10" t="s">
        <v>231</v>
      </c>
      <c r="H82" s="11">
        <v>81</v>
      </c>
      <c r="I82" s="10" t="s">
        <v>236</v>
      </c>
      <c r="J82" s="11">
        <v>36</v>
      </c>
      <c r="K82" s="16">
        <f t="shared" si="4"/>
        <v>47077</v>
      </c>
      <c r="L82" s="13" t="str">
        <f t="shared" si="5"/>
        <v>Sim</v>
      </c>
    </row>
    <row r="83" spans="1:12" x14ac:dyDescent="0.3">
      <c r="A83" s="10" t="s">
        <v>336</v>
      </c>
      <c r="B83" s="10" t="s">
        <v>333</v>
      </c>
      <c r="C83" s="10" t="s">
        <v>175</v>
      </c>
      <c r="D83" s="10" t="s">
        <v>95</v>
      </c>
      <c r="E83" s="15">
        <v>46103</v>
      </c>
      <c r="F83" s="11">
        <v>1</v>
      </c>
      <c r="G83" s="10" t="s">
        <v>231</v>
      </c>
      <c r="H83" s="11">
        <v>82</v>
      </c>
      <c r="I83" s="10" t="s">
        <v>232</v>
      </c>
      <c r="J83" s="11">
        <v>12</v>
      </c>
      <c r="K83" s="16">
        <f t="shared" si="4"/>
        <v>46468</v>
      </c>
      <c r="L83" s="13" t="str">
        <f t="shared" si="5"/>
        <v>Sim</v>
      </c>
    </row>
    <row r="84" spans="1:12" ht="26.4" x14ac:dyDescent="0.3">
      <c r="A84" s="10" t="s">
        <v>337</v>
      </c>
      <c r="B84" s="10" t="s">
        <v>338</v>
      </c>
      <c r="C84" s="10" t="s">
        <v>175</v>
      </c>
      <c r="D84" s="10" t="s">
        <v>67</v>
      </c>
      <c r="E84" s="15">
        <v>46245</v>
      </c>
      <c r="F84" s="11">
        <v>4</v>
      </c>
      <c r="G84" s="10" t="s">
        <v>231</v>
      </c>
      <c r="H84" s="11">
        <v>86</v>
      </c>
      <c r="I84" s="10" t="s">
        <v>236</v>
      </c>
      <c r="J84" s="11">
        <v>24</v>
      </c>
      <c r="K84" s="16">
        <f t="shared" si="4"/>
        <v>46976</v>
      </c>
      <c r="L84" s="13" t="str">
        <f t="shared" si="5"/>
        <v>Sim</v>
      </c>
    </row>
    <row r="85" spans="1:12" ht="26.4" x14ac:dyDescent="0.3">
      <c r="A85" s="10" t="s">
        <v>339</v>
      </c>
      <c r="B85" s="10" t="s">
        <v>338</v>
      </c>
      <c r="C85" s="10" t="s">
        <v>175</v>
      </c>
      <c r="D85" s="10" t="s">
        <v>74</v>
      </c>
      <c r="E85" s="15">
        <v>46081</v>
      </c>
      <c r="F85" s="11">
        <v>2</v>
      </c>
      <c r="G85" s="10" t="s">
        <v>231</v>
      </c>
      <c r="H85" s="11">
        <v>77</v>
      </c>
      <c r="I85" s="10" t="s">
        <v>236</v>
      </c>
      <c r="J85" s="11">
        <v>12</v>
      </c>
      <c r="K85" s="16">
        <f t="shared" si="4"/>
        <v>46446</v>
      </c>
      <c r="L85" s="13" t="str">
        <f t="shared" si="5"/>
        <v>Sim</v>
      </c>
    </row>
    <row r="86" spans="1:12" x14ac:dyDescent="0.3">
      <c r="A86" s="10" t="s">
        <v>340</v>
      </c>
      <c r="B86" s="10" t="s">
        <v>338</v>
      </c>
      <c r="C86" s="10" t="s">
        <v>175</v>
      </c>
      <c r="D86" s="10" t="s">
        <v>87</v>
      </c>
      <c r="E86" s="15">
        <v>45993</v>
      </c>
      <c r="F86" s="11">
        <v>4</v>
      </c>
      <c r="G86" s="10" t="s">
        <v>231</v>
      </c>
      <c r="H86" s="11">
        <v>96</v>
      </c>
      <c r="I86" s="10" t="s">
        <v>232</v>
      </c>
      <c r="J86" s="11">
        <v>36</v>
      </c>
      <c r="K86" s="16">
        <f t="shared" si="4"/>
        <v>47089</v>
      </c>
      <c r="L86" s="13" t="str">
        <f t="shared" si="5"/>
        <v>Sim</v>
      </c>
    </row>
    <row r="87" spans="1:12" ht="26.4" x14ac:dyDescent="0.3">
      <c r="A87" s="10" t="s">
        <v>341</v>
      </c>
      <c r="B87" s="10" t="s">
        <v>338</v>
      </c>
      <c r="C87" s="10" t="s">
        <v>175</v>
      </c>
      <c r="D87" s="10" t="s">
        <v>95</v>
      </c>
      <c r="E87" s="15">
        <v>46255</v>
      </c>
      <c r="F87" s="11">
        <v>1</v>
      </c>
      <c r="G87" s="10" t="s">
        <v>231</v>
      </c>
      <c r="H87" s="11">
        <v>81</v>
      </c>
      <c r="I87" s="10" t="s">
        <v>236</v>
      </c>
      <c r="J87" s="11">
        <v>12</v>
      </c>
      <c r="K87" s="16">
        <f t="shared" si="4"/>
        <v>46620</v>
      </c>
      <c r="L87" s="13" t="str">
        <f t="shared" si="5"/>
        <v>Sim</v>
      </c>
    </row>
    <row r="88" spans="1:12" ht="26.4" x14ac:dyDescent="0.3">
      <c r="A88" s="10" t="s">
        <v>342</v>
      </c>
      <c r="B88" s="10" t="s">
        <v>343</v>
      </c>
      <c r="C88" s="10" t="s">
        <v>175</v>
      </c>
      <c r="D88" s="10" t="s">
        <v>67</v>
      </c>
      <c r="E88" s="15">
        <v>46178</v>
      </c>
      <c r="F88" s="11">
        <v>4</v>
      </c>
      <c r="G88" s="10" t="s">
        <v>231</v>
      </c>
      <c r="H88" s="11">
        <v>71</v>
      </c>
      <c r="I88" s="10" t="s">
        <v>232</v>
      </c>
      <c r="J88" s="11">
        <v>24</v>
      </c>
      <c r="K88" s="16">
        <f t="shared" si="4"/>
        <v>46909</v>
      </c>
      <c r="L88" s="13" t="str">
        <f t="shared" si="5"/>
        <v>Sim</v>
      </c>
    </row>
    <row r="89" spans="1:12" ht="26.4" x14ac:dyDescent="0.3">
      <c r="A89" s="10" t="s">
        <v>344</v>
      </c>
      <c r="B89" s="10" t="s">
        <v>343</v>
      </c>
      <c r="C89" s="10" t="s">
        <v>175</v>
      </c>
      <c r="D89" s="10" t="s">
        <v>74</v>
      </c>
      <c r="E89" s="15">
        <v>46115</v>
      </c>
      <c r="F89" s="11">
        <v>2</v>
      </c>
      <c r="G89" s="10" t="s">
        <v>231</v>
      </c>
      <c r="H89" s="11">
        <v>94</v>
      </c>
      <c r="I89" s="10" t="s">
        <v>236</v>
      </c>
      <c r="J89" s="11">
        <v>12</v>
      </c>
      <c r="K89" s="16">
        <f t="shared" si="4"/>
        <v>46480</v>
      </c>
      <c r="L89" s="13" t="str">
        <f t="shared" si="5"/>
        <v>Sim</v>
      </c>
    </row>
    <row r="90" spans="1:12" ht="26.4" x14ac:dyDescent="0.3">
      <c r="A90" s="10" t="s">
        <v>345</v>
      </c>
      <c r="B90" s="10" t="s">
        <v>343</v>
      </c>
      <c r="C90" s="10" t="s">
        <v>175</v>
      </c>
      <c r="D90" s="10" t="s">
        <v>87</v>
      </c>
      <c r="E90" s="15">
        <v>45970</v>
      </c>
      <c r="F90" s="11">
        <v>4</v>
      </c>
      <c r="G90" s="10" t="s">
        <v>231</v>
      </c>
      <c r="H90" s="11">
        <v>81</v>
      </c>
      <c r="I90" s="10" t="s">
        <v>232</v>
      </c>
      <c r="J90" s="11">
        <v>36</v>
      </c>
      <c r="K90" s="16">
        <f t="shared" si="4"/>
        <v>47066</v>
      </c>
      <c r="L90" s="13" t="str">
        <f t="shared" si="5"/>
        <v>Sim</v>
      </c>
    </row>
    <row r="91" spans="1:12" ht="26.4" x14ac:dyDescent="0.3">
      <c r="A91" s="10" t="s">
        <v>346</v>
      </c>
      <c r="B91" s="10" t="s">
        <v>343</v>
      </c>
      <c r="C91" s="10" t="s">
        <v>175</v>
      </c>
      <c r="D91" s="10" t="s">
        <v>95</v>
      </c>
      <c r="E91" s="15">
        <v>45971</v>
      </c>
      <c r="F91" s="11">
        <v>1</v>
      </c>
      <c r="G91" s="10" t="s">
        <v>231</v>
      </c>
      <c r="H91" s="11">
        <v>99</v>
      </c>
      <c r="I91" s="10" t="s">
        <v>236</v>
      </c>
      <c r="J91" s="11">
        <v>12</v>
      </c>
      <c r="K91" s="16">
        <f t="shared" si="4"/>
        <v>46336</v>
      </c>
      <c r="L91" s="13" t="str">
        <f t="shared" si="5"/>
        <v>Não</v>
      </c>
    </row>
    <row r="92" spans="1:12" x14ac:dyDescent="0.3">
      <c r="A92" s="10" t="s">
        <v>347</v>
      </c>
      <c r="B92" s="10" t="s">
        <v>348</v>
      </c>
      <c r="C92" s="10" t="s">
        <v>175</v>
      </c>
      <c r="D92" s="10" t="s">
        <v>67</v>
      </c>
      <c r="E92" s="15">
        <v>46250</v>
      </c>
      <c r="F92" s="11">
        <v>4</v>
      </c>
      <c r="G92" s="10" t="s">
        <v>231</v>
      </c>
      <c r="H92" s="11">
        <v>99</v>
      </c>
      <c r="I92" s="10" t="s">
        <v>232</v>
      </c>
      <c r="J92" s="11">
        <v>24</v>
      </c>
      <c r="K92" s="16">
        <f t="shared" si="4"/>
        <v>46981</v>
      </c>
      <c r="L92" s="13" t="str">
        <f t="shared" si="5"/>
        <v>Sim</v>
      </c>
    </row>
    <row r="93" spans="1:12" ht="26.4" x14ac:dyDescent="0.3">
      <c r="A93" s="10" t="s">
        <v>349</v>
      </c>
      <c r="B93" s="10" t="s">
        <v>348</v>
      </c>
      <c r="C93" s="10" t="s">
        <v>175</v>
      </c>
      <c r="D93" s="10" t="s">
        <v>74</v>
      </c>
      <c r="E93" s="15">
        <v>46050</v>
      </c>
      <c r="F93" s="11">
        <v>2</v>
      </c>
      <c r="G93" s="10" t="s">
        <v>231</v>
      </c>
      <c r="H93" s="11">
        <v>98</v>
      </c>
      <c r="I93" s="10" t="s">
        <v>236</v>
      </c>
      <c r="J93" s="11">
        <v>12</v>
      </c>
      <c r="K93" s="16">
        <f t="shared" si="4"/>
        <v>46415</v>
      </c>
      <c r="L93" s="13" t="str">
        <f t="shared" si="5"/>
        <v>Sim</v>
      </c>
    </row>
    <row r="94" spans="1:12" x14ac:dyDescent="0.3">
      <c r="A94" s="10" t="s">
        <v>350</v>
      </c>
      <c r="B94" s="10" t="s">
        <v>348</v>
      </c>
      <c r="C94" s="10" t="s">
        <v>175</v>
      </c>
      <c r="D94" s="10" t="s">
        <v>87</v>
      </c>
      <c r="E94" s="15">
        <v>46058</v>
      </c>
      <c r="F94" s="11">
        <v>4</v>
      </c>
      <c r="G94" s="10" t="s">
        <v>231</v>
      </c>
      <c r="H94" s="11">
        <v>95</v>
      </c>
      <c r="I94" s="10" t="s">
        <v>232</v>
      </c>
      <c r="J94" s="11">
        <v>36</v>
      </c>
      <c r="K94" s="16">
        <f t="shared" si="4"/>
        <v>47154</v>
      </c>
      <c r="L94" s="13" t="str">
        <f t="shared" si="5"/>
        <v>Sim</v>
      </c>
    </row>
    <row r="95" spans="1:12" x14ac:dyDescent="0.3">
      <c r="A95" s="10" t="s">
        <v>351</v>
      </c>
      <c r="B95" s="10" t="s">
        <v>348</v>
      </c>
      <c r="C95" s="10" t="s">
        <v>175</v>
      </c>
      <c r="D95" s="10" t="s">
        <v>95</v>
      </c>
      <c r="E95" s="15">
        <v>46020</v>
      </c>
      <c r="F95" s="11">
        <v>1</v>
      </c>
      <c r="G95" s="10" t="s">
        <v>231</v>
      </c>
      <c r="H95" s="11">
        <v>71</v>
      </c>
      <c r="I95" s="10" t="s">
        <v>232</v>
      </c>
      <c r="J95" s="11">
        <v>12</v>
      </c>
      <c r="K95" s="16">
        <f t="shared" si="4"/>
        <v>46385</v>
      </c>
      <c r="L95" s="13" t="str">
        <f t="shared" si="5"/>
        <v>Não</v>
      </c>
    </row>
    <row r="96" spans="1:12" x14ac:dyDescent="0.3">
      <c r="A96" s="10" t="s">
        <v>352</v>
      </c>
      <c r="B96" s="10" t="s">
        <v>353</v>
      </c>
      <c r="C96" s="10" t="s">
        <v>187</v>
      </c>
      <c r="D96" s="10" t="s">
        <v>67</v>
      </c>
      <c r="E96" s="15">
        <v>46234</v>
      </c>
      <c r="F96" s="11">
        <v>4</v>
      </c>
      <c r="G96" s="10" t="s">
        <v>231</v>
      </c>
      <c r="H96" s="11">
        <v>95</v>
      </c>
      <c r="I96" s="10" t="s">
        <v>232</v>
      </c>
      <c r="J96" s="11">
        <v>24</v>
      </c>
      <c r="K96" s="16">
        <f t="shared" si="4"/>
        <v>46965</v>
      </c>
      <c r="L96" s="13" t="str">
        <f t="shared" si="5"/>
        <v>Sim</v>
      </c>
    </row>
    <row r="97" spans="1:12" ht="26.4" x14ac:dyDescent="0.3">
      <c r="A97" s="10" t="s">
        <v>354</v>
      </c>
      <c r="B97" s="10" t="s">
        <v>353</v>
      </c>
      <c r="C97" s="10" t="s">
        <v>187</v>
      </c>
      <c r="D97" s="10" t="s">
        <v>83</v>
      </c>
      <c r="E97" s="15">
        <v>46214</v>
      </c>
      <c r="F97" s="11">
        <v>35</v>
      </c>
      <c r="G97" s="10" t="s">
        <v>231</v>
      </c>
      <c r="H97" s="11">
        <v>77</v>
      </c>
      <c r="I97" s="10" t="s">
        <v>236</v>
      </c>
      <c r="J97" s="11">
        <v>0</v>
      </c>
      <c r="K97" s="16" t="str">
        <f t="shared" si="4"/>
        <v/>
      </c>
      <c r="L97" s="13" t="str">
        <f t="shared" si="5"/>
        <v>Sim</v>
      </c>
    </row>
    <row r="98" spans="1:12" x14ac:dyDescent="0.3">
      <c r="A98" s="10" t="s">
        <v>355</v>
      </c>
      <c r="B98" s="10" t="s">
        <v>353</v>
      </c>
      <c r="C98" s="10" t="s">
        <v>187</v>
      </c>
      <c r="D98" s="10" t="s">
        <v>98</v>
      </c>
      <c r="E98" s="15">
        <v>45448</v>
      </c>
      <c r="F98" s="11">
        <v>4</v>
      </c>
      <c r="G98" s="10" t="s">
        <v>231</v>
      </c>
      <c r="H98" s="11">
        <v>99</v>
      </c>
      <c r="I98" s="10" t="s">
        <v>232</v>
      </c>
      <c r="J98" s="11">
        <v>24</v>
      </c>
      <c r="K98" s="16">
        <f t="shared" ref="K98:K129" si="6">IF(OR(E98="",J98=0),"",EDATE(E98,J98))</f>
        <v>46178</v>
      </c>
      <c r="L98" s="13" t="str">
        <f t="shared" ref="L98:L129" si="7">IF(G98&lt;&gt;"Aprovado","Não",IF(K98="","Sim",IF(K98&gt;=DataRef,"Sim","Não")))</f>
        <v>Não</v>
      </c>
    </row>
    <row r="99" spans="1:12" ht="26.4" x14ac:dyDescent="0.3">
      <c r="A99" s="10" t="s">
        <v>356</v>
      </c>
      <c r="B99" s="10" t="s">
        <v>353</v>
      </c>
      <c r="C99" s="10" t="s">
        <v>187</v>
      </c>
      <c r="D99" s="10" t="s">
        <v>95</v>
      </c>
      <c r="E99" s="15">
        <v>46155</v>
      </c>
      <c r="F99" s="11">
        <v>1</v>
      </c>
      <c r="G99" s="10" t="s">
        <v>231</v>
      </c>
      <c r="H99" s="11">
        <v>93</v>
      </c>
      <c r="I99" s="10" t="s">
        <v>236</v>
      </c>
      <c r="J99" s="11">
        <v>12</v>
      </c>
      <c r="K99" s="16">
        <f t="shared" si="6"/>
        <v>46520</v>
      </c>
      <c r="L99" s="13" t="str">
        <f t="shared" si="7"/>
        <v>Sim</v>
      </c>
    </row>
    <row r="100" spans="1:12" x14ac:dyDescent="0.3">
      <c r="A100" s="10" t="s">
        <v>357</v>
      </c>
      <c r="B100" s="10" t="s">
        <v>358</v>
      </c>
      <c r="C100" s="10" t="s">
        <v>187</v>
      </c>
      <c r="D100" s="10" t="s">
        <v>67</v>
      </c>
      <c r="E100" s="15">
        <v>46075</v>
      </c>
      <c r="F100" s="11">
        <v>4</v>
      </c>
      <c r="G100" s="10" t="s">
        <v>231</v>
      </c>
      <c r="H100" s="11">
        <v>75</v>
      </c>
      <c r="I100" s="10" t="s">
        <v>232</v>
      </c>
      <c r="J100" s="11">
        <v>24</v>
      </c>
      <c r="K100" s="16">
        <f t="shared" si="6"/>
        <v>46805</v>
      </c>
      <c r="L100" s="13" t="str">
        <f t="shared" si="7"/>
        <v>Sim</v>
      </c>
    </row>
    <row r="101" spans="1:12" x14ac:dyDescent="0.3">
      <c r="A101" s="10" t="s">
        <v>359</v>
      </c>
      <c r="B101" s="10" t="s">
        <v>358</v>
      </c>
      <c r="C101" s="10" t="s">
        <v>187</v>
      </c>
      <c r="D101" s="10" t="s">
        <v>83</v>
      </c>
      <c r="E101" s="15">
        <v>46260</v>
      </c>
      <c r="F101" s="11">
        <v>35</v>
      </c>
      <c r="G101" s="10" t="s">
        <v>231</v>
      </c>
      <c r="H101" s="11">
        <v>75</v>
      </c>
      <c r="I101" s="10" t="s">
        <v>232</v>
      </c>
      <c r="J101" s="11">
        <v>0</v>
      </c>
      <c r="K101" s="16" t="str">
        <f t="shared" si="6"/>
        <v/>
      </c>
      <c r="L101" s="13" t="str">
        <f t="shared" si="7"/>
        <v>Sim</v>
      </c>
    </row>
    <row r="102" spans="1:12" ht="26.4" x14ac:dyDescent="0.3">
      <c r="A102" s="10" t="s">
        <v>360</v>
      </c>
      <c r="B102" s="10" t="s">
        <v>358</v>
      </c>
      <c r="C102" s="10" t="s">
        <v>187</v>
      </c>
      <c r="D102" s="10" t="s">
        <v>98</v>
      </c>
      <c r="E102" s="15">
        <v>45448</v>
      </c>
      <c r="F102" s="11">
        <v>4</v>
      </c>
      <c r="G102" s="10" t="s">
        <v>231</v>
      </c>
      <c r="H102" s="11">
        <v>77</v>
      </c>
      <c r="I102" s="10" t="s">
        <v>236</v>
      </c>
      <c r="J102" s="11">
        <v>24</v>
      </c>
      <c r="K102" s="16">
        <f t="shared" si="6"/>
        <v>46178</v>
      </c>
      <c r="L102" s="13" t="str">
        <f t="shared" si="7"/>
        <v>Não</v>
      </c>
    </row>
    <row r="103" spans="1:12" x14ac:dyDescent="0.3">
      <c r="A103" s="10" t="s">
        <v>361</v>
      </c>
      <c r="B103" s="10" t="s">
        <v>358</v>
      </c>
      <c r="C103" s="10" t="s">
        <v>187</v>
      </c>
      <c r="D103" s="10" t="s">
        <v>95</v>
      </c>
      <c r="E103" s="15">
        <v>45976</v>
      </c>
      <c r="F103" s="11">
        <v>1</v>
      </c>
      <c r="G103" s="10" t="s">
        <v>231</v>
      </c>
      <c r="H103" s="11">
        <v>77</v>
      </c>
      <c r="I103" s="10" t="s">
        <v>232</v>
      </c>
      <c r="J103" s="11">
        <v>12</v>
      </c>
      <c r="K103" s="16">
        <f t="shared" si="6"/>
        <v>46341</v>
      </c>
      <c r="L103" s="13" t="str">
        <f t="shared" si="7"/>
        <v>Não</v>
      </c>
    </row>
    <row r="104" spans="1:12" x14ac:dyDescent="0.3">
      <c r="A104" s="10" t="s">
        <v>362</v>
      </c>
      <c r="B104" s="10" t="s">
        <v>363</v>
      </c>
      <c r="C104" s="10" t="s">
        <v>199</v>
      </c>
      <c r="D104" s="10" t="s">
        <v>81</v>
      </c>
      <c r="E104" s="15">
        <v>46186</v>
      </c>
      <c r="F104" s="11">
        <v>1</v>
      </c>
      <c r="G104" s="10" t="s">
        <v>231</v>
      </c>
      <c r="H104" s="11">
        <v>91</v>
      </c>
      <c r="I104" s="10" t="s">
        <v>232</v>
      </c>
      <c r="J104" s="11">
        <v>24</v>
      </c>
      <c r="K104" s="16">
        <f t="shared" si="6"/>
        <v>46917</v>
      </c>
      <c r="L104" s="13" t="str">
        <f t="shared" si="7"/>
        <v>Sim</v>
      </c>
    </row>
    <row r="105" spans="1:12" ht="26.4" x14ac:dyDescent="0.3">
      <c r="A105" s="10" t="s">
        <v>364</v>
      </c>
      <c r="B105" s="10" t="s">
        <v>363</v>
      </c>
      <c r="C105" s="10" t="s">
        <v>199</v>
      </c>
      <c r="D105" s="10" t="s">
        <v>90</v>
      </c>
      <c r="E105" s="15">
        <v>46145</v>
      </c>
      <c r="F105" s="11">
        <v>16</v>
      </c>
      <c r="G105" s="10" t="s">
        <v>231</v>
      </c>
      <c r="H105" s="11">
        <v>73</v>
      </c>
      <c r="I105" s="10" t="s">
        <v>236</v>
      </c>
      <c r="J105" s="11">
        <v>60</v>
      </c>
      <c r="K105" s="16">
        <f t="shared" si="6"/>
        <v>47971</v>
      </c>
      <c r="L105" s="13" t="str">
        <f t="shared" si="7"/>
        <v>Sim</v>
      </c>
    </row>
    <row r="106" spans="1:12" ht="26.4" x14ac:dyDescent="0.3">
      <c r="A106" s="10" t="s">
        <v>365</v>
      </c>
      <c r="B106" s="10" t="s">
        <v>363</v>
      </c>
      <c r="C106" s="10" t="s">
        <v>199</v>
      </c>
      <c r="D106" s="10" t="s">
        <v>74</v>
      </c>
      <c r="E106" s="15">
        <v>46108</v>
      </c>
      <c r="F106" s="11">
        <v>2</v>
      </c>
      <c r="G106" s="10" t="s">
        <v>231</v>
      </c>
      <c r="H106" s="11">
        <v>96</v>
      </c>
      <c r="I106" s="10" t="s">
        <v>236</v>
      </c>
      <c r="J106" s="11">
        <v>12</v>
      </c>
      <c r="K106" s="16">
        <f t="shared" si="6"/>
        <v>46473</v>
      </c>
      <c r="L106" s="13" t="str">
        <f t="shared" si="7"/>
        <v>Sim</v>
      </c>
    </row>
    <row r="107" spans="1:12" ht="26.4" x14ac:dyDescent="0.3">
      <c r="A107" s="10" t="s">
        <v>366</v>
      </c>
      <c r="B107" s="10" t="s">
        <v>363</v>
      </c>
      <c r="C107" s="10" t="s">
        <v>199</v>
      </c>
      <c r="D107" s="10" t="s">
        <v>95</v>
      </c>
      <c r="E107" s="15">
        <v>45942</v>
      </c>
      <c r="F107" s="11">
        <v>1</v>
      </c>
      <c r="G107" s="10" t="s">
        <v>231</v>
      </c>
      <c r="H107" s="11">
        <v>77</v>
      </c>
      <c r="I107" s="10" t="s">
        <v>236</v>
      </c>
      <c r="J107" s="11">
        <v>12</v>
      </c>
      <c r="K107" s="16">
        <f t="shared" si="6"/>
        <v>46307</v>
      </c>
      <c r="L107" s="13" t="str">
        <f t="shared" si="7"/>
        <v>Não</v>
      </c>
    </row>
    <row r="108" spans="1:12" x14ac:dyDescent="0.3">
      <c r="A108" s="10" t="s">
        <v>367</v>
      </c>
      <c r="B108" s="10" t="s">
        <v>368</v>
      </c>
      <c r="C108" s="10" t="s">
        <v>199</v>
      </c>
      <c r="D108" s="10" t="s">
        <v>81</v>
      </c>
      <c r="E108" s="15">
        <v>46216</v>
      </c>
      <c r="F108" s="11">
        <v>1</v>
      </c>
      <c r="G108" s="10" t="s">
        <v>231</v>
      </c>
      <c r="H108" s="11">
        <v>74</v>
      </c>
      <c r="I108" s="10" t="s">
        <v>232</v>
      </c>
      <c r="J108" s="11">
        <v>24</v>
      </c>
      <c r="K108" s="16">
        <f t="shared" si="6"/>
        <v>46947</v>
      </c>
      <c r="L108" s="13" t="str">
        <f t="shared" si="7"/>
        <v>Sim</v>
      </c>
    </row>
    <row r="109" spans="1:12" x14ac:dyDescent="0.3">
      <c r="A109" s="10" t="s">
        <v>369</v>
      </c>
      <c r="B109" s="10" t="s">
        <v>368</v>
      </c>
      <c r="C109" s="10" t="s">
        <v>199</v>
      </c>
      <c r="D109" s="10" t="s">
        <v>90</v>
      </c>
      <c r="E109" s="15">
        <v>45942</v>
      </c>
      <c r="F109" s="11">
        <v>16</v>
      </c>
      <c r="G109" s="10" t="s">
        <v>231</v>
      </c>
      <c r="H109" s="11">
        <v>91</v>
      </c>
      <c r="I109" s="10" t="s">
        <v>232</v>
      </c>
      <c r="J109" s="11">
        <v>60</v>
      </c>
      <c r="K109" s="16">
        <f t="shared" si="6"/>
        <v>47768</v>
      </c>
      <c r="L109" s="13" t="str">
        <f t="shared" si="7"/>
        <v>Sim</v>
      </c>
    </row>
    <row r="110" spans="1:12" x14ac:dyDescent="0.3">
      <c r="A110" s="10" t="s">
        <v>370</v>
      </c>
      <c r="B110" s="10" t="s">
        <v>368</v>
      </c>
      <c r="C110" s="10" t="s">
        <v>199</v>
      </c>
      <c r="D110" s="10" t="s">
        <v>74</v>
      </c>
      <c r="E110" s="15">
        <v>45948</v>
      </c>
      <c r="F110" s="11">
        <v>2</v>
      </c>
      <c r="G110" s="10" t="s">
        <v>231</v>
      </c>
      <c r="H110" s="11">
        <v>95</v>
      </c>
      <c r="I110" s="10" t="s">
        <v>232</v>
      </c>
      <c r="J110" s="11">
        <v>12</v>
      </c>
      <c r="K110" s="16">
        <f t="shared" si="6"/>
        <v>46313</v>
      </c>
      <c r="L110" s="13" t="str">
        <f t="shared" si="7"/>
        <v>Não</v>
      </c>
    </row>
    <row r="111" spans="1:12" ht="26.4" x14ac:dyDescent="0.3">
      <c r="A111" s="10" t="s">
        <v>371</v>
      </c>
      <c r="B111" s="10" t="s">
        <v>368</v>
      </c>
      <c r="C111" s="10" t="s">
        <v>199</v>
      </c>
      <c r="D111" s="10" t="s">
        <v>95</v>
      </c>
      <c r="E111" s="15">
        <v>46159</v>
      </c>
      <c r="F111" s="11">
        <v>1</v>
      </c>
      <c r="G111" s="10" t="s">
        <v>231</v>
      </c>
      <c r="H111" s="11">
        <v>97</v>
      </c>
      <c r="I111" s="10" t="s">
        <v>236</v>
      </c>
      <c r="J111" s="11">
        <v>12</v>
      </c>
      <c r="K111" s="16">
        <f t="shared" si="6"/>
        <v>46524</v>
      </c>
      <c r="L111" s="13" t="str">
        <f t="shared" si="7"/>
        <v>Sim</v>
      </c>
    </row>
    <row r="112" spans="1:12" ht="26.4" x14ac:dyDescent="0.3">
      <c r="A112" s="10" t="s">
        <v>372</v>
      </c>
      <c r="B112" s="10" t="s">
        <v>373</v>
      </c>
      <c r="C112" s="10" t="s">
        <v>199</v>
      </c>
      <c r="D112" s="10" t="s">
        <v>81</v>
      </c>
      <c r="E112" s="15">
        <v>46044</v>
      </c>
      <c r="F112" s="11">
        <v>1</v>
      </c>
      <c r="G112" s="10" t="s">
        <v>231</v>
      </c>
      <c r="H112" s="11">
        <v>79</v>
      </c>
      <c r="I112" s="10" t="s">
        <v>236</v>
      </c>
      <c r="J112" s="11">
        <v>24</v>
      </c>
      <c r="K112" s="16">
        <f t="shared" si="6"/>
        <v>46774</v>
      </c>
      <c r="L112" s="13" t="str">
        <f t="shared" si="7"/>
        <v>Sim</v>
      </c>
    </row>
    <row r="113" spans="1:12" ht="26.4" x14ac:dyDescent="0.3">
      <c r="A113" s="10" t="s">
        <v>374</v>
      </c>
      <c r="B113" s="10" t="s">
        <v>373</v>
      </c>
      <c r="C113" s="10" t="s">
        <v>199</v>
      </c>
      <c r="D113" s="10" t="s">
        <v>90</v>
      </c>
      <c r="E113" s="15">
        <v>46171</v>
      </c>
      <c r="F113" s="11">
        <v>16</v>
      </c>
      <c r="G113" s="10" t="s">
        <v>231</v>
      </c>
      <c r="H113" s="11">
        <v>98</v>
      </c>
      <c r="I113" s="10" t="s">
        <v>236</v>
      </c>
      <c r="J113" s="11">
        <v>60</v>
      </c>
      <c r="K113" s="16">
        <f t="shared" si="6"/>
        <v>47997</v>
      </c>
      <c r="L113" s="13" t="str">
        <f t="shared" si="7"/>
        <v>Sim</v>
      </c>
    </row>
    <row r="114" spans="1:12" x14ac:dyDescent="0.3">
      <c r="A114" s="10" t="s">
        <v>375</v>
      </c>
      <c r="B114" s="10" t="s">
        <v>373</v>
      </c>
      <c r="C114" s="10" t="s">
        <v>199</v>
      </c>
      <c r="D114" s="10" t="s">
        <v>74</v>
      </c>
      <c r="E114" s="15">
        <v>46315</v>
      </c>
      <c r="F114" s="11">
        <v>2</v>
      </c>
      <c r="G114" s="10" t="s">
        <v>231</v>
      </c>
      <c r="H114" s="11">
        <v>87</v>
      </c>
      <c r="I114" s="10" t="s">
        <v>232</v>
      </c>
      <c r="J114" s="11">
        <v>12</v>
      </c>
      <c r="K114" s="16">
        <f t="shared" si="6"/>
        <v>46680</v>
      </c>
      <c r="L114" s="13" t="str">
        <f t="shared" si="7"/>
        <v>Sim</v>
      </c>
    </row>
    <row r="115" spans="1:12" x14ac:dyDescent="0.3">
      <c r="A115" s="10" t="s">
        <v>376</v>
      </c>
      <c r="B115" s="10" t="s">
        <v>373</v>
      </c>
      <c r="C115" s="10" t="s">
        <v>199</v>
      </c>
      <c r="D115" s="10" t="s">
        <v>95</v>
      </c>
      <c r="E115" s="15">
        <v>46035</v>
      </c>
      <c r="F115" s="11">
        <v>1</v>
      </c>
      <c r="G115" s="10" t="s">
        <v>231</v>
      </c>
      <c r="H115" s="11">
        <v>91</v>
      </c>
      <c r="I115" s="10" t="s">
        <v>232</v>
      </c>
      <c r="J115" s="11">
        <v>12</v>
      </c>
      <c r="K115" s="16">
        <f t="shared" si="6"/>
        <v>46400</v>
      </c>
      <c r="L115" s="13" t="str">
        <f t="shared" si="7"/>
        <v>Sim</v>
      </c>
    </row>
    <row r="116" spans="1:12" x14ac:dyDescent="0.3">
      <c r="A116" s="10" t="s">
        <v>377</v>
      </c>
      <c r="B116" s="10" t="s">
        <v>378</v>
      </c>
      <c r="C116" s="10" t="s">
        <v>211</v>
      </c>
      <c r="D116" s="10" t="s">
        <v>93</v>
      </c>
      <c r="E116" s="15">
        <v>46177</v>
      </c>
      <c r="F116" s="11">
        <v>21</v>
      </c>
      <c r="G116" s="10" t="s">
        <v>231</v>
      </c>
      <c r="H116" s="11">
        <v>88</v>
      </c>
      <c r="I116" s="10" t="s">
        <v>232</v>
      </c>
      <c r="J116" s="11">
        <v>36</v>
      </c>
      <c r="K116" s="16">
        <f t="shared" si="6"/>
        <v>47273</v>
      </c>
      <c r="L116" s="13" t="str">
        <f t="shared" si="7"/>
        <v>Sim</v>
      </c>
    </row>
    <row r="117" spans="1:12" x14ac:dyDescent="0.3">
      <c r="A117" s="10" t="s">
        <v>379</v>
      </c>
      <c r="B117" s="10" t="s">
        <v>380</v>
      </c>
      <c r="C117" s="10" t="s">
        <v>211</v>
      </c>
      <c r="D117" s="10" t="s">
        <v>93</v>
      </c>
      <c r="E117" s="15">
        <v>46005</v>
      </c>
      <c r="F117" s="11">
        <v>21</v>
      </c>
      <c r="G117" s="10" t="s">
        <v>231</v>
      </c>
      <c r="H117" s="11">
        <v>77</v>
      </c>
      <c r="I117" s="10" t="s">
        <v>232</v>
      </c>
      <c r="J117" s="11">
        <v>36</v>
      </c>
      <c r="K117" s="16">
        <f t="shared" si="6"/>
        <v>47101</v>
      </c>
      <c r="L117" s="13" t="str">
        <f t="shared" si="7"/>
        <v>Sim</v>
      </c>
    </row>
    <row r="118" spans="1:12" ht="26.4" x14ac:dyDescent="0.3">
      <c r="A118" s="10" t="s">
        <v>381</v>
      </c>
      <c r="B118" s="10" t="s">
        <v>382</v>
      </c>
      <c r="C118" s="10" t="s">
        <v>211</v>
      </c>
      <c r="D118" s="10" t="s">
        <v>93</v>
      </c>
      <c r="E118" s="15">
        <v>45975</v>
      </c>
      <c r="F118" s="11">
        <v>21</v>
      </c>
      <c r="G118" s="10" t="s">
        <v>231</v>
      </c>
      <c r="H118" s="11">
        <v>79</v>
      </c>
      <c r="I118" s="10" t="s">
        <v>236</v>
      </c>
      <c r="J118" s="11">
        <v>36</v>
      </c>
      <c r="K118" s="16">
        <f t="shared" si="6"/>
        <v>47071</v>
      </c>
      <c r="L118" s="13" t="str">
        <f t="shared" si="7"/>
        <v>Sim</v>
      </c>
    </row>
    <row r="119" spans="1:12" x14ac:dyDescent="0.3">
      <c r="A119" s="10" t="s">
        <v>383</v>
      </c>
      <c r="B119" s="10" t="s">
        <v>230</v>
      </c>
      <c r="C119" s="10" t="s">
        <v>129</v>
      </c>
      <c r="D119" s="10" t="s">
        <v>101</v>
      </c>
      <c r="E119" s="15">
        <v>45148</v>
      </c>
      <c r="F119" s="11">
        <v>8</v>
      </c>
      <c r="G119" s="10" t="s">
        <v>231</v>
      </c>
      <c r="H119" s="11">
        <v>80</v>
      </c>
      <c r="I119" s="10" t="s">
        <v>232</v>
      </c>
      <c r="J119" s="11">
        <v>60</v>
      </c>
      <c r="K119" s="16">
        <f t="shared" si="6"/>
        <v>46975</v>
      </c>
      <c r="L119" s="13" t="str">
        <f t="shared" si="7"/>
        <v>Sim</v>
      </c>
    </row>
    <row r="120" spans="1:12" x14ac:dyDescent="0.3">
      <c r="A120" s="10" t="s">
        <v>384</v>
      </c>
      <c r="B120" s="10" t="s">
        <v>230</v>
      </c>
      <c r="C120" s="10" t="s">
        <v>129</v>
      </c>
      <c r="D120" s="10" t="s">
        <v>104</v>
      </c>
      <c r="E120" s="15">
        <v>46328</v>
      </c>
      <c r="F120" s="11">
        <v>2</v>
      </c>
      <c r="G120" s="10" t="s">
        <v>231</v>
      </c>
      <c r="H120" s="11">
        <v>84</v>
      </c>
      <c r="I120" s="10" t="s">
        <v>232</v>
      </c>
      <c r="J120" s="11">
        <v>12</v>
      </c>
      <c r="K120" s="16">
        <f t="shared" si="6"/>
        <v>46693</v>
      </c>
      <c r="L120" s="13" t="str">
        <f t="shared" si="7"/>
        <v>Sim</v>
      </c>
    </row>
    <row r="121" spans="1:12" x14ac:dyDescent="0.3">
      <c r="A121" s="10" t="s">
        <v>385</v>
      </c>
      <c r="B121" s="10" t="s">
        <v>238</v>
      </c>
      <c r="C121" s="10" t="s">
        <v>129</v>
      </c>
      <c r="D121" s="10" t="s">
        <v>101</v>
      </c>
      <c r="E121" s="15">
        <v>45148</v>
      </c>
      <c r="F121" s="11">
        <v>8</v>
      </c>
      <c r="G121" s="10" t="s">
        <v>231</v>
      </c>
      <c r="H121" s="11">
        <v>80</v>
      </c>
      <c r="I121" s="10" t="s">
        <v>232</v>
      </c>
      <c r="J121" s="11">
        <v>60</v>
      </c>
      <c r="K121" s="16">
        <f t="shared" si="6"/>
        <v>46975</v>
      </c>
      <c r="L121" s="13" t="str">
        <f t="shared" si="7"/>
        <v>Sim</v>
      </c>
    </row>
    <row r="122" spans="1:12" x14ac:dyDescent="0.3">
      <c r="A122" s="10" t="s">
        <v>386</v>
      </c>
      <c r="B122" s="10" t="s">
        <v>238</v>
      </c>
      <c r="C122" s="10" t="s">
        <v>129</v>
      </c>
      <c r="D122" s="10" t="s">
        <v>104</v>
      </c>
      <c r="E122" s="15">
        <v>46368</v>
      </c>
      <c r="F122" s="11">
        <v>2</v>
      </c>
      <c r="G122" s="10" t="s">
        <v>231</v>
      </c>
      <c r="H122" s="11">
        <v>86</v>
      </c>
      <c r="I122" s="10" t="s">
        <v>232</v>
      </c>
      <c r="J122" s="11">
        <v>12</v>
      </c>
      <c r="K122" s="16">
        <f t="shared" si="6"/>
        <v>46733</v>
      </c>
      <c r="L122" s="13" t="str">
        <f t="shared" si="7"/>
        <v>Sim</v>
      </c>
    </row>
    <row r="123" spans="1:12" x14ac:dyDescent="0.3">
      <c r="A123" s="10" t="s">
        <v>387</v>
      </c>
      <c r="B123" s="10" t="s">
        <v>243</v>
      </c>
      <c r="C123" s="10" t="s">
        <v>129</v>
      </c>
      <c r="D123" s="10" t="s">
        <v>101</v>
      </c>
      <c r="E123" s="15">
        <v>45148</v>
      </c>
      <c r="F123" s="11">
        <v>8</v>
      </c>
      <c r="G123" s="10" t="s">
        <v>231</v>
      </c>
      <c r="H123" s="11">
        <v>80</v>
      </c>
      <c r="I123" s="10" t="s">
        <v>232</v>
      </c>
      <c r="J123" s="11">
        <v>60</v>
      </c>
      <c r="K123" s="16">
        <f t="shared" si="6"/>
        <v>46975</v>
      </c>
      <c r="L123" s="13" t="str">
        <f t="shared" si="7"/>
        <v>Sim</v>
      </c>
    </row>
    <row r="124" spans="1:12" x14ac:dyDescent="0.3">
      <c r="A124" s="10" t="s">
        <v>388</v>
      </c>
      <c r="B124" s="10" t="s">
        <v>243</v>
      </c>
      <c r="C124" s="10" t="s">
        <v>129</v>
      </c>
      <c r="D124" s="10" t="s">
        <v>104</v>
      </c>
      <c r="E124" s="15">
        <v>46327</v>
      </c>
      <c r="F124" s="11">
        <v>2</v>
      </c>
      <c r="G124" s="10" t="s">
        <v>231</v>
      </c>
      <c r="H124" s="11">
        <v>79</v>
      </c>
      <c r="I124" s="10" t="s">
        <v>232</v>
      </c>
      <c r="J124" s="11">
        <v>12</v>
      </c>
      <c r="K124" s="16">
        <f t="shared" si="6"/>
        <v>46692</v>
      </c>
      <c r="L124" s="13" t="str">
        <f t="shared" si="7"/>
        <v>Sim</v>
      </c>
    </row>
    <row r="125" spans="1:12" x14ac:dyDescent="0.3">
      <c r="A125" s="10" t="s">
        <v>389</v>
      </c>
      <c r="B125" s="10" t="s">
        <v>248</v>
      </c>
      <c r="C125" s="10" t="s">
        <v>129</v>
      </c>
      <c r="D125" s="10" t="s">
        <v>101</v>
      </c>
      <c r="E125" s="15">
        <v>45148</v>
      </c>
      <c r="F125" s="11">
        <v>8</v>
      </c>
      <c r="G125" s="10" t="s">
        <v>231</v>
      </c>
      <c r="H125" s="11">
        <v>80</v>
      </c>
      <c r="I125" s="10" t="s">
        <v>232</v>
      </c>
      <c r="J125" s="11">
        <v>60</v>
      </c>
      <c r="K125" s="16">
        <f t="shared" si="6"/>
        <v>46975</v>
      </c>
      <c r="L125" s="13" t="str">
        <f t="shared" si="7"/>
        <v>Sim</v>
      </c>
    </row>
    <row r="126" spans="1:12" x14ac:dyDescent="0.3">
      <c r="A126" s="10" t="s">
        <v>390</v>
      </c>
      <c r="B126" s="10" t="s">
        <v>248</v>
      </c>
      <c r="C126" s="10" t="s">
        <v>129</v>
      </c>
      <c r="D126" s="10" t="s">
        <v>104</v>
      </c>
      <c r="E126" s="15">
        <v>46316</v>
      </c>
      <c r="F126" s="11">
        <v>2</v>
      </c>
      <c r="G126" s="10" t="s">
        <v>231</v>
      </c>
      <c r="H126" s="11">
        <v>75</v>
      </c>
      <c r="I126" s="10" t="s">
        <v>232</v>
      </c>
      <c r="J126" s="11">
        <v>12</v>
      </c>
      <c r="K126" s="16">
        <f t="shared" si="6"/>
        <v>46681</v>
      </c>
      <c r="L126" s="13" t="str">
        <f t="shared" si="7"/>
        <v>Sim</v>
      </c>
    </row>
    <row r="127" spans="1:12" x14ac:dyDescent="0.3">
      <c r="A127" s="10" t="s">
        <v>391</v>
      </c>
      <c r="B127" s="10" t="s">
        <v>253</v>
      </c>
      <c r="C127" s="10" t="s">
        <v>129</v>
      </c>
      <c r="D127" s="10" t="s">
        <v>101</v>
      </c>
      <c r="E127" s="15">
        <v>46369</v>
      </c>
      <c r="F127" s="11">
        <v>8</v>
      </c>
      <c r="G127" s="10" t="s">
        <v>231</v>
      </c>
      <c r="H127" s="11">
        <v>83</v>
      </c>
      <c r="I127" s="10" t="s">
        <v>232</v>
      </c>
      <c r="J127" s="11">
        <v>60</v>
      </c>
      <c r="K127" s="16">
        <f t="shared" si="6"/>
        <v>48195</v>
      </c>
      <c r="L127" s="13" t="str">
        <f t="shared" si="7"/>
        <v>Sim</v>
      </c>
    </row>
    <row r="128" spans="1:12" x14ac:dyDescent="0.3">
      <c r="A128" s="10" t="s">
        <v>392</v>
      </c>
      <c r="B128" s="10" t="s">
        <v>253</v>
      </c>
      <c r="C128" s="10" t="s">
        <v>129</v>
      </c>
      <c r="D128" s="10" t="s">
        <v>104</v>
      </c>
      <c r="E128" s="15">
        <v>46323</v>
      </c>
      <c r="F128" s="11">
        <v>2</v>
      </c>
      <c r="G128" s="10" t="s">
        <v>231</v>
      </c>
      <c r="H128" s="11">
        <v>88</v>
      </c>
      <c r="I128" s="10" t="s">
        <v>232</v>
      </c>
      <c r="J128" s="11">
        <v>12</v>
      </c>
      <c r="K128" s="16">
        <f t="shared" si="6"/>
        <v>46688</v>
      </c>
      <c r="L128" s="13" t="str">
        <f t="shared" si="7"/>
        <v>Sim</v>
      </c>
    </row>
    <row r="129" spans="1:12" x14ac:dyDescent="0.3">
      <c r="A129" s="10" t="s">
        <v>393</v>
      </c>
      <c r="B129" s="10" t="s">
        <v>258</v>
      </c>
      <c r="C129" s="10" t="s">
        <v>129</v>
      </c>
      <c r="D129" s="10" t="s">
        <v>101</v>
      </c>
      <c r="E129" s="15"/>
      <c r="F129" s="11">
        <v>8</v>
      </c>
      <c r="G129" s="10" t="s">
        <v>394</v>
      </c>
      <c r="H129" s="11"/>
      <c r="I129" s="10"/>
      <c r="J129" s="11">
        <v>60</v>
      </c>
      <c r="K129" s="16" t="str">
        <f t="shared" si="6"/>
        <v/>
      </c>
      <c r="L129" s="13" t="str">
        <f t="shared" si="7"/>
        <v>Não</v>
      </c>
    </row>
    <row r="130" spans="1:12" x14ac:dyDescent="0.3">
      <c r="A130" s="10" t="s">
        <v>395</v>
      </c>
      <c r="B130" s="10" t="s">
        <v>258</v>
      </c>
      <c r="C130" s="10" t="s">
        <v>129</v>
      </c>
      <c r="D130" s="10" t="s">
        <v>104</v>
      </c>
      <c r="E130" s="15"/>
      <c r="F130" s="11">
        <v>2</v>
      </c>
      <c r="G130" s="10" t="s">
        <v>394</v>
      </c>
      <c r="H130" s="11"/>
      <c r="I130" s="10"/>
      <c r="J130" s="11">
        <v>12</v>
      </c>
      <c r="K130" s="16" t="str">
        <f t="shared" ref="K130:K161" si="8">IF(OR(E130="",J130=0),"",EDATE(E130,J130))</f>
        <v/>
      </c>
      <c r="L130" s="13" t="str">
        <f t="shared" ref="L130:L161" si="9">IF(G130&lt;&gt;"Aprovado","Não",IF(K130="","Sim",IF(K130&gt;=DataRef,"Sim","Não")))</f>
        <v>Não</v>
      </c>
    </row>
    <row r="131" spans="1:12" x14ac:dyDescent="0.3">
      <c r="A131" s="10" t="s">
        <v>396</v>
      </c>
      <c r="B131" s="10" t="s">
        <v>311</v>
      </c>
      <c r="C131" s="10" t="s">
        <v>163</v>
      </c>
      <c r="D131" s="10" t="s">
        <v>107</v>
      </c>
      <c r="E131" s="15">
        <v>44691</v>
      </c>
      <c r="F131" s="11">
        <v>8</v>
      </c>
      <c r="G131" s="10" t="s">
        <v>231</v>
      </c>
      <c r="H131" s="11">
        <v>80</v>
      </c>
      <c r="I131" s="10" t="s">
        <v>232</v>
      </c>
      <c r="J131" s="11">
        <v>60</v>
      </c>
      <c r="K131" s="16">
        <f t="shared" si="8"/>
        <v>46517</v>
      </c>
      <c r="L131" s="13" t="str">
        <f t="shared" si="9"/>
        <v>Sim</v>
      </c>
    </row>
    <row r="132" spans="1:12" x14ac:dyDescent="0.3">
      <c r="A132" s="10" t="s">
        <v>397</v>
      </c>
      <c r="B132" s="10" t="s">
        <v>317</v>
      </c>
      <c r="C132" s="10" t="s">
        <v>163</v>
      </c>
      <c r="D132" s="10" t="s">
        <v>107</v>
      </c>
      <c r="E132" s="15">
        <v>44691</v>
      </c>
      <c r="F132" s="11">
        <v>8</v>
      </c>
      <c r="G132" s="10" t="s">
        <v>231</v>
      </c>
      <c r="H132" s="11">
        <v>80</v>
      </c>
      <c r="I132" s="10" t="s">
        <v>232</v>
      </c>
      <c r="J132" s="11">
        <v>60</v>
      </c>
      <c r="K132" s="16">
        <f t="shared" si="8"/>
        <v>46517</v>
      </c>
      <c r="L132" s="13" t="str">
        <f t="shared" si="9"/>
        <v>Sim</v>
      </c>
    </row>
  </sheetData>
  <conditionalFormatting sqref="G2:G332">
    <cfRule type="expression" dxfId="6" priority="1">
      <formula>ISNUMBER(SEARCH("Pendente",G2))</formula>
    </cfRule>
    <cfRule type="expression" dxfId="5" priority="2">
      <formula>ISNUMBER(SEARCH("Reprovado",G2))</formula>
    </cfRule>
    <cfRule type="expression" dxfId="4" priority="3">
      <formula>ISNUMBER(SEARCH("Aprovado",G2))</formula>
    </cfRule>
  </conditionalFormatting>
  <conditionalFormatting sqref="L2:L332">
    <cfRule type="expression" dxfId="3" priority="4">
      <formula>ISNUMBER(SEARCH("Não",L2))</formula>
    </cfRule>
  </conditionalFormatting>
  <dataValidations count="2">
    <dataValidation type="list" allowBlank="1" showErrorMessage="1" errorTitle="Valor inválido" error="Valor fora da lista controlada (ver folha Listas)." sqref="G2:G332" xr:uid="{00000000-0002-0000-0300-000000000000}">
      <formula1>lst_Resultado</formula1>
    </dataValidation>
    <dataValidation type="list" allowBlank="1" showErrorMessage="1" errorTitle="Valor inválido" error="Valor fora da lista controlada (ver folha Listas)." sqref="I2:I332" xr:uid="{00000000-0002-0000-0300-000001000000}">
      <formula1>lst_Nivel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B19"/>
  <sheetViews>
    <sheetView showGridLines="0" workbookViewId="0"/>
  </sheetViews>
  <sheetFormatPr defaultRowHeight="14.4" x14ac:dyDescent="0.3"/>
  <cols>
    <col min="1" max="1" width="32" customWidth="1"/>
    <col min="2" max="2" width="100" customWidth="1"/>
  </cols>
  <sheetData>
    <row r="1" spans="1:2" ht="17.399999999999999" x14ac:dyDescent="0.3">
      <c r="A1" s="1" t="s">
        <v>398</v>
      </c>
    </row>
    <row r="3" spans="1:2" x14ac:dyDescent="0.3">
      <c r="A3" s="17" t="s">
        <v>399</v>
      </c>
      <c r="B3" s="23" t="str">
        <f>INDEX(Matriz_Competencias!$B$5:$B$12,MATCH("COMP-01",Matriz_Competencias!$A$5:$A$12,0))</f>
        <v>Operador de Serigrafia</v>
      </c>
    </row>
    <row r="4" spans="1:2" x14ac:dyDescent="0.3">
      <c r="A4" s="17" t="s">
        <v>400</v>
      </c>
      <c r="B4" s="23" t="str">
        <f>INDEX(Matriz_Competencias!$E$5:$E$12,MATCH("COMP-01",Matriz_Competencias!$A$5:$A$12,0))</f>
        <v>Emissão de COV na limpeza de ecrãs com solvente (AAS, IRA 40)</v>
      </c>
    </row>
    <row r="5" spans="1:2" x14ac:dyDescent="0.3">
      <c r="A5" s="17" t="s">
        <v>401</v>
      </c>
      <c r="B5" s="23" t="str">
        <f>INDEX(Matriz_Competencias!$F$5:$F$12,MATCH("COMP-01",Matriz_Competencias!$A$5:$A$12,0))</f>
        <v>9.º ano de escolaridade</v>
      </c>
    </row>
    <row r="6" spans="1:2" ht="26.4" x14ac:dyDescent="0.3">
      <c r="A6" s="17" t="s">
        <v>402</v>
      </c>
      <c r="B6" s="23" t="str">
        <f>INDEX(Matriz_Competencias!$G$5:$G$12,MATCH("COMP-01",Matriz_Competencias!$A$5:$A$12,0))</f>
        <v>FOR-01; FOR-02; FOR-03; FOR-11; FOR-13; FOR-14</v>
      </c>
    </row>
    <row r="7" spans="1:2" x14ac:dyDescent="0.3">
      <c r="A7" s="17" t="s">
        <v>403</v>
      </c>
      <c r="B7" s="23" t="str">
        <f>INDEX(Matriz_Competencias!$I$5:$I$12,MATCH("COMP-01",Matriz_Competencias!$A$5:$A$12,0))</f>
        <v>6 meses em decoração industrial com acompanhamento</v>
      </c>
    </row>
    <row r="8" spans="1:2" x14ac:dyDescent="0.3">
      <c r="A8" s="17" t="s">
        <v>404</v>
      </c>
      <c r="B8" s="23" t="str">
        <f>INDEX(Matriz_Competencias!$J$5:$J$12,MATCH("COMP-01",Matriz_Competencias!$A$5:$A$12,0))</f>
        <v>Rigor na dosagem; comunicação de desvios ao chefe de turno</v>
      </c>
    </row>
    <row r="9" spans="1:2" ht="48" customHeight="1" x14ac:dyDescent="0.3">
      <c r="A9" s="17" t="s">
        <v>405</v>
      </c>
      <c r="B9" s="23" t="str">
        <f>INDEX(Matriz_Competencias!$K$5:$K$12,MATCH("COMP-01",Matriz_Competencias!$A$5:$A$12,0))</f>
        <v>Deixar latas ou panos de solvente abertos aumenta as emissões de COV (poluição do ar), o consumo de solvente e o risco de incêndio e intoxicação; cada limpeza desnecessária gasta solvente e gera resíduo perigoso.</v>
      </c>
    </row>
    <row r="10" spans="1:2" x14ac:dyDescent="0.3">
      <c r="A10" s="17" t="s">
        <v>406</v>
      </c>
      <c r="B10" s="23" t="str">
        <f>INDEX(Matriz_Competencias!$L$5:$L$12,MATCH("COMP-01",Matriz_Competencias!$A$5:$A$12,0))</f>
        <v>Mais COV, mais resíduos 15 02 02* e 08 03 12*, desvio do objetivo OBJ-03.</v>
      </c>
    </row>
    <row r="11" spans="1:2" ht="48" customHeight="1" x14ac:dyDescent="0.3">
      <c r="A11" s="17" t="s">
        <v>407</v>
      </c>
      <c r="B11" s="23" t="str">
        <f>INDEX(Matriz_Competencias!$M$5:$M$12,MATCH("COMP-01",Matriz_Competencias!$A$5:$A$12,0))</f>
        <v>Aprendizagem: teste prático no posto. Comportamento: observação após 3 meses (latas fechadas, dispensador usado).</v>
      </c>
    </row>
    <row r="12" spans="1:2" x14ac:dyDescent="0.3">
      <c r="A12" s="17" t="s">
        <v>408</v>
      </c>
      <c r="B12" s="24">
        <f>INDEX(Matriz_Competencias!$P$5:$P$12,MATCH("COMP-01",Matriz_Competencias!$A$5:$A$12,0))</f>
        <v>0.88888888888888884</v>
      </c>
    </row>
    <row r="13" spans="1:2" x14ac:dyDescent="0.3">
      <c r="A13" s="17" t="s">
        <v>14</v>
      </c>
      <c r="B13" s="23" t="str">
        <f>INDEX(Matriz_Competencias!$Q$5:$Q$12,MATCH("COMP-01",Matriz_Competencias!$A$5:$A$12,0))</f>
        <v>Parcial</v>
      </c>
    </row>
    <row r="15" spans="1:2" x14ac:dyDescent="0.3">
      <c r="A15" s="19" t="s">
        <v>409</v>
      </c>
    </row>
    <row r="16" spans="1:2" x14ac:dyDescent="0.3">
      <c r="A16" s="20" t="s">
        <v>67</v>
      </c>
      <c r="B16" s="20" t="str">
        <f>INDEX(tbl_formacoes[Formacao],MATCH(A16,tbl_formacoes[ID_Formacao],0))&amp;" — "&amp;INDEX(tbl_formacoes[Duracao_h],MATCH(A16,tbl_formacoes[ID_Formacao],0))&amp;" h"</f>
        <v>Manuseamento seguro de produtos químicos (REACH/CLP, leitura de FDS e rótulos) — 4 h</v>
      </c>
    </row>
    <row r="17" spans="1:2" x14ac:dyDescent="0.3">
      <c r="A17" s="20" t="s">
        <v>71</v>
      </c>
      <c r="B17" s="20" t="str">
        <f>INDEX(tbl_formacoes[Formacao],MATCH(A17,tbl_formacoes[ID_Formacao],0))&amp;" — "&amp;INDEX(tbl_formacoes[Duracao_h],MATCH(A17,tbl_formacoes[ID_Formacao],0))&amp;" h"</f>
        <v>Limpeza de ecrãs com solvente: método, dispensador de segurança e controlo de COV — 2 h</v>
      </c>
    </row>
    <row r="18" spans="1:2" x14ac:dyDescent="0.3">
      <c r="A18" s="20" t="s">
        <v>74</v>
      </c>
      <c r="B18" s="20" t="str">
        <f>INDEX(tbl_formacoes[Formacao],MATCH(A18,tbl_formacoes[ID_Formacao],0))&amp;" — "&amp;INDEX(tbl_formacoes[Duracao_h],MATCH(A18,tbl_formacoes[ID_Formacao],0))&amp;" h"</f>
        <v>Resposta a derrames e uso do kit antipoluição (incl. pós-uso: registar, repor, selar) — 2 h</v>
      </c>
    </row>
    <row r="19" spans="1:2" x14ac:dyDescent="0.3">
      <c r="A19" s="20" t="s">
        <v>95</v>
      </c>
      <c r="B19" s="20" t="str">
        <f>INDEX(tbl_formacoes[Formacao],MATCH(A19,tbl_formacoes[ID_Formacao],0))&amp;" — "&amp;INDEX(tbl_formacoes[Duracao_h],MATCH(A19,tbl_formacoes[ID_Formacao],0))&amp;" h"</f>
        <v>Sensibilização ambiental de acolhimento (política, aspetos significativos, emergência) — 1 h</v>
      </c>
    </row>
  </sheetData>
  <mergeCells count="11">
    <mergeCell ref="B3"/>
    <mergeCell ref="B5"/>
    <mergeCell ref="B8"/>
    <mergeCell ref="B4"/>
    <mergeCell ref="B9"/>
    <mergeCell ref="B12"/>
    <mergeCell ref="B13"/>
    <mergeCell ref="B7"/>
    <mergeCell ref="B11"/>
    <mergeCell ref="B6"/>
    <mergeCell ref="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36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17" width="9" customWidth="1"/>
    <col min="18" max="18" width="14" customWidth="1"/>
  </cols>
  <sheetData>
    <row r="1" spans="1:18" ht="17.399999999999999" x14ac:dyDescent="0.3">
      <c r="A1" s="1" t="s">
        <v>410</v>
      </c>
    </row>
    <row r="2" spans="1:18" x14ac:dyDescent="0.3">
      <c r="A2" s="2" t="s">
        <v>411</v>
      </c>
    </row>
    <row r="4" spans="1:18" ht="39.6" x14ac:dyDescent="0.3">
      <c r="A4" s="8" t="s">
        <v>412</v>
      </c>
      <c r="B4" s="8" t="s">
        <v>413</v>
      </c>
      <c r="C4" s="8" t="s">
        <v>414</v>
      </c>
      <c r="D4" s="8" t="s">
        <v>415</v>
      </c>
      <c r="E4" s="8" t="s">
        <v>416</v>
      </c>
      <c r="F4" s="8" t="s">
        <v>417</v>
      </c>
      <c r="G4" s="8" t="s">
        <v>418</v>
      </c>
      <c r="H4" s="8" t="s">
        <v>419</v>
      </c>
      <c r="I4" s="8" t="s">
        <v>420</v>
      </c>
      <c r="J4" s="8" t="s">
        <v>421</v>
      </c>
      <c r="K4" s="8" t="s">
        <v>422</v>
      </c>
      <c r="L4" s="8" t="s">
        <v>423</v>
      </c>
      <c r="M4" s="8" t="s">
        <v>424</v>
      </c>
      <c r="N4" s="8" t="s">
        <v>425</v>
      </c>
      <c r="O4" s="8" t="s">
        <v>426</v>
      </c>
      <c r="P4" s="8" t="s">
        <v>427</v>
      </c>
      <c r="Q4" s="9" t="s">
        <v>428</v>
      </c>
      <c r="R4" s="9" t="s">
        <v>429</v>
      </c>
    </row>
    <row r="5" spans="1:18" ht="30" customHeight="1" x14ac:dyDescent="0.3">
      <c r="A5" s="10" t="s">
        <v>430</v>
      </c>
      <c r="B5" s="10" t="s">
        <v>431</v>
      </c>
      <c r="C5" s="10" t="s">
        <v>432</v>
      </c>
      <c r="D5" s="10" t="s">
        <v>433</v>
      </c>
      <c r="E5" s="10" t="s">
        <v>434</v>
      </c>
      <c r="F5" s="10" t="s">
        <v>435</v>
      </c>
      <c r="G5" s="10" t="s">
        <v>434</v>
      </c>
      <c r="H5" s="10" t="s">
        <v>434</v>
      </c>
      <c r="I5" s="10" t="s">
        <v>434</v>
      </c>
      <c r="J5" s="10" t="s">
        <v>436</v>
      </c>
      <c r="K5" s="10" t="s">
        <v>434</v>
      </c>
      <c r="L5" s="10" t="s">
        <v>434</v>
      </c>
      <c r="M5" s="10" t="s">
        <v>436</v>
      </c>
      <c r="N5" s="10" t="s">
        <v>434</v>
      </c>
      <c r="O5" s="10" t="s">
        <v>436</v>
      </c>
      <c r="P5" s="10" t="s">
        <v>436</v>
      </c>
      <c r="Q5" s="12">
        <f t="shared" ref="Q5:Q36" si="0">IF(A5="","",(D5="A")+(D5="R/A")+(E5="A")+(E5="R/A")+(F5="A")+(F5="R/A")+(G5="A")+(G5="R/A")+(H5="A")+(H5="R/A")+(I5="A")+(I5="R/A")+(J5="A")+(J5="R/A")+(K5="A")+(K5="R/A")+(L5="A")+(L5="R/A")+(M5="A")+(M5="R/A")+(N5="A")+(N5="R/A")+(O5="A")+(O5="R/A")+(P5="A")+(P5="R/A"))</f>
        <v>1</v>
      </c>
      <c r="R5" s="13" t="str">
        <f t="shared" ref="R5:R36" si="1">IF(A5="","",IF(Q5=1,"OK",IF(Q5=0,"FALTA aprovador","Mais de um A")))</f>
        <v>OK</v>
      </c>
    </row>
    <row r="6" spans="1:18" ht="30" customHeight="1" x14ac:dyDescent="0.3">
      <c r="A6" s="10" t="s">
        <v>437</v>
      </c>
      <c r="B6" s="10" t="s">
        <v>438</v>
      </c>
      <c r="C6" s="10" t="s">
        <v>439</v>
      </c>
      <c r="D6" s="10" t="s">
        <v>440</v>
      </c>
      <c r="E6" s="10" t="s">
        <v>434</v>
      </c>
      <c r="F6" s="10" t="s">
        <v>435</v>
      </c>
      <c r="G6" s="10" t="s">
        <v>436</v>
      </c>
      <c r="H6" s="10" t="s">
        <v>436</v>
      </c>
      <c r="I6" s="10" t="s">
        <v>436</v>
      </c>
      <c r="J6" s="10" t="s">
        <v>436</v>
      </c>
      <c r="K6" s="10" t="s">
        <v>436</v>
      </c>
      <c r="L6" s="10" t="s">
        <v>436</v>
      </c>
      <c r="M6" s="10" t="s">
        <v>436</v>
      </c>
      <c r="N6" s="10" t="s">
        <v>436</v>
      </c>
      <c r="O6" s="10" t="s">
        <v>436</v>
      </c>
      <c r="P6" s="10" t="s">
        <v>436</v>
      </c>
      <c r="Q6" s="12">
        <f t="shared" si="0"/>
        <v>1</v>
      </c>
      <c r="R6" s="13" t="str">
        <f t="shared" si="1"/>
        <v>OK</v>
      </c>
    </row>
    <row r="7" spans="1:18" ht="30" customHeight="1" x14ac:dyDescent="0.3">
      <c r="A7" s="10" t="s">
        <v>441</v>
      </c>
      <c r="B7" s="10" t="s">
        <v>442</v>
      </c>
      <c r="C7" s="10" t="s">
        <v>443</v>
      </c>
      <c r="D7" s="10" t="s">
        <v>440</v>
      </c>
      <c r="E7" s="10" t="s">
        <v>435</v>
      </c>
      <c r="F7" s="10" t="s">
        <v>435</v>
      </c>
      <c r="G7" s="10" t="s">
        <v>434</v>
      </c>
      <c r="H7" s="10" t="s">
        <v>434</v>
      </c>
      <c r="I7" s="10" t="s">
        <v>434</v>
      </c>
      <c r="J7" s="10" t="s">
        <v>436</v>
      </c>
      <c r="K7" s="10" t="s">
        <v>436</v>
      </c>
      <c r="L7" s="10" t="s">
        <v>436</v>
      </c>
      <c r="M7" s="10" t="s">
        <v>434</v>
      </c>
      <c r="N7" s="10" t="s">
        <v>434</v>
      </c>
      <c r="O7" s="10" t="s">
        <v>436</v>
      </c>
      <c r="P7" s="10" t="s">
        <v>444</v>
      </c>
      <c r="Q7" s="12">
        <f t="shared" si="0"/>
        <v>1</v>
      </c>
      <c r="R7" s="13" t="str">
        <f t="shared" si="1"/>
        <v>OK</v>
      </c>
    </row>
    <row r="8" spans="1:18" ht="30" customHeight="1" x14ac:dyDescent="0.3">
      <c r="A8" s="10" t="s">
        <v>445</v>
      </c>
      <c r="B8" s="10" t="s">
        <v>446</v>
      </c>
      <c r="C8" s="10" t="s">
        <v>447</v>
      </c>
      <c r="D8" s="10" t="s">
        <v>436</v>
      </c>
      <c r="E8" s="10" t="s">
        <v>433</v>
      </c>
      <c r="F8" s="10" t="s">
        <v>435</v>
      </c>
      <c r="G8" s="10" t="s">
        <v>434</v>
      </c>
      <c r="H8" s="10" t="s">
        <v>434</v>
      </c>
      <c r="I8" s="10" t="s">
        <v>434</v>
      </c>
      <c r="J8" s="10" t="s">
        <v>434</v>
      </c>
      <c r="K8" s="10" t="s">
        <v>434</v>
      </c>
      <c r="L8" s="10" t="s">
        <v>434</v>
      </c>
      <c r="M8" s="10" t="s">
        <v>444</v>
      </c>
      <c r="N8" s="10" t="s">
        <v>444</v>
      </c>
      <c r="O8" s="10" t="s">
        <v>434</v>
      </c>
      <c r="P8" s="10" t="s">
        <v>436</v>
      </c>
      <c r="Q8" s="12">
        <f t="shared" si="0"/>
        <v>1</v>
      </c>
      <c r="R8" s="13" t="str">
        <f t="shared" si="1"/>
        <v>OK</v>
      </c>
    </row>
    <row r="9" spans="1:18" ht="30" customHeight="1" x14ac:dyDescent="0.3">
      <c r="A9" s="10" t="s">
        <v>448</v>
      </c>
      <c r="B9" s="10" t="s">
        <v>449</v>
      </c>
      <c r="C9" s="10" t="s">
        <v>450</v>
      </c>
      <c r="D9" s="10" t="s">
        <v>436</v>
      </c>
      <c r="E9" s="10" t="s">
        <v>433</v>
      </c>
      <c r="F9" s="10" t="s">
        <v>435</v>
      </c>
      <c r="G9" s="10" t="s">
        <v>434</v>
      </c>
      <c r="H9" s="10" t="s">
        <v>434</v>
      </c>
      <c r="I9" s="10" t="s">
        <v>434</v>
      </c>
      <c r="J9" s="10" t="s">
        <v>434</v>
      </c>
      <c r="K9" s="10" t="s">
        <v>434</v>
      </c>
      <c r="L9" s="10" t="s">
        <v>434</v>
      </c>
      <c r="M9" s="10" t="s">
        <v>434</v>
      </c>
      <c r="N9" s="10" t="s">
        <v>436</v>
      </c>
      <c r="O9" s="10" t="s">
        <v>436</v>
      </c>
      <c r="P9" s="10" t="s">
        <v>444</v>
      </c>
      <c r="Q9" s="12">
        <f t="shared" si="0"/>
        <v>1</v>
      </c>
      <c r="R9" s="13" t="str">
        <f t="shared" si="1"/>
        <v>OK</v>
      </c>
    </row>
    <row r="10" spans="1:18" ht="30" customHeight="1" x14ac:dyDescent="0.3">
      <c r="A10" s="10" t="s">
        <v>451</v>
      </c>
      <c r="B10" s="10" t="s">
        <v>452</v>
      </c>
      <c r="C10" s="10" t="s">
        <v>453</v>
      </c>
      <c r="D10" s="10" t="s">
        <v>433</v>
      </c>
      <c r="E10" s="10" t="s">
        <v>435</v>
      </c>
      <c r="F10" s="10" t="s">
        <v>435</v>
      </c>
      <c r="G10" s="10" t="s">
        <v>434</v>
      </c>
      <c r="H10" s="10" t="s">
        <v>434</v>
      </c>
      <c r="I10" s="10" t="s">
        <v>434</v>
      </c>
      <c r="J10" s="10" t="s">
        <v>434</v>
      </c>
      <c r="K10" s="10" t="s">
        <v>434</v>
      </c>
      <c r="L10" s="10" t="s">
        <v>434</v>
      </c>
      <c r="M10" s="10" t="s">
        <v>434</v>
      </c>
      <c r="N10" s="10" t="s">
        <v>434</v>
      </c>
      <c r="O10" s="10" t="s">
        <v>436</v>
      </c>
      <c r="P10" s="10" t="s">
        <v>444</v>
      </c>
      <c r="Q10" s="12">
        <f t="shared" si="0"/>
        <v>1</v>
      </c>
      <c r="R10" s="13" t="str">
        <f t="shared" si="1"/>
        <v>OK</v>
      </c>
    </row>
    <row r="11" spans="1:18" ht="30" customHeight="1" x14ac:dyDescent="0.3">
      <c r="A11" s="10" t="s">
        <v>454</v>
      </c>
      <c r="B11" s="10" t="s">
        <v>455</v>
      </c>
      <c r="C11" s="10" t="s">
        <v>456</v>
      </c>
      <c r="D11" s="10" t="s">
        <v>433</v>
      </c>
      <c r="E11" s="10" t="s">
        <v>435</v>
      </c>
      <c r="F11" s="10" t="s">
        <v>435</v>
      </c>
      <c r="G11" s="10" t="s">
        <v>435</v>
      </c>
      <c r="H11" s="10" t="s">
        <v>435</v>
      </c>
      <c r="I11" s="10" t="s">
        <v>434</v>
      </c>
      <c r="J11" s="10" t="s">
        <v>434</v>
      </c>
      <c r="K11" s="10" t="s">
        <v>434</v>
      </c>
      <c r="L11" s="10" t="s">
        <v>434</v>
      </c>
      <c r="M11" s="10" t="s">
        <v>436</v>
      </c>
      <c r="N11" s="10" t="s">
        <v>434</v>
      </c>
      <c r="O11" s="10" t="s">
        <v>436</v>
      </c>
      <c r="P11" s="10" t="s">
        <v>436</v>
      </c>
      <c r="Q11" s="12">
        <f t="shared" si="0"/>
        <v>1</v>
      </c>
      <c r="R11" s="13" t="str">
        <f t="shared" si="1"/>
        <v>OK</v>
      </c>
    </row>
    <row r="12" spans="1:18" ht="30" customHeight="1" x14ac:dyDescent="0.3">
      <c r="A12" s="10" t="s">
        <v>457</v>
      </c>
      <c r="B12" s="10" t="s">
        <v>458</v>
      </c>
      <c r="C12" s="10" t="s">
        <v>459</v>
      </c>
      <c r="D12" s="10" t="s">
        <v>433</v>
      </c>
      <c r="E12" s="10" t="s">
        <v>435</v>
      </c>
      <c r="F12" s="10" t="s">
        <v>434</v>
      </c>
      <c r="G12" s="10" t="s">
        <v>434</v>
      </c>
      <c r="H12" s="10" t="s">
        <v>435</v>
      </c>
      <c r="I12" s="10" t="s">
        <v>434</v>
      </c>
      <c r="J12" s="10" t="s">
        <v>436</v>
      </c>
      <c r="K12" s="10" t="s">
        <v>434</v>
      </c>
      <c r="L12" s="10" t="s">
        <v>435</v>
      </c>
      <c r="M12" s="10" t="s">
        <v>434</v>
      </c>
      <c r="N12" s="10" t="s">
        <v>434</v>
      </c>
      <c r="O12" s="10" t="s">
        <v>436</v>
      </c>
      <c r="P12" s="10" t="s">
        <v>436</v>
      </c>
      <c r="Q12" s="12">
        <f t="shared" si="0"/>
        <v>1</v>
      </c>
      <c r="R12" s="13" t="str">
        <f t="shared" si="1"/>
        <v>OK</v>
      </c>
    </row>
    <row r="13" spans="1:18" ht="30" customHeight="1" x14ac:dyDescent="0.3">
      <c r="A13" s="10" t="s">
        <v>460</v>
      </c>
      <c r="B13" s="10" t="s">
        <v>461</v>
      </c>
      <c r="C13" s="10" t="s">
        <v>462</v>
      </c>
      <c r="D13" s="10" t="s">
        <v>436</v>
      </c>
      <c r="E13" s="10" t="s">
        <v>433</v>
      </c>
      <c r="F13" s="10" t="s">
        <v>434</v>
      </c>
      <c r="G13" s="10" t="s">
        <v>434</v>
      </c>
      <c r="H13" s="10" t="s">
        <v>434</v>
      </c>
      <c r="I13" s="10" t="s">
        <v>434</v>
      </c>
      <c r="J13" s="10" t="s">
        <v>434</v>
      </c>
      <c r="K13" s="10" t="s">
        <v>434</v>
      </c>
      <c r="L13" s="10" t="s">
        <v>434</v>
      </c>
      <c r="M13" s="10" t="s">
        <v>435</v>
      </c>
      <c r="N13" s="10" t="s">
        <v>444</v>
      </c>
      <c r="O13" s="10" t="s">
        <v>435</v>
      </c>
      <c r="P13" s="10" t="s">
        <v>436</v>
      </c>
      <c r="Q13" s="12">
        <f t="shared" si="0"/>
        <v>1</v>
      </c>
      <c r="R13" s="13" t="str">
        <f t="shared" si="1"/>
        <v>OK</v>
      </c>
    </row>
    <row r="14" spans="1:18" ht="30" customHeight="1" x14ac:dyDescent="0.3">
      <c r="A14" s="10" t="s">
        <v>463</v>
      </c>
      <c r="B14" s="10" t="s">
        <v>464</v>
      </c>
      <c r="C14" s="10" t="s">
        <v>465</v>
      </c>
      <c r="D14" s="10" t="s">
        <v>433</v>
      </c>
      <c r="E14" s="10" t="s">
        <v>434</v>
      </c>
      <c r="F14" s="10" t="s">
        <v>435</v>
      </c>
      <c r="G14" s="10" t="s">
        <v>434</v>
      </c>
      <c r="H14" s="10" t="s">
        <v>434</v>
      </c>
      <c r="I14" s="10" t="s">
        <v>434</v>
      </c>
      <c r="J14" s="10" t="s">
        <v>434</v>
      </c>
      <c r="K14" s="10" t="s">
        <v>434</v>
      </c>
      <c r="L14" s="10" t="s">
        <v>434</v>
      </c>
      <c r="M14" s="10" t="s">
        <v>434</v>
      </c>
      <c r="N14" s="10" t="s">
        <v>436</v>
      </c>
      <c r="O14" s="10" t="s">
        <v>435</v>
      </c>
      <c r="P14" s="10" t="s">
        <v>436</v>
      </c>
      <c r="Q14" s="12">
        <f t="shared" si="0"/>
        <v>1</v>
      </c>
      <c r="R14" s="13" t="str">
        <f t="shared" si="1"/>
        <v>OK</v>
      </c>
    </row>
    <row r="15" spans="1:18" ht="30" customHeight="1" x14ac:dyDescent="0.3">
      <c r="A15" s="10" t="s">
        <v>466</v>
      </c>
      <c r="B15" s="10" t="s">
        <v>467</v>
      </c>
      <c r="C15" s="10" t="s">
        <v>468</v>
      </c>
      <c r="D15" s="10" t="s">
        <v>436</v>
      </c>
      <c r="E15" s="10" t="s">
        <v>433</v>
      </c>
      <c r="F15" s="10" t="s">
        <v>435</v>
      </c>
      <c r="G15" s="10" t="s">
        <v>434</v>
      </c>
      <c r="H15" s="10" t="s">
        <v>434</v>
      </c>
      <c r="I15" s="10" t="s">
        <v>434</v>
      </c>
      <c r="J15" s="10" t="s">
        <v>434</v>
      </c>
      <c r="K15" s="10" t="s">
        <v>434</v>
      </c>
      <c r="L15" s="10" t="s">
        <v>434</v>
      </c>
      <c r="M15" s="10" t="s">
        <v>434</v>
      </c>
      <c r="N15" s="10" t="s">
        <v>444</v>
      </c>
      <c r="O15" s="10" t="s">
        <v>436</v>
      </c>
      <c r="P15" s="10" t="s">
        <v>436</v>
      </c>
      <c r="Q15" s="12">
        <f t="shared" si="0"/>
        <v>1</v>
      </c>
      <c r="R15" s="13" t="str">
        <f t="shared" si="1"/>
        <v>OK</v>
      </c>
    </row>
    <row r="16" spans="1:18" ht="30" customHeight="1" x14ac:dyDescent="0.3">
      <c r="A16" s="10" t="s">
        <v>469</v>
      </c>
      <c r="B16" s="10" t="s">
        <v>470</v>
      </c>
      <c r="C16" s="10" t="s">
        <v>471</v>
      </c>
      <c r="D16" s="10" t="s">
        <v>436</v>
      </c>
      <c r="E16" s="10" t="s">
        <v>433</v>
      </c>
      <c r="F16" s="10" t="s">
        <v>434</v>
      </c>
      <c r="G16" s="10" t="s">
        <v>435</v>
      </c>
      <c r="H16" s="10" t="s">
        <v>434</v>
      </c>
      <c r="I16" s="10" t="s">
        <v>434</v>
      </c>
      <c r="J16" s="10" t="s">
        <v>444</v>
      </c>
      <c r="K16" s="10" t="s">
        <v>444</v>
      </c>
      <c r="L16" s="10" t="s">
        <v>434</v>
      </c>
      <c r="M16" s="10" t="s">
        <v>444</v>
      </c>
      <c r="N16" s="10" t="s">
        <v>444</v>
      </c>
      <c r="O16" s="10" t="s">
        <v>435</v>
      </c>
      <c r="P16" s="10" t="s">
        <v>435</v>
      </c>
      <c r="Q16" s="12">
        <f t="shared" si="0"/>
        <v>1</v>
      </c>
      <c r="R16" s="13" t="str">
        <f t="shared" si="1"/>
        <v>OK</v>
      </c>
    </row>
    <row r="17" spans="1:18" ht="30" customHeight="1" x14ac:dyDescent="0.3">
      <c r="A17" s="10" t="s">
        <v>472</v>
      </c>
      <c r="B17" s="10" t="s">
        <v>473</v>
      </c>
      <c r="C17" s="10" t="s">
        <v>471</v>
      </c>
      <c r="D17" s="10" t="s">
        <v>436</v>
      </c>
      <c r="E17" s="10" t="s">
        <v>433</v>
      </c>
      <c r="F17" s="10" t="s">
        <v>434</v>
      </c>
      <c r="G17" s="10" t="s">
        <v>435</v>
      </c>
      <c r="H17" s="10" t="s">
        <v>434</v>
      </c>
      <c r="I17" s="10" t="s">
        <v>444</v>
      </c>
      <c r="J17" s="10" t="s">
        <v>435</v>
      </c>
      <c r="K17" s="10" t="s">
        <v>434</v>
      </c>
      <c r="L17" s="10" t="s">
        <v>444</v>
      </c>
      <c r="M17" s="10" t="s">
        <v>444</v>
      </c>
      <c r="N17" s="10" t="s">
        <v>444</v>
      </c>
      <c r="O17" s="10" t="s">
        <v>435</v>
      </c>
      <c r="P17" s="10" t="s">
        <v>435</v>
      </c>
      <c r="Q17" s="12">
        <f t="shared" si="0"/>
        <v>1</v>
      </c>
      <c r="R17" s="13" t="str">
        <f t="shared" si="1"/>
        <v>OK</v>
      </c>
    </row>
    <row r="18" spans="1:18" ht="30" customHeight="1" x14ac:dyDescent="0.3">
      <c r="A18" s="10" t="s">
        <v>474</v>
      </c>
      <c r="B18" s="10" t="s">
        <v>475</v>
      </c>
      <c r="C18" s="10" t="s">
        <v>476</v>
      </c>
      <c r="D18" s="10" t="s">
        <v>436</v>
      </c>
      <c r="E18" s="10" t="s">
        <v>433</v>
      </c>
      <c r="F18" s="10" t="s">
        <v>434</v>
      </c>
      <c r="G18" s="10" t="s">
        <v>434</v>
      </c>
      <c r="H18" s="10" t="s">
        <v>435</v>
      </c>
      <c r="I18" s="10" t="s">
        <v>444</v>
      </c>
      <c r="J18" s="10" t="s">
        <v>444</v>
      </c>
      <c r="K18" s="10" t="s">
        <v>434</v>
      </c>
      <c r="L18" s="10" t="s">
        <v>444</v>
      </c>
      <c r="M18" s="10" t="s">
        <v>444</v>
      </c>
      <c r="N18" s="10" t="s">
        <v>434</v>
      </c>
      <c r="O18" s="10" t="s">
        <v>436</v>
      </c>
      <c r="P18" s="10" t="s">
        <v>436</v>
      </c>
      <c r="Q18" s="12">
        <f t="shared" si="0"/>
        <v>1</v>
      </c>
      <c r="R18" s="13" t="str">
        <f t="shared" si="1"/>
        <v>OK</v>
      </c>
    </row>
    <row r="19" spans="1:18" ht="30" customHeight="1" x14ac:dyDescent="0.3">
      <c r="A19" s="10" t="s">
        <v>477</v>
      </c>
      <c r="B19" s="10" t="s">
        <v>478</v>
      </c>
      <c r="C19" s="10" t="s">
        <v>471</v>
      </c>
      <c r="D19" s="10" t="s">
        <v>436</v>
      </c>
      <c r="E19" s="10" t="s">
        <v>433</v>
      </c>
      <c r="F19" s="10" t="s">
        <v>434</v>
      </c>
      <c r="G19" s="10" t="s">
        <v>434</v>
      </c>
      <c r="H19" s="10" t="s">
        <v>434</v>
      </c>
      <c r="I19" s="10" t="s">
        <v>434</v>
      </c>
      <c r="J19" s="10" t="s">
        <v>434</v>
      </c>
      <c r="K19" s="10" t="s">
        <v>435</v>
      </c>
      <c r="L19" s="10" t="s">
        <v>434</v>
      </c>
      <c r="M19" s="10" t="s">
        <v>444</v>
      </c>
      <c r="N19" s="10" t="s">
        <v>434</v>
      </c>
      <c r="O19" s="10" t="s">
        <v>444</v>
      </c>
      <c r="P19" s="10" t="s">
        <v>444</v>
      </c>
      <c r="Q19" s="12">
        <f t="shared" si="0"/>
        <v>1</v>
      </c>
      <c r="R19" s="13" t="str">
        <f t="shared" si="1"/>
        <v>OK</v>
      </c>
    </row>
    <row r="20" spans="1:18" ht="30" customHeight="1" x14ac:dyDescent="0.3">
      <c r="A20" s="10" t="s">
        <v>479</v>
      </c>
      <c r="B20" s="10" t="s">
        <v>480</v>
      </c>
      <c r="C20" s="10" t="s">
        <v>481</v>
      </c>
      <c r="D20" s="10" t="s">
        <v>436</v>
      </c>
      <c r="E20" s="10" t="s">
        <v>433</v>
      </c>
      <c r="F20" s="10" t="s">
        <v>434</v>
      </c>
      <c r="G20" s="10" t="s">
        <v>434</v>
      </c>
      <c r="H20" s="10" t="s">
        <v>444</v>
      </c>
      <c r="I20" s="10" t="s">
        <v>434</v>
      </c>
      <c r="J20" s="10" t="s">
        <v>444</v>
      </c>
      <c r="K20" s="10" t="s">
        <v>434</v>
      </c>
      <c r="L20" s="10" t="s">
        <v>435</v>
      </c>
      <c r="M20" s="10" t="s">
        <v>444</v>
      </c>
      <c r="N20" s="10" t="s">
        <v>434</v>
      </c>
      <c r="O20" s="10" t="s">
        <v>444</v>
      </c>
      <c r="P20" s="10" t="s">
        <v>444</v>
      </c>
      <c r="Q20" s="12">
        <f t="shared" si="0"/>
        <v>1</v>
      </c>
      <c r="R20" s="13" t="str">
        <f t="shared" si="1"/>
        <v>OK</v>
      </c>
    </row>
    <row r="21" spans="1:18" ht="30" customHeight="1" x14ac:dyDescent="0.3">
      <c r="A21" s="10" t="s">
        <v>482</v>
      </c>
      <c r="B21" s="10" t="s">
        <v>483</v>
      </c>
      <c r="C21" s="10" t="s">
        <v>484</v>
      </c>
      <c r="D21" s="10" t="s">
        <v>436</v>
      </c>
      <c r="E21" s="10" t="s">
        <v>433</v>
      </c>
      <c r="F21" s="10" t="s">
        <v>435</v>
      </c>
      <c r="G21" s="10" t="s">
        <v>434</v>
      </c>
      <c r="H21" s="10" t="s">
        <v>435</v>
      </c>
      <c r="I21" s="10" t="s">
        <v>444</v>
      </c>
      <c r="J21" s="10" t="s">
        <v>434</v>
      </c>
      <c r="K21" s="10" t="s">
        <v>444</v>
      </c>
      <c r="L21" s="10" t="s">
        <v>444</v>
      </c>
      <c r="M21" s="10" t="s">
        <v>434</v>
      </c>
      <c r="N21" s="10" t="s">
        <v>444</v>
      </c>
      <c r="O21" s="10" t="s">
        <v>435</v>
      </c>
      <c r="P21" s="10" t="s">
        <v>435</v>
      </c>
      <c r="Q21" s="12">
        <f t="shared" si="0"/>
        <v>1</v>
      </c>
      <c r="R21" s="13" t="str">
        <f t="shared" si="1"/>
        <v>OK</v>
      </c>
    </row>
    <row r="22" spans="1:18" ht="30" customHeight="1" x14ac:dyDescent="0.3">
      <c r="A22" s="10" t="s">
        <v>485</v>
      </c>
      <c r="B22" s="10" t="s">
        <v>486</v>
      </c>
      <c r="C22" s="10" t="s">
        <v>487</v>
      </c>
      <c r="D22" s="10" t="s">
        <v>436</v>
      </c>
      <c r="E22" s="10" t="s">
        <v>433</v>
      </c>
      <c r="F22" s="10" t="s">
        <v>435</v>
      </c>
      <c r="G22" s="10" t="s">
        <v>434</v>
      </c>
      <c r="H22" s="10" t="s">
        <v>435</v>
      </c>
      <c r="I22" s="10" t="s">
        <v>434</v>
      </c>
      <c r="J22" s="10" t="s">
        <v>434</v>
      </c>
      <c r="K22" s="10" t="s">
        <v>444</v>
      </c>
      <c r="L22" s="10" t="s">
        <v>444</v>
      </c>
      <c r="M22" s="10" t="s">
        <v>444</v>
      </c>
      <c r="N22" s="10" t="s">
        <v>434</v>
      </c>
      <c r="O22" s="10" t="s">
        <v>436</v>
      </c>
      <c r="P22" s="10" t="s">
        <v>444</v>
      </c>
      <c r="Q22" s="12">
        <f t="shared" si="0"/>
        <v>1</v>
      </c>
      <c r="R22" s="13" t="str">
        <f t="shared" si="1"/>
        <v>OK</v>
      </c>
    </row>
    <row r="23" spans="1:18" ht="30" customHeight="1" x14ac:dyDescent="0.3">
      <c r="A23" s="10" t="s">
        <v>488</v>
      </c>
      <c r="B23" s="10" t="s">
        <v>489</v>
      </c>
      <c r="C23" s="10" t="s">
        <v>490</v>
      </c>
      <c r="D23" s="10" t="s">
        <v>436</v>
      </c>
      <c r="E23" s="10" t="s">
        <v>434</v>
      </c>
      <c r="F23" s="10" t="s">
        <v>433</v>
      </c>
      <c r="G23" s="10" t="s">
        <v>434</v>
      </c>
      <c r="H23" s="10" t="s">
        <v>434</v>
      </c>
      <c r="I23" s="10" t="s">
        <v>434</v>
      </c>
      <c r="J23" s="10" t="s">
        <v>434</v>
      </c>
      <c r="K23" s="10" t="s">
        <v>434</v>
      </c>
      <c r="L23" s="10" t="s">
        <v>434</v>
      </c>
      <c r="M23" s="10" t="s">
        <v>434</v>
      </c>
      <c r="N23" s="10" t="s">
        <v>436</v>
      </c>
      <c r="O23" s="10" t="s">
        <v>436</v>
      </c>
      <c r="P23" s="10" t="s">
        <v>444</v>
      </c>
      <c r="Q23" s="12">
        <f t="shared" si="0"/>
        <v>1</v>
      </c>
      <c r="R23" s="13" t="str">
        <f t="shared" si="1"/>
        <v>OK</v>
      </c>
    </row>
    <row r="24" spans="1:18" ht="30" customHeight="1" x14ac:dyDescent="0.3">
      <c r="A24" s="10" t="s">
        <v>491</v>
      </c>
      <c r="B24" s="10" t="s">
        <v>492</v>
      </c>
      <c r="C24" s="10" t="s">
        <v>493</v>
      </c>
      <c r="D24" s="10" t="s">
        <v>436</v>
      </c>
      <c r="E24" s="10" t="s">
        <v>433</v>
      </c>
      <c r="F24" s="10" t="s">
        <v>435</v>
      </c>
      <c r="G24" s="10" t="s">
        <v>435</v>
      </c>
      <c r="H24" s="10" t="s">
        <v>435</v>
      </c>
      <c r="I24" s="10" t="s">
        <v>434</v>
      </c>
      <c r="J24" s="10" t="s">
        <v>435</v>
      </c>
      <c r="K24" s="10" t="s">
        <v>434</v>
      </c>
      <c r="L24" s="10" t="s">
        <v>434</v>
      </c>
      <c r="M24" s="10" t="s">
        <v>434</v>
      </c>
      <c r="N24" s="10" t="s">
        <v>436</v>
      </c>
      <c r="O24" s="10" t="s">
        <v>435</v>
      </c>
      <c r="P24" s="10" t="s">
        <v>435</v>
      </c>
      <c r="Q24" s="12">
        <f t="shared" si="0"/>
        <v>1</v>
      </c>
      <c r="R24" s="13" t="str">
        <f t="shared" si="1"/>
        <v>OK</v>
      </c>
    </row>
    <row r="25" spans="1:18" ht="30" customHeight="1" x14ac:dyDescent="0.3">
      <c r="A25" s="10" t="s">
        <v>494</v>
      </c>
      <c r="B25" s="10" t="s">
        <v>495</v>
      </c>
      <c r="C25" s="10" t="s">
        <v>496</v>
      </c>
      <c r="D25" s="10" t="s">
        <v>433</v>
      </c>
      <c r="E25" s="10" t="s">
        <v>435</v>
      </c>
      <c r="F25" s="10" t="s">
        <v>435</v>
      </c>
      <c r="G25" s="10" t="s">
        <v>435</v>
      </c>
      <c r="H25" s="10" t="s">
        <v>434</v>
      </c>
      <c r="I25" s="10" t="s">
        <v>434</v>
      </c>
      <c r="J25" s="10" t="s">
        <v>434</v>
      </c>
      <c r="K25" s="10" t="s">
        <v>434</v>
      </c>
      <c r="L25" s="10" t="s">
        <v>434</v>
      </c>
      <c r="M25" s="10" t="s">
        <v>434</v>
      </c>
      <c r="N25" s="10" t="s">
        <v>434</v>
      </c>
      <c r="O25" s="10" t="s">
        <v>435</v>
      </c>
      <c r="P25" s="10" t="s">
        <v>435</v>
      </c>
      <c r="Q25" s="12">
        <f t="shared" si="0"/>
        <v>1</v>
      </c>
      <c r="R25" s="13" t="str">
        <f t="shared" si="1"/>
        <v>OK</v>
      </c>
    </row>
    <row r="26" spans="1:18" ht="30" customHeight="1" x14ac:dyDescent="0.3">
      <c r="A26" s="10" t="s">
        <v>497</v>
      </c>
      <c r="B26" s="10" t="s">
        <v>498</v>
      </c>
      <c r="C26" s="10" t="s">
        <v>499</v>
      </c>
      <c r="D26" s="10" t="s">
        <v>433</v>
      </c>
      <c r="E26" s="10" t="s">
        <v>434</v>
      </c>
      <c r="F26" s="10" t="s">
        <v>435</v>
      </c>
      <c r="G26" s="10" t="s">
        <v>436</v>
      </c>
      <c r="H26" s="10" t="s">
        <v>436</v>
      </c>
      <c r="I26" s="10" t="s">
        <v>434</v>
      </c>
      <c r="J26" s="10" t="s">
        <v>436</v>
      </c>
      <c r="K26" s="10" t="s">
        <v>434</v>
      </c>
      <c r="L26" s="10" t="s">
        <v>434</v>
      </c>
      <c r="M26" s="10" t="s">
        <v>434</v>
      </c>
      <c r="N26" s="10" t="s">
        <v>435</v>
      </c>
      <c r="O26" s="10" t="s">
        <v>444</v>
      </c>
      <c r="P26" s="10" t="s">
        <v>444</v>
      </c>
      <c r="Q26" s="12">
        <f t="shared" si="0"/>
        <v>1</v>
      </c>
      <c r="R26" s="13" t="str">
        <f t="shared" si="1"/>
        <v>OK</v>
      </c>
    </row>
    <row r="27" spans="1:18" ht="30" customHeight="1" x14ac:dyDescent="0.3">
      <c r="A27" s="10" t="s">
        <v>500</v>
      </c>
      <c r="B27" s="10" t="s">
        <v>501</v>
      </c>
      <c r="C27" s="10" t="s">
        <v>502</v>
      </c>
      <c r="D27" s="10" t="s">
        <v>436</v>
      </c>
      <c r="E27" s="10" t="s">
        <v>433</v>
      </c>
      <c r="F27" s="10" t="s">
        <v>434</v>
      </c>
      <c r="G27" s="10" t="s">
        <v>434</v>
      </c>
      <c r="H27" s="10" t="s">
        <v>444</v>
      </c>
      <c r="I27" s="10" t="s">
        <v>434</v>
      </c>
      <c r="J27" s="10" t="s">
        <v>444</v>
      </c>
      <c r="K27" s="10" t="s">
        <v>434</v>
      </c>
      <c r="L27" s="10" t="s">
        <v>435</v>
      </c>
      <c r="M27" s="10" t="s">
        <v>444</v>
      </c>
      <c r="N27" s="10" t="s">
        <v>444</v>
      </c>
      <c r="O27" s="10" t="s">
        <v>444</v>
      </c>
      <c r="P27" s="10" t="s">
        <v>444</v>
      </c>
      <c r="Q27" s="12">
        <f t="shared" si="0"/>
        <v>1</v>
      </c>
      <c r="R27" s="13" t="str">
        <f t="shared" si="1"/>
        <v>OK</v>
      </c>
    </row>
    <row r="28" spans="1:18" ht="30" customHeight="1" x14ac:dyDescent="0.3">
      <c r="A28" s="10" t="s">
        <v>503</v>
      </c>
      <c r="B28" s="10" t="s">
        <v>504</v>
      </c>
      <c r="C28" s="10" t="s">
        <v>505</v>
      </c>
      <c r="D28" s="10" t="s">
        <v>433</v>
      </c>
      <c r="E28" s="10" t="s">
        <v>434</v>
      </c>
      <c r="F28" s="10" t="s">
        <v>434</v>
      </c>
      <c r="G28" s="10" t="s">
        <v>436</v>
      </c>
      <c r="H28" s="10" t="s">
        <v>444</v>
      </c>
      <c r="I28" s="10" t="s">
        <v>435</v>
      </c>
      <c r="J28" s="10" t="s">
        <v>444</v>
      </c>
      <c r="K28" s="10" t="s">
        <v>434</v>
      </c>
      <c r="L28" s="10" t="s">
        <v>435</v>
      </c>
      <c r="M28" s="10" t="s">
        <v>444</v>
      </c>
      <c r="N28" s="10" t="s">
        <v>444</v>
      </c>
      <c r="O28" s="10" t="s">
        <v>444</v>
      </c>
      <c r="P28" s="10" t="s">
        <v>444</v>
      </c>
      <c r="Q28" s="12">
        <f t="shared" si="0"/>
        <v>1</v>
      </c>
      <c r="R28" s="13" t="str">
        <f t="shared" si="1"/>
        <v>OK</v>
      </c>
    </row>
    <row r="29" spans="1:18" ht="30" customHeight="1" x14ac:dyDescent="0.3">
      <c r="A29" s="10" t="s">
        <v>506</v>
      </c>
      <c r="B29" s="10" t="s">
        <v>507</v>
      </c>
      <c r="C29" s="10" t="s">
        <v>471</v>
      </c>
      <c r="D29" s="10" t="s">
        <v>436</v>
      </c>
      <c r="E29" s="10" t="s">
        <v>433</v>
      </c>
      <c r="F29" s="10" t="s">
        <v>434</v>
      </c>
      <c r="G29" s="10" t="s">
        <v>434</v>
      </c>
      <c r="H29" s="10" t="s">
        <v>444</v>
      </c>
      <c r="I29" s="10" t="s">
        <v>434</v>
      </c>
      <c r="J29" s="10" t="s">
        <v>444</v>
      </c>
      <c r="K29" s="10" t="s">
        <v>435</v>
      </c>
      <c r="L29" s="10" t="s">
        <v>434</v>
      </c>
      <c r="M29" s="10" t="s">
        <v>444</v>
      </c>
      <c r="N29" s="10" t="s">
        <v>434</v>
      </c>
      <c r="O29" s="10" t="s">
        <v>444</v>
      </c>
      <c r="P29" s="10" t="s">
        <v>444</v>
      </c>
      <c r="Q29" s="12">
        <f t="shared" si="0"/>
        <v>1</v>
      </c>
      <c r="R29" s="13" t="str">
        <f t="shared" si="1"/>
        <v>OK</v>
      </c>
    </row>
    <row r="30" spans="1:18" ht="30" customHeight="1" x14ac:dyDescent="0.3">
      <c r="A30" s="10" t="s">
        <v>508</v>
      </c>
      <c r="B30" s="10" t="s">
        <v>509</v>
      </c>
      <c r="C30" s="10" t="s">
        <v>510</v>
      </c>
      <c r="D30" s="10" t="s">
        <v>436</v>
      </c>
      <c r="E30" s="10" t="s">
        <v>434</v>
      </c>
      <c r="F30" s="10" t="s">
        <v>435</v>
      </c>
      <c r="G30" s="10" t="s">
        <v>444</v>
      </c>
      <c r="H30" s="10" t="s">
        <v>444</v>
      </c>
      <c r="I30" s="10" t="s">
        <v>444</v>
      </c>
      <c r="J30" s="10" t="s">
        <v>435</v>
      </c>
      <c r="K30" s="10" t="s">
        <v>444</v>
      </c>
      <c r="L30" s="10" t="s">
        <v>434</v>
      </c>
      <c r="M30" s="10" t="s">
        <v>444</v>
      </c>
      <c r="N30" s="10" t="s">
        <v>433</v>
      </c>
      <c r="O30" s="10" t="s">
        <v>444</v>
      </c>
      <c r="P30" s="10" t="s">
        <v>444</v>
      </c>
      <c r="Q30" s="12">
        <f t="shared" si="0"/>
        <v>1</v>
      </c>
      <c r="R30" s="13" t="str">
        <f t="shared" si="1"/>
        <v>OK</v>
      </c>
    </row>
    <row r="31" spans="1:18" ht="30" customHeight="1" x14ac:dyDescent="0.3">
      <c r="A31" s="10" t="s">
        <v>511</v>
      </c>
      <c r="B31" s="10" t="s">
        <v>512</v>
      </c>
      <c r="C31" s="10" t="s">
        <v>465</v>
      </c>
      <c r="D31" s="10" t="s">
        <v>433</v>
      </c>
      <c r="E31" s="10" t="s">
        <v>434</v>
      </c>
      <c r="F31" s="10" t="s">
        <v>435</v>
      </c>
      <c r="G31" s="10" t="s">
        <v>444</v>
      </c>
      <c r="H31" s="10" t="s">
        <v>444</v>
      </c>
      <c r="I31" s="10" t="s">
        <v>434</v>
      </c>
      <c r="J31" s="10" t="s">
        <v>444</v>
      </c>
      <c r="K31" s="10" t="s">
        <v>444</v>
      </c>
      <c r="L31" s="10" t="s">
        <v>435</v>
      </c>
      <c r="M31" s="10" t="s">
        <v>444</v>
      </c>
      <c r="N31" s="10" t="s">
        <v>434</v>
      </c>
      <c r="O31" s="10" t="s">
        <v>444</v>
      </c>
      <c r="P31" s="10" t="s">
        <v>444</v>
      </c>
      <c r="Q31" s="12">
        <f t="shared" si="0"/>
        <v>1</v>
      </c>
      <c r="R31" s="13" t="str">
        <f t="shared" si="1"/>
        <v>OK</v>
      </c>
    </row>
    <row r="32" spans="1:18" ht="30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" t="str">
        <f t="shared" si="0"/>
        <v/>
      </c>
      <c r="R32" s="13" t="str">
        <f t="shared" si="1"/>
        <v/>
      </c>
    </row>
    <row r="33" spans="1:18" ht="30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" t="str">
        <f t="shared" si="0"/>
        <v/>
      </c>
      <c r="R33" s="13" t="str">
        <f t="shared" si="1"/>
        <v/>
      </c>
    </row>
    <row r="34" spans="1:18" ht="30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 t="str">
        <f t="shared" si="0"/>
        <v/>
      </c>
      <c r="R34" s="13" t="str">
        <f t="shared" si="1"/>
        <v/>
      </c>
    </row>
    <row r="35" spans="1:18" ht="30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" t="str">
        <f t="shared" si="0"/>
        <v/>
      </c>
      <c r="R35" s="13" t="str">
        <f t="shared" si="1"/>
        <v/>
      </c>
    </row>
    <row r="36" spans="1:18" ht="30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" t="str">
        <f t="shared" si="0"/>
        <v/>
      </c>
      <c r="R36" s="13" t="str">
        <f t="shared" si="1"/>
        <v/>
      </c>
    </row>
  </sheetData>
  <conditionalFormatting sqref="R5:R236">
    <cfRule type="expression" dxfId="2" priority="1">
      <formula>ISNUMBER(SEARCH("OK",R5))</formula>
    </cfRule>
    <cfRule type="expression" dxfId="1" priority="2">
      <formula>ISNUMBER(SEARCH("FALTA",R5))</formula>
    </cfRule>
    <cfRule type="expression" dxfId="0" priority="3">
      <formula>ISNUMBER(SEARCH("Mais",R5))</formula>
    </cfRule>
  </conditionalFormatting>
  <dataValidations count="1">
    <dataValidation type="list" allowBlank="1" showErrorMessage="1" errorTitle="Valor inválido" error="Valor fora da lista controlada (ver folha Listas)." sqref="D5:P236" xr:uid="{00000000-0002-0000-0500-000000000000}">
      <formula1>lst_RACI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8" customWidth="1"/>
    <col min="4" max="7" width="16" customWidth="1"/>
  </cols>
  <sheetData>
    <row r="1" spans="1:7" x14ac:dyDescent="0.3">
      <c r="A1" s="19" t="s">
        <v>513</v>
      </c>
    </row>
    <row r="2" spans="1:7" x14ac:dyDescent="0.3">
      <c r="A2" s="21" t="s">
        <v>514</v>
      </c>
      <c r="B2" s="21" t="s">
        <v>114</v>
      </c>
      <c r="C2" s="21" t="s">
        <v>113</v>
      </c>
      <c r="D2" s="21" t="s">
        <v>515</v>
      </c>
      <c r="E2" s="21" t="s">
        <v>224</v>
      </c>
      <c r="F2" s="21" t="s">
        <v>516</v>
      </c>
      <c r="G2" s="21" t="s">
        <v>517</v>
      </c>
    </row>
    <row r="3" spans="1:7" x14ac:dyDescent="0.3">
      <c r="A3" s="22">
        <v>46387</v>
      </c>
      <c r="B3" s="6" t="s">
        <v>201</v>
      </c>
      <c r="C3" s="6" t="s">
        <v>518</v>
      </c>
      <c r="D3" s="6" t="s">
        <v>86</v>
      </c>
      <c r="E3" s="6" t="s">
        <v>231</v>
      </c>
      <c r="F3" s="6" t="s">
        <v>519</v>
      </c>
      <c r="G3" s="6" t="s">
        <v>435</v>
      </c>
    </row>
    <row r="4" spans="1:7" x14ac:dyDescent="0.3">
      <c r="B4" s="6" t="s">
        <v>165</v>
      </c>
      <c r="C4" s="6" t="s">
        <v>520</v>
      </c>
      <c r="D4" s="6" t="s">
        <v>70</v>
      </c>
      <c r="E4" s="6" t="s">
        <v>521</v>
      </c>
      <c r="F4" s="6" t="s">
        <v>232</v>
      </c>
      <c r="G4" s="6" t="s">
        <v>433</v>
      </c>
    </row>
    <row r="5" spans="1:7" x14ac:dyDescent="0.3">
      <c r="B5" s="6" t="s">
        <v>143</v>
      </c>
      <c r="C5" s="6" t="s">
        <v>522</v>
      </c>
      <c r="E5" s="6" t="s">
        <v>394</v>
      </c>
      <c r="F5" s="6" t="s">
        <v>236</v>
      </c>
      <c r="G5" s="6" t="s">
        <v>434</v>
      </c>
    </row>
    <row r="6" spans="1:7" x14ac:dyDescent="0.3">
      <c r="B6" s="6" t="s">
        <v>155</v>
      </c>
      <c r="C6" s="6" t="s">
        <v>523</v>
      </c>
      <c r="G6" s="6" t="s">
        <v>436</v>
      </c>
    </row>
    <row r="7" spans="1:7" x14ac:dyDescent="0.3">
      <c r="B7" s="6" t="s">
        <v>131</v>
      </c>
      <c r="C7" s="6" t="s">
        <v>524</v>
      </c>
      <c r="G7" s="6" t="s">
        <v>440</v>
      </c>
    </row>
    <row r="8" spans="1:7" x14ac:dyDescent="0.3">
      <c r="B8" s="6" t="s">
        <v>525</v>
      </c>
      <c r="C8" s="6" t="s">
        <v>526</v>
      </c>
      <c r="G8" s="6" t="s">
        <v>444</v>
      </c>
    </row>
    <row r="9" spans="1:7" x14ac:dyDescent="0.3">
      <c r="B9" s="6" t="s">
        <v>527</v>
      </c>
      <c r="C9" s="6" t="s">
        <v>164</v>
      </c>
    </row>
    <row r="10" spans="1:7" x14ac:dyDescent="0.3">
      <c r="B10" s="6" t="s">
        <v>189</v>
      </c>
      <c r="C10" s="6" t="s">
        <v>528</v>
      </c>
    </row>
    <row r="11" spans="1:7" x14ac:dyDescent="0.3">
      <c r="B11" s="6" t="s">
        <v>177</v>
      </c>
      <c r="C11" s="6" t="s">
        <v>529</v>
      </c>
    </row>
    <row r="12" spans="1:7" x14ac:dyDescent="0.3">
      <c r="B12" s="6" t="s">
        <v>530</v>
      </c>
      <c r="C12" s="6" t="s">
        <v>531</v>
      </c>
    </row>
    <row r="13" spans="1:7" x14ac:dyDescent="0.3">
      <c r="B13" s="6" t="s">
        <v>532</v>
      </c>
      <c r="C13" s="6" t="s">
        <v>533</v>
      </c>
    </row>
    <row r="14" spans="1:7" x14ac:dyDescent="0.3">
      <c r="B14" s="6" t="s">
        <v>534</v>
      </c>
      <c r="C14" s="6" t="s">
        <v>130</v>
      </c>
    </row>
    <row r="15" spans="1:7" x14ac:dyDescent="0.3">
      <c r="B15" s="6" t="s">
        <v>535</v>
      </c>
      <c r="C15" s="6" t="s">
        <v>142</v>
      </c>
    </row>
    <row r="16" spans="1:7" x14ac:dyDescent="0.3">
      <c r="B16" s="6" t="s">
        <v>536</v>
      </c>
      <c r="C16" s="6" t="s">
        <v>154</v>
      </c>
    </row>
    <row r="17" spans="2:3" x14ac:dyDescent="0.3">
      <c r="B17" s="6" t="s">
        <v>213</v>
      </c>
      <c r="C17" s="6" t="s">
        <v>537</v>
      </c>
    </row>
    <row r="18" spans="2:3" x14ac:dyDescent="0.3">
      <c r="B18" s="6" t="s">
        <v>538</v>
      </c>
      <c r="C18" s="6" t="s">
        <v>176</v>
      </c>
    </row>
    <row r="19" spans="2:3" x14ac:dyDescent="0.3">
      <c r="C19" s="6" t="s">
        <v>188</v>
      </c>
    </row>
    <row r="20" spans="2:3" x14ac:dyDescent="0.3">
      <c r="C20" s="6" t="s">
        <v>200</v>
      </c>
    </row>
    <row r="21" spans="2:3" x14ac:dyDescent="0.3">
      <c r="C21" s="6" t="s">
        <v>539</v>
      </c>
    </row>
    <row r="22" spans="2:3" x14ac:dyDescent="0.3">
      <c r="C22" s="6" t="s">
        <v>212</v>
      </c>
    </row>
    <row r="23" spans="2:3" x14ac:dyDescent="0.3">
      <c r="C23" s="6" t="s">
        <v>540</v>
      </c>
    </row>
    <row r="24" spans="2:3" x14ac:dyDescent="0.3">
      <c r="C24" s="6" t="s">
        <v>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542</v>
      </c>
      <c r="B1" s="8" t="s">
        <v>543</v>
      </c>
      <c r="C1" s="8" t="s">
        <v>544</v>
      </c>
      <c r="D1" s="8" t="s">
        <v>545</v>
      </c>
      <c r="E1" s="8" t="s">
        <v>546</v>
      </c>
      <c r="F1" s="8" t="s">
        <v>547</v>
      </c>
      <c r="G1" s="8" t="s">
        <v>548</v>
      </c>
      <c r="H1" s="8" t="s">
        <v>549</v>
      </c>
      <c r="I1" s="8" t="s">
        <v>550</v>
      </c>
    </row>
    <row r="2" spans="1:9" x14ac:dyDescent="0.3">
      <c r="A2" s="18" t="s">
        <v>28</v>
      </c>
      <c r="B2" s="18" t="s">
        <v>551</v>
      </c>
      <c r="C2" s="18" t="s">
        <v>60</v>
      </c>
      <c r="D2" s="18" t="s">
        <v>552</v>
      </c>
      <c r="E2" s="18" t="s">
        <v>553</v>
      </c>
      <c r="F2" s="18" t="s">
        <v>554</v>
      </c>
      <c r="G2" s="18"/>
      <c r="H2" s="18" t="s">
        <v>86</v>
      </c>
      <c r="I2" s="18" t="s">
        <v>555</v>
      </c>
    </row>
    <row r="3" spans="1:9" x14ac:dyDescent="0.3">
      <c r="A3" s="18" t="s">
        <v>28</v>
      </c>
      <c r="B3" s="18" t="s">
        <v>551</v>
      </c>
      <c r="C3" s="18" t="s">
        <v>61</v>
      </c>
      <c r="D3" s="18" t="s">
        <v>552</v>
      </c>
      <c r="E3" s="18" t="s">
        <v>553</v>
      </c>
      <c r="F3" s="18" t="s">
        <v>556</v>
      </c>
      <c r="G3" s="18"/>
      <c r="H3" s="18" t="s">
        <v>86</v>
      </c>
      <c r="I3" s="18"/>
    </row>
    <row r="4" spans="1:9" x14ac:dyDescent="0.3">
      <c r="A4" s="18" t="s">
        <v>28</v>
      </c>
      <c r="B4" s="18" t="s">
        <v>551</v>
      </c>
      <c r="C4" s="18" t="s">
        <v>62</v>
      </c>
      <c r="D4" s="18" t="s">
        <v>557</v>
      </c>
      <c r="E4" s="18" t="s">
        <v>553</v>
      </c>
      <c r="F4" s="18" t="s">
        <v>558</v>
      </c>
      <c r="G4" s="18"/>
      <c r="H4" s="18" t="s">
        <v>86</v>
      </c>
      <c r="I4" s="18"/>
    </row>
    <row r="5" spans="1:9" x14ac:dyDescent="0.3">
      <c r="A5" s="18" t="s">
        <v>28</v>
      </c>
      <c r="B5" s="18" t="s">
        <v>551</v>
      </c>
      <c r="C5" s="18" t="s">
        <v>63</v>
      </c>
      <c r="D5" s="18" t="s">
        <v>552</v>
      </c>
      <c r="E5" s="18" t="s">
        <v>553</v>
      </c>
      <c r="F5" s="18" t="s">
        <v>559</v>
      </c>
      <c r="G5" s="18"/>
      <c r="H5" s="18" t="s">
        <v>86</v>
      </c>
      <c r="I5" s="18"/>
    </row>
    <row r="6" spans="1:9" x14ac:dyDescent="0.3">
      <c r="A6" s="18" t="s">
        <v>28</v>
      </c>
      <c r="B6" s="18" t="s">
        <v>551</v>
      </c>
      <c r="C6" s="18" t="s">
        <v>64</v>
      </c>
      <c r="D6" s="18" t="s">
        <v>552</v>
      </c>
      <c r="E6" s="18" t="s">
        <v>553</v>
      </c>
      <c r="F6" s="18" t="s">
        <v>560</v>
      </c>
      <c r="G6" s="18" t="s">
        <v>561</v>
      </c>
      <c r="H6" s="18" t="s">
        <v>86</v>
      </c>
      <c r="I6" s="18"/>
    </row>
    <row r="7" spans="1:9" x14ac:dyDescent="0.3">
      <c r="A7" s="18" t="s">
        <v>28</v>
      </c>
      <c r="B7" s="18" t="s">
        <v>551</v>
      </c>
      <c r="C7" s="18" t="s">
        <v>65</v>
      </c>
      <c r="D7" s="18" t="s">
        <v>557</v>
      </c>
      <c r="E7" s="18" t="s">
        <v>553</v>
      </c>
      <c r="F7" s="18" t="s">
        <v>562</v>
      </c>
      <c r="G7" s="18"/>
      <c r="H7" s="18" t="s">
        <v>86</v>
      </c>
      <c r="I7" s="18"/>
    </row>
    <row r="8" spans="1:9" x14ac:dyDescent="0.3">
      <c r="A8" s="18" t="s">
        <v>28</v>
      </c>
      <c r="B8" s="18" t="s">
        <v>551</v>
      </c>
      <c r="C8" s="18" t="s">
        <v>66</v>
      </c>
      <c r="D8" s="18" t="s">
        <v>557</v>
      </c>
      <c r="E8" s="18" t="s">
        <v>563</v>
      </c>
      <c r="F8" s="18" t="s">
        <v>564</v>
      </c>
      <c r="G8" s="18"/>
      <c r="H8" s="18" t="s">
        <v>86</v>
      </c>
      <c r="I8" s="18"/>
    </row>
    <row r="9" spans="1:9" x14ac:dyDescent="0.3">
      <c r="A9" s="18" t="s">
        <v>30</v>
      </c>
      <c r="B9" s="18" t="s">
        <v>565</v>
      </c>
      <c r="C9" s="18" t="s">
        <v>112</v>
      </c>
      <c r="D9" s="18" t="s">
        <v>552</v>
      </c>
      <c r="E9" s="18" t="s">
        <v>553</v>
      </c>
      <c r="F9" s="18" t="s">
        <v>566</v>
      </c>
      <c r="G9" s="18"/>
      <c r="H9" s="18" t="s">
        <v>86</v>
      </c>
      <c r="I9" s="18" t="s">
        <v>555</v>
      </c>
    </row>
    <row r="10" spans="1:9" x14ac:dyDescent="0.3">
      <c r="A10" s="18" t="s">
        <v>30</v>
      </c>
      <c r="B10" s="18" t="s">
        <v>565</v>
      </c>
      <c r="C10" s="18" t="s">
        <v>113</v>
      </c>
      <c r="D10" s="18" t="s">
        <v>552</v>
      </c>
      <c r="E10" s="18" t="s">
        <v>553</v>
      </c>
      <c r="F10" s="18" t="s">
        <v>567</v>
      </c>
      <c r="G10" s="18" t="s">
        <v>568</v>
      </c>
      <c r="H10" s="18" t="s">
        <v>86</v>
      </c>
      <c r="I10" s="18"/>
    </row>
    <row r="11" spans="1:9" x14ac:dyDescent="0.3">
      <c r="A11" s="18" t="s">
        <v>30</v>
      </c>
      <c r="B11" s="18" t="s">
        <v>565</v>
      </c>
      <c r="C11" s="18" t="s">
        <v>114</v>
      </c>
      <c r="D11" s="18" t="s">
        <v>552</v>
      </c>
      <c r="E11" s="18" t="s">
        <v>553</v>
      </c>
      <c r="F11" s="18" t="s">
        <v>569</v>
      </c>
      <c r="G11" s="18" t="s">
        <v>570</v>
      </c>
      <c r="H11" s="18" t="s">
        <v>86</v>
      </c>
      <c r="I11" s="18"/>
    </row>
    <row r="12" spans="1:9" ht="26.4" x14ac:dyDescent="0.3">
      <c r="A12" s="18" t="s">
        <v>30</v>
      </c>
      <c r="B12" s="18" t="s">
        <v>565</v>
      </c>
      <c r="C12" s="18" t="s">
        <v>115</v>
      </c>
      <c r="D12" s="18" t="s">
        <v>552</v>
      </c>
      <c r="E12" s="18" t="s">
        <v>553</v>
      </c>
      <c r="F12" s="18" t="s">
        <v>571</v>
      </c>
      <c r="G12" s="18"/>
      <c r="H12" s="18" t="s">
        <v>70</v>
      </c>
      <c r="I12" s="18" t="s">
        <v>572</v>
      </c>
    </row>
    <row r="13" spans="1:9" x14ac:dyDescent="0.3">
      <c r="A13" s="18" t="s">
        <v>30</v>
      </c>
      <c r="B13" s="18" t="s">
        <v>565</v>
      </c>
      <c r="C13" s="18" t="s">
        <v>116</v>
      </c>
      <c r="D13" s="18" t="s">
        <v>552</v>
      </c>
      <c r="E13" s="18" t="s">
        <v>553</v>
      </c>
      <c r="F13" s="18" t="s">
        <v>573</v>
      </c>
      <c r="G13" s="18"/>
      <c r="H13" s="18" t="s">
        <v>86</v>
      </c>
      <c r="I13" s="18"/>
    </row>
    <row r="14" spans="1:9" x14ac:dyDescent="0.3">
      <c r="A14" s="18" t="s">
        <v>30</v>
      </c>
      <c r="B14" s="18" t="s">
        <v>565</v>
      </c>
      <c r="C14" s="18" t="s">
        <v>117</v>
      </c>
      <c r="D14" s="18" t="s">
        <v>552</v>
      </c>
      <c r="E14" s="18" t="s">
        <v>553</v>
      </c>
      <c r="F14" s="18" t="s">
        <v>574</v>
      </c>
      <c r="G14" s="18"/>
      <c r="H14" s="18" t="s">
        <v>86</v>
      </c>
      <c r="I14" s="18"/>
    </row>
    <row r="15" spans="1:9" ht="39.6" x14ac:dyDescent="0.3">
      <c r="A15" s="18" t="s">
        <v>30</v>
      </c>
      <c r="B15" s="18" t="s">
        <v>565</v>
      </c>
      <c r="C15" s="18" t="s">
        <v>118</v>
      </c>
      <c r="D15" s="18" t="s">
        <v>552</v>
      </c>
      <c r="E15" s="18" t="s">
        <v>553</v>
      </c>
      <c r="F15" s="18" t="s">
        <v>575</v>
      </c>
      <c r="G15" s="18"/>
      <c r="H15" s="18" t="s">
        <v>86</v>
      </c>
      <c r="I15" s="18" t="s">
        <v>576</v>
      </c>
    </row>
    <row r="16" spans="1:9" x14ac:dyDescent="0.3">
      <c r="A16" s="18" t="s">
        <v>30</v>
      </c>
      <c r="B16" s="18" t="s">
        <v>565</v>
      </c>
      <c r="C16" s="18" t="s">
        <v>119</v>
      </c>
      <c r="D16" s="18" t="s">
        <v>552</v>
      </c>
      <c r="E16" s="18" t="s">
        <v>563</v>
      </c>
      <c r="F16" s="18" t="s">
        <v>577</v>
      </c>
      <c r="G16" s="18"/>
      <c r="H16" s="18" t="s">
        <v>86</v>
      </c>
      <c r="I16" s="18"/>
    </row>
    <row r="17" spans="1:9" x14ac:dyDescent="0.3">
      <c r="A17" s="18" t="s">
        <v>30</v>
      </c>
      <c r="B17" s="18" t="s">
        <v>565</v>
      </c>
      <c r="C17" s="18" t="s">
        <v>120</v>
      </c>
      <c r="D17" s="18" t="s">
        <v>552</v>
      </c>
      <c r="E17" s="18" t="s">
        <v>553</v>
      </c>
      <c r="F17" s="18" t="s">
        <v>578</v>
      </c>
      <c r="G17" s="18"/>
      <c r="H17" s="18" t="s">
        <v>86</v>
      </c>
      <c r="I17" s="18"/>
    </row>
    <row r="18" spans="1:9" x14ac:dyDescent="0.3">
      <c r="A18" s="18" t="s">
        <v>30</v>
      </c>
      <c r="B18" s="18" t="s">
        <v>565</v>
      </c>
      <c r="C18" s="18" t="s">
        <v>121</v>
      </c>
      <c r="D18" s="18" t="s">
        <v>552</v>
      </c>
      <c r="E18" s="18" t="s">
        <v>553</v>
      </c>
      <c r="F18" s="18" t="s">
        <v>579</v>
      </c>
      <c r="G18" s="18"/>
      <c r="H18" s="18" t="s">
        <v>86</v>
      </c>
      <c r="I18" s="18"/>
    </row>
    <row r="19" spans="1:9" ht="26.4" x14ac:dyDescent="0.3">
      <c r="A19" s="18" t="s">
        <v>30</v>
      </c>
      <c r="B19" s="18" t="s">
        <v>565</v>
      </c>
      <c r="C19" s="18" t="s">
        <v>122</v>
      </c>
      <c r="D19" s="18" t="s">
        <v>552</v>
      </c>
      <c r="E19" s="18" t="s">
        <v>553</v>
      </c>
      <c r="F19" s="18" t="s">
        <v>580</v>
      </c>
      <c r="G19" s="18"/>
      <c r="H19" s="18" t="s">
        <v>86</v>
      </c>
      <c r="I19" s="18"/>
    </row>
    <row r="20" spans="1:9" x14ac:dyDescent="0.3">
      <c r="A20" s="18" t="s">
        <v>30</v>
      </c>
      <c r="B20" s="18" t="s">
        <v>565</v>
      </c>
      <c r="C20" s="18" t="s">
        <v>123</v>
      </c>
      <c r="D20" s="18" t="s">
        <v>552</v>
      </c>
      <c r="E20" s="18" t="s">
        <v>553</v>
      </c>
      <c r="F20" s="18" t="s">
        <v>581</v>
      </c>
      <c r="G20" s="18"/>
      <c r="H20" s="18" t="s">
        <v>86</v>
      </c>
      <c r="I20" s="18"/>
    </row>
    <row r="21" spans="1:9" x14ac:dyDescent="0.3">
      <c r="A21" s="18" t="s">
        <v>30</v>
      </c>
      <c r="B21" s="18" t="s">
        <v>565</v>
      </c>
      <c r="C21" s="18" t="s">
        <v>124</v>
      </c>
      <c r="D21" s="18" t="s">
        <v>552</v>
      </c>
      <c r="E21" s="18" t="s">
        <v>553</v>
      </c>
      <c r="F21" s="18" t="s">
        <v>582</v>
      </c>
      <c r="G21" s="18"/>
      <c r="H21" s="18" t="s">
        <v>86</v>
      </c>
      <c r="I21" s="18"/>
    </row>
    <row r="22" spans="1:9" x14ac:dyDescent="0.3">
      <c r="A22" s="18" t="s">
        <v>30</v>
      </c>
      <c r="B22" s="18" t="s">
        <v>565</v>
      </c>
      <c r="C22" s="18" t="s">
        <v>125</v>
      </c>
      <c r="D22" s="18" t="s">
        <v>557</v>
      </c>
      <c r="E22" s="18" t="s">
        <v>563</v>
      </c>
      <c r="F22" s="18" t="s">
        <v>583</v>
      </c>
      <c r="G22" s="18"/>
      <c r="H22" s="18" t="s">
        <v>86</v>
      </c>
      <c r="I22" s="18"/>
    </row>
    <row r="23" spans="1:9" x14ac:dyDescent="0.3">
      <c r="A23" s="18" t="s">
        <v>30</v>
      </c>
      <c r="B23" s="18" t="s">
        <v>565</v>
      </c>
      <c r="C23" s="18" t="s">
        <v>126</v>
      </c>
      <c r="D23" s="18" t="s">
        <v>557</v>
      </c>
      <c r="E23" s="18" t="s">
        <v>563</v>
      </c>
      <c r="F23" s="18" t="s">
        <v>584</v>
      </c>
      <c r="G23" s="18"/>
      <c r="H23" s="18" t="s">
        <v>86</v>
      </c>
      <c r="I23" s="18"/>
    </row>
    <row r="24" spans="1:9" ht="26.4" x14ac:dyDescent="0.3">
      <c r="A24" s="18" t="s">
        <v>30</v>
      </c>
      <c r="B24" s="18" t="s">
        <v>565</v>
      </c>
      <c r="C24" s="18" t="s">
        <v>127</v>
      </c>
      <c r="D24" s="18" t="s">
        <v>585</v>
      </c>
      <c r="E24" s="18" t="s">
        <v>563</v>
      </c>
      <c r="F24" s="18" t="s">
        <v>586</v>
      </c>
      <c r="G24" s="18"/>
      <c r="H24" s="18" t="s">
        <v>86</v>
      </c>
      <c r="I24" s="18"/>
    </row>
    <row r="25" spans="1:9" x14ac:dyDescent="0.3">
      <c r="A25" s="18" t="s">
        <v>30</v>
      </c>
      <c r="B25" s="18" t="s">
        <v>565</v>
      </c>
      <c r="C25" s="18" t="s">
        <v>14</v>
      </c>
      <c r="D25" s="18" t="s">
        <v>552</v>
      </c>
      <c r="E25" s="18" t="s">
        <v>563</v>
      </c>
      <c r="F25" s="18" t="s">
        <v>587</v>
      </c>
      <c r="G25" s="18"/>
      <c r="H25" s="18" t="s">
        <v>86</v>
      </c>
      <c r="I25" s="18"/>
    </row>
    <row r="26" spans="1:9" x14ac:dyDescent="0.3">
      <c r="A26" s="18" t="s">
        <v>30</v>
      </c>
      <c r="B26" s="18" t="s">
        <v>565</v>
      </c>
      <c r="C26" s="18" t="s">
        <v>128</v>
      </c>
      <c r="D26" s="18" t="s">
        <v>552</v>
      </c>
      <c r="E26" s="18" t="s">
        <v>553</v>
      </c>
      <c r="F26" s="18" t="s">
        <v>588</v>
      </c>
      <c r="G26" s="18" t="s">
        <v>561</v>
      </c>
      <c r="H26" s="18" t="s">
        <v>86</v>
      </c>
      <c r="I26" s="18"/>
    </row>
    <row r="27" spans="1:9" x14ac:dyDescent="0.3">
      <c r="A27" s="18" t="s">
        <v>32</v>
      </c>
      <c r="B27" s="18" t="s">
        <v>589</v>
      </c>
      <c r="C27" s="18" t="s">
        <v>221</v>
      </c>
      <c r="D27" s="18" t="s">
        <v>552</v>
      </c>
      <c r="E27" s="18" t="s">
        <v>553</v>
      </c>
      <c r="F27" s="18" t="s">
        <v>590</v>
      </c>
      <c r="G27" s="18"/>
      <c r="H27" s="18" t="s">
        <v>86</v>
      </c>
      <c r="I27" s="18" t="s">
        <v>555</v>
      </c>
    </row>
    <row r="28" spans="1:9" ht="26.4" x14ac:dyDescent="0.3">
      <c r="A28" s="18" t="s">
        <v>32</v>
      </c>
      <c r="B28" s="18" t="s">
        <v>589</v>
      </c>
      <c r="C28" s="18" t="s">
        <v>222</v>
      </c>
      <c r="D28" s="18" t="s">
        <v>552</v>
      </c>
      <c r="E28" s="18" t="s">
        <v>553</v>
      </c>
      <c r="F28" s="18" t="s">
        <v>591</v>
      </c>
      <c r="G28" s="18"/>
      <c r="H28" s="18" t="s">
        <v>86</v>
      </c>
      <c r="I28" s="18" t="s">
        <v>592</v>
      </c>
    </row>
    <row r="29" spans="1:9" ht="39.6" x14ac:dyDescent="0.3">
      <c r="A29" s="18" t="s">
        <v>32</v>
      </c>
      <c r="B29" s="18" t="s">
        <v>589</v>
      </c>
      <c r="C29" s="18" t="s">
        <v>112</v>
      </c>
      <c r="D29" s="18" t="s">
        <v>552</v>
      </c>
      <c r="E29" s="18" t="s">
        <v>553</v>
      </c>
      <c r="F29" s="18" t="s">
        <v>593</v>
      </c>
      <c r="G29" s="18"/>
      <c r="H29" s="18" t="s">
        <v>86</v>
      </c>
      <c r="I29" s="18" t="s">
        <v>594</v>
      </c>
    </row>
    <row r="30" spans="1:9" ht="39.6" x14ac:dyDescent="0.3">
      <c r="A30" s="18" t="s">
        <v>32</v>
      </c>
      <c r="B30" s="18" t="s">
        <v>589</v>
      </c>
      <c r="C30" s="18" t="s">
        <v>60</v>
      </c>
      <c r="D30" s="18" t="s">
        <v>552</v>
      </c>
      <c r="E30" s="18" t="s">
        <v>553</v>
      </c>
      <c r="F30" s="18" t="s">
        <v>595</v>
      </c>
      <c r="G30" s="18"/>
      <c r="H30" s="18" t="s">
        <v>86</v>
      </c>
      <c r="I30" s="18" t="s">
        <v>576</v>
      </c>
    </row>
    <row r="31" spans="1:9" ht="26.4" x14ac:dyDescent="0.3">
      <c r="A31" s="18" t="s">
        <v>32</v>
      </c>
      <c r="B31" s="18" t="s">
        <v>589</v>
      </c>
      <c r="C31" s="18" t="s">
        <v>223</v>
      </c>
      <c r="D31" s="18" t="s">
        <v>596</v>
      </c>
      <c r="E31" s="18" t="s">
        <v>553</v>
      </c>
      <c r="F31" s="18" t="s">
        <v>597</v>
      </c>
      <c r="G31" s="18"/>
      <c r="H31" s="18" t="s">
        <v>70</v>
      </c>
      <c r="I31" s="18"/>
    </row>
    <row r="32" spans="1:9" x14ac:dyDescent="0.3">
      <c r="A32" s="18" t="s">
        <v>32</v>
      </c>
      <c r="B32" s="18" t="s">
        <v>589</v>
      </c>
      <c r="C32" s="18" t="s">
        <v>62</v>
      </c>
      <c r="D32" s="18" t="s">
        <v>557</v>
      </c>
      <c r="E32" s="18" t="s">
        <v>553</v>
      </c>
      <c r="F32" s="18" t="s">
        <v>598</v>
      </c>
      <c r="G32" s="18"/>
      <c r="H32" s="18" t="s">
        <v>86</v>
      </c>
      <c r="I32" s="18"/>
    </row>
    <row r="33" spans="1:9" x14ac:dyDescent="0.3">
      <c r="A33" s="18" t="s">
        <v>32</v>
      </c>
      <c r="B33" s="18" t="s">
        <v>589</v>
      </c>
      <c r="C33" s="18" t="s">
        <v>224</v>
      </c>
      <c r="D33" s="18" t="s">
        <v>552</v>
      </c>
      <c r="E33" s="18" t="s">
        <v>553</v>
      </c>
      <c r="F33" s="18" t="s">
        <v>599</v>
      </c>
      <c r="G33" s="18" t="s">
        <v>600</v>
      </c>
      <c r="H33" s="18" t="s">
        <v>86</v>
      </c>
      <c r="I33" s="18"/>
    </row>
    <row r="34" spans="1:9" x14ac:dyDescent="0.3">
      <c r="A34" s="18" t="s">
        <v>32</v>
      </c>
      <c r="B34" s="18" t="s">
        <v>589</v>
      </c>
      <c r="C34" s="18" t="s">
        <v>225</v>
      </c>
      <c r="D34" s="18" t="s">
        <v>557</v>
      </c>
      <c r="E34" s="18" t="s">
        <v>553</v>
      </c>
      <c r="F34" s="18" t="s">
        <v>601</v>
      </c>
      <c r="G34" s="18"/>
      <c r="H34" s="18" t="s">
        <v>70</v>
      </c>
      <c r="I34" s="18"/>
    </row>
    <row r="35" spans="1:9" x14ac:dyDescent="0.3">
      <c r="A35" s="18" t="s">
        <v>32</v>
      </c>
      <c r="B35" s="18" t="s">
        <v>589</v>
      </c>
      <c r="C35" s="18" t="s">
        <v>226</v>
      </c>
      <c r="D35" s="18" t="s">
        <v>552</v>
      </c>
      <c r="E35" s="18" t="s">
        <v>553</v>
      </c>
      <c r="F35" s="18" t="s">
        <v>602</v>
      </c>
      <c r="G35" s="18" t="s">
        <v>603</v>
      </c>
      <c r="H35" s="18" t="s">
        <v>70</v>
      </c>
      <c r="I35" s="18"/>
    </row>
    <row r="36" spans="1:9" x14ac:dyDescent="0.3">
      <c r="A36" s="18" t="s">
        <v>32</v>
      </c>
      <c r="B36" s="18" t="s">
        <v>589</v>
      </c>
      <c r="C36" s="18" t="s">
        <v>65</v>
      </c>
      <c r="D36" s="18" t="s">
        <v>557</v>
      </c>
      <c r="E36" s="18" t="s">
        <v>553</v>
      </c>
      <c r="F36" s="18" t="s">
        <v>604</v>
      </c>
      <c r="G36" s="18"/>
      <c r="H36" s="18" t="s">
        <v>86</v>
      </c>
      <c r="I36" s="18"/>
    </row>
    <row r="37" spans="1:9" ht="26.4" x14ac:dyDescent="0.3">
      <c r="A37" s="18" t="s">
        <v>32</v>
      </c>
      <c r="B37" s="18" t="s">
        <v>589</v>
      </c>
      <c r="C37" s="18" t="s">
        <v>227</v>
      </c>
      <c r="D37" s="18" t="s">
        <v>596</v>
      </c>
      <c r="E37" s="18" t="s">
        <v>563</v>
      </c>
      <c r="F37" s="18" t="s">
        <v>605</v>
      </c>
      <c r="G37" s="18"/>
      <c r="H37" s="18" t="s">
        <v>86</v>
      </c>
      <c r="I37" s="18"/>
    </row>
    <row r="38" spans="1:9" x14ac:dyDescent="0.3">
      <c r="A38" s="18" t="s">
        <v>32</v>
      </c>
      <c r="B38" s="18" t="s">
        <v>589</v>
      </c>
      <c r="C38" s="18" t="s">
        <v>228</v>
      </c>
      <c r="D38" s="18" t="s">
        <v>552</v>
      </c>
      <c r="E38" s="18" t="s">
        <v>563</v>
      </c>
      <c r="F38" s="18" t="s">
        <v>606</v>
      </c>
      <c r="G38" s="18"/>
      <c r="H38" s="18" t="s">
        <v>86</v>
      </c>
      <c r="I38" s="18"/>
    </row>
    <row r="39" spans="1:9" x14ac:dyDescent="0.3">
      <c r="A39" s="18" t="s">
        <v>36</v>
      </c>
      <c r="B39" s="18" t="s">
        <v>607</v>
      </c>
      <c r="C39" s="18" t="s">
        <v>412</v>
      </c>
      <c r="D39" s="18" t="s">
        <v>552</v>
      </c>
      <c r="E39" s="18" t="s">
        <v>553</v>
      </c>
      <c r="F39" s="18" t="s">
        <v>608</v>
      </c>
      <c r="G39" s="18"/>
      <c r="H39" s="18" t="s">
        <v>86</v>
      </c>
      <c r="I39" s="18" t="s">
        <v>555</v>
      </c>
    </row>
    <row r="40" spans="1:9" x14ac:dyDescent="0.3">
      <c r="A40" s="18" t="s">
        <v>36</v>
      </c>
      <c r="B40" s="18" t="s">
        <v>607</v>
      </c>
      <c r="C40" s="18" t="s">
        <v>413</v>
      </c>
      <c r="D40" s="18" t="s">
        <v>552</v>
      </c>
      <c r="E40" s="18" t="s">
        <v>553</v>
      </c>
      <c r="F40" s="18" t="s">
        <v>609</v>
      </c>
      <c r="G40" s="18"/>
      <c r="H40" s="18" t="s">
        <v>86</v>
      </c>
      <c r="I40" s="18"/>
    </row>
    <row r="41" spans="1:9" x14ac:dyDescent="0.3">
      <c r="A41" s="18" t="s">
        <v>36</v>
      </c>
      <c r="B41" s="18" t="s">
        <v>607</v>
      </c>
      <c r="C41" s="18" t="s">
        <v>414</v>
      </c>
      <c r="D41" s="18" t="s">
        <v>552</v>
      </c>
      <c r="E41" s="18" t="s">
        <v>553</v>
      </c>
      <c r="F41" s="18" t="s">
        <v>610</v>
      </c>
      <c r="G41" s="18"/>
      <c r="H41" s="18" t="s">
        <v>86</v>
      </c>
      <c r="I41" s="18"/>
    </row>
    <row r="42" spans="1:9" ht="26.4" x14ac:dyDescent="0.3">
      <c r="A42" s="18" t="s">
        <v>36</v>
      </c>
      <c r="B42" s="18" t="s">
        <v>607</v>
      </c>
      <c r="C42" s="18" t="s">
        <v>415</v>
      </c>
      <c r="D42" s="18" t="s">
        <v>552</v>
      </c>
      <c r="E42" s="18" t="s">
        <v>553</v>
      </c>
      <c r="F42" s="18" t="s">
        <v>611</v>
      </c>
      <c r="G42" s="18" t="s">
        <v>612</v>
      </c>
      <c r="H42" s="18" t="s">
        <v>86</v>
      </c>
      <c r="I42" s="18"/>
    </row>
    <row r="43" spans="1:9" ht="26.4" x14ac:dyDescent="0.3">
      <c r="A43" s="18" t="s">
        <v>36</v>
      </c>
      <c r="B43" s="18" t="s">
        <v>607</v>
      </c>
      <c r="C43" s="18" t="s">
        <v>416</v>
      </c>
      <c r="D43" s="18" t="s">
        <v>552</v>
      </c>
      <c r="E43" s="18" t="s">
        <v>553</v>
      </c>
      <c r="F43" s="18" t="s">
        <v>613</v>
      </c>
      <c r="G43" s="18" t="s">
        <v>612</v>
      </c>
      <c r="H43" s="18" t="s">
        <v>86</v>
      </c>
      <c r="I43" s="18"/>
    </row>
    <row r="44" spans="1:9" ht="26.4" x14ac:dyDescent="0.3">
      <c r="A44" s="18" t="s">
        <v>36</v>
      </c>
      <c r="B44" s="18" t="s">
        <v>607</v>
      </c>
      <c r="C44" s="18" t="s">
        <v>417</v>
      </c>
      <c r="D44" s="18" t="s">
        <v>552</v>
      </c>
      <c r="E44" s="18" t="s">
        <v>553</v>
      </c>
      <c r="F44" s="18" t="s">
        <v>614</v>
      </c>
      <c r="G44" s="18" t="s">
        <v>612</v>
      </c>
      <c r="H44" s="18" t="s">
        <v>86</v>
      </c>
      <c r="I44" s="18"/>
    </row>
    <row r="45" spans="1:9" ht="26.4" x14ac:dyDescent="0.3">
      <c r="A45" s="18" t="s">
        <v>36</v>
      </c>
      <c r="B45" s="18" t="s">
        <v>607</v>
      </c>
      <c r="C45" s="18" t="s">
        <v>418</v>
      </c>
      <c r="D45" s="18" t="s">
        <v>552</v>
      </c>
      <c r="E45" s="18" t="s">
        <v>553</v>
      </c>
      <c r="F45" s="18" t="s">
        <v>615</v>
      </c>
      <c r="G45" s="18" t="s">
        <v>612</v>
      </c>
      <c r="H45" s="18" t="s">
        <v>86</v>
      </c>
      <c r="I45" s="18"/>
    </row>
    <row r="46" spans="1:9" ht="26.4" x14ac:dyDescent="0.3">
      <c r="A46" s="18" t="s">
        <v>36</v>
      </c>
      <c r="B46" s="18" t="s">
        <v>607</v>
      </c>
      <c r="C46" s="18" t="s">
        <v>419</v>
      </c>
      <c r="D46" s="18" t="s">
        <v>552</v>
      </c>
      <c r="E46" s="18" t="s">
        <v>553</v>
      </c>
      <c r="F46" s="18" t="s">
        <v>616</v>
      </c>
      <c r="G46" s="18" t="s">
        <v>612</v>
      </c>
      <c r="H46" s="18" t="s">
        <v>86</v>
      </c>
      <c r="I46" s="18"/>
    </row>
    <row r="47" spans="1:9" ht="26.4" x14ac:dyDescent="0.3">
      <c r="A47" s="18" t="s">
        <v>36</v>
      </c>
      <c r="B47" s="18" t="s">
        <v>607</v>
      </c>
      <c r="C47" s="18" t="s">
        <v>420</v>
      </c>
      <c r="D47" s="18" t="s">
        <v>552</v>
      </c>
      <c r="E47" s="18" t="s">
        <v>553</v>
      </c>
      <c r="F47" s="18" t="s">
        <v>617</v>
      </c>
      <c r="G47" s="18" t="s">
        <v>612</v>
      </c>
      <c r="H47" s="18" t="s">
        <v>86</v>
      </c>
      <c r="I47" s="18"/>
    </row>
    <row r="48" spans="1:9" ht="26.4" x14ac:dyDescent="0.3">
      <c r="A48" s="18" t="s">
        <v>36</v>
      </c>
      <c r="B48" s="18" t="s">
        <v>607</v>
      </c>
      <c r="C48" s="18" t="s">
        <v>421</v>
      </c>
      <c r="D48" s="18" t="s">
        <v>552</v>
      </c>
      <c r="E48" s="18" t="s">
        <v>553</v>
      </c>
      <c r="F48" s="18" t="s">
        <v>618</v>
      </c>
      <c r="G48" s="18" t="s">
        <v>612</v>
      </c>
      <c r="H48" s="18" t="s">
        <v>86</v>
      </c>
      <c r="I48" s="18"/>
    </row>
    <row r="49" spans="1:9" ht="26.4" x14ac:dyDescent="0.3">
      <c r="A49" s="18" t="s">
        <v>36</v>
      </c>
      <c r="B49" s="18" t="s">
        <v>607</v>
      </c>
      <c r="C49" s="18" t="s">
        <v>422</v>
      </c>
      <c r="D49" s="18" t="s">
        <v>552</v>
      </c>
      <c r="E49" s="18" t="s">
        <v>553</v>
      </c>
      <c r="F49" s="18" t="s">
        <v>619</v>
      </c>
      <c r="G49" s="18" t="s">
        <v>612</v>
      </c>
      <c r="H49" s="18" t="s">
        <v>86</v>
      </c>
      <c r="I49" s="18"/>
    </row>
    <row r="50" spans="1:9" ht="26.4" x14ac:dyDescent="0.3">
      <c r="A50" s="18" t="s">
        <v>36</v>
      </c>
      <c r="B50" s="18" t="s">
        <v>607</v>
      </c>
      <c r="C50" s="18" t="s">
        <v>423</v>
      </c>
      <c r="D50" s="18" t="s">
        <v>552</v>
      </c>
      <c r="E50" s="18" t="s">
        <v>553</v>
      </c>
      <c r="F50" s="18" t="s">
        <v>620</v>
      </c>
      <c r="G50" s="18" t="s">
        <v>612</v>
      </c>
      <c r="H50" s="18" t="s">
        <v>86</v>
      </c>
      <c r="I50" s="18"/>
    </row>
    <row r="51" spans="1:9" ht="26.4" x14ac:dyDescent="0.3">
      <c r="A51" s="18" t="s">
        <v>36</v>
      </c>
      <c r="B51" s="18" t="s">
        <v>607</v>
      </c>
      <c r="C51" s="18" t="s">
        <v>424</v>
      </c>
      <c r="D51" s="18" t="s">
        <v>552</v>
      </c>
      <c r="E51" s="18" t="s">
        <v>553</v>
      </c>
      <c r="F51" s="18" t="s">
        <v>621</v>
      </c>
      <c r="G51" s="18" t="s">
        <v>612</v>
      </c>
      <c r="H51" s="18" t="s">
        <v>86</v>
      </c>
      <c r="I51" s="18"/>
    </row>
    <row r="52" spans="1:9" ht="26.4" x14ac:dyDescent="0.3">
      <c r="A52" s="18" t="s">
        <v>36</v>
      </c>
      <c r="B52" s="18" t="s">
        <v>607</v>
      </c>
      <c r="C52" s="18" t="s">
        <v>425</v>
      </c>
      <c r="D52" s="18" t="s">
        <v>552</v>
      </c>
      <c r="E52" s="18" t="s">
        <v>553</v>
      </c>
      <c r="F52" s="18" t="s">
        <v>622</v>
      </c>
      <c r="G52" s="18" t="s">
        <v>612</v>
      </c>
      <c r="H52" s="18" t="s">
        <v>86</v>
      </c>
      <c r="I52" s="18"/>
    </row>
    <row r="53" spans="1:9" ht="26.4" x14ac:dyDescent="0.3">
      <c r="A53" s="18" t="s">
        <v>36</v>
      </c>
      <c r="B53" s="18" t="s">
        <v>607</v>
      </c>
      <c r="C53" s="18" t="s">
        <v>426</v>
      </c>
      <c r="D53" s="18" t="s">
        <v>552</v>
      </c>
      <c r="E53" s="18" t="s">
        <v>553</v>
      </c>
      <c r="F53" s="18" t="s">
        <v>623</v>
      </c>
      <c r="G53" s="18" t="s">
        <v>612</v>
      </c>
      <c r="H53" s="18" t="s">
        <v>86</v>
      </c>
      <c r="I53" s="18"/>
    </row>
    <row r="54" spans="1:9" x14ac:dyDescent="0.3">
      <c r="A54" s="18" t="s">
        <v>36</v>
      </c>
      <c r="B54" s="18" t="s">
        <v>607</v>
      </c>
      <c r="C54" s="18" t="s">
        <v>427</v>
      </c>
      <c r="D54" s="18" t="s">
        <v>552</v>
      </c>
      <c r="E54" s="18" t="s">
        <v>553</v>
      </c>
      <c r="F54" s="18" t="s">
        <v>624</v>
      </c>
      <c r="G54" s="18" t="s">
        <v>612</v>
      </c>
      <c r="H54" s="18" t="s">
        <v>86</v>
      </c>
      <c r="I54" s="18"/>
    </row>
    <row r="55" spans="1:9" x14ac:dyDescent="0.3">
      <c r="A55" s="18" t="s">
        <v>36</v>
      </c>
      <c r="B55" s="18" t="s">
        <v>607</v>
      </c>
      <c r="C55" s="18" t="s">
        <v>428</v>
      </c>
      <c r="D55" s="18" t="s">
        <v>557</v>
      </c>
      <c r="E55" s="18" t="s">
        <v>563</v>
      </c>
      <c r="F55" s="18" t="s">
        <v>625</v>
      </c>
      <c r="G55" s="18"/>
      <c r="H55" s="18" t="s">
        <v>86</v>
      </c>
      <c r="I55" s="18"/>
    </row>
    <row r="56" spans="1:9" x14ac:dyDescent="0.3">
      <c r="A56" s="18" t="s">
        <v>36</v>
      </c>
      <c r="B56" s="18" t="s">
        <v>607</v>
      </c>
      <c r="C56" s="18" t="s">
        <v>429</v>
      </c>
      <c r="D56" s="18" t="s">
        <v>552</v>
      </c>
      <c r="E56" s="18" t="s">
        <v>563</v>
      </c>
      <c r="F56" s="18" t="s">
        <v>626</v>
      </c>
      <c r="G56" s="18"/>
      <c r="H56" s="18" t="s">
        <v>86</v>
      </c>
      <c r="I56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12</vt:i4>
      </vt:variant>
    </vt:vector>
  </HeadingPairs>
  <TitlesOfParts>
    <vt:vector size="20" baseType="lpstr">
      <vt:lpstr>00_LEIA-ME</vt:lpstr>
      <vt:lpstr>Catalogo_Formacao</vt:lpstr>
      <vt:lpstr>Matriz_Competencias</vt:lpstr>
      <vt:lpstr>Registo_Formacao</vt:lpstr>
      <vt:lpstr>Resumo_Atividade_4_1</vt:lpstr>
      <vt:lpstr>Matriz_RACI</vt:lpstr>
      <vt:lpstr>Listas</vt:lpstr>
      <vt:lpstr>Dicionario_Dados</vt:lpstr>
      <vt:lpstr>DataRef</vt:lpstr>
      <vt:lpstr>lst_DataReferencia</vt:lpstr>
      <vt:lpstr>lst_Funcao</vt:lpstr>
      <vt:lpstr>lst_Nivel</vt:lpstr>
      <vt:lpstr>lst_Processo</vt:lpstr>
      <vt:lpstr>lst_RACI</vt:lpstr>
      <vt:lpstr>lst_Resultado</vt:lpstr>
      <vt:lpstr>lst_SimNao</vt:lpstr>
      <vt:lpstr>Catalogo_Formacao!Títulos_de_Impressão</vt:lpstr>
      <vt:lpstr>Matriz_Competencias!Títulos_de_Impressão</vt:lpstr>
      <vt:lpstr>Matriz_RACI!Títulos_de_Impressão</vt:lpstr>
      <vt:lpstr>Registo_Formacao!Títulos_de_Impressão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RG-SGA-08 Matriz de Competências e Consciencialização Ambiental</dc:title>
  <dc:subject>SGA NP EN ISO 14001:2026 — Plasticom</dc:subject>
  <dc:creator>Gestor(a) do SGA / EHS</dc:creator>
  <cp:lastModifiedBy>Aline Meireles</cp:lastModifiedBy>
  <dcterms:created xsi:type="dcterms:W3CDTF">2026-09-30T09:57:13Z</dcterms:created>
  <dcterms:modified xsi:type="dcterms:W3CDTF">2026-09-30T09:57:40Z</dcterms:modified>
</cp:coreProperties>
</file>