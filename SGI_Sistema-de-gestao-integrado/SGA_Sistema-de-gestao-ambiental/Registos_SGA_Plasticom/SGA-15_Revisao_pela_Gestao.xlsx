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A2D6B3C1-AA16-4B73-A679-56C26941A130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articipantes" sheetId="2" r:id="rId2"/>
    <sheet name="Ordem_Trabalhos" sheetId="3" r:id="rId3"/>
    <sheet name="Ata_Decisoes" sheetId="4" r:id="rId4"/>
    <sheet name="Conclusoes" sheetId="5" r:id="rId5"/>
    <sheet name="Convocatoria_Impressao" sheetId="6" r:id="rId6"/>
    <sheet name="Ata_Impressao" sheetId="7" r:id="rId7"/>
    <sheet name="Listas" sheetId="8" r:id="rId8"/>
    <sheet name="Dicionario_Dados" sheetId="9" r:id="rId9"/>
  </sheets>
  <definedNames>
    <definedName name="DataRef">Listas!$A$3</definedName>
    <definedName name="lst_DataReferencia">Listas!$A$3:$A$3</definedName>
    <definedName name="lst_Entrada932">Listas!$C$3:$C$10</definedName>
    <definedName name="lst_Funcao">Listas!$E$3:$E$24</definedName>
    <definedName name="lst_Presenca">Listas!$B$3:$B$5</definedName>
    <definedName name="lst_Saida933">Listas!$D$3:$D$9</definedName>
    <definedName name="_xlnm.Print_Titles" localSheetId="3">Ata_Decisoes!$1:$1</definedName>
    <definedName name="_xlnm.Print_Titles" localSheetId="4">Conclusoes!$1:$1</definedName>
    <definedName name="_xlnm.Print_Titles" localSheetId="2">Ordem_Trabalhos!$4:$4</definedName>
    <definedName name="_xlnm.Print_Titles" localSheetId="1">Participantes!$1:$1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7" l="1"/>
  <c r="A47" i="7"/>
  <c r="B46" i="7"/>
  <c r="A46" i="7"/>
  <c r="B45" i="7"/>
  <c r="A45" i="7"/>
  <c r="B44" i="7"/>
  <c r="A44" i="7"/>
  <c r="B41" i="7"/>
  <c r="B40" i="7"/>
  <c r="B39" i="7"/>
  <c r="B38" i="7"/>
  <c r="B37" i="7"/>
  <c r="A36" i="7"/>
  <c r="B34" i="7"/>
  <c r="B33" i="7"/>
  <c r="B32" i="7"/>
  <c r="B31" i="7"/>
  <c r="B30" i="7"/>
  <c r="A29" i="7"/>
  <c r="B27" i="7"/>
  <c r="B26" i="7"/>
  <c r="B25" i="7"/>
  <c r="B24" i="7"/>
  <c r="B23" i="7"/>
  <c r="A22" i="7"/>
  <c r="B20" i="7"/>
  <c r="B19" i="7"/>
  <c r="B18" i="7"/>
  <c r="B17" i="7"/>
  <c r="B16" i="7"/>
  <c r="A15" i="7"/>
  <c r="B13" i="7"/>
  <c r="B12" i="7"/>
  <c r="B11" i="7"/>
  <c r="B10" i="7"/>
  <c r="B9" i="7"/>
  <c r="A8" i="7"/>
  <c r="B6" i="7"/>
  <c r="E21" i="6"/>
  <c r="D21" i="6"/>
  <c r="C21" i="6"/>
  <c r="A21" i="6"/>
  <c r="E20" i="6"/>
  <c r="D20" i="6"/>
  <c r="C20" i="6"/>
  <c r="A20" i="6"/>
  <c r="E19" i="6"/>
  <c r="D19" i="6"/>
  <c r="C19" i="6"/>
  <c r="A19" i="6"/>
  <c r="E18" i="6"/>
  <c r="D18" i="6"/>
  <c r="C18" i="6"/>
  <c r="A18" i="6"/>
  <c r="E17" i="6"/>
  <c r="D17" i="6"/>
  <c r="C17" i="6"/>
  <c r="A17" i="6"/>
  <c r="E16" i="6"/>
  <c r="D16" i="6"/>
  <c r="C16" i="6"/>
  <c r="A16" i="6"/>
  <c r="E15" i="6"/>
  <c r="D15" i="6"/>
  <c r="C15" i="6"/>
  <c r="A15" i="6"/>
  <c r="E14" i="6"/>
  <c r="D14" i="6"/>
  <c r="C14" i="6"/>
  <c r="A14" i="6"/>
  <c r="E13" i="6"/>
  <c r="D13" i="6"/>
  <c r="C13" i="6"/>
  <c r="A13" i="6"/>
  <c r="E12" i="6"/>
  <c r="D12" i="6"/>
  <c r="C12" i="6"/>
  <c r="A12" i="6"/>
  <c r="C8" i="6"/>
  <c r="K6" i="4"/>
  <c r="K5" i="4"/>
  <c r="K4" i="4"/>
  <c r="K3" i="4"/>
  <c r="K2" i="4"/>
  <c r="I14" i="3"/>
  <c r="H14" i="3"/>
  <c r="B21" i="6" s="1"/>
  <c r="I13" i="3"/>
  <c r="H13" i="3"/>
  <c r="B20" i="6" s="1"/>
  <c r="I12" i="3"/>
  <c r="H12" i="3"/>
  <c r="B19" i="6" s="1"/>
  <c r="I11" i="3"/>
  <c r="H11" i="3"/>
  <c r="B18" i="6" s="1"/>
  <c r="I10" i="3"/>
  <c r="H10" i="3"/>
  <c r="B17" i="6" s="1"/>
  <c r="I9" i="3"/>
  <c r="H9" i="3"/>
  <c r="B16" i="6" s="1"/>
  <c r="I8" i="3"/>
  <c r="H8" i="3"/>
  <c r="B15" i="6" s="1"/>
  <c r="I7" i="3"/>
  <c r="H7" i="3"/>
  <c r="B14" i="6" s="1"/>
  <c r="I6" i="3"/>
  <c r="H6" i="3"/>
  <c r="B13" i="6" s="1"/>
  <c r="I5" i="3"/>
  <c r="H5" i="3"/>
  <c r="B1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Reunião.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Cargo convocado.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Papel na reunião.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Presença.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Reunião.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N.º do ponto.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Alínea da 9.3.2.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Tópico adaptado à Plasticom.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Registo que suporta o ponto.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Quem apresenta.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Duração (min).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Hora de início do ponto (reunião às 14:30).
[calculado]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Decisões tomadas neste ponto.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Decisão.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Ponto da agenda.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Tipo de resultado exigido pela 9.3.3.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O que motivou a decisão.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O que se vai comprar, alterar ou implementar.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Orçamento alocado.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Pessoas envolvidas.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Quem executa.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Até quando.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Ações no PAM.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Dias até ao prazo.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Conclusão exigida.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Conclusão da gestão.</t>
        </r>
      </text>
    </comment>
  </commentList>
</comments>
</file>

<file path=xl/sharedStrings.xml><?xml version="1.0" encoding="utf-8"?>
<sst xmlns="http://schemas.openxmlformats.org/spreadsheetml/2006/main" count="530" uniqueCount="273">
  <si>
    <t>RG-SGA-15 — Revisão pela Gestão 2026 — Ordem de Trabalhos, Participantes e Ata de Decisões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</si>
  <si>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</si>
  <si>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</si>
  <si>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</si>
  <si>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RG-SGA-15</t>
  </si>
  <si>
    <t>Título</t>
  </si>
  <si>
    <t>Revisão pela Gestão 2026 — Ordem de Trabalhos, Participantes e Ata de Decisões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</si>
  <si>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</si>
  <si>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</si>
  <si>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</si>
  <si>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</si>
  <si>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</si>
  <si>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</si>
  <si>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</si>
  <si>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</si>
  <si>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</si>
  <si>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</si>
  <si>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</si>
  <si>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</si>
  <si>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</si>
  <si>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</si>
  <si>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</si>
  <si>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Registar a convocatória, os participantes, a ordem de trabalhos ligada às entradas obrigatórias da 9.3.2 e às fontes de dados de cada ponto, as conclusões sobre adequação/suficiência/eficácia e as decisões com problema, decisão, recursos, responsável, prazo e ação no PAM.</t>
  </si>
  <si>
    <t>Atividades do curso</t>
  </si>
  <si>
    <t>Atividade 5.4 — Parte I: Ordem de Trabalhos (inputs da cláusula 9.3). Parte II: excerto da Ata com as decisões (reunião de 23/09/2026).</t>
  </si>
  <si>
    <t>Requisitos ISO 14001:2026</t>
  </si>
  <si>
    <t>9.3.1 Generalidades; 9.3.2 Entradas; 9.3.3 Resultados (estrutura da ISO 14001:2026)</t>
  </si>
  <si>
    <t>ESTRUTURA DO FICHEIRO</t>
  </si>
  <si>
    <t>Participantes</t>
  </si>
  <si>
    <t>Participantes convocados e presença.</t>
  </si>
  <si>
    <t>Ordem_Trabalhos</t>
  </si>
  <si>
    <t>Ordem de trabalhos: 1 linha por ponto, ligada à alínea da 9.3.2 e à fonte de dados.</t>
  </si>
  <si>
    <t>Ata_Decisoes</t>
  </si>
  <si>
    <t>Decisões da revisão pela gestão (saídas 9.3.3) com recursos, responsável e prazo.</t>
  </si>
  <si>
    <t>Conclusoes</t>
  </si>
  <si>
    <t>Conclusões sobre adequação, suficiência e eficácia (9.3.3).</t>
  </si>
  <si>
    <t>Convocatoria_Impressao</t>
  </si>
  <si>
    <t>Parte I — Convocatória/Ordem de trabalhos em formato de impressão (fórum), calculada a partir das tabelas.</t>
  </si>
  <si>
    <t>Ata_Impressao</t>
  </si>
  <si>
    <t>Parte II — Excerto da ata com as decisões (formato para auditor externo), calculado a partir de tbl_decisoes.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</si>
  <si>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</si>
  <si>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</si>
  <si>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</si>
  <si>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</si>
  <si>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</si>
  <si>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</si>
  <si>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</si>
  <si>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</si>
  <si>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</si>
  <si>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</si>
  <si>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</si>
  <si>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</si>
  <si>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</si>
  <si>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</si>
  <si>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</si>
  <si>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</si>
  <si>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</si>
  <si>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</si>
  <si>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RG-SGA-06 PAM</t>
  </si>
  <si>
    <t>Cada decisão gera ação(ões) no PAM.</t>
  </si>
  <si>
    <t>Todos os registos</t>
  </si>
  <si>
    <t>A coluna Fonte_Dados indica o registo que alimenta cada ponto.</t>
  </si>
  <si>
    <t>ID_Reuniao</t>
  </si>
  <si>
    <t>Funcao</t>
  </si>
  <si>
    <t>Papel</t>
  </si>
  <si>
    <t>Presenca</t>
  </si>
  <si>
    <t>RG-2026</t>
  </si>
  <si>
    <t>Diretor Geral (Gestão de Topo)</t>
  </si>
  <si>
    <t>Preside e decide</t>
  </si>
  <si>
    <t>Presente</t>
  </si>
  <si>
    <t>Diretor Industrial</t>
  </si>
  <si>
    <t>Participante</t>
  </si>
  <si>
    <t>Diretor Financeiro</t>
  </si>
  <si>
    <t>Participante (recursos)</t>
  </si>
  <si>
    <t>Gestor do SGA / EHS (Responsável Ambiental)</t>
  </si>
  <si>
    <t>Apresenta e secretaria a ata</t>
  </si>
  <si>
    <t>Gerente de Produção</t>
  </si>
  <si>
    <t>Gerente de Manutenção</t>
  </si>
  <si>
    <t>Gerente da Qualidade</t>
  </si>
  <si>
    <t>Participante (auditorias)</t>
  </si>
  <si>
    <t>Responsável de Compras</t>
  </si>
  <si>
    <t>Responsável de R&amp;D</t>
  </si>
  <si>
    <t>Participante (PPWR)</t>
  </si>
  <si>
    <t>Responsável de Armazém e Logística</t>
  </si>
  <si>
    <t>Convidado (pontos 6 e 7)</t>
  </si>
  <si>
    <t>Responsável de Recursos Humanos</t>
  </si>
  <si>
    <t>Participante (competências)</t>
  </si>
  <si>
    <t>Ausente justificado</t>
  </si>
  <si>
    <t>Representante dos Trabalhadores (SST/Ambiente)</t>
  </si>
  <si>
    <t>Participante (consulta e participação)</t>
  </si>
  <si>
    <t>ORDEM DE TRABALHOS — REVISÃO PELA GESTÃO 2026</t>
  </si>
  <si>
    <t>23/09/2026, 14:30–17:30 · Sala de Reuniões da Administração, Plasticom Unidade 1 · Convocatória enviada a 09/09/2026</t>
  </si>
  <si>
    <t>Ponto</t>
  </si>
  <si>
    <t>Entrada_9_3_2</t>
  </si>
  <si>
    <t>Topico</t>
  </si>
  <si>
    <t>Fonte_Dados</t>
  </si>
  <si>
    <t>Apresentador</t>
  </si>
  <si>
    <t>Duracao_min</t>
  </si>
  <si>
    <t>Hora_Inicio</t>
  </si>
  <si>
    <t>N_Decisoes</t>
  </si>
  <si>
    <t>9.3.2 a)</t>
  </si>
  <si>
    <t>Abertura; estado das ações da revisão pela gestão de 2025 (4 decisões: 3 concluídas, 1 em curso).</t>
  </si>
  <si>
    <t>Atas RG-2025; RG-SGA-06</t>
  </si>
  <si>
    <t>9.3.2 b)</t>
  </si>
  <si>
    <t>Alterações nas questões externas e internas relevantes, incluindo as condições ambientais: verão de 2026 mais quente (+2 °C), risco de seca, risco de incêndio florestal, preço da energia e mercado de PCR.</t>
  </si>
  <si>
    <t>RG-SGA-01 (PESTEL/SWOT)</t>
  </si>
  <si>
    <t>Necessidades e expectativas das partes interessadas e obrigações de conformidade: PPWR aplicável desde 12/08/2026, regulamento europeu de granulados, reclamação de ruído da vizinhança, pedidos ESG de clientes.</t>
  </si>
  <si>
    <t>RG-SGA-04; registo de reclamações</t>
  </si>
  <si>
    <t>Aspetos ambientais significativos (COV da serigrafia, ruído dos compressores, embalagens sem declaração PPWR) e riscos e oportunidades significativos (6 riscos, 1 oportunidade).</t>
  </si>
  <si>
    <t>RG-SGA-03; RG-SGA-02</t>
  </si>
  <si>
    <t>9.3.2 c)</t>
  </si>
  <si>
    <t>Grau de cumprimento dos objetivos ambientais OBJ-01 a OBJ-06 (energia, scrap, solvente, PPWR, água, granulado).</t>
  </si>
  <si>
    <t>RG-SGA-05</t>
  </si>
  <si>
    <t>9.3.2 d)</t>
  </si>
  <si>
    <t>Desempenho ambiental: tendências de 18 meses dos KPI; desvio de +15% no solvente; não conformidades e ações corretivas (9 NC em 2026); avaliação da conformidade legal (82%, 2 NC); auditoria interna AUD-2026-01 (6 NC, 4 OM).</t>
  </si>
  <si>
    <t>RG-SGA-13; RG-SGA-07; RG-SGA-04; RG-SGA-14</t>
  </si>
  <si>
    <t>9.3.2 e)</t>
  </si>
  <si>
    <t>Adequação dos recursos: submedição, recursos para o PPWR, formação de temporários, equipamento de recuperação de solvente.</t>
  </si>
  <si>
    <t>RG-SGA-06; RG-SGA-08</t>
  </si>
  <si>
    <t>9.3.2 f)</t>
  </si>
  <si>
    <t>Comunicações relevantes das partes interessadas, incluindo reclamações (ruído) e sugestões dos trabalhadores (caixa Kaizen).</t>
  </si>
  <si>
    <t>RG-SGA-09; RG-SGA-16</t>
  </si>
  <si>
    <t>9.3.2 g)</t>
  </si>
  <si>
    <t>Oportunidades de melhoria contínua: Kaizen do turno 3, fotovoltaico, preparação do registo EMAS.</t>
  </si>
  <si>
    <t>RG-SGA-16; RG-SGA-02</t>
  </si>
  <si>
    <t>9.3.3</t>
  </si>
  <si>
    <t>Conclusões sobre a adequação, suficiência e eficácia do SGA; decisões, recursos e alterações ao SGA; encerramento.</t>
  </si>
  <si>
    <t>—</t>
  </si>
  <si>
    <t>ID_Decisao</t>
  </si>
  <si>
    <t>Ponto_Agenda</t>
  </si>
  <si>
    <t>Tipo_Saida_9_3_3</t>
  </si>
  <si>
    <t>Problema_Analise</t>
  </si>
  <si>
    <t>Decisao_Tomada</t>
  </si>
  <si>
    <t>Recursos_EUR</t>
  </si>
  <si>
    <t>Recursos_Pessoas</t>
  </si>
  <si>
    <t>Responsavel</t>
  </si>
  <si>
    <t>Prazo</t>
  </si>
  <si>
    <t>IDs_PAM</t>
  </si>
  <si>
    <t>Dias_ate_Prazo</t>
  </si>
  <si>
    <t>RG-26-D01</t>
  </si>
  <si>
    <t>Oportunidades de melhoria contínua</t>
  </si>
  <si>
    <t>O consumo específico de solvente de limpeza na serigrafia subiu 15% em jun–ago/2026 com a produção estável; o aspeto (COV) é significativo (IRA 40) e o solvente usado é enviado como resíduo perigoso. As causas confirmadas são recipientes abertos, a SS-001 após o overhaul e um operador temporário sem formação.</t>
  </si>
  <si>
    <t>Aprovar a compra de uma unidade de recuperação de solvente (destilador de 60 L) e de 4 dispensadores de segurança, e tornar obrigatória a formação FOR-02 antes de qualquer temporário trabalhar na serigrafia.</t>
  </si>
  <si>
    <t>Gestor do SGA (0,1 ETI); chefe de serigrafia; fornecedor do destilador</t>
  </si>
  <si>
    <t>PAM-26-13; PAM-26-08</t>
  </si>
  <si>
    <t>RG-26-D02</t>
  </si>
  <si>
    <t>Implicações para a direção estratégica</t>
  </si>
  <si>
    <t>O PPWR aplica-se desde 12/08/2026 e só 9 de 22 famílias (41%) têm documentação técnica e declaração UE de conformidade (NC legal); os clientes alimentares e farmacêuticos já pedem as declarações.</t>
  </si>
  <si>
    <t>Contratar consultoria especializada em PPWR, afetar um técnico de qualidade/ambiente a 50% durante 6 meses e priorizar as famílias por volume de vendas; o incumprimento passa a ser risco estratégico acompanhado mensalmente pela gestão.</t>
  </si>
  <si>
    <t>Responsável de R&amp;D; técnico Q/A (0,5 ETI, 6 meses); consultor externo</t>
  </si>
  <si>
    <t>PAM-26-10</t>
  </si>
  <si>
    <t>RG-26-D03</t>
  </si>
  <si>
    <t>Recursos</t>
  </si>
  <si>
    <t>Sem submedição não é possível demonstrar o desempenho de energia e água (RO-02, nível -6) nem medir o efeito das ações; o ar comprimido tem ≈ 25% de fugas.</t>
  </si>
  <si>
    <t>Aprovar o CAPEX de submedição (6 analisadores + 3 contadores) e do variador de velocidade do compressor, e submeter candidatura ao Portugal 2030 para cofinanciamento.</t>
  </si>
  <si>
    <t>Gerente de Manutenção; técnico de utilidades; instalador</t>
  </si>
  <si>
    <t>PAM-26-01; PAM-26-02</t>
  </si>
  <si>
    <t>RG-26-D04</t>
  </si>
  <si>
    <t>Oportunidade RO-09: fotovoltaico em ≈ 9.000 m² de cobertura; clientes pedem dados de carbono; o registo EMAS daria acesso a clientes públicos e a menos inspeções.</t>
  </si>
  <si>
    <t>Encomendar o estudo de viabilidade de uma UPAC de ≈ 1 MWp e preparar o diagnóstico para o registo EMAS em 2027 (declaração ambiental com os 6 indicadores principais).</t>
  </si>
  <si>
    <t>Diretor Financeiro; Gestor do SGA</t>
  </si>
  <si>
    <t>PAM-26-18</t>
  </si>
  <si>
    <t>RG-26-D05</t>
  </si>
  <si>
    <t>Necessidade de alterações ao SGA</t>
  </si>
  <si>
    <t>A auditoria AUD-2026-01 detetou que a substituição dos compressores não passou por avaliação ambiental (requisito novo 6.3 da ISO 14001:2026), o que originou a NC legal de ruído.</t>
  </si>
  <si>
    <t>Aprovar o procedimento PR-SGA-06 'Planeamento de alterações' com checklist ambiental/legal obrigatória antes de qualquer investimento em equipamento, processo, layout ou material.</t>
  </si>
  <si>
    <t>Gestor do SGA; Diretor Industrial</t>
  </si>
  <si>
    <t>PAM-26-17</t>
  </si>
  <si>
    <t>Tema</t>
  </si>
  <si>
    <t>Conclusao</t>
  </si>
  <si>
    <t>Adequação</t>
  </si>
  <si>
    <t>O SGA continua adequado ao contexto da Plasticom, mas tem de integrar o PPWR, o regulamento de granulados e a gestão de alterações (6.3).</t>
  </si>
  <si>
    <t>Suficiência</t>
  </si>
  <si>
    <t>Recursos insuficientes em medição e em conformidade de produto: reforçados pelas decisões D02 e D03.</t>
  </si>
  <si>
    <t>Eficácia</t>
  </si>
  <si>
    <t>Eficácia parcial: 2 de 6 objetivos no caminho previsto (energia, scrap); solvente e água com desvio; 1 de 2 ações de NC verificadas como eficazes.</t>
  </si>
  <si>
    <t>Política Ambiental</t>
  </si>
  <si>
    <t>Rev. 02 (junho/2026) mantém-se adequada; não é necessária alteração.</t>
  </si>
  <si>
    <t>PLASTICOM</t>
  </si>
  <si>
    <t>CONVOCATÓRIA — REVISÃO PELA GESTÃO DO SGA 2026</t>
  </si>
  <si>
    <t>Plasticom — Unidade 1 (Marinha Grande, Portugal) · NP EN ISO 14001:2026</t>
  </si>
  <si>
    <t>Rev. 01 · 31/12/2026</t>
  </si>
  <si>
    <t>Data e hora</t>
  </si>
  <si>
    <t>23/09/2026, 14:30–17:30</t>
  </si>
  <si>
    <t>Local</t>
  </si>
  <si>
    <t>Sala de Reuniões da Administração — Plasticom, Unidade 1 (Marinha Grande)</t>
  </si>
  <si>
    <t>Convocada por</t>
  </si>
  <si>
    <t>Diretor Geral, sob proposta do Gestor do SGA/EHS</t>
  </si>
  <si>
    <t>Documentos de apoio</t>
  </si>
  <si>
    <t>Registos RG-SGA-01 a RG-SGA-16 e painel ambiental (enviados a 16/09/2026)</t>
  </si>
  <si>
    <t>Hora</t>
  </si>
  <si>
    <t>Tópico (entrada da 9.3.2)</t>
  </si>
  <si>
    <t>Min</t>
  </si>
  <si>
    <t>Reunião</t>
  </si>
  <si>
    <t>23/09/2026, 14:30–17:30, Sala de Reuniões da Administração. Presidida pelo Diretor Geral; secretariada pelo Gestor do SGA/EHS.</t>
  </si>
  <si>
    <t>Presenças</t>
  </si>
  <si>
    <t>Problema / Análise</t>
  </si>
  <si>
    <t>Decisão tomada</t>
  </si>
  <si>
    <t>Recursos alocados</t>
  </si>
  <si>
    <t>Responsável e prazo</t>
  </si>
  <si>
    <t>Ações no PAM</t>
  </si>
  <si>
    <t>Conclusões (9.3.3)</t>
  </si>
  <si>
    <t>Assinaturas: Diretor Geral ________________    Gestor do SGA/EHS ________________</t>
  </si>
  <si>
    <t>LISTAS CONTROLADAS (domínios de validação de dados) — editar aqui para alterar opções</t>
  </si>
  <si>
    <t>DataReferencia</t>
  </si>
  <si>
    <t>Entrada932</t>
  </si>
  <si>
    <t>Saida933</t>
  </si>
  <si>
    <t>Conclusões sobre adequação, suficiência e eficácia</t>
  </si>
  <si>
    <t>Ausente</t>
  </si>
  <si>
    <t>Ações quando os objetivos não foram atingidos</t>
  </si>
  <si>
    <t>Integração nos processos de negócio</t>
  </si>
  <si>
    <t>Operador de Serigrafia</t>
  </si>
  <si>
    <t>Operador de Injeção</t>
  </si>
  <si>
    <t>Operador de Sopro (ISBM)</t>
  </si>
  <si>
    <t>Operador de Hot Foil</t>
  </si>
  <si>
    <t>Técnico de Manutenção</t>
  </si>
  <si>
    <t>Técnico de Utilidades</t>
  </si>
  <si>
    <t>Operador de Armazém / Empilhador</t>
  </si>
  <si>
    <t>Chefe de Turno</t>
  </si>
  <si>
    <t>Auditor Interno do SGA</t>
  </si>
  <si>
    <t>Técnico de Qualidade/Ambiente</t>
  </si>
  <si>
    <t>Folha</t>
  </si>
  <si>
    <t>Tabela</t>
  </si>
  <si>
    <t>Coluna</t>
  </si>
  <si>
    <t>Tipo</t>
  </si>
  <si>
    <t>Origem</t>
  </si>
  <si>
    <t>Descricao</t>
  </si>
  <si>
    <t>Dominio_Unidade</t>
  </si>
  <si>
    <t>Obrigatorio</t>
  </si>
  <si>
    <t>Chave</t>
  </si>
  <si>
    <t>tbl_participantes</t>
  </si>
  <si>
    <t>Texto</t>
  </si>
  <si>
    <t>Entrada</t>
  </si>
  <si>
    <t>Reunião.</t>
  </si>
  <si>
    <t>Sim</t>
  </si>
  <si>
    <t>FK</t>
  </si>
  <si>
    <t>Cargo convocado.</t>
  </si>
  <si>
    <t>Lista lst_Funcao</t>
  </si>
  <si>
    <t>Papel na reunião.</t>
  </si>
  <si>
    <t>Presença.</t>
  </si>
  <si>
    <t>Lista lst_Presenca</t>
  </si>
  <si>
    <t>tbl_agenda</t>
  </si>
  <si>
    <t>Inteiro</t>
  </si>
  <si>
    <t>N.º do ponto.</t>
  </si>
  <si>
    <t>Alínea da 9.3.2.</t>
  </si>
  <si>
    <t>Lista lst_Entrada932</t>
  </si>
  <si>
    <t>Tópico adaptado à Plasticom.</t>
  </si>
  <si>
    <t>Registo que suporta o ponto.</t>
  </si>
  <si>
    <t>Quem apresenta.</t>
  </si>
  <si>
    <t>Duração (min).</t>
  </si>
  <si>
    <t>Calculado (fórmula)</t>
  </si>
  <si>
    <t>Hora de início do ponto (reunião às 14:30).</t>
  </si>
  <si>
    <t>Decisões tomadas neste ponto.</t>
  </si>
  <si>
    <t>tbl_decisoes</t>
  </si>
  <si>
    <t>Decisão.</t>
  </si>
  <si>
    <t>PK</t>
  </si>
  <si>
    <t>Ponto da agenda.</t>
  </si>
  <si>
    <t>Tipo de resultado exigido pela 9.3.3.</t>
  </si>
  <si>
    <t>Lista lst_Saida933</t>
  </si>
  <si>
    <t>O que motivou a decisão.</t>
  </si>
  <si>
    <t>O que se vai comprar, alterar ou implementar.</t>
  </si>
  <si>
    <t>Moeda (EUR)</t>
  </si>
  <si>
    <t>Orçamento alocado.</t>
  </si>
  <si>
    <t>Pessoas envolvidas.</t>
  </si>
  <si>
    <t>Quem executa.</t>
  </si>
  <si>
    <t>Data (aaaa-mm-dd)</t>
  </si>
  <si>
    <t>Até quando.</t>
  </si>
  <si>
    <t>Ações no PAM.</t>
  </si>
  <si>
    <t>FK → RG-SGA-06</t>
  </si>
  <si>
    <t>Dias até ao prazo.</t>
  </si>
  <si>
    <t>tbl_conclusoes</t>
  </si>
  <si>
    <t>Conclusão exigida.</t>
  </si>
  <si>
    <t>Conclusão da gestão.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</si>
</sst>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\€"/>
    <numFmt numFmtId="165" formatCode="yyyy\-mm\-dd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0F2F3A"/>
      <name val="Arial"/>
    </font>
    <font>
      <i/>
      <sz val="10"/>
      <color rgb="FF4A5A60"/>
      <name val="Arial"/>
    </font>
    <font>
      <b/>
      <sz val="16"/>
      <color rgb="FF1F4E5F"/>
      <name val="Arial"/>
    </font>
    <font>
      <b/>
      <sz val="13"/>
      <color rgb="FF0F2F3A"/>
      <name val="Arial"/>
    </font>
    <font>
      <b/>
      <sz val="10"/>
      <name val="Arial"/>
    </font>
    <font>
      <b/>
      <sz val="11"/>
      <color rgb="FF1F4E5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3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  <border>
      <left/>
      <right/>
      <top/>
      <bottom style="medium">
        <color rgb="FF1F4E5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7" fillId="5" borderId="0" xfId="0" applyFont="1" applyFill="1"/>
    <xf numFmtId="0" fontId="0" fillId="5" borderId="0" xfId="0" applyFill="1"/>
    <xf numFmtId="0" fontId="7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5" fontId="2" fillId="0" borderId="0" xfId="0" applyNumberFormat="1" applyFont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vertical="top" wrapText="1"/>
    </xf>
    <xf numFmtId="20" fontId="2" fillId="4" borderId="1" xfId="0" applyNumberFormat="1" applyFont="1" applyFill="1" applyBorder="1" applyAlignment="1">
      <alignment vertical="top" wrapText="1"/>
    </xf>
    <xf numFmtId="1" fontId="2" fillId="4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0" fillId="0" borderId="2" xfId="0" applyBorder="1"/>
    <xf numFmtId="0" fontId="7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20" fontId="2" fillId="0" borderId="1" xfId="0" applyNumberFormat="1" applyFont="1" applyBorder="1" applyAlignment="1">
      <alignment horizontal="center" vertical="top" wrapText="1"/>
    </xf>
    <xf numFmtId="0" fontId="8" fillId="0" borderId="0" xfId="0" applyFont="1"/>
    <xf numFmtId="0" fontId="1" fillId="2" borderId="0" xfId="0" applyFont="1" applyFill="1" applyAlignment="1">
      <alignment horizontal="center" vertical="top" wrapText="1"/>
    </xf>
    <xf numFmtId="165" fontId="2" fillId="0" borderId="0" xfId="0" applyNumberFormat="1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7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articipantes" displayName="tbl_participantes" ref="A1:D13">
  <autoFilter ref="A1:D13" xr:uid="{00000000-0009-0000-0100-000001000000}"/>
  <tableColumns count="4">
    <tableColumn id="1" xr3:uid="{00000000-0010-0000-0000-000001000000}" name="ID_Reuniao"/>
    <tableColumn id="2" xr3:uid="{00000000-0010-0000-0000-000002000000}" name="Funcao"/>
    <tableColumn id="3" xr3:uid="{00000000-0010-0000-0000-000003000000}" name="Papel"/>
    <tableColumn id="4" xr3:uid="{00000000-0010-0000-0000-000004000000}" name="Presenc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agenda" displayName="tbl_agenda" ref="A4:I14">
  <autoFilter ref="A4:I14" xr:uid="{00000000-0009-0000-0100-000002000000}"/>
  <tableColumns count="9">
    <tableColumn id="1" xr3:uid="{00000000-0010-0000-0100-000001000000}" name="ID_Reuniao"/>
    <tableColumn id="2" xr3:uid="{00000000-0010-0000-0100-000002000000}" name="Ponto"/>
    <tableColumn id="3" xr3:uid="{00000000-0010-0000-0100-000003000000}" name="Entrada_9_3_2"/>
    <tableColumn id="4" xr3:uid="{00000000-0010-0000-0100-000004000000}" name="Topico"/>
    <tableColumn id="5" xr3:uid="{00000000-0010-0000-0100-000005000000}" name="Fonte_Dados"/>
    <tableColumn id="6" xr3:uid="{00000000-0010-0000-0100-000006000000}" name="Apresentador"/>
    <tableColumn id="7" xr3:uid="{00000000-0010-0000-0100-000007000000}" name="Duracao_min"/>
    <tableColumn id="8" xr3:uid="{00000000-0010-0000-0100-000008000000}" name="Hora_Inicio"/>
    <tableColumn id="9" xr3:uid="{00000000-0010-0000-0100-000009000000}" name="N_Deciso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ecisoes" displayName="tbl_decisoes" ref="A1:K6">
  <autoFilter ref="A1:K6" xr:uid="{00000000-0009-0000-0100-000003000000}"/>
  <tableColumns count="11">
    <tableColumn id="1" xr3:uid="{00000000-0010-0000-0200-000001000000}" name="ID_Decisao"/>
    <tableColumn id="2" xr3:uid="{00000000-0010-0000-0200-000002000000}" name="Ponto_Agenda"/>
    <tableColumn id="3" xr3:uid="{00000000-0010-0000-0200-000003000000}" name="Tipo_Saida_9_3_3"/>
    <tableColumn id="4" xr3:uid="{00000000-0010-0000-0200-000004000000}" name="Problema_Analise"/>
    <tableColumn id="5" xr3:uid="{00000000-0010-0000-0200-000005000000}" name="Decisao_Tomada"/>
    <tableColumn id="6" xr3:uid="{00000000-0010-0000-0200-000006000000}" name="Recursos_EUR"/>
    <tableColumn id="7" xr3:uid="{00000000-0010-0000-0200-000007000000}" name="Recursos_Pessoas"/>
    <tableColumn id="8" xr3:uid="{00000000-0010-0000-0200-000008000000}" name="Responsavel"/>
    <tableColumn id="9" xr3:uid="{00000000-0010-0000-0200-000009000000}" name="Prazo"/>
    <tableColumn id="10" xr3:uid="{00000000-0010-0000-0200-00000A000000}" name="IDs_PAM"/>
    <tableColumn id="11" xr3:uid="{00000000-0010-0000-0200-00000B000000}" name="Dias_ate_Praz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onclusoes" displayName="tbl_conclusoes" ref="A1:B5">
  <autoFilter ref="A1:B5" xr:uid="{00000000-0009-0000-0100-000004000000}"/>
  <tableColumns count="2">
    <tableColumn id="1" xr3:uid="{00000000-0010-0000-0300-000001000000}" name="Tema"/>
    <tableColumn id="2" xr3:uid="{00000000-0010-0000-0300-000002000000}" name="Conclusa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cionario" displayName="tbl_dicionario" ref="A1:I27">
  <autoFilter ref="A1:I27" xr:uid="{00000000-0009-0000-0100-000005000000}"/>
  <tableColumns count="9">
    <tableColumn id="1" xr3:uid="{00000000-0010-0000-0400-000001000000}" name="Folha"/>
    <tableColumn id="2" xr3:uid="{00000000-0010-0000-0400-000002000000}" name="Tabela"/>
    <tableColumn id="3" xr3:uid="{00000000-0010-0000-0400-000003000000}" name="Coluna"/>
    <tableColumn id="4" xr3:uid="{00000000-0010-0000-0400-000004000000}" name="Tipo"/>
    <tableColumn id="5" xr3:uid="{00000000-0010-0000-0400-000005000000}" name="Origem"/>
    <tableColumn id="6" xr3:uid="{00000000-0010-0000-0400-000006000000}" name="Descricao"/>
    <tableColumn id="7" xr3:uid="{00000000-0010-0000-0400-000007000000}" name="Dominio_Unidade"/>
    <tableColumn id="8" xr3:uid="{00000000-0010-0000-0400-000008000000}" name="Obrigatorio"/>
    <tableColumn id="9" xr3:uid="{00000000-0010-0000-04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0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8" spans="1:2" x14ac:dyDescent="0.3">
      <c r="A28" s="5" t="s">
        <v>42</v>
      </c>
      <c r="B28" s="6" t="s">
        <v>43</v>
      </c>
    </row>
    <row r="30" spans="1:2" x14ac:dyDescent="0.3">
      <c r="A30" s="3" t="s">
        <v>44</v>
      </c>
      <c r="B30" s="4"/>
    </row>
    <row r="31" spans="1:2" ht="26.4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4" spans="1:2" ht="26.4" x14ac:dyDescent="0.3">
      <c r="A34" s="5" t="s">
        <v>51</v>
      </c>
      <c r="B34" s="6" t="s">
        <v>52</v>
      </c>
    </row>
    <row r="35" spans="1:2" ht="26.4" x14ac:dyDescent="0.3">
      <c r="A35" s="5" t="s">
        <v>53</v>
      </c>
      <c r="B35" s="6" t="s">
        <v>54</v>
      </c>
    </row>
    <row r="36" spans="1:2" ht="26.4" x14ac:dyDescent="0.3">
      <c r="A36" s="5" t="s">
        <v>55</v>
      </c>
      <c r="B36" s="6" t="s">
        <v>56</v>
      </c>
    </row>
    <row r="38" spans="1:2" x14ac:dyDescent="0.3">
      <c r="A38" s="3" t="s">
        <v>57</v>
      </c>
      <c r="B38" s="4"/>
    </row>
    <row r="39" spans="1:2" x14ac:dyDescent="0.3">
      <c r="A39" s="5" t="s">
        <v>58</v>
      </c>
      <c r="B39" s="6" t="s">
        <v>59</v>
      </c>
    </row>
    <row r="40" spans="1:2" x14ac:dyDescent="0.3">
      <c r="A40" s="5" t="s">
        <v>60</v>
      </c>
      <c r="B40" s="6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3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40" customWidth="1"/>
    <col min="3" max="3" width="34" customWidth="1"/>
    <col min="4" max="4" width="16" customWidth="1"/>
  </cols>
  <sheetData>
    <row r="1" spans="1:4" ht="26.4" x14ac:dyDescent="0.3">
      <c r="A1" s="8" t="s">
        <v>62</v>
      </c>
      <c r="B1" s="8" t="s">
        <v>63</v>
      </c>
      <c r="C1" s="8" t="s">
        <v>64</v>
      </c>
      <c r="D1" s="8" t="s">
        <v>65</v>
      </c>
    </row>
    <row r="2" spans="1:4" x14ac:dyDescent="0.3">
      <c r="A2" s="9" t="s">
        <v>66</v>
      </c>
      <c r="B2" s="9" t="s">
        <v>67</v>
      </c>
      <c r="C2" s="9" t="s">
        <v>68</v>
      </c>
      <c r="D2" s="9" t="s">
        <v>69</v>
      </c>
    </row>
    <row r="3" spans="1:4" x14ac:dyDescent="0.3">
      <c r="A3" s="9" t="s">
        <v>66</v>
      </c>
      <c r="B3" s="9" t="s">
        <v>70</v>
      </c>
      <c r="C3" s="9" t="s">
        <v>71</v>
      </c>
      <c r="D3" s="9" t="s">
        <v>69</v>
      </c>
    </row>
    <row r="4" spans="1:4" x14ac:dyDescent="0.3">
      <c r="A4" s="9" t="s">
        <v>66</v>
      </c>
      <c r="B4" s="9" t="s">
        <v>72</v>
      </c>
      <c r="C4" s="9" t="s">
        <v>73</v>
      </c>
      <c r="D4" s="9" t="s">
        <v>69</v>
      </c>
    </row>
    <row r="5" spans="1:4" x14ac:dyDescent="0.3">
      <c r="A5" s="9" t="s">
        <v>66</v>
      </c>
      <c r="B5" s="9" t="s">
        <v>74</v>
      </c>
      <c r="C5" s="9" t="s">
        <v>75</v>
      </c>
      <c r="D5" s="9" t="s">
        <v>69</v>
      </c>
    </row>
    <row r="6" spans="1:4" x14ac:dyDescent="0.3">
      <c r="A6" s="9" t="s">
        <v>66</v>
      </c>
      <c r="B6" s="9" t="s">
        <v>76</v>
      </c>
      <c r="C6" s="9" t="s">
        <v>71</v>
      </c>
      <c r="D6" s="9" t="s">
        <v>69</v>
      </c>
    </row>
    <row r="7" spans="1:4" x14ac:dyDescent="0.3">
      <c r="A7" s="9" t="s">
        <v>66</v>
      </c>
      <c r="B7" s="9" t="s">
        <v>77</v>
      </c>
      <c r="C7" s="9" t="s">
        <v>71</v>
      </c>
      <c r="D7" s="9" t="s">
        <v>69</v>
      </c>
    </row>
    <row r="8" spans="1:4" x14ac:dyDescent="0.3">
      <c r="A8" s="9" t="s">
        <v>66</v>
      </c>
      <c r="B8" s="9" t="s">
        <v>78</v>
      </c>
      <c r="C8" s="9" t="s">
        <v>79</v>
      </c>
      <c r="D8" s="9" t="s">
        <v>69</v>
      </c>
    </row>
    <row r="9" spans="1:4" x14ac:dyDescent="0.3">
      <c r="A9" s="9" t="s">
        <v>66</v>
      </c>
      <c r="B9" s="9" t="s">
        <v>80</v>
      </c>
      <c r="C9" s="9" t="s">
        <v>71</v>
      </c>
      <c r="D9" s="9" t="s">
        <v>69</v>
      </c>
    </row>
    <row r="10" spans="1:4" x14ac:dyDescent="0.3">
      <c r="A10" s="9" t="s">
        <v>66</v>
      </c>
      <c r="B10" s="9" t="s">
        <v>81</v>
      </c>
      <c r="C10" s="9" t="s">
        <v>82</v>
      </c>
      <c r="D10" s="9" t="s">
        <v>69</v>
      </c>
    </row>
    <row r="11" spans="1:4" x14ac:dyDescent="0.3">
      <c r="A11" s="9" t="s">
        <v>66</v>
      </c>
      <c r="B11" s="9" t="s">
        <v>83</v>
      </c>
      <c r="C11" s="9" t="s">
        <v>84</v>
      </c>
      <c r="D11" s="9" t="s">
        <v>69</v>
      </c>
    </row>
    <row r="12" spans="1:4" ht="26.4" x14ac:dyDescent="0.3">
      <c r="A12" s="9" t="s">
        <v>66</v>
      </c>
      <c r="B12" s="9" t="s">
        <v>85</v>
      </c>
      <c r="C12" s="9" t="s">
        <v>86</v>
      </c>
      <c r="D12" s="9" t="s">
        <v>87</v>
      </c>
    </row>
    <row r="13" spans="1:4" ht="26.4" x14ac:dyDescent="0.3">
      <c r="A13" s="9" t="s">
        <v>66</v>
      </c>
      <c r="B13" s="9" t="s">
        <v>88</v>
      </c>
      <c r="C13" s="9" t="s">
        <v>89</v>
      </c>
      <c r="D13" s="9" t="s">
        <v>69</v>
      </c>
    </row>
  </sheetData>
  <dataValidations count="2">
    <dataValidation type="list" allowBlank="1" showErrorMessage="1" errorTitle="Valor inválido" error="Valor fora da lista controlada (ver folha Listas)." sqref="B2:B213" xr:uid="{00000000-0002-0000-0100-000000000000}">
      <formula1>lst_Funcao</formula1>
    </dataValidation>
    <dataValidation type="list" allowBlank="1" showErrorMessage="1" errorTitle="Valor inválido" error="Valor fora da lista controlada (ver folha Listas)." sqref="D2:D213" xr:uid="{00000000-0002-0000-0100-000001000000}">
      <formula1>lst_Presenca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4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6" customWidth="1"/>
    <col min="3" max="3" width="10" customWidth="1"/>
    <col min="4" max="4" width="80" customWidth="1"/>
    <col min="5" max="5" width="30" customWidth="1"/>
    <col min="6" max="6" width="34" customWidth="1"/>
    <col min="7" max="9" width="9" customWidth="1"/>
  </cols>
  <sheetData>
    <row r="1" spans="1:9" ht="17.399999999999999" x14ac:dyDescent="0.3">
      <c r="A1" s="1" t="s">
        <v>90</v>
      </c>
    </row>
    <row r="2" spans="1:9" x14ac:dyDescent="0.3">
      <c r="A2" s="2" t="s">
        <v>91</v>
      </c>
    </row>
    <row r="4" spans="1:9" ht="26.4" x14ac:dyDescent="0.3">
      <c r="A4" s="8" t="s">
        <v>62</v>
      </c>
      <c r="B4" s="8" t="s">
        <v>92</v>
      </c>
      <c r="C4" s="8" t="s">
        <v>93</v>
      </c>
      <c r="D4" s="8" t="s">
        <v>94</v>
      </c>
      <c r="E4" s="8" t="s">
        <v>95</v>
      </c>
      <c r="F4" s="8" t="s">
        <v>96</v>
      </c>
      <c r="G4" s="8" t="s">
        <v>97</v>
      </c>
      <c r="H4" s="10" t="s">
        <v>98</v>
      </c>
      <c r="I4" s="10" t="s">
        <v>99</v>
      </c>
    </row>
    <row r="5" spans="1:9" ht="48" customHeight="1" x14ac:dyDescent="0.3">
      <c r="A5" s="9" t="s">
        <v>66</v>
      </c>
      <c r="B5" s="11">
        <v>1</v>
      </c>
      <c r="C5" s="9" t="s">
        <v>100</v>
      </c>
      <c r="D5" s="9" t="s">
        <v>101</v>
      </c>
      <c r="E5" s="9" t="s">
        <v>102</v>
      </c>
      <c r="F5" s="9" t="s">
        <v>13</v>
      </c>
      <c r="G5" s="11">
        <v>10</v>
      </c>
      <c r="H5" s="12">
        <f t="shared" ref="H5:H14" si="0">TIME(14,30,0)+SUMIFS($G$5:$G$14,$B$5:$B$14,"&lt;"&amp;B5)/1440</f>
        <v>0.60416666666666663</v>
      </c>
      <c r="I5" s="13">
        <f>COUNTIF(tbl_decisoes[Ponto_Agenda],B5)</f>
        <v>0</v>
      </c>
    </row>
    <row r="6" spans="1:9" ht="48" customHeight="1" x14ac:dyDescent="0.3">
      <c r="A6" s="9" t="s">
        <v>66</v>
      </c>
      <c r="B6" s="11">
        <v>2</v>
      </c>
      <c r="C6" s="9" t="s">
        <v>103</v>
      </c>
      <c r="D6" s="9" t="s">
        <v>104</v>
      </c>
      <c r="E6" s="9" t="s">
        <v>105</v>
      </c>
      <c r="F6" s="9" t="s">
        <v>74</v>
      </c>
      <c r="G6" s="11">
        <v>15</v>
      </c>
      <c r="H6" s="12">
        <f t="shared" si="0"/>
        <v>0.61111111111111105</v>
      </c>
      <c r="I6" s="13">
        <f>COUNTIF(tbl_decisoes[Ponto_Agenda],B6)</f>
        <v>0</v>
      </c>
    </row>
    <row r="7" spans="1:9" ht="48" customHeight="1" x14ac:dyDescent="0.3">
      <c r="A7" s="9" t="s">
        <v>66</v>
      </c>
      <c r="B7" s="11">
        <v>3</v>
      </c>
      <c r="C7" s="9" t="s">
        <v>103</v>
      </c>
      <c r="D7" s="9" t="s">
        <v>106</v>
      </c>
      <c r="E7" s="9" t="s">
        <v>107</v>
      </c>
      <c r="F7" s="9" t="s">
        <v>74</v>
      </c>
      <c r="G7" s="11">
        <v>15</v>
      </c>
      <c r="H7" s="12">
        <f t="shared" si="0"/>
        <v>0.62152777777777779</v>
      </c>
      <c r="I7" s="13">
        <f>COUNTIF(tbl_decisoes[Ponto_Agenda],B7)</f>
        <v>1</v>
      </c>
    </row>
    <row r="8" spans="1:9" ht="48" customHeight="1" x14ac:dyDescent="0.3">
      <c r="A8" s="9" t="s">
        <v>66</v>
      </c>
      <c r="B8" s="11">
        <v>4</v>
      </c>
      <c r="C8" s="9" t="s">
        <v>103</v>
      </c>
      <c r="D8" s="9" t="s">
        <v>108</v>
      </c>
      <c r="E8" s="9" t="s">
        <v>109</v>
      </c>
      <c r="F8" s="9" t="s">
        <v>74</v>
      </c>
      <c r="G8" s="11">
        <v>15</v>
      </c>
      <c r="H8" s="12">
        <f t="shared" si="0"/>
        <v>0.63194444444444442</v>
      </c>
      <c r="I8" s="13">
        <f>COUNTIF(tbl_decisoes[Ponto_Agenda],B8)</f>
        <v>0</v>
      </c>
    </row>
    <row r="9" spans="1:9" ht="48" customHeight="1" x14ac:dyDescent="0.3">
      <c r="A9" s="9" t="s">
        <v>66</v>
      </c>
      <c r="B9" s="11">
        <v>5</v>
      </c>
      <c r="C9" s="9" t="s">
        <v>110</v>
      </c>
      <c r="D9" s="9" t="s">
        <v>111</v>
      </c>
      <c r="E9" s="9" t="s">
        <v>112</v>
      </c>
      <c r="F9" s="9" t="s">
        <v>70</v>
      </c>
      <c r="G9" s="11">
        <v>15</v>
      </c>
      <c r="H9" s="12">
        <f t="shared" si="0"/>
        <v>0.64236111111111105</v>
      </c>
      <c r="I9" s="13">
        <f>COUNTIF(tbl_decisoes[Ponto_Agenda],B9)</f>
        <v>0</v>
      </c>
    </row>
    <row r="10" spans="1:9" ht="48" customHeight="1" x14ac:dyDescent="0.3">
      <c r="A10" s="9" t="s">
        <v>66</v>
      </c>
      <c r="B10" s="11">
        <v>6</v>
      </c>
      <c r="C10" s="9" t="s">
        <v>113</v>
      </c>
      <c r="D10" s="9" t="s">
        <v>114</v>
      </c>
      <c r="E10" s="9" t="s">
        <v>115</v>
      </c>
      <c r="F10" s="9" t="s">
        <v>74</v>
      </c>
      <c r="G10" s="11">
        <v>35</v>
      </c>
      <c r="H10" s="12">
        <f t="shared" si="0"/>
        <v>0.65277777777777779</v>
      </c>
      <c r="I10" s="13">
        <f>COUNTIF(tbl_decisoes[Ponto_Agenda],B10)</f>
        <v>2</v>
      </c>
    </row>
    <row r="11" spans="1:9" ht="48" customHeight="1" x14ac:dyDescent="0.3">
      <c r="A11" s="9" t="s">
        <v>66</v>
      </c>
      <c r="B11" s="11">
        <v>7</v>
      </c>
      <c r="C11" s="9" t="s">
        <v>116</v>
      </c>
      <c r="D11" s="9" t="s">
        <v>117</v>
      </c>
      <c r="E11" s="9" t="s">
        <v>118</v>
      </c>
      <c r="F11" s="9" t="s">
        <v>72</v>
      </c>
      <c r="G11" s="11">
        <v>15</v>
      </c>
      <c r="H11" s="12">
        <f t="shared" si="0"/>
        <v>0.67708333333333326</v>
      </c>
      <c r="I11" s="13">
        <f>COUNTIF(tbl_decisoes[Ponto_Agenda],B11)</f>
        <v>1</v>
      </c>
    </row>
    <row r="12" spans="1:9" ht="48" customHeight="1" x14ac:dyDescent="0.3">
      <c r="A12" s="9" t="s">
        <v>66</v>
      </c>
      <c r="B12" s="11">
        <v>8</v>
      </c>
      <c r="C12" s="9" t="s">
        <v>119</v>
      </c>
      <c r="D12" s="9" t="s">
        <v>120</v>
      </c>
      <c r="E12" s="9" t="s">
        <v>121</v>
      </c>
      <c r="F12" s="9" t="s">
        <v>88</v>
      </c>
      <c r="G12" s="11">
        <v>10</v>
      </c>
      <c r="H12" s="12">
        <f t="shared" si="0"/>
        <v>0.6875</v>
      </c>
      <c r="I12" s="13">
        <f>COUNTIF(tbl_decisoes[Ponto_Agenda],B12)</f>
        <v>0</v>
      </c>
    </row>
    <row r="13" spans="1:9" ht="48" customHeight="1" x14ac:dyDescent="0.3">
      <c r="A13" s="9" t="s">
        <v>66</v>
      </c>
      <c r="B13" s="11">
        <v>9</v>
      </c>
      <c r="C13" s="9" t="s">
        <v>122</v>
      </c>
      <c r="D13" s="9" t="s">
        <v>123</v>
      </c>
      <c r="E13" s="9" t="s">
        <v>124</v>
      </c>
      <c r="F13" s="9" t="s">
        <v>74</v>
      </c>
      <c r="G13" s="11">
        <v>15</v>
      </c>
      <c r="H13" s="12">
        <f t="shared" si="0"/>
        <v>0.69444444444444442</v>
      </c>
      <c r="I13" s="13">
        <f>COUNTIF(tbl_decisoes[Ponto_Agenda],B13)</f>
        <v>1</v>
      </c>
    </row>
    <row r="14" spans="1:9" ht="48" customHeight="1" x14ac:dyDescent="0.3">
      <c r="A14" s="9" t="s">
        <v>66</v>
      </c>
      <c r="B14" s="11">
        <v>10</v>
      </c>
      <c r="C14" s="9" t="s">
        <v>125</v>
      </c>
      <c r="D14" s="9" t="s">
        <v>126</v>
      </c>
      <c r="E14" s="9" t="s">
        <v>127</v>
      </c>
      <c r="F14" s="9" t="s">
        <v>13</v>
      </c>
      <c r="G14" s="11">
        <v>20</v>
      </c>
      <c r="H14" s="12">
        <f t="shared" si="0"/>
        <v>0.70486111111111105</v>
      </c>
      <c r="I14" s="13">
        <f>COUNTIF(tbl_decisoes[Ponto_Agenda],B14)</f>
        <v>0</v>
      </c>
    </row>
  </sheetData>
  <dataValidations count="2">
    <dataValidation type="list" allowBlank="1" showErrorMessage="1" errorTitle="Valor inválido" error="Valor fora da lista controlada (ver folha Listas)." sqref="C5:C214" xr:uid="{00000000-0002-0000-0200-000000000000}">
      <formula1>lst_Entrada932</formula1>
    </dataValidation>
    <dataValidation type="list" allowBlank="1" showErrorMessage="1" errorTitle="Valor inválido" error="Valor fora da lista controlada (ver folha Listas)." sqref="F5:F214" xr:uid="{00000000-0002-0000-0200-000001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6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7" customWidth="1"/>
    <col min="3" max="3" width="30" customWidth="1"/>
    <col min="4" max="5" width="56" customWidth="1"/>
    <col min="6" max="6" width="11" customWidth="1"/>
    <col min="7" max="7" width="36" customWidth="1"/>
    <col min="8" max="8" width="30" customWidth="1"/>
    <col min="9" max="9" width="11" customWidth="1"/>
    <col min="10" max="10" width="18" customWidth="1"/>
    <col min="11" max="11" width="9" customWidth="1"/>
  </cols>
  <sheetData>
    <row r="1" spans="1:11" ht="39.6" x14ac:dyDescent="0.3">
      <c r="A1" s="8" t="s">
        <v>128</v>
      </c>
      <c r="B1" s="8" t="s">
        <v>129</v>
      </c>
      <c r="C1" s="8" t="s">
        <v>130</v>
      </c>
      <c r="D1" s="8" t="s">
        <v>131</v>
      </c>
      <c r="E1" s="8" t="s">
        <v>132</v>
      </c>
      <c r="F1" s="8" t="s">
        <v>133</v>
      </c>
      <c r="G1" s="8" t="s">
        <v>134</v>
      </c>
      <c r="H1" s="8" t="s">
        <v>135</v>
      </c>
      <c r="I1" s="8" t="s">
        <v>136</v>
      </c>
      <c r="J1" s="8" t="s">
        <v>137</v>
      </c>
      <c r="K1" s="10" t="s">
        <v>138</v>
      </c>
    </row>
    <row r="2" spans="1:11" ht="109.95" customHeight="1" x14ac:dyDescent="0.3">
      <c r="A2" s="9" t="s">
        <v>139</v>
      </c>
      <c r="B2" s="11">
        <v>6</v>
      </c>
      <c r="C2" s="9" t="s">
        <v>140</v>
      </c>
      <c r="D2" s="9" t="s">
        <v>141</v>
      </c>
      <c r="E2" s="9" t="s">
        <v>142</v>
      </c>
      <c r="F2" s="14">
        <v>14100</v>
      </c>
      <c r="G2" s="9" t="s">
        <v>143</v>
      </c>
      <c r="H2" s="9" t="s">
        <v>74</v>
      </c>
      <c r="I2" s="15">
        <v>46477</v>
      </c>
      <c r="J2" s="9" t="s">
        <v>144</v>
      </c>
      <c r="K2" s="13">
        <f>I2-DataRef</f>
        <v>90</v>
      </c>
    </row>
    <row r="3" spans="1:11" ht="109.95" customHeight="1" x14ac:dyDescent="0.3">
      <c r="A3" s="9" t="s">
        <v>145</v>
      </c>
      <c r="B3" s="11">
        <v>3</v>
      </c>
      <c r="C3" s="9" t="s">
        <v>146</v>
      </c>
      <c r="D3" s="9" t="s">
        <v>147</v>
      </c>
      <c r="E3" s="9" t="s">
        <v>148</v>
      </c>
      <c r="F3" s="14">
        <v>26000</v>
      </c>
      <c r="G3" s="9" t="s">
        <v>149</v>
      </c>
      <c r="H3" s="9" t="s">
        <v>81</v>
      </c>
      <c r="I3" s="15">
        <v>46387</v>
      </c>
      <c r="J3" s="9" t="s">
        <v>150</v>
      </c>
      <c r="K3" s="13">
        <f>I3-DataRef</f>
        <v>0</v>
      </c>
    </row>
    <row r="4" spans="1:11" ht="109.95" customHeight="1" x14ac:dyDescent="0.3">
      <c r="A4" s="9" t="s">
        <v>151</v>
      </c>
      <c r="B4" s="11">
        <v>7</v>
      </c>
      <c r="C4" s="9" t="s">
        <v>152</v>
      </c>
      <c r="D4" s="9" t="s">
        <v>153</v>
      </c>
      <c r="E4" s="9" t="s">
        <v>154</v>
      </c>
      <c r="F4" s="14">
        <v>38000</v>
      </c>
      <c r="G4" s="9" t="s">
        <v>155</v>
      </c>
      <c r="H4" s="9" t="s">
        <v>77</v>
      </c>
      <c r="I4" s="15">
        <v>46387</v>
      </c>
      <c r="J4" s="9" t="s">
        <v>156</v>
      </c>
      <c r="K4" s="13">
        <f>I4-DataRef</f>
        <v>0</v>
      </c>
    </row>
    <row r="5" spans="1:11" ht="109.95" customHeight="1" x14ac:dyDescent="0.3">
      <c r="A5" s="9" t="s">
        <v>157</v>
      </c>
      <c r="B5" s="11">
        <v>9</v>
      </c>
      <c r="C5" s="9" t="s">
        <v>140</v>
      </c>
      <c r="D5" s="9" t="s">
        <v>158</v>
      </c>
      <c r="E5" s="9" t="s">
        <v>159</v>
      </c>
      <c r="F5" s="14">
        <v>4000</v>
      </c>
      <c r="G5" s="9" t="s">
        <v>160</v>
      </c>
      <c r="H5" s="9" t="s">
        <v>72</v>
      </c>
      <c r="I5" s="15">
        <v>46477</v>
      </c>
      <c r="J5" s="9" t="s">
        <v>161</v>
      </c>
      <c r="K5" s="13">
        <f>I5-DataRef</f>
        <v>90</v>
      </c>
    </row>
    <row r="6" spans="1:11" ht="109.95" customHeight="1" x14ac:dyDescent="0.3">
      <c r="A6" s="9" t="s">
        <v>162</v>
      </c>
      <c r="B6" s="11">
        <v>6</v>
      </c>
      <c r="C6" s="9" t="s">
        <v>163</v>
      </c>
      <c r="D6" s="9" t="s">
        <v>164</v>
      </c>
      <c r="E6" s="9" t="s">
        <v>165</v>
      </c>
      <c r="F6" s="14">
        <v>0</v>
      </c>
      <c r="G6" s="9" t="s">
        <v>166</v>
      </c>
      <c r="H6" s="9" t="s">
        <v>74</v>
      </c>
      <c r="I6" s="15">
        <v>46356</v>
      </c>
      <c r="J6" s="9" t="s">
        <v>167</v>
      </c>
      <c r="K6" s="13">
        <f>I6-DataRef</f>
        <v>-31</v>
      </c>
    </row>
  </sheetData>
  <dataValidations count="2">
    <dataValidation type="list" allowBlank="1" showErrorMessage="1" errorTitle="Valor inválido" error="Valor fora da lista controlada (ver folha Listas)." sqref="C2:C206" xr:uid="{00000000-0002-0000-0300-000000000000}">
      <formula1>lst_Saida933</formula1>
    </dataValidation>
    <dataValidation type="list" allowBlank="1" showErrorMessage="1" errorTitle="Valor inválido" error="Valor fora da lista controlada (ver folha Listas)." sqref="H2:H206" xr:uid="{00000000-0002-0000-0300-000001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5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110" customWidth="1"/>
  </cols>
  <sheetData>
    <row r="1" spans="1:2" x14ac:dyDescent="0.3">
      <c r="A1" s="8" t="s">
        <v>168</v>
      </c>
      <c r="B1" s="8" t="s">
        <v>169</v>
      </c>
    </row>
    <row r="2" spans="1:2" ht="31.95" customHeight="1" x14ac:dyDescent="0.3">
      <c r="A2" s="9" t="s">
        <v>170</v>
      </c>
      <c r="B2" s="9" t="s">
        <v>171</v>
      </c>
    </row>
    <row r="3" spans="1:2" ht="31.95" customHeight="1" x14ac:dyDescent="0.3">
      <c r="A3" s="9" t="s">
        <v>172</v>
      </c>
      <c r="B3" s="9" t="s">
        <v>173</v>
      </c>
    </row>
    <row r="4" spans="1:2" ht="31.95" customHeight="1" x14ac:dyDescent="0.3">
      <c r="A4" s="9" t="s">
        <v>174</v>
      </c>
      <c r="B4" s="9" t="s">
        <v>175</v>
      </c>
    </row>
    <row r="5" spans="1:2" ht="31.95" customHeight="1" x14ac:dyDescent="0.3">
      <c r="A5" s="9" t="s">
        <v>176</v>
      </c>
      <c r="B5" s="9" t="s">
        <v>177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E21"/>
  <sheetViews>
    <sheetView showGridLines="0" workbookViewId="0"/>
  </sheetViews>
  <sheetFormatPr defaultRowHeight="14.4" x14ac:dyDescent="0.3"/>
  <cols>
    <col min="1" max="1" width="8" customWidth="1"/>
    <col min="2" max="2" width="12" customWidth="1"/>
    <col min="3" max="3" width="70" customWidth="1"/>
    <col min="4" max="4" width="34" customWidth="1"/>
    <col min="5" max="5" width="10" customWidth="1"/>
  </cols>
  <sheetData>
    <row r="1" spans="1:5" ht="21" x14ac:dyDescent="0.4">
      <c r="A1" s="16" t="s">
        <v>178</v>
      </c>
      <c r="B1" s="17" t="s">
        <v>179</v>
      </c>
      <c r="E1" s="18" t="s">
        <v>4</v>
      </c>
    </row>
    <row r="2" spans="1:5" x14ac:dyDescent="0.3">
      <c r="B2" s="2" t="s">
        <v>180</v>
      </c>
      <c r="E2" s="19" t="s">
        <v>181</v>
      </c>
    </row>
    <row r="3" spans="1:5" x14ac:dyDescent="0.3">
      <c r="A3" s="20"/>
      <c r="B3" s="20"/>
      <c r="C3" s="20"/>
      <c r="D3" s="20"/>
      <c r="E3" s="20"/>
    </row>
    <row r="5" spans="1:5" x14ac:dyDescent="0.3">
      <c r="A5" s="30" t="s">
        <v>182</v>
      </c>
      <c r="B5" s="29"/>
      <c r="C5" s="28" t="s">
        <v>183</v>
      </c>
      <c r="D5" s="29"/>
      <c r="E5" s="29"/>
    </row>
    <row r="6" spans="1:5" x14ac:dyDescent="0.3">
      <c r="A6" s="30" t="s">
        <v>184</v>
      </c>
      <c r="B6" s="29"/>
      <c r="C6" s="28" t="s">
        <v>185</v>
      </c>
      <c r="D6" s="29"/>
      <c r="E6" s="29"/>
    </row>
    <row r="7" spans="1:5" x14ac:dyDescent="0.3">
      <c r="A7" s="30" t="s">
        <v>186</v>
      </c>
      <c r="B7" s="29"/>
      <c r="C7" s="28" t="s">
        <v>187</v>
      </c>
      <c r="D7" s="29"/>
      <c r="E7" s="29"/>
    </row>
    <row r="8" spans="1:5" ht="48" customHeight="1" x14ac:dyDescent="0.3">
      <c r="A8" s="30" t="s">
        <v>28</v>
      </c>
      <c r="B8" s="29"/>
      <c r="C8" s="28" t="str">
        <f>INDEX(Participantes!$B$2:$B$13,1)&amp;", "&amp;INDEX(Participantes!$B$2:$B$13,2)&amp;", "&amp;INDEX(Participantes!$B$2:$B$13,3)&amp;", "&amp;INDEX(Participantes!$B$2:$B$13,4)&amp;", "&amp;INDEX(Participantes!$B$2:$B$13,5)&amp;", "&amp;INDEX(Participantes!$B$2:$B$13,6)&amp;", "&amp;INDEX(Participantes!$B$2:$B$13,7)&amp;", "&amp;INDEX(Participantes!$B$2:$B$13,8)&amp;", "&amp;INDEX(Participantes!$B$2:$B$13,9)&amp;", "&amp;INDEX(Participantes!$B$2:$B$13,10)&amp;", "&amp;INDEX(Participantes!$B$2:$B$13,11)&amp;", "&amp;INDEX(Participantes!$B$2:$B$13,12)</f>
        <v>Diretor Geral (Gestão de Topo), Diretor Industrial, Diretor Financeiro, Gestor do SGA / EHS (Responsável Ambiental), Gerente de Produção, Gerente de Manutenção, Gerente da Qualidade, Responsável de Compras, Responsável de R&amp;D, Responsável de Armazém e Logística, Responsável de Recursos Humanos, Representante dos Trabalhadores (SST/Ambiente)</v>
      </c>
      <c r="D8" s="29"/>
      <c r="E8" s="29"/>
    </row>
    <row r="9" spans="1:5" x14ac:dyDescent="0.3">
      <c r="A9" s="30" t="s">
        <v>188</v>
      </c>
      <c r="B9" s="29"/>
      <c r="C9" s="28" t="s">
        <v>189</v>
      </c>
      <c r="D9" s="29"/>
      <c r="E9" s="29"/>
    </row>
    <row r="11" spans="1:5" x14ac:dyDescent="0.3">
      <c r="A11" s="8" t="s">
        <v>92</v>
      </c>
      <c r="B11" s="8" t="s">
        <v>190</v>
      </c>
      <c r="C11" s="8" t="s">
        <v>191</v>
      </c>
      <c r="D11" s="8" t="s">
        <v>96</v>
      </c>
      <c r="E11" s="8" t="s">
        <v>192</v>
      </c>
    </row>
    <row r="12" spans="1:5" ht="58.05" customHeight="1" x14ac:dyDescent="0.3">
      <c r="A12" s="23">
        <f>INDEX(Ordem_Trabalhos!$B$5:$B$14,1)</f>
        <v>1</v>
      </c>
      <c r="B12" s="24">
        <f>INDEX(Ordem_Trabalhos!$H$5:$H$14,1)</f>
        <v>0.60416666666666663</v>
      </c>
      <c r="C12" s="22" t="str">
        <f>INDEX(Ordem_Trabalhos!$D$5:$D$14,1)&amp;" ["&amp;INDEX(Ordem_Trabalhos!$C$5:$C$14,1)&amp;"]"</f>
        <v>Abertura; estado das ações da revisão pela gestão de 2025 (4 decisões: 3 concluídas, 1 em curso). [9.3.2 a)]</v>
      </c>
      <c r="D12" s="22" t="str">
        <f>INDEX(Ordem_Trabalhos!$F$5:$F$14,1)</f>
        <v>Diretor Geral</v>
      </c>
      <c r="E12" s="23">
        <f>INDEX(Ordem_Trabalhos!$G$5:$G$14,1)</f>
        <v>10</v>
      </c>
    </row>
    <row r="13" spans="1:5" ht="58.05" customHeight="1" x14ac:dyDescent="0.3">
      <c r="A13" s="23">
        <f>INDEX(Ordem_Trabalhos!$B$5:$B$14,2)</f>
        <v>2</v>
      </c>
      <c r="B13" s="24">
        <f>INDEX(Ordem_Trabalhos!$H$5:$H$14,2)</f>
        <v>0.61111111111111105</v>
      </c>
      <c r="C13" s="22" t="str">
        <f>INDEX(Ordem_Trabalhos!$D$5:$D$14,2)&amp;" ["&amp;INDEX(Ordem_Trabalhos!$C$5:$C$14,2)&amp;"]"</f>
        <v>Alterações nas questões externas e internas relevantes, incluindo as condições ambientais: verão de 2026 mais quente (+2 °C), risco de seca, risco de incêndio florestal, preço da energia e mercado de PCR. [9.3.2 b)]</v>
      </c>
      <c r="D13" s="22" t="str">
        <f>INDEX(Ordem_Trabalhos!$F$5:$F$14,2)</f>
        <v>Gestor do SGA / EHS (Responsável Ambiental)</v>
      </c>
      <c r="E13" s="23">
        <f>INDEX(Ordem_Trabalhos!$G$5:$G$14,2)</f>
        <v>15</v>
      </c>
    </row>
    <row r="14" spans="1:5" ht="58.05" customHeight="1" x14ac:dyDescent="0.3">
      <c r="A14" s="23">
        <f>INDEX(Ordem_Trabalhos!$B$5:$B$14,3)</f>
        <v>3</v>
      </c>
      <c r="B14" s="24">
        <f>INDEX(Ordem_Trabalhos!$H$5:$H$14,3)</f>
        <v>0.62152777777777779</v>
      </c>
      <c r="C14" s="22" t="str">
        <f>INDEX(Ordem_Trabalhos!$D$5:$D$14,3)&amp;" ["&amp;INDEX(Ordem_Trabalhos!$C$5:$C$14,3)&amp;"]"</f>
        <v>Necessidades e expectativas das partes interessadas e obrigações de conformidade: PPWR aplicável desde 12/08/2026, regulamento europeu de granulados, reclamação de ruído da vizinhança, pedidos ESG de clientes. [9.3.2 b)]</v>
      </c>
      <c r="D14" s="22" t="str">
        <f>INDEX(Ordem_Trabalhos!$F$5:$F$14,3)</f>
        <v>Gestor do SGA / EHS (Responsável Ambiental)</v>
      </c>
      <c r="E14" s="23">
        <f>INDEX(Ordem_Trabalhos!$G$5:$G$14,3)</f>
        <v>15</v>
      </c>
    </row>
    <row r="15" spans="1:5" ht="58.05" customHeight="1" x14ac:dyDescent="0.3">
      <c r="A15" s="23">
        <f>INDEX(Ordem_Trabalhos!$B$5:$B$14,4)</f>
        <v>4</v>
      </c>
      <c r="B15" s="24">
        <f>INDEX(Ordem_Trabalhos!$H$5:$H$14,4)</f>
        <v>0.63194444444444442</v>
      </c>
      <c r="C15" s="22" t="str">
        <f>INDEX(Ordem_Trabalhos!$D$5:$D$14,4)&amp;" ["&amp;INDEX(Ordem_Trabalhos!$C$5:$C$14,4)&amp;"]"</f>
        <v>Aspetos ambientais significativos (COV da serigrafia, ruído dos compressores, embalagens sem declaração PPWR) e riscos e oportunidades significativos (6 riscos, 1 oportunidade). [9.3.2 b)]</v>
      </c>
      <c r="D15" s="22" t="str">
        <f>INDEX(Ordem_Trabalhos!$F$5:$F$14,4)</f>
        <v>Gestor do SGA / EHS (Responsável Ambiental)</v>
      </c>
      <c r="E15" s="23">
        <f>INDEX(Ordem_Trabalhos!$G$5:$G$14,4)</f>
        <v>15</v>
      </c>
    </row>
    <row r="16" spans="1:5" ht="58.05" customHeight="1" x14ac:dyDescent="0.3">
      <c r="A16" s="23">
        <f>INDEX(Ordem_Trabalhos!$B$5:$B$14,5)</f>
        <v>5</v>
      </c>
      <c r="B16" s="24">
        <f>INDEX(Ordem_Trabalhos!$H$5:$H$14,5)</f>
        <v>0.64236111111111105</v>
      </c>
      <c r="C16" s="22" t="str">
        <f>INDEX(Ordem_Trabalhos!$D$5:$D$14,5)&amp;" ["&amp;INDEX(Ordem_Trabalhos!$C$5:$C$14,5)&amp;"]"</f>
        <v>Grau de cumprimento dos objetivos ambientais OBJ-01 a OBJ-06 (energia, scrap, solvente, PPWR, água, granulado). [9.3.2 c)]</v>
      </c>
      <c r="D16" s="22" t="str">
        <f>INDEX(Ordem_Trabalhos!$F$5:$F$14,5)</f>
        <v>Diretor Industrial</v>
      </c>
      <c r="E16" s="23">
        <f>INDEX(Ordem_Trabalhos!$G$5:$G$14,5)</f>
        <v>15</v>
      </c>
    </row>
    <row r="17" spans="1:5" ht="58.05" customHeight="1" x14ac:dyDescent="0.3">
      <c r="A17" s="23">
        <f>INDEX(Ordem_Trabalhos!$B$5:$B$14,6)</f>
        <v>6</v>
      </c>
      <c r="B17" s="24">
        <f>INDEX(Ordem_Trabalhos!$H$5:$H$14,6)</f>
        <v>0.65277777777777779</v>
      </c>
      <c r="C17" s="22" t="str">
        <f>INDEX(Ordem_Trabalhos!$D$5:$D$14,6)&amp;" ["&amp;INDEX(Ordem_Trabalhos!$C$5:$C$14,6)&amp;"]"</f>
        <v>Desempenho ambiental: tendências de 18 meses dos KPI; desvio de +15% no solvente; não conformidades e ações corretivas (9 NC em 2026); avaliação da conformidade legal (82%, 2 NC); auditoria interna AUD-2026-01 (6 NC, 4 OM). [9.3.2 d)]</v>
      </c>
      <c r="D17" s="22" t="str">
        <f>INDEX(Ordem_Trabalhos!$F$5:$F$14,6)</f>
        <v>Gestor do SGA / EHS (Responsável Ambiental)</v>
      </c>
      <c r="E17" s="23">
        <f>INDEX(Ordem_Trabalhos!$G$5:$G$14,6)</f>
        <v>35</v>
      </c>
    </row>
    <row r="18" spans="1:5" ht="58.05" customHeight="1" x14ac:dyDescent="0.3">
      <c r="A18" s="23">
        <f>INDEX(Ordem_Trabalhos!$B$5:$B$14,7)</f>
        <v>7</v>
      </c>
      <c r="B18" s="24">
        <f>INDEX(Ordem_Trabalhos!$H$5:$H$14,7)</f>
        <v>0.67708333333333326</v>
      </c>
      <c r="C18" s="22" t="str">
        <f>INDEX(Ordem_Trabalhos!$D$5:$D$14,7)&amp;" ["&amp;INDEX(Ordem_Trabalhos!$C$5:$C$14,7)&amp;"]"</f>
        <v>Adequação dos recursos: submedição, recursos para o PPWR, formação de temporários, equipamento de recuperação de solvente. [9.3.2 e)]</v>
      </c>
      <c r="D18" s="22" t="str">
        <f>INDEX(Ordem_Trabalhos!$F$5:$F$14,7)</f>
        <v>Diretor Financeiro</v>
      </c>
      <c r="E18" s="23">
        <f>INDEX(Ordem_Trabalhos!$G$5:$G$14,7)</f>
        <v>15</v>
      </c>
    </row>
    <row r="19" spans="1:5" ht="58.05" customHeight="1" x14ac:dyDescent="0.3">
      <c r="A19" s="23">
        <f>INDEX(Ordem_Trabalhos!$B$5:$B$14,8)</f>
        <v>8</v>
      </c>
      <c r="B19" s="24">
        <f>INDEX(Ordem_Trabalhos!$H$5:$H$14,8)</f>
        <v>0.6875</v>
      </c>
      <c r="C19" s="22" t="str">
        <f>INDEX(Ordem_Trabalhos!$D$5:$D$14,8)&amp;" ["&amp;INDEX(Ordem_Trabalhos!$C$5:$C$14,8)&amp;"]"</f>
        <v>Comunicações relevantes das partes interessadas, incluindo reclamações (ruído) e sugestões dos trabalhadores (caixa Kaizen). [9.3.2 f)]</v>
      </c>
      <c r="D19" s="22" t="str">
        <f>INDEX(Ordem_Trabalhos!$F$5:$F$14,8)</f>
        <v>Representante dos Trabalhadores (SST/Ambiente)</v>
      </c>
      <c r="E19" s="23">
        <f>INDEX(Ordem_Trabalhos!$G$5:$G$14,8)</f>
        <v>10</v>
      </c>
    </row>
    <row r="20" spans="1:5" ht="58.05" customHeight="1" x14ac:dyDescent="0.3">
      <c r="A20" s="23">
        <f>INDEX(Ordem_Trabalhos!$B$5:$B$14,9)</f>
        <v>9</v>
      </c>
      <c r="B20" s="24">
        <f>INDEX(Ordem_Trabalhos!$H$5:$H$14,9)</f>
        <v>0.69444444444444442</v>
      </c>
      <c r="C20" s="22" t="str">
        <f>INDEX(Ordem_Trabalhos!$D$5:$D$14,9)&amp;" ["&amp;INDEX(Ordem_Trabalhos!$C$5:$C$14,9)&amp;"]"</f>
        <v>Oportunidades de melhoria contínua: Kaizen do turno 3, fotovoltaico, preparação do registo EMAS. [9.3.2 g)]</v>
      </c>
      <c r="D20" s="22" t="str">
        <f>INDEX(Ordem_Trabalhos!$F$5:$F$14,9)</f>
        <v>Gestor do SGA / EHS (Responsável Ambiental)</v>
      </c>
      <c r="E20" s="23">
        <f>INDEX(Ordem_Trabalhos!$G$5:$G$14,9)</f>
        <v>15</v>
      </c>
    </row>
    <row r="21" spans="1:5" ht="58.05" customHeight="1" x14ac:dyDescent="0.3">
      <c r="A21" s="23">
        <f>INDEX(Ordem_Trabalhos!$B$5:$B$14,10)</f>
        <v>10</v>
      </c>
      <c r="B21" s="24">
        <f>INDEX(Ordem_Trabalhos!$H$5:$H$14,10)</f>
        <v>0.70486111111111105</v>
      </c>
      <c r="C21" s="22" t="str">
        <f>INDEX(Ordem_Trabalhos!$D$5:$D$14,10)&amp;" ["&amp;INDEX(Ordem_Trabalhos!$C$5:$C$14,10)&amp;"]"</f>
        <v>Conclusões sobre a adequação, suficiência e eficácia do SGA; decisões, recursos e alterações ao SGA; encerramento. [9.3.3]</v>
      </c>
      <c r="D21" s="22" t="str">
        <f>INDEX(Ordem_Trabalhos!$F$5:$F$14,10)</f>
        <v>Diretor Geral</v>
      </c>
      <c r="E21" s="23">
        <f>INDEX(Ordem_Trabalhos!$G$5:$G$14,10)</f>
        <v>20</v>
      </c>
    </row>
  </sheetData>
  <mergeCells count="10">
    <mergeCell ref="C5:E5"/>
    <mergeCell ref="A7:B7"/>
    <mergeCell ref="A9:B9"/>
    <mergeCell ref="A5:B5"/>
    <mergeCell ref="C8:E8"/>
    <mergeCell ref="C9:E9"/>
    <mergeCell ref="C7:E7"/>
    <mergeCell ref="A8:B8"/>
    <mergeCell ref="A6:B6"/>
    <mergeCell ref="C6:E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B49"/>
  <sheetViews>
    <sheetView showGridLines="0" workbookViewId="0"/>
  </sheetViews>
  <sheetFormatPr defaultRowHeight="14.4" x14ac:dyDescent="0.3"/>
  <cols>
    <col min="1" max="1" width="28" customWidth="1"/>
    <col min="2" max="2" width="110" customWidth="1"/>
  </cols>
  <sheetData>
    <row r="1" spans="1:2" ht="21" x14ac:dyDescent="0.4">
      <c r="A1" s="16" t="s">
        <v>178</v>
      </c>
      <c r="B1" s="18" t="s">
        <v>4</v>
      </c>
    </row>
    <row r="2" spans="1:2" x14ac:dyDescent="0.3">
      <c r="B2" s="2" t="s">
        <v>180</v>
      </c>
    </row>
    <row r="3" spans="1:2" x14ac:dyDescent="0.3">
      <c r="A3" s="20"/>
      <c r="B3" s="20"/>
    </row>
    <row r="5" spans="1:2" x14ac:dyDescent="0.3">
      <c r="A5" s="21" t="s">
        <v>193</v>
      </c>
      <c r="B5" s="28" t="s">
        <v>194</v>
      </c>
    </row>
    <row r="6" spans="1:2" x14ac:dyDescent="0.3">
      <c r="A6" s="21" t="s">
        <v>195</v>
      </c>
      <c r="B6" s="28" t="str">
        <f>COUNTIF(Participantes!$D$2:$D$13,"Presente")&amp;" de "&amp;COUNTA(Participantes!$B$2:$B$13)&amp;" convocados presentes"</f>
        <v>11 de 12 convocados presentes</v>
      </c>
    </row>
    <row r="8" spans="1:2" x14ac:dyDescent="0.3">
      <c r="A8" s="25" t="str">
        <f>"DECISÃO "&amp;INDEX(Ata_Decisoes!$A$2:$A$6,1)&amp;" (ponto "&amp;INDEX(Ata_Decisoes!$B$2:$B$6,1)&amp;")"</f>
        <v>DECISÃO RG-26-D01 (ponto 6)</v>
      </c>
    </row>
    <row r="9" spans="1:2" ht="48" customHeight="1" x14ac:dyDescent="0.3">
      <c r="A9" s="21" t="s">
        <v>196</v>
      </c>
      <c r="B9" s="28" t="str">
        <f>INDEX(Ata_Decisoes!$D$2:$D$6,1)</f>
        <v>O consumo específico de solvente de limpeza na serigrafia subiu 15% em jun–ago/2026 com a produção estável; o aspeto (COV) é significativo (IRA 40) e o solvente usado é enviado como resíduo perigoso. As causas confirmadas são recipientes abertos, a SS-001 após o overhaul e um operador temporário sem formação.</v>
      </c>
    </row>
    <row r="10" spans="1:2" ht="48" customHeight="1" x14ac:dyDescent="0.3">
      <c r="A10" s="21" t="s">
        <v>197</v>
      </c>
      <c r="B10" s="28" t="str">
        <f>INDEX(Ata_Decisoes!$E$2:$E$6,1)</f>
        <v>Aprovar a compra de uma unidade de recuperação de solvente (destilador de 60 L) e de 4 dispensadores de segurança, e tornar obrigatória a formação FOR-02 antes de qualquer temporário trabalhar na serigrafia.</v>
      </c>
    </row>
    <row r="11" spans="1:2" x14ac:dyDescent="0.3">
      <c r="A11" s="21" t="s">
        <v>198</v>
      </c>
      <c r="B11" s="28" t="str">
        <f>FIXED(INDEX(Ata_Decisoes!$F$2:$F$6,1),0)&amp;" € — "&amp;INDEX(Ata_Decisoes!$G$2:$G$6,1)</f>
        <v>14 100 € — Gestor do SGA (0,1 ETI); chefe de serigrafia; fornecedor do destilador</v>
      </c>
    </row>
    <row r="12" spans="1:2" x14ac:dyDescent="0.3">
      <c r="A12" s="21" t="s">
        <v>199</v>
      </c>
      <c r="B12" s="28" t="str">
        <f>INDEX(Ata_Decisoes!$H$2:$H$6,1)&amp;" — até "&amp;TEXT(DAY(INDEX(Ata_Decisoes!$I$2:$I$6,1)),"00")&amp;"/"&amp;TEXT(MONTH(INDEX(Ata_Decisoes!$I$2:$I$6,1)),"00")&amp;"/"&amp;YEAR(INDEX(Ata_Decisoes!$I$2:$I$6,1))</f>
        <v>Gestor do SGA / EHS (Responsável Ambiental) — até 31/03/2027</v>
      </c>
    </row>
    <row r="13" spans="1:2" x14ac:dyDescent="0.3">
      <c r="A13" s="21" t="s">
        <v>200</v>
      </c>
      <c r="B13" s="28" t="str">
        <f>INDEX(Ata_Decisoes!$J$2:$J$6,1)</f>
        <v>PAM-26-13; PAM-26-08</v>
      </c>
    </row>
    <row r="15" spans="1:2" x14ac:dyDescent="0.3">
      <c r="A15" s="25" t="str">
        <f>"DECISÃO "&amp;INDEX(Ata_Decisoes!$A$2:$A$6,2)&amp;" (ponto "&amp;INDEX(Ata_Decisoes!$B$2:$B$6,2)&amp;")"</f>
        <v>DECISÃO RG-26-D02 (ponto 3)</v>
      </c>
    </row>
    <row r="16" spans="1:2" ht="48" customHeight="1" x14ac:dyDescent="0.3">
      <c r="A16" s="21" t="s">
        <v>196</v>
      </c>
      <c r="B16" s="28" t="str">
        <f>INDEX(Ata_Decisoes!$D$2:$D$6,2)</f>
        <v>O PPWR aplica-se desde 12/08/2026 e só 9 de 22 famílias (41%) têm documentação técnica e declaração UE de conformidade (NC legal); os clientes alimentares e farmacêuticos já pedem as declarações.</v>
      </c>
    </row>
    <row r="17" spans="1:2" ht="48" customHeight="1" x14ac:dyDescent="0.3">
      <c r="A17" s="21" t="s">
        <v>197</v>
      </c>
      <c r="B17" s="28" t="str">
        <f>INDEX(Ata_Decisoes!$E$2:$E$6,2)</f>
        <v>Contratar consultoria especializada em PPWR, afetar um técnico de qualidade/ambiente a 50% durante 6 meses e priorizar as famílias por volume de vendas; o incumprimento passa a ser risco estratégico acompanhado mensalmente pela gestão.</v>
      </c>
    </row>
    <row r="18" spans="1:2" x14ac:dyDescent="0.3">
      <c r="A18" s="21" t="s">
        <v>198</v>
      </c>
      <c r="B18" s="28" t="str">
        <f>FIXED(INDEX(Ata_Decisoes!$F$2:$F$6,2),0)&amp;" € — "&amp;INDEX(Ata_Decisoes!$G$2:$G$6,2)</f>
        <v>26 000 € — Responsável de R&amp;D; técnico Q/A (0,5 ETI, 6 meses); consultor externo</v>
      </c>
    </row>
    <row r="19" spans="1:2" x14ac:dyDescent="0.3">
      <c r="A19" s="21" t="s">
        <v>199</v>
      </c>
      <c r="B19" s="28" t="str">
        <f>INDEX(Ata_Decisoes!$H$2:$H$6,2)&amp;" — até "&amp;TEXT(DAY(INDEX(Ata_Decisoes!$I$2:$I$6,2)),"00")&amp;"/"&amp;TEXT(MONTH(INDEX(Ata_Decisoes!$I$2:$I$6,2)),"00")&amp;"/"&amp;YEAR(INDEX(Ata_Decisoes!$I$2:$I$6,2))</f>
        <v>Responsável de R&amp;D — até 31/12/2026</v>
      </c>
    </row>
    <row r="20" spans="1:2" x14ac:dyDescent="0.3">
      <c r="A20" s="21" t="s">
        <v>200</v>
      </c>
      <c r="B20" s="28" t="str">
        <f>INDEX(Ata_Decisoes!$J$2:$J$6,2)</f>
        <v>PAM-26-10</v>
      </c>
    </row>
    <row r="22" spans="1:2" x14ac:dyDescent="0.3">
      <c r="A22" s="25" t="str">
        <f>"DECISÃO "&amp;INDEX(Ata_Decisoes!$A$2:$A$6,3)&amp;" (ponto "&amp;INDEX(Ata_Decisoes!$B$2:$B$6,3)&amp;")"</f>
        <v>DECISÃO RG-26-D03 (ponto 7)</v>
      </c>
    </row>
    <row r="23" spans="1:2" ht="48" customHeight="1" x14ac:dyDescent="0.3">
      <c r="A23" s="21" t="s">
        <v>196</v>
      </c>
      <c r="B23" s="28" t="str">
        <f>INDEX(Ata_Decisoes!$D$2:$D$6,3)</f>
        <v>Sem submedição não é possível demonstrar o desempenho de energia e água (RO-02, nível -6) nem medir o efeito das ações; o ar comprimido tem ≈ 25% de fugas.</v>
      </c>
    </row>
    <row r="24" spans="1:2" ht="48" customHeight="1" x14ac:dyDescent="0.3">
      <c r="A24" s="21" t="s">
        <v>197</v>
      </c>
      <c r="B24" s="28" t="str">
        <f>INDEX(Ata_Decisoes!$E$2:$E$6,3)</f>
        <v>Aprovar o CAPEX de submedição (6 analisadores + 3 contadores) e do variador de velocidade do compressor, e submeter candidatura ao Portugal 2030 para cofinanciamento.</v>
      </c>
    </row>
    <row r="25" spans="1:2" x14ac:dyDescent="0.3">
      <c r="A25" s="21" t="s">
        <v>198</v>
      </c>
      <c r="B25" s="28" t="str">
        <f>FIXED(INDEX(Ata_Decisoes!$F$2:$F$6,3),0)&amp;" € — "&amp;INDEX(Ata_Decisoes!$G$2:$G$6,3)</f>
        <v>38 000 € — Gerente de Manutenção; técnico de utilidades; instalador</v>
      </c>
    </row>
    <row r="26" spans="1:2" x14ac:dyDescent="0.3">
      <c r="A26" s="21" t="s">
        <v>199</v>
      </c>
      <c r="B26" s="28" t="str">
        <f>INDEX(Ata_Decisoes!$H$2:$H$6,3)&amp;" — até "&amp;TEXT(DAY(INDEX(Ata_Decisoes!$I$2:$I$6,3)),"00")&amp;"/"&amp;TEXT(MONTH(INDEX(Ata_Decisoes!$I$2:$I$6,3)),"00")&amp;"/"&amp;YEAR(INDEX(Ata_Decisoes!$I$2:$I$6,3))</f>
        <v>Gerente de Manutenção — até 31/12/2026</v>
      </c>
    </row>
    <row r="27" spans="1:2" x14ac:dyDescent="0.3">
      <c r="A27" s="21" t="s">
        <v>200</v>
      </c>
      <c r="B27" s="28" t="str">
        <f>INDEX(Ata_Decisoes!$J$2:$J$6,3)</f>
        <v>PAM-26-01; PAM-26-02</v>
      </c>
    </row>
    <row r="29" spans="1:2" x14ac:dyDescent="0.3">
      <c r="A29" s="25" t="str">
        <f>"DECISÃO "&amp;INDEX(Ata_Decisoes!$A$2:$A$6,4)&amp;" (ponto "&amp;INDEX(Ata_Decisoes!$B$2:$B$6,4)&amp;")"</f>
        <v>DECISÃO RG-26-D04 (ponto 9)</v>
      </c>
    </row>
    <row r="30" spans="1:2" ht="48" customHeight="1" x14ac:dyDescent="0.3">
      <c r="A30" s="21" t="s">
        <v>196</v>
      </c>
      <c r="B30" s="28" t="str">
        <f>INDEX(Ata_Decisoes!$D$2:$D$6,4)</f>
        <v>Oportunidade RO-09: fotovoltaico em ≈ 9.000 m² de cobertura; clientes pedem dados de carbono; o registo EMAS daria acesso a clientes públicos e a menos inspeções.</v>
      </c>
    </row>
    <row r="31" spans="1:2" ht="48" customHeight="1" x14ac:dyDescent="0.3">
      <c r="A31" s="21" t="s">
        <v>197</v>
      </c>
      <c r="B31" s="28" t="str">
        <f>INDEX(Ata_Decisoes!$E$2:$E$6,4)</f>
        <v>Encomendar o estudo de viabilidade de uma UPAC de ≈ 1 MWp e preparar o diagnóstico para o registo EMAS em 2027 (declaração ambiental com os 6 indicadores principais).</v>
      </c>
    </row>
    <row r="32" spans="1:2" x14ac:dyDescent="0.3">
      <c r="A32" s="21" t="s">
        <v>198</v>
      </c>
      <c r="B32" s="28" t="str">
        <f>FIXED(INDEX(Ata_Decisoes!$F$2:$F$6,4),0)&amp;" € — "&amp;INDEX(Ata_Decisoes!$G$2:$G$6,4)</f>
        <v>4 000 € — Diretor Financeiro; Gestor do SGA</v>
      </c>
    </row>
    <row r="33" spans="1:2" x14ac:dyDescent="0.3">
      <c r="A33" s="21" t="s">
        <v>199</v>
      </c>
      <c r="B33" s="28" t="str">
        <f>INDEX(Ata_Decisoes!$H$2:$H$6,4)&amp;" — até "&amp;TEXT(DAY(INDEX(Ata_Decisoes!$I$2:$I$6,4)),"00")&amp;"/"&amp;TEXT(MONTH(INDEX(Ata_Decisoes!$I$2:$I$6,4)),"00")&amp;"/"&amp;YEAR(INDEX(Ata_Decisoes!$I$2:$I$6,4))</f>
        <v>Diretor Financeiro — até 31/03/2027</v>
      </c>
    </row>
    <row r="34" spans="1:2" x14ac:dyDescent="0.3">
      <c r="A34" s="21" t="s">
        <v>200</v>
      </c>
      <c r="B34" s="28" t="str">
        <f>INDEX(Ata_Decisoes!$J$2:$J$6,4)</f>
        <v>PAM-26-18</v>
      </c>
    </row>
    <row r="36" spans="1:2" x14ac:dyDescent="0.3">
      <c r="A36" s="25" t="str">
        <f>"DECISÃO "&amp;INDEX(Ata_Decisoes!$A$2:$A$6,5)&amp;" (ponto "&amp;INDEX(Ata_Decisoes!$B$2:$B$6,5)&amp;")"</f>
        <v>DECISÃO RG-26-D05 (ponto 6)</v>
      </c>
    </row>
    <row r="37" spans="1:2" ht="48" customHeight="1" x14ac:dyDescent="0.3">
      <c r="A37" s="21" t="s">
        <v>196</v>
      </c>
      <c r="B37" s="28" t="str">
        <f>INDEX(Ata_Decisoes!$D$2:$D$6,5)</f>
        <v>A auditoria AUD-2026-01 detetou que a substituição dos compressores não passou por avaliação ambiental (requisito novo 6.3 da ISO 14001:2026), o que originou a NC legal de ruído.</v>
      </c>
    </row>
    <row r="38" spans="1:2" ht="48" customHeight="1" x14ac:dyDescent="0.3">
      <c r="A38" s="21" t="s">
        <v>197</v>
      </c>
      <c r="B38" s="28" t="str">
        <f>INDEX(Ata_Decisoes!$E$2:$E$6,5)</f>
        <v>Aprovar o procedimento PR-SGA-06 'Planeamento de alterações' com checklist ambiental/legal obrigatória antes de qualquer investimento em equipamento, processo, layout ou material.</v>
      </c>
    </row>
    <row r="39" spans="1:2" x14ac:dyDescent="0.3">
      <c r="A39" s="21" t="s">
        <v>198</v>
      </c>
      <c r="B39" s="28" t="str">
        <f>FIXED(INDEX(Ata_Decisoes!$F$2:$F$6,5),0)&amp;" € — "&amp;INDEX(Ata_Decisoes!$G$2:$G$6,5)</f>
        <v>0 € — Gestor do SGA; Diretor Industrial</v>
      </c>
    </row>
    <row r="40" spans="1:2" x14ac:dyDescent="0.3">
      <c r="A40" s="21" t="s">
        <v>199</v>
      </c>
      <c r="B40" s="28" t="str">
        <f>INDEX(Ata_Decisoes!$H$2:$H$6,5)&amp;" — até "&amp;TEXT(DAY(INDEX(Ata_Decisoes!$I$2:$I$6,5)),"00")&amp;"/"&amp;TEXT(MONTH(INDEX(Ata_Decisoes!$I$2:$I$6,5)),"00")&amp;"/"&amp;YEAR(INDEX(Ata_Decisoes!$I$2:$I$6,5))</f>
        <v>Gestor do SGA / EHS (Responsável Ambiental) — até 30/11/2026</v>
      </c>
    </row>
    <row r="41" spans="1:2" x14ac:dyDescent="0.3">
      <c r="A41" s="21" t="s">
        <v>200</v>
      </c>
      <c r="B41" s="28" t="str">
        <f>INDEX(Ata_Decisoes!$J$2:$J$6,5)</f>
        <v>PAM-26-17</v>
      </c>
    </row>
    <row r="43" spans="1:2" x14ac:dyDescent="0.3">
      <c r="A43" s="25" t="s">
        <v>201</v>
      </c>
    </row>
    <row r="44" spans="1:2" ht="31.95" customHeight="1" x14ac:dyDescent="0.3">
      <c r="A44" s="21" t="str">
        <f>INDEX(Conclusoes!$A$2:$A$5,1)</f>
        <v>Adequação</v>
      </c>
      <c r="B44" s="28" t="str">
        <f>INDEX(Conclusoes!$B$2:$B$5,1)</f>
        <v>O SGA continua adequado ao contexto da Plasticom, mas tem de integrar o PPWR, o regulamento de granulados e a gestão de alterações (6.3).</v>
      </c>
    </row>
    <row r="45" spans="1:2" ht="31.95" customHeight="1" x14ac:dyDescent="0.3">
      <c r="A45" s="21" t="str">
        <f>INDEX(Conclusoes!$A$2:$A$5,2)</f>
        <v>Suficiência</v>
      </c>
      <c r="B45" s="28" t="str">
        <f>INDEX(Conclusoes!$B$2:$B$5,2)</f>
        <v>Recursos insuficientes em medição e em conformidade de produto: reforçados pelas decisões D02 e D03.</v>
      </c>
    </row>
    <row r="46" spans="1:2" ht="31.95" customHeight="1" x14ac:dyDescent="0.3">
      <c r="A46" s="21" t="str">
        <f>INDEX(Conclusoes!$A$2:$A$5,3)</f>
        <v>Eficácia</v>
      </c>
      <c r="B46" s="28" t="str">
        <f>INDEX(Conclusoes!$B$2:$B$5,3)</f>
        <v>Eficácia parcial: 2 de 6 objetivos no caminho previsto (energia, scrap); solvente e água com desvio; 1 de 2 ações de NC verificadas como eficazes.</v>
      </c>
    </row>
    <row r="47" spans="1:2" ht="31.95" customHeight="1" x14ac:dyDescent="0.3">
      <c r="A47" s="21" t="str">
        <f>INDEX(Conclusoes!$A$2:$A$5,4)</f>
        <v>Política Ambiental</v>
      </c>
      <c r="B47" s="28" t="str">
        <f>INDEX(Conclusoes!$B$2:$B$5,4)</f>
        <v>Rev. 02 (junho/2026) mantém-se adequada; não é necessária alteração.</v>
      </c>
    </row>
    <row r="49" spans="1:1" x14ac:dyDescent="0.3">
      <c r="A49" s="19" t="s">
        <v>202</v>
      </c>
    </row>
  </sheetData>
  <mergeCells count="31">
    <mergeCell ref="B47"/>
    <mergeCell ref="B16"/>
    <mergeCell ref="B46"/>
    <mergeCell ref="B31"/>
    <mergeCell ref="B27"/>
    <mergeCell ref="B18"/>
    <mergeCell ref="B39"/>
    <mergeCell ref="B23"/>
    <mergeCell ref="B17"/>
    <mergeCell ref="B44"/>
    <mergeCell ref="B38"/>
    <mergeCell ref="B34"/>
    <mergeCell ref="B19"/>
    <mergeCell ref="B37"/>
    <mergeCell ref="B5"/>
    <mergeCell ref="B45"/>
    <mergeCell ref="B41"/>
    <mergeCell ref="B32"/>
    <mergeCell ref="B26"/>
    <mergeCell ref="B25"/>
    <mergeCell ref="B12"/>
    <mergeCell ref="B11"/>
    <mergeCell ref="B13"/>
    <mergeCell ref="B10"/>
    <mergeCell ref="B40"/>
    <mergeCell ref="B9"/>
    <mergeCell ref="B30"/>
    <mergeCell ref="B33"/>
    <mergeCell ref="B6"/>
    <mergeCell ref="B24"/>
    <mergeCell ref="B20"/>
  </mergeCells>
  <pageMargins left="0.75" right="0.75" top="1" bottom="1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21" customWidth="1"/>
    <col min="3" max="3" width="16" customWidth="1"/>
    <col min="4" max="5" width="48" customWidth="1"/>
  </cols>
  <sheetData>
    <row r="1" spans="1:5" x14ac:dyDescent="0.3">
      <c r="A1" s="18" t="s">
        <v>203</v>
      </c>
    </row>
    <row r="2" spans="1:5" x14ac:dyDescent="0.3">
      <c r="A2" s="26" t="s">
        <v>204</v>
      </c>
      <c r="B2" s="26" t="s">
        <v>65</v>
      </c>
      <c r="C2" s="26" t="s">
        <v>205</v>
      </c>
      <c r="D2" s="26" t="s">
        <v>206</v>
      </c>
      <c r="E2" s="26" t="s">
        <v>63</v>
      </c>
    </row>
    <row r="3" spans="1:5" x14ac:dyDescent="0.3">
      <c r="A3" s="27">
        <v>46387</v>
      </c>
      <c r="B3" s="6" t="s">
        <v>69</v>
      </c>
      <c r="C3" s="6" t="s">
        <v>100</v>
      </c>
      <c r="D3" s="6" t="s">
        <v>207</v>
      </c>
      <c r="E3" s="6" t="s">
        <v>67</v>
      </c>
    </row>
    <row r="4" spans="1:5" x14ac:dyDescent="0.3">
      <c r="B4" s="6" t="s">
        <v>87</v>
      </c>
      <c r="C4" s="6" t="s">
        <v>103</v>
      </c>
      <c r="D4" s="6" t="s">
        <v>140</v>
      </c>
      <c r="E4" s="6" t="s">
        <v>70</v>
      </c>
    </row>
    <row r="5" spans="1:5" x14ac:dyDescent="0.3">
      <c r="B5" s="6" t="s">
        <v>208</v>
      </c>
      <c r="C5" s="6" t="s">
        <v>110</v>
      </c>
      <c r="D5" s="6" t="s">
        <v>163</v>
      </c>
      <c r="E5" s="6" t="s">
        <v>74</v>
      </c>
    </row>
    <row r="6" spans="1:5" x14ac:dyDescent="0.3">
      <c r="C6" s="6" t="s">
        <v>113</v>
      </c>
      <c r="D6" s="6" t="s">
        <v>152</v>
      </c>
      <c r="E6" s="6" t="s">
        <v>76</v>
      </c>
    </row>
    <row r="7" spans="1:5" x14ac:dyDescent="0.3">
      <c r="C7" s="6" t="s">
        <v>116</v>
      </c>
      <c r="D7" s="6" t="s">
        <v>209</v>
      </c>
      <c r="E7" s="6" t="s">
        <v>77</v>
      </c>
    </row>
    <row r="8" spans="1:5" x14ac:dyDescent="0.3">
      <c r="C8" s="6" t="s">
        <v>119</v>
      </c>
      <c r="D8" s="6" t="s">
        <v>210</v>
      </c>
      <c r="E8" s="6" t="s">
        <v>78</v>
      </c>
    </row>
    <row r="9" spans="1:5" x14ac:dyDescent="0.3">
      <c r="C9" s="6" t="s">
        <v>122</v>
      </c>
      <c r="D9" s="6" t="s">
        <v>146</v>
      </c>
      <c r="E9" s="6" t="s">
        <v>83</v>
      </c>
    </row>
    <row r="10" spans="1:5" x14ac:dyDescent="0.3">
      <c r="C10" s="6" t="s">
        <v>125</v>
      </c>
      <c r="E10" s="6" t="s">
        <v>80</v>
      </c>
    </row>
    <row r="11" spans="1:5" x14ac:dyDescent="0.3">
      <c r="E11" s="6" t="s">
        <v>81</v>
      </c>
    </row>
    <row r="12" spans="1:5" x14ac:dyDescent="0.3">
      <c r="E12" s="6" t="s">
        <v>85</v>
      </c>
    </row>
    <row r="13" spans="1:5" x14ac:dyDescent="0.3">
      <c r="E13" s="6" t="s">
        <v>72</v>
      </c>
    </row>
    <row r="14" spans="1:5" x14ac:dyDescent="0.3">
      <c r="E14" s="6" t="s">
        <v>211</v>
      </c>
    </row>
    <row r="15" spans="1:5" x14ac:dyDescent="0.3">
      <c r="E15" s="6" t="s">
        <v>212</v>
      </c>
    </row>
    <row r="16" spans="1:5" x14ac:dyDescent="0.3">
      <c r="E16" s="6" t="s">
        <v>213</v>
      </c>
    </row>
    <row r="17" spans="5:5" x14ac:dyDescent="0.3">
      <c r="E17" s="6" t="s">
        <v>214</v>
      </c>
    </row>
    <row r="18" spans="5:5" x14ac:dyDescent="0.3">
      <c r="E18" s="6" t="s">
        <v>215</v>
      </c>
    </row>
    <row r="19" spans="5:5" x14ac:dyDescent="0.3">
      <c r="E19" s="6" t="s">
        <v>216</v>
      </c>
    </row>
    <row r="20" spans="5:5" x14ac:dyDescent="0.3">
      <c r="E20" s="6" t="s">
        <v>217</v>
      </c>
    </row>
    <row r="21" spans="5:5" x14ac:dyDescent="0.3">
      <c r="E21" s="6" t="s">
        <v>218</v>
      </c>
    </row>
    <row r="22" spans="5:5" x14ac:dyDescent="0.3">
      <c r="E22" s="6" t="s">
        <v>219</v>
      </c>
    </row>
    <row r="23" spans="5:5" x14ac:dyDescent="0.3">
      <c r="E23" s="6" t="s">
        <v>88</v>
      </c>
    </row>
    <row r="24" spans="5:5" x14ac:dyDescent="0.3">
      <c r="E24" s="6" t="s">
        <v>220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221</v>
      </c>
      <c r="B1" s="8" t="s">
        <v>222</v>
      </c>
      <c r="C1" s="8" t="s">
        <v>223</v>
      </c>
      <c r="D1" s="8" t="s">
        <v>224</v>
      </c>
      <c r="E1" s="8" t="s">
        <v>225</v>
      </c>
      <c r="F1" s="8" t="s">
        <v>226</v>
      </c>
      <c r="G1" s="8" t="s">
        <v>227</v>
      </c>
      <c r="H1" s="8" t="s">
        <v>228</v>
      </c>
      <c r="I1" s="8" t="s">
        <v>229</v>
      </c>
    </row>
    <row r="2" spans="1:9" x14ac:dyDescent="0.3">
      <c r="A2" s="22" t="s">
        <v>28</v>
      </c>
      <c r="B2" s="22" t="s">
        <v>230</v>
      </c>
      <c r="C2" s="22" t="s">
        <v>62</v>
      </c>
      <c r="D2" s="22" t="s">
        <v>231</v>
      </c>
      <c r="E2" s="22" t="s">
        <v>232</v>
      </c>
      <c r="F2" s="22" t="s">
        <v>233</v>
      </c>
      <c r="G2" s="22"/>
      <c r="H2" s="22" t="s">
        <v>234</v>
      </c>
      <c r="I2" s="22" t="s">
        <v>235</v>
      </c>
    </row>
    <row r="3" spans="1:9" x14ac:dyDescent="0.3">
      <c r="A3" s="22" t="s">
        <v>28</v>
      </c>
      <c r="B3" s="22" t="s">
        <v>230</v>
      </c>
      <c r="C3" s="22" t="s">
        <v>63</v>
      </c>
      <c r="D3" s="22" t="s">
        <v>231</v>
      </c>
      <c r="E3" s="22" t="s">
        <v>232</v>
      </c>
      <c r="F3" s="22" t="s">
        <v>236</v>
      </c>
      <c r="G3" s="22" t="s">
        <v>237</v>
      </c>
      <c r="H3" s="22" t="s">
        <v>234</v>
      </c>
      <c r="I3" s="22"/>
    </row>
    <row r="4" spans="1:9" x14ac:dyDescent="0.3">
      <c r="A4" s="22" t="s">
        <v>28</v>
      </c>
      <c r="B4" s="22" t="s">
        <v>230</v>
      </c>
      <c r="C4" s="22" t="s">
        <v>64</v>
      </c>
      <c r="D4" s="22" t="s">
        <v>231</v>
      </c>
      <c r="E4" s="22" t="s">
        <v>232</v>
      </c>
      <c r="F4" s="22" t="s">
        <v>238</v>
      </c>
      <c r="G4" s="22"/>
      <c r="H4" s="22" t="s">
        <v>234</v>
      </c>
      <c r="I4" s="22"/>
    </row>
    <row r="5" spans="1:9" x14ac:dyDescent="0.3">
      <c r="A5" s="22" t="s">
        <v>28</v>
      </c>
      <c r="B5" s="22" t="s">
        <v>230</v>
      </c>
      <c r="C5" s="22" t="s">
        <v>65</v>
      </c>
      <c r="D5" s="22" t="s">
        <v>231</v>
      </c>
      <c r="E5" s="22" t="s">
        <v>232</v>
      </c>
      <c r="F5" s="22" t="s">
        <v>239</v>
      </c>
      <c r="G5" s="22" t="s">
        <v>240</v>
      </c>
      <c r="H5" s="22" t="s">
        <v>234</v>
      </c>
      <c r="I5" s="22"/>
    </row>
    <row r="6" spans="1:9" x14ac:dyDescent="0.3">
      <c r="A6" s="22" t="s">
        <v>30</v>
      </c>
      <c r="B6" s="22" t="s">
        <v>241</v>
      </c>
      <c r="C6" s="22" t="s">
        <v>62</v>
      </c>
      <c r="D6" s="22" t="s">
        <v>231</v>
      </c>
      <c r="E6" s="22" t="s">
        <v>232</v>
      </c>
      <c r="F6" s="22" t="s">
        <v>233</v>
      </c>
      <c r="G6" s="22"/>
      <c r="H6" s="22" t="s">
        <v>234</v>
      </c>
      <c r="I6" s="22" t="s">
        <v>235</v>
      </c>
    </row>
    <row r="7" spans="1:9" x14ac:dyDescent="0.3">
      <c r="A7" s="22" t="s">
        <v>30</v>
      </c>
      <c r="B7" s="22" t="s">
        <v>241</v>
      </c>
      <c r="C7" s="22" t="s">
        <v>92</v>
      </c>
      <c r="D7" s="22" t="s">
        <v>242</v>
      </c>
      <c r="E7" s="22" t="s">
        <v>232</v>
      </c>
      <c r="F7" s="22" t="s">
        <v>243</v>
      </c>
      <c r="G7" s="22"/>
      <c r="H7" s="22" t="s">
        <v>234</v>
      </c>
      <c r="I7" s="22"/>
    </row>
    <row r="8" spans="1:9" x14ac:dyDescent="0.3">
      <c r="A8" s="22" t="s">
        <v>30</v>
      </c>
      <c r="B8" s="22" t="s">
        <v>241</v>
      </c>
      <c r="C8" s="22" t="s">
        <v>93</v>
      </c>
      <c r="D8" s="22" t="s">
        <v>231</v>
      </c>
      <c r="E8" s="22" t="s">
        <v>232</v>
      </c>
      <c r="F8" s="22" t="s">
        <v>244</v>
      </c>
      <c r="G8" s="22" t="s">
        <v>245</v>
      </c>
      <c r="H8" s="22" t="s">
        <v>234</v>
      </c>
      <c r="I8" s="22"/>
    </row>
    <row r="9" spans="1:9" x14ac:dyDescent="0.3">
      <c r="A9" s="22" t="s">
        <v>30</v>
      </c>
      <c r="B9" s="22" t="s">
        <v>241</v>
      </c>
      <c r="C9" s="22" t="s">
        <v>94</v>
      </c>
      <c r="D9" s="22" t="s">
        <v>231</v>
      </c>
      <c r="E9" s="22" t="s">
        <v>232</v>
      </c>
      <c r="F9" s="22" t="s">
        <v>246</v>
      </c>
      <c r="G9" s="22"/>
      <c r="H9" s="22" t="s">
        <v>234</v>
      </c>
      <c r="I9" s="22"/>
    </row>
    <row r="10" spans="1:9" x14ac:dyDescent="0.3">
      <c r="A10" s="22" t="s">
        <v>30</v>
      </c>
      <c r="B10" s="22" t="s">
        <v>241</v>
      </c>
      <c r="C10" s="22" t="s">
        <v>95</v>
      </c>
      <c r="D10" s="22" t="s">
        <v>231</v>
      </c>
      <c r="E10" s="22" t="s">
        <v>232</v>
      </c>
      <c r="F10" s="22" t="s">
        <v>247</v>
      </c>
      <c r="G10" s="22"/>
      <c r="H10" s="22" t="s">
        <v>234</v>
      </c>
      <c r="I10" s="22"/>
    </row>
    <row r="11" spans="1:9" x14ac:dyDescent="0.3">
      <c r="A11" s="22" t="s">
        <v>30</v>
      </c>
      <c r="B11" s="22" t="s">
        <v>241</v>
      </c>
      <c r="C11" s="22" t="s">
        <v>96</v>
      </c>
      <c r="D11" s="22" t="s">
        <v>231</v>
      </c>
      <c r="E11" s="22" t="s">
        <v>232</v>
      </c>
      <c r="F11" s="22" t="s">
        <v>248</v>
      </c>
      <c r="G11" s="22" t="s">
        <v>237</v>
      </c>
      <c r="H11" s="22" t="s">
        <v>234</v>
      </c>
      <c r="I11" s="22"/>
    </row>
    <row r="12" spans="1:9" x14ac:dyDescent="0.3">
      <c r="A12" s="22" t="s">
        <v>30</v>
      </c>
      <c r="B12" s="22" t="s">
        <v>241</v>
      </c>
      <c r="C12" s="22" t="s">
        <v>97</v>
      </c>
      <c r="D12" s="22" t="s">
        <v>242</v>
      </c>
      <c r="E12" s="22" t="s">
        <v>232</v>
      </c>
      <c r="F12" s="22" t="s">
        <v>249</v>
      </c>
      <c r="G12" s="22"/>
      <c r="H12" s="22" t="s">
        <v>234</v>
      </c>
      <c r="I12" s="22"/>
    </row>
    <row r="13" spans="1:9" x14ac:dyDescent="0.3">
      <c r="A13" s="22" t="s">
        <v>30</v>
      </c>
      <c r="B13" s="22" t="s">
        <v>241</v>
      </c>
      <c r="C13" s="22" t="s">
        <v>98</v>
      </c>
      <c r="D13" s="22" t="s">
        <v>231</v>
      </c>
      <c r="E13" s="22" t="s">
        <v>250</v>
      </c>
      <c r="F13" s="22" t="s">
        <v>251</v>
      </c>
      <c r="G13" s="22"/>
      <c r="H13" s="22" t="s">
        <v>234</v>
      </c>
      <c r="I13" s="22"/>
    </row>
    <row r="14" spans="1:9" x14ac:dyDescent="0.3">
      <c r="A14" s="22" t="s">
        <v>30</v>
      </c>
      <c r="B14" s="22" t="s">
        <v>241</v>
      </c>
      <c r="C14" s="22" t="s">
        <v>99</v>
      </c>
      <c r="D14" s="22" t="s">
        <v>242</v>
      </c>
      <c r="E14" s="22" t="s">
        <v>250</v>
      </c>
      <c r="F14" s="22" t="s">
        <v>252</v>
      </c>
      <c r="G14" s="22"/>
      <c r="H14" s="22" t="s">
        <v>234</v>
      </c>
      <c r="I14" s="22"/>
    </row>
    <row r="15" spans="1:9" x14ac:dyDescent="0.3">
      <c r="A15" s="22" t="s">
        <v>32</v>
      </c>
      <c r="B15" s="22" t="s">
        <v>253</v>
      </c>
      <c r="C15" s="22" t="s">
        <v>128</v>
      </c>
      <c r="D15" s="22" t="s">
        <v>231</v>
      </c>
      <c r="E15" s="22" t="s">
        <v>232</v>
      </c>
      <c r="F15" s="22" t="s">
        <v>254</v>
      </c>
      <c r="G15" s="22"/>
      <c r="H15" s="22" t="s">
        <v>234</v>
      </c>
      <c r="I15" s="22" t="s">
        <v>255</v>
      </c>
    </row>
    <row r="16" spans="1:9" x14ac:dyDescent="0.3">
      <c r="A16" s="22" t="s">
        <v>32</v>
      </c>
      <c r="B16" s="22" t="s">
        <v>253</v>
      </c>
      <c r="C16" s="22" t="s">
        <v>129</v>
      </c>
      <c r="D16" s="22" t="s">
        <v>242</v>
      </c>
      <c r="E16" s="22" t="s">
        <v>232</v>
      </c>
      <c r="F16" s="22" t="s">
        <v>256</v>
      </c>
      <c r="G16" s="22"/>
      <c r="H16" s="22" t="s">
        <v>234</v>
      </c>
      <c r="I16" s="22"/>
    </row>
    <row r="17" spans="1:9" x14ac:dyDescent="0.3">
      <c r="A17" s="22" t="s">
        <v>32</v>
      </c>
      <c r="B17" s="22" t="s">
        <v>253</v>
      </c>
      <c r="C17" s="22" t="s">
        <v>130</v>
      </c>
      <c r="D17" s="22" t="s">
        <v>231</v>
      </c>
      <c r="E17" s="22" t="s">
        <v>232</v>
      </c>
      <c r="F17" s="22" t="s">
        <v>257</v>
      </c>
      <c r="G17" s="22" t="s">
        <v>258</v>
      </c>
      <c r="H17" s="22" t="s">
        <v>234</v>
      </c>
      <c r="I17" s="22"/>
    </row>
    <row r="18" spans="1:9" x14ac:dyDescent="0.3">
      <c r="A18" s="22" t="s">
        <v>32</v>
      </c>
      <c r="B18" s="22" t="s">
        <v>253</v>
      </c>
      <c r="C18" s="22" t="s">
        <v>131</v>
      </c>
      <c r="D18" s="22" t="s">
        <v>231</v>
      </c>
      <c r="E18" s="22" t="s">
        <v>232</v>
      </c>
      <c r="F18" s="22" t="s">
        <v>259</v>
      </c>
      <c r="G18" s="22"/>
      <c r="H18" s="22" t="s">
        <v>234</v>
      </c>
      <c r="I18" s="22"/>
    </row>
    <row r="19" spans="1:9" x14ac:dyDescent="0.3">
      <c r="A19" s="22" t="s">
        <v>32</v>
      </c>
      <c r="B19" s="22" t="s">
        <v>253</v>
      </c>
      <c r="C19" s="22" t="s">
        <v>132</v>
      </c>
      <c r="D19" s="22" t="s">
        <v>231</v>
      </c>
      <c r="E19" s="22" t="s">
        <v>232</v>
      </c>
      <c r="F19" s="22" t="s">
        <v>260</v>
      </c>
      <c r="G19" s="22"/>
      <c r="H19" s="22" t="s">
        <v>234</v>
      </c>
      <c r="I19" s="22"/>
    </row>
    <row r="20" spans="1:9" x14ac:dyDescent="0.3">
      <c r="A20" s="22" t="s">
        <v>32</v>
      </c>
      <c r="B20" s="22" t="s">
        <v>253</v>
      </c>
      <c r="C20" s="22" t="s">
        <v>133</v>
      </c>
      <c r="D20" s="22" t="s">
        <v>261</v>
      </c>
      <c r="E20" s="22" t="s">
        <v>232</v>
      </c>
      <c r="F20" s="22" t="s">
        <v>262</v>
      </c>
      <c r="G20" s="22"/>
      <c r="H20" s="22" t="s">
        <v>234</v>
      </c>
      <c r="I20" s="22"/>
    </row>
    <row r="21" spans="1:9" x14ac:dyDescent="0.3">
      <c r="A21" s="22" t="s">
        <v>32</v>
      </c>
      <c r="B21" s="22" t="s">
        <v>253</v>
      </c>
      <c r="C21" s="22" t="s">
        <v>134</v>
      </c>
      <c r="D21" s="22" t="s">
        <v>231</v>
      </c>
      <c r="E21" s="22" t="s">
        <v>232</v>
      </c>
      <c r="F21" s="22" t="s">
        <v>263</v>
      </c>
      <c r="G21" s="22"/>
      <c r="H21" s="22" t="s">
        <v>234</v>
      </c>
      <c r="I21" s="22"/>
    </row>
    <row r="22" spans="1:9" x14ac:dyDescent="0.3">
      <c r="A22" s="22" t="s">
        <v>32</v>
      </c>
      <c r="B22" s="22" t="s">
        <v>253</v>
      </c>
      <c r="C22" s="22" t="s">
        <v>135</v>
      </c>
      <c r="D22" s="22" t="s">
        <v>231</v>
      </c>
      <c r="E22" s="22" t="s">
        <v>232</v>
      </c>
      <c r="F22" s="22" t="s">
        <v>264</v>
      </c>
      <c r="G22" s="22" t="s">
        <v>237</v>
      </c>
      <c r="H22" s="22" t="s">
        <v>234</v>
      </c>
      <c r="I22" s="22"/>
    </row>
    <row r="23" spans="1:9" ht="26.4" x14ac:dyDescent="0.3">
      <c r="A23" s="22" t="s">
        <v>32</v>
      </c>
      <c r="B23" s="22" t="s">
        <v>253</v>
      </c>
      <c r="C23" s="22" t="s">
        <v>136</v>
      </c>
      <c r="D23" s="22" t="s">
        <v>265</v>
      </c>
      <c r="E23" s="22" t="s">
        <v>232</v>
      </c>
      <c r="F23" s="22" t="s">
        <v>266</v>
      </c>
      <c r="G23" s="22"/>
      <c r="H23" s="22" t="s">
        <v>234</v>
      </c>
      <c r="I23" s="22"/>
    </row>
    <row r="24" spans="1:9" ht="26.4" x14ac:dyDescent="0.3">
      <c r="A24" s="22" t="s">
        <v>32</v>
      </c>
      <c r="B24" s="22" t="s">
        <v>253</v>
      </c>
      <c r="C24" s="22" t="s">
        <v>137</v>
      </c>
      <c r="D24" s="22" t="s">
        <v>231</v>
      </c>
      <c r="E24" s="22" t="s">
        <v>232</v>
      </c>
      <c r="F24" s="22" t="s">
        <v>267</v>
      </c>
      <c r="G24" s="22"/>
      <c r="H24" s="22" t="s">
        <v>234</v>
      </c>
      <c r="I24" s="22" t="s">
        <v>268</v>
      </c>
    </row>
    <row r="25" spans="1:9" x14ac:dyDescent="0.3">
      <c r="A25" s="22" t="s">
        <v>32</v>
      </c>
      <c r="B25" s="22" t="s">
        <v>253</v>
      </c>
      <c r="C25" s="22" t="s">
        <v>138</v>
      </c>
      <c r="D25" s="22" t="s">
        <v>242</v>
      </c>
      <c r="E25" s="22" t="s">
        <v>250</v>
      </c>
      <c r="F25" s="22" t="s">
        <v>269</v>
      </c>
      <c r="G25" s="22"/>
      <c r="H25" s="22" t="s">
        <v>234</v>
      </c>
      <c r="I25" s="22"/>
    </row>
    <row r="26" spans="1:9" x14ac:dyDescent="0.3">
      <c r="A26" s="22" t="s">
        <v>34</v>
      </c>
      <c r="B26" s="22" t="s">
        <v>270</v>
      </c>
      <c r="C26" s="22" t="s">
        <v>168</v>
      </c>
      <c r="D26" s="22" t="s">
        <v>231</v>
      </c>
      <c r="E26" s="22" t="s">
        <v>232</v>
      </c>
      <c r="F26" s="22" t="s">
        <v>271</v>
      </c>
      <c r="G26" s="22"/>
      <c r="H26" s="22" t="s">
        <v>234</v>
      </c>
      <c r="I26" s="22"/>
    </row>
    <row r="27" spans="1:9" x14ac:dyDescent="0.3">
      <c r="A27" s="22" t="s">
        <v>34</v>
      </c>
      <c r="B27" s="22" t="s">
        <v>270</v>
      </c>
      <c r="C27" s="22" t="s">
        <v>169</v>
      </c>
      <c r="D27" s="22" t="s">
        <v>231</v>
      </c>
      <c r="E27" s="22" t="s">
        <v>232</v>
      </c>
      <c r="F27" s="22" t="s">
        <v>272</v>
      </c>
      <c r="G27" s="22"/>
      <c r="H27" s="22" t="s">
        <v>234</v>
      </c>
      <c r="I27" s="2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9</vt:i4>
      </vt:variant>
      <vt:variant>
        <vt:lpstr>Intervalos com Nome</vt:lpstr>
      </vt:variant>
      <vt:variant>
        <vt:i4>10</vt:i4>
      </vt:variant>
    </vt:vector>
  </HeadingPairs>
  <TitlesOfParts>
    <vt:vector size="19" baseType="lpstr">
      <vt:lpstr>00_LEIA-ME</vt:lpstr>
      <vt:lpstr>Participantes</vt:lpstr>
      <vt:lpstr>Ordem_Trabalhos</vt:lpstr>
      <vt:lpstr>Ata_Decisoes</vt:lpstr>
      <vt:lpstr>Conclusoes</vt:lpstr>
      <vt:lpstr>Convocatoria_Impressao</vt:lpstr>
      <vt:lpstr>Ata_Impressao</vt:lpstr>
      <vt:lpstr>Listas</vt:lpstr>
      <vt:lpstr>Dicionario_Dados</vt:lpstr>
      <vt:lpstr>DataRef</vt:lpstr>
      <vt:lpstr>lst_DataReferencia</vt:lpstr>
      <vt:lpstr>lst_Entrada932</vt:lpstr>
      <vt:lpstr>lst_Funcao</vt:lpstr>
      <vt:lpstr>lst_Presenca</vt:lpstr>
      <vt:lpstr>lst_Saida933</vt:lpstr>
      <vt:lpstr>Ata_Decisoes!Títulos_de_Impressão</vt:lpstr>
      <vt:lpstr>Conclusoes!Títulos_de_Impressão</vt:lpstr>
      <vt:lpstr>Ordem_Trabalhos!Títulos_de_Impressão</vt:lpstr>
      <vt:lpstr>Participantes!Títulos_de_Impressão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RG-SGA-15 Revisão pela Gestão 2026 — Ordem de Trabalhos, Participantes e Ata de Decisões</dc:title>
  <dc:subject>SGA NP EN ISO 14001:2026 — Plasticom</dc:subject>
  <dc:creator>Gestor(a) do SGA / EHS</dc:creator>
  <cp:lastModifiedBy>Aline Meireles</cp:lastModifiedBy>
  <dcterms:created xsi:type="dcterms:W3CDTF">2026-09-30T09:57:18Z</dcterms:created>
  <dcterms:modified xsi:type="dcterms:W3CDTF">2026-09-30T09:57:42Z</dcterms:modified>
</cp:coreProperties>
</file>