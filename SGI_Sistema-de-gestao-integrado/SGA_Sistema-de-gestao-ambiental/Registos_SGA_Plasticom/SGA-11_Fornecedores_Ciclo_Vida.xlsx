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9B8177BE-9ADF-49A2-9A74-8DC678C48204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Criterios" sheetId="2" r:id="rId2"/>
    <sheet name="Fornecedores" sheetId="3" r:id="rId3"/>
    <sheet name="Avaliacao_Fornecedor" sheetId="4" r:id="rId4"/>
    <sheet name="Outros_Fornecedores" sheetId="5" r:id="rId5"/>
    <sheet name="Resumo_Atividade_4_4" sheetId="6" r:id="rId6"/>
    <sheet name="Listas" sheetId="7" r:id="rId7"/>
    <sheet name="Dicionario_Dados" sheetId="8" r:id="rId8"/>
  </sheets>
  <definedNames>
    <definedName name="DataRef">Listas!$A$3</definedName>
    <definedName name="lst_Criticidade">Listas!$B$3:$B$5</definedName>
    <definedName name="lst_DataReferencia">Listas!$A$3:$A$3</definedName>
    <definedName name="lst_Funcao">Listas!$F$3:$F$24</definedName>
    <definedName name="lst_PE_Ctrl">Listas!$H$3:$H$4</definedName>
    <definedName name="lst_PE_Rel">Listas!$I$3:$I$5</definedName>
    <definedName name="lst_PE_Res">Listas!$J$3:$J$6</definedName>
    <definedName name="lst_Processo">Listas!$G$3:$G$18</definedName>
    <definedName name="lst_Score">Listas!$C$3:$C$6</definedName>
    <definedName name="lst_SimNao">Listas!$D$3:$D$4</definedName>
    <definedName name="lst_TipoFornecedor">Listas!$E$3:$E$8</definedName>
    <definedName name="_xlnm.Print_Titles" localSheetId="3">Avaliacao_Fornecedor!$1:$1</definedName>
    <definedName name="_xlnm.Print_Titles" localSheetId="1">Criterios!$1:$1</definedName>
    <definedName name="_xlnm.Print_Titles" localSheetId="2">Fornecedores!$4:$4</definedName>
    <definedName name="_xlnm.Print_Titles" localSheetId="4">Outros_Fornecedores!$1:$1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6" l="1"/>
  <c r="B5" i="6"/>
  <c r="B3" i="6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I71" i="4"/>
  <c r="D71" i="4"/>
  <c r="E71" i="4" s="1"/>
  <c r="I70" i="4"/>
  <c r="D70" i="4"/>
  <c r="E70" i="4" s="1"/>
  <c r="I69" i="4"/>
  <c r="D69" i="4"/>
  <c r="E69" i="4" s="1"/>
  <c r="I68" i="4"/>
  <c r="D68" i="4"/>
  <c r="E68" i="4" s="1"/>
  <c r="I67" i="4"/>
  <c r="E67" i="4"/>
  <c r="D67" i="4"/>
  <c r="I66" i="4"/>
  <c r="D66" i="4"/>
  <c r="E66" i="4" s="1"/>
  <c r="I65" i="4"/>
  <c r="D65" i="4"/>
  <c r="E65" i="4" s="1"/>
  <c r="I64" i="4"/>
  <c r="D64" i="4"/>
  <c r="E64" i="4" s="1"/>
  <c r="I63" i="4"/>
  <c r="D63" i="4"/>
  <c r="E63" i="4" s="1"/>
  <c r="I62" i="4"/>
  <c r="D62" i="4"/>
  <c r="E62" i="4" s="1"/>
  <c r="I61" i="4"/>
  <c r="D61" i="4"/>
  <c r="E61" i="4" s="1"/>
  <c r="I60" i="4"/>
  <c r="D60" i="4"/>
  <c r="E60" i="4" s="1"/>
  <c r="I59" i="4"/>
  <c r="E59" i="4"/>
  <c r="D59" i="4"/>
  <c r="I58" i="4"/>
  <c r="D58" i="4"/>
  <c r="E58" i="4" s="1"/>
  <c r="I57" i="4"/>
  <c r="D57" i="4"/>
  <c r="E57" i="4" s="1"/>
  <c r="I56" i="4"/>
  <c r="D56" i="4"/>
  <c r="E56" i="4" s="1"/>
  <c r="I55" i="4"/>
  <c r="D55" i="4"/>
  <c r="E55" i="4" s="1"/>
  <c r="I54" i="4"/>
  <c r="D54" i="4"/>
  <c r="E54" i="4" s="1"/>
  <c r="I53" i="4"/>
  <c r="D53" i="4"/>
  <c r="E53" i="4" s="1"/>
  <c r="I52" i="4"/>
  <c r="E52" i="4"/>
  <c r="D52" i="4"/>
  <c r="I51" i="4"/>
  <c r="E51" i="4"/>
  <c r="D51" i="4"/>
  <c r="I50" i="4"/>
  <c r="D50" i="4"/>
  <c r="E50" i="4" s="1"/>
  <c r="I49" i="4"/>
  <c r="D49" i="4"/>
  <c r="E49" i="4" s="1"/>
  <c r="I48" i="4"/>
  <c r="D48" i="4"/>
  <c r="E48" i="4" s="1"/>
  <c r="I47" i="4"/>
  <c r="D47" i="4"/>
  <c r="E47" i="4" s="1"/>
  <c r="I46" i="4"/>
  <c r="D46" i="4"/>
  <c r="E46" i="4" s="1"/>
  <c r="I45" i="4"/>
  <c r="D45" i="4"/>
  <c r="E45" i="4" s="1"/>
  <c r="I44" i="4"/>
  <c r="E44" i="4"/>
  <c r="D44" i="4"/>
  <c r="I43" i="4"/>
  <c r="E43" i="4"/>
  <c r="D43" i="4"/>
  <c r="I42" i="4"/>
  <c r="D42" i="4"/>
  <c r="E42" i="4" s="1"/>
  <c r="I41" i="4"/>
  <c r="D41" i="4"/>
  <c r="E41" i="4" s="1"/>
  <c r="I40" i="4"/>
  <c r="D40" i="4"/>
  <c r="E40" i="4" s="1"/>
  <c r="I39" i="4"/>
  <c r="D39" i="4"/>
  <c r="E39" i="4" s="1"/>
  <c r="I38" i="4"/>
  <c r="D38" i="4"/>
  <c r="E38" i="4" s="1"/>
  <c r="I37" i="4"/>
  <c r="D37" i="4"/>
  <c r="E37" i="4" s="1"/>
  <c r="I36" i="4"/>
  <c r="E36" i="4"/>
  <c r="D36" i="4"/>
  <c r="I35" i="4"/>
  <c r="E35" i="4"/>
  <c r="D35" i="4"/>
  <c r="I34" i="4"/>
  <c r="D34" i="4"/>
  <c r="E34" i="4" s="1"/>
  <c r="I33" i="4"/>
  <c r="D33" i="4"/>
  <c r="E33" i="4" s="1"/>
  <c r="I32" i="4"/>
  <c r="D32" i="4"/>
  <c r="E32" i="4" s="1"/>
  <c r="I31" i="4"/>
  <c r="D31" i="4"/>
  <c r="E31" i="4" s="1"/>
  <c r="I30" i="4"/>
  <c r="D30" i="4"/>
  <c r="E30" i="4" s="1"/>
  <c r="I29" i="4"/>
  <c r="D29" i="4"/>
  <c r="E29" i="4" s="1"/>
  <c r="I28" i="4"/>
  <c r="E28" i="4"/>
  <c r="D28" i="4"/>
  <c r="I27" i="4"/>
  <c r="E27" i="4"/>
  <c r="D27" i="4"/>
  <c r="I26" i="4"/>
  <c r="D26" i="4"/>
  <c r="E26" i="4" s="1"/>
  <c r="I25" i="4"/>
  <c r="D25" i="4"/>
  <c r="E25" i="4" s="1"/>
  <c r="I24" i="4"/>
  <c r="D24" i="4"/>
  <c r="E24" i="4" s="1"/>
  <c r="I23" i="4"/>
  <c r="D23" i="4"/>
  <c r="E23" i="4" s="1"/>
  <c r="I22" i="4"/>
  <c r="D22" i="4"/>
  <c r="E22" i="4" s="1"/>
  <c r="I21" i="4"/>
  <c r="D21" i="4"/>
  <c r="E21" i="4" s="1"/>
  <c r="I20" i="4"/>
  <c r="E20" i="4"/>
  <c r="D20" i="4"/>
  <c r="I19" i="4"/>
  <c r="E19" i="4"/>
  <c r="D19" i="4"/>
  <c r="I18" i="4"/>
  <c r="D18" i="4"/>
  <c r="E18" i="4" s="1"/>
  <c r="I17" i="4"/>
  <c r="D17" i="4"/>
  <c r="E17" i="4" s="1"/>
  <c r="I16" i="4"/>
  <c r="D16" i="4"/>
  <c r="E16" i="4" s="1"/>
  <c r="I15" i="4"/>
  <c r="D15" i="4"/>
  <c r="E15" i="4" s="1"/>
  <c r="I14" i="4"/>
  <c r="D14" i="4"/>
  <c r="E14" i="4" s="1"/>
  <c r="I13" i="4"/>
  <c r="D13" i="4"/>
  <c r="E13" i="4" s="1"/>
  <c r="I12" i="4"/>
  <c r="E12" i="4"/>
  <c r="D12" i="4"/>
  <c r="I11" i="4"/>
  <c r="E11" i="4"/>
  <c r="D11" i="4"/>
  <c r="I10" i="4"/>
  <c r="D10" i="4"/>
  <c r="E10" i="4" s="1"/>
  <c r="I9" i="4"/>
  <c r="D9" i="4"/>
  <c r="E9" i="4" s="1"/>
  <c r="I8" i="4"/>
  <c r="D8" i="4"/>
  <c r="E8" i="4" s="1"/>
  <c r="I7" i="4"/>
  <c r="D7" i="4"/>
  <c r="E7" i="4" s="1"/>
  <c r="I6" i="4"/>
  <c r="D6" i="4"/>
  <c r="E6" i="4" s="1"/>
  <c r="I5" i="4"/>
  <c r="D5" i="4"/>
  <c r="E5" i="4" s="1"/>
  <c r="I4" i="4"/>
  <c r="P9" i="3" s="1"/>
  <c r="E4" i="4"/>
  <c r="D4" i="4"/>
  <c r="I3" i="4"/>
  <c r="E3" i="4"/>
  <c r="D3" i="4"/>
  <c r="I2" i="4"/>
  <c r="D2" i="4"/>
  <c r="E2" i="4" s="1"/>
  <c r="L14" i="3"/>
  <c r="L13" i="3"/>
  <c r="L12" i="3"/>
  <c r="P11" i="3"/>
  <c r="L11" i="3"/>
  <c r="L10" i="3"/>
  <c r="L9" i="3"/>
  <c r="L8" i="3"/>
  <c r="L7" i="3"/>
  <c r="L6" i="3"/>
  <c r="L5" i="3"/>
  <c r="M12" i="3" l="1"/>
  <c r="N12" i="3" s="1"/>
  <c r="P10" i="3"/>
  <c r="M10" i="3"/>
  <c r="N10" i="3" s="1"/>
  <c r="M13" i="3"/>
  <c r="N13" i="3" s="1"/>
  <c r="R13" i="3" s="1"/>
  <c r="P7" i="3"/>
  <c r="M5" i="3"/>
  <c r="N5" i="3" s="1"/>
  <c r="O5" i="3" s="1"/>
  <c r="M11" i="3"/>
  <c r="N11" i="3" s="1"/>
  <c r="P5" i="3"/>
  <c r="P13" i="3"/>
  <c r="R12" i="3"/>
  <c r="O12" i="3"/>
  <c r="R10" i="3"/>
  <c r="O10" i="3"/>
  <c r="O11" i="3"/>
  <c r="R11" i="3"/>
  <c r="O13" i="3"/>
  <c r="M8" i="3"/>
  <c r="R5" i="3"/>
  <c r="M6" i="3"/>
  <c r="N6" i="3" s="1"/>
  <c r="M7" i="3"/>
  <c r="N7" i="3" s="1"/>
  <c r="M9" i="3"/>
  <c r="N9" i="3" s="1"/>
  <c r="M14" i="3"/>
  <c r="N14" i="3" s="1"/>
  <c r="P6" i="3"/>
  <c r="P8" i="3"/>
  <c r="P12" i="3"/>
  <c r="P14" i="3"/>
  <c r="R14" i="3" l="1"/>
  <c r="O14" i="3"/>
  <c r="O9" i="3"/>
  <c r="R9" i="3"/>
  <c r="R6" i="3"/>
  <c r="O6" i="3"/>
  <c r="O7" i="3"/>
  <c r="R7" i="3"/>
  <c r="N8" i="3"/>
  <c r="R8" i="3" l="1"/>
  <c r="O8" i="3"/>
  <c r="B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Critério.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Critério ambiental.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Peso na pontuação.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Fase do ciclo de vida influenciada.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Um dos 2 critérios da Atividade 4.4.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Como pontuar (0 a 3).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ID do fornecedor (dataset).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Nome.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País.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Materiais fornecidos.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Tipo.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Tipo de contrato.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Anos como fornecedor.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Criticidade ambiental/negócio.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Distância até à Plasticom (km).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Modo de transporte.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Volume anual comprado (t).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Estimativa de emissões do transporte (t.km × fator: rodoviário 0,075; misto marítimo 0,016; marítimo curto 0,04 kgCO2e/t.km).
[calculado]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Pontuação ponderada (0-100%).
[calculado]</t>
        </r>
      </text>
    </comment>
    <comment ref="N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A ≥ 75%; B 50-74%; C &lt; 50%.
[calculado]</t>
        </r>
      </text>
    </comment>
    <comment ref="O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Decisão de compra.
[calculado]</t>
        </r>
      </text>
    </comment>
    <comment ref="P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Critério com menor pontuação (prioridade de melhoria).
[calculado]</t>
        </r>
      </text>
    </comment>
    <comment ref="Q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Data da avaliação.</t>
        </r>
      </text>
    </comment>
    <comment ref="R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Reavaliação: 6 meses (C) ou 12 meses.
[calculado]</t>
        </r>
      </text>
    </comment>
    <comment ref="S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Aspetos ambientais associados.</t>
        </r>
      </text>
    </comment>
    <comment ref="T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Controlo ou influência (ISO 14001:2026 8.1).</t>
        </r>
      </text>
    </comment>
    <comment ref="U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Extensão do controlo ou da influência definida pelo SGA.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Fornecedor.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Critério.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Pontuação 0-3.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Peso do critério.
[calculado]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Score ÷ 3 × peso.
[calculado]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Evidência recolhida.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Data.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Avaliadores.</t>
        </r>
      </text>
    </comment>
    <comment ref="I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Chave técnica (fornecedor|score).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Identificador.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Fornecedor/prestador.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Tipo.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Critérios ambientais exigidos.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Evidência.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Fase influenciada.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Aspetos ambientais associados.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Relevância para os resultados pretendidos do SGA.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Controlo ou influência (ISO 14001:2026 8.1).</t>
        </r>
      </text>
    </comment>
    <comment ref="J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Extensão do controlo ou da influência definida pelo SGA.</t>
        </r>
      </text>
    </comment>
    <comment ref="K1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Como o controlo é exercido.</t>
        </r>
      </text>
    </comment>
    <comment ref="L1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Frequência de verificação.</t>
        </r>
      </text>
    </comment>
    <comment ref="M1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Última verificação.</t>
        </r>
      </text>
    </comment>
    <comment ref="N1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Resultado da última verificação.</t>
        </r>
      </text>
    </comment>
    <comment ref="O1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P1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Automático.
[calculado]</t>
        </r>
      </text>
    </comment>
  </commentList>
</comments>
</file>

<file path=xl/sharedStrings.xml><?xml version="1.0" encoding="utf-8"?>
<sst xmlns="http://schemas.openxmlformats.org/spreadsheetml/2006/main" count="1237" uniqueCount="496">
  <si>
    <t>RG-SGA-11 — Avaliação Ambiental de Fornecedores e Perspetiva de Ciclo de Vida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</si>
  <si>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</si>
  <si>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</si>
  <si>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</si>
  <si>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RG-SGA-11</t>
  </si>
  <si>
    <t>Título</t>
  </si>
  <si>
    <t>Avaliação Ambiental de Fornecedores e Perspetiva de Ciclo de Vida</t>
  </si>
  <si>
    <t>Versão / Revisão</t>
  </si>
  <si>
    <t>01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</si>
  <si>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</si>
  <si>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</si>
  <si>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</si>
  <si>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</si>
  <si>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</si>
  <si>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</si>
  <si>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</si>
  <si>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</si>
  <si>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</si>
  <si>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</si>
  <si>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</si>
  <si>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</si>
  <si>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</si>
  <si>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Definir critérios ambientais ponderados para selecionar e avaliar fornecedores, registar a pontuação por critério com evidência e classificar cada fornecedor (A/B/C) com decisão de compra. Liga a escolha do fornecedor à fase a montante do ciclo de vida do produto.</t>
  </si>
  <si>
    <t>Atividades do curso</t>
  </si>
  <si>
    <t>Atividade 4.4 — Critérios Ambientais na Seleção de Fornecedores (fornecedor crítico: SUP-004 TransAtlantic Polymers, HDPE-PCR e rPET; critérios CRIT-01 e CRIT-03).</t>
  </si>
  <si>
    <t>Requisitos ISO 14001:2026</t>
  </si>
  <si>
    <t>8.1 Planeamento e controlo operacional — controlar ou influenciar processos, produtos e serviços fornecidos externamente (ISO 14001:2026); 6.1.2 (perspetiva de ciclo de vida); 4.3</t>
  </si>
  <si>
    <t>ESTRUTURA DO FICHEIRO</t>
  </si>
  <si>
    <t>Criterios</t>
  </si>
  <si>
    <t>Critérios ambientais ponderados (soma dos pesos = 100%).</t>
  </si>
  <si>
    <t>Fornecedores</t>
  </si>
  <si>
    <t>Fornecedores de resina e masterbatch com pontuação, classe e decisão calculadas.</t>
  </si>
  <si>
    <t>Avaliacao_Fornecedor</t>
  </si>
  <si>
    <t>Pontuação por fornecedor × critério (formato longo, com evidência).</t>
  </si>
  <si>
    <t>Outros_Fornecedores</t>
  </si>
  <si>
    <t>Transportadores, operadores de resíduos e prestadores de serviços: critérios ambientais e tipo/extensão do controlo (ISO 14001:2026 8.1).</t>
  </si>
  <si>
    <t>Resumo_Atividade_4_4</t>
  </si>
  <si>
    <t>Ficha da Atividade 4.4 para o fornecedor crítico SUP-004 (calculada).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</si>
  <si>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</si>
  <si>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</si>
  <si>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</si>
  <si>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</si>
  <si>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</si>
  <si>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</si>
  <si>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</si>
  <si>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</si>
  <si>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</si>
  <si>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</si>
  <si>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</si>
  <si>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</si>
  <si>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</si>
  <si>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</si>
  <si>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</si>
  <si>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</si>
  <si>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</si>
  <si>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</si>
  <si>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Dataset da fábrica</t>
  </si>
  <si>
    <t>IDs SUP-xxx de datasets/dim/dim_supplier.csv (permite cruzar com reclamações a fornecedores e lotes fora de especificação).</t>
  </si>
  <si>
    <t>RG-SGA-02 Riscos</t>
  </si>
  <si>
    <t>RO-05 (qualidade/alegações de PCR) é tratado por esta avaliação (PAM-26-16).</t>
  </si>
  <si>
    <t>ID_Criterio</t>
  </si>
  <si>
    <t>Criterio</t>
  </si>
  <si>
    <t>Peso</t>
  </si>
  <si>
    <t>Fase_Ciclo_Vida</t>
  </si>
  <si>
    <t>Selecionado_Atv_4_4</t>
  </si>
  <si>
    <t>Escala_0a3</t>
  </si>
  <si>
    <t>CRIT-01</t>
  </si>
  <si>
    <t>Conteúdo reciclado certificado por terceiros (EuCertPlast, RecyClass ou ISCC PLUS) ou declaração de origem e rastreabilidade de lote (resina virgem)</t>
  </si>
  <si>
    <t>Aquisição de matéria-prima</t>
  </si>
  <si>
    <t>Sim</t>
  </si>
  <si>
    <t>0 sem declaração · 1 declaração própria · 2 declaração com rastreabilidade de lote · 3 certificação por terceiros</t>
  </si>
  <si>
    <t>CRIT-02</t>
  </si>
  <si>
    <t>Sistema de gestão ambiental certificado (ISO 14001) ou EMAS</t>
  </si>
  <si>
    <t>Aquisição (processo do fornecedor)</t>
  </si>
  <si>
    <t>Não</t>
  </si>
  <si>
    <t>0 nenhum · 1 em implementação · 2 certificado sem objetivos publicados · 3 certificado/EMAS com objetivos e desempenho publicados</t>
  </si>
  <si>
    <t>CRIT-03</t>
  </si>
  <si>
    <t>Prevenção de perdas de granulado (Operation Clean Sweep ou certificação ao abrigo do regulamento UE)</t>
  </si>
  <si>
    <t>Aquisição e transporte</t>
  </si>
  <si>
    <t>0 nenhuma medida · 1 compromisso OCS · 2 OCS com auditoria interna · 3 certificação por terceiros</t>
  </si>
  <si>
    <t>CRIT-04</t>
  </si>
  <si>
    <t>Pegada de carbono do produto (kgCO2e/kg, ISO 14067 ou EPD)</t>
  </si>
  <si>
    <t>0 sem dados · 1 dado genérico · 2 PCF declarado · 3 PCF verificado por terceiros ou EPD</t>
  </si>
  <si>
    <t>CRIT-05</t>
  </si>
  <si>
    <t>Distância e modo de transporte até à Plasticom</t>
  </si>
  <si>
    <t>Transporte</t>
  </si>
  <si>
    <t>0 &gt; 5.000 km marítimo+rodoviário · 1 &gt; 1.500 km · 2 Península Ibérica &gt; 300 km · 3 ≤ 300 km</t>
  </si>
  <si>
    <t>CRIT-06</t>
  </si>
  <si>
    <t>Embalagem retornável / logística reversa (big bags, octabins, paletes)</t>
  </si>
  <si>
    <t>Transporte e fim de vida da embalagem</t>
  </si>
  <si>
    <t>0 embalagem descartável · 1 reciclável · 2 retornável em parte · 3 sistema retornável implementado</t>
  </si>
  <si>
    <t>CRIT-07</t>
  </si>
  <si>
    <t>Conformidade de produto: FDS REACH atualizadas e declaração de metais pesados/substâncias (PPWR)</t>
  </si>
  <si>
    <t>Aquisição e uso</t>
  </si>
  <si>
    <t>0 sem FDS · 1 FDS desatualizada · 2 FDS atualizada · 3 FDS + declaração PPWR/contacto alimentar</t>
  </si>
  <si>
    <t>AVALIAÇÃO AMBIENTAL DE FORNECEDORES — PLASTICOM</t>
  </si>
  <si>
    <t>Pontuação = Σ (score 0-3 ÷ 3 × peso) · Classe A ≥ 75% · B 50-74% · C &lt; 50%</t>
  </si>
  <si>
    <t>ID_Fornecedor</t>
  </si>
  <si>
    <t>Nome</t>
  </si>
  <si>
    <t>Pais</t>
  </si>
  <si>
    <t>Materiais</t>
  </si>
  <si>
    <t>Tipo</t>
  </si>
  <si>
    <t>Tipo_Contrato</t>
  </si>
  <si>
    <t>Anos_Fornecedor</t>
  </si>
  <si>
    <t>Criticidade</t>
  </si>
  <si>
    <t>Distancia_km</t>
  </si>
  <si>
    <t>Modo_Transporte</t>
  </si>
  <si>
    <t>Volume_t_ano</t>
  </si>
  <si>
    <t>tCO2e_Transporte_Est</t>
  </si>
  <si>
    <t>Pontuacao</t>
  </si>
  <si>
    <t>Classe</t>
  </si>
  <si>
    <t>Decisao</t>
  </si>
  <si>
    <t>Criterio_Mais_Fraco</t>
  </si>
  <si>
    <t>Data_Avaliacao</t>
  </si>
  <si>
    <t>Proxima_Avaliacao</t>
  </si>
  <si>
    <t>IDs_Aspetos</t>
  </si>
  <si>
    <t>Tipo_Controlo</t>
  </si>
  <si>
    <t>Extensao_Controlo</t>
  </si>
  <si>
    <t>SUP-001</t>
  </si>
  <si>
    <t>PolyGlobal Resins Corp</t>
  </si>
  <si>
    <t>USA</t>
  </si>
  <si>
    <t>HDPE, HDPE-PCR, LDPE, MDPE</t>
  </si>
  <si>
    <t>Resina / matéria-prima</t>
  </si>
  <si>
    <t>Annual Contract</t>
  </si>
  <si>
    <t>Alta</t>
  </si>
  <si>
    <t>Marítimo + rodoviário</t>
  </si>
  <si>
    <t>AA-001; AA-002</t>
  </si>
  <si>
    <t>Influência</t>
  </si>
  <si>
    <t>Critérios ambientais no contrato e avaliação anual; sem controlo da produção do polímero.</t>
  </si>
  <si>
    <t>SUP-002</t>
  </si>
  <si>
    <t>Meridian Petrochemicals GmbH</t>
  </si>
  <si>
    <t>Germany</t>
  </si>
  <si>
    <t>PP, PP-PCR</t>
  </si>
  <si>
    <t>Rodoviário</t>
  </si>
  <si>
    <t>Contrato com critérios; PP-PCR aceite só com certificado de conteúdo reciclado.</t>
  </si>
  <si>
    <t>SUP-003</t>
  </si>
  <si>
    <t>NorthStar Polymer Solutions</t>
  </si>
  <si>
    <t>PET, PETG</t>
  </si>
  <si>
    <t>Média</t>
  </si>
  <si>
    <t>Critérios ambientais no contrato e avaliação anual.</t>
  </si>
  <si>
    <t>SUP-004</t>
  </si>
  <si>
    <t>TransAtlantic Polymers plc</t>
  </si>
  <si>
    <t>United Kingdom</t>
  </si>
  <si>
    <t>HDPE-PCR, rPET</t>
  </si>
  <si>
    <t>Marítimo curto + rodoviário</t>
  </si>
  <si>
    <t>Controlo</t>
  </si>
  <si>
    <t>PCR/rPET aceite só com certificado por lote e inspeção de receção; auditoria ao reciclador.</t>
  </si>
  <si>
    <t>SUP-005</t>
  </si>
  <si>
    <t>Orient Polymer Industries</t>
  </si>
  <si>
    <t>Singapore</t>
  </si>
  <si>
    <t>PP, PVC</t>
  </si>
  <si>
    <t>Spot Purchase</t>
  </si>
  <si>
    <t>Compra spot bloqueada sem avaliação ambiental; inspeção reforçada de cada lote.</t>
  </si>
  <si>
    <t>SUP-006</t>
  </si>
  <si>
    <t>Zenith Chemicals Group</t>
  </si>
  <si>
    <t>Netherlands</t>
  </si>
  <si>
    <t>HDPE, PET</t>
  </si>
  <si>
    <t>Multi-Year Agreement</t>
  </si>
  <si>
    <t>SUP-007</t>
  </si>
  <si>
    <t>Tarraco Petroquimica S.A.</t>
  </si>
  <si>
    <t>Spain</t>
  </si>
  <si>
    <t>PP, HDPE, LDPE</t>
  </si>
  <si>
    <t>SUP-008</t>
  </si>
  <si>
    <t>Lusomastic Polimeros S.A.</t>
  </si>
  <si>
    <t>Portugal</t>
  </si>
  <si>
    <t>Masterbatch</t>
  </si>
  <si>
    <t>AA-015</t>
  </si>
  <si>
    <t>Aprovação prévia de FDS e restrição de substâncias (SVHC, PFAS).</t>
  </si>
  <si>
    <t>SUP-009</t>
  </si>
  <si>
    <t>FarmaResin Especialidades Ltda</t>
  </si>
  <si>
    <t>Brazil</t>
  </si>
  <si>
    <t>PP-PG, PET-PG</t>
  </si>
  <si>
    <t>AA-001</t>
  </si>
  <si>
    <t>Declaração de conformidade para contacto farmacêutico por lote.</t>
  </si>
  <si>
    <t>SUP-010</t>
  </si>
  <si>
    <t>NutriPolímeros Ibéria S.A.</t>
  </si>
  <si>
    <t>HDPE-FG, PP-FG</t>
  </si>
  <si>
    <t>Declaração de conformidade para contacto alimentar por lote.</t>
  </si>
  <si>
    <t>Score</t>
  </si>
  <si>
    <t>Pontos_Ponderados</t>
  </si>
  <si>
    <t>Evidencia</t>
  </si>
  <si>
    <t>Data</t>
  </si>
  <si>
    <t>Avaliador</t>
  </si>
  <si>
    <t>Chave</t>
  </si>
  <si>
    <t>Declaração de origem com n.º de lote</t>
  </si>
  <si>
    <t>Responsável de Compras + Gestor do SGA</t>
  </si>
  <si>
    <t>Certificado ISO 14001 + relatório de sustentabilidade</t>
  </si>
  <si>
    <t>Certificado de auditoria OCS por terceiros</t>
  </si>
  <si>
    <t>PCF declarado</t>
  </si>
  <si>
    <t>Fora da Europa</t>
  </si>
  <si>
    <t>Embalagem reciclável</t>
  </si>
  <si>
    <t>FDS + declaração PPWR/contacto alimentar</t>
  </si>
  <si>
    <t>Certificado EuCertPlast/RecyClass válido</t>
  </si>
  <si>
    <t>PCF verificado / EPD</t>
  </si>
  <si>
    <t>Europa &gt; 1.500 km</t>
  </si>
  <si>
    <t>Big bags retornáveis em parte</t>
  </si>
  <si>
    <t>Compromisso OCS + auditoria interna</t>
  </si>
  <si>
    <t>Valor genérico de base de dados</t>
  </si>
  <si>
    <t>Declaração do fornecedor sem rastreabilidade</t>
  </si>
  <si>
    <t>Declaração de implementação</t>
  </si>
  <si>
    <t>Sem medidas</t>
  </si>
  <si>
    <t>Sem dados</t>
  </si>
  <si>
    <t>Embalagem descartável</t>
  </si>
  <si>
    <t>FDS com mais de 3 anos</t>
  </si>
  <si>
    <t>Península Ibérica</t>
  </si>
  <si>
    <t>Certificado ISO 14001 válido</t>
  </si>
  <si>
    <t>Carta de compromisso OCS</t>
  </si>
  <si>
    <t>≤ 300 km</t>
  </si>
  <si>
    <t>Octabins retornáveis</t>
  </si>
  <si>
    <t>ID</t>
  </si>
  <si>
    <t>Fornecedor</t>
  </si>
  <si>
    <t>Criterios_Ambientais</t>
  </si>
  <si>
    <t>Evidencia_Exigida</t>
  </si>
  <si>
    <t>Relevancia_SGA</t>
  </si>
  <si>
    <t>Mecanismos</t>
  </si>
  <si>
    <t>Frequencia_Verificacao</t>
  </si>
  <si>
    <t>Ultima_Verificacao</t>
  </si>
  <si>
    <t>Resultado</t>
  </si>
  <si>
    <t>Responsavel</t>
  </si>
  <si>
    <t>Alerta</t>
  </si>
  <si>
    <t>TRP-01</t>
  </si>
  <si>
    <t>Transportes Lis (distribuição a clientes)</t>
  </si>
  <si>
    <t>Transportador</t>
  </si>
  <si>
    <t>Frota Euro VI ou superior; consolidação de cargas e reporte de tCO2e/t.km</t>
  </si>
  <si>
    <t>Idade média da frota; licença de transporte; relatório anual de emissões</t>
  </si>
  <si>
    <t>Emissões do transporte (fase Distribuição)</t>
  </si>
  <si>
    <t>AA-040</t>
  </si>
  <si>
    <t>Frota Euro VI; consolidação de cargas; reporte anual de t.km e tCO2e.</t>
  </si>
  <si>
    <t>Contrato; relatório anual</t>
  </si>
  <si>
    <t>Anual</t>
  </si>
  <si>
    <t>Com reservas</t>
  </si>
  <si>
    <t>Responsável de Armazém e Logística</t>
  </si>
  <si>
    <t>OGR-01</t>
  </si>
  <si>
    <t>Recicladora de plásticos (scrap e filme)</t>
  </si>
  <si>
    <t>Operador de gestão de resíduos</t>
  </si>
  <si>
    <t>Licença válida para os códigos LER entregues; operação de reciclagem R3</t>
  </si>
  <si>
    <t>Licença; e-GAR confirmadas; certificado de reciclagem</t>
  </si>
  <si>
    <t>Fim de vida: resíduo convertido em matéria-prima secundária</t>
  </si>
  <si>
    <t>AA-028; AA-029</t>
  </si>
  <si>
    <t>Operador licenciado para os LER entregues; operação R3; e-GAR confirmada.</t>
  </si>
  <si>
    <t>Verificação de licença; e-GAR; certificado de reciclagem</t>
  </si>
  <si>
    <t>Por recolha</t>
  </si>
  <si>
    <t>Conforme</t>
  </si>
  <si>
    <t>OGR-06</t>
  </si>
  <si>
    <t>Operador de resíduos perigosos</t>
  </si>
  <si>
    <t>Licença para 08 03 12*, 15 01 10*, 15 02 02*; valorização preferencial (R13→R1/R2)</t>
  </si>
  <si>
    <t>Licença; e-GAR; destino final</t>
  </si>
  <si>
    <t>Fim de vida dos resíduos perigosos</t>
  </si>
  <si>
    <t>AA-016; AA-026</t>
  </si>
  <si>
    <t>Licença para 08 03 12*, 15 01 10*, 15 02 02*; destino de valorização.</t>
  </si>
  <si>
    <t>Verificação de licença; e-GAR; destino final</t>
  </si>
  <si>
    <t>LIM-01</t>
  </si>
  <si>
    <t>Empresa de limpeza industrial</t>
  </si>
  <si>
    <t>Prestador de serviços</t>
  </si>
  <si>
    <t>Uso de produtos com rótulo ecológico; formação em segregação de resíduos</t>
  </si>
  <si>
    <t>Lista de produtos e FDS; registo de formação</t>
  </si>
  <si>
    <t>Operação: químicos e resíduos gerados nas instalações</t>
  </si>
  <si>
    <t>AA-029</t>
  </si>
  <si>
    <t>Baixa</t>
  </si>
  <si>
    <t>Produtos com rótulo ecológico; segregação de resíduos; formação.</t>
  </si>
  <si>
    <t>PQ-01</t>
  </si>
  <si>
    <t>InkTec Ibérica, Lda. (tintas, diluentes, endurecedores, emulsões)</t>
  </si>
  <si>
    <t>Fornecedor de produtos químicos</t>
  </si>
  <si>
    <t>FDS em PT no formato do Reg. 2020/878; sem CMR 1A/1B nem SVHC; declaração SVHC anual com a versão da lista.</t>
  </si>
  <si>
    <t>FDS; declaração SVHC; ficha técnica</t>
  </si>
  <si>
    <t>Aquisição: substâncias perigosas usadas na serigrafia</t>
  </si>
  <si>
    <t>AA-015; AA-016</t>
  </si>
  <si>
    <t>Aprovação prévia de cada produto (PR-SGA-16); verificação de cada FDS.</t>
  </si>
  <si>
    <t>RG-SGA-21 tbl_fds e tbl_declaracoes</t>
  </si>
  <si>
    <t>Por receção</t>
  </si>
  <si>
    <t>Responsável de Compras</t>
  </si>
  <si>
    <t>PQ-02</t>
  </si>
  <si>
    <t>QuimiLeiria, Lda. (solventes de limpeza e isopropanol)</t>
  </si>
  <si>
    <t>FDS em PT (Reg. 2020/878) com cenários de exposição; embalagens com fecho de segurança.</t>
  </si>
  <si>
    <t>FDS alargada; declaração SVHC</t>
  </si>
  <si>
    <t>Aquisição: solventes (COV)</t>
  </si>
  <si>
    <t>AA-006; AA-014</t>
  </si>
  <si>
    <t>Aprovação prévia; verificação da FDS e dos cenários de exposição.</t>
  </si>
  <si>
    <t>RG-SGA-21 tbl_fds e tbl_ce_reach</t>
  </si>
  <si>
    <t>PQ-03</t>
  </si>
  <si>
    <t>LubriCentro, S.A. (óleos, aerossóis técnicos, colas)</t>
  </si>
  <si>
    <t>FDS em PT; aerossóis sem SVHC (n-hexano, D4/D5/D6); óleos com recolha de embalagens.</t>
  </si>
  <si>
    <t>FDS; declaração SVHC</t>
  </si>
  <si>
    <t>Aquisição: manutenção</t>
  </si>
  <si>
    <t>AA-009; AA-026</t>
  </si>
  <si>
    <t>Aprovação prévia; verificação da FDS.</t>
  </si>
  <si>
    <t>RG-SGA-21 tbl_fds</t>
  </si>
  <si>
    <t>PQ-04</t>
  </si>
  <si>
    <t>GasLis, S.A. (propano, acetileno, oxigénio)</t>
  </si>
  <si>
    <t>Garrafas com inspeção periódica válida; FDS em PT; recolha das garrafas vazias.</t>
  </si>
  <si>
    <t>FDS; certificado de inspeção das garrafas</t>
  </si>
  <si>
    <t>Aquisição: gases</t>
  </si>
  <si>
    <t>AA-015; AA-026</t>
  </si>
  <si>
    <t>Verificação na receção.</t>
  </si>
  <si>
    <t>PQ-05</t>
  </si>
  <si>
    <t>CombustLeiria, Lda. (gasóleo)</t>
  </si>
  <si>
    <t>Descarga com operador presente e bacia; FDS em PT.</t>
  </si>
  <si>
    <t>FDS; guia de entrega</t>
  </si>
  <si>
    <t>Aquisição: combustível</t>
  </si>
  <si>
    <t>Supervisão da descarga.</t>
  </si>
  <si>
    <t>PQ-06</t>
  </si>
  <si>
    <t>LabQuímica, Lda. (reagentes de laboratório)</t>
  </si>
  <si>
    <t>FDS em PT; pequenas embalagens.</t>
  </si>
  <si>
    <t>FDS</t>
  </si>
  <si>
    <t>Aquisição: laboratório</t>
  </si>
  <si>
    <t>Verificação da FDS.</t>
  </si>
  <si>
    <t>Gerente da Qualidade</t>
  </si>
  <si>
    <t>PQ-07</t>
  </si>
  <si>
    <t>FoilTech S.r.l. (foil de hot stamping)</t>
  </si>
  <si>
    <t>Declaração SVHC e PFAS do foil (artigo); declaração para contacto alimentar quando aplicável.</t>
  </si>
  <si>
    <t>Declaração SVHC/PFAS</t>
  </si>
  <si>
    <t>Aquisição: decoração (artigo)</t>
  </si>
  <si>
    <t>AA-018; AA-019</t>
  </si>
  <si>
    <t>Pedido de declaração anual.</t>
  </si>
  <si>
    <t>RG-SGA-21 tbl_declaracoes</t>
  </si>
  <si>
    <t>MAN-01</t>
  </si>
  <si>
    <t>FrioTec — manutenção do chiller e gases fluorados</t>
  </si>
  <si>
    <t>Técnico com certificado F-gas; controlo de fugas semestral; registo no livro do equipamento.</t>
  </si>
  <si>
    <t>Certificado do técnico; relatório de intervenção</t>
  </si>
  <si>
    <t>Produção: emissões de gases fluorados</t>
  </si>
  <si>
    <t>AA-025</t>
  </si>
  <si>
    <t>Contrato com técnico certificado; controlo de fugas semestral do CH-01.</t>
  </si>
  <si>
    <t>Contrato; verificação do certificado; relatório</t>
  </si>
  <si>
    <t>Semestral</t>
  </si>
  <si>
    <t>Gerente de Manutenção</t>
  </si>
  <si>
    <t>TOR-01</t>
  </si>
  <si>
    <t>AquaHigiene — limpeza e desinfeção da torre</t>
  </si>
  <si>
    <t>Plano de prevenção da Legionella; produtos biocidas autorizados.</t>
  </si>
  <si>
    <t>Plano; relatório de limpeza; boletins de Legionella</t>
  </si>
  <si>
    <t>Produção: água e efluente da torre</t>
  </si>
  <si>
    <t>AA-023; AA-024</t>
  </si>
  <si>
    <t>Limpeza e desinfeção semestral; Legionella trimestral (Lei 52/2018).</t>
  </si>
  <si>
    <t>Contrato; plano; boletins</t>
  </si>
  <si>
    <t>Trimestral</t>
  </si>
  <si>
    <t>LAB-01</t>
  </si>
  <si>
    <t>Laboratório acreditado (efluente, emissões, ruído, Legionella)</t>
  </si>
  <si>
    <t>Acreditação ISO/IEC 17025 para os ensaios; métodos normalizados.</t>
  </si>
  <si>
    <t>Anexo técnico de acreditação IPAC; relatórios de ensaio</t>
  </si>
  <si>
    <t>Monitorização (9.1)</t>
  </si>
  <si>
    <t>AA-024; AA-014; AA-022</t>
  </si>
  <si>
    <t>Só ensaios acreditados contam para a conformidade legal.</t>
  </si>
  <si>
    <t>Verificação da acreditação</t>
  </si>
  <si>
    <t>Por ensaio</t>
  </si>
  <si>
    <t>Diretor Geral (Gestão de Topo)</t>
  </si>
  <si>
    <t>ENE-01</t>
  </si>
  <si>
    <t>Comercializador de eletricidade</t>
  </si>
  <si>
    <t>Garantias de origem renováveis; informação do mix energético.</t>
  </si>
  <si>
    <t>Rótulo de energia; garantias de origem</t>
  </si>
  <si>
    <t>Produção: energia</t>
  </si>
  <si>
    <t>AA-031</t>
  </si>
  <si>
    <t>Contrato com 55% de origem renovável; negociação de quota maior.</t>
  </si>
  <si>
    <t>Contrato; rótulo anual</t>
  </si>
  <si>
    <t>Diretor Financeiro</t>
  </si>
  <si>
    <t>MOL-01</t>
  </si>
  <si>
    <t>Moldes Marinha — manutenção de moldes (subcontratada)</t>
  </si>
  <si>
    <t>Gestão dos resíduos e óleos da oficina; devolução de moldes limpos.</t>
  </si>
  <si>
    <t>Declaração de gestão de resíduos</t>
  </si>
  <si>
    <t>Produção (processo externo)</t>
  </si>
  <si>
    <t>AA-012</t>
  </si>
  <si>
    <t>Requisitos ambientais na encomenda; sem acesso à oficina do subcontratado.</t>
  </si>
  <si>
    <t>Requisitos na encomenda</t>
  </si>
  <si>
    <t>Por verificar</t>
  </si>
  <si>
    <t>Gerente de Produção</t>
  </si>
  <si>
    <t>ATIVIDADE 4.4 — CRITÉRIOS AMBIENTAIS NA SELEÇÃO DE FORNECEDORES</t>
  </si>
  <si>
    <t>Fornecedor crítico</t>
  </si>
  <si>
    <t>Porque é crítico</t>
  </si>
  <si>
    <t>Fornece o HDPE-PCR e o rPET das gamas com conteúdo reciclado (≈ 100 t/ano): a qualidade e a origem do reciclado determinam o scrap, as alegações ambientais aos clientes e o cumprimento das metas do PPWR.</t>
  </si>
  <si>
    <t>Critério 1</t>
  </si>
  <si>
    <t>Porquê (critério 1)</t>
  </si>
  <si>
    <t>Garante que o material é realmente reciclado e rastreável (evita alegações falsas — Diretiva (UE) 2024/825) e que o PCR tem qualidade estável, reduzindo scrap e energia desperdiçada.</t>
  </si>
  <si>
    <t>Critério 2</t>
  </si>
  <si>
    <t>Porquê (critério 2)</t>
  </si>
  <si>
    <t>Garante que o fornecedor não perde granulado para o ambiente no fabrico, no enchimento de big bags e no transporte (microplásticos a montante), antecipando o regulamento europeu de granulados.</t>
  </si>
  <si>
    <t>Pontuação / classe / decisão</t>
  </si>
  <si>
    <t>Impacto no ciclo de vida</t>
  </si>
  <si>
    <t>Ao comprar PCR certificado a um fornecedor com prevenção de perdas de granulado, a fase de 'Aquisição de matéria-prima' (a montante) passa a usar menos recurso fóssil virgem e menos energia (o PCR tem pegada ≈ 50-70% inferior ao virgem) e deixa de gerar microplásticos. A embalagem que a Plasticom vende passa a ter conteúdo reciclado comprovado, o que ajuda o cliente a cumprir o PPWR e fecha o ciclo no 'Fim de Vida' (a embalagem usada volta a ser matéria-prima).</t>
  </si>
  <si>
    <t>Logística reversa (auto-estudo)</t>
  </si>
  <si>
    <t>Com o SUP-004 foi acordado devolver os big bags vazios na viagem de retorno do camião (critério CRIT-06): o fornecedor reutiliza-os até 5 vezes, o que evita ≈ 1,2 t/ano de resíduo 15 01 02 na Plasticom.</t>
  </si>
  <si>
    <t>LISTAS CONTROLADAS (domínios de validação de dados) — editar aqui para alterar opções</t>
  </si>
  <si>
    <t>DataReferencia</t>
  </si>
  <si>
    <t>SimNao</t>
  </si>
  <si>
    <t>TipoFornecedor</t>
  </si>
  <si>
    <t>Funcao</t>
  </si>
  <si>
    <t>Processo</t>
  </si>
  <si>
    <t>PE_Ctrl</t>
  </si>
  <si>
    <t>PE_Rel</t>
  </si>
  <si>
    <t>PE_Res</t>
  </si>
  <si>
    <t>REC</t>
  </si>
  <si>
    <t>Diretor Industrial</t>
  </si>
  <si>
    <t>ARQ</t>
  </si>
  <si>
    <t>Gestor do SGA / EHS (Responsável Ambiental)</t>
  </si>
  <si>
    <t>INJ</t>
  </si>
  <si>
    <t>Não conforme</t>
  </si>
  <si>
    <t>SOP</t>
  </si>
  <si>
    <t>SER</t>
  </si>
  <si>
    <t>HFS</t>
  </si>
  <si>
    <t>MOA</t>
  </si>
  <si>
    <t>UTL</t>
  </si>
  <si>
    <t>Responsável de R&amp;D</t>
  </si>
  <si>
    <t>MAN</t>
  </si>
  <si>
    <t>Responsável de Recursos Humanos</t>
  </si>
  <si>
    <t>PRS</t>
  </si>
  <si>
    <t>EXP</t>
  </si>
  <si>
    <t>Operador de Serigrafia</t>
  </si>
  <si>
    <t>LAB</t>
  </si>
  <si>
    <t>Operador de Injeção</t>
  </si>
  <si>
    <t>RD</t>
  </si>
  <si>
    <t>Operador de Sopro (ISBM)</t>
  </si>
  <si>
    <t>CMP</t>
  </si>
  <si>
    <t>Operador de Hot Foil</t>
  </si>
  <si>
    <t>ADM</t>
  </si>
  <si>
    <t>Técnico de Manutenção</t>
  </si>
  <si>
    <t>GER</t>
  </si>
  <si>
    <t>Técnico de Utilidades</t>
  </si>
  <si>
    <t>Operador de Armazém / Empilhador</t>
  </si>
  <si>
    <t>Chefe de Turno</t>
  </si>
  <si>
    <t>Auditor Interno do SGA</t>
  </si>
  <si>
    <t>Representante dos Trabalhadores (SST/Ambiente)</t>
  </si>
  <si>
    <t>Técnico de Qualidade/Ambiente</t>
  </si>
  <si>
    <t>Folha</t>
  </si>
  <si>
    <t>Tabela</t>
  </si>
  <si>
    <t>Coluna</t>
  </si>
  <si>
    <t>Origem</t>
  </si>
  <si>
    <t>Descricao</t>
  </si>
  <si>
    <t>Dominio_Unidade</t>
  </si>
  <si>
    <t>Obrigatorio</t>
  </si>
  <si>
    <t>tbl_criterios</t>
  </si>
  <si>
    <t>Texto</t>
  </si>
  <si>
    <t>Entrada</t>
  </si>
  <si>
    <t>Critério.</t>
  </si>
  <si>
    <t>PK</t>
  </si>
  <si>
    <t>Critério ambiental.</t>
  </si>
  <si>
    <t>Percentagem (fração 0-1)</t>
  </si>
  <si>
    <t>Peso na pontuação.</t>
  </si>
  <si>
    <t>Fase do ciclo de vida influenciada.</t>
  </si>
  <si>
    <t>Um dos 2 critérios da Atividade 4.4.</t>
  </si>
  <si>
    <t>Lista lst_SimNao</t>
  </si>
  <si>
    <t>Como pontuar (0 a 3).</t>
  </si>
  <si>
    <t>tbl_fornecedores</t>
  </si>
  <si>
    <t>ID do fornecedor (dataset).</t>
  </si>
  <si>
    <t>Nome.</t>
  </si>
  <si>
    <t>País.</t>
  </si>
  <si>
    <t>Materiais fornecidos.</t>
  </si>
  <si>
    <t>Tipo.</t>
  </si>
  <si>
    <t>Lista lst_TipoFornecedor</t>
  </si>
  <si>
    <t>Tipo de contrato.</t>
  </si>
  <si>
    <t>Inteiro</t>
  </si>
  <si>
    <t>Anos como fornecedor.</t>
  </si>
  <si>
    <t>Criticidade ambiental/negócio.</t>
  </si>
  <si>
    <t>Lista lst_Criticidade</t>
  </si>
  <si>
    <t>Decimal</t>
  </si>
  <si>
    <t>Distância até à Plasticom (km).</t>
  </si>
  <si>
    <t>Modo de transporte.</t>
  </si>
  <si>
    <t>Volume anual comprado (t).</t>
  </si>
  <si>
    <t>Calculado (fórmula)</t>
  </si>
  <si>
    <t>Estimativa de emissões do transporte (t.km × fator: rodoviário 0,075; misto marítimo 0,016; marítimo curto 0,04 kgCO2e/t.km).</t>
  </si>
  <si>
    <t>Pontuação ponderada (0-100%).</t>
  </si>
  <si>
    <t>A ≥ 75%; B 50-74%; C &lt; 50%.</t>
  </si>
  <si>
    <t>Decisão de compra.</t>
  </si>
  <si>
    <t>Critério com menor pontuação (prioridade de melhoria).</t>
  </si>
  <si>
    <t>Data (aaaa-mm-dd)</t>
  </si>
  <si>
    <t>Data da avaliação.</t>
  </si>
  <si>
    <t>Reavaliação: 6 meses (C) ou 12 meses.</t>
  </si>
  <si>
    <t>Aspetos ambientais associados.</t>
  </si>
  <si>
    <t>FK → tbl_aspetos (RG-SGA-03)</t>
  </si>
  <si>
    <t>Controlo ou influência (ISO 14001:2026 8.1).</t>
  </si>
  <si>
    <t>Lista lst_PE_Ctrl</t>
  </si>
  <si>
    <t>Extensão do controlo ou da influência definida pelo SGA.</t>
  </si>
  <si>
    <t>tbl_avaliacao_fornecedor</t>
  </si>
  <si>
    <t>Fornecedor.</t>
  </si>
  <si>
    <t>FK → tbl_fornecedores</t>
  </si>
  <si>
    <t>FK → tbl_criterios</t>
  </si>
  <si>
    <t>Pontuação 0-3.</t>
  </si>
  <si>
    <t>Lista lst_Score</t>
  </si>
  <si>
    <t>Peso do critério.</t>
  </si>
  <si>
    <t>Score ÷ 3 × peso.</t>
  </si>
  <si>
    <t>Evidência recolhida.</t>
  </si>
  <si>
    <t>Data.</t>
  </si>
  <si>
    <t>Avaliadores.</t>
  </si>
  <si>
    <t>Chave técnica (fornecedor|score).</t>
  </si>
  <si>
    <t>tbl_outros_fornecedores</t>
  </si>
  <si>
    <t>Identificador.</t>
  </si>
  <si>
    <t>Fornecedor/prestador.</t>
  </si>
  <si>
    <t>Critérios ambientais exigidos.</t>
  </si>
  <si>
    <t>Evidência.</t>
  </si>
  <si>
    <t>Fase influenciada.</t>
  </si>
  <si>
    <t>Relevância para os resultados pretendidos do SGA.</t>
  </si>
  <si>
    <t>Lista lst_PE_Rel</t>
  </si>
  <si>
    <t>Como o controlo é exercido.</t>
  </si>
  <si>
    <t>Frequência de verificação.</t>
  </si>
  <si>
    <t>Última verificação.</t>
  </si>
  <si>
    <t>Resultado da última verificação.</t>
  </si>
  <si>
    <t>Lista lst_PE_Res</t>
  </si>
  <si>
    <t>Responsável.</t>
  </si>
  <si>
    <t>Lista lst_Funcao</t>
  </si>
  <si>
    <t>Automático.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</si>
</sst>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yyyy\-mm\-dd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4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65" fontId="2" fillId="0" borderId="0" xfId="0" applyNumberFormat="1" applyFont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49" fontId="2" fillId="0" borderId="1" xfId="0" applyNumberFormat="1" applyFont="1" applyBorder="1" applyAlignment="1">
      <alignment vertical="top" wrapText="1"/>
    </xf>
    <xf numFmtId="9" fontId="2" fillId="0" borderId="1" xfId="0" applyNumberFormat="1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9" fontId="2" fillId="4" borderId="1" xfId="0" applyNumberFormat="1" applyFont="1" applyFill="1" applyBorder="1" applyAlignment="1">
      <alignment vertical="top" wrapText="1"/>
    </xf>
    <xf numFmtId="49" fontId="2" fillId="4" borderId="1" xfId="0" applyNumberFormat="1" applyFont="1" applyFill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65" fontId="2" fillId="4" borderId="1" xfId="0" applyNumberFormat="1" applyFont="1" applyFill="1" applyBorder="1" applyAlignment="1">
      <alignment vertical="top" wrapText="1"/>
    </xf>
    <xf numFmtId="166" fontId="2" fillId="4" borderId="1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0" xfId="0" applyFont="1"/>
    <xf numFmtId="0" fontId="1" fillId="2" borderId="0" xfId="0" applyFont="1" applyFill="1" applyAlignment="1">
      <alignment horizontal="center" vertical="top" wrapText="1"/>
    </xf>
    <xf numFmtId="165" fontId="2" fillId="0" borderId="0" xfId="0" applyNumberFormat="1" applyFont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14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riterios" displayName="tbl_criterios" ref="A1:F8">
  <autoFilter ref="A1:F8" xr:uid="{00000000-0009-0000-0100-000001000000}"/>
  <tableColumns count="6">
    <tableColumn id="1" xr3:uid="{00000000-0010-0000-0000-000001000000}" name="ID_Criterio"/>
    <tableColumn id="2" xr3:uid="{00000000-0010-0000-0000-000002000000}" name="Criterio"/>
    <tableColumn id="3" xr3:uid="{00000000-0010-0000-0000-000003000000}" name="Peso"/>
    <tableColumn id="4" xr3:uid="{00000000-0010-0000-0000-000004000000}" name="Fase_Ciclo_Vida"/>
    <tableColumn id="5" xr3:uid="{00000000-0010-0000-0000-000005000000}" name="Selecionado_Atv_4_4"/>
    <tableColumn id="6" xr3:uid="{00000000-0010-0000-0000-000006000000}" name="Escala_0a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fornecedores" displayName="tbl_fornecedores" ref="A4:U14">
  <autoFilter ref="A4:U14" xr:uid="{00000000-0009-0000-0100-000002000000}"/>
  <tableColumns count="21">
    <tableColumn id="1" xr3:uid="{00000000-0010-0000-0100-000001000000}" name="ID_Fornecedor"/>
    <tableColumn id="2" xr3:uid="{00000000-0010-0000-0100-000002000000}" name="Nome"/>
    <tableColumn id="3" xr3:uid="{00000000-0010-0000-0100-000003000000}" name="Pais"/>
    <tableColumn id="4" xr3:uid="{00000000-0010-0000-0100-000004000000}" name="Materiais"/>
    <tableColumn id="5" xr3:uid="{00000000-0010-0000-0100-000005000000}" name="Tipo"/>
    <tableColumn id="6" xr3:uid="{00000000-0010-0000-0100-000006000000}" name="Tipo_Contrato"/>
    <tableColumn id="7" xr3:uid="{00000000-0010-0000-0100-000007000000}" name="Anos_Fornecedor"/>
    <tableColumn id="8" xr3:uid="{00000000-0010-0000-0100-000008000000}" name="Criticidade"/>
    <tableColumn id="9" xr3:uid="{00000000-0010-0000-0100-000009000000}" name="Distancia_km"/>
    <tableColumn id="10" xr3:uid="{00000000-0010-0000-0100-00000A000000}" name="Modo_Transporte"/>
    <tableColumn id="11" xr3:uid="{00000000-0010-0000-0100-00000B000000}" name="Volume_t_ano"/>
    <tableColumn id="12" xr3:uid="{00000000-0010-0000-0100-00000C000000}" name="tCO2e_Transporte_Est"/>
    <tableColumn id="13" xr3:uid="{00000000-0010-0000-0100-00000D000000}" name="Pontuacao"/>
    <tableColumn id="14" xr3:uid="{00000000-0010-0000-0100-00000E000000}" name="Classe"/>
    <tableColumn id="15" xr3:uid="{00000000-0010-0000-0100-00000F000000}" name="Decisao"/>
    <tableColumn id="16" xr3:uid="{00000000-0010-0000-0100-000010000000}" name="Criterio_Mais_Fraco"/>
    <tableColumn id="17" xr3:uid="{00000000-0010-0000-0100-000011000000}" name="Data_Avaliacao"/>
    <tableColumn id="18" xr3:uid="{00000000-0010-0000-0100-000012000000}" name="Proxima_Avaliacao"/>
    <tableColumn id="19" xr3:uid="{00000000-0010-0000-0100-000013000000}" name="IDs_Aspetos"/>
    <tableColumn id="20" xr3:uid="{00000000-0010-0000-0100-000014000000}" name="Tipo_Controlo"/>
    <tableColumn id="21" xr3:uid="{00000000-0010-0000-0100-000015000000}" name="Extensao_Control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avaliacao_fornecedor" displayName="tbl_avaliacao_fornecedor" ref="A1:I71">
  <autoFilter ref="A1:I71" xr:uid="{00000000-0009-0000-0100-000003000000}"/>
  <tableColumns count="9">
    <tableColumn id="1" xr3:uid="{00000000-0010-0000-0200-000001000000}" name="ID_Fornecedor"/>
    <tableColumn id="2" xr3:uid="{00000000-0010-0000-0200-000002000000}" name="ID_Criterio"/>
    <tableColumn id="3" xr3:uid="{00000000-0010-0000-0200-000003000000}" name="Score"/>
    <tableColumn id="4" xr3:uid="{00000000-0010-0000-0200-000004000000}" name="Peso"/>
    <tableColumn id="5" xr3:uid="{00000000-0010-0000-0200-000005000000}" name="Pontos_Ponderados"/>
    <tableColumn id="6" xr3:uid="{00000000-0010-0000-0200-000006000000}" name="Evidencia"/>
    <tableColumn id="7" xr3:uid="{00000000-0010-0000-0200-000007000000}" name="Data"/>
    <tableColumn id="8" xr3:uid="{00000000-0010-0000-0200-000008000000}" name="Avaliador"/>
    <tableColumn id="9" xr3:uid="{00000000-0010-0000-0200-000009000000}" name="Chav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outros_fornecedores" displayName="tbl_outros_fornecedores" ref="A1:P27">
  <autoFilter ref="A1:P27" xr:uid="{00000000-0009-0000-0100-000004000000}"/>
  <tableColumns count="16">
    <tableColumn id="1" xr3:uid="{00000000-0010-0000-0300-000001000000}" name="ID"/>
    <tableColumn id="2" xr3:uid="{00000000-0010-0000-0300-000002000000}" name="Fornecedor"/>
    <tableColumn id="3" xr3:uid="{00000000-0010-0000-0300-000003000000}" name="Tipo"/>
    <tableColumn id="4" xr3:uid="{00000000-0010-0000-0300-000004000000}" name="Criterios_Ambientais"/>
    <tableColumn id="5" xr3:uid="{00000000-0010-0000-0300-000005000000}" name="Evidencia_Exigida"/>
    <tableColumn id="6" xr3:uid="{00000000-0010-0000-0300-000006000000}" name="Fase_Ciclo_Vida"/>
    <tableColumn id="7" xr3:uid="{00000000-0010-0000-0300-000007000000}" name="IDs_Aspetos"/>
    <tableColumn id="8" xr3:uid="{00000000-0010-0000-0300-000008000000}" name="Relevancia_SGA"/>
    <tableColumn id="9" xr3:uid="{00000000-0010-0000-0300-000009000000}" name="Tipo_Controlo"/>
    <tableColumn id="10" xr3:uid="{00000000-0010-0000-0300-00000A000000}" name="Extensao_Controlo"/>
    <tableColumn id="11" xr3:uid="{00000000-0010-0000-0300-00000B000000}" name="Mecanismos"/>
    <tableColumn id="12" xr3:uid="{00000000-0010-0000-0300-00000C000000}" name="Frequencia_Verificacao"/>
    <tableColumn id="13" xr3:uid="{00000000-0010-0000-0300-00000D000000}" name="Ultima_Verificacao"/>
    <tableColumn id="14" xr3:uid="{00000000-0010-0000-0300-00000E000000}" name="Resultado"/>
    <tableColumn id="15" xr3:uid="{00000000-0010-0000-0300-00000F000000}" name="Responsavel"/>
    <tableColumn id="16" xr3:uid="{00000000-0010-0000-0300-000010000000}" name="Alert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dicionario" displayName="tbl_dicionario" ref="A1:I53">
  <autoFilter ref="A1:I53" xr:uid="{00000000-0009-0000-0100-000005000000}"/>
  <tableColumns count="9">
    <tableColumn id="1" xr3:uid="{00000000-0010-0000-0400-000001000000}" name="Folha"/>
    <tableColumn id="2" xr3:uid="{00000000-0010-0000-0400-000002000000}" name="Tabela"/>
    <tableColumn id="3" xr3:uid="{00000000-0010-0000-0400-000003000000}" name="Coluna"/>
    <tableColumn id="4" xr3:uid="{00000000-0010-0000-0400-000004000000}" name="Tipo"/>
    <tableColumn id="5" xr3:uid="{00000000-0010-0000-0400-000005000000}" name="Origem"/>
    <tableColumn id="6" xr3:uid="{00000000-0010-0000-0400-000006000000}" name="Descricao"/>
    <tableColumn id="7" xr3:uid="{00000000-0010-0000-0400-000007000000}" name="Dominio_Unidade"/>
    <tableColumn id="8" xr3:uid="{00000000-0010-0000-0400-000008000000}" name="Obrigatorio"/>
    <tableColumn id="9" xr3:uid="{00000000-0010-0000-04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39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ht="26.4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6" spans="1:2" x14ac:dyDescent="0.3">
      <c r="A26" s="5" t="s">
        <v>38</v>
      </c>
      <c r="B26" s="6" t="s">
        <v>39</v>
      </c>
    </row>
    <row r="27" spans="1:2" x14ac:dyDescent="0.3">
      <c r="A27" s="5" t="s">
        <v>40</v>
      </c>
      <c r="B27" s="6" t="s">
        <v>41</v>
      </c>
    </row>
    <row r="29" spans="1:2" x14ac:dyDescent="0.3">
      <c r="A29" s="3" t="s">
        <v>42</v>
      </c>
      <c r="B29" s="4"/>
    </row>
    <row r="30" spans="1:2" ht="26.4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ht="26.4" x14ac:dyDescent="0.3">
      <c r="A33" s="5" t="s">
        <v>49</v>
      </c>
      <c r="B33" s="6" t="s">
        <v>50</v>
      </c>
    </row>
    <row r="34" spans="1:2" ht="26.4" x14ac:dyDescent="0.3">
      <c r="A34" s="5" t="s">
        <v>51</v>
      </c>
      <c r="B34" s="6" t="s">
        <v>52</v>
      </c>
    </row>
    <row r="35" spans="1:2" ht="26.4" x14ac:dyDescent="0.3">
      <c r="A35" s="5" t="s">
        <v>53</v>
      </c>
      <c r="B35" s="6" t="s">
        <v>54</v>
      </c>
    </row>
    <row r="37" spans="1:2" x14ac:dyDescent="0.3">
      <c r="A37" s="3" t="s">
        <v>55</v>
      </c>
      <c r="B37" s="4"/>
    </row>
    <row r="38" spans="1:2" x14ac:dyDescent="0.3">
      <c r="A38" s="5" t="s">
        <v>56</v>
      </c>
      <c r="B38" s="6" t="s">
        <v>57</v>
      </c>
    </row>
    <row r="39" spans="1:2" x14ac:dyDescent="0.3">
      <c r="A39" s="5" t="s">
        <v>58</v>
      </c>
      <c r="B39" s="6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60" customWidth="1"/>
    <col min="3" max="3" width="7" customWidth="1"/>
    <col min="4" max="4" width="24" customWidth="1"/>
    <col min="5" max="5" width="10" customWidth="1"/>
    <col min="6" max="6" width="60" customWidth="1"/>
  </cols>
  <sheetData>
    <row r="1" spans="1:6" ht="39.6" x14ac:dyDescent="0.3">
      <c r="A1" s="8" t="s">
        <v>60</v>
      </c>
      <c r="B1" s="8" t="s">
        <v>61</v>
      </c>
      <c r="C1" s="8" t="s">
        <v>62</v>
      </c>
      <c r="D1" s="8" t="s">
        <v>63</v>
      </c>
      <c r="E1" s="8" t="s">
        <v>64</v>
      </c>
      <c r="F1" s="8" t="s">
        <v>65</v>
      </c>
    </row>
    <row r="2" spans="1:6" ht="45" customHeight="1" x14ac:dyDescent="0.3">
      <c r="A2" s="9" t="s">
        <v>66</v>
      </c>
      <c r="B2" s="9" t="s">
        <v>67</v>
      </c>
      <c r="C2" s="10">
        <v>0.25</v>
      </c>
      <c r="D2" s="9" t="s">
        <v>68</v>
      </c>
      <c r="E2" s="9" t="s">
        <v>69</v>
      </c>
      <c r="F2" s="9" t="s">
        <v>70</v>
      </c>
    </row>
    <row r="3" spans="1:6" ht="45" customHeight="1" x14ac:dyDescent="0.3">
      <c r="A3" s="9" t="s">
        <v>71</v>
      </c>
      <c r="B3" s="9" t="s">
        <v>72</v>
      </c>
      <c r="C3" s="10">
        <v>0.2</v>
      </c>
      <c r="D3" s="9" t="s">
        <v>73</v>
      </c>
      <c r="E3" s="9" t="s">
        <v>74</v>
      </c>
      <c r="F3" s="9" t="s">
        <v>75</v>
      </c>
    </row>
    <row r="4" spans="1:6" ht="45" customHeight="1" x14ac:dyDescent="0.3">
      <c r="A4" s="9" t="s">
        <v>76</v>
      </c>
      <c r="B4" s="9" t="s">
        <v>77</v>
      </c>
      <c r="C4" s="10">
        <v>0.15</v>
      </c>
      <c r="D4" s="9" t="s">
        <v>78</v>
      </c>
      <c r="E4" s="9" t="s">
        <v>69</v>
      </c>
      <c r="F4" s="9" t="s">
        <v>79</v>
      </c>
    </row>
    <row r="5" spans="1:6" ht="45" customHeight="1" x14ac:dyDescent="0.3">
      <c r="A5" s="9" t="s">
        <v>80</v>
      </c>
      <c r="B5" s="9" t="s">
        <v>81</v>
      </c>
      <c r="C5" s="10">
        <v>0.15</v>
      </c>
      <c r="D5" s="9" t="s">
        <v>68</v>
      </c>
      <c r="E5" s="9" t="s">
        <v>74</v>
      </c>
      <c r="F5" s="9" t="s">
        <v>82</v>
      </c>
    </row>
    <row r="6" spans="1:6" ht="45" customHeight="1" x14ac:dyDescent="0.3">
      <c r="A6" s="9" t="s">
        <v>83</v>
      </c>
      <c r="B6" s="9" t="s">
        <v>84</v>
      </c>
      <c r="C6" s="10">
        <v>0.1</v>
      </c>
      <c r="D6" s="9" t="s">
        <v>85</v>
      </c>
      <c r="E6" s="9" t="s">
        <v>74</v>
      </c>
      <c r="F6" s="9" t="s">
        <v>86</v>
      </c>
    </row>
    <row r="7" spans="1:6" ht="45" customHeight="1" x14ac:dyDescent="0.3">
      <c r="A7" s="9" t="s">
        <v>87</v>
      </c>
      <c r="B7" s="9" t="s">
        <v>88</v>
      </c>
      <c r="C7" s="10">
        <v>0.1</v>
      </c>
      <c r="D7" s="9" t="s">
        <v>89</v>
      </c>
      <c r="E7" s="9" t="s">
        <v>74</v>
      </c>
      <c r="F7" s="9" t="s">
        <v>90</v>
      </c>
    </row>
    <row r="8" spans="1:6" ht="45" customHeight="1" x14ac:dyDescent="0.3">
      <c r="A8" s="9" t="s">
        <v>91</v>
      </c>
      <c r="B8" s="9" t="s">
        <v>92</v>
      </c>
      <c r="C8" s="10">
        <v>0.05</v>
      </c>
      <c r="D8" s="9" t="s">
        <v>93</v>
      </c>
      <c r="E8" s="9" t="s">
        <v>74</v>
      </c>
      <c r="F8" s="9" t="s">
        <v>94</v>
      </c>
    </row>
  </sheetData>
  <conditionalFormatting sqref="E2:E208">
    <cfRule type="expression" dxfId="13" priority="1">
      <formula>ISNUMBER(SEARCH("Sim",E2))</formula>
    </cfRule>
  </conditionalFormatting>
  <dataValidations count="1">
    <dataValidation type="list" allowBlank="1" showErrorMessage="1" errorTitle="Valor inválido" error="Valor fora da lista controlada (ver folha Listas)." sqref="E2:E208" xr:uid="{00000000-0002-0000-0100-000000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4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30" customWidth="1"/>
    <col min="3" max="3" width="12" customWidth="1"/>
    <col min="4" max="6" width="18" customWidth="1"/>
    <col min="7" max="8" width="9" customWidth="1"/>
    <col min="9" max="9" width="10" customWidth="1"/>
    <col min="10" max="10" width="20" customWidth="1"/>
    <col min="11" max="11" width="9" customWidth="1"/>
    <col min="12" max="12" width="11" customWidth="1"/>
    <col min="13" max="13" width="9" customWidth="1"/>
    <col min="14" max="14" width="7" customWidth="1"/>
    <col min="15" max="15" width="22" customWidth="1"/>
    <col min="16" max="16" width="12" customWidth="1"/>
    <col min="17" max="18" width="11" customWidth="1"/>
    <col min="19" max="19" width="14" customWidth="1"/>
    <col min="20" max="20" width="10" customWidth="1"/>
    <col min="21" max="21" width="44" customWidth="1"/>
  </cols>
  <sheetData>
    <row r="1" spans="1:21" ht="17.399999999999999" x14ac:dyDescent="0.3">
      <c r="A1" s="1" t="s">
        <v>95</v>
      </c>
    </row>
    <row r="2" spans="1:21" x14ac:dyDescent="0.3">
      <c r="A2" s="2" t="s">
        <v>96</v>
      </c>
    </row>
    <row r="4" spans="1:21" ht="39.6" x14ac:dyDescent="0.3">
      <c r="A4" s="8" t="s">
        <v>97</v>
      </c>
      <c r="B4" s="8" t="s">
        <v>98</v>
      </c>
      <c r="C4" s="8" t="s">
        <v>99</v>
      </c>
      <c r="D4" s="8" t="s">
        <v>100</v>
      </c>
      <c r="E4" s="8" t="s">
        <v>101</v>
      </c>
      <c r="F4" s="8" t="s">
        <v>102</v>
      </c>
      <c r="G4" s="8" t="s">
        <v>103</v>
      </c>
      <c r="H4" s="8" t="s">
        <v>104</v>
      </c>
      <c r="I4" s="8" t="s">
        <v>105</v>
      </c>
      <c r="J4" s="8" t="s">
        <v>106</v>
      </c>
      <c r="K4" s="8" t="s">
        <v>107</v>
      </c>
      <c r="L4" s="11" t="s">
        <v>108</v>
      </c>
      <c r="M4" s="11" t="s">
        <v>109</v>
      </c>
      <c r="N4" s="11" t="s">
        <v>110</v>
      </c>
      <c r="O4" s="11" t="s">
        <v>111</v>
      </c>
      <c r="P4" s="11" t="s">
        <v>112</v>
      </c>
      <c r="Q4" s="8" t="s">
        <v>113</v>
      </c>
      <c r="R4" s="11" t="s">
        <v>114</v>
      </c>
      <c r="S4" s="8" t="s">
        <v>115</v>
      </c>
      <c r="T4" s="8" t="s">
        <v>116</v>
      </c>
      <c r="U4" s="8" t="s">
        <v>117</v>
      </c>
    </row>
    <row r="5" spans="1:21" ht="30" customHeight="1" x14ac:dyDescent="0.3">
      <c r="A5" s="9" t="s">
        <v>118</v>
      </c>
      <c r="B5" s="9" t="s">
        <v>119</v>
      </c>
      <c r="C5" s="9" t="s">
        <v>120</v>
      </c>
      <c r="D5" s="9" t="s">
        <v>121</v>
      </c>
      <c r="E5" s="9" t="s">
        <v>122</v>
      </c>
      <c r="F5" s="9" t="s">
        <v>123</v>
      </c>
      <c r="G5" s="12">
        <v>12</v>
      </c>
      <c r="H5" s="9" t="s">
        <v>124</v>
      </c>
      <c r="I5" s="13">
        <v>8200</v>
      </c>
      <c r="J5" s="9" t="s">
        <v>125</v>
      </c>
      <c r="K5" s="13">
        <v>95</v>
      </c>
      <c r="L5" s="14">
        <f t="shared" ref="L5:L14" si="0">K5*I5*IF(ISNUMBER(SEARCH("Marítimo +",J5)),0.016,IF(ISNUMBER(SEARCH("Marítimo curto",J5)),0.04,0.075))/1000</f>
        <v>12.464</v>
      </c>
      <c r="M5" s="15">
        <f>SUMIF(tbl_avaliacao_fornecedor[ID_Fornecedor],A5,tbl_avaliacao_fornecedor[Pontos_Ponderados])</f>
        <v>0.70000000000000007</v>
      </c>
      <c r="N5" s="16" t="str">
        <f t="shared" ref="N5:N14" si="1">IF(M5&gt;=0.75,"A",IF(M5&gt;=0.5,"B","C"))</f>
        <v>B</v>
      </c>
      <c r="O5" s="16" t="str">
        <f t="shared" ref="O5:O14" si="2">IF(N5="A","Aprovado",IF(N5="B","Aprovado com plano de melhoria","Condicionado: reduzir compras / substituir"))</f>
        <v>Aprovado com plano de melhoria</v>
      </c>
      <c r="P5" s="16" t="str">
        <f>IFERROR(INDEX(tbl_avaliacao_fornecedor[ID_Criterio],MATCH(A5&amp;"|"&amp;_xlfn.MINIFS(tbl_avaliacao_fornecedor[Score],tbl_avaliacao_fornecedor[ID_Fornecedor],A5),tbl_avaliacao_fornecedor[Chave],0)),"")</f>
        <v>CRIT-05</v>
      </c>
      <c r="Q5" s="17">
        <v>46223</v>
      </c>
      <c r="R5" s="18">
        <f t="shared" ref="R5:R14" si="3">EDATE(Q5,IF(N5="C",6,12))</f>
        <v>46588</v>
      </c>
      <c r="S5" s="9" t="s">
        <v>126</v>
      </c>
      <c r="T5" s="9" t="s">
        <v>127</v>
      </c>
      <c r="U5" s="9" t="s">
        <v>128</v>
      </c>
    </row>
    <row r="6" spans="1:21" ht="30" customHeight="1" x14ac:dyDescent="0.3">
      <c r="A6" s="9" t="s">
        <v>129</v>
      </c>
      <c r="B6" s="9" t="s">
        <v>130</v>
      </c>
      <c r="C6" s="9" t="s">
        <v>131</v>
      </c>
      <c r="D6" s="9" t="s">
        <v>132</v>
      </c>
      <c r="E6" s="9" t="s">
        <v>122</v>
      </c>
      <c r="F6" s="9" t="s">
        <v>123</v>
      </c>
      <c r="G6" s="12">
        <v>17</v>
      </c>
      <c r="H6" s="9" t="s">
        <v>124</v>
      </c>
      <c r="I6" s="13">
        <v>2150</v>
      </c>
      <c r="J6" s="9" t="s">
        <v>133</v>
      </c>
      <c r="K6" s="13">
        <v>160</v>
      </c>
      <c r="L6" s="14">
        <f t="shared" si="0"/>
        <v>25.8</v>
      </c>
      <c r="M6" s="15">
        <f>SUMIF(tbl_avaliacao_fornecedor[ID_Fornecedor],A6,tbl_avaliacao_fornecedor[Pontos_Ponderados])</f>
        <v>0.9</v>
      </c>
      <c r="N6" s="16" t="str">
        <f t="shared" si="1"/>
        <v>A</v>
      </c>
      <c r="O6" s="16" t="str">
        <f t="shared" si="2"/>
        <v>Aprovado</v>
      </c>
      <c r="P6" s="16" t="str">
        <f>IFERROR(INDEX(tbl_avaliacao_fornecedor[ID_Criterio],MATCH(A6&amp;"|"&amp;_xlfn.MINIFS(tbl_avaliacao_fornecedor[Score],tbl_avaliacao_fornecedor[ID_Fornecedor],A6),tbl_avaliacao_fornecedor[Chave],0)),"")</f>
        <v>CRIT-05</v>
      </c>
      <c r="Q6" s="17">
        <v>46223</v>
      </c>
      <c r="R6" s="18">
        <f t="shared" si="3"/>
        <v>46588</v>
      </c>
      <c r="S6" s="9" t="s">
        <v>126</v>
      </c>
      <c r="T6" s="9" t="s">
        <v>127</v>
      </c>
      <c r="U6" s="9" t="s">
        <v>134</v>
      </c>
    </row>
    <row r="7" spans="1:21" ht="30" customHeight="1" x14ac:dyDescent="0.3">
      <c r="A7" s="9" t="s">
        <v>135</v>
      </c>
      <c r="B7" s="9" t="s">
        <v>136</v>
      </c>
      <c r="C7" s="9" t="s">
        <v>120</v>
      </c>
      <c r="D7" s="9" t="s">
        <v>137</v>
      </c>
      <c r="E7" s="9" t="s">
        <v>122</v>
      </c>
      <c r="F7" s="9" t="s">
        <v>123</v>
      </c>
      <c r="G7" s="12">
        <v>19</v>
      </c>
      <c r="H7" s="9" t="s">
        <v>138</v>
      </c>
      <c r="I7" s="13">
        <v>8300</v>
      </c>
      <c r="J7" s="9" t="s">
        <v>125</v>
      </c>
      <c r="K7" s="13">
        <v>70</v>
      </c>
      <c r="L7" s="14">
        <f t="shared" si="0"/>
        <v>9.2959999999999994</v>
      </c>
      <c r="M7" s="15">
        <f>SUMIF(tbl_avaliacao_fornecedor[ID_Fornecedor],A7,tbl_avaliacao_fornecedor[Pontos_Ponderados])</f>
        <v>0.60000000000000009</v>
      </c>
      <c r="N7" s="16" t="str">
        <f t="shared" si="1"/>
        <v>B</v>
      </c>
      <c r="O7" s="16" t="str">
        <f t="shared" si="2"/>
        <v>Aprovado com plano de melhoria</v>
      </c>
      <c r="P7" s="16" t="str">
        <f>IFERROR(INDEX(tbl_avaliacao_fornecedor[ID_Criterio],MATCH(A7&amp;"|"&amp;_xlfn.MINIFS(tbl_avaliacao_fornecedor[Score],tbl_avaliacao_fornecedor[ID_Fornecedor],A7),tbl_avaliacao_fornecedor[Chave],0)),"")</f>
        <v>CRIT-05</v>
      </c>
      <c r="Q7" s="17">
        <v>46223</v>
      </c>
      <c r="R7" s="18">
        <f t="shared" si="3"/>
        <v>46588</v>
      </c>
      <c r="S7" s="9" t="s">
        <v>126</v>
      </c>
      <c r="T7" s="9" t="s">
        <v>127</v>
      </c>
      <c r="U7" s="9" t="s">
        <v>139</v>
      </c>
    </row>
    <row r="8" spans="1:21" ht="30" customHeight="1" x14ac:dyDescent="0.3">
      <c r="A8" s="9" t="s">
        <v>140</v>
      </c>
      <c r="B8" s="9" t="s">
        <v>141</v>
      </c>
      <c r="C8" s="9" t="s">
        <v>142</v>
      </c>
      <c r="D8" s="9" t="s">
        <v>143</v>
      </c>
      <c r="E8" s="9" t="s">
        <v>122</v>
      </c>
      <c r="F8" s="9" t="s">
        <v>123</v>
      </c>
      <c r="G8" s="12">
        <v>15</v>
      </c>
      <c r="H8" s="9" t="s">
        <v>124</v>
      </c>
      <c r="I8" s="13">
        <v>1900</v>
      </c>
      <c r="J8" s="9" t="s">
        <v>144</v>
      </c>
      <c r="K8" s="13">
        <v>100</v>
      </c>
      <c r="L8" s="14">
        <f t="shared" si="0"/>
        <v>7.6</v>
      </c>
      <c r="M8" s="15">
        <f>SUMIF(tbl_avaliacao_fornecedor[ID_Fornecedor],A8,tbl_avaliacao_fornecedor[Pontos_Ponderados])</f>
        <v>0.8</v>
      </c>
      <c r="N8" s="16" t="str">
        <f t="shared" si="1"/>
        <v>A</v>
      </c>
      <c r="O8" s="16" t="str">
        <f t="shared" si="2"/>
        <v>Aprovado</v>
      </c>
      <c r="P8" s="16" t="str">
        <f>IFERROR(INDEX(tbl_avaliacao_fornecedor[ID_Criterio],MATCH(A8&amp;"|"&amp;_xlfn.MINIFS(tbl_avaliacao_fornecedor[Score],tbl_avaliacao_fornecedor[ID_Fornecedor],A8),tbl_avaliacao_fornecedor[Chave],0)),"")</f>
        <v>CRIT-05</v>
      </c>
      <c r="Q8" s="17">
        <v>46223</v>
      </c>
      <c r="R8" s="18">
        <f t="shared" si="3"/>
        <v>46588</v>
      </c>
      <c r="S8" s="9" t="s">
        <v>126</v>
      </c>
      <c r="T8" s="9" t="s">
        <v>145</v>
      </c>
      <c r="U8" s="9" t="s">
        <v>146</v>
      </c>
    </row>
    <row r="9" spans="1:21" ht="30" customHeight="1" x14ac:dyDescent="0.3">
      <c r="A9" s="9" t="s">
        <v>147</v>
      </c>
      <c r="B9" s="9" t="s">
        <v>148</v>
      </c>
      <c r="C9" s="9" t="s">
        <v>149</v>
      </c>
      <c r="D9" s="9" t="s">
        <v>150</v>
      </c>
      <c r="E9" s="9" t="s">
        <v>122</v>
      </c>
      <c r="F9" s="9" t="s">
        <v>151</v>
      </c>
      <c r="G9" s="12">
        <v>4</v>
      </c>
      <c r="H9" s="9" t="s">
        <v>124</v>
      </c>
      <c r="I9" s="13">
        <v>11800</v>
      </c>
      <c r="J9" s="9" t="s">
        <v>125</v>
      </c>
      <c r="K9" s="13">
        <v>60</v>
      </c>
      <c r="L9" s="14">
        <f t="shared" si="0"/>
        <v>11.327999999999999</v>
      </c>
      <c r="M9" s="15">
        <f>SUMIF(tbl_avaliacao_fornecedor[ID_Fornecedor],A9,tbl_avaliacao_fornecedor[Pontos_Ponderados])</f>
        <v>0.16666666666666666</v>
      </c>
      <c r="N9" s="16" t="str">
        <f t="shared" si="1"/>
        <v>C</v>
      </c>
      <c r="O9" s="16" t="str">
        <f t="shared" si="2"/>
        <v>Condicionado: reduzir compras / substituir</v>
      </c>
      <c r="P9" s="16" t="str">
        <f>IFERROR(INDEX(tbl_avaliacao_fornecedor[ID_Criterio],MATCH(A9&amp;"|"&amp;_xlfn.MINIFS(tbl_avaliacao_fornecedor[Score],tbl_avaliacao_fornecedor[ID_Fornecedor],A9),tbl_avaliacao_fornecedor[Chave],0)),"")</f>
        <v>CRIT-03</v>
      </c>
      <c r="Q9" s="17">
        <v>46223</v>
      </c>
      <c r="R9" s="18">
        <f t="shared" si="3"/>
        <v>46407</v>
      </c>
      <c r="S9" s="9" t="s">
        <v>126</v>
      </c>
      <c r="T9" s="9" t="s">
        <v>145</v>
      </c>
      <c r="U9" s="9" t="s">
        <v>152</v>
      </c>
    </row>
    <row r="10" spans="1:21" ht="30" customHeight="1" x14ac:dyDescent="0.3">
      <c r="A10" s="9" t="s">
        <v>153</v>
      </c>
      <c r="B10" s="9" t="s">
        <v>154</v>
      </c>
      <c r="C10" s="9" t="s">
        <v>155</v>
      </c>
      <c r="D10" s="9" t="s">
        <v>156</v>
      </c>
      <c r="E10" s="9" t="s">
        <v>122</v>
      </c>
      <c r="F10" s="9" t="s">
        <v>157</v>
      </c>
      <c r="G10" s="12">
        <v>7</v>
      </c>
      <c r="H10" s="9" t="s">
        <v>138</v>
      </c>
      <c r="I10" s="13">
        <v>1850</v>
      </c>
      <c r="J10" s="9" t="s">
        <v>133</v>
      </c>
      <c r="K10" s="13">
        <v>90</v>
      </c>
      <c r="L10" s="14">
        <f t="shared" si="0"/>
        <v>12.487500000000001</v>
      </c>
      <c r="M10" s="15">
        <f>SUMIF(tbl_avaliacao_fornecedor[ID_Fornecedor],A10,tbl_avaliacao_fornecedor[Pontos_Ponderados])</f>
        <v>0.76666666666666672</v>
      </c>
      <c r="N10" s="16" t="str">
        <f t="shared" si="1"/>
        <v>A</v>
      </c>
      <c r="O10" s="16" t="str">
        <f t="shared" si="2"/>
        <v>Aprovado</v>
      </c>
      <c r="P10" s="16" t="str">
        <f>IFERROR(INDEX(tbl_avaliacao_fornecedor[ID_Criterio],MATCH(A10&amp;"|"&amp;_xlfn.MINIFS(tbl_avaliacao_fornecedor[Score],tbl_avaliacao_fornecedor[ID_Fornecedor],A10),tbl_avaliacao_fornecedor[Chave],0)),"")</f>
        <v>CRIT-05</v>
      </c>
      <c r="Q10" s="17">
        <v>46223</v>
      </c>
      <c r="R10" s="18">
        <f t="shared" si="3"/>
        <v>46588</v>
      </c>
      <c r="S10" s="9" t="s">
        <v>126</v>
      </c>
      <c r="T10" s="9" t="s">
        <v>127</v>
      </c>
      <c r="U10" s="9" t="s">
        <v>139</v>
      </c>
    </row>
    <row r="11" spans="1:21" ht="30" customHeight="1" x14ac:dyDescent="0.3">
      <c r="A11" s="9" t="s">
        <v>158</v>
      </c>
      <c r="B11" s="9" t="s">
        <v>159</v>
      </c>
      <c r="C11" s="9" t="s">
        <v>160</v>
      </c>
      <c r="D11" s="9" t="s">
        <v>161</v>
      </c>
      <c r="E11" s="9" t="s">
        <v>122</v>
      </c>
      <c r="F11" s="9" t="s">
        <v>123</v>
      </c>
      <c r="G11" s="12">
        <v>16</v>
      </c>
      <c r="H11" s="9" t="s">
        <v>124</v>
      </c>
      <c r="I11" s="13">
        <v>950</v>
      </c>
      <c r="J11" s="9" t="s">
        <v>133</v>
      </c>
      <c r="K11" s="13">
        <v>120</v>
      </c>
      <c r="L11" s="14">
        <f t="shared" si="0"/>
        <v>8.5500000000000007</v>
      </c>
      <c r="M11" s="15">
        <f>SUMIF(tbl_avaliacao_fornecedor[ID_Fornecedor],A11,tbl_avaliacao_fornecedor[Pontos_Ponderados])</f>
        <v>0.75</v>
      </c>
      <c r="N11" s="16" t="str">
        <f t="shared" si="1"/>
        <v>A</v>
      </c>
      <c r="O11" s="16" t="str">
        <f t="shared" si="2"/>
        <v>Aprovado</v>
      </c>
      <c r="P11" s="16" t="str">
        <f>IFERROR(INDEX(tbl_avaliacao_fornecedor[ID_Criterio],MATCH(A11&amp;"|"&amp;_xlfn.MINIFS(tbl_avaliacao_fornecedor[Score],tbl_avaliacao_fornecedor[ID_Fornecedor],A11),tbl_avaliacao_fornecedor[Chave],0)),"")</f>
        <v>CRIT-01</v>
      </c>
      <c r="Q11" s="17">
        <v>46223</v>
      </c>
      <c r="R11" s="18">
        <f t="shared" si="3"/>
        <v>46588</v>
      </c>
      <c r="S11" s="9" t="s">
        <v>126</v>
      </c>
      <c r="T11" s="9" t="s">
        <v>127</v>
      </c>
      <c r="U11" s="9" t="s">
        <v>139</v>
      </c>
    </row>
    <row r="12" spans="1:21" ht="30" customHeight="1" x14ac:dyDescent="0.3">
      <c r="A12" s="9" t="s">
        <v>162</v>
      </c>
      <c r="B12" s="9" t="s">
        <v>163</v>
      </c>
      <c r="C12" s="9" t="s">
        <v>164</v>
      </c>
      <c r="D12" s="9" t="s">
        <v>165</v>
      </c>
      <c r="E12" s="9" t="s">
        <v>165</v>
      </c>
      <c r="F12" s="9" t="s">
        <v>157</v>
      </c>
      <c r="G12" s="12">
        <v>6</v>
      </c>
      <c r="H12" s="9" t="s">
        <v>138</v>
      </c>
      <c r="I12" s="13">
        <v>175</v>
      </c>
      <c r="J12" s="9" t="s">
        <v>133</v>
      </c>
      <c r="K12" s="13">
        <v>25</v>
      </c>
      <c r="L12" s="14">
        <f t="shared" si="0"/>
        <v>0.328125</v>
      </c>
      <c r="M12" s="15">
        <f>SUMIF(tbl_avaliacao_fornecedor[ID_Fornecedor],A12,tbl_avaliacao_fornecedor[Pontos_Ponderados])</f>
        <v>0.65</v>
      </c>
      <c r="N12" s="16" t="str">
        <f t="shared" si="1"/>
        <v>B</v>
      </c>
      <c r="O12" s="16" t="str">
        <f t="shared" si="2"/>
        <v>Aprovado com plano de melhoria</v>
      </c>
      <c r="P12" s="16" t="str">
        <f>IFERROR(INDEX(tbl_avaliacao_fornecedor[ID_Criterio],MATCH(A12&amp;"|"&amp;_xlfn.MINIFS(tbl_avaliacao_fornecedor[Score],tbl_avaliacao_fornecedor[ID_Fornecedor],A12),tbl_avaliacao_fornecedor[Chave],0)),"")</f>
        <v>CRIT-03</v>
      </c>
      <c r="Q12" s="17">
        <v>46223</v>
      </c>
      <c r="R12" s="18">
        <f t="shared" si="3"/>
        <v>46588</v>
      </c>
      <c r="S12" s="9" t="s">
        <v>166</v>
      </c>
      <c r="T12" s="9" t="s">
        <v>145</v>
      </c>
      <c r="U12" s="9" t="s">
        <v>167</v>
      </c>
    </row>
    <row r="13" spans="1:21" ht="30" customHeight="1" x14ac:dyDescent="0.3">
      <c r="A13" s="9" t="s">
        <v>168</v>
      </c>
      <c r="B13" s="9" t="s">
        <v>169</v>
      </c>
      <c r="C13" s="9" t="s">
        <v>170</v>
      </c>
      <c r="D13" s="9" t="s">
        <v>171</v>
      </c>
      <c r="E13" s="9" t="s">
        <v>122</v>
      </c>
      <c r="F13" s="9" t="s">
        <v>151</v>
      </c>
      <c r="G13" s="12">
        <v>1</v>
      </c>
      <c r="H13" s="9" t="s">
        <v>138</v>
      </c>
      <c r="I13" s="13">
        <v>7900</v>
      </c>
      <c r="J13" s="9" t="s">
        <v>125</v>
      </c>
      <c r="K13" s="13">
        <v>30</v>
      </c>
      <c r="L13" s="14">
        <f t="shared" si="0"/>
        <v>3.7919999999999998</v>
      </c>
      <c r="M13" s="15">
        <f>SUMIF(tbl_avaliacao_fornecedor[ID_Fornecedor],A13,tbl_avaliacao_fornecedor[Pontos_Ponderados])</f>
        <v>0.48333333333333328</v>
      </c>
      <c r="N13" s="16" t="str">
        <f t="shared" si="1"/>
        <v>C</v>
      </c>
      <c r="O13" s="16" t="str">
        <f t="shared" si="2"/>
        <v>Condicionado: reduzir compras / substituir</v>
      </c>
      <c r="P13" s="16" t="str">
        <f>IFERROR(INDEX(tbl_avaliacao_fornecedor[ID_Criterio],MATCH(A13&amp;"|"&amp;_xlfn.MINIFS(tbl_avaliacao_fornecedor[Score],tbl_avaliacao_fornecedor[ID_Fornecedor],A13),tbl_avaliacao_fornecedor[Chave],0)),"")</f>
        <v>CRIT-05</v>
      </c>
      <c r="Q13" s="17">
        <v>46223</v>
      </c>
      <c r="R13" s="18">
        <f t="shared" si="3"/>
        <v>46407</v>
      </c>
      <c r="S13" s="9" t="s">
        <v>172</v>
      </c>
      <c r="T13" s="9" t="s">
        <v>145</v>
      </c>
      <c r="U13" s="9" t="s">
        <v>173</v>
      </c>
    </row>
    <row r="14" spans="1:21" ht="30" customHeight="1" x14ac:dyDescent="0.3">
      <c r="A14" s="9" t="s">
        <v>174</v>
      </c>
      <c r="B14" s="9" t="s">
        <v>175</v>
      </c>
      <c r="C14" s="9" t="s">
        <v>160</v>
      </c>
      <c r="D14" s="9" t="s">
        <v>176</v>
      </c>
      <c r="E14" s="9" t="s">
        <v>122</v>
      </c>
      <c r="F14" s="9" t="s">
        <v>123</v>
      </c>
      <c r="G14" s="12">
        <v>1</v>
      </c>
      <c r="H14" s="9" t="s">
        <v>124</v>
      </c>
      <c r="I14" s="13">
        <v>600</v>
      </c>
      <c r="J14" s="9" t="s">
        <v>133</v>
      </c>
      <c r="K14" s="13">
        <v>45</v>
      </c>
      <c r="L14" s="14">
        <f t="shared" si="0"/>
        <v>2.0249999999999999</v>
      </c>
      <c r="M14" s="15">
        <f>SUMIF(tbl_avaliacao_fornecedor[ID_Fornecedor],A14,tbl_avaliacao_fornecedor[Pontos_Ponderados])</f>
        <v>0.83333333333333337</v>
      </c>
      <c r="N14" s="16" t="str">
        <f t="shared" si="1"/>
        <v>A</v>
      </c>
      <c r="O14" s="16" t="str">
        <f t="shared" si="2"/>
        <v>Aprovado</v>
      </c>
      <c r="P14" s="16" t="str">
        <f>IFERROR(INDEX(tbl_avaliacao_fornecedor[ID_Criterio],MATCH(A14&amp;"|"&amp;_xlfn.MINIFS(tbl_avaliacao_fornecedor[Score],tbl_avaliacao_fornecedor[ID_Fornecedor],A14),tbl_avaliacao_fornecedor[Chave],0)),"")</f>
        <v>CRIT-03</v>
      </c>
      <c r="Q14" s="17">
        <v>46223</v>
      </c>
      <c r="R14" s="18">
        <f t="shared" si="3"/>
        <v>46588</v>
      </c>
      <c r="S14" s="9" t="s">
        <v>172</v>
      </c>
      <c r="T14" s="9" t="s">
        <v>145</v>
      </c>
      <c r="U14" s="9" t="s">
        <v>177</v>
      </c>
    </row>
  </sheetData>
  <conditionalFormatting sqref="N5:N214">
    <cfRule type="expression" dxfId="12" priority="1">
      <formula>ISNUMBER(SEARCH("A",N5))</formula>
    </cfRule>
    <cfRule type="expression" dxfId="11" priority="2">
      <formula>ISNUMBER(SEARCH("B",N5))</formula>
    </cfRule>
    <cfRule type="expression" dxfId="10" priority="3">
      <formula>ISNUMBER(SEARCH("C",N5))</formula>
    </cfRule>
  </conditionalFormatting>
  <dataValidations count="3">
    <dataValidation type="list" allowBlank="1" showErrorMessage="1" errorTitle="Valor inválido" error="Valor fora da lista controlada (ver folha Listas)." sqref="E5:E214" xr:uid="{00000000-0002-0000-0200-000000000000}">
      <formula1>lst_TipoFornecedor</formula1>
    </dataValidation>
    <dataValidation type="list" allowBlank="1" showErrorMessage="1" errorTitle="Valor inválido" error="Valor fora da lista controlada (ver folha Listas)." sqref="H5:H214" xr:uid="{00000000-0002-0000-0200-000001000000}">
      <formula1>lst_Criticidade</formula1>
    </dataValidation>
    <dataValidation type="list" allowBlank="1" showErrorMessage="1" errorTitle="Valor inválido" error="Valor fora da lista controlada (ver folha Listas)." sqref="T5:T214" xr:uid="{00000000-0002-0000-0200-000002000000}">
      <formula1>lst_PE_Ctrl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71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9" customWidth="1"/>
    <col min="3" max="4" width="7" customWidth="1"/>
    <col min="5" max="5" width="10" customWidth="1"/>
    <col min="6" max="6" width="40" customWidth="1"/>
    <col min="7" max="7" width="11" customWidth="1"/>
    <col min="8" max="8" width="30" customWidth="1"/>
    <col min="9" max="9" width="12" customWidth="1"/>
  </cols>
  <sheetData>
    <row r="1" spans="1:9" ht="39.6" x14ac:dyDescent="0.3">
      <c r="A1" s="8" t="s">
        <v>97</v>
      </c>
      <c r="B1" s="8" t="s">
        <v>60</v>
      </c>
      <c r="C1" s="8" t="s">
        <v>178</v>
      </c>
      <c r="D1" s="11" t="s">
        <v>62</v>
      </c>
      <c r="E1" s="11" t="s">
        <v>179</v>
      </c>
      <c r="F1" s="8" t="s">
        <v>180</v>
      </c>
      <c r="G1" s="8" t="s">
        <v>181</v>
      </c>
      <c r="H1" s="8" t="s">
        <v>182</v>
      </c>
      <c r="I1" s="11" t="s">
        <v>183</v>
      </c>
    </row>
    <row r="2" spans="1:9" ht="26.4" x14ac:dyDescent="0.3">
      <c r="A2" s="9" t="s">
        <v>118</v>
      </c>
      <c r="B2" s="9" t="s">
        <v>66</v>
      </c>
      <c r="C2" s="12">
        <v>2</v>
      </c>
      <c r="D2" s="15">
        <f>INDEX(tbl_criterios[Peso],MATCH(B2,tbl_criterios[ID_Criterio],0))</f>
        <v>0.25</v>
      </c>
      <c r="E2" s="19">
        <f t="shared" ref="E2:E33" si="0">C2/3*D2</f>
        <v>0.16666666666666666</v>
      </c>
      <c r="F2" s="9" t="s">
        <v>184</v>
      </c>
      <c r="G2" s="17">
        <v>46223</v>
      </c>
      <c r="H2" s="9" t="s">
        <v>185</v>
      </c>
      <c r="I2" s="16" t="str">
        <f t="shared" ref="I2:I33" si="1">A2&amp;"|"&amp;C2</f>
        <v>SUP-001|2</v>
      </c>
    </row>
    <row r="3" spans="1:9" ht="26.4" x14ac:dyDescent="0.3">
      <c r="A3" s="9" t="s">
        <v>118</v>
      </c>
      <c r="B3" s="9" t="s">
        <v>71</v>
      </c>
      <c r="C3" s="12">
        <v>3</v>
      </c>
      <c r="D3" s="15">
        <f>INDEX(tbl_criterios[Peso],MATCH(B3,tbl_criterios[ID_Criterio],0))</f>
        <v>0.2</v>
      </c>
      <c r="E3" s="19">
        <f t="shared" si="0"/>
        <v>0.2</v>
      </c>
      <c r="F3" s="9" t="s">
        <v>186</v>
      </c>
      <c r="G3" s="17">
        <v>46223</v>
      </c>
      <c r="H3" s="9" t="s">
        <v>185</v>
      </c>
      <c r="I3" s="16" t="str">
        <f t="shared" si="1"/>
        <v>SUP-001|3</v>
      </c>
    </row>
    <row r="4" spans="1:9" ht="26.4" x14ac:dyDescent="0.3">
      <c r="A4" s="9" t="s">
        <v>118</v>
      </c>
      <c r="B4" s="9" t="s">
        <v>76</v>
      </c>
      <c r="C4" s="12">
        <v>3</v>
      </c>
      <c r="D4" s="15">
        <f>INDEX(tbl_criterios[Peso],MATCH(B4,tbl_criterios[ID_Criterio],0))</f>
        <v>0.15</v>
      </c>
      <c r="E4" s="19">
        <f t="shared" si="0"/>
        <v>0.15</v>
      </c>
      <c r="F4" s="9" t="s">
        <v>187</v>
      </c>
      <c r="G4" s="17">
        <v>46223</v>
      </c>
      <c r="H4" s="9" t="s">
        <v>185</v>
      </c>
      <c r="I4" s="16" t="str">
        <f t="shared" si="1"/>
        <v>SUP-001|3</v>
      </c>
    </row>
    <row r="5" spans="1:9" ht="26.4" x14ac:dyDescent="0.3">
      <c r="A5" s="9" t="s">
        <v>118</v>
      </c>
      <c r="B5" s="9" t="s">
        <v>80</v>
      </c>
      <c r="C5" s="12">
        <v>2</v>
      </c>
      <c r="D5" s="15">
        <f>INDEX(tbl_criterios[Peso],MATCH(B5,tbl_criterios[ID_Criterio],0))</f>
        <v>0.15</v>
      </c>
      <c r="E5" s="19">
        <f t="shared" si="0"/>
        <v>9.9999999999999992E-2</v>
      </c>
      <c r="F5" s="9" t="s">
        <v>188</v>
      </c>
      <c r="G5" s="17">
        <v>46223</v>
      </c>
      <c r="H5" s="9" t="s">
        <v>185</v>
      </c>
      <c r="I5" s="16" t="str">
        <f t="shared" si="1"/>
        <v>SUP-001|2</v>
      </c>
    </row>
    <row r="6" spans="1:9" ht="26.4" x14ac:dyDescent="0.3">
      <c r="A6" s="9" t="s">
        <v>118</v>
      </c>
      <c r="B6" s="9" t="s">
        <v>83</v>
      </c>
      <c r="C6" s="12">
        <v>0</v>
      </c>
      <c r="D6" s="15">
        <f>INDEX(tbl_criterios[Peso],MATCH(B6,tbl_criterios[ID_Criterio],0))</f>
        <v>0.1</v>
      </c>
      <c r="E6" s="19">
        <f t="shared" si="0"/>
        <v>0</v>
      </c>
      <c r="F6" s="9" t="s">
        <v>189</v>
      </c>
      <c r="G6" s="17">
        <v>46223</v>
      </c>
      <c r="H6" s="9" t="s">
        <v>185</v>
      </c>
      <c r="I6" s="16" t="str">
        <f t="shared" si="1"/>
        <v>SUP-001|0</v>
      </c>
    </row>
    <row r="7" spans="1:9" ht="26.4" x14ac:dyDescent="0.3">
      <c r="A7" s="9" t="s">
        <v>118</v>
      </c>
      <c r="B7" s="9" t="s">
        <v>87</v>
      </c>
      <c r="C7" s="12">
        <v>1</v>
      </c>
      <c r="D7" s="15">
        <f>INDEX(tbl_criterios[Peso],MATCH(B7,tbl_criterios[ID_Criterio],0))</f>
        <v>0.1</v>
      </c>
      <c r="E7" s="19">
        <f t="shared" si="0"/>
        <v>3.3333333333333333E-2</v>
      </c>
      <c r="F7" s="9" t="s">
        <v>190</v>
      </c>
      <c r="G7" s="17">
        <v>46223</v>
      </c>
      <c r="H7" s="9" t="s">
        <v>185</v>
      </c>
      <c r="I7" s="16" t="str">
        <f t="shared" si="1"/>
        <v>SUP-001|1</v>
      </c>
    </row>
    <row r="8" spans="1:9" ht="26.4" x14ac:dyDescent="0.3">
      <c r="A8" s="9" t="s">
        <v>118</v>
      </c>
      <c r="B8" s="9" t="s">
        <v>91</v>
      </c>
      <c r="C8" s="12">
        <v>3</v>
      </c>
      <c r="D8" s="15">
        <f>INDEX(tbl_criterios[Peso],MATCH(B8,tbl_criterios[ID_Criterio],0))</f>
        <v>0.05</v>
      </c>
      <c r="E8" s="19">
        <f t="shared" si="0"/>
        <v>0.05</v>
      </c>
      <c r="F8" s="9" t="s">
        <v>191</v>
      </c>
      <c r="G8" s="17">
        <v>46223</v>
      </c>
      <c r="H8" s="9" t="s">
        <v>185</v>
      </c>
      <c r="I8" s="16" t="str">
        <f t="shared" si="1"/>
        <v>SUP-001|3</v>
      </c>
    </row>
    <row r="9" spans="1:9" ht="26.4" x14ac:dyDescent="0.3">
      <c r="A9" s="9" t="s">
        <v>129</v>
      </c>
      <c r="B9" s="9" t="s">
        <v>66</v>
      </c>
      <c r="C9" s="12">
        <v>3</v>
      </c>
      <c r="D9" s="15">
        <f>INDEX(tbl_criterios[Peso],MATCH(B9,tbl_criterios[ID_Criterio],0))</f>
        <v>0.25</v>
      </c>
      <c r="E9" s="19">
        <f t="shared" si="0"/>
        <v>0.25</v>
      </c>
      <c r="F9" s="9" t="s">
        <v>192</v>
      </c>
      <c r="G9" s="17">
        <v>46223</v>
      </c>
      <c r="H9" s="9" t="s">
        <v>185</v>
      </c>
      <c r="I9" s="16" t="str">
        <f t="shared" si="1"/>
        <v>SUP-002|3</v>
      </c>
    </row>
    <row r="10" spans="1:9" ht="26.4" x14ac:dyDescent="0.3">
      <c r="A10" s="9" t="s">
        <v>129</v>
      </c>
      <c r="B10" s="9" t="s">
        <v>71</v>
      </c>
      <c r="C10" s="12">
        <v>3</v>
      </c>
      <c r="D10" s="15">
        <f>INDEX(tbl_criterios[Peso],MATCH(B10,tbl_criterios[ID_Criterio],0))</f>
        <v>0.2</v>
      </c>
      <c r="E10" s="19">
        <f t="shared" si="0"/>
        <v>0.2</v>
      </c>
      <c r="F10" s="9" t="s">
        <v>186</v>
      </c>
      <c r="G10" s="17">
        <v>46223</v>
      </c>
      <c r="H10" s="9" t="s">
        <v>185</v>
      </c>
      <c r="I10" s="16" t="str">
        <f t="shared" si="1"/>
        <v>SUP-002|3</v>
      </c>
    </row>
    <row r="11" spans="1:9" ht="26.4" x14ac:dyDescent="0.3">
      <c r="A11" s="9" t="s">
        <v>129</v>
      </c>
      <c r="B11" s="9" t="s">
        <v>76</v>
      </c>
      <c r="C11" s="12">
        <v>3</v>
      </c>
      <c r="D11" s="15">
        <f>INDEX(tbl_criterios[Peso],MATCH(B11,tbl_criterios[ID_Criterio],0))</f>
        <v>0.15</v>
      </c>
      <c r="E11" s="19">
        <f t="shared" si="0"/>
        <v>0.15</v>
      </c>
      <c r="F11" s="9" t="s">
        <v>187</v>
      </c>
      <c r="G11" s="17">
        <v>46223</v>
      </c>
      <c r="H11" s="9" t="s">
        <v>185</v>
      </c>
      <c r="I11" s="16" t="str">
        <f t="shared" si="1"/>
        <v>SUP-002|3</v>
      </c>
    </row>
    <row r="12" spans="1:9" ht="26.4" x14ac:dyDescent="0.3">
      <c r="A12" s="9" t="s">
        <v>129</v>
      </c>
      <c r="B12" s="9" t="s">
        <v>80</v>
      </c>
      <c r="C12" s="12">
        <v>3</v>
      </c>
      <c r="D12" s="15">
        <f>INDEX(tbl_criterios[Peso],MATCH(B12,tbl_criterios[ID_Criterio],0))</f>
        <v>0.15</v>
      </c>
      <c r="E12" s="19">
        <f t="shared" si="0"/>
        <v>0.15</v>
      </c>
      <c r="F12" s="9" t="s">
        <v>193</v>
      </c>
      <c r="G12" s="17">
        <v>46223</v>
      </c>
      <c r="H12" s="9" t="s">
        <v>185</v>
      </c>
      <c r="I12" s="16" t="str">
        <f t="shared" si="1"/>
        <v>SUP-002|3</v>
      </c>
    </row>
    <row r="13" spans="1:9" ht="26.4" x14ac:dyDescent="0.3">
      <c r="A13" s="9" t="s">
        <v>129</v>
      </c>
      <c r="B13" s="9" t="s">
        <v>83</v>
      </c>
      <c r="C13" s="12">
        <v>1</v>
      </c>
      <c r="D13" s="15">
        <f>INDEX(tbl_criterios[Peso],MATCH(B13,tbl_criterios[ID_Criterio],0))</f>
        <v>0.1</v>
      </c>
      <c r="E13" s="19">
        <f t="shared" si="0"/>
        <v>3.3333333333333333E-2</v>
      </c>
      <c r="F13" s="9" t="s">
        <v>194</v>
      </c>
      <c r="G13" s="17">
        <v>46223</v>
      </c>
      <c r="H13" s="9" t="s">
        <v>185</v>
      </c>
      <c r="I13" s="16" t="str">
        <f t="shared" si="1"/>
        <v>SUP-002|1</v>
      </c>
    </row>
    <row r="14" spans="1:9" ht="26.4" x14ac:dyDescent="0.3">
      <c r="A14" s="9" t="s">
        <v>129</v>
      </c>
      <c r="B14" s="9" t="s">
        <v>87</v>
      </c>
      <c r="C14" s="12">
        <v>2</v>
      </c>
      <c r="D14" s="15">
        <f>INDEX(tbl_criterios[Peso],MATCH(B14,tbl_criterios[ID_Criterio],0))</f>
        <v>0.1</v>
      </c>
      <c r="E14" s="19">
        <f t="shared" si="0"/>
        <v>6.6666666666666666E-2</v>
      </c>
      <c r="F14" s="9" t="s">
        <v>195</v>
      </c>
      <c r="G14" s="17">
        <v>46223</v>
      </c>
      <c r="H14" s="9" t="s">
        <v>185</v>
      </c>
      <c r="I14" s="16" t="str">
        <f t="shared" si="1"/>
        <v>SUP-002|2</v>
      </c>
    </row>
    <row r="15" spans="1:9" ht="26.4" x14ac:dyDescent="0.3">
      <c r="A15" s="9" t="s">
        <v>129</v>
      </c>
      <c r="B15" s="9" t="s">
        <v>91</v>
      </c>
      <c r="C15" s="12">
        <v>3</v>
      </c>
      <c r="D15" s="15">
        <f>INDEX(tbl_criterios[Peso],MATCH(B15,tbl_criterios[ID_Criterio],0))</f>
        <v>0.05</v>
      </c>
      <c r="E15" s="19">
        <f t="shared" si="0"/>
        <v>0.05</v>
      </c>
      <c r="F15" s="9" t="s">
        <v>191</v>
      </c>
      <c r="G15" s="17">
        <v>46223</v>
      </c>
      <c r="H15" s="9" t="s">
        <v>185</v>
      </c>
      <c r="I15" s="16" t="str">
        <f t="shared" si="1"/>
        <v>SUP-002|3</v>
      </c>
    </row>
    <row r="16" spans="1:9" ht="26.4" x14ac:dyDescent="0.3">
      <c r="A16" s="9" t="s">
        <v>135</v>
      </c>
      <c r="B16" s="9" t="s">
        <v>66</v>
      </c>
      <c r="C16" s="12">
        <v>2</v>
      </c>
      <c r="D16" s="15">
        <f>INDEX(tbl_criterios[Peso],MATCH(B16,tbl_criterios[ID_Criterio],0))</f>
        <v>0.25</v>
      </c>
      <c r="E16" s="19">
        <f t="shared" si="0"/>
        <v>0.16666666666666666</v>
      </c>
      <c r="F16" s="9" t="s">
        <v>184</v>
      </c>
      <c r="G16" s="17">
        <v>46223</v>
      </c>
      <c r="H16" s="9" t="s">
        <v>185</v>
      </c>
      <c r="I16" s="16" t="str">
        <f t="shared" si="1"/>
        <v>SUP-003|2</v>
      </c>
    </row>
    <row r="17" spans="1:9" ht="26.4" x14ac:dyDescent="0.3">
      <c r="A17" s="9" t="s">
        <v>135</v>
      </c>
      <c r="B17" s="9" t="s">
        <v>71</v>
      </c>
      <c r="C17" s="12">
        <v>3</v>
      </c>
      <c r="D17" s="15">
        <f>INDEX(tbl_criterios[Peso],MATCH(B17,tbl_criterios[ID_Criterio],0))</f>
        <v>0.2</v>
      </c>
      <c r="E17" s="19">
        <f t="shared" si="0"/>
        <v>0.2</v>
      </c>
      <c r="F17" s="9" t="s">
        <v>186</v>
      </c>
      <c r="G17" s="17">
        <v>46223</v>
      </c>
      <c r="H17" s="9" t="s">
        <v>185</v>
      </c>
      <c r="I17" s="16" t="str">
        <f t="shared" si="1"/>
        <v>SUP-003|3</v>
      </c>
    </row>
    <row r="18" spans="1:9" ht="26.4" x14ac:dyDescent="0.3">
      <c r="A18" s="9" t="s">
        <v>135</v>
      </c>
      <c r="B18" s="9" t="s">
        <v>76</v>
      </c>
      <c r="C18" s="12">
        <v>2</v>
      </c>
      <c r="D18" s="15">
        <f>INDEX(tbl_criterios[Peso],MATCH(B18,tbl_criterios[ID_Criterio],0))</f>
        <v>0.15</v>
      </c>
      <c r="E18" s="19">
        <f t="shared" si="0"/>
        <v>9.9999999999999992E-2</v>
      </c>
      <c r="F18" s="9" t="s">
        <v>196</v>
      </c>
      <c r="G18" s="17">
        <v>46223</v>
      </c>
      <c r="H18" s="9" t="s">
        <v>185</v>
      </c>
      <c r="I18" s="16" t="str">
        <f t="shared" si="1"/>
        <v>SUP-003|2</v>
      </c>
    </row>
    <row r="19" spans="1:9" ht="26.4" x14ac:dyDescent="0.3">
      <c r="A19" s="9" t="s">
        <v>135</v>
      </c>
      <c r="B19" s="9" t="s">
        <v>80</v>
      </c>
      <c r="C19" s="12">
        <v>1</v>
      </c>
      <c r="D19" s="15">
        <f>INDEX(tbl_criterios[Peso],MATCH(B19,tbl_criterios[ID_Criterio],0))</f>
        <v>0.15</v>
      </c>
      <c r="E19" s="19">
        <f t="shared" si="0"/>
        <v>4.9999999999999996E-2</v>
      </c>
      <c r="F19" s="9" t="s">
        <v>197</v>
      </c>
      <c r="G19" s="17">
        <v>46223</v>
      </c>
      <c r="H19" s="9" t="s">
        <v>185</v>
      </c>
      <c r="I19" s="16" t="str">
        <f t="shared" si="1"/>
        <v>SUP-003|1</v>
      </c>
    </row>
    <row r="20" spans="1:9" ht="26.4" x14ac:dyDescent="0.3">
      <c r="A20" s="9" t="s">
        <v>135</v>
      </c>
      <c r="B20" s="9" t="s">
        <v>83</v>
      </c>
      <c r="C20" s="12">
        <v>0</v>
      </c>
      <c r="D20" s="15">
        <f>INDEX(tbl_criterios[Peso],MATCH(B20,tbl_criterios[ID_Criterio],0))</f>
        <v>0.1</v>
      </c>
      <c r="E20" s="19">
        <f t="shared" si="0"/>
        <v>0</v>
      </c>
      <c r="F20" s="9" t="s">
        <v>189</v>
      </c>
      <c r="G20" s="17">
        <v>46223</v>
      </c>
      <c r="H20" s="9" t="s">
        <v>185</v>
      </c>
      <c r="I20" s="16" t="str">
        <f t="shared" si="1"/>
        <v>SUP-003|0</v>
      </c>
    </row>
    <row r="21" spans="1:9" ht="26.4" x14ac:dyDescent="0.3">
      <c r="A21" s="9" t="s">
        <v>135</v>
      </c>
      <c r="B21" s="9" t="s">
        <v>87</v>
      </c>
      <c r="C21" s="12">
        <v>1</v>
      </c>
      <c r="D21" s="15">
        <f>INDEX(tbl_criterios[Peso],MATCH(B21,tbl_criterios[ID_Criterio],0))</f>
        <v>0.1</v>
      </c>
      <c r="E21" s="19">
        <f t="shared" si="0"/>
        <v>3.3333333333333333E-2</v>
      </c>
      <c r="F21" s="9" t="s">
        <v>190</v>
      </c>
      <c r="G21" s="17">
        <v>46223</v>
      </c>
      <c r="H21" s="9" t="s">
        <v>185</v>
      </c>
      <c r="I21" s="16" t="str">
        <f t="shared" si="1"/>
        <v>SUP-003|1</v>
      </c>
    </row>
    <row r="22" spans="1:9" ht="26.4" x14ac:dyDescent="0.3">
      <c r="A22" s="9" t="s">
        <v>135</v>
      </c>
      <c r="B22" s="9" t="s">
        <v>91</v>
      </c>
      <c r="C22" s="12">
        <v>3</v>
      </c>
      <c r="D22" s="15">
        <f>INDEX(tbl_criterios[Peso],MATCH(B22,tbl_criterios[ID_Criterio],0))</f>
        <v>0.05</v>
      </c>
      <c r="E22" s="19">
        <f t="shared" si="0"/>
        <v>0.05</v>
      </c>
      <c r="F22" s="9" t="s">
        <v>191</v>
      </c>
      <c r="G22" s="17">
        <v>46223</v>
      </c>
      <c r="H22" s="9" t="s">
        <v>185</v>
      </c>
      <c r="I22" s="16" t="str">
        <f t="shared" si="1"/>
        <v>SUP-003|3</v>
      </c>
    </row>
    <row r="23" spans="1:9" ht="26.4" x14ac:dyDescent="0.3">
      <c r="A23" s="9" t="s">
        <v>140</v>
      </c>
      <c r="B23" s="9" t="s">
        <v>66</v>
      </c>
      <c r="C23" s="12">
        <v>3</v>
      </c>
      <c r="D23" s="15">
        <f>INDEX(tbl_criterios[Peso],MATCH(B23,tbl_criterios[ID_Criterio],0))</f>
        <v>0.25</v>
      </c>
      <c r="E23" s="19">
        <f t="shared" si="0"/>
        <v>0.25</v>
      </c>
      <c r="F23" s="9" t="s">
        <v>192</v>
      </c>
      <c r="G23" s="17">
        <v>46223</v>
      </c>
      <c r="H23" s="9" t="s">
        <v>185</v>
      </c>
      <c r="I23" s="16" t="str">
        <f t="shared" si="1"/>
        <v>SUP-004|3</v>
      </c>
    </row>
    <row r="24" spans="1:9" ht="26.4" x14ac:dyDescent="0.3">
      <c r="A24" s="9" t="s">
        <v>140</v>
      </c>
      <c r="B24" s="9" t="s">
        <v>71</v>
      </c>
      <c r="C24" s="12">
        <v>3</v>
      </c>
      <c r="D24" s="15">
        <f>INDEX(tbl_criterios[Peso],MATCH(B24,tbl_criterios[ID_Criterio],0))</f>
        <v>0.2</v>
      </c>
      <c r="E24" s="19">
        <f t="shared" si="0"/>
        <v>0.2</v>
      </c>
      <c r="F24" s="9" t="s">
        <v>186</v>
      </c>
      <c r="G24" s="17">
        <v>46223</v>
      </c>
      <c r="H24" s="9" t="s">
        <v>185</v>
      </c>
      <c r="I24" s="16" t="str">
        <f t="shared" si="1"/>
        <v>SUP-004|3</v>
      </c>
    </row>
    <row r="25" spans="1:9" ht="26.4" x14ac:dyDescent="0.3">
      <c r="A25" s="9" t="s">
        <v>140</v>
      </c>
      <c r="B25" s="9" t="s">
        <v>76</v>
      </c>
      <c r="C25" s="12">
        <v>2</v>
      </c>
      <c r="D25" s="15">
        <f>INDEX(tbl_criterios[Peso],MATCH(B25,tbl_criterios[ID_Criterio],0))</f>
        <v>0.15</v>
      </c>
      <c r="E25" s="19">
        <f t="shared" si="0"/>
        <v>9.9999999999999992E-2</v>
      </c>
      <c r="F25" s="9" t="s">
        <v>196</v>
      </c>
      <c r="G25" s="17">
        <v>46223</v>
      </c>
      <c r="H25" s="9" t="s">
        <v>185</v>
      </c>
      <c r="I25" s="16" t="str">
        <f t="shared" si="1"/>
        <v>SUP-004|2</v>
      </c>
    </row>
    <row r="26" spans="1:9" ht="26.4" x14ac:dyDescent="0.3">
      <c r="A26" s="9" t="s">
        <v>140</v>
      </c>
      <c r="B26" s="9" t="s">
        <v>80</v>
      </c>
      <c r="C26" s="12">
        <v>2</v>
      </c>
      <c r="D26" s="15">
        <f>INDEX(tbl_criterios[Peso],MATCH(B26,tbl_criterios[ID_Criterio],0))</f>
        <v>0.15</v>
      </c>
      <c r="E26" s="19">
        <f t="shared" si="0"/>
        <v>9.9999999999999992E-2</v>
      </c>
      <c r="F26" s="9" t="s">
        <v>188</v>
      </c>
      <c r="G26" s="17">
        <v>46223</v>
      </c>
      <c r="H26" s="9" t="s">
        <v>185</v>
      </c>
      <c r="I26" s="16" t="str">
        <f t="shared" si="1"/>
        <v>SUP-004|2</v>
      </c>
    </row>
    <row r="27" spans="1:9" ht="26.4" x14ac:dyDescent="0.3">
      <c r="A27" s="9" t="s">
        <v>140</v>
      </c>
      <c r="B27" s="9" t="s">
        <v>83</v>
      </c>
      <c r="C27" s="12">
        <v>1</v>
      </c>
      <c r="D27" s="15">
        <f>INDEX(tbl_criterios[Peso],MATCH(B27,tbl_criterios[ID_Criterio],0))</f>
        <v>0.1</v>
      </c>
      <c r="E27" s="19">
        <f t="shared" si="0"/>
        <v>3.3333333333333333E-2</v>
      </c>
      <c r="F27" s="9" t="s">
        <v>194</v>
      </c>
      <c r="G27" s="17">
        <v>46223</v>
      </c>
      <c r="H27" s="9" t="s">
        <v>185</v>
      </c>
      <c r="I27" s="16" t="str">
        <f t="shared" si="1"/>
        <v>SUP-004|1</v>
      </c>
    </row>
    <row r="28" spans="1:9" ht="26.4" x14ac:dyDescent="0.3">
      <c r="A28" s="9" t="s">
        <v>140</v>
      </c>
      <c r="B28" s="9" t="s">
        <v>87</v>
      </c>
      <c r="C28" s="12">
        <v>2</v>
      </c>
      <c r="D28" s="15">
        <f>INDEX(tbl_criterios[Peso],MATCH(B28,tbl_criterios[ID_Criterio],0))</f>
        <v>0.1</v>
      </c>
      <c r="E28" s="19">
        <f t="shared" si="0"/>
        <v>6.6666666666666666E-2</v>
      </c>
      <c r="F28" s="9" t="s">
        <v>195</v>
      </c>
      <c r="G28" s="17">
        <v>46223</v>
      </c>
      <c r="H28" s="9" t="s">
        <v>185</v>
      </c>
      <c r="I28" s="16" t="str">
        <f t="shared" si="1"/>
        <v>SUP-004|2</v>
      </c>
    </row>
    <row r="29" spans="1:9" ht="26.4" x14ac:dyDescent="0.3">
      <c r="A29" s="9" t="s">
        <v>140</v>
      </c>
      <c r="B29" s="9" t="s">
        <v>91</v>
      </c>
      <c r="C29" s="12">
        <v>3</v>
      </c>
      <c r="D29" s="15">
        <f>INDEX(tbl_criterios[Peso],MATCH(B29,tbl_criterios[ID_Criterio],0))</f>
        <v>0.05</v>
      </c>
      <c r="E29" s="19">
        <f t="shared" si="0"/>
        <v>0.05</v>
      </c>
      <c r="F29" s="9" t="s">
        <v>191</v>
      </c>
      <c r="G29" s="17">
        <v>46223</v>
      </c>
      <c r="H29" s="9" t="s">
        <v>185</v>
      </c>
      <c r="I29" s="16" t="str">
        <f t="shared" si="1"/>
        <v>SUP-004|3</v>
      </c>
    </row>
    <row r="30" spans="1:9" ht="26.4" x14ac:dyDescent="0.3">
      <c r="A30" s="9" t="s">
        <v>147</v>
      </c>
      <c r="B30" s="9" t="s">
        <v>66</v>
      </c>
      <c r="C30" s="12">
        <v>1</v>
      </c>
      <c r="D30" s="15">
        <f>INDEX(tbl_criterios[Peso],MATCH(B30,tbl_criterios[ID_Criterio],0))</f>
        <v>0.25</v>
      </c>
      <c r="E30" s="19">
        <f t="shared" si="0"/>
        <v>8.3333333333333329E-2</v>
      </c>
      <c r="F30" s="9" t="s">
        <v>198</v>
      </c>
      <c r="G30" s="17">
        <v>46223</v>
      </c>
      <c r="H30" s="9" t="s">
        <v>185</v>
      </c>
      <c r="I30" s="16" t="str">
        <f t="shared" si="1"/>
        <v>SUP-005|1</v>
      </c>
    </row>
    <row r="31" spans="1:9" ht="26.4" x14ac:dyDescent="0.3">
      <c r="A31" s="9" t="s">
        <v>147</v>
      </c>
      <c r="B31" s="9" t="s">
        <v>71</v>
      </c>
      <c r="C31" s="12">
        <v>1</v>
      </c>
      <c r="D31" s="15">
        <f>INDEX(tbl_criterios[Peso],MATCH(B31,tbl_criterios[ID_Criterio],0))</f>
        <v>0.2</v>
      </c>
      <c r="E31" s="19">
        <f t="shared" si="0"/>
        <v>6.6666666666666666E-2</v>
      </c>
      <c r="F31" s="9" t="s">
        <v>199</v>
      </c>
      <c r="G31" s="17">
        <v>46223</v>
      </c>
      <c r="H31" s="9" t="s">
        <v>185</v>
      </c>
      <c r="I31" s="16" t="str">
        <f t="shared" si="1"/>
        <v>SUP-005|1</v>
      </c>
    </row>
    <row r="32" spans="1:9" ht="26.4" x14ac:dyDescent="0.3">
      <c r="A32" s="9" t="s">
        <v>147</v>
      </c>
      <c r="B32" s="9" t="s">
        <v>76</v>
      </c>
      <c r="C32" s="12">
        <v>0</v>
      </c>
      <c r="D32" s="15">
        <f>INDEX(tbl_criterios[Peso],MATCH(B32,tbl_criterios[ID_Criterio],0))</f>
        <v>0.15</v>
      </c>
      <c r="E32" s="19">
        <f t="shared" si="0"/>
        <v>0</v>
      </c>
      <c r="F32" s="9" t="s">
        <v>200</v>
      </c>
      <c r="G32" s="17">
        <v>46223</v>
      </c>
      <c r="H32" s="9" t="s">
        <v>185</v>
      </c>
      <c r="I32" s="16" t="str">
        <f t="shared" si="1"/>
        <v>SUP-005|0</v>
      </c>
    </row>
    <row r="33" spans="1:9" ht="26.4" x14ac:dyDescent="0.3">
      <c r="A33" s="9" t="s">
        <v>147</v>
      </c>
      <c r="B33" s="9" t="s">
        <v>80</v>
      </c>
      <c r="C33" s="12">
        <v>0</v>
      </c>
      <c r="D33" s="15">
        <f>INDEX(tbl_criterios[Peso],MATCH(B33,tbl_criterios[ID_Criterio],0))</f>
        <v>0.15</v>
      </c>
      <c r="E33" s="19">
        <f t="shared" si="0"/>
        <v>0</v>
      </c>
      <c r="F33" s="9" t="s">
        <v>201</v>
      </c>
      <c r="G33" s="17">
        <v>46223</v>
      </c>
      <c r="H33" s="9" t="s">
        <v>185</v>
      </c>
      <c r="I33" s="16" t="str">
        <f t="shared" si="1"/>
        <v>SUP-005|0</v>
      </c>
    </row>
    <row r="34" spans="1:9" ht="26.4" x14ac:dyDescent="0.3">
      <c r="A34" s="9" t="s">
        <v>147</v>
      </c>
      <c r="B34" s="9" t="s">
        <v>83</v>
      </c>
      <c r="C34" s="12">
        <v>0</v>
      </c>
      <c r="D34" s="15">
        <f>INDEX(tbl_criterios[Peso],MATCH(B34,tbl_criterios[ID_Criterio],0))</f>
        <v>0.1</v>
      </c>
      <c r="E34" s="19">
        <f t="shared" ref="E34:E65" si="2">C34/3*D34</f>
        <v>0</v>
      </c>
      <c r="F34" s="9" t="s">
        <v>189</v>
      </c>
      <c r="G34" s="17">
        <v>46223</v>
      </c>
      <c r="H34" s="9" t="s">
        <v>185</v>
      </c>
      <c r="I34" s="16" t="str">
        <f t="shared" ref="I34:I65" si="3">A34&amp;"|"&amp;C34</f>
        <v>SUP-005|0</v>
      </c>
    </row>
    <row r="35" spans="1:9" ht="26.4" x14ac:dyDescent="0.3">
      <c r="A35" s="9" t="s">
        <v>147</v>
      </c>
      <c r="B35" s="9" t="s">
        <v>87</v>
      </c>
      <c r="C35" s="12">
        <v>0</v>
      </c>
      <c r="D35" s="15">
        <f>INDEX(tbl_criterios[Peso],MATCH(B35,tbl_criterios[ID_Criterio],0))</f>
        <v>0.1</v>
      </c>
      <c r="E35" s="19">
        <f t="shared" si="2"/>
        <v>0</v>
      </c>
      <c r="F35" s="9" t="s">
        <v>202</v>
      </c>
      <c r="G35" s="17">
        <v>46223</v>
      </c>
      <c r="H35" s="9" t="s">
        <v>185</v>
      </c>
      <c r="I35" s="16" t="str">
        <f t="shared" si="3"/>
        <v>SUP-005|0</v>
      </c>
    </row>
    <row r="36" spans="1:9" ht="26.4" x14ac:dyDescent="0.3">
      <c r="A36" s="9" t="s">
        <v>147</v>
      </c>
      <c r="B36" s="9" t="s">
        <v>91</v>
      </c>
      <c r="C36" s="12">
        <v>1</v>
      </c>
      <c r="D36" s="15">
        <f>INDEX(tbl_criterios[Peso],MATCH(B36,tbl_criterios[ID_Criterio],0))</f>
        <v>0.05</v>
      </c>
      <c r="E36" s="19">
        <f t="shared" si="2"/>
        <v>1.6666666666666666E-2</v>
      </c>
      <c r="F36" s="9" t="s">
        <v>203</v>
      </c>
      <c r="G36" s="17">
        <v>46223</v>
      </c>
      <c r="H36" s="9" t="s">
        <v>185</v>
      </c>
      <c r="I36" s="16" t="str">
        <f t="shared" si="3"/>
        <v>SUP-005|1</v>
      </c>
    </row>
    <row r="37" spans="1:9" ht="26.4" x14ac:dyDescent="0.3">
      <c r="A37" s="9" t="s">
        <v>153</v>
      </c>
      <c r="B37" s="9" t="s">
        <v>66</v>
      </c>
      <c r="C37" s="12">
        <v>2</v>
      </c>
      <c r="D37" s="15">
        <f>INDEX(tbl_criterios[Peso],MATCH(B37,tbl_criterios[ID_Criterio],0))</f>
        <v>0.25</v>
      </c>
      <c r="E37" s="19">
        <f t="shared" si="2"/>
        <v>0.16666666666666666</v>
      </c>
      <c r="F37" s="9" t="s">
        <v>184</v>
      </c>
      <c r="G37" s="17">
        <v>46223</v>
      </c>
      <c r="H37" s="9" t="s">
        <v>185</v>
      </c>
      <c r="I37" s="16" t="str">
        <f t="shared" si="3"/>
        <v>SUP-006|2</v>
      </c>
    </row>
    <row r="38" spans="1:9" ht="26.4" x14ac:dyDescent="0.3">
      <c r="A38" s="9" t="s">
        <v>153</v>
      </c>
      <c r="B38" s="9" t="s">
        <v>71</v>
      </c>
      <c r="C38" s="12">
        <v>3</v>
      </c>
      <c r="D38" s="15">
        <f>INDEX(tbl_criterios[Peso],MATCH(B38,tbl_criterios[ID_Criterio],0))</f>
        <v>0.2</v>
      </c>
      <c r="E38" s="19">
        <f t="shared" si="2"/>
        <v>0.2</v>
      </c>
      <c r="F38" s="9" t="s">
        <v>186</v>
      </c>
      <c r="G38" s="17">
        <v>46223</v>
      </c>
      <c r="H38" s="9" t="s">
        <v>185</v>
      </c>
      <c r="I38" s="16" t="str">
        <f t="shared" si="3"/>
        <v>SUP-006|3</v>
      </c>
    </row>
    <row r="39" spans="1:9" ht="26.4" x14ac:dyDescent="0.3">
      <c r="A39" s="9" t="s">
        <v>153</v>
      </c>
      <c r="B39" s="9" t="s">
        <v>76</v>
      </c>
      <c r="C39" s="12">
        <v>3</v>
      </c>
      <c r="D39" s="15">
        <f>INDEX(tbl_criterios[Peso],MATCH(B39,tbl_criterios[ID_Criterio],0))</f>
        <v>0.15</v>
      </c>
      <c r="E39" s="19">
        <f t="shared" si="2"/>
        <v>0.15</v>
      </c>
      <c r="F39" s="9" t="s">
        <v>187</v>
      </c>
      <c r="G39" s="17">
        <v>46223</v>
      </c>
      <c r="H39" s="9" t="s">
        <v>185</v>
      </c>
      <c r="I39" s="16" t="str">
        <f t="shared" si="3"/>
        <v>SUP-006|3</v>
      </c>
    </row>
    <row r="40" spans="1:9" ht="26.4" x14ac:dyDescent="0.3">
      <c r="A40" s="9" t="s">
        <v>153</v>
      </c>
      <c r="B40" s="9" t="s">
        <v>80</v>
      </c>
      <c r="C40" s="12">
        <v>2</v>
      </c>
      <c r="D40" s="15">
        <f>INDEX(tbl_criterios[Peso],MATCH(B40,tbl_criterios[ID_Criterio],0))</f>
        <v>0.15</v>
      </c>
      <c r="E40" s="19">
        <f t="shared" si="2"/>
        <v>9.9999999999999992E-2</v>
      </c>
      <c r="F40" s="9" t="s">
        <v>188</v>
      </c>
      <c r="G40" s="17">
        <v>46223</v>
      </c>
      <c r="H40" s="9" t="s">
        <v>185</v>
      </c>
      <c r="I40" s="16" t="str">
        <f t="shared" si="3"/>
        <v>SUP-006|2</v>
      </c>
    </row>
    <row r="41" spans="1:9" ht="26.4" x14ac:dyDescent="0.3">
      <c r="A41" s="9" t="s">
        <v>153</v>
      </c>
      <c r="B41" s="9" t="s">
        <v>83</v>
      </c>
      <c r="C41" s="12">
        <v>1</v>
      </c>
      <c r="D41" s="15">
        <f>INDEX(tbl_criterios[Peso],MATCH(B41,tbl_criterios[ID_Criterio],0))</f>
        <v>0.1</v>
      </c>
      <c r="E41" s="19">
        <f t="shared" si="2"/>
        <v>3.3333333333333333E-2</v>
      </c>
      <c r="F41" s="9" t="s">
        <v>194</v>
      </c>
      <c r="G41" s="17">
        <v>46223</v>
      </c>
      <c r="H41" s="9" t="s">
        <v>185</v>
      </c>
      <c r="I41" s="16" t="str">
        <f t="shared" si="3"/>
        <v>SUP-006|1</v>
      </c>
    </row>
    <row r="42" spans="1:9" ht="26.4" x14ac:dyDescent="0.3">
      <c r="A42" s="9" t="s">
        <v>153</v>
      </c>
      <c r="B42" s="9" t="s">
        <v>87</v>
      </c>
      <c r="C42" s="12">
        <v>2</v>
      </c>
      <c r="D42" s="15">
        <f>INDEX(tbl_criterios[Peso],MATCH(B42,tbl_criterios[ID_Criterio],0))</f>
        <v>0.1</v>
      </c>
      <c r="E42" s="19">
        <f t="shared" si="2"/>
        <v>6.6666666666666666E-2</v>
      </c>
      <c r="F42" s="9" t="s">
        <v>195</v>
      </c>
      <c r="G42" s="17">
        <v>46223</v>
      </c>
      <c r="H42" s="9" t="s">
        <v>185</v>
      </c>
      <c r="I42" s="16" t="str">
        <f t="shared" si="3"/>
        <v>SUP-006|2</v>
      </c>
    </row>
    <row r="43" spans="1:9" ht="26.4" x14ac:dyDescent="0.3">
      <c r="A43" s="9" t="s">
        <v>153</v>
      </c>
      <c r="B43" s="9" t="s">
        <v>91</v>
      </c>
      <c r="C43" s="12">
        <v>3</v>
      </c>
      <c r="D43" s="15">
        <f>INDEX(tbl_criterios[Peso],MATCH(B43,tbl_criterios[ID_Criterio],0))</f>
        <v>0.05</v>
      </c>
      <c r="E43" s="19">
        <f t="shared" si="2"/>
        <v>0.05</v>
      </c>
      <c r="F43" s="9" t="s">
        <v>191</v>
      </c>
      <c r="G43" s="17">
        <v>46223</v>
      </c>
      <c r="H43" s="9" t="s">
        <v>185</v>
      </c>
      <c r="I43" s="16" t="str">
        <f t="shared" si="3"/>
        <v>SUP-006|3</v>
      </c>
    </row>
    <row r="44" spans="1:9" ht="26.4" x14ac:dyDescent="0.3">
      <c r="A44" s="9" t="s">
        <v>158</v>
      </c>
      <c r="B44" s="9" t="s">
        <v>66</v>
      </c>
      <c r="C44" s="12">
        <v>2</v>
      </c>
      <c r="D44" s="15">
        <f>INDEX(tbl_criterios[Peso],MATCH(B44,tbl_criterios[ID_Criterio],0))</f>
        <v>0.25</v>
      </c>
      <c r="E44" s="19">
        <f t="shared" si="2"/>
        <v>0.16666666666666666</v>
      </c>
      <c r="F44" s="9" t="s">
        <v>184</v>
      </c>
      <c r="G44" s="17">
        <v>46223</v>
      </c>
      <c r="H44" s="9" t="s">
        <v>185</v>
      </c>
      <c r="I44" s="16" t="str">
        <f t="shared" si="3"/>
        <v>SUP-007|2</v>
      </c>
    </row>
    <row r="45" spans="1:9" ht="26.4" x14ac:dyDescent="0.3">
      <c r="A45" s="9" t="s">
        <v>158</v>
      </c>
      <c r="B45" s="9" t="s">
        <v>71</v>
      </c>
      <c r="C45" s="12">
        <v>3</v>
      </c>
      <c r="D45" s="15">
        <f>INDEX(tbl_criterios[Peso],MATCH(B45,tbl_criterios[ID_Criterio],0))</f>
        <v>0.2</v>
      </c>
      <c r="E45" s="19">
        <f t="shared" si="2"/>
        <v>0.2</v>
      </c>
      <c r="F45" s="9" t="s">
        <v>186</v>
      </c>
      <c r="G45" s="17">
        <v>46223</v>
      </c>
      <c r="H45" s="9" t="s">
        <v>185</v>
      </c>
      <c r="I45" s="16" t="str">
        <f t="shared" si="3"/>
        <v>SUP-007|3</v>
      </c>
    </row>
    <row r="46" spans="1:9" ht="26.4" x14ac:dyDescent="0.3">
      <c r="A46" s="9" t="s">
        <v>158</v>
      </c>
      <c r="B46" s="9" t="s">
        <v>76</v>
      </c>
      <c r="C46" s="12">
        <v>2</v>
      </c>
      <c r="D46" s="15">
        <f>INDEX(tbl_criterios[Peso],MATCH(B46,tbl_criterios[ID_Criterio],0))</f>
        <v>0.15</v>
      </c>
      <c r="E46" s="19">
        <f t="shared" si="2"/>
        <v>9.9999999999999992E-2</v>
      </c>
      <c r="F46" s="9" t="s">
        <v>196</v>
      </c>
      <c r="G46" s="17">
        <v>46223</v>
      </c>
      <c r="H46" s="9" t="s">
        <v>185</v>
      </c>
      <c r="I46" s="16" t="str">
        <f t="shared" si="3"/>
        <v>SUP-007|2</v>
      </c>
    </row>
    <row r="47" spans="1:9" ht="26.4" x14ac:dyDescent="0.3">
      <c r="A47" s="9" t="s">
        <v>158</v>
      </c>
      <c r="B47" s="9" t="s">
        <v>80</v>
      </c>
      <c r="C47" s="12">
        <v>2</v>
      </c>
      <c r="D47" s="15">
        <f>INDEX(tbl_criterios[Peso],MATCH(B47,tbl_criterios[ID_Criterio],0))</f>
        <v>0.15</v>
      </c>
      <c r="E47" s="19">
        <f t="shared" si="2"/>
        <v>9.9999999999999992E-2</v>
      </c>
      <c r="F47" s="9" t="s">
        <v>188</v>
      </c>
      <c r="G47" s="17">
        <v>46223</v>
      </c>
      <c r="H47" s="9" t="s">
        <v>185</v>
      </c>
      <c r="I47" s="16" t="str">
        <f t="shared" si="3"/>
        <v>SUP-007|2</v>
      </c>
    </row>
    <row r="48" spans="1:9" ht="26.4" x14ac:dyDescent="0.3">
      <c r="A48" s="9" t="s">
        <v>158</v>
      </c>
      <c r="B48" s="9" t="s">
        <v>83</v>
      </c>
      <c r="C48" s="12">
        <v>2</v>
      </c>
      <c r="D48" s="15">
        <f>INDEX(tbl_criterios[Peso],MATCH(B48,tbl_criterios[ID_Criterio],0))</f>
        <v>0.1</v>
      </c>
      <c r="E48" s="19">
        <f t="shared" si="2"/>
        <v>6.6666666666666666E-2</v>
      </c>
      <c r="F48" s="9" t="s">
        <v>204</v>
      </c>
      <c r="G48" s="17">
        <v>46223</v>
      </c>
      <c r="H48" s="9" t="s">
        <v>185</v>
      </c>
      <c r="I48" s="16" t="str">
        <f t="shared" si="3"/>
        <v>SUP-007|2</v>
      </c>
    </row>
    <row r="49" spans="1:9" ht="26.4" x14ac:dyDescent="0.3">
      <c r="A49" s="9" t="s">
        <v>158</v>
      </c>
      <c r="B49" s="9" t="s">
        <v>87</v>
      </c>
      <c r="C49" s="12">
        <v>2</v>
      </c>
      <c r="D49" s="15">
        <f>INDEX(tbl_criterios[Peso],MATCH(B49,tbl_criterios[ID_Criterio],0))</f>
        <v>0.1</v>
      </c>
      <c r="E49" s="19">
        <f t="shared" si="2"/>
        <v>6.6666666666666666E-2</v>
      </c>
      <c r="F49" s="9" t="s">
        <v>195</v>
      </c>
      <c r="G49" s="17">
        <v>46223</v>
      </c>
      <c r="H49" s="9" t="s">
        <v>185</v>
      </c>
      <c r="I49" s="16" t="str">
        <f t="shared" si="3"/>
        <v>SUP-007|2</v>
      </c>
    </row>
    <row r="50" spans="1:9" ht="26.4" x14ac:dyDescent="0.3">
      <c r="A50" s="9" t="s">
        <v>158</v>
      </c>
      <c r="B50" s="9" t="s">
        <v>91</v>
      </c>
      <c r="C50" s="12">
        <v>3</v>
      </c>
      <c r="D50" s="15">
        <f>INDEX(tbl_criterios[Peso],MATCH(B50,tbl_criterios[ID_Criterio],0))</f>
        <v>0.05</v>
      </c>
      <c r="E50" s="19">
        <f t="shared" si="2"/>
        <v>0.05</v>
      </c>
      <c r="F50" s="9" t="s">
        <v>191</v>
      </c>
      <c r="G50" s="17">
        <v>46223</v>
      </c>
      <c r="H50" s="9" t="s">
        <v>185</v>
      </c>
      <c r="I50" s="16" t="str">
        <f t="shared" si="3"/>
        <v>SUP-007|3</v>
      </c>
    </row>
    <row r="51" spans="1:9" ht="26.4" x14ac:dyDescent="0.3">
      <c r="A51" s="9" t="s">
        <v>162</v>
      </c>
      <c r="B51" s="9" t="s">
        <v>66</v>
      </c>
      <c r="C51" s="12">
        <v>2</v>
      </c>
      <c r="D51" s="15">
        <f>INDEX(tbl_criterios[Peso],MATCH(B51,tbl_criterios[ID_Criterio],0))</f>
        <v>0.25</v>
      </c>
      <c r="E51" s="19">
        <f t="shared" si="2"/>
        <v>0.16666666666666666</v>
      </c>
      <c r="F51" s="9" t="s">
        <v>184</v>
      </c>
      <c r="G51" s="17">
        <v>46223</v>
      </c>
      <c r="H51" s="9" t="s">
        <v>185</v>
      </c>
      <c r="I51" s="16" t="str">
        <f t="shared" si="3"/>
        <v>SUP-008|2</v>
      </c>
    </row>
    <row r="52" spans="1:9" ht="26.4" x14ac:dyDescent="0.3">
      <c r="A52" s="9" t="s">
        <v>162</v>
      </c>
      <c r="B52" s="9" t="s">
        <v>71</v>
      </c>
      <c r="C52" s="12">
        <v>2</v>
      </c>
      <c r="D52" s="15">
        <f>INDEX(tbl_criterios[Peso],MATCH(B52,tbl_criterios[ID_Criterio],0))</f>
        <v>0.2</v>
      </c>
      <c r="E52" s="19">
        <f t="shared" si="2"/>
        <v>0.13333333333333333</v>
      </c>
      <c r="F52" s="9" t="s">
        <v>205</v>
      </c>
      <c r="G52" s="17">
        <v>46223</v>
      </c>
      <c r="H52" s="9" t="s">
        <v>185</v>
      </c>
      <c r="I52" s="16" t="str">
        <f t="shared" si="3"/>
        <v>SUP-008|2</v>
      </c>
    </row>
    <row r="53" spans="1:9" ht="26.4" x14ac:dyDescent="0.3">
      <c r="A53" s="9" t="s">
        <v>162</v>
      </c>
      <c r="B53" s="9" t="s">
        <v>76</v>
      </c>
      <c r="C53" s="12">
        <v>1</v>
      </c>
      <c r="D53" s="15">
        <f>INDEX(tbl_criterios[Peso],MATCH(B53,tbl_criterios[ID_Criterio],0))</f>
        <v>0.15</v>
      </c>
      <c r="E53" s="19">
        <f t="shared" si="2"/>
        <v>4.9999999999999996E-2</v>
      </c>
      <c r="F53" s="9" t="s">
        <v>206</v>
      </c>
      <c r="G53" s="17">
        <v>46223</v>
      </c>
      <c r="H53" s="9" t="s">
        <v>185</v>
      </c>
      <c r="I53" s="16" t="str">
        <f t="shared" si="3"/>
        <v>SUP-008|1</v>
      </c>
    </row>
    <row r="54" spans="1:9" ht="26.4" x14ac:dyDescent="0.3">
      <c r="A54" s="9" t="s">
        <v>162</v>
      </c>
      <c r="B54" s="9" t="s">
        <v>80</v>
      </c>
      <c r="C54" s="12">
        <v>1</v>
      </c>
      <c r="D54" s="15">
        <f>INDEX(tbl_criterios[Peso],MATCH(B54,tbl_criterios[ID_Criterio],0))</f>
        <v>0.15</v>
      </c>
      <c r="E54" s="19">
        <f t="shared" si="2"/>
        <v>4.9999999999999996E-2</v>
      </c>
      <c r="F54" s="9" t="s">
        <v>197</v>
      </c>
      <c r="G54" s="17">
        <v>46223</v>
      </c>
      <c r="H54" s="9" t="s">
        <v>185</v>
      </c>
      <c r="I54" s="16" t="str">
        <f t="shared" si="3"/>
        <v>SUP-008|1</v>
      </c>
    </row>
    <row r="55" spans="1:9" ht="26.4" x14ac:dyDescent="0.3">
      <c r="A55" s="9" t="s">
        <v>162</v>
      </c>
      <c r="B55" s="9" t="s">
        <v>83</v>
      </c>
      <c r="C55" s="12">
        <v>3</v>
      </c>
      <c r="D55" s="15">
        <f>INDEX(tbl_criterios[Peso],MATCH(B55,tbl_criterios[ID_Criterio],0))</f>
        <v>0.1</v>
      </c>
      <c r="E55" s="19">
        <f t="shared" si="2"/>
        <v>0.1</v>
      </c>
      <c r="F55" s="9" t="s">
        <v>207</v>
      </c>
      <c r="G55" s="17">
        <v>46223</v>
      </c>
      <c r="H55" s="9" t="s">
        <v>185</v>
      </c>
      <c r="I55" s="16" t="str">
        <f t="shared" si="3"/>
        <v>SUP-008|3</v>
      </c>
    </row>
    <row r="56" spans="1:9" ht="26.4" x14ac:dyDescent="0.3">
      <c r="A56" s="9" t="s">
        <v>162</v>
      </c>
      <c r="B56" s="9" t="s">
        <v>87</v>
      </c>
      <c r="C56" s="12">
        <v>3</v>
      </c>
      <c r="D56" s="15">
        <f>INDEX(tbl_criterios[Peso],MATCH(B56,tbl_criterios[ID_Criterio],0))</f>
        <v>0.1</v>
      </c>
      <c r="E56" s="19">
        <f t="shared" si="2"/>
        <v>0.1</v>
      </c>
      <c r="F56" s="9" t="s">
        <v>208</v>
      </c>
      <c r="G56" s="17">
        <v>46223</v>
      </c>
      <c r="H56" s="9" t="s">
        <v>185</v>
      </c>
      <c r="I56" s="16" t="str">
        <f t="shared" si="3"/>
        <v>SUP-008|3</v>
      </c>
    </row>
    <row r="57" spans="1:9" ht="26.4" x14ac:dyDescent="0.3">
      <c r="A57" s="9" t="s">
        <v>162</v>
      </c>
      <c r="B57" s="9" t="s">
        <v>91</v>
      </c>
      <c r="C57" s="12">
        <v>3</v>
      </c>
      <c r="D57" s="15">
        <f>INDEX(tbl_criterios[Peso],MATCH(B57,tbl_criterios[ID_Criterio],0))</f>
        <v>0.05</v>
      </c>
      <c r="E57" s="19">
        <f t="shared" si="2"/>
        <v>0.05</v>
      </c>
      <c r="F57" s="9" t="s">
        <v>191</v>
      </c>
      <c r="G57" s="17">
        <v>46223</v>
      </c>
      <c r="H57" s="9" t="s">
        <v>185</v>
      </c>
      <c r="I57" s="16" t="str">
        <f t="shared" si="3"/>
        <v>SUP-008|3</v>
      </c>
    </row>
    <row r="58" spans="1:9" ht="26.4" x14ac:dyDescent="0.3">
      <c r="A58" s="9" t="s">
        <v>168</v>
      </c>
      <c r="B58" s="9" t="s">
        <v>66</v>
      </c>
      <c r="C58" s="12">
        <v>2</v>
      </c>
      <c r="D58" s="15">
        <f>INDEX(tbl_criterios[Peso],MATCH(B58,tbl_criterios[ID_Criterio],0))</f>
        <v>0.25</v>
      </c>
      <c r="E58" s="19">
        <f t="shared" si="2"/>
        <v>0.16666666666666666</v>
      </c>
      <c r="F58" s="9" t="s">
        <v>184</v>
      </c>
      <c r="G58" s="17">
        <v>46223</v>
      </c>
      <c r="H58" s="9" t="s">
        <v>185</v>
      </c>
      <c r="I58" s="16" t="str">
        <f t="shared" si="3"/>
        <v>SUP-009|2</v>
      </c>
    </row>
    <row r="59" spans="1:9" ht="26.4" x14ac:dyDescent="0.3">
      <c r="A59" s="9" t="s">
        <v>168</v>
      </c>
      <c r="B59" s="9" t="s">
        <v>71</v>
      </c>
      <c r="C59" s="12">
        <v>2</v>
      </c>
      <c r="D59" s="15">
        <f>INDEX(tbl_criterios[Peso],MATCH(B59,tbl_criterios[ID_Criterio],0))</f>
        <v>0.2</v>
      </c>
      <c r="E59" s="19">
        <f t="shared" si="2"/>
        <v>0.13333333333333333</v>
      </c>
      <c r="F59" s="9" t="s">
        <v>205</v>
      </c>
      <c r="G59" s="17">
        <v>46223</v>
      </c>
      <c r="H59" s="9" t="s">
        <v>185</v>
      </c>
      <c r="I59" s="16" t="str">
        <f t="shared" si="3"/>
        <v>SUP-009|2</v>
      </c>
    </row>
    <row r="60" spans="1:9" ht="26.4" x14ac:dyDescent="0.3">
      <c r="A60" s="9" t="s">
        <v>168</v>
      </c>
      <c r="B60" s="9" t="s">
        <v>76</v>
      </c>
      <c r="C60" s="12">
        <v>1</v>
      </c>
      <c r="D60" s="15">
        <f>INDEX(tbl_criterios[Peso],MATCH(B60,tbl_criterios[ID_Criterio],0))</f>
        <v>0.15</v>
      </c>
      <c r="E60" s="19">
        <f t="shared" si="2"/>
        <v>4.9999999999999996E-2</v>
      </c>
      <c r="F60" s="9" t="s">
        <v>206</v>
      </c>
      <c r="G60" s="17">
        <v>46223</v>
      </c>
      <c r="H60" s="9" t="s">
        <v>185</v>
      </c>
      <c r="I60" s="16" t="str">
        <f t="shared" si="3"/>
        <v>SUP-009|1</v>
      </c>
    </row>
    <row r="61" spans="1:9" ht="26.4" x14ac:dyDescent="0.3">
      <c r="A61" s="9" t="s">
        <v>168</v>
      </c>
      <c r="B61" s="9" t="s">
        <v>80</v>
      </c>
      <c r="C61" s="12">
        <v>1</v>
      </c>
      <c r="D61" s="15">
        <f>INDEX(tbl_criterios[Peso],MATCH(B61,tbl_criterios[ID_Criterio],0))</f>
        <v>0.15</v>
      </c>
      <c r="E61" s="19">
        <f t="shared" si="2"/>
        <v>4.9999999999999996E-2</v>
      </c>
      <c r="F61" s="9" t="s">
        <v>197</v>
      </c>
      <c r="G61" s="17">
        <v>46223</v>
      </c>
      <c r="H61" s="9" t="s">
        <v>185</v>
      </c>
      <c r="I61" s="16" t="str">
        <f t="shared" si="3"/>
        <v>SUP-009|1</v>
      </c>
    </row>
    <row r="62" spans="1:9" ht="26.4" x14ac:dyDescent="0.3">
      <c r="A62" s="9" t="s">
        <v>168</v>
      </c>
      <c r="B62" s="9" t="s">
        <v>83</v>
      </c>
      <c r="C62" s="12">
        <v>0</v>
      </c>
      <c r="D62" s="15">
        <f>INDEX(tbl_criterios[Peso],MATCH(B62,tbl_criterios[ID_Criterio],0))</f>
        <v>0.1</v>
      </c>
      <c r="E62" s="19">
        <f t="shared" si="2"/>
        <v>0</v>
      </c>
      <c r="F62" s="9" t="s">
        <v>189</v>
      </c>
      <c r="G62" s="17">
        <v>46223</v>
      </c>
      <c r="H62" s="9" t="s">
        <v>185</v>
      </c>
      <c r="I62" s="16" t="str">
        <f t="shared" si="3"/>
        <v>SUP-009|0</v>
      </c>
    </row>
    <row r="63" spans="1:9" ht="26.4" x14ac:dyDescent="0.3">
      <c r="A63" s="9" t="s">
        <v>168</v>
      </c>
      <c r="B63" s="9" t="s">
        <v>87</v>
      </c>
      <c r="C63" s="12">
        <v>1</v>
      </c>
      <c r="D63" s="15">
        <f>INDEX(tbl_criterios[Peso],MATCH(B63,tbl_criterios[ID_Criterio],0))</f>
        <v>0.1</v>
      </c>
      <c r="E63" s="19">
        <f t="shared" si="2"/>
        <v>3.3333333333333333E-2</v>
      </c>
      <c r="F63" s="9" t="s">
        <v>190</v>
      </c>
      <c r="G63" s="17">
        <v>46223</v>
      </c>
      <c r="H63" s="9" t="s">
        <v>185</v>
      </c>
      <c r="I63" s="16" t="str">
        <f t="shared" si="3"/>
        <v>SUP-009|1</v>
      </c>
    </row>
    <row r="64" spans="1:9" ht="26.4" x14ac:dyDescent="0.3">
      <c r="A64" s="9" t="s">
        <v>168</v>
      </c>
      <c r="B64" s="9" t="s">
        <v>91</v>
      </c>
      <c r="C64" s="12">
        <v>3</v>
      </c>
      <c r="D64" s="15">
        <f>INDEX(tbl_criterios[Peso],MATCH(B64,tbl_criterios[ID_Criterio],0))</f>
        <v>0.05</v>
      </c>
      <c r="E64" s="19">
        <f t="shared" si="2"/>
        <v>0.05</v>
      </c>
      <c r="F64" s="9" t="s">
        <v>191</v>
      </c>
      <c r="G64" s="17">
        <v>46223</v>
      </c>
      <c r="H64" s="9" t="s">
        <v>185</v>
      </c>
      <c r="I64" s="16" t="str">
        <f t="shared" si="3"/>
        <v>SUP-009|3</v>
      </c>
    </row>
    <row r="65" spans="1:9" ht="26.4" x14ac:dyDescent="0.3">
      <c r="A65" s="9" t="s">
        <v>174</v>
      </c>
      <c r="B65" s="9" t="s">
        <v>66</v>
      </c>
      <c r="C65" s="12">
        <v>3</v>
      </c>
      <c r="D65" s="15">
        <f>INDEX(tbl_criterios[Peso],MATCH(B65,tbl_criterios[ID_Criterio],0))</f>
        <v>0.25</v>
      </c>
      <c r="E65" s="19">
        <f t="shared" si="2"/>
        <v>0.25</v>
      </c>
      <c r="F65" s="9" t="s">
        <v>192</v>
      </c>
      <c r="G65" s="17">
        <v>46223</v>
      </c>
      <c r="H65" s="9" t="s">
        <v>185</v>
      </c>
      <c r="I65" s="16" t="str">
        <f t="shared" si="3"/>
        <v>SUP-010|3</v>
      </c>
    </row>
    <row r="66" spans="1:9" ht="26.4" x14ac:dyDescent="0.3">
      <c r="A66" s="9" t="s">
        <v>174</v>
      </c>
      <c r="B66" s="9" t="s">
        <v>71</v>
      </c>
      <c r="C66" s="12">
        <v>3</v>
      </c>
      <c r="D66" s="15">
        <f>INDEX(tbl_criterios[Peso],MATCH(B66,tbl_criterios[ID_Criterio],0))</f>
        <v>0.2</v>
      </c>
      <c r="E66" s="19">
        <f t="shared" ref="E66:E97" si="4">C66/3*D66</f>
        <v>0.2</v>
      </c>
      <c r="F66" s="9" t="s">
        <v>186</v>
      </c>
      <c r="G66" s="17">
        <v>46223</v>
      </c>
      <c r="H66" s="9" t="s">
        <v>185</v>
      </c>
      <c r="I66" s="16" t="str">
        <f t="shared" ref="I66:I71" si="5">A66&amp;"|"&amp;C66</f>
        <v>SUP-010|3</v>
      </c>
    </row>
    <row r="67" spans="1:9" ht="26.4" x14ac:dyDescent="0.3">
      <c r="A67" s="9" t="s">
        <v>174</v>
      </c>
      <c r="B67" s="9" t="s">
        <v>76</v>
      </c>
      <c r="C67" s="12">
        <v>2</v>
      </c>
      <c r="D67" s="15">
        <f>INDEX(tbl_criterios[Peso],MATCH(B67,tbl_criterios[ID_Criterio],0))</f>
        <v>0.15</v>
      </c>
      <c r="E67" s="19">
        <f t="shared" si="4"/>
        <v>9.9999999999999992E-2</v>
      </c>
      <c r="F67" s="9" t="s">
        <v>196</v>
      </c>
      <c r="G67" s="17">
        <v>46223</v>
      </c>
      <c r="H67" s="9" t="s">
        <v>185</v>
      </c>
      <c r="I67" s="16" t="str">
        <f t="shared" si="5"/>
        <v>SUP-010|2</v>
      </c>
    </row>
    <row r="68" spans="1:9" ht="26.4" x14ac:dyDescent="0.3">
      <c r="A68" s="9" t="s">
        <v>174</v>
      </c>
      <c r="B68" s="9" t="s">
        <v>80</v>
      </c>
      <c r="C68" s="12">
        <v>2</v>
      </c>
      <c r="D68" s="15">
        <f>INDEX(tbl_criterios[Peso],MATCH(B68,tbl_criterios[ID_Criterio],0))</f>
        <v>0.15</v>
      </c>
      <c r="E68" s="19">
        <f t="shared" si="4"/>
        <v>9.9999999999999992E-2</v>
      </c>
      <c r="F68" s="9" t="s">
        <v>188</v>
      </c>
      <c r="G68" s="17">
        <v>46223</v>
      </c>
      <c r="H68" s="9" t="s">
        <v>185</v>
      </c>
      <c r="I68" s="16" t="str">
        <f t="shared" si="5"/>
        <v>SUP-010|2</v>
      </c>
    </row>
    <row r="69" spans="1:9" ht="26.4" x14ac:dyDescent="0.3">
      <c r="A69" s="9" t="s">
        <v>174</v>
      </c>
      <c r="B69" s="9" t="s">
        <v>83</v>
      </c>
      <c r="C69" s="12">
        <v>2</v>
      </c>
      <c r="D69" s="15">
        <f>INDEX(tbl_criterios[Peso],MATCH(B69,tbl_criterios[ID_Criterio],0))</f>
        <v>0.1</v>
      </c>
      <c r="E69" s="19">
        <f t="shared" si="4"/>
        <v>6.6666666666666666E-2</v>
      </c>
      <c r="F69" s="9" t="s">
        <v>204</v>
      </c>
      <c r="G69" s="17">
        <v>46223</v>
      </c>
      <c r="H69" s="9" t="s">
        <v>185</v>
      </c>
      <c r="I69" s="16" t="str">
        <f t="shared" si="5"/>
        <v>SUP-010|2</v>
      </c>
    </row>
    <row r="70" spans="1:9" ht="26.4" x14ac:dyDescent="0.3">
      <c r="A70" s="9" t="s">
        <v>174</v>
      </c>
      <c r="B70" s="9" t="s">
        <v>87</v>
      </c>
      <c r="C70" s="12">
        <v>2</v>
      </c>
      <c r="D70" s="15">
        <f>INDEX(tbl_criterios[Peso],MATCH(B70,tbl_criterios[ID_Criterio],0))</f>
        <v>0.1</v>
      </c>
      <c r="E70" s="19">
        <f t="shared" si="4"/>
        <v>6.6666666666666666E-2</v>
      </c>
      <c r="F70" s="9" t="s">
        <v>195</v>
      </c>
      <c r="G70" s="17">
        <v>46223</v>
      </c>
      <c r="H70" s="9" t="s">
        <v>185</v>
      </c>
      <c r="I70" s="16" t="str">
        <f t="shared" si="5"/>
        <v>SUP-010|2</v>
      </c>
    </row>
    <row r="71" spans="1:9" ht="26.4" x14ac:dyDescent="0.3">
      <c r="A71" s="9" t="s">
        <v>174</v>
      </c>
      <c r="B71" s="9" t="s">
        <v>91</v>
      </c>
      <c r="C71" s="12">
        <v>3</v>
      </c>
      <c r="D71" s="15">
        <f>INDEX(tbl_criterios[Peso],MATCH(B71,tbl_criterios[ID_Criterio],0))</f>
        <v>0.05</v>
      </c>
      <c r="E71" s="19">
        <f t="shared" si="4"/>
        <v>0.05</v>
      </c>
      <c r="F71" s="9" t="s">
        <v>191</v>
      </c>
      <c r="G71" s="17">
        <v>46223</v>
      </c>
      <c r="H71" s="9" t="s">
        <v>185</v>
      </c>
      <c r="I71" s="16" t="str">
        <f t="shared" si="5"/>
        <v>SUP-010|3</v>
      </c>
    </row>
  </sheetData>
  <conditionalFormatting sqref="C2:C271">
    <cfRule type="expression" dxfId="9" priority="1">
      <formula>C2=0</formula>
    </cfRule>
    <cfRule type="expression" dxfId="8" priority="2">
      <formula>C2=3</formula>
    </cfRule>
  </conditionalFormatting>
  <dataValidations count="1">
    <dataValidation type="list" allowBlank="1" showErrorMessage="1" errorTitle="Valor inválido" error="Valor fora da lista controlada (ver folha Listas)." sqref="C2:C271" xr:uid="{00000000-0002-0000-0300-000000000000}">
      <formula1>lst_Score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7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34" customWidth="1"/>
    <col min="3" max="3" width="26" customWidth="1"/>
    <col min="4" max="4" width="50" customWidth="1"/>
    <col min="5" max="5" width="40" customWidth="1"/>
    <col min="6" max="6" width="36" customWidth="1"/>
    <col min="7" max="7" width="14" customWidth="1"/>
    <col min="8" max="8" width="9" customWidth="1"/>
    <col min="9" max="9" width="10" customWidth="1"/>
    <col min="10" max="10" width="44" customWidth="1"/>
    <col min="11" max="11" width="30" customWidth="1"/>
    <col min="12" max="12" width="12" customWidth="1"/>
    <col min="13" max="13" width="11" customWidth="1"/>
    <col min="14" max="14" width="12" customWidth="1"/>
    <col min="15" max="15" width="26" customWidth="1"/>
    <col min="16" max="16" width="18" customWidth="1"/>
  </cols>
  <sheetData>
    <row r="1" spans="1:16" ht="26.4" x14ac:dyDescent="0.3">
      <c r="A1" s="8" t="s">
        <v>209</v>
      </c>
      <c r="B1" s="8" t="s">
        <v>210</v>
      </c>
      <c r="C1" s="8" t="s">
        <v>101</v>
      </c>
      <c r="D1" s="8" t="s">
        <v>211</v>
      </c>
      <c r="E1" s="8" t="s">
        <v>212</v>
      </c>
      <c r="F1" s="8" t="s">
        <v>63</v>
      </c>
      <c r="G1" s="8" t="s">
        <v>115</v>
      </c>
      <c r="H1" s="8" t="s">
        <v>213</v>
      </c>
      <c r="I1" s="8" t="s">
        <v>116</v>
      </c>
      <c r="J1" s="8" t="s">
        <v>117</v>
      </c>
      <c r="K1" s="8" t="s">
        <v>214</v>
      </c>
      <c r="L1" s="8" t="s">
        <v>215</v>
      </c>
      <c r="M1" s="8" t="s">
        <v>216</v>
      </c>
      <c r="N1" s="8" t="s">
        <v>217</v>
      </c>
      <c r="O1" s="8" t="s">
        <v>218</v>
      </c>
      <c r="P1" s="11" t="s">
        <v>219</v>
      </c>
    </row>
    <row r="2" spans="1:16" ht="40.049999999999997" customHeight="1" x14ac:dyDescent="0.3">
      <c r="A2" s="9" t="s">
        <v>220</v>
      </c>
      <c r="B2" s="9" t="s">
        <v>221</v>
      </c>
      <c r="C2" s="9" t="s">
        <v>222</v>
      </c>
      <c r="D2" s="9" t="s">
        <v>223</v>
      </c>
      <c r="E2" s="9" t="s">
        <v>224</v>
      </c>
      <c r="F2" s="9" t="s">
        <v>225</v>
      </c>
      <c r="G2" s="9" t="s">
        <v>226</v>
      </c>
      <c r="H2" s="9" t="s">
        <v>138</v>
      </c>
      <c r="I2" s="9" t="s">
        <v>127</v>
      </c>
      <c r="J2" s="9" t="s">
        <v>227</v>
      </c>
      <c r="K2" s="9" t="s">
        <v>228</v>
      </c>
      <c r="L2" s="9" t="s">
        <v>229</v>
      </c>
      <c r="M2" s="17">
        <v>46112</v>
      </c>
      <c r="N2" s="9" t="s">
        <v>230</v>
      </c>
      <c r="O2" s="9" t="s">
        <v>231</v>
      </c>
      <c r="P2" s="16" t="str">
        <f t="shared" ref="P2:P27" si="0">IF(A2="","",IF(N2="Não conforme","Ação necessária",IF(M2="","Sem verificação",IF(DataRef-M2&gt;400,"Verificação vencida","OK"))))</f>
        <v>OK</v>
      </c>
    </row>
    <row r="3" spans="1:16" ht="40.049999999999997" customHeight="1" x14ac:dyDescent="0.3">
      <c r="A3" s="9" t="s">
        <v>232</v>
      </c>
      <c r="B3" s="9" t="s">
        <v>233</v>
      </c>
      <c r="C3" s="9" t="s">
        <v>234</v>
      </c>
      <c r="D3" s="9" t="s">
        <v>235</v>
      </c>
      <c r="E3" s="9" t="s">
        <v>236</v>
      </c>
      <c r="F3" s="9" t="s">
        <v>237</v>
      </c>
      <c r="G3" s="9" t="s">
        <v>238</v>
      </c>
      <c r="H3" s="9" t="s">
        <v>124</v>
      </c>
      <c r="I3" s="9" t="s">
        <v>145</v>
      </c>
      <c r="J3" s="9" t="s">
        <v>239</v>
      </c>
      <c r="K3" s="9" t="s">
        <v>240</v>
      </c>
      <c r="L3" s="9" t="s">
        <v>241</v>
      </c>
      <c r="M3" s="17">
        <v>46284</v>
      </c>
      <c r="N3" s="9" t="s">
        <v>242</v>
      </c>
      <c r="O3" s="9" t="s">
        <v>231</v>
      </c>
      <c r="P3" s="16" t="str">
        <f t="shared" si="0"/>
        <v>OK</v>
      </c>
    </row>
    <row r="4" spans="1:16" ht="40.049999999999997" customHeight="1" x14ac:dyDescent="0.3">
      <c r="A4" s="9" t="s">
        <v>243</v>
      </c>
      <c r="B4" s="9" t="s">
        <v>244</v>
      </c>
      <c r="C4" s="9" t="s">
        <v>234</v>
      </c>
      <c r="D4" s="9" t="s">
        <v>245</v>
      </c>
      <c r="E4" s="9" t="s">
        <v>246</v>
      </c>
      <c r="F4" s="9" t="s">
        <v>247</v>
      </c>
      <c r="G4" s="9" t="s">
        <v>248</v>
      </c>
      <c r="H4" s="9" t="s">
        <v>124</v>
      </c>
      <c r="I4" s="9" t="s">
        <v>145</v>
      </c>
      <c r="J4" s="9" t="s">
        <v>249</v>
      </c>
      <c r="K4" s="9" t="s">
        <v>250</v>
      </c>
      <c r="L4" s="9" t="s">
        <v>241</v>
      </c>
      <c r="M4" s="17">
        <v>46284</v>
      </c>
      <c r="N4" s="9" t="s">
        <v>242</v>
      </c>
      <c r="O4" s="9" t="s">
        <v>231</v>
      </c>
      <c r="P4" s="16" t="str">
        <f t="shared" si="0"/>
        <v>OK</v>
      </c>
    </row>
    <row r="5" spans="1:16" ht="40.049999999999997" customHeight="1" x14ac:dyDescent="0.3">
      <c r="A5" s="9" t="s">
        <v>251</v>
      </c>
      <c r="B5" s="9" t="s">
        <v>252</v>
      </c>
      <c r="C5" s="9" t="s">
        <v>253</v>
      </c>
      <c r="D5" s="9" t="s">
        <v>254</v>
      </c>
      <c r="E5" s="9" t="s">
        <v>255</v>
      </c>
      <c r="F5" s="9" t="s">
        <v>256</v>
      </c>
      <c r="G5" s="9" t="s">
        <v>257</v>
      </c>
      <c r="H5" s="9" t="s">
        <v>258</v>
      </c>
      <c r="I5" s="9" t="s">
        <v>145</v>
      </c>
      <c r="J5" s="9" t="s">
        <v>259</v>
      </c>
      <c r="K5" s="9" t="s">
        <v>255</v>
      </c>
      <c r="L5" s="9" t="s">
        <v>229</v>
      </c>
      <c r="M5" s="17">
        <v>46073</v>
      </c>
      <c r="N5" s="9" t="s">
        <v>242</v>
      </c>
      <c r="O5" s="9" t="s">
        <v>231</v>
      </c>
      <c r="P5" s="16" t="str">
        <f t="shared" si="0"/>
        <v>OK</v>
      </c>
    </row>
    <row r="6" spans="1:16" ht="40.049999999999997" customHeight="1" x14ac:dyDescent="0.3">
      <c r="A6" s="9" t="s">
        <v>260</v>
      </c>
      <c r="B6" s="9" t="s">
        <v>261</v>
      </c>
      <c r="C6" s="9" t="s">
        <v>262</v>
      </c>
      <c r="D6" s="9" t="s">
        <v>263</v>
      </c>
      <c r="E6" s="9" t="s">
        <v>264</v>
      </c>
      <c r="F6" s="9" t="s">
        <v>265</v>
      </c>
      <c r="G6" s="9" t="s">
        <v>266</v>
      </c>
      <c r="H6" s="9" t="s">
        <v>124</v>
      </c>
      <c r="I6" s="9" t="s">
        <v>145</v>
      </c>
      <c r="J6" s="9" t="s">
        <v>267</v>
      </c>
      <c r="K6" s="9" t="s">
        <v>268</v>
      </c>
      <c r="L6" s="9" t="s">
        <v>269</v>
      </c>
      <c r="M6" s="17">
        <v>46156</v>
      </c>
      <c r="N6" s="9" t="s">
        <v>230</v>
      </c>
      <c r="O6" s="9" t="s">
        <v>270</v>
      </c>
      <c r="P6" s="16" t="str">
        <f t="shared" si="0"/>
        <v>OK</v>
      </c>
    </row>
    <row r="7" spans="1:16" ht="40.049999999999997" customHeight="1" x14ac:dyDescent="0.3">
      <c r="A7" s="9" t="s">
        <v>271</v>
      </c>
      <c r="B7" s="9" t="s">
        <v>272</v>
      </c>
      <c r="C7" s="9" t="s">
        <v>262</v>
      </c>
      <c r="D7" s="9" t="s">
        <v>273</v>
      </c>
      <c r="E7" s="9" t="s">
        <v>274</v>
      </c>
      <c r="F7" s="9" t="s">
        <v>275</v>
      </c>
      <c r="G7" s="9" t="s">
        <v>276</v>
      </c>
      <c r="H7" s="9" t="s">
        <v>124</v>
      </c>
      <c r="I7" s="9" t="s">
        <v>145</v>
      </c>
      <c r="J7" s="9" t="s">
        <v>277</v>
      </c>
      <c r="K7" s="9" t="s">
        <v>278</v>
      </c>
      <c r="L7" s="9" t="s">
        <v>269</v>
      </c>
      <c r="M7" s="17">
        <v>46083</v>
      </c>
      <c r="N7" s="9" t="s">
        <v>242</v>
      </c>
      <c r="O7" s="9" t="s">
        <v>270</v>
      </c>
      <c r="P7" s="16" t="str">
        <f t="shared" si="0"/>
        <v>OK</v>
      </c>
    </row>
    <row r="8" spans="1:16" ht="40.049999999999997" customHeight="1" x14ac:dyDescent="0.3">
      <c r="A8" s="9" t="s">
        <v>279</v>
      </c>
      <c r="B8" s="9" t="s">
        <v>280</v>
      </c>
      <c r="C8" s="9" t="s">
        <v>262</v>
      </c>
      <c r="D8" s="9" t="s">
        <v>281</v>
      </c>
      <c r="E8" s="9" t="s">
        <v>282</v>
      </c>
      <c r="F8" s="9" t="s">
        <v>283</v>
      </c>
      <c r="G8" s="9" t="s">
        <v>284</v>
      </c>
      <c r="H8" s="9" t="s">
        <v>138</v>
      </c>
      <c r="I8" s="9" t="s">
        <v>145</v>
      </c>
      <c r="J8" s="9" t="s">
        <v>285</v>
      </c>
      <c r="K8" s="9" t="s">
        <v>286</v>
      </c>
      <c r="L8" s="9" t="s">
        <v>269</v>
      </c>
      <c r="M8" s="17">
        <v>46099</v>
      </c>
      <c r="N8" s="9" t="s">
        <v>230</v>
      </c>
      <c r="O8" s="9" t="s">
        <v>270</v>
      </c>
      <c r="P8" s="16" t="str">
        <f t="shared" si="0"/>
        <v>OK</v>
      </c>
    </row>
    <row r="9" spans="1:16" ht="40.049999999999997" customHeight="1" x14ac:dyDescent="0.3">
      <c r="A9" s="9" t="s">
        <v>287</v>
      </c>
      <c r="B9" s="9" t="s">
        <v>288</v>
      </c>
      <c r="C9" s="9" t="s">
        <v>262</v>
      </c>
      <c r="D9" s="9" t="s">
        <v>289</v>
      </c>
      <c r="E9" s="9" t="s">
        <v>290</v>
      </c>
      <c r="F9" s="9" t="s">
        <v>291</v>
      </c>
      <c r="G9" s="9" t="s">
        <v>292</v>
      </c>
      <c r="H9" s="9" t="s">
        <v>138</v>
      </c>
      <c r="I9" s="9" t="s">
        <v>145</v>
      </c>
      <c r="J9" s="9" t="s">
        <v>293</v>
      </c>
      <c r="K9" s="9" t="s">
        <v>286</v>
      </c>
      <c r="L9" s="9" t="s">
        <v>269</v>
      </c>
      <c r="M9" s="17">
        <v>46358</v>
      </c>
      <c r="N9" s="9" t="s">
        <v>242</v>
      </c>
      <c r="O9" s="9" t="s">
        <v>270</v>
      </c>
      <c r="P9" s="16" t="str">
        <f t="shared" si="0"/>
        <v>OK</v>
      </c>
    </row>
    <row r="10" spans="1:16" ht="40.049999999999997" customHeight="1" x14ac:dyDescent="0.3">
      <c r="A10" s="9" t="s">
        <v>294</v>
      </c>
      <c r="B10" s="9" t="s">
        <v>295</v>
      </c>
      <c r="C10" s="9" t="s">
        <v>262</v>
      </c>
      <c r="D10" s="9" t="s">
        <v>296</v>
      </c>
      <c r="E10" s="9" t="s">
        <v>297</v>
      </c>
      <c r="F10" s="9" t="s">
        <v>298</v>
      </c>
      <c r="G10" s="9" t="s">
        <v>257</v>
      </c>
      <c r="H10" s="9" t="s">
        <v>138</v>
      </c>
      <c r="I10" s="9" t="s">
        <v>145</v>
      </c>
      <c r="J10" s="9" t="s">
        <v>299</v>
      </c>
      <c r="K10" s="9" t="s">
        <v>286</v>
      </c>
      <c r="L10" s="9" t="s">
        <v>269</v>
      </c>
      <c r="M10" s="17">
        <v>46331</v>
      </c>
      <c r="N10" s="9" t="s">
        <v>242</v>
      </c>
      <c r="O10" s="9" t="s">
        <v>231</v>
      </c>
      <c r="P10" s="16" t="str">
        <f t="shared" si="0"/>
        <v>OK</v>
      </c>
    </row>
    <row r="11" spans="1:16" ht="40.049999999999997" customHeight="1" x14ac:dyDescent="0.3">
      <c r="A11" s="9" t="s">
        <v>300</v>
      </c>
      <c r="B11" s="9" t="s">
        <v>301</v>
      </c>
      <c r="C11" s="9" t="s">
        <v>262</v>
      </c>
      <c r="D11" s="9" t="s">
        <v>302</v>
      </c>
      <c r="E11" s="9" t="s">
        <v>303</v>
      </c>
      <c r="F11" s="9" t="s">
        <v>304</v>
      </c>
      <c r="G11" s="9" t="s">
        <v>257</v>
      </c>
      <c r="H11" s="9" t="s">
        <v>258</v>
      </c>
      <c r="I11" s="9" t="s">
        <v>145</v>
      </c>
      <c r="J11" s="9" t="s">
        <v>305</v>
      </c>
      <c r="K11" s="9" t="s">
        <v>286</v>
      </c>
      <c r="L11" s="9" t="s">
        <v>269</v>
      </c>
      <c r="M11" s="17">
        <v>46144</v>
      </c>
      <c r="N11" s="9" t="s">
        <v>242</v>
      </c>
      <c r="O11" s="9" t="s">
        <v>306</v>
      </c>
      <c r="P11" s="16" t="str">
        <f t="shared" si="0"/>
        <v>OK</v>
      </c>
    </row>
    <row r="12" spans="1:16" ht="40.049999999999997" customHeight="1" x14ac:dyDescent="0.3">
      <c r="A12" s="9" t="s">
        <v>307</v>
      </c>
      <c r="B12" s="9" t="s">
        <v>308</v>
      </c>
      <c r="C12" s="9" t="s">
        <v>262</v>
      </c>
      <c r="D12" s="9" t="s">
        <v>309</v>
      </c>
      <c r="E12" s="9" t="s">
        <v>310</v>
      </c>
      <c r="F12" s="9" t="s">
        <v>311</v>
      </c>
      <c r="G12" s="9" t="s">
        <v>312</v>
      </c>
      <c r="H12" s="9" t="s">
        <v>138</v>
      </c>
      <c r="I12" s="9" t="s">
        <v>127</v>
      </c>
      <c r="J12" s="9" t="s">
        <v>313</v>
      </c>
      <c r="K12" s="9" t="s">
        <v>314</v>
      </c>
      <c r="L12" s="9" t="s">
        <v>229</v>
      </c>
      <c r="M12" s="17">
        <v>46346</v>
      </c>
      <c r="N12" s="9" t="s">
        <v>242</v>
      </c>
      <c r="O12" s="9" t="s">
        <v>270</v>
      </c>
      <c r="P12" s="16" t="str">
        <f t="shared" si="0"/>
        <v>OK</v>
      </c>
    </row>
    <row r="13" spans="1:16" ht="40.049999999999997" customHeight="1" x14ac:dyDescent="0.3">
      <c r="A13" s="9" t="s">
        <v>315</v>
      </c>
      <c r="B13" s="9" t="s">
        <v>316</v>
      </c>
      <c r="C13" s="9" t="s">
        <v>253</v>
      </c>
      <c r="D13" s="9" t="s">
        <v>317</v>
      </c>
      <c r="E13" s="9" t="s">
        <v>318</v>
      </c>
      <c r="F13" s="9" t="s">
        <v>319</v>
      </c>
      <c r="G13" s="9" t="s">
        <v>320</v>
      </c>
      <c r="H13" s="9" t="s">
        <v>124</v>
      </c>
      <c r="I13" s="9" t="s">
        <v>145</v>
      </c>
      <c r="J13" s="9" t="s">
        <v>321</v>
      </c>
      <c r="K13" s="9" t="s">
        <v>322</v>
      </c>
      <c r="L13" s="9" t="s">
        <v>323</v>
      </c>
      <c r="M13" s="17">
        <v>46162</v>
      </c>
      <c r="N13" s="9" t="s">
        <v>242</v>
      </c>
      <c r="O13" s="9" t="s">
        <v>324</v>
      </c>
      <c r="P13" s="16" t="str">
        <f t="shared" si="0"/>
        <v>OK</v>
      </c>
    </row>
    <row r="14" spans="1:16" ht="40.049999999999997" customHeight="1" x14ac:dyDescent="0.3">
      <c r="A14" s="9" t="s">
        <v>325</v>
      </c>
      <c r="B14" s="9" t="s">
        <v>326</v>
      </c>
      <c r="C14" s="9" t="s">
        <v>253</v>
      </c>
      <c r="D14" s="9" t="s">
        <v>327</v>
      </c>
      <c r="E14" s="9" t="s">
        <v>328</v>
      </c>
      <c r="F14" s="9" t="s">
        <v>329</v>
      </c>
      <c r="G14" s="9" t="s">
        <v>330</v>
      </c>
      <c r="H14" s="9" t="s">
        <v>124</v>
      </c>
      <c r="I14" s="9" t="s">
        <v>145</v>
      </c>
      <c r="J14" s="9" t="s">
        <v>331</v>
      </c>
      <c r="K14" s="9" t="s">
        <v>332</v>
      </c>
      <c r="L14" s="9" t="s">
        <v>333</v>
      </c>
      <c r="M14" s="17">
        <v>46273</v>
      </c>
      <c r="N14" s="9" t="s">
        <v>242</v>
      </c>
      <c r="O14" s="9" t="s">
        <v>324</v>
      </c>
      <c r="P14" s="16" t="str">
        <f t="shared" si="0"/>
        <v>OK</v>
      </c>
    </row>
    <row r="15" spans="1:16" ht="40.049999999999997" customHeight="1" x14ac:dyDescent="0.3">
      <c r="A15" s="9" t="s">
        <v>334</v>
      </c>
      <c r="B15" s="9" t="s">
        <v>335</v>
      </c>
      <c r="C15" s="9" t="s">
        <v>253</v>
      </c>
      <c r="D15" s="9" t="s">
        <v>336</v>
      </c>
      <c r="E15" s="9" t="s">
        <v>337</v>
      </c>
      <c r="F15" s="9" t="s">
        <v>338</v>
      </c>
      <c r="G15" s="9" t="s">
        <v>339</v>
      </c>
      <c r="H15" s="9" t="s">
        <v>124</v>
      </c>
      <c r="I15" s="9" t="s">
        <v>145</v>
      </c>
      <c r="J15" s="9" t="s">
        <v>340</v>
      </c>
      <c r="K15" s="9" t="s">
        <v>341</v>
      </c>
      <c r="L15" s="9" t="s">
        <v>342</v>
      </c>
      <c r="M15" s="17">
        <v>46185</v>
      </c>
      <c r="N15" s="9" t="s">
        <v>242</v>
      </c>
      <c r="O15" s="9" t="s">
        <v>343</v>
      </c>
      <c r="P15" s="16" t="str">
        <f t="shared" si="0"/>
        <v>OK</v>
      </c>
    </row>
    <row r="16" spans="1:16" ht="40.049999999999997" customHeight="1" x14ac:dyDescent="0.3">
      <c r="A16" s="9" t="s">
        <v>344</v>
      </c>
      <c r="B16" s="9" t="s">
        <v>345</v>
      </c>
      <c r="C16" s="9" t="s">
        <v>253</v>
      </c>
      <c r="D16" s="9" t="s">
        <v>346</v>
      </c>
      <c r="E16" s="9" t="s">
        <v>347</v>
      </c>
      <c r="F16" s="9" t="s">
        <v>348</v>
      </c>
      <c r="G16" s="9" t="s">
        <v>349</v>
      </c>
      <c r="H16" s="9" t="s">
        <v>138</v>
      </c>
      <c r="I16" s="9" t="s">
        <v>127</v>
      </c>
      <c r="J16" s="9" t="s">
        <v>350</v>
      </c>
      <c r="K16" s="9" t="s">
        <v>351</v>
      </c>
      <c r="L16" s="9" t="s">
        <v>229</v>
      </c>
      <c r="M16" s="17">
        <v>46037</v>
      </c>
      <c r="N16" s="9" t="s">
        <v>242</v>
      </c>
      <c r="O16" s="9" t="s">
        <v>352</v>
      </c>
      <c r="P16" s="16" t="str">
        <f t="shared" si="0"/>
        <v>OK</v>
      </c>
    </row>
    <row r="17" spans="1:16" ht="40.049999999999997" customHeight="1" x14ac:dyDescent="0.3">
      <c r="A17" s="9" t="s">
        <v>353</v>
      </c>
      <c r="B17" s="9" t="s">
        <v>354</v>
      </c>
      <c r="C17" s="9" t="s">
        <v>253</v>
      </c>
      <c r="D17" s="9" t="s">
        <v>355</v>
      </c>
      <c r="E17" s="9" t="s">
        <v>356</v>
      </c>
      <c r="F17" s="9" t="s">
        <v>357</v>
      </c>
      <c r="G17" s="9" t="s">
        <v>358</v>
      </c>
      <c r="H17" s="9" t="s">
        <v>138</v>
      </c>
      <c r="I17" s="9" t="s">
        <v>127</v>
      </c>
      <c r="J17" s="9" t="s">
        <v>359</v>
      </c>
      <c r="K17" s="9" t="s">
        <v>360</v>
      </c>
      <c r="L17" s="9" t="s">
        <v>229</v>
      </c>
      <c r="M17" s="17"/>
      <c r="N17" s="9" t="s">
        <v>361</v>
      </c>
      <c r="O17" s="9" t="s">
        <v>362</v>
      </c>
      <c r="P17" s="16" t="str">
        <f t="shared" si="0"/>
        <v>Sem verificação</v>
      </c>
    </row>
    <row r="18" spans="1:16" ht="40.049999999999997" customHeight="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17"/>
      <c r="N18" s="9"/>
      <c r="O18" s="9"/>
      <c r="P18" s="16" t="str">
        <f t="shared" si="0"/>
        <v/>
      </c>
    </row>
    <row r="19" spans="1:16" ht="40.049999999999997" customHeight="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17"/>
      <c r="N19" s="9"/>
      <c r="O19" s="9"/>
      <c r="P19" s="16" t="str">
        <f t="shared" si="0"/>
        <v/>
      </c>
    </row>
    <row r="20" spans="1:16" ht="40.049999999999997" customHeight="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17"/>
      <c r="N20" s="9"/>
      <c r="O20" s="9"/>
      <c r="P20" s="16" t="str">
        <f t="shared" si="0"/>
        <v/>
      </c>
    </row>
    <row r="21" spans="1:16" ht="40.049999999999997" customHeight="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7"/>
      <c r="N21" s="9"/>
      <c r="O21" s="9"/>
      <c r="P21" s="16" t="str">
        <f t="shared" si="0"/>
        <v/>
      </c>
    </row>
    <row r="22" spans="1:16" ht="40.049999999999997" customHeigh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17"/>
      <c r="N22" s="9"/>
      <c r="O22" s="9"/>
      <c r="P22" s="16" t="str">
        <f t="shared" si="0"/>
        <v/>
      </c>
    </row>
    <row r="23" spans="1:16" ht="40.049999999999997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17"/>
      <c r="N23" s="9"/>
      <c r="O23" s="9"/>
      <c r="P23" s="16" t="str">
        <f t="shared" si="0"/>
        <v/>
      </c>
    </row>
    <row r="24" spans="1:16" ht="40.049999999999997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17"/>
      <c r="N24" s="9"/>
      <c r="O24" s="9"/>
      <c r="P24" s="16" t="str">
        <f t="shared" si="0"/>
        <v/>
      </c>
    </row>
    <row r="25" spans="1:16" ht="40.049999999999997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17"/>
      <c r="N25" s="9"/>
      <c r="O25" s="9"/>
      <c r="P25" s="16" t="str">
        <f t="shared" si="0"/>
        <v/>
      </c>
    </row>
    <row r="26" spans="1:16" ht="40.049999999999997" customHeigh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17"/>
      <c r="N26" s="9"/>
      <c r="O26" s="9"/>
      <c r="P26" s="16" t="str">
        <f t="shared" si="0"/>
        <v/>
      </c>
    </row>
    <row r="27" spans="1:16" ht="40.049999999999997" customHeight="1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17"/>
      <c r="N27" s="9"/>
      <c r="O27" s="9"/>
      <c r="P27" s="16" t="str">
        <f t="shared" si="0"/>
        <v/>
      </c>
    </row>
  </sheetData>
  <conditionalFormatting sqref="N2:N227">
    <cfRule type="expression" dxfId="7" priority="1">
      <formula>ISNUMBER(SEARCH("Não conforme",N2))</formula>
    </cfRule>
    <cfRule type="expression" dxfId="6" priority="2">
      <formula>ISNUMBER(SEARCH("reservas",N2))</formula>
    </cfRule>
    <cfRule type="expression" dxfId="5" priority="3">
      <formula>ISNUMBER(SEARCH("Conforme",N2))</formula>
    </cfRule>
    <cfRule type="expression" dxfId="4" priority="4">
      <formula>ISNUMBER(SEARCH("Por verificar",N2))</formula>
    </cfRule>
  </conditionalFormatting>
  <conditionalFormatting sqref="P2:P227">
    <cfRule type="expression" dxfId="3" priority="5">
      <formula>ISNUMBER(SEARCH("Ação",P2))</formula>
    </cfRule>
    <cfRule type="expression" dxfId="2" priority="6">
      <formula>ISNUMBER(SEARCH("vencida",P2))</formula>
    </cfRule>
    <cfRule type="expression" dxfId="1" priority="7">
      <formula>ISNUMBER(SEARCH("Sem",P2))</formula>
    </cfRule>
    <cfRule type="expression" dxfId="0" priority="8">
      <formula>ISNUMBER(SEARCH("OK",P2))</formula>
    </cfRule>
  </conditionalFormatting>
  <dataValidations count="5">
    <dataValidation type="list" allowBlank="1" showErrorMessage="1" errorTitle="Valor inválido" error="Valor fora da lista controlada (ver folha Listas)." sqref="C2:C227" xr:uid="{00000000-0002-0000-0400-000000000000}">
      <formula1>lst_TipoFornecedor</formula1>
    </dataValidation>
    <dataValidation type="list" allowBlank="1" showErrorMessage="1" errorTitle="Valor inválido" error="Valor fora da lista controlada (ver folha Listas)." sqref="H2:H227" xr:uid="{00000000-0002-0000-0400-000001000000}">
      <formula1>lst_PE_Rel</formula1>
    </dataValidation>
    <dataValidation type="list" allowBlank="1" showErrorMessage="1" errorTitle="Valor inválido" error="Valor fora da lista controlada (ver folha Listas)." sqref="I2:I227" xr:uid="{00000000-0002-0000-0400-000002000000}">
      <formula1>lst_PE_Ctrl</formula1>
    </dataValidation>
    <dataValidation type="list" allowBlank="1" showErrorMessage="1" errorTitle="Valor inválido" error="Valor fora da lista controlada (ver folha Listas)." sqref="N2:N227" xr:uid="{00000000-0002-0000-0400-000003000000}">
      <formula1>lst_PE_Res</formula1>
    </dataValidation>
    <dataValidation type="list" allowBlank="1" showErrorMessage="1" errorTitle="Valor inválido" error="Valor fora da lista controlada (ver folha Listas)." sqref="O2:O227" xr:uid="{00000000-0002-0000-0400-000004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B11"/>
  <sheetViews>
    <sheetView showGridLines="0" workbookViewId="0"/>
  </sheetViews>
  <sheetFormatPr defaultRowHeight="14.4" x14ac:dyDescent="0.3"/>
  <cols>
    <col min="1" max="1" width="32" customWidth="1"/>
    <col min="2" max="2" width="100" customWidth="1"/>
  </cols>
  <sheetData>
    <row r="1" spans="1:2" ht="17.399999999999999" x14ac:dyDescent="0.3">
      <c r="A1" s="1" t="s">
        <v>363</v>
      </c>
    </row>
    <row r="3" spans="1:2" x14ac:dyDescent="0.3">
      <c r="A3" s="20" t="s">
        <v>364</v>
      </c>
      <c r="B3" s="25" t="str">
        <f>INDEX(Fornecedores!$A$5:$A$14,MATCH("SUP-004",Fornecedores!$A$5:$A$14,0))&amp;" — "&amp;INDEX(Fornecedores!$B$5:$B$14,MATCH("SUP-004",Fornecedores!$A$5:$A$14,0))&amp;" ("&amp;INDEX(Fornecedores!$D$5:$D$14,MATCH("SUP-004",Fornecedores!$A$5:$A$14,0))&amp;", "&amp;INDEX(Fornecedores!$C$5:$C$14,MATCH("SUP-004",Fornecedores!$A$5:$A$14,0))&amp;")"</f>
        <v>SUP-004 — TransAtlantic Polymers plc (HDPE-PCR, rPET, United Kingdom)</v>
      </c>
    </row>
    <row r="4" spans="1:2" ht="45" customHeight="1" x14ac:dyDescent="0.3">
      <c r="A4" s="20" t="s">
        <v>365</v>
      </c>
      <c r="B4" s="25" t="s">
        <v>366</v>
      </c>
    </row>
    <row r="5" spans="1:2" ht="31.95" customHeight="1" x14ac:dyDescent="0.3">
      <c r="A5" s="20" t="s">
        <v>367</v>
      </c>
      <c r="B5" s="25" t="str">
        <f>INDEX(Criterios!$B$2:$B$8,MATCH("CRIT-01",Criterios!$A$2:$A$8,0))</f>
        <v>Conteúdo reciclado certificado por terceiros (EuCertPlast, RecyClass ou ISCC PLUS) ou declaração de origem e rastreabilidade de lote (resina virgem)</v>
      </c>
    </row>
    <row r="6" spans="1:2" ht="45" customHeight="1" x14ac:dyDescent="0.3">
      <c r="A6" s="20" t="s">
        <v>368</v>
      </c>
      <c r="B6" s="25" t="s">
        <v>369</v>
      </c>
    </row>
    <row r="7" spans="1:2" ht="31.95" customHeight="1" x14ac:dyDescent="0.3">
      <c r="A7" s="20" t="s">
        <v>370</v>
      </c>
      <c r="B7" s="25" t="str">
        <f>INDEX(Criterios!$B$2:$B$8,MATCH("CRIT-03",Criterios!$A$2:$A$8,0))</f>
        <v>Prevenção de perdas de granulado (Operation Clean Sweep ou certificação ao abrigo do regulamento UE)</v>
      </c>
    </row>
    <row r="8" spans="1:2" ht="45" customHeight="1" x14ac:dyDescent="0.3">
      <c r="A8" s="20" t="s">
        <v>371</v>
      </c>
      <c r="B8" s="25" t="s">
        <v>372</v>
      </c>
    </row>
    <row r="9" spans="1:2" x14ac:dyDescent="0.3">
      <c r="A9" s="20" t="s">
        <v>373</v>
      </c>
      <c r="B9" s="25" t="str">
        <f>TEXT(INDEX(Fornecedores!$M$5:$M$14,MATCH("SUP-004",Fornecedores!$A$5:$A$14,0)),"0%")&amp;" — Classe "&amp;INDEX(Fornecedores!$N$5:$N$14,MATCH("SUP-004",Fornecedores!$A$5:$A$14,0))&amp;" — "&amp;INDEX(Fornecedores!$O$5:$O$14,MATCH("SUP-004",Fornecedores!$A$5:$A$14,0))</f>
        <v>80% — Classe A — Aprovado</v>
      </c>
    </row>
    <row r="10" spans="1:2" ht="90" customHeight="1" x14ac:dyDescent="0.3">
      <c r="A10" s="20" t="s">
        <v>374</v>
      </c>
      <c r="B10" s="25" t="s">
        <v>375</v>
      </c>
    </row>
    <row r="11" spans="1:2" ht="45" customHeight="1" x14ac:dyDescent="0.3">
      <c r="A11" s="20" t="s">
        <v>376</v>
      </c>
      <c r="B11" s="25" t="s">
        <v>377</v>
      </c>
    </row>
  </sheetData>
  <mergeCells count="9">
    <mergeCell ref="B3"/>
    <mergeCell ref="B5"/>
    <mergeCell ref="B8"/>
    <mergeCell ref="B4"/>
    <mergeCell ref="B9"/>
    <mergeCell ref="B7"/>
    <mergeCell ref="B11"/>
    <mergeCell ref="B6"/>
    <mergeCell ref="B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4" width="16" customWidth="1"/>
    <col min="5" max="5" width="33" customWidth="1"/>
    <col min="6" max="6" width="48" customWidth="1"/>
    <col min="7" max="10" width="16" customWidth="1"/>
  </cols>
  <sheetData>
    <row r="1" spans="1:10" x14ac:dyDescent="0.3">
      <c r="A1" s="22" t="s">
        <v>378</v>
      </c>
    </row>
    <row r="2" spans="1:10" x14ac:dyDescent="0.3">
      <c r="A2" s="23" t="s">
        <v>379</v>
      </c>
      <c r="B2" s="23" t="s">
        <v>104</v>
      </c>
      <c r="C2" s="23" t="s">
        <v>178</v>
      </c>
      <c r="D2" s="23" t="s">
        <v>380</v>
      </c>
      <c r="E2" s="23" t="s">
        <v>381</v>
      </c>
      <c r="F2" s="23" t="s">
        <v>382</v>
      </c>
      <c r="G2" s="23" t="s">
        <v>383</v>
      </c>
      <c r="H2" s="23" t="s">
        <v>384</v>
      </c>
      <c r="I2" s="23" t="s">
        <v>385</v>
      </c>
      <c r="J2" s="23" t="s">
        <v>386</v>
      </c>
    </row>
    <row r="3" spans="1:10" x14ac:dyDescent="0.3">
      <c r="A3" s="24">
        <v>46387</v>
      </c>
      <c r="B3" s="6" t="s">
        <v>124</v>
      </c>
      <c r="C3" s="6">
        <v>0</v>
      </c>
      <c r="D3" s="6" t="s">
        <v>69</v>
      </c>
      <c r="E3" s="6" t="s">
        <v>122</v>
      </c>
      <c r="F3" s="6" t="s">
        <v>343</v>
      </c>
      <c r="G3" s="6" t="s">
        <v>387</v>
      </c>
      <c r="H3" s="6" t="s">
        <v>145</v>
      </c>
      <c r="I3" s="6" t="s">
        <v>124</v>
      </c>
      <c r="J3" s="6" t="s">
        <v>242</v>
      </c>
    </row>
    <row r="4" spans="1:10" x14ac:dyDescent="0.3">
      <c r="B4" s="6" t="s">
        <v>138</v>
      </c>
      <c r="C4" s="6">
        <v>1</v>
      </c>
      <c r="D4" s="6" t="s">
        <v>74</v>
      </c>
      <c r="E4" s="6" t="s">
        <v>165</v>
      </c>
      <c r="F4" s="6" t="s">
        <v>388</v>
      </c>
      <c r="G4" s="6" t="s">
        <v>389</v>
      </c>
      <c r="H4" s="6" t="s">
        <v>127</v>
      </c>
      <c r="I4" s="6" t="s">
        <v>138</v>
      </c>
      <c r="J4" s="6" t="s">
        <v>230</v>
      </c>
    </row>
    <row r="5" spans="1:10" x14ac:dyDescent="0.3">
      <c r="B5" s="6" t="s">
        <v>258</v>
      </c>
      <c r="C5" s="6">
        <v>2</v>
      </c>
      <c r="E5" s="6" t="s">
        <v>222</v>
      </c>
      <c r="F5" s="6" t="s">
        <v>390</v>
      </c>
      <c r="G5" s="6" t="s">
        <v>391</v>
      </c>
      <c r="I5" s="6" t="s">
        <v>258</v>
      </c>
      <c r="J5" s="6" t="s">
        <v>392</v>
      </c>
    </row>
    <row r="6" spans="1:10" x14ac:dyDescent="0.3">
      <c r="C6" s="6">
        <v>3</v>
      </c>
      <c r="E6" s="6" t="s">
        <v>234</v>
      </c>
      <c r="F6" s="6" t="s">
        <v>362</v>
      </c>
      <c r="G6" s="6" t="s">
        <v>393</v>
      </c>
      <c r="J6" s="6" t="s">
        <v>361</v>
      </c>
    </row>
    <row r="7" spans="1:10" x14ac:dyDescent="0.3">
      <c r="E7" s="6" t="s">
        <v>253</v>
      </c>
      <c r="F7" s="6" t="s">
        <v>324</v>
      </c>
      <c r="G7" s="6" t="s">
        <v>394</v>
      </c>
    </row>
    <row r="8" spans="1:10" x14ac:dyDescent="0.3">
      <c r="E8" s="6" t="s">
        <v>262</v>
      </c>
      <c r="F8" s="6" t="s">
        <v>306</v>
      </c>
      <c r="G8" s="6" t="s">
        <v>395</v>
      </c>
    </row>
    <row r="9" spans="1:10" x14ac:dyDescent="0.3">
      <c r="F9" s="6" t="s">
        <v>231</v>
      </c>
      <c r="G9" s="6" t="s">
        <v>396</v>
      </c>
    </row>
    <row r="10" spans="1:10" x14ac:dyDescent="0.3">
      <c r="F10" s="6" t="s">
        <v>270</v>
      </c>
      <c r="G10" s="6" t="s">
        <v>397</v>
      </c>
    </row>
    <row r="11" spans="1:10" x14ac:dyDescent="0.3">
      <c r="F11" s="6" t="s">
        <v>398</v>
      </c>
      <c r="G11" s="6" t="s">
        <v>399</v>
      </c>
    </row>
    <row r="12" spans="1:10" x14ac:dyDescent="0.3">
      <c r="F12" s="6" t="s">
        <v>400</v>
      </c>
      <c r="G12" s="6" t="s">
        <v>401</v>
      </c>
    </row>
    <row r="13" spans="1:10" x14ac:dyDescent="0.3">
      <c r="F13" s="6" t="s">
        <v>352</v>
      </c>
      <c r="G13" s="6" t="s">
        <v>402</v>
      </c>
    </row>
    <row r="14" spans="1:10" x14ac:dyDescent="0.3">
      <c r="F14" s="6" t="s">
        <v>403</v>
      </c>
      <c r="G14" s="6" t="s">
        <v>404</v>
      </c>
    </row>
    <row r="15" spans="1:10" x14ac:dyDescent="0.3">
      <c r="F15" s="6" t="s">
        <v>405</v>
      </c>
      <c r="G15" s="6" t="s">
        <v>406</v>
      </c>
    </row>
    <row r="16" spans="1:10" x14ac:dyDescent="0.3">
      <c r="F16" s="6" t="s">
        <v>407</v>
      </c>
      <c r="G16" s="6" t="s">
        <v>408</v>
      </c>
    </row>
    <row r="17" spans="6:7" x14ac:dyDescent="0.3">
      <c r="F17" s="6" t="s">
        <v>409</v>
      </c>
      <c r="G17" s="6" t="s">
        <v>410</v>
      </c>
    </row>
    <row r="18" spans="6:7" x14ac:dyDescent="0.3">
      <c r="F18" s="6" t="s">
        <v>411</v>
      </c>
      <c r="G18" s="6" t="s">
        <v>412</v>
      </c>
    </row>
    <row r="19" spans="6:7" x14ac:dyDescent="0.3">
      <c r="F19" s="6" t="s">
        <v>413</v>
      </c>
    </row>
    <row r="20" spans="6:7" x14ac:dyDescent="0.3">
      <c r="F20" s="6" t="s">
        <v>414</v>
      </c>
    </row>
    <row r="21" spans="6:7" x14ac:dyDescent="0.3">
      <c r="F21" s="6" t="s">
        <v>415</v>
      </c>
    </row>
    <row r="22" spans="6:7" x14ac:dyDescent="0.3">
      <c r="F22" s="6" t="s">
        <v>416</v>
      </c>
    </row>
    <row r="23" spans="6:7" x14ac:dyDescent="0.3">
      <c r="F23" s="6" t="s">
        <v>417</v>
      </c>
    </row>
    <row r="24" spans="6:7" x14ac:dyDescent="0.3">
      <c r="F24" s="6" t="s">
        <v>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3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419</v>
      </c>
      <c r="B1" s="8" t="s">
        <v>420</v>
      </c>
      <c r="C1" s="8" t="s">
        <v>421</v>
      </c>
      <c r="D1" s="8" t="s">
        <v>101</v>
      </c>
      <c r="E1" s="8" t="s">
        <v>422</v>
      </c>
      <c r="F1" s="8" t="s">
        <v>423</v>
      </c>
      <c r="G1" s="8" t="s">
        <v>424</v>
      </c>
      <c r="H1" s="8" t="s">
        <v>425</v>
      </c>
      <c r="I1" s="8" t="s">
        <v>183</v>
      </c>
    </row>
    <row r="2" spans="1:9" x14ac:dyDescent="0.3">
      <c r="A2" s="21" t="s">
        <v>28</v>
      </c>
      <c r="B2" s="21" t="s">
        <v>426</v>
      </c>
      <c r="C2" s="21" t="s">
        <v>60</v>
      </c>
      <c r="D2" s="21" t="s">
        <v>427</v>
      </c>
      <c r="E2" s="21" t="s">
        <v>428</v>
      </c>
      <c r="F2" s="21" t="s">
        <v>429</v>
      </c>
      <c r="G2" s="21"/>
      <c r="H2" s="21" t="s">
        <v>69</v>
      </c>
      <c r="I2" s="21" t="s">
        <v>430</v>
      </c>
    </row>
    <row r="3" spans="1:9" x14ac:dyDescent="0.3">
      <c r="A3" s="21" t="s">
        <v>28</v>
      </c>
      <c r="B3" s="21" t="s">
        <v>426</v>
      </c>
      <c r="C3" s="21" t="s">
        <v>61</v>
      </c>
      <c r="D3" s="21" t="s">
        <v>427</v>
      </c>
      <c r="E3" s="21" t="s">
        <v>428</v>
      </c>
      <c r="F3" s="21" t="s">
        <v>431</v>
      </c>
      <c r="G3" s="21"/>
      <c r="H3" s="21" t="s">
        <v>69</v>
      </c>
      <c r="I3" s="21"/>
    </row>
    <row r="4" spans="1:9" ht="26.4" x14ac:dyDescent="0.3">
      <c r="A4" s="21" t="s">
        <v>28</v>
      </c>
      <c r="B4" s="21" t="s">
        <v>426</v>
      </c>
      <c r="C4" s="21" t="s">
        <v>62</v>
      </c>
      <c r="D4" s="21" t="s">
        <v>432</v>
      </c>
      <c r="E4" s="21" t="s">
        <v>428</v>
      </c>
      <c r="F4" s="21" t="s">
        <v>433</v>
      </c>
      <c r="G4" s="21"/>
      <c r="H4" s="21" t="s">
        <v>69</v>
      </c>
      <c r="I4" s="21"/>
    </row>
    <row r="5" spans="1:9" x14ac:dyDescent="0.3">
      <c r="A5" s="21" t="s">
        <v>28</v>
      </c>
      <c r="B5" s="21" t="s">
        <v>426</v>
      </c>
      <c r="C5" s="21" t="s">
        <v>63</v>
      </c>
      <c r="D5" s="21" t="s">
        <v>427</v>
      </c>
      <c r="E5" s="21" t="s">
        <v>428</v>
      </c>
      <c r="F5" s="21" t="s">
        <v>434</v>
      </c>
      <c r="G5" s="21"/>
      <c r="H5" s="21" t="s">
        <v>69</v>
      </c>
      <c r="I5" s="21"/>
    </row>
    <row r="6" spans="1:9" x14ac:dyDescent="0.3">
      <c r="A6" s="21" t="s">
        <v>28</v>
      </c>
      <c r="B6" s="21" t="s">
        <v>426</v>
      </c>
      <c r="C6" s="21" t="s">
        <v>64</v>
      </c>
      <c r="D6" s="21" t="s">
        <v>427</v>
      </c>
      <c r="E6" s="21" t="s">
        <v>428</v>
      </c>
      <c r="F6" s="21" t="s">
        <v>435</v>
      </c>
      <c r="G6" s="21" t="s">
        <v>436</v>
      </c>
      <c r="H6" s="21" t="s">
        <v>69</v>
      </c>
      <c r="I6" s="21"/>
    </row>
    <row r="7" spans="1:9" x14ac:dyDescent="0.3">
      <c r="A7" s="21" t="s">
        <v>28</v>
      </c>
      <c r="B7" s="21" t="s">
        <v>426</v>
      </c>
      <c r="C7" s="21" t="s">
        <v>65</v>
      </c>
      <c r="D7" s="21" t="s">
        <v>427</v>
      </c>
      <c r="E7" s="21" t="s">
        <v>428</v>
      </c>
      <c r="F7" s="21" t="s">
        <v>437</v>
      </c>
      <c r="G7" s="21"/>
      <c r="H7" s="21" t="s">
        <v>69</v>
      </c>
      <c r="I7" s="21"/>
    </row>
    <row r="8" spans="1:9" x14ac:dyDescent="0.3">
      <c r="A8" s="21" t="s">
        <v>30</v>
      </c>
      <c r="B8" s="21" t="s">
        <v>438</v>
      </c>
      <c r="C8" s="21" t="s">
        <v>97</v>
      </c>
      <c r="D8" s="21" t="s">
        <v>427</v>
      </c>
      <c r="E8" s="21" t="s">
        <v>428</v>
      </c>
      <c r="F8" s="21" t="s">
        <v>439</v>
      </c>
      <c r="G8" s="21"/>
      <c r="H8" s="21" t="s">
        <v>69</v>
      </c>
      <c r="I8" s="21" t="s">
        <v>430</v>
      </c>
    </row>
    <row r="9" spans="1:9" x14ac:dyDescent="0.3">
      <c r="A9" s="21" t="s">
        <v>30</v>
      </c>
      <c r="B9" s="21" t="s">
        <v>438</v>
      </c>
      <c r="C9" s="21" t="s">
        <v>98</v>
      </c>
      <c r="D9" s="21" t="s">
        <v>427</v>
      </c>
      <c r="E9" s="21" t="s">
        <v>428</v>
      </c>
      <c r="F9" s="21" t="s">
        <v>440</v>
      </c>
      <c r="G9" s="21"/>
      <c r="H9" s="21" t="s">
        <v>69</v>
      </c>
      <c r="I9" s="21"/>
    </row>
    <row r="10" spans="1:9" x14ac:dyDescent="0.3">
      <c r="A10" s="21" t="s">
        <v>30</v>
      </c>
      <c r="B10" s="21" t="s">
        <v>438</v>
      </c>
      <c r="C10" s="21" t="s">
        <v>99</v>
      </c>
      <c r="D10" s="21" t="s">
        <v>427</v>
      </c>
      <c r="E10" s="21" t="s">
        <v>428</v>
      </c>
      <c r="F10" s="21" t="s">
        <v>441</v>
      </c>
      <c r="G10" s="21"/>
      <c r="H10" s="21" t="s">
        <v>69</v>
      </c>
      <c r="I10" s="21"/>
    </row>
    <row r="11" spans="1:9" x14ac:dyDescent="0.3">
      <c r="A11" s="21" t="s">
        <v>30</v>
      </c>
      <c r="B11" s="21" t="s">
        <v>438</v>
      </c>
      <c r="C11" s="21" t="s">
        <v>100</v>
      </c>
      <c r="D11" s="21" t="s">
        <v>427</v>
      </c>
      <c r="E11" s="21" t="s">
        <v>428</v>
      </c>
      <c r="F11" s="21" t="s">
        <v>442</v>
      </c>
      <c r="G11" s="21"/>
      <c r="H11" s="21" t="s">
        <v>69</v>
      </c>
      <c r="I11" s="21"/>
    </row>
    <row r="12" spans="1:9" x14ac:dyDescent="0.3">
      <c r="A12" s="21" t="s">
        <v>30</v>
      </c>
      <c r="B12" s="21" t="s">
        <v>438</v>
      </c>
      <c r="C12" s="21" t="s">
        <v>101</v>
      </c>
      <c r="D12" s="21" t="s">
        <v>427</v>
      </c>
      <c r="E12" s="21" t="s">
        <v>428</v>
      </c>
      <c r="F12" s="21" t="s">
        <v>443</v>
      </c>
      <c r="G12" s="21" t="s">
        <v>444</v>
      </c>
      <c r="H12" s="21" t="s">
        <v>69</v>
      </c>
      <c r="I12" s="21"/>
    </row>
    <row r="13" spans="1:9" x14ac:dyDescent="0.3">
      <c r="A13" s="21" t="s">
        <v>30</v>
      </c>
      <c r="B13" s="21" t="s">
        <v>438</v>
      </c>
      <c r="C13" s="21" t="s">
        <v>102</v>
      </c>
      <c r="D13" s="21" t="s">
        <v>427</v>
      </c>
      <c r="E13" s="21" t="s">
        <v>428</v>
      </c>
      <c r="F13" s="21" t="s">
        <v>445</v>
      </c>
      <c r="G13" s="21"/>
      <c r="H13" s="21" t="s">
        <v>69</v>
      </c>
      <c r="I13" s="21"/>
    </row>
    <row r="14" spans="1:9" x14ac:dyDescent="0.3">
      <c r="A14" s="21" t="s">
        <v>30</v>
      </c>
      <c r="B14" s="21" t="s">
        <v>438</v>
      </c>
      <c r="C14" s="21" t="s">
        <v>103</v>
      </c>
      <c r="D14" s="21" t="s">
        <v>446</v>
      </c>
      <c r="E14" s="21" t="s">
        <v>428</v>
      </c>
      <c r="F14" s="21" t="s">
        <v>447</v>
      </c>
      <c r="G14" s="21"/>
      <c r="H14" s="21" t="s">
        <v>69</v>
      </c>
      <c r="I14" s="21"/>
    </row>
    <row r="15" spans="1:9" x14ac:dyDescent="0.3">
      <c r="A15" s="21" t="s">
        <v>30</v>
      </c>
      <c r="B15" s="21" t="s">
        <v>438</v>
      </c>
      <c r="C15" s="21" t="s">
        <v>104</v>
      </c>
      <c r="D15" s="21" t="s">
        <v>427</v>
      </c>
      <c r="E15" s="21" t="s">
        <v>428</v>
      </c>
      <c r="F15" s="21" t="s">
        <v>448</v>
      </c>
      <c r="G15" s="21" t="s">
        <v>449</v>
      </c>
      <c r="H15" s="21" t="s">
        <v>69</v>
      </c>
      <c r="I15" s="21"/>
    </row>
    <row r="16" spans="1:9" x14ac:dyDescent="0.3">
      <c r="A16" s="21" t="s">
        <v>30</v>
      </c>
      <c r="B16" s="21" t="s">
        <v>438</v>
      </c>
      <c r="C16" s="21" t="s">
        <v>105</v>
      </c>
      <c r="D16" s="21" t="s">
        <v>450</v>
      </c>
      <c r="E16" s="21" t="s">
        <v>428</v>
      </c>
      <c r="F16" s="21" t="s">
        <v>451</v>
      </c>
      <c r="G16" s="21"/>
      <c r="H16" s="21" t="s">
        <v>69</v>
      </c>
      <c r="I16" s="21"/>
    </row>
    <row r="17" spans="1:9" x14ac:dyDescent="0.3">
      <c r="A17" s="21" t="s">
        <v>30</v>
      </c>
      <c r="B17" s="21" t="s">
        <v>438</v>
      </c>
      <c r="C17" s="21" t="s">
        <v>106</v>
      </c>
      <c r="D17" s="21" t="s">
        <v>427</v>
      </c>
      <c r="E17" s="21" t="s">
        <v>428</v>
      </c>
      <c r="F17" s="21" t="s">
        <v>452</v>
      </c>
      <c r="G17" s="21"/>
      <c r="H17" s="21" t="s">
        <v>69</v>
      </c>
      <c r="I17" s="21"/>
    </row>
    <row r="18" spans="1:9" x14ac:dyDescent="0.3">
      <c r="A18" s="21" t="s">
        <v>30</v>
      </c>
      <c r="B18" s="21" t="s">
        <v>438</v>
      </c>
      <c r="C18" s="21" t="s">
        <v>107</v>
      </c>
      <c r="D18" s="21" t="s">
        <v>450</v>
      </c>
      <c r="E18" s="21" t="s">
        <v>428</v>
      </c>
      <c r="F18" s="21" t="s">
        <v>453</v>
      </c>
      <c r="G18" s="21"/>
      <c r="H18" s="21" t="s">
        <v>69</v>
      </c>
      <c r="I18" s="21"/>
    </row>
    <row r="19" spans="1:9" ht="26.4" x14ac:dyDescent="0.3">
      <c r="A19" s="21" t="s">
        <v>30</v>
      </c>
      <c r="B19" s="21" t="s">
        <v>438</v>
      </c>
      <c r="C19" s="21" t="s">
        <v>108</v>
      </c>
      <c r="D19" s="21" t="s">
        <v>450</v>
      </c>
      <c r="E19" s="21" t="s">
        <v>454</v>
      </c>
      <c r="F19" s="21" t="s">
        <v>455</v>
      </c>
      <c r="G19" s="21"/>
      <c r="H19" s="21" t="s">
        <v>69</v>
      </c>
      <c r="I19" s="21"/>
    </row>
    <row r="20" spans="1:9" ht="26.4" x14ac:dyDescent="0.3">
      <c r="A20" s="21" t="s">
        <v>30</v>
      </c>
      <c r="B20" s="21" t="s">
        <v>438</v>
      </c>
      <c r="C20" s="21" t="s">
        <v>109</v>
      </c>
      <c r="D20" s="21" t="s">
        <v>432</v>
      </c>
      <c r="E20" s="21" t="s">
        <v>454</v>
      </c>
      <c r="F20" s="21" t="s">
        <v>456</v>
      </c>
      <c r="G20" s="21"/>
      <c r="H20" s="21" t="s">
        <v>69</v>
      </c>
      <c r="I20" s="21"/>
    </row>
    <row r="21" spans="1:9" x14ac:dyDescent="0.3">
      <c r="A21" s="21" t="s">
        <v>30</v>
      </c>
      <c r="B21" s="21" t="s">
        <v>438</v>
      </c>
      <c r="C21" s="21" t="s">
        <v>110</v>
      </c>
      <c r="D21" s="21" t="s">
        <v>427</v>
      </c>
      <c r="E21" s="21" t="s">
        <v>454</v>
      </c>
      <c r="F21" s="21" t="s">
        <v>457</v>
      </c>
      <c r="G21" s="21"/>
      <c r="H21" s="21" t="s">
        <v>69</v>
      </c>
      <c r="I21" s="21"/>
    </row>
    <row r="22" spans="1:9" x14ac:dyDescent="0.3">
      <c r="A22" s="21" t="s">
        <v>30</v>
      </c>
      <c r="B22" s="21" t="s">
        <v>438</v>
      </c>
      <c r="C22" s="21" t="s">
        <v>111</v>
      </c>
      <c r="D22" s="21" t="s">
        <v>427</v>
      </c>
      <c r="E22" s="21" t="s">
        <v>454</v>
      </c>
      <c r="F22" s="21" t="s">
        <v>458</v>
      </c>
      <c r="G22" s="21"/>
      <c r="H22" s="21" t="s">
        <v>69</v>
      </c>
      <c r="I22" s="21"/>
    </row>
    <row r="23" spans="1:9" x14ac:dyDescent="0.3">
      <c r="A23" s="21" t="s">
        <v>30</v>
      </c>
      <c r="B23" s="21" t="s">
        <v>438</v>
      </c>
      <c r="C23" s="21" t="s">
        <v>112</v>
      </c>
      <c r="D23" s="21" t="s">
        <v>427</v>
      </c>
      <c r="E23" s="21" t="s">
        <v>454</v>
      </c>
      <c r="F23" s="21" t="s">
        <v>459</v>
      </c>
      <c r="G23" s="21"/>
      <c r="H23" s="21" t="s">
        <v>69</v>
      </c>
      <c r="I23" s="21"/>
    </row>
    <row r="24" spans="1:9" ht="26.4" x14ac:dyDescent="0.3">
      <c r="A24" s="21" t="s">
        <v>30</v>
      </c>
      <c r="B24" s="21" t="s">
        <v>438</v>
      </c>
      <c r="C24" s="21" t="s">
        <v>113</v>
      </c>
      <c r="D24" s="21" t="s">
        <v>460</v>
      </c>
      <c r="E24" s="21" t="s">
        <v>428</v>
      </c>
      <c r="F24" s="21" t="s">
        <v>461</v>
      </c>
      <c r="G24" s="21"/>
      <c r="H24" s="21" t="s">
        <v>69</v>
      </c>
      <c r="I24" s="21"/>
    </row>
    <row r="25" spans="1:9" ht="26.4" x14ac:dyDescent="0.3">
      <c r="A25" s="21" t="s">
        <v>30</v>
      </c>
      <c r="B25" s="21" t="s">
        <v>438</v>
      </c>
      <c r="C25" s="21" t="s">
        <v>114</v>
      </c>
      <c r="D25" s="21" t="s">
        <v>460</v>
      </c>
      <c r="E25" s="21" t="s">
        <v>454</v>
      </c>
      <c r="F25" s="21" t="s">
        <v>462</v>
      </c>
      <c r="G25" s="21"/>
      <c r="H25" s="21" t="s">
        <v>69</v>
      </c>
      <c r="I25" s="21"/>
    </row>
    <row r="26" spans="1:9" ht="39.6" x14ac:dyDescent="0.3">
      <c r="A26" s="21" t="s">
        <v>30</v>
      </c>
      <c r="B26" s="21" t="s">
        <v>438</v>
      </c>
      <c r="C26" s="21" t="s">
        <v>115</v>
      </c>
      <c r="D26" s="21" t="s">
        <v>427</v>
      </c>
      <c r="E26" s="21" t="s">
        <v>428</v>
      </c>
      <c r="F26" s="21" t="s">
        <v>463</v>
      </c>
      <c r="G26" s="21"/>
      <c r="H26" s="21" t="s">
        <v>69</v>
      </c>
      <c r="I26" s="21" t="s">
        <v>464</v>
      </c>
    </row>
    <row r="27" spans="1:9" x14ac:dyDescent="0.3">
      <c r="A27" s="21" t="s">
        <v>30</v>
      </c>
      <c r="B27" s="21" t="s">
        <v>438</v>
      </c>
      <c r="C27" s="21" t="s">
        <v>116</v>
      </c>
      <c r="D27" s="21" t="s">
        <v>427</v>
      </c>
      <c r="E27" s="21" t="s">
        <v>428</v>
      </c>
      <c r="F27" s="21" t="s">
        <v>465</v>
      </c>
      <c r="G27" s="21" t="s">
        <v>466</v>
      </c>
      <c r="H27" s="21" t="s">
        <v>69</v>
      </c>
      <c r="I27" s="21"/>
    </row>
    <row r="28" spans="1:9" x14ac:dyDescent="0.3">
      <c r="A28" s="21" t="s">
        <v>30</v>
      </c>
      <c r="B28" s="21" t="s">
        <v>438</v>
      </c>
      <c r="C28" s="21" t="s">
        <v>117</v>
      </c>
      <c r="D28" s="21" t="s">
        <v>427</v>
      </c>
      <c r="E28" s="21" t="s">
        <v>428</v>
      </c>
      <c r="F28" s="21" t="s">
        <v>467</v>
      </c>
      <c r="G28" s="21"/>
      <c r="H28" s="21" t="s">
        <v>69</v>
      </c>
      <c r="I28" s="21"/>
    </row>
    <row r="29" spans="1:9" ht="39.6" x14ac:dyDescent="0.3">
      <c r="A29" s="21" t="s">
        <v>32</v>
      </c>
      <c r="B29" s="21" t="s">
        <v>468</v>
      </c>
      <c r="C29" s="21" t="s">
        <v>97</v>
      </c>
      <c r="D29" s="21" t="s">
        <v>427</v>
      </c>
      <c r="E29" s="21" t="s">
        <v>428</v>
      </c>
      <c r="F29" s="21" t="s">
        <v>469</v>
      </c>
      <c r="G29" s="21"/>
      <c r="H29" s="21" t="s">
        <v>69</v>
      </c>
      <c r="I29" s="21" t="s">
        <v>470</v>
      </c>
    </row>
    <row r="30" spans="1:9" ht="26.4" x14ac:dyDescent="0.3">
      <c r="A30" s="21" t="s">
        <v>32</v>
      </c>
      <c r="B30" s="21" t="s">
        <v>468</v>
      </c>
      <c r="C30" s="21" t="s">
        <v>60</v>
      </c>
      <c r="D30" s="21" t="s">
        <v>427</v>
      </c>
      <c r="E30" s="21" t="s">
        <v>428</v>
      </c>
      <c r="F30" s="21" t="s">
        <v>429</v>
      </c>
      <c r="G30" s="21"/>
      <c r="H30" s="21" t="s">
        <v>69</v>
      </c>
      <c r="I30" s="21" t="s">
        <v>471</v>
      </c>
    </row>
    <row r="31" spans="1:9" x14ac:dyDescent="0.3">
      <c r="A31" s="21" t="s">
        <v>32</v>
      </c>
      <c r="B31" s="21" t="s">
        <v>468</v>
      </c>
      <c r="C31" s="21" t="s">
        <v>178</v>
      </c>
      <c r="D31" s="21" t="s">
        <v>446</v>
      </c>
      <c r="E31" s="21" t="s">
        <v>428</v>
      </c>
      <c r="F31" s="21" t="s">
        <v>472</v>
      </c>
      <c r="G31" s="21" t="s">
        <v>473</v>
      </c>
      <c r="H31" s="21" t="s">
        <v>69</v>
      </c>
      <c r="I31" s="21"/>
    </row>
    <row r="32" spans="1:9" ht="26.4" x14ac:dyDescent="0.3">
      <c r="A32" s="21" t="s">
        <v>32</v>
      </c>
      <c r="B32" s="21" t="s">
        <v>468</v>
      </c>
      <c r="C32" s="21" t="s">
        <v>62</v>
      </c>
      <c r="D32" s="21" t="s">
        <v>432</v>
      </c>
      <c r="E32" s="21" t="s">
        <v>454</v>
      </c>
      <c r="F32" s="21" t="s">
        <v>474</v>
      </c>
      <c r="G32" s="21"/>
      <c r="H32" s="21" t="s">
        <v>69</v>
      </c>
      <c r="I32" s="21"/>
    </row>
    <row r="33" spans="1:9" ht="26.4" x14ac:dyDescent="0.3">
      <c r="A33" s="21" t="s">
        <v>32</v>
      </c>
      <c r="B33" s="21" t="s">
        <v>468</v>
      </c>
      <c r="C33" s="21" t="s">
        <v>179</v>
      </c>
      <c r="D33" s="21" t="s">
        <v>432</v>
      </c>
      <c r="E33" s="21" t="s">
        <v>454</v>
      </c>
      <c r="F33" s="21" t="s">
        <v>475</v>
      </c>
      <c r="G33" s="21"/>
      <c r="H33" s="21" t="s">
        <v>69</v>
      </c>
      <c r="I33" s="21"/>
    </row>
    <row r="34" spans="1:9" x14ac:dyDescent="0.3">
      <c r="A34" s="21" t="s">
        <v>32</v>
      </c>
      <c r="B34" s="21" t="s">
        <v>468</v>
      </c>
      <c r="C34" s="21" t="s">
        <v>180</v>
      </c>
      <c r="D34" s="21" t="s">
        <v>427</v>
      </c>
      <c r="E34" s="21" t="s">
        <v>428</v>
      </c>
      <c r="F34" s="21" t="s">
        <v>476</v>
      </c>
      <c r="G34" s="21"/>
      <c r="H34" s="21" t="s">
        <v>69</v>
      </c>
      <c r="I34" s="21"/>
    </row>
    <row r="35" spans="1:9" ht="26.4" x14ac:dyDescent="0.3">
      <c r="A35" s="21" t="s">
        <v>32</v>
      </c>
      <c r="B35" s="21" t="s">
        <v>468</v>
      </c>
      <c r="C35" s="21" t="s">
        <v>181</v>
      </c>
      <c r="D35" s="21" t="s">
        <v>460</v>
      </c>
      <c r="E35" s="21" t="s">
        <v>428</v>
      </c>
      <c r="F35" s="21" t="s">
        <v>477</v>
      </c>
      <c r="G35" s="21"/>
      <c r="H35" s="21" t="s">
        <v>69</v>
      </c>
      <c r="I35" s="21"/>
    </row>
    <row r="36" spans="1:9" x14ac:dyDescent="0.3">
      <c r="A36" s="21" t="s">
        <v>32</v>
      </c>
      <c r="B36" s="21" t="s">
        <v>468</v>
      </c>
      <c r="C36" s="21" t="s">
        <v>182</v>
      </c>
      <c r="D36" s="21" t="s">
        <v>427</v>
      </c>
      <c r="E36" s="21" t="s">
        <v>428</v>
      </c>
      <c r="F36" s="21" t="s">
        <v>478</v>
      </c>
      <c r="G36" s="21"/>
      <c r="H36" s="21" t="s">
        <v>69</v>
      </c>
      <c r="I36" s="21"/>
    </row>
    <row r="37" spans="1:9" x14ac:dyDescent="0.3">
      <c r="A37" s="21" t="s">
        <v>32</v>
      </c>
      <c r="B37" s="21" t="s">
        <v>468</v>
      </c>
      <c r="C37" s="21" t="s">
        <v>183</v>
      </c>
      <c r="D37" s="21" t="s">
        <v>427</v>
      </c>
      <c r="E37" s="21" t="s">
        <v>454</v>
      </c>
      <c r="F37" s="21" t="s">
        <v>479</v>
      </c>
      <c r="G37" s="21"/>
      <c r="H37" s="21" t="s">
        <v>69</v>
      </c>
      <c r="I37" s="21"/>
    </row>
    <row r="38" spans="1:9" x14ac:dyDescent="0.3">
      <c r="A38" s="21" t="s">
        <v>34</v>
      </c>
      <c r="B38" s="21" t="s">
        <v>480</v>
      </c>
      <c r="C38" s="21" t="s">
        <v>209</v>
      </c>
      <c r="D38" s="21" t="s">
        <v>427</v>
      </c>
      <c r="E38" s="21" t="s">
        <v>428</v>
      </c>
      <c r="F38" s="21" t="s">
        <v>481</v>
      </c>
      <c r="G38" s="21"/>
      <c r="H38" s="21" t="s">
        <v>69</v>
      </c>
      <c r="I38" s="21" t="s">
        <v>430</v>
      </c>
    </row>
    <row r="39" spans="1:9" x14ac:dyDescent="0.3">
      <c r="A39" s="21" t="s">
        <v>34</v>
      </c>
      <c r="B39" s="21" t="s">
        <v>480</v>
      </c>
      <c r="C39" s="21" t="s">
        <v>210</v>
      </c>
      <c r="D39" s="21" t="s">
        <v>427</v>
      </c>
      <c r="E39" s="21" t="s">
        <v>428</v>
      </c>
      <c r="F39" s="21" t="s">
        <v>482</v>
      </c>
      <c r="G39" s="21"/>
      <c r="H39" s="21" t="s">
        <v>69</v>
      </c>
      <c r="I39" s="21"/>
    </row>
    <row r="40" spans="1:9" x14ac:dyDescent="0.3">
      <c r="A40" s="21" t="s">
        <v>34</v>
      </c>
      <c r="B40" s="21" t="s">
        <v>480</v>
      </c>
      <c r="C40" s="21" t="s">
        <v>101</v>
      </c>
      <c r="D40" s="21" t="s">
        <v>427</v>
      </c>
      <c r="E40" s="21" t="s">
        <v>428</v>
      </c>
      <c r="F40" s="21" t="s">
        <v>443</v>
      </c>
      <c r="G40" s="21" t="s">
        <v>444</v>
      </c>
      <c r="H40" s="21" t="s">
        <v>69</v>
      </c>
      <c r="I40" s="21"/>
    </row>
    <row r="41" spans="1:9" x14ac:dyDescent="0.3">
      <c r="A41" s="21" t="s">
        <v>34</v>
      </c>
      <c r="B41" s="21" t="s">
        <v>480</v>
      </c>
      <c r="C41" s="21" t="s">
        <v>211</v>
      </c>
      <c r="D41" s="21" t="s">
        <v>427</v>
      </c>
      <c r="E41" s="21" t="s">
        <v>428</v>
      </c>
      <c r="F41" s="21" t="s">
        <v>483</v>
      </c>
      <c r="G41" s="21"/>
      <c r="H41" s="21" t="s">
        <v>69</v>
      </c>
      <c r="I41" s="21"/>
    </row>
    <row r="42" spans="1:9" x14ac:dyDescent="0.3">
      <c r="A42" s="21" t="s">
        <v>34</v>
      </c>
      <c r="B42" s="21" t="s">
        <v>480</v>
      </c>
      <c r="C42" s="21" t="s">
        <v>212</v>
      </c>
      <c r="D42" s="21" t="s">
        <v>427</v>
      </c>
      <c r="E42" s="21" t="s">
        <v>428</v>
      </c>
      <c r="F42" s="21" t="s">
        <v>484</v>
      </c>
      <c r="G42" s="21"/>
      <c r="H42" s="21" t="s">
        <v>69</v>
      </c>
      <c r="I42" s="21"/>
    </row>
    <row r="43" spans="1:9" x14ac:dyDescent="0.3">
      <c r="A43" s="21" t="s">
        <v>34</v>
      </c>
      <c r="B43" s="21" t="s">
        <v>480</v>
      </c>
      <c r="C43" s="21" t="s">
        <v>63</v>
      </c>
      <c r="D43" s="21" t="s">
        <v>427</v>
      </c>
      <c r="E43" s="21" t="s">
        <v>428</v>
      </c>
      <c r="F43" s="21" t="s">
        <v>485</v>
      </c>
      <c r="G43" s="21"/>
      <c r="H43" s="21" t="s">
        <v>69</v>
      </c>
      <c r="I43" s="21"/>
    </row>
    <row r="44" spans="1:9" ht="39.6" x14ac:dyDescent="0.3">
      <c r="A44" s="21" t="s">
        <v>34</v>
      </c>
      <c r="B44" s="21" t="s">
        <v>480</v>
      </c>
      <c r="C44" s="21" t="s">
        <v>115</v>
      </c>
      <c r="D44" s="21" t="s">
        <v>427</v>
      </c>
      <c r="E44" s="21" t="s">
        <v>428</v>
      </c>
      <c r="F44" s="21" t="s">
        <v>463</v>
      </c>
      <c r="G44" s="21"/>
      <c r="H44" s="21" t="s">
        <v>69</v>
      </c>
      <c r="I44" s="21" t="s">
        <v>464</v>
      </c>
    </row>
    <row r="45" spans="1:9" x14ac:dyDescent="0.3">
      <c r="A45" s="21" t="s">
        <v>34</v>
      </c>
      <c r="B45" s="21" t="s">
        <v>480</v>
      </c>
      <c r="C45" s="21" t="s">
        <v>213</v>
      </c>
      <c r="D45" s="21" t="s">
        <v>427</v>
      </c>
      <c r="E45" s="21" t="s">
        <v>428</v>
      </c>
      <c r="F45" s="21" t="s">
        <v>486</v>
      </c>
      <c r="G45" s="21" t="s">
        <v>487</v>
      </c>
      <c r="H45" s="21" t="s">
        <v>69</v>
      </c>
      <c r="I45" s="21"/>
    </row>
    <row r="46" spans="1:9" x14ac:dyDescent="0.3">
      <c r="A46" s="21" t="s">
        <v>34</v>
      </c>
      <c r="B46" s="21" t="s">
        <v>480</v>
      </c>
      <c r="C46" s="21" t="s">
        <v>116</v>
      </c>
      <c r="D46" s="21" t="s">
        <v>427</v>
      </c>
      <c r="E46" s="21" t="s">
        <v>428</v>
      </c>
      <c r="F46" s="21" t="s">
        <v>465</v>
      </c>
      <c r="G46" s="21" t="s">
        <v>466</v>
      </c>
      <c r="H46" s="21" t="s">
        <v>69</v>
      </c>
      <c r="I46" s="21"/>
    </row>
    <row r="47" spans="1:9" x14ac:dyDescent="0.3">
      <c r="A47" s="21" t="s">
        <v>34</v>
      </c>
      <c r="B47" s="21" t="s">
        <v>480</v>
      </c>
      <c r="C47" s="21" t="s">
        <v>117</v>
      </c>
      <c r="D47" s="21" t="s">
        <v>427</v>
      </c>
      <c r="E47" s="21" t="s">
        <v>428</v>
      </c>
      <c r="F47" s="21" t="s">
        <v>467</v>
      </c>
      <c r="G47" s="21"/>
      <c r="H47" s="21" t="s">
        <v>69</v>
      </c>
      <c r="I47" s="21"/>
    </row>
    <row r="48" spans="1:9" x14ac:dyDescent="0.3">
      <c r="A48" s="21" t="s">
        <v>34</v>
      </c>
      <c r="B48" s="21" t="s">
        <v>480</v>
      </c>
      <c r="C48" s="21" t="s">
        <v>214</v>
      </c>
      <c r="D48" s="21" t="s">
        <v>427</v>
      </c>
      <c r="E48" s="21" t="s">
        <v>428</v>
      </c>
      <c r="F48" s="21" t="s">
        <v>488</v>
      </c>
      <c r="G48" s="21"/>
      <c r="H48" s="21" t="s">
        <v>69</v>
      </c>
      <c r="I48" s="21"/>
    </row>
    <row r="49" spans="1:9" x14ac:dyDescent="0.3">
      <c r="A49" s="21" t="s">
        <v>34</v>
      </c>
      <c r="B49" s="21" t="s">
        <v>480</v>
      </c>
      <c r="C49" s="21" t="s">
        <v>215</v>
      </c>
      <c r="D49" s="21" t="s">
        <v>427</v>
      </c>
      <c r="E49" s="21" t="s">
        <v>428</v>
      </c>
      <c r="F49" s="21" t="s">
        <v>489</v>
      </c>
      <c r="G49" s="21"/>
      <c r="H49" s="21" t="s">
        <v>69</v>
      </c>
      <c r="I49" s="21"/>
    </row>
    <row r="50" spans="1:9" ht="26.4" x14ac:dyDescent="0.3">
      <c r="A50" s="21" t="s">
        <v>34</v>
      </c>
      <c r="B50" s="21" t="s">
        <v>480</v>
      </c>
      <c r="C50" s="21" t="s">
        <v>216</v>
      </c>
      <c r="D50" s="21" t="s">
        <v>460</v>
      </c>
      <c r="E50" s="21" t="s">
        <v>428</v>
      </c>
      <c r="F50" s="21" t="s">
        <v>490</v>
      </c>
      <c r="G50" s="21"/>
      <c r="H50" s="21" t="s">
        <v>74</v>
      </c>
      <c r="I50" s="21"/>
    </row>
    <row r="51" spans="1:9" x14ac:dyDescent="0.3">
      <c r="A51" s="21" t="s">
        <v>34</v>
      </c>
      <c r="B51" s="21" t="s">
        <v>480</v>
      </c>
      <c r="C51" s="21" t="s">
        <v>217</v>
      </c>
      <c r="D51" s="21" t="s">
        <v>427</v>
      </c>
      <c r="E51" s="21" t="s">
        <v>428</v>
      </c>
      <c r="F51" s="21" t="s">
        <v>491</v>
      </c>
      <c r="G51" s="21" t="s">
        <v>492</v>
      </c>
      <c r="H51" s="21" t="s">
        <v>69</v>
      </c>
      <c r="I51" s="21"/>
    </row>
    <row r="52" spans="1:9" x14ac:dyDescent="0.3">
      <c r="A52" s="21" t="s">
        <v>34</v>
      </c>
      <c r="B52" s="21" t="s">
        <v>480</v>
      </c>
      <c r="C52" s="21" t="s">
        <v>218</v>
      </c>
      <c r="D52" s="21" t="s">
        <v>427</v>
      </c>
      <c r="E52" s="21" t="s">
        <v>428</v>
      </c>
      <c r="F52" s="21" t="s">
        <v>493</v>
      </c>
      <c r="G52" s="21" t="s">
        <v>494</v>
      </c>
      <c r="H52" s="21" t="s">
        <v>69</v>
      </c>
      <c r="I52" s="21"/>
    </row>
    <row r="53" spans="1:9" x14ac:dyDescent="0.3">
      <c r="A53" s="21" t="s">
        <v>34</v>
      </c>
      <c r="B53" s="21" t="s">
        <v>480</v>
      </c>
      <c r="C53" s="21" t="s">
        <v>219</v>
      </c>
      <c r="D53" s="21" t="s">
        <v>427</v>
      </c>
      <c r="E53" s="21" t="s">
        <v>454</v>
      </c>
      <c r="F53" s="21" t="s">
        <v>495</v>
      </c>
      <c r="G53" s="21"/>
      <c r="H53" s="21" t="s">
        <v>69</v>
      </c>
      <c r="I53" s="2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15</vt:i4>
      </vt:variant>
    </vt:vector>
  </HeadingPairs>
  <TitlesOfParts>
    <vt:vector size="23" baseType="lpstr">
      <vt:lpstr>00_LEIA-ME</vt:lpstr>
      <vt:lpstr>Criterios</vt:lpstr>
      <vt:lpstr>Fornecedores</vt:lpstr>
      <vt:lpstr>Avaliacao_Fornecedor</vt:lpstr>
      <vt:lpstr>Outros_Fornecedores</vt:lpstr>
      <vt:lpstr>Resumo_Atividade_4_4</vt:lpstr>
      <vt:lpstr>Listas</vt:lpstr>
      <vt:lpstr>Dicionario_Dados</vt:lpstr>
      <vt:lpstr>DataRef</vt:lpstr>
      <vt:lpstr>lst_Criticidade</vt:lpstr>
      <vt:lpstr>lst_DataReferencia</vt:lpstr>
      <vt:lpstr>lst_Funcao</vt:lpstr>
      <vt:lpstr>lst_PE_Ctrl</vt:lpstr>
      <vt:lpstr>lst_PE_Rel</vt:lpstr>
      <vt:lpstr>lst_PE_Res</vt:lpstr>
      <vt:lpstr>lst_Processo</vt:lpstr>
      <vt:lpstr>lst_Score</vt:lpstr>
      <vt:lpstr>lst_SimNao</vt:lpstr>
      <vt:lpstr>lst_TipoFornecedor</vt:lpstr>
      <vt:lpstr>Avaliacao_Fornecedor!Títulos_de_Impressão</vt:lpstr>
      <vt:lpstr>Criterios!Títulos_de_Impressão</vt:lpstr>
      <vt:lpstr>Fornecedores!Títulos_de_Impressão</vt:lpstr>
      <vt:lpstr>Outros_Fornecedores!Títulos_de_Impressão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RG-SGA-11 Avaliação Ambiental de Fornecedores e Perspetiva de Ciclo de Vida</dc:title>
  <dc:subject>SGA NP EN ISO 14001:2026 — Plasticom</dc:subject>
  <dc:creator>Gestor(a) do SGA / EHS</dc:creator>
  <cp:lastModifiedBy>Aline Meireles</cp:lastModifiedBy>
  <dcterms:created xsi:type="dcterms:W3CDTF">2026-09-30T16:48:43Z</dcterms:created>
  <dcterms:modified xsi:type="dcterms:W3CDTF">2026-09-30T16:48:58Z</dcterms:modified>
</cp:coreProperties>
</file>