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CB564C6E-9C73-4B43-9FBE-44924D10AC49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lano_Monitorizacao" sheetId="2" r:id="rId2"/>
    <sheet name="Equipamentos_Calibracao" sheetId="3" r:id="rId3"/>
    <sheet name="Parametros" sheetId="4" r:id="rId4"/>
    <sheet name="Dim_Mes" sheetId="5" r:id="rId5"/>
    <sheet name="Producao_Mensal" sheetId="6" r:id="rId6"/>
    <sheet name="Dados_Ambientais" sheetId="7" r:id="rId7"/>
    <sheet name="Residuos_Mensais" sheetId="8" r:id="rId8"/>
    <sheet name="Indicadores_Mensais" sheetId="9" r:id="rId9"/>
    <sheet name="Analise_Desvio_5_2" sheetId="10" r:id="rId10"/>
    <sheet name="Hipoteses_Desvio" sheetId="11" r:id="rId11"/>
    <sheet name="Pesagem_Solvente" sheetId="12" r:id="rId12"/>
    <sheet name="Analises_Laboratoriais" sheetId="13" r:id="rId13"/>
    <sheet name="Listas" sheetId="14" r:id="rId14"/>
    <sheet name="Dicionario_Dados" sheetId="15" r:id="rId15"/>
  </sheets>
  <definedNames>
    <definedName name="DataRef">Listas!$A$3</definedName>
    <definedName name="lst_AN_Limite">Listas!$I$3:$I$5</definedName>
    <definedName name="lst_AN_Matriz">Listas!$H$3:$H$7</definedName>
    <definedName name="lst_AN_SimNao">Listas!$J$3:$J$4</definedName>
    <definedName name="lst_Cat6M">Listas!$E$3:$E$8</definedName>
    <definedName name="lst_DataReferencia">Listas!$A$3:$A$3</definedName>
    <definedName name="lst_EstadoHip">Listas!$D$3:$D$6</definedName>
    <definedName name="lst_Funcao">Listas!$C$3:$C$24</definedName>
    <definedName name="lst_Processo">Listas!$F$3:$F$20</definedName>
    <definedName name="lst_Qualidade">Listas!$G$3:$G$5</definedName>
    <definedName name="lst_Tipo">Listas!$B$3:$B$4</definedName>
    <definedName name="_xlnm.Print_Titles" localSheetId="12">Analises_Laboratoriais!$4:$4</definedName>
    <definedName name="_xlnm.Print_Titles" localSheetId="6">Dados_Ambientais!$1:$1</definedName>
    <definedName name="_xlnm.Print_Titles" localSheetId="4">Dim_Mes!$1:$1</definedName>
    <definedName name="_xlnm.Print_Titles" localSheetId="2">Equipamentos_Calibracao!$1:$1</definedName>
    <definedName name="_xlnm.Print_Titles" localSheetId="10">Hipoteses_Desvio!$1:$1</definedName>
    <definedName name="_xlnm.Print_Titles" localSheetId="3">Parametros!$1:$1</definedName>
    <definedName name="_xlnm.Print_Titles" localSheetId="11">Pesagem_Solvente!$1:$1</definedName>
    <definedName name="_xlnm.Print_Titles" localSheetId="1">Plano_Monitorizacao!$4:$4</definedName>
    <definedName name="_xlnm.Print_Titles" localSheetId="5">Producao_Mensal!$1:$1</definedName>
    <definedName name="_xlnm.Print_Titles" localSheetId="7">Residuos_Mensais!$1:$1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0" i="13" l="1"/>
  <c r="O110" i="13"/>
  <c r="P109" i="13"/>
  <c r="O109" i="13"/>
  <c r="P108" i="13"/>
  <c r="O108" i="13"/>
  <c r="P107" i="13"/>
  <c r="O107" i="13"/>
  <c r="P106" i="13"/>
  <c r="O106" i="13"/>
  <c r="P105" i="13"/>
  <c r="O105" i="13"/>
  <c r="P104" i="13"/>
  <c r="O104" i="13"/>
  <c r="P103" i="13"/>
  <c r="O103" i="13"/>
  <c r="P102" i="13"/>
  <c r="O102" i="13"/>
  <c r="P101" i="13"/>
  <c r="O101" i="13"/>
  <c r="P100" i="13"/>
  <c r="O100" i="13"/>
  <c r="P99" i="13"/>
  <c r="O99" i="13"/>
  <c r="P98" i="13"/>
  <c r="O98" i="13"/>
  <c r="P97" i="13"/>
  <c r="O97" i="13"/>
  <c r="P96" i="13"/>
  <c r="O96" i="13"/>
  <c r="P95" i="13"/>
  <c r="O95" i="13"/>
  <c r="P94" i="13"/>
  <c r="O94" i="13"/>
  <c r="P93" i="13"/>
  <c r="O93" i="13"/>
  <c r="P92" i="13"/>
  <c r="O92" i="13"/>
  <c r="P91" i="13"/>
  <c r="O91" i="13"/>
  <c r="P90" i="13"/>
  <c r="O90" i="13"/>
  <c r="P89" i="13"/>
  <c r="O89" i="13"/>
  <c r="P88" i="13"/>
  <c r="O88" i="13"/>
  <c r="P87" i="13"/>
  <c r="O87" i="13"/>
  <c r="P86" i="13"/>
  <c r="O86" i="13"/>
  <c r="P85" i="13"/>
  <c r="O85" i="13"/>
  <c r="P84" i="13"/>
  <c r="O84" i="13"/>
  <c r="P83" i="13"/>
  <c r="O83" i="13"/>
  <c r="P82" i="13"/>
  <c r="O82" i="13"/>
  <c r="P81" i="13"/>
  <c r="O81" i="13"/>
  <c r="P80" i="13"/>
  <c r="O80" i="13"/>
  <c r="P79" i="13"/>
  <c r="O79" i="13"/>
  <c r="P78" i="13"/>
  <c r="O78" i="13"/>
  <c r="P77" i="13"/>
  <c r="O77" i="13"/>
  <c r="P76" i="13"/>
  <c r="O76" i="13"/>
  <c r="P75" i="13"/>
  <c r="O75" i="13"/>
  <c r="P74" i="13"/>
  <c r="O74" i="13"/>
  <c r="P73" i="13"/>
  <c r="O73" i="13"/>
  <c r="P72" i="13"/>
  <c r="O72" i="13"/>
  <c r="P71" i="13"/>
  <c r="O71" i="13"/>
  <c r="P70" i="13"/>
  <c r="O70" i="13"/>
  <c r="P69" i="13"/>
  <c r="O69" i="13"/>
  <c r="P68" i="13"/>
  <c r="O68" i="13"/>
  <c r="P67" i="13"/>
  <c r="O67" i="13"/>
  <c r="P66" i="13"/>
  <c r="O66" i="13"/>
  <c r="P65" i="13"/>
  <c r="O65" i="13"/>
  <c r="P64" i="13"/>
  <c r="O64" i="13"/>
  <c r="P63" i="13"/>
  <c r="O63" i="13"/>
  <c r="P62" i="13"/>
  <c r="O62" i="13"/>
  <c r="P61" i="13"/>
  <c r="O61" i="13"/>
  <c r="P60" i="13"/>
  <c r="O60" i="13"/>
  <c r="P59" i="13"/>
  <c r="O59" i="13"/>
  <c r="P58" i="13"/>
  <c r="O58" i="13"/>
  <c r="P57" i="13"/>
  <c r="O57" i="13"/>
  <c r="P56" i="13"/>
  <c r="O56" i="13"/>
  <c r="P55" i="13"/>
  <c r="O55" i="13"/>
  <c r="P54" i="13"/>
  <c r="O54" i="13"/>
  <c r="P53" i="13"/>
  <c r="O53" i="13"/>
  <c r="P52" i="13"/>
  <c r="O52" i="13"/>
  <c r="P51" i="13"/>
  <c r="O51" i="13"/>
  <c r="P50" i="13"/>
  <c r="O50" i="13"/>
  <c r="P49" i="13"/>
  <c r="O49" i="13"/>
  <c r="P48" i="13"/>
  <c r="O48" i="13"/>
  <c r="P47" i="13"/>
  <c r="O47" i="13"/>
  <c r="P46" i="13"/>
  <c r="O46" i="13"/>
  <c r="P45" i="13"/>
  <c r="O45" i="13"/>
  <c r="P44" i="13"/>
  <c r="O44" i="13"/>
  <c r="P43" i="13"/>
  <c r="O43" i="13"/>
  <c r="P42" i="13"/>
  <c r="O42" i="13"/>
  <c r="P41" i="13"/>
  <c r="O41" i="13"/>
  <c r="P40" i="13"/>
  <c r="O40" i="13"/>
  <c r="P39" i="13"/>
  <c r="O39" i="13"/>
  <c r="P38" i="13"/>
  <c r="O38" i="13"/>
  <c r="P37" i="13"/>
  <c r="O37" i="13"/>
  <c r="P36" i="13"/>
  <c r="O36" i="13"/>
  <c r="P35" i="13"/>
  <c r="O35" i="13"/>
  <c r="P34" i="13"/>
  <c r="O34" i="13"/>
  <c r="P33" i="13"/>
  <c r="O33" i="13"/>
  <c r="P32" i="13"/>
  <c r="O32" i="13"/>
  <c r="P31" i="13"/>
  <c r="O31" i="13"/>
  <c r="P30" i="13"/>
  <c r="O30" i="13"/>
  <c r="P29" i="13"/>
  <c r="O29" i="13"/>
  <c r="P28" i="13"/>
  <c r="O28" i="13"/>
  <c r="P27" i="13"/>
  <c r="O27" i="13"/>
  <c r="P26" i="13"/>
  <c r="O26" i="13"/>
  <c r="P25" i="13"/>
  <c r="O25" i="13"/>
  <c r="P24" i="13"/>
  <c r="O24" i="13"/>
  <c r="P23" i="13"/>
  <c r="O23" i="13"/>
  <c r="P22" i="13"/>
  <c r="O22" i="13"/>
  <c r="P21" i="13"/>
  <c r="O21" i="13"/>
  <c r="P20" i="13"/>
  <c r="O20" i="13"/>
  <c r="P19" i="13"/>
  <c r="O19" i="13"/>
  <c r="P18" i="13"/>
  <c r="O18" i="13"/>
  <c r="P17" i="13"/>
  <c r="O17" i="13"/>
  <c r="P16" i="13"/>
  <c r="O16" i="13"/>
  <c r="P15" i="13"/>
  <c r="O15" i="13"/>
  <c r="P14" i="13"/>
  <c r="O14" i="13"/>
  <c r="P13" i="13"/>
  <c r="O13" i="13"/>
  <c r="P12" i="13"/>
  <c r="O12" i="13"/>
  <c r="P11" i="13"/>
  <c r="O11" i="13"/>
  <c r="P10" i="13"/>
  <c r="O10" i="13"/>
  <c r="P9" i="13"/>
  <c r="O9" i="13"/>
  <c r="P8" i="13"/>
  <c r="O8" i="13"/>
  <c r="P7" i="13"/>
  <c r="O7" i="13"/>
  <c r="P6" i="13"/>
  <c r="O6" i="13"/>
  <c r="P5" i="13"/>
  <c r="O5" i="13"/>
  <c r="F475" i="12"/>
  <c r="F474" i="12"/>
  <c r="F473" i="12"/>
  <c r="F472" i="12"/>
  <c r="F471" i="12"/>
  <c r="F470" i="12"/>
  <c r="F469" i="12"/>
  <c r="F468" i="12"/>
  <c r="F467" i="12"/>
  <c r="F466" i="12"/>
  <c r="F465" i="12"/>
  <c r="F464" i="12"/>
  <c r="F463" i="12"/>
  <c r="F462" i="12"/>
  <c r="F461" i="12"/>
  <c r="F460" i="12"/>
  <c r="F459" i="12"/>
  <c r="F458" i="12"/>
  <c r="F457" i="12"/>
  <c r="F456" i="12"/>
  <c r="F455" i="12"/>
  <c r="F454" i="12"/>
  <c r="F453" i="12"/>
  <c r="F452" i="12"/>
  <c r="F451" i="12"/>
  <c r="F450" i="12"/>
  <c r="F449" i="12"/>
  <c r="F448" i="12"/>
  <c r="F447" i="12"/>
  <c r="F446" i="12"/>
  <c r="F445" i="12"/>
  <c r="F444" i="12"/>
  <c r="F443" i="12"/>
  <c r="F442" i="12"/>
  <c r="F441" i="12"/>
  <c r="F440" i="12"/>
  <c r="F439" i="12"/>
  <c r="F438" i="12"/>
  <c r="F437" i="12"/>
  <c r="F436" i="12"/>
  <c r="F435" i="12"/>
  <c r="F434" i="12"/>
  <c r="F433" i="12"/>
  <c r="F432" i="12"/>
  <c r="F431" i="12"/>
  <c r="F430" i="12"/>
  <c r="F429" i="12"/>
  <c r="F428" i="12"/>
  <c r="F427" i="12"/>
  <c r="F426" i="12"/>
  <c r="F425" i="12"/>
  <c r="F424" i="12"/>
  <c r="F423" i="12"/>
  <c r="F422" i="12"/>
  <c r="F421" i="12"/>
  <c r="F420" i="12"/>
  <c r="F419" i="12"/>
  <c r="F418" i="12"/>
  <c r="F417" i="12"/>
  <c r="F416" i="12"/>
  <c r="F415" i="12"/>
  <c r="F414" i="12"/>
  <c r="F413" i="12"/>
  <c r="F412" i="12"/>
  <c r="F411" i="12"/>
  <c r="F410" i="12"/>
  <c r="F409" i="12"/>
  <c r="F408" i="12"/>
  <c r="F407" i="12"/>
  <c r="F406" i="12"/>
  <c r="F405" i="12"/>
  <c r="F404" i="12"/>
  <c r="F403" i="12"/>
  <c r="F402" i="12"/>
  <c r="F401" i="12"/>
  <c r="F400" i="12"/>
  <c r="F399" i="12"/>
  <c r="F398" i="12"/>
  <c r="F397" i="12"/>
  <c r="F396" i="12"/>
  <c r="F395" i="12"/>
  <c r="F394" i="12"/>
  <c r="F393" i="12"/>
  <c r="F392" i="12"/>
  <c r="F391" i="12"/>
  <c r="F390" i="12"/>
  <c r="F389" i="12"/>
  <c r="F388" i="12"/>
  <c r="F387" i="12"/>
  <c r="F386" i="12"/>
  <c r="F385" i="12"/>
  <c r="F384" i="12"/>
  <c r="F383" i="12"/>
  <c r="F382" i="12"/>
  <c r="F381" i="12"/>
  <c r="F380" i="12"/>
  <c r="F379" i="12"/>
  <c r="F378" i="12"/>
  <c r="F377" i="12"/>
  <c r="F376" i="12"/>
  <c r="F375" i="12"/>
  <c r="F374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60" i="12"/>
  <c r="F359" i="12"/>
  <c r="F358" i="12"/>
  <c r="F357" i="12"/>
  <c r="F356" i="12"/>
  <c r="F355" i="12"/>
  <c r="F354" i="12"/>
  <c r="F353" i="12"/>
  <c r="F352" i="12"/>
  <c r="F351" i="12"/>
  <c r="F350" i="12"/>
  <c r="F349" i="12"/>
  <c r="F348" i="12"/>
  <c r="F347" i="12"/>
  <c r="F346" i="12"/>
  <c r="F345" i="12"/>
  <c r="F344" i="12"/>
  <c r="F343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28" i="12"/>
  <c r="F327" i="12"/>
  <c r="F326" i="12"/>
  <c r="F325" i="12"/>
  <c r="F324" i="12"/>
  <c r="F323" i="12"/>
  <c r="F322" i="12"/>
  <c r="F321" i="12"/>
  <c r="F320" i="12"/>
  <c r="F319" i="12"/>
  <c r="F318" i="12"/>
  <c r="F317" i="12"/>
  <c r="F316" i="12"/>
  <c r="F315" i="12"/>
  <c r="F314" i="12"/>
  <c r="F313" i="12"/>
  <c r="F312" i="12"/>
  <c r="F311" i="12"/>
  <c r="F310" i="12"/>
  <c r="F309" i="12"/>
  <c r="F308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F291" i="12"/>
  <c r="F290" i="12"/>
  <c r="F289" i="12"/>
  <c r="F288" i="12"/>
  <c r="F287" i="12"/>
  <c r="F286" i="12"/>
  <c r="F285" i="12"/>
  <c r="F284" i="12"/>
  <c r="F283" i="12"/>
  <c r="F282" i="12"/>
  <c r="F281" i="12"/>
  <c r="F280" i="12"/>
  <c r="F279" i="12"/>
  <c r="F278" i="12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M4" i="12"/>
  <c r="L4" i="12"/>
  <c r="K4" i="12"/>
  <c r="J4" i="12"/>
  <c r="F4" i="12"/>
  <c r="M3" i="12"/>
  <c r="L3" i="12"/>
  <c r="K3" i="12"/>
  <c r="J3" i="12"/>
  <c r="F3" i="12"/>
  <c r="F2" i="12"/>
  <c r="B25" i="9"/>
  <c r="A25" i="9"/>
  <c r="F25" i="9" s="1"/>
  <c r="C24" i="9"/>
  <c r="B24" i="9"/>
  <c r="A24" i="9"/>
  <c r="O24" i="9" s="1"/>
  <c r="N23" i="9"/>
  <c r="H23" i="9"/>
  <c r="D23" i="9"/>
  <c r="B23" i="9"/>
  <c r="A23" i="9"/>
  <c r="M23" i="9" s="1"/>
  <c r="K22" i="9"/>
  <c r="B22" i="9"/>
  <c r="A22" i="9"/>
  <c r="B21" i="9"/>
  <c r="A21" i="9"/>
  <c r="H21" i="9" s="1"/>
  <c r="N20" i="9"/>
  <c r="C20" i="9"/>
  <c r="B20" i="9"/>
  <c r="A20" i="9"/>
  <c r="O20" i="9" s="1"/>
  <c r="O19" i="9"/>
  <c r="K19" i="9"/>
  <c r="H19" i="9"/>
  <c r="D19" i="9"/>
  <c r="B19" i="9"/>
  <c r="A19" i="9"/>
  <c r="M19" i="9" s="1"/>
  <c r="M18" i="9"/>
  <c r="D18" i="9"/>
  <c r="B18" i="9"/>
  <c r="A18" i="9"/>
  <c r="O18" i="9" s="1"/>
  <c r="N17" i="9"/>
  <c r="B17" i="9"/>
  <c r="A17" i="9"/>
  <c r="D17" i="9" s="1"/>
  <c r="O16" i="9"/>
  <c r="B16" i="9"/>
  <c r="A16" i="9"/>
  <c r="B15" i="9"/>
  <c r="A15" i="9"/>
  <c r="M15" i="9" s="1"/>
  <c r="M14" i="9"/>
  <c r="D14" i="9"/>
  <c r="Q14" i="9" s="1"/>
  <c r="B14" i="9"/>
  <c r="A14" i="9"/>
  <c r="O14" i="9" s="1"/>
  <c r="B13" i="9"/>
  <c r="A13" i="9"/>
  <c r="K12" i="9"/>
  <c r="F12" i="9"/>
  <c r="B12" i="9"/>
  <c r="A12" i="9"/>
  <c r="O11" i="9"/>
  <c r="K11" i="9"/>
  <c r="D11" i="9"/>
  <c r="B11" i="9"/>
  <c r="A11" i="9"/>
  <c r="M11" i="9" s="1"/>
  <c r="O10" i="9"/>
  <c r="B10" i="9"/>
  <c r="A10" i="9"/>
  <c r="D10" i="9" s="1"/>
  <c r="B9" i="9"/>
  <c r="A9" i="9"/>
  <c r="O8" i="9"/>
  <c r="M8" i="9"/>
  <c r="B8" i="9"/>
  <c r="A8" i="9"/>
  <c r="C8" i="9" s="1"/>
  <c r="B7" i="9"/>
  <c r="A7" i="9"/>
  <c r="M7" i="9" s="1"/>
  <c r="B6" i="9"/>
  <c r="A6" i="9"/>
  <c r="K6" i="9" s="1"/>
  <c r="B5" i="9"/>
  <c r="A5" i="9"/>
  <c r="H5" i="9" s="1"/>
  <c r="B4" i="9"/>
  <c r="A4" i="9"/>
  <c r="N4" i="9" s="1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S23" i="5"/>
  <c r="T23" i="5" s="1"/>
  <c r="N23" i="5"/>
  <c r="U23" i="5" s="1"/>
  <c r="I23" i="5"/>
  <c r="L23" i="5" s="1"/>
  <c r="R23" i="5" s="1"/>
  <c r="S22" i="5"/>
  <c r="T22" i="5" s="1"/>
  <c r="N22" i="5"/>
  <c r="Q22" i="5" s="1"/>
  <c r="I22" i="5"/>
  <c r="L22" i="5" s="1"/>
  <c r="R22" i="5" s="1"/>
  <c r="S21" i="5"/>
  <c r="T21" i="5" s="1"/>
  <c r="N21" i="5"/>
  <c r="Q21" i="5" s="1"/>
  <c r="I21" i="5"/>
  <c r="L21" i="5" s="1"/>
  <c r="R21" i="5" s="1"/>
  <c r="U20" i="5"/>
  <c r="S20" i="5"/>
  <c r="T20" i="5" s="1"/>
  <c r="Q20" i="5"/>
  <c r="N20" i="5"/>
  <c r="I20" i="5"/>
  <c r="L20" i="5" s="1"/>
  <c r="R20" i="5" s="1"/>
  <c r="S19" i="5"/>
  <c r="T19" i="5" s="1"/>
  <c r="N19" i="5"/>
  <c r="Q19" i="5" s="1"/>
  <c r="I19" i="5"/>
  <c r="L19" i="5" s="1"/>
  <c r="R19" i="5" s="1"/>
  <c r="S18" i="5"/>
  <c r="T18" i="5" s="1"/>
  <c r="U18" i="5" s="1"/>
  <c r="N18" i="5"/>
  <c r="Q18" i="5" s="1"/>
  <c r="I18" i="5"/>
  <c r="L18" i="5" s="1"/>
  <c r="R18" i="5" s="1"/>
  <c r="S17" i="5"/>
  <c r="T17" i="5" s="1"/>
  <c r="U17" i="5" s="1"/>
  <c r="N17" i="5"/>
  <c r="Q17" i="5" s="1"/>
  <c r="I17" i="5"/>
  <c r="L17" i="5" s="1"/>
  <c r="R17" i="5" s="1"/>
  <c r="U16" i="5"/>
  <c r="S16" i="5"/>
  <c r="T16" i="5" s="1"/>
  <c r="Q16" i="5"/>
  <c r="N16" i="5"/>
  <c r="I16" i="5"/>
  <c r="L16" i="5" s="1"/>
  <c r="R16" i="5" s="1"/>
  <c r="S15" i="5"/>
  <c r="T15" i="5" s="1"/>
  <c r="Q15" i="5"/>
  <c r="N15" i="5"/>
  <c r="U15" i="5" s="1"/>
  <c r="I15" i="5"/>
  <c r="L15" i="5" s="1"/>
  <c r="R15" i="5" s="1"/>
  <c r="S14" i="5"/>
  <c r="T14" i="5" s="1"/>
  <c r="U14" i="5" s="1"/>
  <c r="Q14" i="5"/>
  <c r="N14" i="5"/>
  <c r="I14" i="5"/>
  <c r="L14" i="5" s="1"/>
  <c r="R14" i="5" s="1"/>
  <c r="S13" i="5"/>
  <c r="T13" i="5" s="1"/>
  <c r="N13" i="5"/>
  <c r="Q13" i="5" s="1"/>
  <c r="I13" i="5"/>
  <c r="L13" i="5" s="1"/>
  <c r="R13" i="5" s="1"/>
  <c r="S12" i="5"/>
  <c r="T12" i="5" s="1"/>
  <c r="N12" i="5"/>
  <c r="Q12" i="5" s="1"/>
  <c r="I12" i="5"/>
  <c r="L12" i="5" s="1"/>
  <c r="R12" i="5" s="1"/>
  <c r="U11" i="5"/>
  <c r="S11" i="5"/>
  <c r="T11" i="5" s="1"/>
  <c r="Q11" i="5"/>
  <c r="N11" i="5"/>
  <c r="I11" i="5"/>
  <c r="L11" i="5" s="1"/>
  <c r="R11" i="5" s="1"/>
  <c r="S10" i="5"/>
  <c r="T10" i="5" s="1"/>
  <c r="Q10" i="5"/>
  <c r="N10" i="5"/>
  <c r="I10" i="5"/>
  <c r="L10" i="5" s="1"/>
  <c r="R10" i="5" s="1"/>
  <c r="S9" i="5"/>
  <c r="T9" i="5" s="1"/>
  <c r="N9" i="5"/>
  <c r="U9" i="5" s="1"/>
  <c r="I9" i="5"/>
  <c r="L9" i="5" s="1"/>
  <c r="R9" i="5" s="1"/>
  <c r="S8" i="5"/>
  <c r="T8" i="5" s="1"/>
  <c r="N8" i="5"/>
  <c r="Q8" i="5" s="1"/>
  <c r="I8" i="5"/>
  <c r="L8" i="5" s="1"/>
  <c r="R8" i="5" s="1"/>
  <c r="S7" i="5"/>
  <c r="T7" i="5" s="1"/>
  <c r="N7" i="5"/>
  <c r="Q7" i="5" s="1"/>
  <c r="I7" i="5"/>
  <c r="L7" i="5" s="1"/>
  <c r="R7" i="5" s="1"/>
  <c r="S6" i="5"/>
  <c r="T6" i="5" s="1"/>
  <c r="N6" i="5"/>
  <c r="Q6" i="5" s="1"/>
  <c r="I6" i="5"/>
  <c r="L6" i="5" s="1"/>
  <c r="R6" i="5" s="1"/>
  <c r="S5" i="5"/>
  <c r="T5" i="5" s="1"/>
  <c r="N5" i="5"/>
  <c r="Q5" i="5" s="1"/>
  <c r="I5" i="5"/>
  <c r="L5" i="5" s="1"/>
  <c r="R5" i="5" s="1"/>
  <c r="S4" i="5"/>
  <c r="T4" i="5" s="1"/>
  <c r="N4" i="5"/>
  <c r="Q4" i="5" s="1"/>
  <c r="I4" i="5"/>
  <c r="L4" i="5" s="1"/>
  <c r="R4" i="5" s="1"/>
  <c r="S3" i="5"/>
  <c r="T3" i="5" s="1"/>
  <c r="N3" i="5"/>
  <c r="Q3" i="5" s="1"/>
  <c r="I3" i="5"/>
  <c r="L3" i="5" s="1"/>
  <c r="R3" i="5" s="1"/>
  <c r="S2" i="5"/>
  <c r="T2" i="5" s="1"/>
  <c r="N2" i="5"/>
  <c r="Q2" i="5" s="1"/>
  <c r="I2" i="5"/>
  <c r="L2" i="5" s="1"/>
  <c r="R2" i="5" s="1"/>
  <c r="J12" i="3"/>
  <c r="I12" i="3"/>
  <c r="I11" i="3"/>
  <c r="J11" i="3" s="1"/>
  <c r="I10" i="3"/>
  <c r="J10" i="3" s="1"/>
  <c r="I9" i="3"/>
  <c r="J9" i="3" s="1"/>
  <c r="J8" i="3"/>
  <c r="I8" i="3"/>
  <c r="I7" i="3"/>
  <c r="J7" i="3" s="1"/>
  <c r="I6" i="3"/>
  <c r="J6" i="3" s="1"/>
  <c r="I5" i="3"/>
  <c r="J5" i="3" s="1"/>
  <c r="J4" i="3"/>
  <c r="I4" i="3"/>
  <c r="I3" i="3"/>
  <c r="J3" i="3" s="1"/>
  <c r="I2" i="3"/>
  <c r="J2" i="3" s="1"/>
  <c r="L16" i="2"/>
  <c r="L14" i="2"/>
  <c r="L15" i="2" l="1"/>
  <c r="L6" i="2"/>
  <c r="U12" i="5"/>
  <c r="M5" i="9"/>
  <c r="F7" i="9"/>
  <c r="O7" i="9"/>
  <c r="F15" i="9"/>
  <c r="O15" i="9"/>
  <c r="Q18" i="9"/>
  <c r="M21" i="9"/>
  <c r="Q9" i="5"/>
  <c r="U13" i="5"/>
  <c r="U19" i="5"/>
  <c r="Q23" i="5"/>
  <c r="N5" i="9"/>
  <c r="H7" i="9"/>
  <c r="N8" i="9"/>
  <c r="F11" i="9"/>
  <c r="N11" i="9"/>
  <c r="H14" i="9"/>
  <c r="H15" i="9"/>
  <c r="H18" i="9"/>
  <c r="F19" i="9"/>
  <c r="N19" i="9"/>
  <c r="B8" i="10" s="1"/>
  <c r="N21" i="9"/>
  <c r="F23" i="9"/>
  <c r="O23" i="9"/>
  <c r="M24" i="9"/>
  <c r="U3" i="5"/>
  <c r="U5" i="5"/>
  <c r="U8" i="5"/>
  <c r="U21" i="5"/>
  <c r="U22" i="5"/>
  <c r="D4" i="9"/>
  <c r="D5" i="9"/>
  <c r="Q5" i="9" s="1"/>
  <c r="C7" i="9"/>
  <c r="K7" i="9"/>
  <c r="P11" i="9"/>
  <c r="C15" i="9"/>
  <c r="K15" i="9"/>
  <c r="L15" i="9" s="1"/>
  <c r="P19" i="9"/>
  <c r="D21" i="9"/>
  <c r="Q21" i="9" s="1"/>
  <c r="N24" i="9"/>
  <c r="U2" i="5"/>
  <c r="U4" i="5"/>
  <c r="U6" i="5"/>
  <c r="U7" i="5"/>
  <c r="U10" i="5"/>
  <c r="L11" i="9"/>
  <c r="D7" i="9"/>
  <c r="N7" i="9"/>
  <c r="C11" i="9"/>
  <c r="H11" i="9"/>
  <c r="C14" i="9"/>
  <c r="D15" i="9"/>
  <c r="N15" i="9"/>
  <c r="C18" i="9"/>
  <c r="E18" i="9" s="1"/>
  <c r="C19" i="9"/>
  <c r="J19" i="9"/>
  <c r="C23" i="9"/>
  <c r="K23" i="9"/>
  <c r="I23" i="9"/>
  <c r="J23" i="9"/>
  <c r="L7" i="2"/>
  <c r="I7" i="9"/>
  <c r="J7" i="9"/>
  <c r="L12" i="9"/>
  <c r="H12" i="9"/>
  <c r="D12" i="9"/>
  <c r="O12" i="9"/>
  <c r="P12" i="9" s="1"/>
  <c r="J12" i="9"/>
  <c r="N12" i="9"/>
  <c r="C12" i="9"/>
  <c r="M12" i="9"/>
  <c r="L23" i="9"/>
  <c r="L13" i="2"/>
  <c r="L9" i="2"/>
  <c r="L5" i="2"/>
  <c r="L12" i="2"/>
  <c r="L8" i="2"/>
  <c r="J5" i="9"/>
  <c r="O9" i="9"/>
  <c r="K9" i="9"/>
  <c r="C9" i="9"/>
  <c r="N9" i="9"/>
  <c r="D9" i="9"/>
  <c r="M9" i="9"/>
  <c r="H9" i="9"/>
  <c r="I9" i="9" s="1"/>
  <c r="L10" i="2"/>
  <c r="Q4" i="9"/>
  <c r="L7" i="9"/>
  <c r="F9" i="9"/>
  <c r="G9" i="9" s="1"/>
  <c r="N22" i="9"/>
  <c r="J22" i="9"/>
  <c r="F22" i="9"/>
  <c r="O22" i="9"/>
  <c r="D22" i="9"/>
  <c r="M22" i="9"/>
  <c r="H22" i="9"/>
  <c r="I22" i="9" s="1"/>
  <c r="C22" i="9"/>
  <c r="L22" i="9"/>
  <c r="L11" i="2"/>
  <c r="N6" i="9"/>
  <c r="F6" i="9"/>
  <c r="O6" i="9"/>
  <c r="P6" i="9" s="1"/>
  <c r="D6" i="9"/>
  <c r="M6" i="9"/>
  <c r="H6" i="9"/>
  <c r="C6" i="9"/>
  <c r="L6" i="9"/>
  <c r="L9" i="9"/>
  <c r="Q10" i="9"/>
  <c r="G12" i="9"/>
  <c r="Q17" i="9"/>
  <c r="Q19" i="9"/>
  <c r="E19" i="9"/>
  <c r="L19" i="9"/>
  <c r="J21" i="9"/>
  <c r="G23" i="9"/>
  <c r="P23" i="9"/>
  <c r="O25" i="9"/>
  <c r="K25" i="9"/>
  <c r="L25" i="9" s="1"/>
  <c r="C25" i="9"/>
  <c r="G25" i="9" s="1"/>
  <c r="N25" i="9"/>
  <c r="D25" i="9"/>
  <c r="M25" i="9"/>
  <c r="H25" i="9"/>
  <c r="H4" i="9"/>
  <c r="O4" i="9"/>
  <c r="P4" i="9" s="1"/>
  <c r="Q7" i="9"/>
  <c r="E7" i="9"/>
  <c r="N10" i="9"/>
  <c r="P10" i="9" s="1"/>
  <c r="F10" i="9"/>
  <c r="K10" i="9"/>
  <c r="L10" i="9" s="1"/>
  <c r="I11" i="9"/>
  <c r="O13" i="9"/>
  <c r="K13" i="9"/>
  <c r="L13" i="9" s="1"/>
  <c r="C13" i="9"/>
  <c r="F13" i="9"/>
  <c r="H16" i="9"/>
  <c r="D16" i="9"/>
  <c r="F16" i="9"/>
  <c r="K16" i="9"/>
  <c r="L16" i="9" s="1"/>
  <c r="P20" i="9"/>
  <c r="Q23" i="9"/>
  <c r="E23" i="9"/>
  <c r="F4" i="9"/>
  <c r="K4" i="9"/>
  <c r="L4" i="9" s="1"/>
  <c r="P8" i="9"/>
  <c r="Q11" i="9"/>
  <c r="E11" i="9"/>
  <c r="J11" i="9"/>
  <c r="H13" i="9"/>
  <c r="M13" i="9"/>
  <c r="N14" i="9"/>
  <c r="P14" i="9" s="1"/>
  <c r="J14" i="9"/>
  <c r="F14" i="9"/>
  <c r="G14" i="9" s="1"/>
  <c r="E14" i="9"/>
  <c r="K14" i="9"/>
  <c r="I15" i="9"/>
  <c r="M16" i="9"/>
  <c r="O17" i="9"/>
  <c r="P17" i="9" s="1"/>
  <c r="K17" i="9"/>
  <c r="C17" i="9"/>
  <c r="E17" i="9" s="1"/>
  <c r="F17" i="9"/>
  <c r="G17" i="9" s="1"/>
  <c r="L17" i="9"/>
  <c r="H20" i="9"/>
  <c r="D20" i="9"/>
  <c r="F20" i="9"/>
  <c r="G20" i="9" s="1"/>
  <c r="K20" i="9"/>
  <c r="L20" i="9" s="1"/>
  <c r="P24" i="9"/>
  <c r="C4" i="9"/>
  <c r="E4" i="9" s="1"/>
  <c r="M4" i="9"/>
  <c r="O5" i="9"/>
  <c r="P5" i="9" s="1"/>
  <c r="K5" i="9"/>
  <c r="L5" i="9" s="1"/>
  <c r="C5" i="9"/>
  <c r="E5" i="9" s="1"/>
  <c r="F5" i="9"/>
  <c r="H8" i="9"/>
  <c r="D8" i="9"/>
  <c r="F8" i="9"/>
  <c r="G8" i="9" s="1"/>
  <c r="K8" i="9"/>
  <c r="L8" i="9" s="1"/>
  <c r="C10" i="9"/>
  <c r="E10" i="9" s="1"/>
  <c r="H10" i="9"/>
  <c r="J10" i="9" s="1"/>
  <c r="M10" i="9"/>
  <c r="D13" i="9"/>
  <c r="N13" i="9"/>
  <c r="L14" i="9"/>
  <c r="Q15" i="9"/>
  <c r="E15" i="9"/>
  <c r="J15" i="9"/>
  <c r="C16" i="9"/>
  <c r="N16" i="9"/>
  <c r="H17" i="9"/>
  <c r="M17" i="9"/>
  <c r="N18" i="9"/>
  <c r="P18" i="9" s="1"/>
  <c r="J18" i="9"/>
  <c r="F18" i="9"/>
  <c r="G18" i="9" s="1"/>
  <c r="K18" i="9"/>
  <c r="L18" i="9" s="1"/>
  <c r="I19" i="9"/>
  <c r="M20" i="9"/>
  <c r="O21" i="9"/>
  <c r="P21" i="9" s="1"/>
  <c r="K21" i="9"/>
  <c r="L21" i="9" s="1"/>
  <c r="C21" i="9"/>
  <c r="E21" i="9" s="1"/>
  <c r="F21" i="9"/>
  <c r="H24" i="9"/>
  <c r="D24" i="9"/>
  <c r="F24" i="9"/>
  <c r="G24" i="9" s="1"/>
  <c r="K24" i="9"/>
  <c r="L24" i="9" s="1"/>
  <c r="P9" i="9" l="1"/>
  <c r="G19" i="9"/>
  <c r="P15" i="9"/>
  <c r="B5" i="10"/>
  <c r="I18" i="9"/>
  <c r="G11" i="9"/>
  <c r="G15" i="9"/>
  <c r="P7" i="9"/>
  <c r="B11" i="10" s="1"/>
  <c r="I21" i="9"/>
  <c r="G22" i="9"/>
  <c r="I14" i="9"/>
  <c r="G7" i="9"/>
  <c r="I16" i="9"/>
  <c r="J16" i="9"/>
  <c r="Q13" i="9"/>
  <c r="E13" i="9"/>
  <c r="I13" i="9"/>
  <c r="J13" i="9"/>
  <c r="G4" i="9"/>
  <c r="G10" i="9"/>
  <c r="P25" i="9"/>
  <c r="I6" i="9"/>
  <c r="G6" i="9"/>
  <c r="Q22" i="9"/>
  <c r="E22" i="9"/>
  <c r="J9" i="9"/>
  <c r="E12" i="9"/>
  <c r="Q12" i="9"/>
  <c r="J8" i="9"/>
  <c r="I8" i="9"/>
  <c r="E25" i="9"/>
  <c r="Q25" i="9"/>
  <c r="Q24" i="9"/>
  <c r="E24" i="9"/>
  <c r="G21" i="9"/>
  <c r="B9" i="10"/>
  <c r="B10" i="10" s="1"/>
  <c r="J20" i="9"/>
  <c r="I20" i="9"/>
  <c r="G16" i="9"/>
  <c r="P13" i="9"/>
  <c r="I25" i="9"/>
  <c r="J25" i="9"/>
  <c r="B14" i="10"/>
  <c r="J6" i="9"/>
  <c r="P22" i="9"/>
  <c r="I5" i="9"/>
  <c r="I12" i="9"/>
  <c r="P16" i="9"/>
  <c r="B6" i="10" s="1"/>
  <c r="B13" i="10" s="1"/>
  <c r="I4" i="9"/>
  <c r="J17" i="9"/>
  <c r="I17" i="9"/>
  <c r="Q20" i="9"/>
  <c r="E20" i="9"/>
  <c r="J24" i="9"/>
  <c r="I24" i="9"/>
  <c r="I10" i="9"/>
  <c r="Q8" i="9"/>
  <c r="E8" i="9"/>
  <c r="G5" i="9"/>
  <c r="Q16" i="9"/>
  <c r="E16" i="9"/>
  <c r="G13" i="9"/>
  <c r="J4" i="9"/>
  <c r="Q6" i="9"/>
  <c r="E6" i="9"/>
  <c r="E9" i="9"/>
  <c r="Q9" i="9"/>
  <c r="B12" i="10" l="1"/>
  <c r="B7" i="10"/>
  <c r="B16" i="10" s="1"/>
  <c r="B1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Parâmetro monitorizado.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O quê medir (indicador exato).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Medir (valor quantitativo) ou Monitorizar (verificação de estado).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Método/equipamento.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Equipamentos usados.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Responsável pela recolha.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KPI alimentado.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Critério/meta.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Aspetos ambientais monitorizados.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Alerta se algum equipamento associado não está válido.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Equipamento.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Parâmetros em que é usado.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Calibração ou verificação.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Data da última calibração/verificação.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Periodicidade.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Quem calibra/verifica.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Certificado/registo.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Data da próxima.
[calculado]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Estado calculado.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Parâmetro.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Valor.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Descrição e origem.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Mês (1.º dia).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Ano.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Mês (1-12).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Trimestre.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Temperatura média exterior (°C) — variável explicativa (KPI-16).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Dias úteis.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Origem dos dados de produção.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N.º da fatura de eletricidade do mês.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Eletricidade faturada (ENE_TOTAL de tbl_dados_ambientais).
[calculado]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Preço médio (energia + redes + impostos, sem IVA) — simulado; validar com a fatura.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Potência contratada.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Custo da eletricidade.
[calculado]</t>
        </r>
      </text>
    </comment>
    <comment ref="M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N.º da fatura de água do mês.</t>
        </r>
      </text>
    </comment>
    <comment ref="N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Água faturada (AGUA_TOTAL de tbl_dados_ambientais).
[calculado]</t>
        </r>
      </text>
    </comment>
    <comment ref="O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Tarifa variável de água (€/m³).</t>
        </r>
      </text>
    </comment>
    <comment ref="P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Tarifa variável de saneamento (€/m³).</t>
        </r>
      </text>
    </comment>
    <comment ref="Q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Custo de água e saneamento.
[calculado]</t>
        </r>
      </text>
    </comment>
    <comment ref="R1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Custo médio por MWh (série para previsão de preço).
[calculado]</t>
        </r>
      </text>
    </comment>
    <comment ref="S1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Reposição da torre de arrefecimento (AGUA_USO UTL-FRIO).
[calculado]</t>
        </r>
      </text>
    </comment>
    <comment ref="T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Consumo (evaporação na torre ≈ 80% da reposição; 20% sai como purga) — GRI 303-5 / ESRS E3-4.
[calculado]</t>
        </r>
      </text>
    </comment>
    <comment ref="U1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Descarga no coletor (sanitária + purga) = captação − consumo — GRI 303-4.
[calculado]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Unidades produzidas.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Unidades rejeitadas.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Horas de marcha (soma das máquinas).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Mudanças de molde.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Rejeitadas ÷ produzidas.
[calculado]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Origem.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Processo/uso.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Código da variável (ENE_TOTAL, ENE_PROC, AGUA_TOTAL, AGUA_USO, SCRAP_KG, REGRIND_KG, POLIMERO_KG, PCR_KG, TINTA_KG, SOLVENTE_KG, FOIL_KG, GRANULADO_KG, FGAS_KG).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Valor.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Fonte do dado.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Medido / Estimado / Calculado.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Código LER (* = perigoso).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Sim/Não.</t>
        </r>
      </text>
    </comment>
    <comment ref="E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Quantidade (kg).</t>
        </r>
      </text>
    </comment>
    <comment ref="F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Operação R/D.</t>
        </r>
      </text>
    </comment>
    <comment ref="G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Operador de gestão de resíduos.</t>
        </r>
      </text>
    </comment>
    <comment ref="H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Destino de valorização (operação R).
[calculado]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Hipótese.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Categoria Ishikawa.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Causa provável.</t>
        </r>
      </text>
    </comment>
    <comment ref="D1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Teste/dado usado para verificar.</t>
        </r>
      </text>
    </comment>
    <comment ref="E1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Resultado da verificação.</t>
        </r>
      </text>
    </comment>
    <comment ref="F1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Confirmada / Parcial / Descartada.</t>
        </r>
      </text>
    </comment>
    <comment ref="G1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Ação.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Dia.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Máquina (SS-001/SS-002).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Turno.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Peças.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Solvente pesado (kg).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kg por 1.000 peças.
[calculado]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Identificador do resultado.</t>
        </r>
      </text>
    </comment>
    <comment ref="B4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Data da colheita/medição.</t>
        </r>
      </text>
    </comment>
    <comment ref="C4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Matriz ambiental.</t>
        </r>
      </text>
    </comment>
    <comment ref="D4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Ponto de amostragem / recetor.</t>
        </r>
      </text>
    </comment>
    <comment ref="E4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Parâmetro.</t>
        </r>
      </text>
    </comment>
    <comment ref="F4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Resultado.</t>
        </r>
      </text>
    </comment>
    <comment ref="G4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H4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Limite inferior (ex.: pH).</t>
        </r>
      </text>
    </comment>
    <comment ref="I4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Limite superior (VLE ou referência).</t>
        </r>
      </text>
    </comment>
    <comment ref="J4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Origem do limite (confirmar valores na licença/regulamento aplicável).</t>
        </r>
      </text>
    </comment>
    <comment ref="K4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Laboratório ou medição interna.</t>
        </r>
      </text>
    </comment>
    <comment ref="L4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Ensaio acreditado (ISO/IEC 17025).</t>
        </r>
      </text>
    </comment>
    <comment ref="M4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N.º do relatório/boletim.</t>
        </r>
      </text>
    </comment>
    <comment ref="N4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Requisito legal.</t>
        </r>
      </text>
    </comment>
    <comment ref="O4" authorId="0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Resultado em % do limite superior.
[calculado]</t>
        </r>
      </text>
    </comment>
    <comment ref="P4" authorId="0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Automático.
[calculado]</t>
        </r>
      </text>
    </comment>
  </commentList>
</comments>
</file>

<file path=xl/sharedStrings.xml><?xml version="1.0" encoding="utf-8"?>
<sst xmlns="http://schemas.openxmlformats.org/spreadsheetml/2006/main" count="6777" uniqueCount="884">
  <si>
    <t>RG-SGA-13 — Plano de Monitorização e Medição e Avaliação do Desempenho Ambiental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</si>
  <si>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</si>
  <si>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</si>
  <si>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</si>
  <si>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RG-SGA-13</t>
  </si>
  <si>
    <t>Título</t>
  </si>
  <si>
    <t>Plano de Monitorização e Medição e Avaliação do Desempenho Ambiental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</si>
  <si>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</si>
  <si>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</si>
  <si>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</si>
  <si>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</si>
  <si>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</si>
  <si>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</si>
  <si>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</si>
  <si>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</si>
  <si>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</si>
  <si>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</si>
  <si>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</si>
  <si>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</si>
  <si>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</si>
  <si>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</si>
  <si>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</si>
  <si>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Base de dados ambiental mensal de mar/2025 a dez/2026 (22 meses) em formato longo, derivada da produção real da fábrica simulada e de fatores documentados; plano de monitorização com responsáveis e frequências; controlo de calibração; indicadores mensais calculados; e análise do desvio do solvente com hipóteses verificadas por dados.</t>
  </si>
  <si>
    <t>Atividades do curso</t>
  </si>
  <si>
    <t>Atividade 5.1 — Plano de Monitorização e Medição (o quê, como, quando, quem) e equipamentos a calibrar/verificar. Atividade 5.2 Parte 1 — análise do desvio de +15% no solvente de limpeza da serigrafia (18 meses de dados).</t>
  </si>
  <si>
    <t>Requisitos ISO 14001:2026</t>
  </si>
  <si>
    <t>9.1.1 Monitorização, medição, análise e avaliação (avaliar o desempenho ambiental E a eficácia do SGA — ISO 14001:2026); 9.1.2; 7.1 (equipamentos calibrados/verificados)</t>
  </si>
  <si>
    <t>ESTRUTURA DO FICHEIRO</t>
  </si>
  <si>
    <t>Plano_Monitorizacao</t>
  </si>
  <si>
    <t>Plano de monitorização e medição (o quê, como, quando, quem) — Atividade 5.1.</t>
  </si>
  <si>
    <t>Equipamentos_Calibracao</t>
  </si>
  <si>
    <t>Equipamentos de monitorização que exigem calibração/verificação (Atividade 5.1, ponto 3).</t>
  </si>
  <si>
    <t>Parametros</t>
  </si>
  <si>
    <t>Fatores usados para derivar os dados ambientais a partir da produção (transparência do modelo; alterar aqui não recalcula a base de dados).</t>
  </si>
  <si>
    <t>Dim_Mes</t>
  </si>
  <si>
    <t>Dimensão mês com temperatura, dias úteis e faturas de eletricidade e água (consumo, preço, custo, emissões do âmbito 2).</t>
  </si>
  <si>
    <t>Producao_Mensal</t>
  </si>
  <si>
    <t>Produção mensal por processo (denominadores dos indicadores).</t>
  </si>
  <si>
    <t>Dados_Ambientais</t>
  </si>
  <si>
    <t>Base de dados ambiental mensal em formato longo (1 linha = mês × processo × variável) — pronta para análise e ML.</t>
  </si>
  <si>
    <t>Residuos_Mensais</t>
  </si>
  <si>
    <t>Resíduos mensais por código LER, destino e operador (base do MIRR).</t>
  </si>
  <si>
    <t>Indicadores_Mensais</t>
  </si>
  <si>
    <t>Indicadores mensais calculados com SUMIFS sobre as tabelas de dados (KPI-01 a KPI-08, KPI-16).</t>
  </si>
  <si>
    <t>Analise_Desvio_5_2</t>
  </si>
  <si>
    <t>Atividade 5.2 Parte 1: cenário de desvio do solvente (+15% nos últimos 3 meses com produção estável), comparações calculadas, hipóteses e ações.</t>
  </si>
  <si>
    <t>Hipoteses_Desvio</t>
  </si>
  <si>
    <t>Hipóteses (causas prováveis) do desvio do solvente e resultado da verificação com dados.</t>
  </si>
  <si>
    <t>Pesagem_Solvente</t>
  </si>
  <si>
    <t>Pesagem diária de solvente por máquina e turno (investigação PAM-26-07 desde 08/09/2026 e acompanhamento das ações até 31/12/2026).</t>
  </si>
  <si>
    <t>Analises_Laboratoriais</t>
  </si>
  <si>
    <t>Resultados de monitorização por ensaio (efluente, águas pluviais, torre/Legionella, ruído, emissões) comparados com os limites (9.1.1, 9.1.2).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</si>
  <si>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</si>
  <si>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</si>
  <si>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</si>
  <si>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</si>
  <si>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</si>
  <si>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</si>
  <si>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</si>
  <si>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</si>
  <si>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</si>
  <si>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</si>
  <si>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</si>
  <si>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</si>
  <si>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</si>
  <si>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</si>
  <si>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</si>
  <si>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</si>
  <si>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</si>
  <si>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</si>
  <si>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Dataset da fábrica</t>
  </si>
  <si>
    <t>Produção, rejeições, horas de marcha e mudanças de molde de datasets/silver (jul/2025–dez/2026); mar–jun/2025 reconstruídos (marcados).</t>
  </si>
  <si>
    <t>RG-SGA-05 Objetivos</t>
  </si>
  <si>
    <t>Os KPI (KPI-xx) estão definidos no catálogo do RG-SGA-05.</t>
  </si>
  <si>
    <t>RG-SGA-16 EMAS</t>
  </si>
  <si>
    <t>Os totais anuais alimentam os indicadores principais do EMAS.</t>
  </si>
  <si>
    <t>PLANO DE MONITORIZAÇÃO E MEDIÇÃO — PLASTICOM</t>
  </si>
  <si>
    <t>Monitorizar = verificar o estado · Medir = obter um valor quantitativo com equipamento calibrado/verificado</t>
  </si>
  <si>
    <t>ID_MED</t>
  </si>
  <si>
    <t>O_Que_Medir</t>
  </si>
  <si>
    <t>Unidade</t>
  </si>
  <si>
    <t>Tipo</t>
  </si>
  <si>
    <t>Como_Medir</t>
  </si>
  <si>
    <t>Equipamentos</t>
  </si>
  <si>
    <t>Quando_Medir</t>
  </si>
  <si>
    <t>Quem_Mede</t>
  </si>
  <si>
    <t>ID_KPI</t>
  </si>
  <si>
    <t>Criterio_Meta</t>
  </si>
  <si>
    <t>IDs_Aspetos</t>
  </si>
  <si>
    <t>Estado_Equipamentos</t>
  </si>
  <si>
    <t>MED-01</t>
  </si>
  <si>
    <t>Eletricidade total e por processo</t>
  </si>
  <si>
    <t>kWh (total e por processo); kWh/1.000 un; tCO2e</t>
  </si>
  <si>
    <t>Medir</t>
  </si>
  <si>
    <t>Leitura do contador geral (fatura) + analisadores de energia por quadro (em serviço desde 15/12/2026; até lá rateio por horas de marcha)</t>
  </si>
  <si>
    <t>EQP-01; EQP-03</t>
  </si>
  <si>
    <t>Mensal, no último dia útil (fatura) e diária (analisadores)</t>
  </si>
  <si>
    <t>Gerente de Manutenção</t>
  </si>
  <si>
    <t>KPI-01; KPI-08</t>
  </si>
  <si>
    <t>Meta OBJ-01: ≤ 101 kWh/1.000 un até 12/2027</t>
  </si>
  <si>
    <t>AA-007; AA-010; AA-030</t>
  </si>
  <si>
    <t>MED-02</t>
  </si>
  <si>
    <t>Ar comprimido: caudal e fugas</t>
  </si>
  <si>
    <t>Nm³/min; % fugas em teste de vazio</t>
  </si>
  <si>
    <t>Medidor de caudal na saída dos compressores; teste de vazio ao domingo; detetor ultrassónico</t>
  </si>
  <si>
    <t>EQP-04; EQP-05</t>
  </si>
  <si>
    <t>Mensal (teste de vazio) e trimestral (campanha ultrassom)</t>
  </si>
  <si>
    <t>Técnico de Manutenção</t>
  </si>
  <si>
    <t>KPI-01</t>
  </si>
  <si>
    <t>Fugas &lt; 10% do caudal</t>
  </si>
  <si>
    <t>AA-021</t>
  </si>
  <si>
    <t>MED-03</t>
  </si>
  <si>
    <t>Scrap gerado e reintegrado</t>
  </si>
  <si>
    <t>kg/mês por processo; kg/1.000 un; % reintegração</t>
  </si>
  <si>
    <t>Pesagem das caixas de scrap na balança de piso de cada área e dos moinhos</t>
  </si>
  <si>
    <t>EQP-06</t>
  </si>
  <si>
    <t>Diária (registo por turno), consolidação mensal</t>
  </si>
  <si>
    <t>Gerente de Produção</t>
  </si>
  <si>
    <t>KPI-03; KPI-04</t>
  </si>
  <si>
    <t>Meta OBJ-02: ≤ 0,423 kg/1.000 un até 06/2027</t>
  </si>
  <si>
    <t>AA-008; AA-011; AA-020</t>
  </si>
  <si>
    <t>MED-04</t>
  </si>
  <si>
    <t>Resíduos por código LER e destino</t>
  </si>
  <si>
    <t>kg/mês por LER; % valorização; kg perigosos</t>
  </si>
  <si>
    <t>Pesagem na balança de plataforma do parque antes de cada recolha; conferência com e-GAR</t>
  </si>
  <si>
    <t>EQP-02</t>
  </si>
  <si>
    <t>Em cada recolha; consolidação mensal; MIRR anual</t>
  </si>
  <si>
    <t>Responsável de Armazém e Logística</t>
  </si>
  <si>
    <t>KPI-05; KPI-07</t>
  </si>
  <si>
    <t>Valorização ≥ 80%; 100% e-GAR confirmadas</t>
  </si>
  <si>
    <t>AA-004; AA-016; AA-029</t>
  </si>
  <si>
    <t>MED-05</t>
  </si>
  <si>
    <t>Polímero consumido e conteúdo reciclado</t>
  </si>
  <si>
    <t>kg/mês; % PCR</t>
  </si>
  <si>
    <t>Inventário de matérias-primas (entradas − stock) e declarações dos fornecedores</t>
  </si>
  <si>
    <t>Mensal</t>
  </si>
  <si>
    <t>Responsável de Compras</t>
  </si>
  <si>
    <t>—</t>
  </si>
  <si>
    <t>% PCR a reportar a clientes</t>
  </si>
  <si>
    <t>AA-001</t>
  </si>
  <si>
    <t>MED-06</t>
  </si>
  <si>
    <t>Solvente de limpeza na serigrafia</t>
  </si>
  <si>
    <t>kg/mês; kg/1.000 peças serigrafadas</t>
  </si>
  <si>
    <t>Balanço de inventário (compras − stock) e, desde 08/09/2026, pesagem diária dos dispensadores por máquina e turno</t>
  </si>
  <si>
    <t>EQP-07</t>
  </si>
  <si>
    <t>Mensal (inventário) e diária (pesagem)</t>
  </si>
  <si>
    <t>Gestor do SGA / EHS (Responsável Ambiental)</t>
  </si>
  <si>
    <t>KPI-06</t>
  </si>
  <si>
    <t>Meta OBJ-03: ≤ 0,128 kg/1.000 peças até 06/2027</t>
  </si>
  <si>
    <t>AA-014; AA-006</t>
  </si>
  <si>
    <t>MED-07</t>
  </si>
  <si>
    <t>Ruído ambiente no recetor sensível</t>
  </si>
  <si>
    <t>dB(A); critério de incomodidade</t>
  </si>
  <si>
    <t>Ensaio acústico por laboratório acreditado (sonómetro classe 1 calibrado)</t>
  </si>
  <si>
    <t>EXT-01</t>
  </si>
  <si>
    <t>Após alterações e trianual</t>
  </si>
  <si>
    <t>Critério de incomodidade noturno ≤ 3 dB(A)</t>
  </si>
  <si>
    <t>AA-022</t>
  </si>
  <si>
    <t>MED-08</t>
  </si>
  <si>
    <t>Água de rede e água da torre</t>
  </si>
  <si>
    <t>m³/mês; m³/1.000 un; condutividade da purga</t>
  </si>
  <si>
    <t>Contador geral (fatura) + contadores parciais da torre e sanitária (a partir de 12/2026); condutivímetro da purga</t>
  </si>
  <si>
    <t>EQP-08; EQP-09</t>
  </si>
  <si>
    <t>Mensal (fatura); semanal (leitura dos contadores parciais)</t>
  </si>
  <si>
    <t>Técnico de Utilidades</t>
  </si>
  <si>
    <t>KPI-02</t>
  </si>
  <si>
    <t>Meta OBJ-05: -10% até 12/2027 (normalizado pela temperatura)</t>
  </si>
  <si>
    <t>AA-023</t>
  </si>
  <si>
    <t>MED-09</t>
  </si>
  <si>
    <t>Perdas de granulado</t>
  </si>
  <si>
    <t>kg recolhidos/mês; n.º sarjetas com grânulos</t>
  </si>
  <si>
    <t>Monitorizar</t>
  </si>
  <si>
    <t>Inspeção visual semanal das sarjetas e pesagem do granulado recolhido</t>
  </si>
  <si>
    <t>Semanal</t>
  </si>
  <si>
    <t>KPI-13</t>
  </si>
  <si>
    <t>0 sarjetas com grânulos</t>
  </si>
  <si>
    <t>AA-003</t>
  </si>
  <si>
    <t>MED-10</t>
  </si>
  <si>
    <t>Estado dos controlos operacionais</t>
  </si>
  <si>
    <t>% pontos conformes nas rondas; n.º incidentes</t>
  </si>
  <si>
    <t>Ronda ambiental com checklist (RG-SGA-10)</t>
  </si>
  <si>
    <t>KPI-10; KPI-11</t>
  </si>
  <si>
    <t>≥ 90% pontos conformes</t>
  </si>
  <si>
    <t>AA-005; AA-016</t>
  </si>
  <si>
    <t>MED-11</t>
  </si>
  <si>
    <t>Qualidade do efluente (purga da torre)</t>
  </si>
  <si>
    <t>pH, CQO, SST (mg/L)</t>
  </si>
  <si>
    <t>Colheita e análise por laboratório acreditado</t>
  </si>
  <si>
    <t>EXT-02</t>
  </si>
  <si>
    <t>Semestral</t>
  </si>
  <si>
    <t>Abaixo dos VLE do regulamento municipal</t>
  </si>
  <si>
    <t>AA-024</t>
  </si>
  <si>
    <t>MED-12</t>
  </si>
  <si>
    <t>Conformidade PPWR por família</t>
  </si>
  <si>
    <t>% famílias com declaração UE</t>
  </si>
  <si>
    <t>Revisão do dossier técnico de produto</t>
  </si>
  <si>
    <t>Responsável de R&amp;D</t>
  </si>
  <si>
    <t>KPI-12</t>
  </si>
  <si>
    <t>100% até 31/12/2026</t>
  </si>
  <si>
    <t>AA-038</t>
  </si>
  <si>
    <t>ID_Equipamento</t>
  </si>
  <si>
    <t>Equipamento</t>
  </si>
  <si>
    <t>IDs_MED</t>
  </si>
  <si>
    <t>Tipo_Controlo</t>
  </si>
  <si>
    <t>Ultima_Calibracao</t>
  </si>
  <si>
    <t>Periodicidade_Meses</t>
  </si>
  <si>
    <t>Entidade</t>
  </si>
  <si>
    <t>Evidencia</t>
  </si>
  <si>
    <t>Proxima_Calibracao</t>
  </si>
  <si>
    <t>EQP-01</t>
  </si>
  <si>
    <t>Contador geral de eletricidade (operador de rede)</t>
  </si>
  <si>
    <t>Verificação metrológica pelo operador de rede</t>
  </si>
  <si>
    <t>Operador de rede</t>
  </si>
  <si>
    <t>Certificado do operador</t>
  </si>
  <si>
    <t>Balança de plataforma do parque de resíduos (3.000 kg)</t>
  </si>
  <si>
    <t>Verificação com massas-padrão</t>
  </si>
  <si>
    <t>Entidade acreditada</t>
  </si>
  <si>
    <t>Certificado VB-2026-10 (PAM-26-20; NC-SGA-26-07 fechada)</t>
  </si>
  <si>
    <t>EQP-03</t>
  </si>
  <si>
    <t>Analisadores de energia (6 un.)</t>
  </si>
  <si>
    <t>Verificação inicial na instalação</t>
  </si>
  <si>
    <t>Instalador certificado</t>
  </si>
  <si>
    <t>Relatório de comissionamento RC-2026-12 (PAM-26-02)</t>
  </si>
  <si>
    <t>EQP-04</t>
  </si>
  <si>
    <t>Medidor de caudal de ar comprimido</t>
  </si>
  <si>
    <t>Calibração</t>
  </si>
  <si>
    <t>Laboratório acreditado</t>
  </si>
  <si>
    <t>Certificado CAL-2025-331</t>
  </si>
  <si>
    <t>EQP-05</t>
  </si>
  <si>
    <t>Detetor ultrassónico de fugas</t>
  </si>
  <si>
    <t>Verificação funcional</t>
  </si>
  <si>
    <t>Fornecedor</t>
  </si>
  <si>
    <t>Relatório de verificação</t>
  </si>
  <si>
    <t>Balanças de piso das áreas (5 un.)</t>
  </si>
  <si>
    <t>MED-03; MED-05; MED-09</t>
  </si>
  <si>
    <t>Certificados VB-2026-11</t>
  </si>
  <si>
    <t>Balança de bancada da serigrafia (30 kg)</t>
  </si>
  <si>
    <t>Interna (massas-padrão calibradas)</t>
  </si>
  <si>
    <t>Registo interno VI-2026-09</t>
  </si>
  <si>
    <t>EQP-08</t>
  </si>
  <si>
    <t>Contador geral de água (entidade gestora)</t>
  </si>
  <si>
    <t>Verificação metrológica pela entidade gestora</t>
  </si>
  <si>
    <t>Entidade gestora</t>
  </si>
  <si>
    <t>Selo do contador</t>
  </si>
  <si>
    <t>EQP-09</t>
  </si>
  <si>
    <t>Condutivímetro da purga da torre</t>
  </si>
  <si>
    <t>MED-08; MED-11</t>
  </si>
  <si>
    <t>Calibração com soluções-padrão</t>
  </si>
  <si>
    <t>Registo CAL-TR-2026-12</t>
  </si>
  <si>
    <t>Sonómetro classe 1 (laboratório externo)</t>
  </si>
  <si>
    <t>Calibração (responsabilidade do laboratório)</t>
  </si>
  <si>
    <t>Certificado anexo ao relatório de ensaio</t>
  </si>
  <si>
    <t>Equipamento analítico do laboratório externo</t>
  </si>
  <si>
    <t>Acreditação do laboratório</t>
  </si>
  <si>
    <t>IPAC / laboratório</t>
  </si>
  <si>
    <t>Anexo técnico de acreditação</t>
  </si>
  <si>
    <t>Codigo</t>
  </si>
  <si>
    <t>Valor</t>
  </si>
  <si>
    <t>Descricao</t>
  </si>
  <si>
    <t>KW_INJ</t>
  </si>
  <si>
    <t>kW</t>
  </si>
  <si>
    <t>Potência média absorvida por máquina de injeção em marcha</t>
  </si>
  <si>
    <t>KW_SOP</t>
  </si>
  <si>
    <t>Potência média absorvida por máquina ISBM em marcha</t>
  </si>
  <si>
    <t>KW_SER</t>
  </si>
  <si>
    <t>Potência média por máquina de serigrafia (inclui cura UV/IR)</t>
  </si>
  <si>
    <t>KW_HFS</t>
  </si>
  <si>
    <t>Potência média por máquina de hot foil</t>
  </si>
  <si>
    <t>AR_FRAC</t>
  </si>
  <si>
    <t>fração</t>
  </si>
  <si>
    <t>Energia dos compressores de ar em proporção da energia dos processos</t>
  </si>
  <si>
    <t>FRIO_FRAC</t>
  </si>
  <si>
    <t>Energia do chiller/torre em proporção da energia de injeção + sopro, a 15 °C</t>
  </si>
  <si>
    <t>FRIO_TEMP</t>
  </si>
  <si>
    <t>1/°C</t>
  </si>
  <si>
    <t>Aumento relativo da energia de arrefecimento por °C acima de 15 °C</t>
  </si>
  <si>
    <t>BASE_KWH</t>
  </si>
  <si>
    <t>kWh/mês</t>
  </si>
  <si>
    <t>Consumo base (iluminação, escritórios, armazéns, AVAC a 18 °C)</t>
  </si>
  <si>
    <t>AGUA_TORRE</t>
  </si>
  <si>
    <t>m³/MWh</t>
  </si>
  <si>
    <t>Água de reposição da torre por MWh de injeção + sopro, a 15 °C</t>
  </si>
  <si>
    <t>AGUA_TEMP</t>
  </si>
  <si>
    <t>Aumento relativo da reposição da torre por °C acima de 15 °C</t>
  </si>
  <si>
    <t>AGUA_SAN</t>
  </si>
  <si>
    <t>m³/mês</t>
  </si>
  <si>
    <t>Água sanitária e de limpeza (≈ 150 trabalhadores)</t>
  </si>
  <si>
    <t>G_FRASCO</t>
  </si>
  <si>
    <t>g/un</t>
  </si>
  <si>
    <t>Massa média de um frasco soprado</t>
  </si>
  <si>
    <t>G_TAMPA</t>
  </si>
  <si>
    <t>Massa média de uma tampa injetada</t>
  </si>
  <si>
    <t>KG_SETUP_SOP</t>
  </si>
  <si>
    <t>kg/troca</t>
  </si>
  <si>
    <t>Purga e peças de arranque por mudança de molde no sopro</t>
  </si>
  <si>
    <t>KG_SETUP_INJ</t>
  </si>
  <si>
    <t>Purga e peças de arranque por mudança de molde na injeção</t>
  </si>
  <si>
    <t>REGRIND</t>
  </si>
  <si>
    <t>Fração do scrap limpo de injeção/sopro reintegrada por moagem</t>
  </si>
  <si>
    <t>PCR_SHARE</t>
  </si>
  <si>
    <t>Fração de polímero reciclado (PCR/rPET) no consumo total</t>
  </si>
  <si>
    <t>TINTA_G</t>
  </si>
  <si>
    <t>kg/1.000 un</t>
  </si>
  <si>
    <t>Consumo de tinta por 1.000 peças serigrafadas</t>
  </si>
  <si>
    <t>SOLV_G</t>
  </si>
  <si>
    <t>Solvente de limpeza de ecrãs por 1.000 peças serigrafadas (referência)</t>
  </si>
  <si>
    <t>FOIL_G</t>
  </si>
  <si>
    <t>Consumo de foil por 1.000 peças decoradas por hot foil</t>
  </si>
  <si>
    <t>FOIL_RES</t>
  </si>
  <si>
    <t>Resíduo de foil (filme de suporte) por 1.000 peças</t>
  </si>
  <si>
    <t>FE_ELET</t>
  </si>
  <si>
    <t>kgCO2e/kWh</t>
  </si>
  <si>
    <t>Fator de emissão da eletricidade da rede (location-based, Portugal). CÓPIA do FE-01 do RG-SGA-19 (mestre dos fatores) — alterar lá e regenerar</t>
  </si>
  <si>
    <t>REN_SHARE</t>
  </si>
  <si>
    <t>Quota renovável do mix do comercializador (rótulo de energia)</t>
  </si>
  <si>
    <t>GWP_R410A</t>
  </si>
  <si>
    <t>kgCO2e/kg</t>
  </si>
  <si>
    <t>GWP do R410A (chiller CH-01). CÓPIA do FE-05 do RG-SGA-19 (mestre dos fatores)</t>
  </si>
  <si>
    <t>Mes</t>
  </si>
  <si>
    <t>Ano</t>
  </si>
  <si>
    <t>Mes_Num</t>
  </si>
  <si>
    <t>Trimestre</t>
  </si>
  <si>
    <t>Temp_Media_C</t>
  </si>
  <si>
    <t>Dias_Uteis</t>
  </si>
  <si>
    <t>Periodo_Dataset</t>
  </si>
  <si>
    <t>Fatura_Eletricidade</t>
  </si>
  <si>
    <t>Energia_kWh</t>
  </si>
  <si>
    <t>Preco_Eletricidade_EUR_kWh</t>
  </si>
  <si>
    <t>Potencia_Contratada_kW</t>
  </si>
  <si>
    <t>Custo_Eletricidade_EUR</t>
  </si>
  <si>
    <t>Fatura_Agua</t>
  </si>
  <si>
    <t>Agua_m3</t>
  </si>
  <si>
    <t>Tarifa_Agua_EUR_m3</t>
  </si>
  <si>
    <t>Tarifa_Saneamento_EUR_m3</t>
  </si>
  <si>
    <t>Custo_Agua_EUR</t>
  </si>
  <si>
    <t>Custo_por_MWh_EUR</t>
  </si>
  <si>
    <t>Agua_Torre_m3</t>
  </si>
  <si>
    <t>Agua_Consumida_m3</t>
  </si>
  <si>
    <t>Agua_Descarregada_m3</t>
  </si>
  <si>
    <t>2025-T1</t>
  </si>
  <si>
    <t>Pré-dataset</t>
  </si>
  <si>
    <t>FE-202503-8501</t>
  </si>
  <si>
    <t>FA-202503</t>
  </si>
  <si>
    <t>2025-T2</t>
  </si>
  <si>
    <t>FE-202504-7773</t>
  </si>
  <si>
    <t>FA-202504</t>
  </si>
  <si>
    <t>FE-202505-7293</t>
  </si>
  <si>
    <t>FA-202505</t>
  </si>
  <si>
    <t>FE-202506-8407</t>
  </si>
  <si>
    <t>FA-202506</t>
  </si>
  <si>
    <t>2025-T3</t>
  </si>
  <si>
    <t>Dataset de produção</t>
  </si>
  <si>
    <t>FE-202507-4684</t>
  </si>
  <si>
    <t>FA-202507</t>
  </si>
  <si>
    <t>FE-202508-2456</t>
  </si>
  <si>
    <t>FA-202508</t>
  </si>
  <si>
    <t>FE-202509-3005</t>
  </si>
  <si>
    <t>FA-202509</t>
  </si>
  <si>
    <t>2025-T4</t>
  </si>
  <si>
    <t>FE-202510-4189</t>
  </si>
  <si>
    <t>FA-202510</t>
  </si>
  <si>
    <t>FE-202511-7676</t>
  </si>
  <si>
    <t>FA-202511</t>
  </si>
  <si>
    <t>FE-202512-6121</t>
  </si>
  <si>
    <t>FA-202512</t>
  </si>
  <si>
    <t>2026-T1</t>
  </si>
  <si>
    <t>FE-202601-7519</t>
  </si>
  <si>
    <t>FA-202601</t>
  </si>
  <si>
    <t>FE-202602-5999</t>
  </si>
  <si>
    <t>FA-202602</t>
  </si>
  <si>
    <t>FE-202603-4780</t>
  </si>
  <si>
    <t>FA-202603</t>
  </si>
  <si>
    <t>2026-T2</t>
  </si>
  <si>
    <t>FE-202604-7953</t>
  </si>
  <si>
    <t>FA-202604</t>
  </si>
  <si>
    <t>FE-202605-7309</t>
  </si>
  <si>
    <t>FA-202605</t>
  </si>
  <si>
    <t>FE-202606-3632</t>
  </si>
  <si>
    <t>FA-202606</t>
  </si>
  <si>
    <t>2026-T3</t>
  </si>
  <si>
    <t>FE-202607-1913</t>
  </si>
  <si>
    <t>FA-202607</t>
  </si>
  <si>
    <t>FE-202608-6364</t>
  </si>
  <si>
    <t>FA-202608</t>
  </si>
  <si>
    <t>FE-202609-1858</t>
  </si>
  <si>
    <t>FA-202609</t>
  </si>
  <si>
    <t>2026-T4</t>
  </si>
  <si>
    <t>FE-202610-2065</t>
  </si>
  <si>
    <t>FA-202610</t>
  </si>
  <si>
    <t>FE-202611-5704</t>
  </si>
  <si>
    <t>FA-202611</t>
  </si>
  <si>
    <t>FE-202612-2243</t>
  </si>
  <si>
    <t>FA-202612</t>
  </si>
  <si>
    <t>Processo</t>
  </si>
  <si>
    <t>Unid</t>
  </si>
  <si>
    <t>Rej</t>
  </si>
  <si>
    <t>Horas</t>
  </si>
  <si>
    <t>Setups</t>
  </si>
  <si>
    <t>Taxa_Rejeicao</t>
  </si>
  <si>
    <t>Fonte</t>
  </si>
  <si>
    <t>HFS</t>
  </si>
  <si>
    <t>Reconstruído (pré-dataset, faturas e registos de turno)</t>
  </si>
  <si>
    <t>INJ</t>
  </si>
  <si>
    <t>SER</t>
  </si>
  <si>
    <t>SOP</t>
  </si>
  <si>
    <t>Dataset de produção (silver)</t>
  </si>
  <si>
    <t>Variavel</t>
  </si>
  <si>
    <t>Qualidade_Dado</t>
  </si>
  <si>
    <t>GER</t>
  </si>
  <si>
    <t>ENE_TOTAL</t>
  </si>
  <si>
    <t>Eletricidade total (fatura)</t>
  </si>
  <si>
    <t>kWh</t>
  </si>
  <si>
    <t>Fatura do comercializador</t>
  </si>
  <si>
    <t>Medido</t>
  </si>
  <si>
    <t>ENE_PROC</t>
  </si>
  <si>
    <t>Eletricidade por processo/uso (rateio por horas de marcha)</t>
  </si>
  <si>
    <t>Rateio por horas de marcha</t>
  </si>
  <si>
    <t>Estimado</t>
  </si>
  <si>
    <t>UTL-AR</t>
  </si>
  <si>
    <t>UTL-FRIO</t>
  </si>
  <si>
    <t>AGUA_TOTAL</t>
  </si>
  <si>
    <t>Água de rede total (fatura)</t>
  </si>
  <si>
    <t>m³</t>
  </si>
  <si>
    <t>Fatura da entidade gestora</t>
  </si>
  <si>
    <t>AGUA_USO</t>
  </si>
  <si>
    <t>Água de reposição da torre de arrefecimento (estimativa)</t>
  </si>
  <si>
    <t>Balanço (fatura - sanitária)</t>
  </si>
  <si>
    <t>Água sanitária e limpezas (estimativa)</t>
  </si>
  <si>
    <t>Estimativa por n.º de trabalhadores</t>
  </si>
  <si>
    <t>SCRAP_KG</t>
  </si>
  <si>
    <t>Scrap plástico gerado (rejeitados + purgas de arranque)</t>
  </si>
  <si>
    <t>kg</t>
  </si>
  <si>
    <t>Pesagem na balança da área</t>
  </si>
  <si>
    <t>MOA</t>
  </si>
  <si>
    <t>REGRIND_KG</t>
  </si>
  <si>
    <t>Scrap limpo moído e reintegrado no processo</t>
  </si>
  <si>
    <t>Pesagem nos moinhos</t>
  </si>
  <si>
    <t>REC</t>
  </si>
  <si>
    <t>POLIMERO_KG</t>
  </si>
  <si>
    <t>Polímero consumido (virgem + reciclado)</t>
  </si>
  <si>
    <t>Inventário de matérias-primas</t>
  </si>
  <si>
    <t>PCR_KG</t>
  </si>
  <si>
    <t>Polímero reciclado (PCR/rPET) consumido</t>
  </si>
  <si>
    <t>TINTA_KG</t>
  </si>
  <si>
    <t>Tinta de serigrafia consumida</t>
  </si>
  <si>
    <t>Inventário (compras - stock)</t>
  </si>
  <si>
    <t>SOLVENTE_KG</t>
  </si>
  <si>
    <t>Solvente de limpeza de ecrãs consumido</t>
  </si>
  <si>
    <t>FOIL_KG</t>
  </si>
  <si>
    <t>Foil consumido</t>
  </si>
  <si>
    <t>Inventário</t>
  </si>
  <si>
    <t>GRANULADO_KG</t>
  </si>
  <si>
    <t>Granulado recolhido nos pontos de contenção / varrimento</t>
  </si>
  <si>
    <t>Pesagem</t>
  </si>
  <si>
    <t>FGAS_KG</t>
  </si>
  <si>
    <t>Fuga de gás fluorado R410A (reposição após fuga)</t>
  </si>
  <si>
    <t>Relatório do técnico certificado</t>
  </si>
  <si>
    <t>Codigo_LER</t>
  </si>
  <si>
    <t>Perigoso</t>
  </si>
  <si>
    <t>Quantidade_kg</t>
  </si>
  <si>
    <t>Operacao_Destino</t>
  </si>
  <si>
    <t>Operador</t>
  </si>
  <si>
    <t>Valorizado</t>
  </si>
  <si>
    <t>07 02 13</t>
  </si>
  <si>
    <t>Resíduos de plásticos (scrap não reintegrado)</t>
  </si>
  <si>
    <t>Não</t>
  </si>
  <si>
    <t>R3</t>
  </si>
  <si>
    <t>OGR-01 Recicladora de plásticos</t>
  </si>
  <si>
    <t>15 01 01</t>
  </si>
  <si>
    <t>Embalagens de papel e cartão</t>
  </si>
  <si>
    <t>OGR-02 Gestor de papel/cartão</t>
  </si>
  <si>
    <t>15 01 02</t>
  </si>
  <si>
    <t>Embalagens de plástico (filme, big bags, sacos)</t>
  </si>
  <si>
    <t>15 01 03</t>
  </si>
  <si>
    <t>Embalagens de madeira (paletes)</t>
  </si>
  <si>
    <t>OGR-03 Recuperador de paletes</t>
  </si>
  <si>
    <t>Resíduo de foil (filme de suporte)</t>
  </si>
  <si>
    <t>R13</t>
  </si>
  <si>
    <t>20 03 01</t>
  </si>
  <si>
    <t>Misturas de resíduos urbanos (indiferenciados)</t>
  </si>
  <si>
    <t>D1</t>
  </si>
  <si>
    <t>OGR-04 Sistema municipal</t>
  </si>
  <si>
    <t>17 04 05</t>
  </si>
  <si>
    <t>Ferro e aço (sucata)</t>
  </si>
  <si>
    <t>R4</t>
  </si>
  <si>
    <t>OGR-05 Sucateiro licenciado</t>
  </si>
  <si>
    <t>08 03 12*</t>
  </si>
  <si>
    <t>Resíduos de tintas de impressão com substâncias perigosas</t>
  </si>
  <si>
    <t>Sim</t>
  </si>
  <si>
    <t>OGR-06 Operador de resíduos perigosos</t>
  </si>
  <si>
    <t>15 01 10*</t>
  </si>
  <si>
    <t>Embalagens contaminadas por substâncias perigosas</t>
  </si>
  <si>
    <t>15 02 02*</t>
  </si>
  <si>
    <t>Absorventes e panos contaminados</t>
  </si>
  <si>
    <t>D15</t>
  </si>
  <si>
    <t>13 02 05*</t>
  </si>
  <si>
    <t>Óleos minerais de motores e lubrificação usados</t>
  </si>
  <si>
    <t>OGR-07 Regenerador de óleos</t>
  </si>
  <si>
    <t>20 01 21*</t>
  </si>
  <si>
    <t>Lâmpadas fluorescentes</t>
  </si>
  <si>
    <t>INDICADORES AMBIENTAIS MENSAIS — calculados</t>
  </si>
  <si>
    <t>Mês</t>
  </si>
  <si>
    <t>Temp. (°C)</t>
  </si>
  <si>
    <t>Unid. INJ+SOP</t>
  </si>
  <si>
    <t>kWh total</t>
  </si>
  <si>
    <t>KPI-01 kWh/1.000 un</t>
  </si>
  <si>
    <t>m³ água</t>
  </si>
  <si>
    <t>KPI-02 m³/1.000 un</t>
  </si>
  <si>
    <t>Scrap (kg)</t>
  </si>
  <si>
    <t>KPI-03 kg/1.000 un</t>
  </si>
  <si>
    <t>KPI-04 % reintegração</t>
  </si>
  <si>
    <t>Resíduos (kg)</t>
  </si>
  <si>
    <t>KPI-05 % valorização</t>
  </si>
  <si>
    <t>KPI-07 perigosos (kg)</t>
  </si>
  <si>
    <t>Peças serigrafadas</t>
  </si>
  <si>
    <t>Solvente (kg)</t>
  </si>
  <si>
    <t>KPI-06 kg/1.000 peças</t>
  </si>
  <si>
    <t>KPI-08 tCO2e (âmbito 2)</t>
  </si>
  <si>
    <t>ATIVIDADE 5.2 — ANÁLISE DE DESVIO: SOLVENTE DE LIMPEZA NA SERIGRAFIA (KPI-06)</t>
  </si>
  <si>
    <t>Indicador crítico escolhido: KPI-06 — kg de solvente de limpeza por 1.000 peças serigrafadas (aspeto AA-014, AAS de COV; objetivo OBJ-03).</t>
  </si>
  <si>
    <t>Média do KPI-06 — jun–ago/2026 (últimos 3 meses)</t>
  </si>
  <si>
    <t>Média do KPI-06 — mar–mai/2026 (3 meses anteriores)</t>
  </si>
  <si>
    <t>Variação do indicador (últimos 3 vs anteriores)</t>
  </si>
  <si>
    <t>Peças serigrafadas — jun–ago/2026</t>
  </si>
  <si>
    <t>Peças serigrafadas — mar–mai/2026</t>
  </si>
  <si>
    <t>Variação da produção</t>
  </si>
  <si>
    <t>Média do KPI-06 — jun–ago/2025 (mesma estação do ano anterior)</t>
  </si>
  <si>
    <t>Variação face ao mesmo período de 2025</t>
  </si>
  <si>
    <t>Solvente em excesso no período (kg)</t>
  </si>
  <si>
    <t>Média do KPI-06 — out–dez/2026 (após PAM-26-07 e PAM-26-08)</t>
  </si>
  <si>
    <t>Variação out–dez/2026 face a mar–mai/2026 (antes do desvio)</t>
  </si>
  <si>
    <t>Leitura automática</t>
  </si>
  <si>
    <t>Cenário (enunciado)</t>
  </si>
  <si>
    <t>Os dados de mar/2025 a ago/2026 (18 meses) mostraram que o consumo específico de solvente de limpeza na serigrafia subiu cerca de 15% em jun–ago/2026 face aos 3 meses anteriores, com a produção de peças serigrafadas estável. A Gestão de Topo pediu justificação e soluções. A investigação (PAM-26-07) testou 7 hipóteses: 3 confirmadas, 1 parcial e 3 descartadas (folha Hipoteses_Desvio).</t>
  </si>
  <si>
    <t>Ações imediatas</t>
  </si>
  <si>
    <t>• PAM-26-07 (C1): pesagem diária por máquina e turno, fechar e identificar todos os recipientes, observar a limpeza nos 3 turnos, reconciliar o inventário.</t>
  </si>
  <si>
    <t>• PAM-26-08 (C2): dispensadores de segurança, norma de limpeza, afinação da rasqueta da SS-001 e formação dos operadores (incl. temporários).</t>
  </si>
  <si>
    <t>• PAM-26-13 (M, decisão da Revisão pela Gestão): unidade de recuperação de solvente.</t>
  </si>
  <si>
    <t>• COM-03: toolbox com os operadores para partilhar o desvio e recolher as causas prováveis.</t>
  </si>
  <si>
    <t>ID_Hipotese</t>
  </si>
  <si>
    <t>Categoria_6M</t>
  </si>
  <si>
    <t>Hipotese</t>
  </si>
  <si>
    <t>Como_Verificar</t>
  </si>
  <si>
    <t>Evidencia_Obtida</t>
  </si>
  <si>
    <t>ID_PAM</t>
  </si>
  <si>
    <t>H1</t>
  </si>
  <si>
    <t>Método</t>
  </si>
  <si>
    <t>Latas e recipientes de solvente deixados abertos no posto (evaporação).</t>
  </si>
  <si>
    <t>Rondas RON-01 de jun–ago; observação nos 3 turnos.</t>
  </si>
  <si>
    <t>RON-01 não conforme em 45% das rondas de jun–ago/2026 (vs 12% no resto do ano).</t>
  </si>
  <si>
    <t>Confirmada</t>
  </si>
  <si>
    <t>PAM-26-08</t>
  </si>
  <si>
    <t>H2</t>
  </si>
  <si>
    <t>Máquina</t>
  </si>
  <si>
    <t>Após o overhaul da SS-001 (jul/2026) a nova rasqueta/tela obriga a mais limpezas.</t>
  </si>
  <si>
    <t>Pesagem diária do solvente por máquina (8–22/09).</t>
  </si>
  <si>
    <t>SS-001 consome ≈ 30% mais solvente por 1.000 peças do que a SS-002 (ver Pesagem_Solvente).</t>
  </si>
  <si>
    <t>H3</t>
  </si>
  <si>
    <t>Mão de obra</t>
  </si>
  <si>
    <t>Operador temporário no turno 2 sem formação na IT de limpeza.</t>
  </si>
  <si>
    <t>Matriz de competências; pesagem por turno.</t>
  </si>
  <si>
    <t>Operador OP-SK-T01 sem FOR-02 (NC-SGA-26-08); turno 2 com o maior consumo por 1.000 peças.</t>
  </si>
  <si>
    <t>H4</t>
  </si>
  <si>
    <t>Material</t>
  </si>
  <si>
    <t>Novo lote/tinta de secagem mais rápida exige mais limpezas.</t>
  </si>
  <si>
    <t>Lotes e fornecedor da tinta; consumo de tinta por 1.000 peças.</t>
  </si>
  <si>
    <t>Mesmo fornecedor e referência desde abril; consumo de tinta por 1.000 peças estável (±3%).</t>
  </si>
  <si>
    <t>Descartada</t>
  </si>
  <si>
    <t>H5</t>
  </si>
  <si>
    <t>Medição</t>
  </si>
  <si>
    <t>Erro de inventário (compra de junho lançada em duplicado).</t>
  </si>
  <si>
    <t>Reconciliação faturas × entradas × stock físico.</t>
  </si>
  <si>
    <t>Reconciliação sem diferenças.</t>
  </si>
  <si>
    <t>H6</t>
  </si>
  <si>
    <t>Meio ambiente</t>
  </si>
  <si>
    <t>Calor de verão aumenta a evaporação do solvente.</t>
  </si>
  <si>
    <t>Comparar jun–ago/2026 com jun–ago/2025 (mesma estação).</t>
  </si>
  <si>
    <t>Temperatura +1,6 °C face a 2025; efeito estimado 3-4% — não explica +15%. A subida também existe face ao verão de 2025.</t>
  </si>
  <si>
    <t>Parcial</t>
  </si>
  <si>
    <t>H7</t>
  </si>
  <si>
    <t>Mais mudanças de cor (mix com mais cores) → mais limpezas.</t>
  </si>
  <si>
    <t>N.º de ordens e de cores por ordem na serigrafia (dataset).</t>
  </si>
  <si>
    <t>N.º de ordens e de cores por peça estável em jun–ago.</t>
  </si>
  <si>
    <t>Data</t>
  </si>
  <si>
    <t>Maquina</t>
  </si>
  <si>
    <t>Turno</t>
  </si>
  <si>
    <t>Pecas_Serigrafadas</t>
  </si>
  <si>
    <t>Solvente_kg</t>
  </si>
  <si>
    <t>kg_por_1000</t>
  </si>
  <si>
    <t>Resumo (kg por 1.000 peças)</t>
  </si>
  <si>
    <t>SS-001</t>
  </si>
  <si>
    <t>Turno 1</t>
  </si>
  <si>
    <t>Turno 2</t>
  </si>
  <si>
    <t>Turno 3</t>
  </si>
  <si>
    <t>Total</t>
  </si>
  <si>
    <t>SS-002</t>
  </si>
  <si>
    <t>RESULTADOS DE MONITORIZAÇÃO — ENSAIOS E MEDIÇÕES vs. LIMITES</t>
  </si>
  <si>
    <t>Formato longo (1 linha = 1 parâmetro) · Limites indicativos a confirmar na autorização de descarga, RGR e DL 39/2018 · Medições internas não substituem ensaios acreditados</t>
  </si>
  <si>
    <t>ID_Analise</t>
  </si>
  <si>
    <t>Matriz</t>
  </si>
  <si>
    <t>Ponto_Amostragem</t>
  </si>
  <si>
    <t>Parametro</t>
  </si>
  <si>
    <t>Limite_Min</t>
  </si>
  <si>
    <t>Limite_Max</t>
  </si>
  <si>
    <t>Tipo_Limite</t>
  </si>
  <si>
    <t>Laboratorio</t>
  </si>
  <si>
    <t>Acreditado</t>
  </si>
  <si>
    <t>N_Relatorio</t>
  </si>
  <si>
    <t>ID_Legal</t>
  </si>
  <si>
    <t>Pct_do_Limite</t>
  </si>
  <si>
    <t>Conformidade</t>
  </si>
  <si>
    <t>AN-001</t>
  </si>
  <si>
    <t>Emissões — chaminé FP1</t>
  </si>
  <si>
    <t>Chaminé FP1 (estufa de cura)</t>
  </si>
  <si>
    <t>COVT</t>
  </si>
  <si>
    <t>mg C/Nm³</t>
  </si>
  <si>
    <t>VLE legal</t>
  </si>
  <si>
    <t>Laboratório acreditado (IPAC L0xxx)</t>
  </si>
  <si>
    <t>2023/03-EF</t>
  </si>
  <si>
    <t>LEG-12</t>
  </si>
  <si>
    <t>AN-002</t>
  </si>
  <si>
    <t>Caudal mássico COVT</t>
  </si>
  <si>
    <t>kg C/h</t>
  </si>
  <si>
    <t>Limiar legal de ação</t>
  </si>
  <si>
    <t>AN-003</t>
  </si>
  <si>
    <t>Ruído ambiente</t>
  </si>
  <si>
    <t>Recetor R1 (habitação a sul, 250 m)</t>
  </si>
  <si>
    <t>Ln (recetor R1)</t>
  </si>
  <si>
    <t>dB(A)</t>
  </si>
  <si>
    <t>AC-2023-041</t>
  </si>
  <si>
    <t>LEG-05</t>
  </si>
  <si>
    <t>AN-004</t>
  </si>
  <si>
    <t>Incomodidade noturna ΔLA (R1)</t>
  </si>
  <si>
    <t>AN-005</t>
  </si>
  <si>
    <t>Água da torre</t>
  </si>
  <si>
    <t>Bacia da torre TR-01</t>
  </si>
  <si>
    <t>Legionella spp.</t>
  </si>
  <si>
    <t>UFC/L</t>
  </si>
  <si>
    <t>L25-0311</t>
  </si>
  <si>
    <t>LEG-15</t>
  </si>
  <si>
    <t>AN-006</t>
  </si>
  <si>
    <t>L25-0610</t>
  </si>
  <si>
    <t>AN-007</t>
  </si>
  <si>
    <t>Efluente (coletor municipal)</t>
  </si>
  <si>
    <t>Caixa de visita final</t>
  </si>
  <si>
    <t>pH</t>
  </si>
  <si>
    <t>Escala Sørensen</t>
  </si>
  <si>
    <t>25/1033</t>
  </si>
  <si>
    <t>LEG-03</t>
  </si>
  <si>
    <t>AN-008</t>
  </si>
  <si>
    <t>CQO</t>
  </si>
  <si>
    <t>mg/L O2</t>
  </si>
  <si>
    <t>AN-009</t>
  </si>
  <si>
    <t>SST</t>
  </si>
  <si>
    <t>mg/L</t>
  </si>
  <si>
    <t>AN-010</t>
  </si>
  <si>
    <t>CBO5</t>
  </si>
  <si>
    <t>AN-011</t>
  </si>
  <si>
    <t>Óleos e gorduras</t>
  </si>
  <si>
    <t>AN-012</t>
  </si>
  <si>
    <t>Isotiazolinonas (biocida)</t>
  </si>
  <si>
    <t>Valor de referência interno</t>
  </si>
  <si>
    <t>25/1520</t>
  </si>
  <si>
    <t>AN-013</t>
  </si>
  <si>
    <t>L25-0814</t>
  </si>
  <si>
    <t>AN-014</t>
  </si>
  <si>
    <t>L25-0909</t>
  </si>
  <si>
    <t>AN-015</t>
  </si>
  <si>
    <t>Águas pluviais</t>
  </si>
  <si>
    <t>Caixa de saída pluvial (portão sul)</t>
  </si>
  <si>
    <t>25/2101</t>
  </si>
  <si>
    <t>AN-016</t>
  </si>
  <si>
    <t>Hidrocarbonetos totais</t>
  </si>
  <si>
    <t>AN-017</t>
  </si>
  <si>
    <t>25/2210</t>
  </si>
  <si>
    <t>AN-018</t>
  </si>
  <si>
    <t>AN-019</t>
  </si>
  <si>
    <t>AN-020</t>
  </si>
  <si>
    <t>AN-021</t>
  </si>
  <si>
    <t>AN-022</t>
  </si>
  <si>
    <t>L25-1210</t>
  </si>
  <si>
    <t>AN-023</t>
  </si>
  <si>
    <t>L26-0311</t>
  </si>
  <si>
    <t>AN-024</t>
  </si>
  <si>
    <t>2026/03-EF</t>
  </si>
  <si>
    <t>AN-025</t>
  </si>
  <si>
    <t>AN-026</t>
  </si>
  <si>
    <t>26/0907</t>
  </si>
  <si>
    <t>AN-027</t>
  </si>
  <si>
    <t>AN-028</t>
  </si>
  <si>
    <t>L26-0609</t>
  </si>
  <si>
    <t>AN-029</t>
  </si>
  <si>
    <t>26/1187</t>
  </si>
  <si>
    <t>AN-030</t>
  </si>
  <si>
    <t>AN-031</t>
  </si>
  <si>
    <t>AN-032</t>
  </si>
  <si>
    <t>AN-033</t>
  </si>
  <si>
    <t>AN-034</t>
  </si>
  <si>
    <t>Medição interna (sonómetro classe 2)</t>
  </si>
  <si>
    <t>MI-2026-07</t>
  </si>
  <si>
    <t>AN-035</t>
  </si>
  <si>
    <t>AN-036</t>
  </si>
  <si>
    <t>L26-0908</t>
  </si>
  <si>
    <t>AN-037</t>
  </si>
  <si>
    <t>AC-2026-112</t>
  </si>
  <si>
    <t>AN-038</t>
  </si>
  <si>
    <t>AN-039</t>
  </si>
  <si>
    <t>26/2288</t>
  </si>
  <si>
    <t>AN-040</t>
  </si>
  <si>
    <t>AN-041</t>
  </si>
  <si>
    <t>L26-1207</t>
  </si>
  <si>
    <t>AN-042</t>
  </si>
  <si>
    <t>26/2410</t>
  </si>
  <si>
    <t>AN-043</t>
  </si>
  <si>
    <t>AN-044</t>
  </si>
  <si>
    <t>AN-045</t>
  </si>
  <si>
    <t>AN-046</t>
  </si>
  <si>
    <t>LISTAS CONTROLADAS (domínios de validação de dados) — editar aqui para alterar opções</t>
  </si>
  <si>
    <t>DataReferencia</t>
  </si>
  <si>
    <t>Funcao</t>
  </si>
  <si>
    <t>EstadoHip</t>
  </si>
  <si>
    <t>Cat6M</t>
  </si>
  <si>
    <t>Qualidade</t>
  </si>
  <si>
    <t>AN_Matriz</t>
  </si>
  <si>
    <t>AN_Limite</t>
  </si>
  <si>
    <t>AN_SimNao</t>
  </si>
  <si>
    <t>Diretor Geral (Gestão de Topo)</t>
  </si>
  <si>
    <t>Diretor Industrial</t>
  </si>
  <si>
    <t>ARQ</t>
  </si>
  <si>
    <t>Calculado</t>
  </si>
  <si>
    <t>Em verificação</t>
  </si>
  <si>
    <t>Gerente da Qualidade</t>
  </si>
  <si>
    <t>UTL</t>
  </si>
  <si>
    <t>MAN</t>
  </si>
  <si>
    <t>Responsável de Recursos Humanos</t>
  </si>
  <si>
    <t>PRS</t>
  </si>
  <si>
    <t>Diretor Financeiro</t>
  </si>
  <si>
    <t>EXP</t>
  </si>
  <si>
    <t>Operador de Serigrafia</t>
  </si>
  <si>
    <t>LAB</t>
  </si>
  <si>
    <t>Operador de Injeção</t>
  </si>
  <si>
    <t>RD</t>
  </si>
  <si>
    <t>Operador de Sopro (ISBM)</t>
  </si>
  <si>
    <t>CMP</t>
  </si>
  <si>
    <t>Operador de Hot Foil</t>
  </si>
  <si>
    <t>ADM</t>
  </si>
  <si>
    <t>Operador de Armazém / Empilhador</t>
  </si>
  <si>
    <t>Chefe de Turno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</si>
  <si>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</si>
  <si>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</si>
  <si>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</si>
  <si>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</si>
  <si>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</si>
  <si>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</si>
  <si>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Origem</t>
  </si>
  <si>
    <t>Dominio_Unidade</t>
  </si>
  <si>
    <t>Obrigatorio</t>
  </si>
  <si>
    <t>Chave</t>
  </si>
  <si>
    <t>tbl_plano_monitorizacao</t>
  </si>
  <si>
    <t>Texto</t>
  </si>
  <si>
    <t>Entrada</t>
  </si>
  <si>
    <t>Parâmetro monitorizado.</t>
  </si>
  <si>
    <t>PK</t>
  </si>
  <si>
    <t>O quê medir (indicador exato).</t>
  </si>
  <si>
    <t>Unidade.</t>
  </si>
  <si>
    <t>Medir (valor quantitativo) ou Monitorizar (verificação de estado).</t>
  </si>
  <si>
    <t>Lista lst_Tipo</t>
  </si>
  <si>
    <t>Método/equipamento.</t>
  </si>
  <si>
    <t>Equipamentos usados.</t>
  </si>
  <si>
    <t>FK → tbl_equipamentos</t>
  </si>
  <si>
    <t>Frequência.</t>
  </si>
  <si>
    <t>Responsável pela recolha.</t>
  </si>
  <si>
    <t>Lista lst_Funcao</t>
  </si>
  <si>
    <t>KPI alimentado.</t>
  </si>
  <si>
    <t>FK → RG-SGA-05</t>
  </si>
  <si>
    <t>Critério/meta.</t>
  </si>
  <si>
    <t>Aspetos ambientais monitorizados.</t>
  </si>
  <si>
    <t>FK → RG-SGA-03</t>
  </si>
  <si>
    <t>Calculado (fórmula)</t>
  </si>
  <si>
    <t>Alerta se algum equipamento associado não está válido.</t>
  </si>
  <si>
    <t>tbl_equipamentos</t>
  </si>
  <si>
    <t>Equipamento.</t>
  </si>
  <si>
    <t>Descrição.</t>
  </si>
  <si>
    <t>Parâmetros em que é usado.</t>
  </si>
  <si>
    <t>Calibração ou verificação.</t>
  </si>
  <si>
    <t>Data (aaaa-mm-dd)</t>
  </si>
  <si>
    <t>Data da última calibração/verificação.</t>
  </si>
  <si>
    <t>Inteiro</t>
  </si>
  <si>
    <t>Periodicidade.</t>
  </si>
  <si>
    <t>Quem calibra/verifica.</t>
  </si>
  <si>
    <t>Certificado/registo.</t>
  </si>
  <si>
    <t>Data da próxima.</t>
  </si>
  <si>
    <t>Estado calculado.</t>
  </si>
  <si>
    <t>tbl_parametros</t>
  </si>
  <si>
    <t>Parâmetro.</t>
  </si>
  <si>
    <t>Decimal</t>
  </si>
  <si>
    <t>Valor.</t>
  </si>
  <si>
    <t>Descrição e origem.</t>
  </si>
  <si>
    <t>tbl_meses</t>
  </si>
  <si>
    <t>Mês (1.º dia).</t>
  </si>
  <si>
    <t>Ano.</t>
  </si>
  <si>
    <t>Mês (1-12).</t>
  </si>
  <si>
    <t>Trimestre.</t>
  </si>
  <si>
    <t>Temperatura média exterior (°C) — variável explicativa (KPI-16).</t>
  </si>
  <si>
    <t>Dias úteis.</t>
  </si>
  <si>
    <t>Origem dos dados de produção.</t>
  </si>
  <si>
    <t>N.º da fatura de eletricidade do mês.</t>
  </si>
  <si>
    <t>Eletricidade faturada (ENE_TOTAL de tbl_dados_ambientais).</t>
  </si>
  <si>
    <t>Preço médio (energia + redes + impostos, sem IVA) — simulado; validar com a fatura.</t>
  </si>
  <si>
    <t>Potência contratada.</t>
  </si>
  <si>
    <t>Moeda (EUR)</t>
  </si>
  <si>
    <t>Custo da eletricidade.</t>
  </si>
  <si>
    <t>N.º da fatura de água do mês.</t>
  </si>
  <si>
    <t>Água faturada (AGUA_TOTAL de tbl_dados_ambientais).</t>
  </si>
  <si>
    <t>Tarifa variável de água (€/m³).</t>
  </si>
  <si>
    <t>Tarifa variável de saneamento (€/m³).</t>
  </si>
  <si>
    <t>Custo de água e saneamento.</t>
  </si>
  <si>
    <t>Custo médio por MWh (série para previsão de preço).</t>
  </si>
  <si>
    <t>Reposição da torre de arrefecimento (AGUA_USO UTL-FRIO).</t>
  </si>
  <si>
    <t>Consumo (evaporação na torre ≈ 80% da reposição; 20% sai como purga) — GRI 303-5 / ESRS E3-4.</t>
  </si>
  <si>
    <t>Descarga no coletor (sanitária + purga) = captação − consumo — GRI 303-4.</t>
  </si>
  <si>
    <t>tbl_producao_mensal</t>
  </si>
  <si>
    <t>Mês.</t>
  </si>
  <si>
    <t>PK (com Processo)</t>
  </si>
  <si>
    <t>Processo.</t>
  </si>
  <si>
    <t>Lista lst_Processo</t>
  </si>
  <si>
    <t>Unidades produzidas.</t>
  </si>
  <si>
    <t>Unidades rejeitadas.</t>
  </si>
  <si>
    <t>Horas de marcha (soma das máquinas).</t>
  </si>
  <si>
    <t>Mudanças de molde.</t>
  </si>
  <si>
    <t>Percentagem (fração 0-1)</t>
  </si>
  <si>
    <t>Rejeitadas ÷ produzidas.</t>
  </si>
  <si>
    <t>Origem.</t>
  </si>
  <si>
    <t>tbl_dados_ambientais</t>
  </si>
  <si>
    <t>PK (com Processo, Variavel)</t>
  </si>
  <si>
    <t>Processo/uso.</t>
  </si>
  <si>
    <t>Código da variável (ENE_TOTAL, ENE_PROC, AGUA_TOTAL, AGUA_USO, SCRAP_KG, REGRIND_KG, POLIMERO_KG, PCR_KG, TINTA_KG, SOLVENTE_KG, FOIL_KG, GRANULADO_KG, FGAS_KG).</t>
  </si>
  <si>
    <t>Fonte do dado.</t>
  </si>
  <si>
    <t>Medido / Estimado / Calculado.</t>
  </si>
  <si>
    <t>Lista lst_Qualidade</t>
  </si>
  <si>
    <t>tbl_residuos</t>
  </si>
  <si>
    <t>Código LER (* = perigoso).</t>
  </si>
  <si>
    <t>Sim/Não.</t>
  </si>
  <si>
    <t>Quantidade (kg).</t>
  </si>
  <si>
    <t>Operação R/D.</t>
  </si>
  <si>
    <t>Operador de gestão de resíduos.</t>
  </si>
  <si>
    <t>Destino de valorização (operação R).</t>
  </si>
  <si>
    <t>tbl_hipoteses</t>
  </si>
  <si>
    <t>Hipótese.</t>
  </si>
  <si>
    <t>Categoria Ishikawa.</t>
  </si>
  <si>
    <t>Lista lst_Cat6M</t>
  </si>
  <si>
    <t>Causa provável.</t>
  </si>
  <si>
    <t>Teste/dado usado para verificar.</t>
  </si>
  <si>
    <t>Resultado da verificação.</t>
  </si>
  <si>
    <t>Confirmada / Parcial / Descartada.</t>
  </si>
  <si>
    <t>Lista lst_EstadoHip</t>
  </si>
  <si>
    <t>Ação.</t>
  </si>
  <si>
    <t>FK → RG-SGA-06</t>
  </si>
  <si>
    <t>tbl_pesagem_solvente</t>
  </si>
  <si>
    <t>Dia.</t>
  </si>
  <si>
    <t>Máquina (SS-001/SS-002).</t>
  </si>
  <si>
    <t>Turno.</t>
  </si>
  <si>
    <t>Peças.</t>
  </si>
  <si>
    <t>Solvente pesado (kg).</t>
  </si>
  <si>
    <t>kg por 1.000 peças.</t>
  </si>
  <si>
    <t>tbl_analises</t>
  </si>
  <si>
    <t>Identificador do resultado.</t>
  </si>
  <si>
    <t>Data da colheita/medição.</t>
  </si>
  <si>
    <t>Matriz ambiental.</t>
  </si>
  <si>
    <t>Lista lst_AN_Matriz</t>
  </si>
  <si>
    <t>Ponto de amostragem / recetor.</t>
  </si>
  <si>
    <t>Resultado.</t>
  </si>
  <si>
    <t>Limite inferior (ex.: pH).</t>
  </si>
  <si>
    <t>Limite superior (VLE ou referência).</t>
  </si>
  <si>
    <t>Origem do limite (confirmar valores na licença/regulamento aplicável).</t>
  </si>
  <si>
    <t>Lista lst_AN_Limite</t>
  </si>
  <si>
    <t>Laboratório ou medição interna.</t>
  </si>
  <si>
    <t>Ensaio acreditado (ISO/IEC 17025).</t>
  </si>
  <si>
    <t>Lista lst_AN_SimNao</t>
  </si>
  <si>
    <t>N.º do relatório/boletim.</t>
  </si>
  <si>
    <t>Requisito legal.</t>
  </si>
  <si>
    <t>FK → tbl_legal (RG-SGA-04)</t>
  </si>
  <si>
    <t>Resultado em % do limite superior.</t>
  </si>
  <si>
    <t>Automático.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</si>
</sst>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#,##0.000"/>
    <numFmt numFmtId="166" formatCode="#,##0.0"/>
    <numFmt numFmtId="167" formatCode="#,##0\ \€"/>
    <numFmt numFmtId="168" formatCode="0.0%"/>
    <numFmt numFmtId="169" formatCode="yyyy\-mm"/>
    <numFmt numFmtId="170" formatCode="0.0"/>
    <numFmt numFmtId="171" formatCode="0.000"/>
    <numFmt numFmtId="172" formatCode="\+0.0%;\-0.0%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4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 style="thin">
        <color rgb="FFB7C4C9"/>
      </top>
      <bottom style="thin">
        <color rgb="FFB7C4C9"/>
      </bottom>
      <diagonal/>
    </border>
    <border>
      <left/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7" fontId="4" fillId="4" borderId="1" xfId="0" applyNumberFormat="1" applyFont="1" applyFill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168" fontId="4" fillId="4" borderId="1" xfId="0" applyNumberFormat="1" applyFont="1" applyFill="1" applyBorder="1" applyAlignment="1">
      <alignment vertical="top" wrapText="1"/>
    </xf>
    <xf numFmtId="169" fontId="4" fillId="0" borderId="1" xfId="0" applyNumberFormat="1" applyFont="1" applyBorder="1"/>
    <xf numFmtId="170" fontId="4" fillId="0" borderId="1" xfId="0" applyNumberFormat="1" applyFont="1" applyBorder="1"/>
    <xf numFmtId="3" fontId="4" fillId="0" borderId="1" xfId="0" applyNumberFormat="1" applyFont="1" applyBorder="1"/>
    <xf numFmtId="171" fontId="4" fillId="0" borderId="1" xfId="0" applyNumberFormat="1" applyFont="1" applyBorder="1"/>
    <xf numFmtId="9" fontId="4" fillId="0" borderId="1" xfId="0" applyNumberFormat="1" applyFont="1" applyBorder="1"/>
    <xf numFmtId="166" fontId="4" fillId="0" borderId="1" xfId="0" applyNumberFormat="1" applyFont="1" applyBorder="1"/>
    <xf numFmtId="0" fontId="5" fillId="0" borderId="0" xfId="0" applyFont="1"/>
    <xf numFmtId="0" fontId="5" fillId="5" borderId="1" xfId="0" applyFont="1" applyFill="1" applyBorder="1"/>
    <xf numFmtId="171" fontId="5" fillId="0" borderId="1" xfId="0" applyNumberFormat="1" applyFont="1" applyBorder="1"/>
    <xf numFmtId="172" fontId="5" fillId="0" borderId="1" xfId="0" applyNumberFormat="1" applyFont="1" applyBorder="1"/>
    <xf numFmtId="3" fontId="5" fillId="0" borderId="1" xfId="0" applyNumberFormat="1" applyFont="1" applyBorder="1"/>
    <xf numFmtId="165" fontId="4" fillId="4" borderId="1" xfId="0" applyNumberFormat="1" applyFont="1" applyFill="1" applyBorder="1" applyAlignment="1">
      <alignment vertical="top" wrapText="1"/>
    </xf>
    <xf numFmtId="0" fontId="3" fillId="2" borderId="0" xfId="0" applyFont="1" applyFill="1"/>
    <xf numFmtId="171" fontId="0" fillId="0" borderId="0" xfId="0" applyNumberFormat="1"/>
    <xf numFmtId="9" fontId="4" fillId="4" borderId="1" xfId="0" applyNumberFormat="1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4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lano_monitorizacao" displayName="tbl_plano_monitorizacao" ref="A4:L16">
  <autoFilter ref="A4:L16" xr:uid="{00000000-0009-0000-0100-000001000000}"/>
  <tableColumns count="12">
    <tableColumn id="1" xr3:uid="{00000000-0010-0000-0000-000001000000}" name="ID_MED"/>
    <tableColumn id="2" xr3:uid="{00000000-0010-0000-0000-000002000000}" name="O_Que_Medir"/>
    <tableColumn id="3" xr3:uid="{00000000-0010-0000-0000-000003000000}" name="Unidade"/>
    <tableColumn id="4" xr3:uid="{00000000-0010-0000-0000-000004000000}" name="Tipo"/>
    <tableColumn id="5" xr3:uid="{00000000-0010-0000-0000-000005000000}" name="Como_Medir"/>
    <tableColumn id="6" xr3:uid="{00000000-0010-0000-0000-000006000000}" name="Equipamentos"/>
    <tableColumn id="7" xr3:uid="{00000000-0010-0000-0000-000007000000}" name="Quando_Medir"/>
    <tableColumn id="8" xr3:uid="{00000000-0010-0000-0000-000008000000}" name="Quem_Mede"/>
    <tableColumn id="9" xr3:uid="{00000000-0010-0000-0000-000009000000}" name="ID_KPI"/>
    <tableColumn id="10" xr3:uid="{00000000-0010-0000-0000-00000A000000}" name="Criterio_Meta"/>
    <tableColumn id="11" xr3:uid="{00000000-0010-0000-0000-00000B000000}" name="IDs_Aspetos"/>
    <tableColumn id="12" xr3:uid="{00000000-0010-0000-0000-00000C000000}" name="Estado_Equipamento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equipamentos" displayName="tbl_equipamentos" ref="A1:J12">
  <autoFilter ref="A1:J12" xr:uid="{00000000-0009-0000-0100-000002000000}"/>
  <tableColumns count="10">
    <tableColumn id="1" xr3:uid="{00000000-0010-0000-0100-000001000000}" name="ID_Equipamento"/>
    <tableColumn id="2" xr3:uid="{00000000-0010-0000-0100-000002000000}" name="Equipamento"/>
    <tableColumn id="3" xr3:uid="{00000000-0010-0000-0100-000003000000}" name="IDs_MED"/>
    <tableColumn id="4" xr3:uid="{00000000-0010-0000-0100-000004000000}" name="Tipo_Controlo"/>
    <tableColumn id="5" xr3:uid="{00000000-0010-0000-0100-000005000000}" name="Ultima_Calibracao"/>
    <tableColumn id="6" xr3:uid="{00000000-0010-0000-0100-000006000000}" name="Periodicidade_Meses"/>
    <tableColumn id="7" xr3:uid="{00000000-0010-0000-0100-000007000000}" name="Entidade"/>
    <tableColumn id="8" xr3:uid="{00000000-0010-0000-0100-000008000000}" name="Evidencia"/>
    <tableColumn id="9" xr3:uid="{00000000-0010-0000-0100-000009000000}" name="Proxima_Calibracao"/>
    <tableColumn id="10" xr3:uid="{00000000-0010-0000-0100-00000A000000}" name="Estad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arametros" displayName="tbl_parametros" ref="A1:D25">
  <autoFilter ref="A1:D25" xr:uid="{00000000-0009-0000-0100-000003000000}"/>
  <tableColumns count="4">
    <tableColumn id="1" xr3:uid="{00000000-0010-0000-0200-000001000000}" name="Codigo"/>
    <tableColumn id="2" xr3:uid="{00000000-0010-0000-0200-000002000000}" name="Valor"/>
    <tableColumn id="3" xr3:uid="{00000000-0010-0000-0200-000003000000}" name="Unidade"/>
    <tableColumn id="4" xr3:uid="{00000000-0010-0000-0200-000004000000}" name="Descrica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meses" displayName="tbl_meses" ref="A1:U23">
  <autoFilter ref="A1:U23" xr:uid="{00000000-0009-0000-0100-000004000000}"/>
  <tableColumns count="21">
    <tableColumn id="1" xr3:uid="{00000000-0010-0000-0300-000001000000}" name="Mes"/>
    <tableColumn id="2" xr3:uid="{00000000-0010-0000-0300-000002000000}" name="Ano"/>
    <tableColumn id="3" xr3:uid="{00000000-0010-0000-0300-000003000000}" name="Mes_Num"/>
    <tableColumn id="4" xr3:uid="{00000000-0010-0000-0300-000004000000}" name="Trimestre"/>
    <tableColumn id="5" xr3:uid="{00000000-0010-0000-0300-000005000000}" name="Temp_Media_C"/>
    <tableColumn id="6" xr3:uid="{00000000-0010-0000-0300-000006000000}" name="Dias_Uteis"/>
    <tableColumn id="7" xr3:uid="{00000000-0010-0000-0300-000007000000}" name="Periodo_Dataset"/>
    <tableColumn id="8" xr3:uid="{00000000-0010-0000-0300-000008000000}" name="Fatura_Eletricidade"/>
    <tableColumn id="9" xr3:uid="{00000000-0010-0000-0300-000009000000}" name="Energia_kWh"/>
    <tableColumn id="10" xr3:uid="{00000000-0010-0000-0300-00000A000000}" name="Preco_Eletricidade_EUR_kWh"/>
    <tableColumn id="11" xr3:uid="{00000000-0010-0000-0300-00000B000000}" name="Potencia_Contratada_kW"/>
    <tableColumn id="12" xr3:uid="{00000000-0010-0000-0300-00000C000000}" name="Custo_Eletricidade_EUR"/>
    <tableColumn id="13" xr3:uid="{00000000-0010-0000-0300-00000D000000}" name="Fatura_Agua"/>
    <tableColumn id="14" xr3:uid="{00000000-0010-0000-0300-00000E000000}" name="Agua_m3"/>
    <tableColumn id="15" xr3:uid="{00000000-0010-0000-0300-00000F000000}" name="Tarifa_Agua_EUR_m3"/>
    <tableColumn id="16" xr3:uid="{00000000-0010-0000-0300-000010000000}" name="Tarifa_Saneamento_EUR_m3"/>
    <tableColumn id="17" xr3:uid="{00000000-0010-0000-0300-000011000000}" name="Custo_Agua_EUR"/>
    <tableColumn id="18" xr3:uid="{00000000-0010-0000-0300-000012000000}" name="Custo_por_MWh_EUR"/>
    <tableColumn id="19" xr3:uid="{00000000-0010-0000-0300-000013000000}" name="Agua_Torre_m3"/>
    <tableColumn id="20" xr3:uid="{00000000-0010-0000-0300-000014000000}" name="Agua_Consumida_m3"/>
    <tableColumn id="21" xr3:uid="{00000000-0010-0000-0300-000015000000}" name="Agua_Descarregada_m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roducao_mensal" displayName="tbl_producao_mensal" ref="A1:H89">
  <autoFilter ref="A1:H89" xr:uid="{00000000-0009-0000-0100-000005000000}"/>
  <tableColumns count="8">
    <tableColumn id="1" xr3:uid="{00000000-0010-0000-0400-000001000000}" name="Mes"/>
    <tableColumn id="2" xr3:uid="{00000000-0010-0000-0400-000002000000}" name="Processo"/>
    <tableColumn id="3" xr3:uid="{00000000-0010-0000-0400-000003000000}" name="Unid"/>
    <tableColumn id="4" xr3:uid="{00000000-0010-0000-0400-000004000000}" name="Rej"/>
    <tableColumn id="5" xr3:uid="{00000000-0010-0000-0400-000005000000}" name="Horas"/>
    <tableColumn id="6" xr3:uid="{00000000-0010-0000-0400-000006000000}" name="Setups"/>
    <tableColumn id="7" xr3:uid="{00000000-0010-0000-0400-000007000000}" name="Taxa_Rejeicao"/>
    <tableColumn id="8" xr3:uid="{00000000-0010-0000-0400-000008000000}" name="Font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ados_ambientais" displayName="tbl_dados_ambientais" ref="A1:H486">
  <autoFilter ref="A1:H486" xr:uid="{00000000-0009-0000-0100-000006000000}"/>
  <tableColumns count="8">
    <tableColumn id="1" xr3:uid="{00000000-0010-0000-0500-000001000000}" name="Mes"/>
    <tableColumn id="2" xr3:uid="{00000000-0010-0000-0500-000002000000}" name="Processo"/>
    <tableColumn id="3" xr3:uid="{00000000-0010-0000-0500-000003000000}" name="Variavel"/>
    <tableColumn id="4" xr3:uid="{00000000-0010-0000-0500-000004000000}" name="Descricao"/>
    <tableColumn id="5" xr3:uid="{00000000-0010-0000-0500-000005000000}" name="Valor"/>
    <tableColumn id="6" xr3:uid="{00000000-0010-0000-0500-000006000000}" name="Unidade"/>
    <tableColumn id="7" xr3:uid="{00000000-0010-0000-0500-000007000000}" name="Fonte"/>
    <tableColumn id="8" xr3:uid="{00000000-0010-0000-0500-000008000000}" name="Qualidade_Dad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residuos" displayName="tbl_residuos" ref="A1:H265">
  <autoFilter ref="A1:H265" xr:uid="{00000000-0009-0000-0100-000007000000}"/>
  <tableColumns count="8">
    <tableColumn id="1" xr3:uid="{00000000-0010-0000-0600-000001000000}" name="Mes"/>
    <tableColumn id="2" xr3:uid="{00000000-0010-0000-0600-000002000000}" name="Codigo_LER"/>
    <tableColumn id="3" xr3:uid="{00000000-0010-0000-0600-000003000000}" name="Descricao"/>
    <tableColumn id="4" xr3:uid="{00000000-0010-0000-0600-000004000000}" name="Perigoso"/>
    <tableColumn id="5" xr3:uid="{00000000-0010-0000-0600-000005000000}" name="Quantidade_kg"/>
    <tableColumn id="6" xr3:uid="{00000000-0010-0000-0600-000006000000}" name="Operacao_Destino"/>
    <tableColumn id="7" xr3:uid="{00000000-0010-0000-0600-000007000000}" name="Operador"/>
    <tableColumn id="8" xr3:uid="{00000000-0010-0000-0600-000008000000}" name="Valorizado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hipoteses" displayName="tbl_hipoteses" ref="A1:G8">
  <autoFilter ref="A1:G8" xr:uid="{00000000-0009-0000-0100-000008000000}"/>
  <tableColumns count="7">
    <tableColumn id="1" xr3:uid="{00000000-0010-0000-0700-000001000000}" name="ID_Hipotese"/>
    <tableColumn id="2" xr3:uid="{00000000-0010-0000-0700-000002000000}" name="Categoria_6M"/>
    <tableColumn id="3" xr3:uid="{00000000-0010-0000-0700-000003000000}" name="Hipotese"/>
    <tableColumn id="4" xr3:uid="{00000000-0010-0000-0700-000004000000}" name="Como_Verificar"/>
    <tableColumn id="5" xr3:uid="{00000000-0010-0000-0700-000005000000}" name="Evidencia_Obtida"/>
    <tableColumn id="6" xr3:uid="{00000000-0010-0000-0700-000006000000}" name="Estado"/>
    <tableColumn id="7" xr3:uid="{00000000-0010-0000-0700-000007000000}" name="ID_PAM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pesagem_solvente" displayName="tbl_pesagem_solvente" ref="A1:F475">
  <autoFilter ref="A1:F475" xr:uid="{00000000-0009-0000-0100-000009000000}"/>
  <tableColumns count="6">
    <tableColumn id="1" xr3:uid="{00000000-0010-0000-0800-000001000000}" name="Data"/>
    <tableColumn id="2" xr3:uid="{00000000-0010-0000-0800-000002000000}" name="Maquina"/>
    <tableColumn id="3" xr3:uid="{00000000-0010-0000-0800-000003000000}" name="Turno"/>
    <tableColumn id="4" xr3:uid="{00000000-0010-0000-0800-000004000000}" name="Pecas_Serigrafadas"/>
    <tableColumn id="5" xr3:uid="{00000000-0010-0000-0800-000005000000}" name="Solvente_kg"/>
    <tableColumn id="6" xr3:uid="{00000000-0010-0000-0800-000006000000}" name="kg_por_1000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analises" displayName="tbl_analises" ref="A4:P110">
  <autoFilter ref="A4:P110" xr:uid="{00000000-0009-0000-0100-00000A000000}"/>
  <tableColumns count="16">
    <tableColumn id="1" xr3:uid="{00000000-0010-0000-0900-000001000000}" name="ID_Analise"/>
    <tableColumn id="2" xr3:uid="{00000000-0010-0000-0900-000002000000}" name="Data"/>
    <tableColumn id="3" xr3:uid="{00000000-0010-0000-0900-000003000000}" name="Matriz"/>
    <tableColumn id="4" xr3:uid="{00000000-0010-0000-0900-000004000000}" name="Ponto_Amostragem"/>
    <tableColumn id="5" xr3:uid="{00000000-0010-0000-0900-000005000000}" name="Parametro"/>
    <tableColumn id="6" xr3:uid="{00000000-0010-0000-0900-000006000000}" name="Valor"/>
    <tableColumn id="7" xr3:uid="{00000000-0010-0000-0900-000007000000}" name="Unidade"/>
    <tableColumn id="8" xr3:uid="{00000000-0010-0000-0900-000008000000}" name="Limite_Min"/>
    <tableColumn id="9" xr3:uid="{00000000-0010-0000-0900-000009000000}" name="Limite_Max"/>
    <tableColumn id="10" xr3:uid="{00000000-0010-0000-0900-00000A000000}" name="Tipo_Limite"/>
    <tableColumn id="11" xr3:uid="{00000000-0010-0000-0900-00000B000000}" name="Laboratorio"/>
    <tableColumn id="12" xr3:uid="{00000000-0010-0000-0900-00000C000000}" name="Acreditado"/>
    <tableColumn id="13" xr3:uid="{00000000-0010-0000-0900-00000D000000}" name="N_Relatorio"/>
    <tableColumn id="14" xr3:uid="{00000000-0010-0000-0900-00000E000000}" name="ID_Legal"/>
    <tableColumn id="15" xr3:uid="{00000000-0010-0000-0900-00000F000000}" name="Pct_do_Limite"/>
    <tableColumn id="16" xr3:uid="{00000000-0010-0000-0900-000010000000}" name="Conformidad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dicionario" displayName="tbl_dicionario" ref="A1:I101">
  <autoFilter ref="A1:I101" xr:uid="{00000000-0009-0000-0100-00000B000000}"/>
  <tableColumns count="9">
    <tableColumn id="1" xr3:uid="{00000000-0010-0000-0A00-000001000000}" name="Folha"/>
    <tableColumn id="2" xr3:uid="{00000000-0010-0000-0A00-000002000000}" name="Tabela"/>
    <tableColumn id="3" xr3:uid="{00000000-0010-0000-0A00-000003000000}" name="Coluna"/>
    <tableColumn id="4" xr3:uid="{00000000-0010-0000-0A00-000004000000}" name="Tipo"/>
    <tableColumn id="5" xr3:uid="{00000000-0010-0000-0A00-000005000000}" name="Origem"/>
    <tableColumn id="6" xr3:uid="{00000000-0010-0000-0A00-000006000000}" name="Descricao"/>
    <tableColumn id="7" xr3:uid="{00000000-0010-0000-0A00-000007000000}" name="Dominio_Unidade"/>
    <tableColumn id="8" xr3:uid="{00000000-0010-0000-0A00-000008000000}" name="Obrigatorio"/>
    <tableColumn id="9" xr3:uid="{00000000-0010-0000-0A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8" spans="1:2" x14ac:dyDescent="0.3">
      <c r="A28" s="5" t="s">
        <v>42</v>
      </c>
      <c r="B28" s="6" t="s">
        <v>43</v>
      </c>
    </row>
    <row r="29" spans="1:2" ht="26.4" x14ac:dyDescent="0.3">
      <c r="A29" s="5" t="s">
        <v>44</v>
      </c>
      <c r="B29" s="6" t="s">
        <v>45</v>
      </c>
    </row>
    <row r="30" spans="1:2" x14ac:dyDescent="0.3">
      <c r="A30" s="5" t="s">
        <v>46</v>
      </c>
      <c r="B30" s="6" t="s">
        <v>47</v>
      </c>
    </row>
    <row r="31" spans="1:2" ht="26.4" x14ac:dyDescent="0.3">
      <c r="A31" s="5" t="s">
        <v>48</v>
      </c>
      <c r="B31" s="6" t="s">
        <v>49</v>
      </c>
    </row>
    <row r="32" spans="1:2" ht="26.4" x14ac:dyDescent="0.3">
      <c r="A32" s="5" t="s">
        <v>50</v>
      </c>
      <c r="B32" s="6" t="s">
        <v>51</v>
      </c>
    </row>
    <row r="33" spans="1:2" x14ac:dyDescent="0.3">
      <c r="A33" s="5" t="s">
        <v>52</v>
      </c>
      <c r="B33" s="6" t="s">
        <v>53</v>
      </c>
    </row>
    <row r="34" spans="1:2" x14ac:dyDescent="0.3">
      <c r="A34" s="5" t="s">
        <v>54</v>
      </c>
      <c r="B34" s="6" t="s">
        <v>55</v>
      </c>
    </row>
    <row r="36" spans="1:2" x14ac:dyDescent="0.3">
      <c r="A36" s="3" t="s">
        <v>56</v>
      </c>
      <c r="B36" s="4"/>
    </row>
    <row r="37" spans="1:2" ht="26.4" x14ac:dyDescent="0.3">
      <c r="A37" s="5" t="s">
        <v>57</v>
      </c>
      <c r="B37" s="6" t="s">
        <v>58</v>
      </c>
    </row>
    <row r="38" spans="1:2" x14ac:dyDescent="0.3">
      <c r="A38" s="5" t="s">
        <v>59</v>
      </c>
      <c r="B38" s="6" t="s">
        <v>60</v>
      </c>
    </row>
    <row r="39" spans="1:2" x14ac:dyDescent="0.3">
      <c r="A39" s="5" t="s">
        <v>61</v>
      </c>
      <c r="B39" s="6" t="s">
        <v>62</v>
      </c>
    </row>
    <row r="40" spans="1:2" ht="26.4" x14ac:dyDescent="0.3">
      <c r="A40" s="5" t="s">
        <v>63</v>
      </c>
      <c r="B40" s="6" t="s">
        <v>64</v>
      </c>
    </row>
    <row r="41" spans="1:2" ht="26.4" x14ac:dyDescent="0.3">
      <c r="A41" s="5" t="s">
        <v>65</v>
      </c>
      <c r="B41" s="6" t="s">
        <v>66</v>
      </c>
    </row>
    <row r="42" spans="1:2" ht="26.4" x14ac:dyDescent="0.3">
      <c r="A42" s="5" t="s">
        <v>67</v>
      </c>
      <c r="B42" s="6" t="s">
        <v>68</v>
      </c>
    </row>
    <row r="44" spans="1:2" x14ac:dyDescent="0.3">
      <c r="A44" s="3" t="s">
        <v>69</v>
      </c>
      <c r="B44" s="4"/>
    </row>
    <row r="45" spans="1:2" ht="26.4" x14ac:dyDescent="0.3">
      <c r="A45" s="5" t="s">
        <v>70</v>
      </c>
      <c r="B45" s="6" t="s">
        <v>71</v>
      </c>
    </row>
    <row r="46" spans="1:2" x14ac:dyDescent="0.3">
      <c r="A46" s="5" t="s">
        <v>72</v>
      </c>
      <c r="B46" s="6" t="s">
        <v>73</v>
      </c>
    </row>
    <row r="47" spans="1:2" x14ac:dyDescent="0.3">
      <c r="A47" s="5" t="s">
        <v>74</v>
      </c>
      <c r="B47" s="6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6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0" customWidth="1"/>
    <col min="3" max="3" width="26" customWidth="1"/>
    <col min="4" max="4" width="11" customWidth="1"/>
    <col min="5" max="5" width="50" customWidth="1"/>
    <col min="6" max="6" width="12" customWidth="1"/>
    <col min="7" max="7" width="30" customWidth="1"/>
    <col min="8" max="8" width="26" customWidth="1"/>
    <col min="9" max="9" width="12" customWidth="1"/>
    <col min="10" max="10" width="30" customWidth="1"/>
    <col min="11" max="12" width="16" customWidth="1"/>
  </cols>
  <sheetData>
    <row r="1" spans="1:12" ht="17.399999999999999" x14ac:dyDescent="0.3">
      <c r="A1" s="1" t="s">
        <v>76</v>
      </c>
    </row>
    <row r="2" spans="1:12" x14ac:dyDescent="0.3">
      <c r="A2" s="2" t="s">
        <v>77</v>
      </c>
    </row>
    <row r="4" spans="1:12" ht="26.4" x14ac:dyDescent="0.3">
      <c r="A4" s="8" t="s">
        <v>78</v>
      </c>
      <c r="B4" s="8" t="s">
        <v>79</v>
      </c>
      <c r="C4" s="8" t="s">
        <v>80</v>
      </c>
      <c r="D4" s="8" t="s">
        <v>81</v>
      </c>
      <c r="E4" s="8" t="s">
        <v>82</v>
      </c>
      <c r="F4" s="8" t="s">
        <v>83</v>
      </c>
      <c r="G4" s="8" t="s">
        <v>84</v>
      </c>
      <c r="H4" s="8" t="s">
        <v>85</v>
      </c>
      <c r="I4" s="8" t="s">
        <v>86</v>
      </c>
      <c r="J4" s="8" t="s">
        <v>87</v>
      </c>
      <c r="K4" s="8" t="s">
        <v>88</v>
      </c>
      <c r="L4" s="9" t="s">
        <v>89</v>
      </c>
    </row>
    <row r="5" spans="1:12" ht="60" customHeight="1" x14ac:dyDescent="0.3">
      <c r="A5" s="10" t="s">
        <v>90</v>
      </c>
      <c r="B5" s="10" t="s">
        <v>91</v>
      </c>
      <c r="C5" s="10" t="s">
        <v>92</v>
      </c>
      <c r="D5" s="10" t="s">
        <v>93</v>
      </c>
      <c r="E5" s="10" t="s">
        <v>94</v>
      </c>
      <c r="F5" s="10" t="s">
        <v>95</v>
      </c>
      <c r="G5" s="10" t="s">
        <v>96</v>
      </c>
      <c r="H5" s="10" t="s">
        <v>97</v>
      </c>
      <c r="I5" s="10" t="s">
        <v>98</v>
      </c>
      <c r="J5" s="10" t="s">
        <v>99</v>
      </c>
      <c r="K5" s="10" t="s">
        <v>100</v>
      </c>
      <c r="L5" s="11" t="str">
        <f>IF(F5="—","Não aplicável",IF(SUMPRODUCT(ISNUMBER(SEARCH(tbl_equipamentos[ID_Equipamento],F5))*(tbl_equipamentos[Estado]&lt;&gt;"Válido"))&gt;0,"Equipamento a regularizar","OK"))</f>
        <v>OK</v>
      </c>
    </row>
    <row r="6" spans="1:12" ht="60" customHeight="1" x14ac:dyDescent="0.3">
      <c r="A6" s="10" t="s">
        <v>101</v>
      </c>
      <c r="B6" s="10" t="s">
        <v>102</v>
      </c>
      <c r="C6" s="10" t="s">
        <v>103</v>
      </c>
      <c r="D6" s="10" t="s">
        <v>93</v>
      </c>
      <c r="E6" s="10" t="s">
        <v>104</v>
      </c>
      <c r="F6" s="10" t="s">
        <v>105</v>
      </c>
      <c r="G6" s="10" t="s">
        <v>106</v>
      </c>
      <c r="H6" s="10" t="s">
        <v>107</v>
      </c>
      <c r="I6" s="10" t="s">
        <v>108</v>
      </c>
      <c r="J6" s="10" t="s">
        <v>109</v>
      </c>
      <c r="K6" s="10" t="s">
        <v>110</v>
      </c>
      <c r="L6" s="11" t="str">
        <f>IF(F6="—","Não aplicável",IF(SUMPRODUCT(ISNUMBER(SEARCH(tbl_equipamentos[ID_Equipamento],F6))*(tbl_equipamentos[Estado]&lt;&gt;"Válido"))&gt;0,"Equipamento a regularizar","OK"))</f>
        <v>OK</v>
      </c>
    </row>
    <row r="7" spans="1:12" ht="60" customHeight="1" x14ac:dyDescent="0.3">
      <c r="A7" s="10" t="s">
        <v>111</v>
      </c>
      <c r="B7" s="10" t="s">
        <v>112</v>
      </c>
      <c r="C7" s="10" t="s">
        <v>113</v>
      </c>
      <c r="D7" s="10" t="s">
        <v>93</v>
      </c>
      <c r="E7" s="10" t="s">
        <v>114</v>
      </c>
      <c r="F7" s="10" t="s">
        <v>115</v>
      </c>
      <c r="G7" s="10" t="s">
        <v>116</v>
      </c>
      <c r="H7" s="10" t="s">
        <v>117</v>
      </c>
      <c r="I7" s="10" t="s">
        <v>118</v>
      </c>
      <c r="J7" s="10" t="s">
        <v>119</v>
      </c>
      <c r="K7" s="10" t="s">
        <v>120</v>
      </c>
      <c r="L7" s="11" t="str">
        <f>IF(F7="—","Não aplicável",IF(SUMPRODUCT(ISNUMBER(SEARCH(tbl_equipamentos[ID_Equipamento],F7))*(tbl_equipamentos[Estado]&lt;&gt;"Válido"))&gt;0,"Equipamento a regularizar","OK"))</f>
        <v>OK</v>
      </c>
    </row>
    <row r="8" spans="1:12" ht="60" customHeight="1" x14ac:dyDescent="0.3">
      <c r="A8" s="10" t="s">
        <v>121</v>
      </c>
      <c r="B8" s="10" t="s">
        <v>122</v>
      </c>
      <c r="C8" s="10" t="s">
        <v>123</v>
      </c>
      <c r="D8" s="10" t="s">
        <v>93</v>
      </c>
      <c r="E8" s="10" t="s">
        <v>124</v>
      </c>
      <c r="F8" s="10" t="s">
        <v>125</v>
      </c>
      <c r="G8" s="10" t="s">
        <v>126</v>
      </c>
      <c r="H8" s="10" t="s">
        <v>127</v>
      </c>
      <c r="I8" s="10" t="s">
        <v>128</v>
      </c>
      <c r="J8" s="10" t="s">
        <v>129</v>
      </c>
      <c r="K8" s="10" t="s">
        <v>130</v>
      </c>
      <c r="L8" s="11" t="str">
        <f>IF(F8="—","Não aplicável",IF(SUMPRODUCT(ISNUMBER(SEARCH(tbl_equipamentos[ID_Equipamento],F8))*(tbl_equipamentos[Estado]&lt;&gt;"Válido"))&gt;0,"Equipamento a regularizar","OK"))</f>
        <v>OK</v>
      </c>
    </row>
    <row r="9" spans="1:12" ht="60" customHeight="1" x14ac:dyDescent="0.3">
      <c r="A9" s="10" t="s">
        <v>131</v>
      </c>
      <c r="B9" s="10" t="s">
        <v>132</v>
      </c>
      <c r="C9" s="10" t="s">
        <v>133</v>
      </c>
      <c r="D9" s="10" t="s">
        <v>93</v>
      </c>
      <c r="E9" s="10" t="s">
        <v>134</v>
      </c>
      <c r="F9" s="10" t="s">
        <v>115</v>
      </c>
      <c r="G9" s="10" t="s">
        <v>135</v>
      </c>
      <c r="H9" s="10" t="s">
        <v>136</v>
      </c>
      <c r="I9" s="10" t="s">
        <v>137</v>
      </c>
      <c r="J9" s="10" t="s">
        <v>138</v>
      </c>
      <c r="K9" s="10" t="s">
        <v>139</v>
      </c>
      <c r="L9" s="11" t="str">
        <f>IF(F9="—","Não aplicável",IF(SUMPRODUCT(ISNUMBER(SEARCH(tbl_equipamentos[ID_Equipamento],F9))*(tbl_equipamentos[Estado]&lt;&gt;"Válido"))&gt;0,"Equipamento a regularizar","OK"))</f>
        <v>OK</v>
      </c>
    </row>
    <row r="10" spans="1:12" ht="60" customHeight="1" x14ac:dyDescent="0.3">
      <c r="A10" s="10" t="s">
        <v>140</v>
      </c>
      <c r="B10" s="10" t="s">
        <v>141</v>
      </c>
      <c r="C10" s="10" t="s">
        <v>142</v>
      </c>
      <c r="D10" s="10" t="s">
        <v>93</v>
      </c>
      <c r="E10" s="10" t="s">
        <v>143</v>
      </c>
      <c r="F10" s="10" t="s">
        <v>144</v>
      </c>
      <c r="G10" s="10" t="s">
        <v>145</v>
      </c>
      <c r="H10" s="10" t="s">
        <v>146</v>
      </c>
      <c r="I10" s="10" t="s">
        <v>147</v>
      </c>
      <c r="J10" s="10" t="s">
        <v>148</v>
      </c>
      <c r="K10" s="10" t="s">
        <v>149</v>
      </c>
      <c r="L10" s="11" t="str">
        <f>IF(F10="—","Não aplicável",IF(SUMPRODUCT(ISNUMBER(SEARCH(tbl_equipamentos[ID_Equipamento],F10))*(tbl_equipamentos[Estado]&lt;&gt;"Válido"))&gt;0,"Equipamento a regularizar","OK"))</f>
        <v>OK</v>
      </c>
    </row>
    <row r="11" spans="1:12" ht="60" customHeight="1" x14ac:dyDescent="0.3">
      <c r="A11" s="10" t="s">
        <v>150</v>
      </c>
      <c r="B11" s="10" t="s">
        <v>151</v>
      </c>
      <c r="C11" s="10" t="s">
        <v>152</v>
      </c>
      <c r="D11" s="10" t="s">
        <v>93</v>
      </c>
      <c r="E11" s="10" t="s">
        <v>153</v>
      </c>
      <c r="F11" s="10" t="s">
        <v>154</v>
      </c>
      <c r="G11" s="10" t="s">
        <v>155</v>
      </c>
      <c r="H11" s="10" t="s">
        <v>146</v>
      </c>
      <c r="I11" s="10" t="s">
        <v>137</v>
      </c>
      <c r="J11" s="10" t="s">
        <v>156</v>
      </c>
      <c r="K11" s="10" t="s">
        <v>157</v>
      </c>
      <c r="L11" s="11" t="str">
        <f>IF(F11="—","Não aplicável",IF(SUMPRODUCT(ISNUMBER(SEARCH(tbl_equipamentos[ID_Equipamento],F11))*(tbl_equipamentos[Estado]&lt;&gt;"Válido"))&gt;0,"Equipamento a regularizar","OK"))</f>
        <v>OK</v>
      </c>
    </row>
    <row r="12" spans="1:12" ht="60" customHeight="1" x14ac:dyDescent="0.3">
      <c r="A12" s="10" t="s">
        <v>158</v>
      </c>
      <c r="B12" s="10" t="s">
        <v>159</v>
      </c>
      <c r="C12" s="10" t="s">
        <v>160</v>
      </c>
      <c r="D12" s="10" t="s">
        <v>93</v>
      </c>
      <c r="E12" s="10" t="s">
        <v>161</v>
      </c>
      <c r="F12" s="10" t="s">
        <v>162</v>
      </c>
      <c r="G12" s="10" t="s">
        <v>163</v>
      </c>
      <c r="H12" s="10" t="s">
        <v>164</v>
      </c>
      <c r="I12" s="10" t="s">
        <v>165</v>
      </c>
      <c r="J12" s="10" t="s">
        <v>166</v>
      </c>
      <c r="K12" s="10" t="s">
        <v>167</v>
      </c>
      <c r="L12" s="11" t="str">
        <f>IF(F12="—","Não aplicável",IF(SUMPRODUCT(ISNUMBER(SEARCH(tbl_equipamentos[ID_Equipamento],F12))*(tbl_equipamentos[Estado]&lt;&gt;"Válido"))&gt;0,"Equipamento a regularizar","OK"))</f>
        <v>OK</v>
      </c>
    </row>
    <row r="13" spans="1:12" ht="60" customHeight="1" x14ac:dyDescent="0.3">
      <c r="A13" s="10" t="s">
        <v>168</v>
      </c>
      <c r="B13" s="10" t="s">
        <v>169</v>
      </c>
      <c r="C13" s="10" t="s">
        <v>170</v>
      </c>
      <c r="D13" s="10" t="s">
        <v>171</v>
      </c>
      <c r="E13" s="10" t="s">
        <v>172</v>
      </c>
      <c r="F13" s="10" t="s">
        <v>115</v>
      </c>
      <c r="G13" s="10" t="s">
        <v>173</v>
      </c>
      <c r="H13" s="10" t="s">
        <v>146</v>
      </c>
      <c r="I13" s="10" t="s">
        <v>174</v>
      </c>
      <c r="J13" s="10" t="s">
        <v>175</v>
      </c>
      <c r="K13" s="10" t="s">
        <v>176</v>
      </c>
      <c r="L13" s="11" t="str">
        <f>IF(F13="—","Não aplicável",IF(SUMPRODUCT(ISNUMBER(SEARCH(tbl_equipamentos[ID_Equipamento],F13))*(tbl_equipamentos[Estado]&lt;&gt;"Válido"))&gt;0,"Equipamento a regularizar","OK"))</f>
        <v>OK</v>
      </c>
    </row>
    <row r="14" spans="1:12" ht="60" customHeight="1" x14ac:dyDescent="0.3">
      <c r="A14" s="10" t="s">
        <v>177</v>
      </c>
      <c r="B14" s="10" t="s">
        <v>178</v>
      </c>
      <c r="C14" s="10" t="s">
        <v>179</v>
      </c>
      <c r="D14" s="10" t="s">
        <v>171</v>
      </c>
      <c r="E14" s="10" t="s">
        <v>180</v>
      </c>
      <c r="F14" s="10" t="s">
        <v>137</v>
      </c>
      <c r="G14" s="10" t="s">
        <v>173</v>
      </c>
      <c r="H14" s="10" t="s">
        <v>146</v>
      </c>
      <c r="I14" s="10" t="s">
        <v>181</v>
      </c>
      <c r="J14" s="10" t="s">
        <v>182</v>
      </c>
      <c r="K14" s="10" t="s">
        <v>183</v>
      </c>
      <c r="L14" s="11" t="str">
        <f>IF(F14="—","Não aplicável",IF(SUMPRODUCT(ISNUMBER(SEARCH(tbl_equipamentos[ID_Equipamento],F14))*(tbl_equipamentos[Estado]&lt;&gt;"Válido"))&gt;0,"Equipamento a regularizar","OK"))</f>
        <v>Não aplicável</v>
      </c>
    </row>
    <row r="15" spans="1:12" ht="60" customHeight="1" x14ac:dyDescent="0.3">
      <c r="A15" s="10" t="s">
        <v>184</v>
      </c>
      <c r="B15" s="10" t="s">
        <v>185</v>
      </c>
      <c r="C15" s="10" t="s">
        <v>186</v>
      </c>
      <c r="D15" s="10" t="s">
        <v>93</v>
      </c>
      <c r="E15" s="10" t="s">
        <v>187</v>
      </c>
      <c r="F15" s="10" t="s">
        <v>188</v>
      </c>
      <c r="G15" s="10" t="s">
        <v>189</v>
      </c>
      <c r="H15" s="10" t="s">
        <v>97</v>
      </c>
      <c r="I15" s="10" t="s">
        <v>137</v>
      </c>
      <c r="J15" s="10" t="s">
        <v>190</v>
      </c>
      <c r="K15" s="10" t="s">
        <v>191</v>
      </c>
      <c r="L15" s="11" t="str">
        <f>IF(F15="—","Não aplicável",IF(SUMPRODUCT(ISNUMBER(SEARCH(tbl_equipamentos[ID_Equipamento],F15))*(tbl_equipamentos[Estado]&lt;&gt;"Válido"))&gt;0,"Equipamento a regularizar","OK"))</f>
        <v>Equipamento a regularizar</v>
      </c>
    </row>
    <row r="16" spans="1:12" ht="60" customHeight="1" x14ac:dyDescent="0.3">
      <c r="A16" s="10" t="s">
        <v>192</v>
      </c>
      <c r="B16" s="10" t="s">
        <v>193</v>
      </c>
      <c r="C16" s="10" t="s">
        <v>194</v>
      </c>
      <c r="D16" s="10" t="s">
        <v>171</v>
      </c>
      <c r="E16" s="10" t="s">
        <v>195</v>
      </c>
      <c r="F16" s="10" t="s">
        <v>137</v>
      </c>
      <c r="G16" s="10" t="s">
        <v>135</v>
      </c>
      <c r="H16" s="10" t="s">
        <v>196</v>
      </c>
      <c r="I16" s="10" t="s">
        <v>197</v>
      </c>
      <c r="J16" s="10" t="s">
        <v>198</v>
      </c>
      <c r="K16" s="10" t="s">
        <v>199</v>
      </c>
      <c r="L16" s="11" t="str">
        <f>IF(F16="—","Não aplicável",IF(SUMPRODUCT(ISNUMBER(SEARCH(tbl_equipamentos[ID_Equipamento],F16))*(tbl_equipamentos[Estado]&lt;&gt;"Válido"))&gt;0,"Equipamento a regularizar","OK"))</f>
        <v>Não aplicável</v>
      </c>
    </row>
  </sheetData>
  <conditionalFormatting sqref="D5:D216">
    <cfRule type="expression" dxfId="13" priority="1">
      <formula>ISNUMBER(SEARCH("Monitorizar",D5))</formula>
    </cfRule>
  </conditionalFormatting>
  <conditionalFormatting sqref="L5:L216">
    <cfRule type="expression" dxfId="12" priority="2">
      <formula>ISNUMBER(SEARCH("regularizar",L5))</formula>
    </cfRule>
    <cfRule type="expression" dxfId="11" priority="3">
      <formula>ISNUMBER(SEARCH("OK",L5))</formula>
    </cfRule>
  </conditionalFormatting>
  <dataValidations count="2">
    <dataValidation type="list" allowBlank="1" showErrorMessage="1" errorTitle="Valor inválido" error="Valor fora da lista controlada (ver folha Listas)." sqref="D5:D216" xr:uid="{00000000-0002-0000-0100-000000000000}">
      <formula1>lst_Tipo</formula1>
    </dataValidation>
    <dataValidation type="list" allowBlank="1" showErrorMessage="1" errorTitle="Valor inválido" error="Valor fora da lista controlada (ver folha Listas)." sqref="H5:H216" xr:uid="{00000000-0002-0000-01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2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40" customWidth="1"/>
    <col min="3" max="3" width="16" customWidth="1"/>
    <col min="4" max="4" width="30" customWidth="1"/>
    <col min="5" max="5" width="11" customWidth="1"/>
    <col min="6" max="6" width="9" customWidth="1"/>
    <col min="7" max="7" width="26" customWidth="1"/>
    <col min="8" max="8" width="34" customWidth="1"/>
    <col min="9" max="9" width="11" customWidth="1"/>
    <col min="10" max="10" width="14" customWidth="1"/>
  </cols>
  <sheetData>
    <row r="1" spans="1:10" ht="39.6" x14ac:dyDescent="0.3">
      <c r="A1" s="8" t="s">
        <v>200</v>
      </c>
      <c r="B1" s="8" t="s">
        <v>201</v>
      </c>
      <c r="C1" s="8" t="s">
        <v>202</v>
      </c>
      <c r="D1" s="8" t="s">
        <v>203</v>
      </c>
      <c r="E1" s="8" t="s">
        <v>204</v>
      </c>
      <c r="F1" s="8" t="s">
        <v>205</v>
      </c>
      <c r="G1" s="8" t="s">
        <v>206</v>
      </c>
      <c r="H1" s="8" t="s">
        <v>207</v>
      </c>
      <c r="I1" s="9" t="s">
        <v>208</v>
      </c>
      <c r="J1" s="9" t="s">
        <v>14</v>
      </c>
    </row>
    <row r="2" spans="1:10" ht="30" customHeight="1" x14ac:dyDescent="0.3">
      <c r="A2" s="10" t="s">
        <v>209</v>
      </c>
      <c r="B2" s="10" t="s">
        <v>210</v>
      </c>
      <c r="C2" s="10" t="s">
        <v>90</v>
      </c>
      <c r="D2" s="10" t="s">
        <v>211</v>
      </c>
      <c r="E2" s="12">
        <v>45422</v>
      </c>
      <c r="F2" s="13">
        <v>60</v>
      </c>
      <c r="G2" s="10" t="s">
        <v>212</v>
      </c>
      <c r="H2" s="10" t="s">
        <v>213</v>
      </c>
      <c r="I2" s="14">
        <f t="shared" ref="I2:I12" si="0">IF(E2="","",EDATE(E2,F2))</f>
        <v>47248</v>
      </c>
      <c r="J2" s="11" t="str">
        <f t="shared" ref="J2:J12" si="1">IF(E2="","Por verificar",IF(I2&lt;DataRef,"Vencido",IF(I2-DataRef&lt;=45,"A vencer","Válido")))</f>
        <v>Válido</v>
      </c>
    </row>
    <row r="3" spans="1:10" ht="30" customHeight="1" x14ac:dyDescent="0.3">
      <c r="A3" s="10" t="s">
        <v>125</v>
      </c>
      <c r="B3" s="10" t="s">
        <v>214</v>
      </c>
      <c r="C3" s="10" t="s">
        <v>121</v>
      </c>
      <c r="D3" s="10" t="s">
        <v>215</v>
      </c>
      <c r="E3" s="12">
        <v>46318</v>
      </c>
      <c r="F3" s="13">
        <v>12</v>
      </c>
      <c r="G3" s="10" t="s">
        <v>216</v>
      </c>
      <c r="H3" s="10" t="s">
        <v>217</v>
      </c>
      <c r="I3" s="14">
        <f t="shared" si="0"/>
        <v>46683</v>
      </c>
      <c r="J3" s="11" t="str">
        <f t="shared" si="1"/>
        <v>Válido</v>
      </c>
    </row>
    <row r="4" spans="1:10" ht="30" customHeight="1" x14ac:dyDescent="0.3">
      <c r="A4" s="10" t="s">
        <v>218</v>
      </c>
      <c r="B4" s="10" t="s">
        <v>219</v>
      </c>
      <c r="C4" s="10" t="s">
        <v>90</v>
      </c>
      <c r="D4" s="10" t="s">
        <v>220</v>
      </c>
      <c r="E4" s="12">
        <v>46371</v>
      </c>
      <c r="F4" s="13">
        <v>24</v>
      </c>
      <c r="G4" s="10" t="s">
        <v>221</v>
      </c>
      <c r="H4" s="10" t="s">
        <v>222</v>
      </c>
      <c r="I4" s="14">
        <f t="shared" si="0"/>
        <v>47102</v>
      </c>
      <c r="J4" s="11" t="str">
        <f t="shared" si="1"/>
        <v>Válido</v>
      </c>
    </row>
    <row r="5" spans="1:10" ht="30" customHeight="1" x14ac:dyDescent="0.3">
      <c r="A5" s="10" t="s">
        <v>223</v>
      </c>
      <c r="B5" s="10" t="s">
        <v>224</v>
      </c>
      <c r="C5" s="10" t="s">
        <v>101</v>
      </c>
      <c r="D5" s="10" t="s">
        <v>225</v>
      </c>
      <c r="E5" s="12">
        <v>45945</v>
      </c>
      <c r="F5" s="13">
        <v>24</v>
      </c>
      <c r="G5" s="10" t="s">
        <v>226</v>
      </c>
      <c r="H5" s="10" t="s">
        <v>227</v>
      </c>
      <c r="I5" s="14">
        <f t="shared" si="0"/>
        <v>46675</v>
      </c>
      <c r="J5" s="11" t="str">
        <f t="shared" si="1"/>
        <v>Válido</v>
      </c>
    </row>
    <row r="6" spans="1:10" ht="30" customHeight="1" x14ac:dyDescent="0.3">
      <c r="A6" s="10" t="s">
        <v>228</v>
      </c>
      <c r="B6" s="10" t="s">
        <v>229</v>
      </c>
      <c r="C6" s="10" t="s">
        <v>101</v>
      </c>
      <c r="D6" s="10" t="s">
        <v>230</v>
      </c>
      <c r="E6" s="12">
        <v>46204</v>
      </c>
      <c r="F6" s="13">
        <v>12</v>
      </c>
      <c r="G6" s="10" t="s">
        <v>231</v>
      </c>
      <c r="H6" s="10" t="s">
        <v>232</v>
      </c>
      <c r="I6" s="14">
        <f t="shared" si="0"/>
        <v>46569</v>
      </c>
      <c r="J6" s="11" t="str">
        <f t="shared" si="1"/>
        <v>Válido</v>
      </c>
    </row>
    <row r="7" spans="1:10" ht="30" customHeight="1" x14ac:dyDescent="0.3">
      <c r="A7" s="10" t="s">
        <v>115</v>
      </c>
      <c r="B7" s="10" t="s">
        <v>233</v>
      </c>
      <c r="C7" s="10" t="s">
        <v>234</v>
      </c>
      <c r="D7" s="10" t="s">
        <v>215</v>
      </c>
      <c r="E7" s="12">
        <v>46344</v>
      </c>
      <c r="F7" s="13">
        <v>12</v>
      </c>
      <c r="G7" s="10" t="s">
        <v>216</v>
      </c>
      <c r="H7" s="10" t="s">
        <v>235</v>
      </c>
      <c r="I7" s="14">
        <f t="shared" si="0"/>
        <v>46709</v>
      </c>
      <c r="J7" s="11" t="str">
        <f t="shared" si="1"/>
        <v>Válido</v>
      </c>
    </row>
    <row r="8" spans="1:10" ht="30" customHeight="1" x14ac:dyDescent="0.3">
      <c r="A8" s="10" t="s">
        <v>144</v>
      </c>
      <c r="B8" s="10" t="s">
        <v>236</v>
      </c>
      <c r="C8" s="10" t="s">
        <v>140</v>
      </c>
      <c r="D8" s="10" t="s">
        <v>215</v>
      </c>
      <c r="E8" s="12">
        <v>46270</v>
      </c>
      <c r="F8" s="13">
        <v>12</v>
      </c>
      <c r="G8" s="10" t="s">
        <v>237</v>
      </c>
      <c r="H8" s="10" t="s">
        <v>238</v>
      </c>
      <c r="I8" s="14">
        <f t="shared" si="0"/>
        <v>46635</v>
      </c>
      <c r="J8" s="11" t="str">
        <f t="shared" si="1"/>
        <v>Válido</v>
      </c>
    </row>
    <row r="9" spans="1:10" ht="30" customHeight="1" x14ac:dyDescent="0.3">
      <c r="A9" s="10" t="s">
        <v>239</v>
      </c>
      <c r="B9" s="10" t="s">
        <v>240</v>
      </c>
      <c r="C9" s="10" t="s">
        <v>158</v>
      </c>
      <c r="D9" s="10" t="s">
        <v>241</v>
      </c>
      <c r="E9" s="12">
        <v>44713</v>
      </c>
      <c r="F9" s="13">
        <v>96</v>
      </c>
      <c r="G9" s="10" t="s">
        <v>242</v>
      </c>
      <c r="H9" s="10" t="s">
        <v>243</v>
      </c>
      <c r="I9" s="14">
        <f t="shared" si="0"/>
        <v>47635</v>
      </c>
      <c r="J9" s="11" t="str">
        <f t="shared" si="1"/>
        <v>Válido</v>
      </c>
    </row>
    <row r="10" spans="1:10" ht="30" customHeight="1" x14ac:dyDescent="0.3">
      <c r="A10" s="10" t="s">
        <v>244</v>
      </c>
      <c r="B10" s="10" t="s">
        <v>245</v>
      </c>
      <c r="C10" s="10" t="s">
        <v>246</v>
      </c>
      <c r="D10" s="10" t="s">
        <v>247</v>
      </c>
      <c r="E10" s="12">
        <v>46365</v>
      </c>
      <c r="F10" s="13">
        <v>6</v>
      </c>
      <c r="G10" s="10" t="s">
        <v>164</v>
      </c>
      <c r="H10" s="10" t="s">
        <v>248</v>
      </c>
      <c r="I10" s="14">
        <f t="shared" si="0"/>
        <v>46547</v>
      </c>
      <c r="J10" s="11" t="str">
        <f t="shared" si="1"/>
        <v>Válido</v>
      </c>
    </row>
    <row r="11" spans="1:10" ht="30" customHeight="1" x14ac:dyDescent="0.3">
      <c r="A11" s="10" t="s">
        <v>154</v>
      </c>
      <c r="B11" s="10" t="s">
        <v>249</v>
      </c>
      <c r="C11" s="10" t="s">
        <v>150</v>
      </c>
      <c r="D11" s="10" t="s">
        <v>250</v>
      </c>
      <c r="E11" s="12">
        <v>46071</v>
      </c>
      <c r="F11" s="13">
        <v>12</v>
      </c>
      <c r="G11" s="10" t="s">
        <v>226</v>
      </c>
      <c r="H11" s="10" t="s">
        <v>251</v>
      </c>
      <c r="I11" s="14">
        <f t="shared" si="0"/>
        <v>46436</v>
      </c>
      <c r="J11" s="11" t="str">
        <f t="shared" si="1"/>
        <v>Válido</v>
      </c>
    </row>
    <row r="12" spans="1:10" ht="30" customHeight="1" x14ac:dyDescent="0.3">
      <c r="A12" s="10" t="s">
        <v>188</v>
      </c>
      <c r="B12" s="10" t="s">
        <v>252</v>
      </c>
      <c r="C12" s="10" t="s">
        <v>184</v>
      </c>
      <c r="D12" s="10" t="s">
        <v>253</v>
      </c>
      <c r="E12" s="12">
        <v>46032</v>
      </c>
      <c r="F12" s="13">
        <v>12</v>
      </c>
      <c r="G12" s="10" t="s">
        <v>254</v>
      </c>
      <c r="H12" s="10" t="s">
        <v>255</v>
      </c>
      <c r="I12" s="14">
        <f t="shared" si="0"/>
        <v>46397</v>
      </c>
      <c r="J12" s="11" t="str">
        <f t="shared" si="1"/>
        <v>A vencer</v>
      </c>
    </row>
  </sheetData>
  <conditionalFormatting sqref="J2:J212">
    <cfRule type="expression" dxfId="10" priority="1">
      <formula>ISNUMBER(SEARCH("Vencido",J2))</formula>
    </cfRule>
    <cfRule type="expression" dxfId="9" priority="2">
      <formula>ISNUMBER(SEARCH("Por verificar",J2))</formula>
    </cfRule>
    <cfRule type="expression" dxfId="8" priority="3">
      <formula>ISNUMBER(SEARCH("A vencer",J2))</formula>
    </cfRule>
    <cfRule type="expression" dxfId="7" priority="4">
      <formula>ISNUMBER(SEARCH("Válido",J2))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10" customWidth="1"/>
    <col min="3" max="3" width="12" customWidth="1"/>
    <col min="4" max="4" width="80" customWidth="1"/>
  </cols>
  <sheetData>
    <row r="1" spans="1:4" x14ac:dyDescent="0.3">
      <c r="A1" s="8" t="s">
        <v>256</v>
      </c>
      <c r="B1" s="8" t="s">
        <v>257</v>
      </c>
      <c r="C1" s="8" t="s">
        <v>80</v>
      </c>
      <c r="D1" s="8" t="s">
        <v>258</v>
      </c>
    </row>
    <row r="2" spans="1:4" x14ac:dyDescent="0.3">
      <c r="A2" s="10" t="s">
        <v>259</v>
      </c>
      <c r="B2" s="15">
        <v>45</v>
      </c>
      <c r="C2" s="10" t="s">
        <v>260</v>
      </c>
      <c r="D2" s="10" t="s">
        <v>261</v>
      </c>
    </row>
    <row r="3" spans="1:4" x14ac:dyDescent="0.3">
      <c r="A3" s="10" t="s">
        <v>262</v>
      </c>
      <c r="B3" s="15">
        <v>55</v>
      </c>
      <c r="C3" s="10" t="s">
        <v>260</v>
      </c>
      <c r="D3" s="10" t="s">
        <v>263</v>
      </c>
    </row>
    <row r="4" spans="1:4" x14ac:dyDescent="0.3">
      <c r="A4" s="10" t="s">
        <v>264</v>
      </c>
      <c r="B4" s="15">
        <v>18</v>
      </c>
      <c r="C4" s="10" t="s">
        <v>260</v>
      </c>
      <c r="D4" s="10" t="s">
        <v>265</v>
      </c>
    </row>
    <row r="5" spans="1:4" x14ac:dyDescent="0.3">
      <c r="A5" s="10" t="s">
        <v>266</v>
      </c>
      <c r="B5" s="15">
        <v>9</v>
      </c>
      <c r="C5" s="10" t="s">
        <v>260</v>
      </c>
      <c r="D5" s="10" t="s">
        <v>267</v>
      </c>
    </row>
    <row r="6" spans="1:4" x14ac:dyDescent="0.3">
      <c r="A6" s="10" t="s">
        <v>268</v>
      </c>
      <c r="B6" s="15">
        <v>0.19</v>
      </c>
      <c r="C6" s="10" t="s">
        <v>269</v>
      </c>
      <c r="D6" s="10" t="s">
        <v>270</v>
      </c>
    </row>
    <row r="7" spans="1:4" x14ac:dyDescent="0.3">
      <c r="A7" s="10" t="s">
        <v>271</v>
      </c>
      <c r="B7" s="15">
        <v>0.1</v>
      </c>
      <c r="C7" s="10" t="s">
        <v>269</v>
      </c>
      <c r="D7" s="10" t="s">
        <v>272</v>
      </c>
    </row>
    <row r="8" spans="1:4" x14ac:dyDescent="0.3">
      <c r="A8" s="10" t="s">
        <v>273</v>
      </c>
      <c r="B8" s="15">
        <v>0.05</v>
      </c>
      <c r="C8" s="10" t="s">
        <v>274</v>
      </c>
      <c r="D8" s="10" t="s">
        <v>275</v>
      </c>
    </row>
    <row r="9" spans="1:4" x14ac:dyDescent="0.3">
      <c r="A9" s="10" t="s">
        <v>276</v>
      </c>
      <c r="B9" s="15">
        <v>42000</v>
      </c>
      <c r="C9" s="10" t="s">
        <v>277</v>
      </c>
      <c r="D9" s="10" t="s">
        <v>278</v>
      </c>
    </row>
    <row r="10" spans="1:4" ht="26.4" x14ac:dyDescent="0.3">
      <c r="A10" s="10" t="s">
        <v>279</v>
      </c>
      <c r="B10" s="15">
        <v>1.45</v>
      </c>
      <c r="C10" s="10" t="s">
        <v>280</v>
      </c>
      <c r="D10" s="10" t="s">
        <v>281</v>
      </c>
    </row>
    <row r="11" spans="1:4" x14ac:dyDescent="0.3">
      <c r="A11" s="10" t="s">
        <v>282</v>
      </c>
      <c r="B11" s="15">
        <v>4.4999999999999998E-2</v>
      </c>
      <c r="C11" s="10" t="s">
        <v>274</v>
      </c>
      <c r="D11" s="10" t="s">
        <v>283</v>
      </c>
    </row>
    <row r="12" spans="1:4" x14ac:dyDescent="0.3">
      <c r="A12" s="10" t="s">
        <v>284</v>
      </c>
      <c r="B12" s="15">
        <v>150</v>
      </c>
      <c r="C12" s="10" t="s">
        <v>285</v>
      </c>
      <c r="D12" s="10" t="s">
        <v>286</v>
      </c>
    </row>
    <row r="13" spans="1:4" x14ac:dyDescent="0.3">
      <c r="A13" s="10" t="s">
        <v>287</v>
      </c>
      <c r="B13" s="15">
        <v>22</v>
      </c>
      <c r="C13" s="10" t="s">
        <v>288</v>
      </c>
      <c r="D13" s="10" t="s">
        <v>289</v>
      </c>
    </row>
    <row r="14" spans="1:4" x14ac:dyDescent="0.3">
      <c r="A14" s="10" t="s">
        <v>290</v>
      </c>
      <c r="B14" s="15">
        <v>6</v>
      </c>
      <c r="C14" s="10" t="s">
        <v>288</v>
      </c>
      <c r="D14" s="10" t="s">
        <v>291</v>
      </c>
    </row>
    <row r="15" spans="1:4" ht="26.4" x14ac:dyDescent="0.3">
      <c r="A15" s="10" t="s">
        <v>292</v>
      </c>
      <c r="B15" s="15">
        <v>3</v>
      </c>
      <c r="C15" s="10" t="s">
        <v>293</v>
      </c>
      <c r="D15" s="10" t="s">
        <v>294</v>
      </c>
    </row>
    <row r="16" spans="1:4" ht="26.4" x14ac:dyDescent="0.3">
      <c r="A16" s="10" t="s">
        <v>295</v>
      </c>
      <c r="B16" s="15">
        <v>1.5</v>
      </c>
      <c r="C16" s="10" t="s">
        <v>293</v>
      </c>
      <c r="D16" s="10" t="s">
        <v>296</v>
      </c>
    </row>
    <row r="17" spans="1:4" x14ac:dyDescent="0.3">
      <c r="A17" s="10" t="s">
        <v>297</v>
      </c>
      <c r="B17" s="15">
        <v>0.48</v>
      </c>
      <c r="C17" s="10" t="s">
        <v>269</v>
      </c>
      <c r="D17" s="10" t="s">
        <v>298</v>
      </c>
    </row>
    <row r="18" spans="1:4" x14ac:dyDescent="0.3">
      <c r="A18" s="10" t="s">
        <v>299</v>
      </c>
      <c r="B18" s="15">
        <v>0.12</v>
      </c>
      <c r="C18" s="10" t="s">
        <v>269</v>
      </c>
      <c r="D18" s="10" t="s">
        <v>300</v>
      </c>
    </row>
    <row r="19" spans="1:4" x14ac:dyDescent="0.3">
      <c r="A19" s="10" t="s">
        <v>301</v>
      </c>
      <c r="B19" s="15">
        <v>0.24</v>
      </c>
      <c r="C19" s="10" t="s">
        <v>302</v>
      </c>
      <c r="D19" s="10" t="s">
        <v>303</v>
      </c>
    </row>
    <row r="20" spans="1:4" x14ac:dyDescent="0.3">
      <c r="A20" s="10" t="s">
        <v>304</v>
      </c>
      <c r="B20" s="15">
        <v>0.16</v>
      </c>
      <c r="C20" s="10" t="s">
        <v>302</v>
      </c>
      <c r="D20" s="10" t="s">
        <v>305</v>
      </c>
    </row>
    <row r="21" spans="1:4" x14ac:dyDescent="0.3">
      <c r="A21" s="10" t="s">
        <v>306</v>
      </c>
      <c r="B21" s="15">
        <v>1.9</v>
      </c>
      <c r="C21" s="10" t="s">
        <v>302</v>
      </c>
      <c r="D21" s="10" t="s">
        <v>307</v>
      </c>
    </row>
    <row r="22" spans="1:4" x14ac:dyDescent="0.3">
      <c r="A22" s="10" t="s">
        <v>308</v>
      </c>
      <c r="B22" s="15">
        <v>0.72</v>
      </c>
      <c r="C22" s="10" t="s">
        <v>302</v>
      </c>
      <c r="D22" s="10" t="s">
        <v>309</v>
      </c>
    </row>
    <row r="23" spans="1:4" ht="26.4" x14ac:dyDescent="0.3">
      <c r="A23" s="10" t="s">
        <v>310</v>
      </c>
      <c r="B23" s="15">
        <v>0.11</v>
      </c>
      <c r="C23" s="10" t="s">
        <v>311</v>
      </c>
      <c r="D23" s="10" t="s">
        <v>312</v>
      </c>
    </row>
    <row r="24" spans="1:4" x14ac:dyDescent="0.3">
      <c r="A24" s="10" t="s">
        <v>313</v>
      </c>
      <c r="B24" s="15">
        <v>0.55000000000000004</v>
      </c>
      <c r="C24" s="10" t="s">
        <v>269</v>
      </c>
      <c r="D24" s="10" t="s">
        <v>314</v>
      </c>
    </row>
    <row r="25" spans="1:4" x14ac:dyDescent="0.3">
      <c r="A25" s="10" t="s">
        <v>315</v>
      </c>
      <c r="B25" s="15">
        <v>2088</v>
      </c>
      <c r="C25" s="10" t="s">
        <v>316</v>
      </c>
      <c r="D25" s="10" t="s">
        <v>317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6" customWidth="1"/>
    <col min="4" max="5" width="9" customWidth="1"/>
    <col min="6" max="6" width="7" customWidth="1"/>
    <col min="7" max="8" width="18" customWidth="1"/>
    <col min="9" max="9" width="12" customWidth="1"/>
    <col min="10" max="10" width="10" customWidth="1"/>
    <col min="11" max="11" width="9" customWidth="1"/>
    <col min="12" max="12" width="12" customWidth="1"/>
    <col min="13" max="13" width="11" customWidth="1"/>
    <col min="14" max="14" width="9" customWidth="1"/>
    <col min="15" max="16" width="8" customWidth="1"/>
    <col min="17" max="17" width="10" customWidth="1"/>
    <col min="18" max="21" width="9" customWidth="1"/>
  </cols>
  <sheetData>
    <row r="1" spans="1:21" ht="52.8" x14ac:dyDescent="0.3">
      <c r="A1" s="8" t="s">
        <v>318</v>
      </c>
      <c r="B1" s="8" t="s">
        <v>319</v>
      </c>
      <c r="C1" s="8" t="s">
        <v>320</v>
      </c>
      <c r="D1" s="8" t="s">
        <v>321</v>
      </c>
      <c r="E1" s="8" t="s">
        <v>322</v>
      </c>
      <c r="F1" s="8" t="s">
        <v>323</v>
      </c>
      <c r="G1" s="8" t="s">
        <v>324</v>
      </c>
      <c r="H1" s="8" t="s">
        <v>325</v>
      </c>
      <c r="I1" s="9" t="s">
        <v>326</v>
      </c>
      <c r="J1" s="8" t="s">
        <v>327</v>
      </c>
      <c r="K1" s="8" t="s">
        <v>328</v>
      </c>
      <c r="L1" s="9" t="s">
        <v>329</v>
      </c>
      <c r="M1" s="8" t="s">
        <v>330</v>
      </c>
      <c r="N1" s="9" t="s">
        <v>331</v>
      </c>
      <c r="O1" s="8" t="s">
        <v>332</v>
      </c>
      <c r="P1" s="8" t="s">
        <v>333</v>
      </c>
      <c r="Q1" s="9" t="s">
        <v>334</v>
      </c>
      <c r="R1" s="9" t="s">
        <v>335</v>
      </c>
      <c r="S1" s="9" t="s">
        <v>336</v>
      </c>
      <c r="T1" s="9" t="s">
        <v>337</v>
      </c>
      <c r="U1" s="9" t="s">
        <v>338</v>
      </c>
    </row>
    <row r="2" spans="1:21" ht="18" customHeight="1" x14ac:dyDescent="0.3">
      <c r="A2" s="12">
        <v>45717</v>
      </c>
      <c r="B2" s="13">
        <v>2025</v>
      </c>
      <c r="C2" s="13">
        <v>3</v>
      </c>
      <c r="D2" s="10" t="s">
        <v>339</v>
      </c>
      <c r="E2" s="16">
        <v>13.2</v>
      </c>
      <c r="F2" s="13">
        <v>21</v>
      </c>
      <c r="G2" s="10" t="s">
        <v>340</v>
      </c>
      <c r="H2" s="10" t="s">
        <v>341</v>
      </c>
      <c r="I2" s="17">
        <f>SUMIFS(tbl_dados_ambientais[Valor],tbl_dados_ambientais[Mes],A2,tbl_dados_ambientais[Variavel],"ENE_TOTAL")</f>
        <v>568941.28</v>
      </c>
      <c r="J2" s="15">
        <v>0.12659999999999999</v>
      </c>
      <c r="K2" s="18">
        <v>1350</v>
      </c>
      <c r="L2" s="19">
        <f t="shared" ref="L2:L23" si="0">ROUND(I2*J2,0)</f>
        <v>72028</v>
      </c>
      <c r="M2" s="10" t="s">
        <v>342</v>
      </c>
      <c r="N2" s="17">
        <f>SUMIFS(tbl_dados_ambientais[Valor],tbl_dados_ambientais[Mes],A2,tbl_dados_ambientais[Variavel],"AGUA_TOTAL")</f>
        <v>664.72</v>
      </c>
      <c r="O2" s="20">
        <v>1.62</v>
      </c>
      <c r="P2" s="20">
        <v>1.05</v>
      </c>
      <c r="Q2" s="19">
        <f t="shared" ref="Q2:Q23" si="1">ROUND(N2*(O2+P2),0)</f>
        <v>1775</v>
      </c>
      <c r="R2" s="19">
        <f t="shared" ref="R2:R23" si="2">IFERROR(ROUND(L2/I2*1000,0),"")</f>
        <v>127</v>
      </c>
      <c r="S2" s="17">
        <f>SUMIFS(tbl_dados_ambientais[Valor],tbl_dados_ambientais[Mes],A2,tbl_dados_ambientais[Variavel],"AGUA_USO",tbl_dados_ambientais[Processo],"UTL-FRIO")</f>
        <v>516.73</v>
      </c>
      <c r="T2" s="17">
        <f t="shared" ref="T2:T23" si="3">ROUND(S2*0.8,0)</f>
        <v>413</v>
      </c>
      <c r="U2" s="17">
        <f t="shared" ref="U2:U23" si="4">N2-T2</f>
        <v>251.72000000000003</v>
      </c>
    </row>
    <row r="3" spans="1:21" ht="18" customHeight="1" x14ac:dyDescent="0.3">
      <c r="A3" s="12">
        <v>45748</v>
      </c>
      <c r="B3" s="13">
        <v>2025</v>
      </c>
      <c r="C3" s="13">
        <v>4</v>
      </c>
      <c r="D3" s="10" t="s">
        <v>343</v>
      </c>
      <c r="E3" s="16">
        <v>15.2</v>
      </c>
      <c r="F3" s="13">
        <v>20</v>
      </c>
      <c r="G3" s="10" t="s">
        <v>340</v>
      </c>
      <c r="H3" s="10" t="s">
        <v>344</v>
      </c>
      <c r="I3" s="17">
        <f>SUMIFS(tbl_dados_ambientais[Valor],tbl_dados_ambientais[Mes],A3,tbl_dados_ambientais[Variavel],"ENE_TOTAL")</f>
        <v>545353.91</v>
      </c>
      <c r="J3" s="15">
        <v>0.11550000000000001</v>
      </c>
      <c r="K3" s="18">
        <v>1350</v>
      </c>
      <c r="L3" s="19">
        <f t="shared" si="0"/>
        <v>62988</v>
      </c>
      <c r="M3" s="10" t="s">
        <v>345</v>
      </c>
      <c r="N3" s="17">
        <f>SUMIFS(tbl_dados_ambientais[Valor],tbl_dados_ambientais[Mes],A3,tbl_dados_ambientais[Variavel],"AGUA_TOTAL")</f>
        <v>693.8</v>
      </c>
      <c r="O3" s="20">
        <v>1.62</v>
      </c>
      <c r="P3" s="20">
        <v>1.05</v>
      </c>
      <c r="Q3" s="19">
        <f t="shared" si="1"/>
        <v>1852</v>
      </c>
      <c r="R3" s="19">
        <f t="shared" si="2"/>
        <v>115</v>
      </c>
      <c r="S3" s="17">
        <f>SUMIFS(tbl_dados_ambientais[Valor],tbl_dados_ambientais[Mes],A3,tbl_dados_ambientais[Variavel],"AGUA_USO",tbl_dados_ambientais[Processo],"UTL-FRIO")</f>
        <v>544.67999999999995</v>
      </c>
      <c r="T3" s="17">
        <f t="shared" si="3"/>
        <v>436</v>
      </c>
      <c r="U3" s="17">
        <f t="shared" si="4"/>
        <v>257.79999999999995</v>
      </c>
    </row>
    <row r="4" spans="1:21" ht="18" customHeight="1" x14ac:dyDescent="0.3">
      <c r="A4" s="12">
        <v>45778</v>
      </c>
      <c r="B4" s="13">
        <v>2025</v>
      </c>
      <c r="C4" s="13">
        <v>5</v>
      </c>
      <c r="D4" s="10" t="s">
        <v>343</v>
      </c>
      <c r="E4" s="16">
        <v>16.8</v>
      </c>
      <c r="F4" s="13">
        <v>21</v>
      </c>
      <c r="G4" s="10" t="s">
        <v>340</v>
      </c>
      <c r="H4" s="10" t="s">
        <v>346</v>
      </c>
      <c r="I4" s="17">
        <f>SUMIFS(tbl_dados_ambientais[Valor],tbl_dados_ambientais[Mes],A4,tbl_dados_ambientais[Variavel],"ENE_TOTAL")</f>
        <v>538026.29</v>
      </c>
      <c r="J4" s="15">
        <v>0.1094</v>
      </c>
      <c r="K4" s="18">
        <v>1350</v>
      </c>
      <c r="L4" s="19">
        <f t="shared" si="0"/>
        <v>58860</v>
      </c>
      <c r="M4" s="10" t="s">
        <v>347</v>
      </c>
      <c r="N4" s="17">
        <f>SUMIFS(tbl_dados_ambientais[Valor],tbl_dados_ambientais[Mes],A4,tbl_dados_ambientais[Variavel],"AGUA_TOTAL")</f>
        <v>704.19</v>
      </c>
      <c r="O4" s="20">
        <v>1.62</v>
      </c>
      <c r="P4" s="20">
        <v>1.05</v>
      </c>
      <c r="Q4" s="19">
        <f t="shared" si="1"/>
        <v>1880</v>
      </c>
      <c r="R4" s="19">
        <f t="shared" si="2"/>
        <v>109</v>
      </c>
      <c r="S4" s="17">
        <f>SUMIFS(tbl_dados_ambientais[Valor],tbl_dados_ambientais[Mes],A4,tbl_dados_ambientais[Variavel],"AGUA_USO",tbl_dados_ambientais[Processo],"UTL-FRIO")</f>
        <v>567.25</v>
      </c>
      <c r="T4" s="17">
        <f t="shared" si="3"/>
        <v>454</v>
      </c>
      <c r="U4" s="17">
        <f t="shared" si="4"/>
        <v>250.19000000000005</v>
      </c>
    </row>
    <row r="5" spans="1:21" ht="18" customHeight="1" x14ac:dyDescent="0.3">
      <c r="A5" s="12">
        <v>45809</v>
      </c>
      <c r="B5" s="13">
        <v>2025</v>
      </c>
      <c r="C5" s="13">
        <v>6</v>
      </c>
      <c r="D5" s="10" t="s">
        <v>343</v>
      </c>
      <c r="E5" s="16">
        <v>21.2</v>
      </c>
      <c r="F5" s="13">
        <v>19</v>
      </c>
      <c r="G5" s="10" t="s">
        <v>340</v>
      </c>
      <c r="H5" s="10" t="s">
        <v>348</v>
      </c>
      <c r="I5" s="17">
        <f>SUMIFS(tbl_dados_ambientais[Valor],tbl_dados_ambientais[Mes],A5,tbl_dados_ambientais[Variavel],"ENE_TOTAL")</f>
        <v>515423.14</v>
      </c>
      <c r="J5" s="15">
        <v>0.107</v>
      </c>
      <c r="K5" s="18">
        <v>1350</v>
      </c>
      <c r="L5" s="19">
        <f t="shared" si="0"/>
        <v>55150</v>
      </c>
      <c r="M5" s="10" t="s">
        <v>349</v>
      </c>
      <c r="N5" s="17">
        <f>SUMIFS(tbl_dados_ambientais[Valor],tbl_dados_ambientais[Mes],A5,tbl_dados_ambientais[Variavel],"AGUA_TOTAL")</f>
        <v>724.54</v>
      </c>
      <c r="O5" s="20">
        <v>1.62</v>
      </c>
      <c r="P5" s="20">
        <v>1.05</v>
      </c>
      <c r="Q5" s="19">
        <f t="shared" si="1"/>
        <v>1935</v>
      </c>
      <c r="R5" s="19">
        <f t="shared" si="2"/>
        <v>107</v>
      </c>
      <c r="S5" s="17">
        <f>SUMIFS(tbl_dados_ambientais[Valor],tbl_dados_ambientais[Mes],A5,tbl_dados_ambientais[Variavel],"AGUA_USO",tbl_dados_ambientais[Processo],"UTL-FRIO")</f>
        <v>589.02</v>
      </c>
      <c r="T5" s="17">
        <f t="shared" si="3"/>
        <v>471</v>
      </c>
      <c r="U5" s="17">
        <f t="shared" si="4"/>
        <v>253.53999999999996</v>
      </c>
    </row>
    <row r="6" spans="1:21" ht="18" customHeight="1" x14ac:dyDescent="0.3">
      <c r="A6" s="12">
        <v>45839</v>
      </c>
      <c r="B6" s="13">
        <v>2025</v>
      </c>
      <c r="C6" s="13">
        <v>7</v>
      </c>
      <c r="D6" s="10" t="s">
        <v>350</v>
      </c>
      <c r="E6" s="16">
        <v>22.2</v>
      </c>
      <c r="F6" s="13">
        <v>23</v>
      </c>
      <c r="G6" s="10" t="s">
        <v>351</v>
      </c>
      <c r="H6" s="10" t="s">
        <v>352</v>
      </c>
      <c r="I6" s="17">
        <f>SUMIFS(tbl_dados_ambientais[Valor],tbl_dados_ambientais[Mes],A6,tbl_dados_ambientais[Variavel],"ENE_TOTAL")</f>
        <v>620886.12</v>
      </c>
      <c r="J6" s="15">
        <v>0.10290000000000001</v>
      </c>
      <c r="K6" s="18">
        <v>1350</v>
      </c>
      <c r="L6" s="19">
        <f t="shared" si="0"/>
        <v>63889</v>
      </c>
      <c r="M6" s="10" t="s">
        <v>353</v>
      </c>
      <c r="N6" s="17">
        <f>SUMIFS(tbl_dados_ambientais[Valor],tbl_dados_ambientais[Mes],A6,tbl_dados_ambientais[Variavel],"AGUA_TOTAL")</f>
        <v>934.86</v>
      </c>
      <c r="O6" s="20">
        <v>1.62</v>
      </c>
      <c r="P6" s="20">
        <v>1.05</v>
      </c>
      <c r="Q6" s="19">
        <f t="shared" si="1"/>
        <v>2496</v>
      </c>
      <c r="R6" s="19">
        <f t="shared" si="2"/>
        <v>103</v>
      </c>
      <c r="S6" s="17">
        <f>SUMIFS(tbl_dados_ambientais[Valor],tbl_dados_ambientais[Mes],A6,tbl_dados_ambientais[Variavel],"AGUA_USO",tbl_dados_ambientais[Processo],"UTL-FRIO")</f>
        <v>763.85</v>
      </c>
      <c r="T6" s="17">
        <f t="shared" si="3"/>
        <v>611</v>
      </c>
      <c r="U6" s="17">
        <f t="shared" si="4"/>
        <v>323.86</v>
      </c>
    </row>
    <row r="7" spans="1:21" ht="18" customHeight="1" x14ac:dyDescent="0.3">
      <c r="A7" s="12">
        <v>45870</v>
      </c>
      <c r="B7" s="13">
        <v>2025</v>
      </c>
      <c r="C7" s="13">
        <v>8</v>
      </c>
      <c r="D7" s="10" t="s">
        <v>350</v>
      </c>
      <c r="E7" s="16">
        <v>23.1</v>
      </c>
      <c r="F7" s="13">
        <v>20</v>
      </c>
      <c r="G7" s="10" t="s">
        <v>351</v>
      </c>
      <c r="H7" s="10" t="s">
        <v>354</v>
      </c>
      <c r="I7" s="17">
        <f>SUMIFS(tbl_dados_ambientais[Valor],tbl_dados_ambientais[Mes],A7,tbl_dados_ambientais[Variavel],"ENE_TOTAL")</f>
        <v>586900.91</v>
      </c>
      <c r="J7" s="15">
        <v>0.10299999999999999</v>
      </c>
      <c r="K7" s="18">
        <v>1350</v>
      </c>
      <c r="L7" s="19">
        <f t="shared" si="0"/>
        <v>60451</v>
      </c>
      <c r="M7" s="10" t="s">
        <v>355</v>
      </c>
      <c r="N7" s="17">
        <f>SUMIFS(tbl_dados_ambientais[Valor],tbl_dados_ambientais[Mes],A7,tbl_dados_ambientais[Variavel],"AGUA_TOTAL")</f>
        <v>914.2</v>
      </c>
      <c r="O7" s="20">
        <v>1.62</v>
      </c>
      <c r="P7" s="20">
        <v>1.05</v>
      </c>
      <c r="Q7" s="19">
        <f t="shared" si="1"/>
        <v>2441</v>
      </c>
      <c r="R7" s="19">
        <f t="shared" si="2"/>
        <v>103</v>
      </c>
      <c r="S7" s="17">
        <f>SUMIFS(tbl_dados_ambientais[Valor],tbl_dados_ambientais[Mes],A7,tbl_dados_ambientais[Variavel],"AGUA_USO",tbl_dados_ambientais[Processo],"UTL-FRIO")</f>
        <v>778.07</v>
      </c>
      <c r="T7" s="17">
        <f t="shared" si="3"/>
        <v>622</v>
      </c>
      <c r="U7" s="17">
        <f t="shared" si="4"/>
        <v>292.20000000000005</v>
      </c>
    </row>
    <row r="8" spans="1:21" ht="18" customHeight="1" x14ac:dyDescent="0.3">
      <c r="A8" s="12">
        <v>45901</v>
      </c>
      <c r="B8" s="13">
        <v>2025</v>
      </c>
      <c r="C8" s="13">
        <v>9</v>
      </c>
      <c r="D8" s="10" t="s">
        <v>350</v>
      </c>
      <c r="E8" s="16">
        <v>20.9</v>
      </c>
      <c r="F8" s="13">
        <v>22</v>
      </c>
      <c r="G8" s="10" t="s">
        <v>351</v>
      </c>
      <c r="H8" s="10" t="s">
        <v>356</v>
      </c>
      <c r="I8" s="17">
        <f>SUMIFS(tbl_dados_ambientais[Valor],tbl_dados_ambientais[Mes],A8,tbl_dados_ambientais[Variavel],"ENE_TOTAL")</f>
        <v>569448.28</v>
      </c>
      <c r="J8" s="15">
        <v>0.11700000000000001</v>
      </c>
      <c r="K8" s="18">
        <v>1350</v>
      </c>
      <c r="L8" s="19">
        <f t="shared" si="0"/>
        <v>66625</v>
      </c>
      <c r="M8" s="10" t="s">
        <v>357</v>
      </c>
      <c r="N8" s="17">
        <f>SUMIFS(tbl_dados_ambientais[Valor],tbl_dados_ambientais[Mes],A8,tbl_dados_ambientais[Variavel],"AGUA_TOTAL")</f>
        <v>854.7</v>
      </c>
      <c r="O8" s="20">
        <v>1.62</v>
      </c>
      <c r="P8" s="20">
        <v>1.05</v>
      </c>
      <c r="Q8" s="19">
        <f t="shared" si="1"/>
        <v>2282</v>
      </c>
      <c r="R8" s="19">
        <f t="shared" si="2"/>
        <v>117</v>
      </c>
      <c r="S8" s="17">
        <f>SUMIFS(tbl_dados_ambientais[Valor],tbl_dados_ambientais[Mes],A8,tbl_dados_ambientais[Variavel],"AGUA_USO",tbl_dados_ambientais[Processo],"UTL-FRIO")</f>
        <v>695.96</v>
      </c>
      <c r="T8" s="17">
        <f t="shared" si="3"/>
        <v>557</v>
      </c>
      <c r="U8" s="17">
        <f t="shared" si="4"/>
        <v>297.70000000000005</v>
      </c>
    </row>
    <row r="9" spans="1:21" ht="18" customHeight="1" x14ac:dyDescent="0.3">
      <c r="A9" s="12">
        <v>45931</v>
      </c>
      <c r="B9" s="13">
        <v>2025</v>
      </c>
      <c r="C9" s="13">
        <v>10</v>
      </c>
      <c r="D9" s="10" t="s">
        <v>358</v>
      </c>
      <c r="E9" s="16">
        <v>18.100000000000001</v>
      </c>
      <c r="F9" s="13">
        <v>22</v>
      </c>
      <c r="G9" s="10" t="s">
        <v>351</v>
      </c>
      <c r="H9" s="10" t="s">
        <v>359</v>
      </c>
      <c r="I9" s="17">
        <f>SUMIFS(tbl_dados_ambientais[Valor],tbl_dados_ambientais[Mes],A9,tbl_dados_ambientais[Variavel],"ENE_TOTAL")</f>
        <v>568761.74</v>
      </c>
      <c r="J9" s="15">
        <v>0.1215</v>
      </c>
      <c r="K9" s="18">
        <v>1350</v>
      </c>
      <c r="L9" s="19">
        <f t="shared" si="0"/>
        <v>69105</v>
      </c>
      <c r="M9" s="10" t="s">
        <v>360</v>
      </c>
      <c r="N9" s="17">
        <f>SUMIFS(tbl_dados_ambientais[Valor],tbl_dados_ambientais[Mes],A9,tbl_dados_ambientais[Variavel],"AGUA_TOTAL")</f>
        <v>793.45</v>
      </c>
      <c r="O9" s="20">
        <v>1.62</v>
      </c>
      <c r="P9" s="20">
        <v>1.05</v>
      </c>
      <c r="Q9" s="19">
        <f t="shared" si="1"/>
        <v>2119</v>
      </c>
      <c r="R9" s="19">
        <f t="shared" si="2"/>
        <v>122</v>
      </c>
      <c r="S9" s="17">
        <f>SUMIFS(tbl_dados_ambientais[Valor],tbl_dados_ambientais[Mes],A9,tbl_dados_ambientais[Variavel],"AGUA_USO",tbl_dados_ambientais[Processo],"UTL-FRIO")</f>
        <v>637.78</v>
      </c>
      <c r="T9" s="17">
        <f t="shared" si="3"/>
        <v>510</v>
      </c>
      <c r="U9" s="17">
        <f t="shared" si="4"/>
        <v>283.45000000000005</v>
      </c>
    </row>
    <row r="10" spans="1:21" ht="18" customHeight="1" x14ac:dyDescent="0.3">
      <c r="A10" s="12">
        <v>45962</v>
      </c>
      <c r="B10" s="13">
        <v>2025</v>
      </c>
      <c r="C10" s="13">
        <v>11</v>
      </c>
      <c r="D10" s="10" t="s">
        <v>358</v>
      </c>
      <c r="E10" s="16">
        <v>13.3</v>
      </c>
      <c r="F10" s="13">
        <v>19</v>
      </c>
      <c r="G10" s="10" t="s">
        <v>351</v>
      </c>
      <c r="H10" s="10" t="s">
        <v>361</v>
      </c>
      <c r="I10" s="17">
        <f>SUMIFS(tbl_dados_ambientais[Valor],tbl_dados_ambientais[Mes],A10,tbl_dados_ambientais[Variavel],"ENE_TOTAL")</f>
        <v>561642.6</v>
      </c>
      <c r="J10" s="15">
        <v>0.12529999999999999</v>
      </c>
      <c r="K10" s="18">
        <v>1350</v>
      </c>
      <c r="L10" s="19">
        <f t="shared" si="0"/>
        <v>70374</v>
      </c>
      <c r="M10" s="10" t="s">
        <v>362</v>
      </c>
      <c r="N10" s="17">
        <f>SUMIFS(tbl_dados_ambientais[Valor],tbl_dados_ambientais[Mes],A10,tbl_dados_ambientais[Variavel],"AGUA_TOTAL")</f>
        <v>629.21</v>
      </c>
      <c r="O10" s="20">
        <v>1.62</v>
      </c>
      <c r="P10" s="20">
        <v>1.05</v>
      </c>
      <c r="Q10" s="19">
        <f t="shared" si="1"/>
        <v>1680</v>
      </c>
      <c r="R10" s="19">
        <f t="shared" si="2"/>
        <v>125</v>
      </c>
      <c r="S10" s="17">
        <f>SUMIFS(tbl_dados_ambientais[Valor],tbl_dados_ambientais[Mes],A10,tbl_dados_ambientais[Variavel],"AGUA_USO",tbl_dados_ambientais[Processo],"UTL-FRIO")</f>
        <v>487.84</v>
      </c>
      <c r="T10" s="17">
        <f t="shared" si="3"/>
        <v>390</v>
      </c>
      <c r="U10" s="17">
        <f t="shared" si="4"/>
        <v>239.21000000000004</v>
      </c>
    </row>
    <row r="11" spans="1:21" ht="18" customHeight="1" x14ac:dyDescent="0.3">
      <c r="A11" s="12">
        <v>45992</v>
      </c>
      <c r="B11" s="13">
        <v>2025</v>
      </c>
      <c r="C11" s="13">
        <v>12</v>
      </c>
      <c r="D11" s="10" t="s">
        <v>358</v>
      </c>
      <c r="E11" s="16">
        <v>11.4</v>
      </c>
      <c r="F11" s="13">
        <v>20</v>
      </c>
      <c r="G11" s="10" t="s">
        <v>351</v>
      </c>
      <c r="H11" s="10" t="s">
        <v>363</v>
      </c>
      <c r="I11" s="17">
        <f>SUMIFS(tbl_dados_ambientais[Valor],tbl_dados_ambientais[Mes],A11,tbl_dados_ambientais[Variavel],"ENE_TOTAL")</f>
        <v>582602.49</v>
      </c>
      <c r="J11" s="15">
        <v>0.12590000000000001</v>
      </c>
      <c r="K11" s="18">
        <v>1350</v>
      </c>
      <c r="L11" s="19">
        <f t="shared" si="0"/>
        <v>73350</v>
      </c>
      <c r="M11" s="10" t="s">
        <v>364</v>
      </c>
      <c r="N11" s="17">
        <f>SUMIFS(tbl_dados_ambientais[Valor],tbl_dados_ambientais[Mes],A11,tbl_dados_ambientais[Variavel],"AGUA_TOTAL")</f>
        <v>628.99</v>
      </c>
      <c r="O11" s="20">
        <v>1.62</v>
      </c>
      <c r="P11" s="20">
        <v>1.05</v>
      </c>
      <c r="Q11" s="19">
        <f t="shared" si="1"/>
        <v>1679</v>
      </c>
      <c r="R11" s="19">
        <f t="shared" si="2"/>
        <v>126</v>
      </c>
      <c r="S11" s="17">
        <f>SUMIFS(tbl_dados_ambientais[Valor],tbl_dados_ambientais[Mes],A11,tbl_dados_ambientais[Variavel],"AGUA_USO",tbl_dados_ambientais[Processo],"UTL-FRIO")</f>
        <v>485.73</v>
      </c>
      <c r="T11" s="17">
        <f t="shared" si="3"/>
        <v>389</v>
      </c>
      <c r="U11" s="17">
        <f t="shared" si="4"/>
        <v>239.99</v>
      </c>
    </row>
    <row r="12" spans="1:21" ht="18" customHeight="1" x14ac:dyDescent="0.3">
      <c r="A12" s="12">
        <v>46023</v>
      </c>
      <c r="B12" s="13">
        <v>2026</v>
      </c>
      <c r="C12" s="13">
        <v>1</v>
      </c>
      <c r="D12" s="10" t="s">
        <v>365</v>
      </c>
      <c r="E12" s="16">
        <v>9.6</v>
      </c>
      <c r="F12" s="13">
        <v>21</v>
      </c>
      <c r="G12" s="10" t="s">
        <v>351</v>
      </c>
      <c r="H12" s="10" t="s">
        <v>366</v>
      </c>
      <c r="I12" s="17">
        <f>SUMIFS(tbl_dados_ambientais[Valor],tbl_dados_ambientais[Mes],A12,tbl_dados_ambientais[Variavel],"ENE_TOTAL")</f>
        <v>567251.43999999994</v>
      </c>
      <c r="J12" s="15">
        <v>0.14080000000000001</v>
      </c>
      <c r="K12" s="18">
        <v>1350</v>
      </c>
      <c r="L12" s="19">
        <f t="shared" si="0"/>
        <v>79869</v>
      </c>
      <c r="M12" s="10" t="s">
        <v>367</v>
      </c>
      <c r="N12" s="17">
        <f>SUMIFS(tbl_dados_ambientais[Valor],tbl_dados_ambientais[Mes],A12,tbl_dados_ambientais[Variavel],"AGUA_TOTAL")</f>
        <v>589.01</v>
      </c>
      <c r="O12" s="20">
        <v>1.71</v>
      </c>
      <c r="P12" s="20">
        <v>1.1100000000000001</v>
      </c>
      <c r="Q12" s="19">
        <f t="shared" si="1"/>
        <v>1661</v>
      </c>
      <c r="R12" s="19">
        <f t="shared" si="2"/>
        <v>141</v>
      </c>
      <c r="S12" s="17">
        <f>SUMIFS(tbl_dados_ambientais[Valor],tbl_dados_ambientais[Mes],A12,tbl_dados_ambientais[Variavel],"AGUA_USO",tbl_dados_ambientais[Processo],"UTL-FRIO")</f>
        <v>432.47</v>
      </c>
      <c r="T12" s="17">
        <f t="shared" si="3"/>
        <v>346</v>
      </c>
      <c r="U12" s="17">
        <f t="shared" si="4"/>
        <v>243.01</v>
      </c>
    </row>
    <row r="13" spans="1:21" ht="18" customHeight="1" x14ac:dyDescent="0.3">
      <c r="A13" s="12">
        <v>46054</v>
      </c>
      <c r="B13" s="13">
        <v>2026</v>
      </c>
      <c r="C13" s="13">
        <v>2</v>
      </c>
      <c r="D13" s="10" t="s">
        <v>365</v>
      </c>
      <c r="E13" s="16">
        <v>11.9</v>
      </c>
      <c r="F13" s="13">
        <v>20</v>
      </c>
      <c r="G13" s="10" t="s">
        <v>351</v>
      </c>
      <c r="H13" s="10" t="s">
        <v>368</v>
      </c>
      <c r="I13" s="17">
        <f>SUMIFS(tbl_dados_ambientais[Valor],tbl_dados_ambientais[Mes],A13,tbl_dados_ambientais[Variavel],"ENE_TOTAL")</f>
        <v>527748.79</v>
      </c>
      <c r="J13" s="15">
        <v>0.1396</v>
      </c>
      <c r="K13" s="18">
        <v>1350</v>
      </c>
      <c r="L13" s="19">
        <f t="shared" si="0"/>
        <v>73674</v>
      </c>
      <c r="M13" s="10" t="s">
        <v>369</v>
      </c>
      <c r="N13" s="17">
        <f>SUMIFS(tbl_dados_ambientais[Valor],tbl_dados_ambientais[Mes],A13,tbl_dados_ambientais[Variavel],"AGUA_TOTAL")</f>
        <v>565.5</v>
      </c>
      <c r="O13" s="20">
        <v>1.71</v>
      </c>
      <c r="P13" s="20">
        <v>1.1100000000000001</v>
      </c>
      <c r="Q13" s="19">
        <f t="shared" si="1"/>
        <v>1595</v>
      </c>
      <c r="R13" s="19">
        <f t="shared" si="2"/>
        <v>140</v>
      </c>
      <c r="S13" s="17">
        <f>SUMIFS(tbl_dados_ambientais[Valor],tbl_dados_ambientais[Mes],A13,tbl_dados_ambientais[Variavel],"AGUA_USO",tbl_dados_ambientais[Processo],"UTL-FRIO")</f>
        <v>415.36</v>
      </c>
      <c r="T13" s="17">
        <f t="shared" si="3"/>
        <v>332</v>
      </c>
      <c r="U13" s="17">
        <f t="shared" si="4"/>
        <v>233.5</v>
      </c>
    </row>
    <row r="14" spans="1:21" ht="18" customHeight="1" x14ac:dyDescent="0.3">
      <c r="A14" s="12">
        <v>46082</v>
      </c>
      <c r="B14" s="13">
        <v>2026</v>
      </c>
      <c r="C14" s="13">
        <v>3</v>
      </c>
      <c r="D14" s="10" t="s">
        <v>365</v>
      </c>
      <c r="E14" s="16">
        <v>13.1</v>
      </c>
      <c r="F14" s="13">
        <v>22</v>
      </c>
      <c r="G14" s="10" t="s">
        <v>351</v>
      </c>
      <c r="H14" s="10" t="s">
        <v>370</v>
      </c>
      <c r="I14" s="17">
        <f>SUMIFS(tbl_dados_ambientais[Valor],tbl_dados_ambientais[Mes],A14,tbl_dados_ambientais[Variavel],"ENE_TOTAL")</f>
        <v>590162.4</v>
      </c>
      <c r="J14" s="15">
        <v>0.1399</v>
      </c>
      <c r="K14" s="18">
        <v>1350</v>
      </c>
      <c r="L14" s="19">
        <f t="shared" si="0"/>
        <v>82564</v>
      </c>
      <c r="M14" s="10" t="s">
        <v>371</v>
      </c>
      <c r="N14" s="17">
        <f>SUMIFS(tbl_dados_ambientais[Valor],tbl_dados_ambientais[Mes],A14,tbl_dados_ambientais[Variavel],"AGUA_TOTAL")</f>
        <v>714.87</v>
      </c>
      <c r="O14" s="20">
        <v>1.71</v>
      </c>
      <c r="P14" s="20">
        <v>1.1100000000000001</v>
      </c>
      <c r="Q14" s="19">
        <f t="shared" si="1"/>
        <v>2016</v>
      </c>
      <c r="R14" s="19">
        <f t="shared" si="2"/>
        <v>140</v>
      </c>
      <c r="S14" s="17">
        <f>SUMIFS(tbl_dados_ambientais[Valor],tbl_dados_ambientais[Mes],A14,tbl_dados_ambientais[Variavel],"AGUA_USO",tbl_dados_ambientais[Processo],"UTL-FRIO")</f>
        <v>546.88</v>
      </c>
      <c r="T14" s="17">
        <f t="shared" si="3"/>
        <v>438</v>
      </c>
      <c r="U14" s="17">
        <f t="shared" si="4"/>
        <v>276.87</v>
      </c>
    </row>
    <row r="15" spans="1:21" ht="18" customHeight="1" x14ac:dyDescent="0.3">
      <c r="A15" s="12">
        <v>46113</v>
      </c>
      <c r="B15" s="13">
        <v>2026</v>
      </c>
      <c r="C15" s="13">
        <v>4</v>
      </c>
      <c r="D15" s="10" t="s">
        <v>372</v>
      </c>
      <c r="E15" s="16">
        <v>14.9</v>
      </c>
      <c r="F15" s="13">
        <v>20</v>
      </c>
      <c r="G15" s="10" t="s">
        <v>351</v>
      </c>
      <c r="H15" s="10" t="s">
        <v>373</v>
      </c>
      <c r="I15" s="17">
        <f>SUMIFS(tbl_dados_ambientais[Valor],tbl_dados_ambientais[Mes],A15,tbl_dados_ambientais[Variavel],"ENE_TOTAL")</f>
        <v>554352.38</v>
      </c>
      <c r="J15" s="15">
        <v>0.1313</v>
      </c>
      <c r="K15" s="18">
        <v>1350</v>
      </c>
      <c r="L15" s="19">
        <f t="shared" si="0"/>
        <v>72786</v>
      </c>
      <c r="M15" s="10" t="s">
        <v>374</v>
      </c>
      <c r="N15" s="17">
        <f>SUMIFS(tbl_dados_ambientais[Valor],tbl_dados_ambientais[Mes],A15,tbl_dados_ambientais[Variavel],"AGUA_TOTAL")</f>
        <v>673.72</v>
      </c>
      <c r="O15" s="20">
        <v>1.71</v>
      </c>
      <c r="P15" s="20">
        <v>1.1100000000000001</v>
      </c>
      <c r="Q15" s="19">
        <f t="shared" si="1"/>
        <v>1900</v>
      </c>
      <c r="R15" s="19">
        <f t="shared" si="2"/>
        <v>131</v>
      </c>
      <c r="S15" s="17">
        <f>SUMIFS(tbl_dados_ambientais[Valor],tbl_dados_ambientais[Mes],A15,tbl_dados_ambientais[Variavel],"AGUA_USO",tbl_dados_ambientais[Processo],"UTL-FRIO")</f>
        <v>531.54999999999995</v>
      </c>
      <c r="T15" s="17">
        <f t="shared" si="3"/>
        <v>425</v>
      </c>
      <c r="U15" s="17">
        <f t="shared" si="4"/>
        <v>248.72000000000003</v>
      </c>
    </row>
    <row r="16" spans="1:21" ht="18" customHeight="1" x14ac:dyDescent="0.3">
      <c r="A16" s="12">
        <v>46143</v>
      </c>
      <c r="B16" s="13">
        <v>2026</v>
      </c>
      <c r="C16" s="13">
        <v>5</v>
      </c>
      <c r="D16" s="10" t="s">
        <v>372</v>
      </c>
      <c r="E16" s="16">
        <v>17.600000000000001</v>
      </c>
      <c r="F16" s="13">
        <v>20</v>
      </c>
      <c r="G16" s="10" t="s">
        <v>351</v>
      </c>
      <c r="H16" s="10" t="s">
        <v>375</v>
      </c>
      <c r="I16" s="17">
        <f>SUMIFS(tbl_dados_ambientais[Valor],tbl_dados_ambientais[Mes],A16,tbl_dados_ambientais[Variavel],"ENE_TOTAL")</f>
        <v>588371.46</v>
      </c>
      <c r="J16" s="15">
        <v>0.12509999999999999</v>
      </c>
      <c r="K16" s="18">
        <v>1350</v>
      </c>
      <c r="L16" s="19">
        <f t="shared" si="0"/>
        <v>73605</v>
      </c>
      <c r="M16" s="10" t="s">
        <v>376</v>
      </c>
      <c r="N16" s="17">
        <f>SUMIFS(tbl_dados_ambientais[Valor],tbl_dados_ambientais[Mes],A16,tbl_dados_ambientais[Variavel],"AGUA_TOTAL")</f>
        <v>800.63</v>
      </c>
      <c r="O16" s="20">
        <v>1.71</v>
      </c>
      <c r="P16" s="20">
        <v>1.1100000000000001</v>
      </c>
      <c r="Q16" s="19">
        <f t="shared" si="1"/>
        <v>2258</v>
      </c>
      <c r="R16" s="19">
        <f t="shared" si="2"/>
        <v>125</v>
      </c>
      <c r="S16" s="17">
        <f>SUMIFS(tbl_dados_ambientais[Valor],tbl_dados_ambientais[Mes],A16,tbl_dados_ambientais[Variavel],"AGUA_USO",tbl_dados_ambientais[Processo],"UTL-FRIO")</f>
        <v>652.59</v>
      </c>
      <c r="T16" s="17">
        <f t="shared" si="3"/>
        <v>522</v>
      </c>
      <c r="U16" s="17">
        <f t="shared" si="4"/>
        <v>278.63</v>
      </c>
    </row>
    <row r="17" spans="1:21" ht="18" customHeight="1" x14ac:dyDescent="0.3">
      <c r="A17" s="12">
        <v>46174</v>
      </c>
      <c r="B17" s="13">
        <v>2026</v>
      </c>
      <c r="C17" s="13">
        <v>6</v>
      </c>
      <c r="D17" s="10" t="s">
        <v>372</v>
      </c>
      <c r="E17" s="16">
        <v>21.3</v>
      </c>
      <c r="F17" s="13">
        <v>20</v>
      </c>
      <c r="G17" s="10" t="s">
        <v>351</v>
      </c>
      <c r="H17" s="10" t="s">
        <v>377</v>
      </c>
      <c r="I17" s="17">
        <f>SUMIFS(tbl_dados_ambientais[Valor],tbl_dados_ambientais[Mes],A17,tbl_dados_ambientais[Variavel],"ENE_TOTAL")</f>
        <v>568978.72</v>
      </c>
      <c r="J17" s="15">
        <v>0.1186</v>
      </c>
      <c r="K17" s="18">
        <v>1350</v>
      </c>
      <c r="L17" s="19">
        <f t="shared" si="0"/>
        <v>67481</v>
      </c>
      <c r="M17" s="10" t="s">
        <v>378</v>
      </c>
      <c r="N17" s="17">
        <f>SUMIFS(tbl_dados_ambientais[Valor],tbl_dados_ambientais[Mes],A17,tbl_dados_ambientais[Variavel],"AGUA_TOTAL")</f>
        <v>859.14</v>
      </c>
      <c r="O17" s="20">
        <v>1.71</v>
      </c>
      <c r="P17" s="20">
        <v>1.1100000000000001</v>
      </c>
      <c r="Q17" s="19">
        <f t="shared" si="1"/>
        <v>2423</v>
      </c>
      <c r="R17" s="19">
        <f t="shared" si="2"/>
        <v>119</v>
      </c>
      <c r="S17" s="17">
        <f>SUMIFS(tbl_dados_ambientais[Valor],tbl_dados_ambientais[Mes],A17,tbl_dados_ambientais[Variavel],"AGUA_USO",tbl_dados_ambientais[Processo],"UTL-FRIO")</f>
        <v>708.61</v>
      </c>
      <c r="T17" s="17">
        <f t="shared" si="3"/>
        <v>567</v>
      </c>
      <c r="U17" s="17">
        <f t="shared" si="4"/>
        <v>292.14</v>
      </c>
    </row>
    <row r="18" spans="1:21" ht="18" customHeight="1" x14ac:dyDescent="0.3">
      <c r="A18" s="12">
        <v>46204</v>
      </c>
      <c r="B18" s="13">
        <v>2026</v>
      </c>
      <c r="C18" s="13">
        <v>7</v>
      </c>
      <c r="D18" s="10" t="s">
        <v>379</v>
      </c>
      <c r="E18" s="16">
        <v>23.3</v>
      </c>
      <c r="F18" s="13">
        <v>23</v>
      </c>
      <c r="G18" s="10" t="s">
        <v>351</v>
      </c>
      <c r="H18" s="10" t="s">
        <v>380</v>
      </c>
      <c r="I18" s="17">
        <f>SUMIFS(tbl_dados_ambientais[Valor],tbl_dados_ambientais[Mes],A18,tbl_dados_ambientais[Variavel],"ENE_TOTAL")</f>
        <v>727698.42</v>
      </c>
      <c r="J18" s="15">
        <v>0.1168</v>
      </c>
      <c r="K18" s="18">
        <v>1350</v>
      </c>
      <c r="L18" s="19">
        <f t="shared" si="0"/>
        <v>84995</v>
      </c>
      <c r="M18" s="10" t="s">
        <v>381</v>
      </c>
      <c r="N18" s="17">
        <f>SUMIFS(tbl_dados_ambientais[Valor],tbl_dados_ambientais[Mes],A18,tbl_dados_ambientais[Variavel],"AGUA_TOTAL")</f>
        <v>1093.08</v>
      </c>
      <c r="O18" s="20">
        <v>1.71</v>
      </c>
      <c r="P18" s="20">
        <v>1.1100000000000001</v>
      </c>
      <c r="Q18" s="19">
        <f t="shared" si="1"/>
        <v>3082</v>
      </c>
      <c r="R18" s="19">
        <f t="shared" si="2"/>
        <v>117</v>
      </c>
      <c r="S18" s="17">
        <f>SUMIFS(tbl_dados_ambientais[Valor],tbl_dados_ambientais[Mes],A18,tbl_dados_ambientais[Variavel],"AGUA_USO",tbl_dados_ambientais[Processo],"UTL-FRIO")</f>
        <v>936.62</v>
      </c>
      <c r="T18" s="17">
        <f t="shared" si="3"/>
        <v>749</v>
      </c>
      <c r="U18" s="17">
        <f t="shared" si="4"/>
        <v>344.07999999999993</v>
      </c>
    </row>
    <row r="19" spans="1:21" ht="18" customHeight="1" x14ac:dyDescent="0.3">
      <c r="A19" s="12">
        <v>46235</v>
      </c>
      <c r="B19" s="13">
        <v>2026</v>
      </c>
      <c r="C19" s="13">
        <v>8</v>
      </c>
      <c r="D19" s="10" t="s">
        <v>379</v>
      </c>
      <c r="E19" s="16">
        <v>24</v>
      </c>
      <c r="F19" s="13">
        <v>21</v>
      </c>
      <c r="G19" s="10" t="s">
        <v>351</v>
      </c>
      <c r="H19" s="10" t="s">
        <v>382</v>
      </c>
      <c r="I19" s="17">
        <f>SUMIFS(tbl_dados_ambientais[Valor],tbl_dados_ambientais[Mes],A19,tbl_dados_ambientais[Variavel],"ENE_TOTAL")</f>
        <v>804829.55</v>
      </c>
      <c r="J19" s="15">
        <v>0.12189999999999999</v>
      </c>
      <c r="K19" s="18">
        <v>1350</v>
      </c>
      <c r="L19" s="19">
        <f t="shared" si="0"/>
        <v>98109</v>
      </c>
      <c r="M19" s="10" t="s">
        <v>383</v>
      </c>
      <c r="N19" s="17">
        <f>SUMIFS(tbl_dados_ambientais[Valor],tbl_dados_ambientais[Mes],A19,tbl_dados_ambientais[Variavel],"AGUA_TOTAL")</f>
        <v>1223.1199999999999</v>
      </c>
      <c r="O19" s="20">
        <v>1.71</v>
      </c>
      <c r="P19" s="20">
        <v>1.1100000000000001</v>
      </c>
      <c r="Q19" s="19">
        <f t="shared" si="1"/>
        <v>3449</v>
      </c>
      <c r="R19" s="19">
        <f t="shared" si="2"/>
        <v>122</v>
      </c>
      <c r="S19" s="17">
        <f>SUMIFS(tbl_dados_ambientais[Valor],tbl_dados_ambientais[Mes],A19,tbl_dados_ambientais[Variavel],"AGUA_USO",tbl_dados_ambientais[Processo],"UTL-FRIO")</f>
        <v>1071.1600000000001</v>
      </c>
      <c r="T19" s="17">
        <f t="shared" si="3"/>
        <v>857</v>
      </c>
      <c r="U19" s="17">
        <f t="shared" si="4"/>
        <v>366.11999999999989</v>
      </c>
    </row>
    <row r="20" spans="1:21" ht="18" customHeight="1" x14ac:dyDescent="0.3">
      <c r="A20" s="12">
        <v>46266</v>
      </c>
      <c r="B20" s="13">
        <v>2026</v>
      </c>
      <c r="C20" s="13">
        <v>9</v>
      </c>
      <c r="D20" s="10" t="s">
        <v>379</v>
      </c>
      <c r="E20" s="16">
        <v>21.6</v>
      </c>
      <c r="F20" s="13">
        <v>22</v>
      </c>
      <c r="G20" s="10" t="s">
        <v>351</v>
      </c>
      <c r="H20" s="10" t="s">
        <v>384</v>
      </c>
      <c r="I20" s="17">
        <f>SUMIFS(tbl_dados_ambientais[Valor],tbl_dados_ambientais[Mes],A20,tbl_dados_ambientais[Variavel],"ENE_TOTAL")</f>
        <v>736636.48</v>
      </c>
      <c r="J20" s="15">
        <v>0.12529999999999999</v>
      </c>
      <c r="K20" s="18">
        <v>1350</v>
      </c>
      <c r="L20" s="19">
        <f t="shared" si="0"/>
        <v>92301</v>
      </c>
      <c r="M20" s="10" t="s">
        <v>385</v>
      </c>
      <c r="N20" s="17">
        <f>SUMIFS(tbl_dados_ambientais[Valor],tbl_dados_ambientais[Mes],A20,tbl_dados_ambientais[Variavel],"AGUA_TOTAL")</f>
        <v>1106.72</v>
      </c>
      <c r="O20" s="20">
        <v>1.71</v>
      </c>
      <c r="P20" s="20">
        <v>1.1100000000000001</v>
      </c>
      <c r="Q20" s="19">
        <f t="shared" si="1"/>
        <v>3121</v>
      </c>
      <c r="R20" s="19">
        <f t="shared" si="2"/>
        <v>125</v>
      </c>
      <c r="S20" s="17">
        <f>SUMIFS(tbl_dados_ambientais[Valor],tbl_dados_ambientais[Mes],A20,tbl_dados_ambientais[Variavel],"AGUA_USO",tbl_dados_ambientais[Processo],"UTL-FRIO")</f>
        <v>939.52</v>
      </c>
      <c r="T20" s="17">
        <f t="shared" si="3"/>
        <v>752</v>
      </c>
      <c r="U20" s="17">
        <f t="shared" si="4"/>
        <v>354.72</v>
      </c>
    </row>
    <row r="21" spans="1:21" ht="18" customHeight="1" x14ac:dyDescent="0.3">
      <c r="A21" s="12">
        <v>46296</v>
      </c>
      <c r="B21" s="13">
        <v>2026</v>
      </c>
      <c r="C21" s="13">
        <v>10</v>
      </c>
      <c r="D21" s="10" t="s">
        <v>386</v>
      </c>
      <c r="E21" s="16">
        <v>18.2</v>
      </c>
      <c r="F21" s="13">
        <v>21</v>
      </c>
      <c r="G21" s="10" t="s">
        <v>351</v>
      </c>
      <c r="H21" s="10" t="s">
        <v>387</v>
      </c>
      <c r="I21" s="17">
        <f>SUMIFS(tbl_dados_ambientais[Valor],tbl_dados_ambientais[Mes],A21,tbl_dados_ambientais[Variavel],"ENE_TOTAL")</f>
        <v>741702.88</v>
      </c>
      <c r="J21" s="15">
        <v>0.12989999999999999</v>
      </c>
      <c r="K21" s="18">
        <v>1350</v>
      </c>
      <c r="L21" s="19">
        <f t="shared" si="0"/>
        <v>96347</v>
      </c>
      <c r="M21" s="10" t="s">
        <v>388</v>
      </c>
      <c r="N21" s="17">
        <f>SUMIFS(tbl_dados_ambientais[Valor],tbl_dados_ambientais[Mes],A21,tbl_dados_ambientais[Variavel],"AGUA_TOTAL")</f>
        <v>1031.27</v>
      </c>
      <c r="O21" s="20">
        <v>1.71</v>
      </c>
      <c r="P21" s="20">
        <v>1.1100000000000001</v>
      </c>
      <c r="Q21" s="19">
        <f t="shared" si="1"/>
        <v>2908</v>
      </c>
      <c r="R21" s="19">
        <f t="shared" si="2"/>
        <v>130</v>
      </c>
      <c r="S21" s="17">
        <f>SUMIFS(tbl_dados_ambientais[Valor],tbl_dados_ambientais[Mes],A21,tbl_dados_ambientais[Variavel],"AGUA_USO",tbl_dados_ambientais[Processo],"UTL-FRIO")</f>
        <v>874.49</v>
      </c>
      <c r="T21" s="17">
        <f t="shared" si="3"/>
        <v>700</v>
      </c>
      <c r="U21" s="17">
        <f t="shared" si="4"/>
        <v>331.27</v>
      </c>
    </row>
    <row r="22" spans="1:21" ht="18" customHeight="1" x14ac:dyDescent="0.3">
      <c r="A22" s="12">
        <v>46327</v>
      </c>
      <c r="B22" s="13">
        <v>2026</v>
      </c>
      <c r="C22" s="13">
        <v>11</v>
      </c>
      <c r="D22" s="10" t="s">
        <v>386</v>
      </c>
      <c r="E22" s="16">
        <v>13.8</v>
      </c>
      <c r="F22" s="13">
        <v>21</v>
      </c>
      <c r="G22" s="10" t="s">
        <v>351</v>
      </c>
      <c r="H22" s="10" t="s">
        <v>389</v>
      </c>
      <c r="I22" s="17">
        <f>SUMIFS(tbl_dados_ambientais[Valor],tbl_dados_ambientais[Mes],A22,tbl_dados_ambientais[Variavel],"ENE_TOTAL")</f>
        <v>697660.72</v>
      </c>
      <c r="J22" s="15">
        <v>0.13719999999999999</v>
      </c>
      <c r="K22" s="18">
        <v>1350</v>
      </c>
      <c r="L22" s="19">
        <f t="shared" si="0"/>
        <v>95719</v>
      </c>
      <c r="M22" s="10" t="s">
        <v>390</v>
      </c>
      <c r="N22" s="17">
        <f>SUMIFS(tbl_dados_ambientais[Valor],tbl_dados_ambientais[Mes],A22,tbl_dados_ambientais[Variavel],"AGUA_TOTAL")</f>
        <v>820.48</v>
      </c>
      <c r="O22" s="20">
        <v>1.71</v>
      </c>
      <c r="P22" s="20">
        <v>1.1100000000000001</v>
      </c>
      <c r="Q22" s="19">
        <f t="shared" si="1"/>
        <v>2314</v>
      </c>
      <c r="R22" s="19">
        <f t="shared" si="2"/>
        <v>137</v>
      </c>
      <c r="S22" s="17">
        <f>SUMIFS(tbl_dados_ambientais[Valor],tbl_dados_ambientais[Mes],A22,tbl_dados_ambientais[Variavel],"AGUA_USO",tbl_dados_ambientais[Processo],"UTL-FRIO")</f>
        <v>666.44</v>
      </c>
      <c r="T22" s="17">
        <f t="shared" si="3"/>
        <v>533</v>
      </c>
      <c r="U22" s="17">
        <f t="shared" si="4"/>
        <v>287.48</v>
      </c>
    </row>
    <row r="23" spans="1:21" ht="18" customHeight="1" x14ac:dyDescent="0.3">
      <c r="A23" s="12">
        <v>46357</v>
      </c>
      <c r="B23" s="13">
        <v>2026</v>
      </c>
      <c r="C23" s="13">
        <v>12</v>
      </c>
      <c r="D23" s="10" t="s">
        <v>386</v>
      </c>
      <c r="E23" s="16">
        <v>11.1</v>
      </c>
      <c r="F23" s="13">
        <v>20</v>
      </c>
      <c r="G23" s="10" t="s">
        <v>351</v>
      </c>
      <c r="H23" s="10" t="s">
        <v>391</v>
      </c>
      <c r="I23" s="17">
        <f>SUMIFS(tbl_dados_ambientais[Valor],tbl_dados_ambientais[Mes],A23,tbl_dados_ambientais[Variavel],"ENE_TOTAL")</f>
        <v>675973.18</v>
      </c>
      <c r="J23" s="15">
        <v>0.1368</v>
      </c>
      <c r="K23" s="18">
        <v>1350</v>
      </c>
      <c r="L23" s="19">
        <f t="shared" si="0"/>
        <v>92473</v>
      </c>
      <c r="M23" s="10" t="s">
        <v>392</v>
      </c>
      <c r="N23" s="17">
        <f>SUMIFS(tbl_dados_ambientais[Valor],tbl_dados_ambientais[Mes],A23,tbl_dados_ambientais[Variavel],"AGUA_TOTAL")</f>
        <v>701.33</v>
      </c>
      <c r="O23" s="20">
        <v>1.71</v>
      </c>
      <c r="P23" s="20">
        <v>1.1100000000000001</v>
      </c>
      <c r="Q23" s="19">
        <f t="shared" si="1"/>
        <v>1978</v>
      </c>
      <c r="R23" s="19">
        <f t="shared" si="2"/>
        <v>137</v>
      </c>
      <c r="S23" s="17">
        <f>SUMIFS(tbl_dados_ambientais[Valor],tbl_dados_ambientais[Mes],A23,tbl_dados_ambientais[Variavel],"AGUA_USO",tbl_dados_ambientais[Processo],"UTL-FRIO")</f>
        <v>554.61</v>
      </c>
      <c r="T23" s="17">
        <f t="shared" si="3"/>
        <v>444</v>
      </c>
      <c r="U23" s="17">
        <f t="shared" si="4"/>
        <v>257.33000000000004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89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8" customWidth="1"/>
    <col min="3" max="3" width="12" customWidth="1"/>
    <col min="4" max="5" width="10" customWidth="1"/>
    <col min="6" max="6" width="8" customWidth="1"/>
    <col min="7" max="7" width="9" customWidth="1"/>
    <col min="8" max="8" width="36" customWidth="1"/>
  </cols>
  <sheetData>
    <row r="1" spans="1:8" ht="26.4" x14ac:dyDescent="0.3">
      <c r="A1" s="8" t="s">
        <v>318</v>
      </c>
      <c r="B1" s="8" t="s">
        <v>393</v>
      </c>
      <c r="C1" s="8" t="s">
        <v>394</v>
      </c>
      <c r="D1" s="8" t="s">
        <v>395</v>
      </c>
      <c r="E1" s="8" t="s">
        <v>396</v>
      </c>
      <c r="F1" s="8" t="s">
        <v>397</v>
      </c>
      <c r="G1" s="9" t="s">
        <v>398</v>
      </c>
      <c r="H1" s="8" t="s">
        <v>399</v>
      </c>
    </row>
    <row r="2" spans="1:8" ht="26.4" x14ac:dyDescent="0.3">
      <c r="A2" s="12">
        <v>45717</v>
      </c>
      <c r="B2" s="10" t="s">
        <v>400</v>
      </c>
      <c r="C2" s="18">
        <v>622911</v>
      </c>
      <c r="D2" s="18">
        <v>19932</v>
      </c>
      <c r="E2" s="18">
        <v>1330</v>
      </c>
      <c r="F2" s="18">
        <v>0</v>
      </c>
      <c r="G2" s="21">
        <f t="shared" ref="G2:G33" si="0">IF(C2=0,"",D2/C2)</f>
        <v>3.1998150618627701E-2</v>
      </c>
      <c r="H2" s="10" t="s">
        <v>401</v>
      </c>
    </row>
    <row r="3" spans="1:8" ht="26.4" x14ac:dyDescent="0.3">
      <c r="A3" s="12">
        <v>45717</v>
      </c>
      <c r="B3" s="10" t="s">
        <v>402</v>
      </c>
      <c r="C3" s="18">
        <v>3127150</v>
      </c>
      <c r="D3" s="18">
        <v>73603</v>
      </c>
      <c r="E3" s="18">
        <v>3398.2</v>
      </c>
      <c r="F3" s="18">
        <v>40</v>
      </c>
      <c r="G3" s="21">
        <f t="shared" si="0"/>
        <v>2.35367667045073E-2</v>
      </c>
      <c r="H3" s="10" t="s">
        <v>401</v>
      </c>
    </row>
    <row r="4" spans="1:8" ht="26.4" x14ac:dyDescent="0.3">
      <c r="A4" s="12">
        <v>45717</v>
      </c>
      <c r="B4" s="10" t="s">
        <v>403</v>
      </c>
      <c r="C4" s="18">
        <v>373701</v>
      </c>
      <c r="D4" s="18">
        <v>8279</v>
      </c>
      <c r="E4" s="18">
        <v>745.8</v>
      </c>
      <c r="F4" s="18">
        <v>0</v>
      </c>
      <c r="G4" s="21">
        <f t="shared" si="0"/>
        <v>2.2154075049304122E-2</v>
      </c>
      <c r="H4" s="10" t="s">
        <v>401</v>
      </c>
    </row>
    <row r="5" spans="1:8" ht="26.4" x14ac:dyDescent="0.3">
      <c r="A5" s="12">
        <v>45717</v>
      </c>
      <c r="B5" s="10" t="s">
        <v>404</v>
      </c>
      <c r="C5" s="18">
        <v>2074828</v>
      </c>
      <c r="D5" s="18">
        <v>47637</v>
      </c>
      <c r="E5" s="18">
        <v>4230.2</v>
      </c>
      <c r="F5" s="18">
        <v>140</v>
      </c>
      <c r="G5" s="21">
        <f t="shared" si="0"/>
        <v>2.2959493509823466E-2</v>
      </c>
      <c r="H5" s="10" t="s">
        <v>401</v>
      </c>
    </row>
    <row r="6" spans="1:8" ht="26.4" x14ac:dyDescent="0.3">
      <c r="A6" s="12">
        <v>45748</v>
      </c>
      <c r="B6" s="10" t="s">
        <v>400</v>
      </c>
      <c r="C6" s="18">
        <v>532950</v>
      </c>
      <c r="D6" s="18">
        <v>17717</v>
      </c>
      <c r="E6" s="18">
        <v>1137.9000000000001</v>
      </c>
      <c r="F6" s="18">
        <v>0</v>
      </c>
      <c r="G6" s="21">
        <f t="shared" si="0"/>
        <v>3.324326859930575E-2</v>
      </c>
      <c r="H6" s="10" t="s">
        <v>401</v>
      </c>
    </row>
    <row r="7" spans="1:8" ht="26.4" x14ac:dyDescent="0.3">
      <c r="A7" s="12">
        <v>45748</v>
      </c>
      <c r="B7" s="10" t="s">
        <v>402</v>
      </c>
      <c r="C7" s="18">
        <v>2949838</v>
      </c>
      <c r="D7" s="18">
        <v>63947</v>
      </c>
      <c r="E7" s="18">
        <v>3205.5</v>
      </c>
      <c r="F7" s="18">
        <v>38</v>
      </c>
      <c r="G7" s="21">
        <f t="shared" si="0"/>
        <v>2.1678139613090616E-2</v>
      </c>
      <c r="H7" s="10" t="s">
        <v>401</v>
      </c>
    </row>
    <row r="8" spans="1:8" ht="26.4" x14ac:dyDescent="0.3">
      <c r="A8" s="12">
        <v>45748</v>
      </c>
      <c r="B8" s="10" t="s">
        <v>403</v>
      </c>
      <c r="C8" s="18">
        <v>352528</v>
      </c>
      <c r="D8" s="18">
        <v>8115</v>
      </c>
      <c r="E8" s="18">
        <v>703.6</v>
      </c>
      <c r="F8" s="18">
        <v>0</v>
      </c>
      <c r="G8" s="21">
        <f t="shared" si="0"/>
        <v>2.301944810057641E-2</v>
      </c>
      <c r="H8" s="10" t="s">
        <v>401</v>
      </c>
    </row>
    <row r="9" spans="1:8" ht="26.4" x14ac:dyDescent="0.3">
      <c r="A9" s="12">
        <v>45748</v>
      </c>
      <c r="B9" s="10" t="s">
        <v>404</v>
      </c>
      <c r="C9" s="18">
        <v>1917166</v>
      </c>
      <c r="D9" s="18">
        <v>43191</v>
      </c>
      <c r="E9" s="18">
        <v>3908.8</v>
      </c>
      <c r="F9" s="18">
        <v>129</v>
      </c>
      <c r="G9" s="21">
        <f t="shared" si="0"/>
        <v>2.2528565601518075E-2</v>
      </c>
      <c r="H9" s="10" t="s">
        <v>401</v>
      </c>
    </row>
    <row r="10" spans="1:8" ht="26.4" x14ac:dyDescent="0.3">
      <c r="A10" s="12">
        <v>45778</v>
      </c>
      <c r="B10" s="10" t="s">
        <v>400</v>
      </c>
      <c r="C10" s="18">
        <v>583006</v>
      </c>
      <c r="D10" s="18">
        <v>20556</v>
      </c>
      <c r="E10" s="18">
        <v>1244.8</v>
      </c>
      <c r="F10" s="18">
        <v>0</v>
      </c>
      <c r="G10" s="21">
        <f t="shared" si="0"/>
        <v>3.5258642278124065E-2</v>
      </c>
      <c r="H10" s="10" t="s">
        <v>401</v>
      </c>
    </row>
    <row r="11" spans="1:8" ht="26.4" x14ac:dyDescent="0.3">
      <c r="A11" s="12">
        <v>45778</v>
      </c>
      <c r="B11" s="10" t="s">
        <v>402</v>
      </c>
      <c r="C11" s="18">
        <v>3081721</v>
      </c>
      <c r="D11" s="18">
        <v>70133</v>
      </c>
      <c r="E11" s="18">
        <v>3348.8</v>
      </c>
      <c r="F11" s="18">
        <v>39</v>
      </c>
      <c r="G11" s="21">
        <f t="shared" si="0"/>
        <v>2.2757738289741349E-2</v>
      </c>
      <c r="H11" s="10" t="s">
        <v>401</v>
      </c>
    </row>
    <row r="12" spans="1:8" ht="26.4" x14ac:dyDescent="0.3">
      <c r="A12" s="12">
        <v>45778</v>
      </c>
      <c r="B12" s="10" t="s">
        <v>403</v>
      </c>
      <c r="C12" s="18">
        <v>376251</v>
      </c>
      <c r="D12" s="18">
        <v>8782</v>
      </c>
      <c r="E12" s="18">
        <v>750.9</v>
      </c>
      <c r="F12" s="18">
        <v>0</v>
      </c>
      <c r="G12" s="21">
        <f t="shared" si="0"/>
        <v>2.3340801752021922E-2</v>
      </c>
      <c r="H12" s="10" t="s">
        <v>401</v>
      </c>
    </row>
    <row r="13" spans="1:8" ht="26.4" x14ac:dyDescent="0.3">
      <c r="A13" s="12">
        <v>45778</v>
      </c>
      <c r="B13" s="10" t="s">
        <v>404</v>
      </c>
      <c r="C13" s="18">
        <v>1948876</v>
      </c>
      <c r="D13" s="18">
        <v>42207</v>
      </c>
      <c r="E13" s="18">
        <v>3973.4</v>
      </c>
      <c r="F13" s="18">
        <v>132</v>
      </c>
      <c r="G13" s="21">
        <f t="shared" si="0"/>
        <v>2.1657098758463854E-2</v>
      </c>
      <c r="H13" s="10" t="s">
        <v>401</v>
      </c>
    </row>
    <row r="14" spans="1:8" ht="26.4" x14ac:dyDescent="0.3">
      <c r="A14" s="12">
        <v>45809</v>
      </c>
      <c r="B14" s="10" t="s">
        <v>400</v>
      </c>
      <c r="C14" s="18">
        <v>521560</v>
      </c>
      <c r="D14" s="18">
        <v>18019</v>
      </c>
      <c r="E14" s="18">
        <v>1113.5999999999999</v>
      </c>
      <c r="F14" s="18">
        <v>0</v>
      </c>
      <c r="G14" s="21">
        <f t="shared" si="0"/>
        <v>3.4548278242196487E-2</v>
      </c>
      <c r="H14" s="10" t="s">
        <v>401</v>
      </c>
    </row>
    <row r="15" spans="1:8" ht="26.4" x14ac:dyDescent="0.3">
      <c r="A15" s="12">
        <v>45809</v>
      </c>
      <c r="B15" s="10" t="s">
        <v>402</v>
      </c>
      <c r="C15" s="18">
        <v>2676526</v>
      </c>
      <c r="D15" s="18">
        <v>60398</v>
      </c>
      <c r="E15" s="18">
        <v>2908.5</v>
      </c>
      <c r="F15" s="18">
        <v>34</v>
      </c>
      <c r="G15" s="21">
        <f t="shared" si="0"/>
        <v>2.2565818527449388E-2</v>
      </c>
      <c r="H15" s="10" t="s">
        <v>401</v>
      </c>
    </row>
    <row r="16" spans="1:8" ht="26.4" x14ac:dyDescent="0.3">
      <c r="A16" s="12">
        <v>45809</v>
      </c>
      <c r="B16" s="10" t="s">
        <v>403</v>
      </c>
      <c r="C16" s="18">
        <v>336762</v>
      </c>
      <c r="D16" s="18">
        <v>7609</v>
      </c>
      <c r="E16" s="18">
        <v>672.1</v>
      </c>
      <c r="F16" s="18">
        <v>0</v>
      </c>
      <c r="G16" s="21">
        <f t="shared" si="0"/>
        <v>2.2594592026416283E-2</v>
      </c>
      <c r="H16" s="10" t="s">
        <v>401</v>
      </c>
    </row>
    <row r="17" spans="1:8" ht="26.4" x14ac:dyDescent="0.3">
      <c r="A17" s="12">
        <v>45809</v>
      </c>
      <c r="B17" s="10" t="s">
        <v>404</v>
      </c>
      <c r="C17" s="18">
        <v>1867421</v>
      </c>
      <c r="D17" s="18">
        <v>43236</v>
      </c>
      <c r="E17" s="18">
        <v>3807.3</v>
      </c>
      <c r="F17" s="18">
        <v>126</v>
      </c>
      <c r="G17" s="21">
        <f t="shared" si="0"/>
        <v>2.3152786650680268E-2</v>
      </c>
      <c r="H17" s="10" t="s">
        <v>401</v>
      </c>
    </row>
    <row r="18" spans="1:8" x14ac:dyDescent="0.3">
      <c r="A18" s="12">
        <v>45839</v>
      </c>
      <c r="B18" s="10" t="s">
        <v>400</v>
      </c>
      <c r="C18" s="18">
        <v>634114</v>
      </c>
      <c r="D18" s="18">
        <v>20737</v>
      </c>
      <c r="E18" s="18">
        <v>1354.2352777777489</v>
      </c>
      <c r="F18" s="18">
        <v>0</v>
      </c>
      <c r="G18" s="21">
        <f t="shared" si="0"/>
        <v>3.2702321664558741E-2</v>
      </c>
      <c r="H18" s="10" t="s">
        <v>405</v>
      </c>
    </row>
    <row r="19" spans="1:8" x14ac:dyDescent="0.3">
      <c r="A19" s="12">
        <v>45839</v>
      </c>
      <c r="B19" s="10" t="s">
        <v>402</v>
      </c>
      <c r="C19" s="18">
        <v>3036460</v>
      </c>
      <c r="D19" s="18">
        <v>65111</v>
      </c>
      <c r="E19" s="18">
        <v>3407.3941666665692</v>
      </c>
      <c r="F19" s="18">
        <v>48</v>
      </c>
      <c r="G19" s="21">
        <f t="shared" si="0"/>
        <v>2.1443061986655514E-2</v>
      </c>
      <c r="H19" s="10" t="s">
        <v>405</v>
      </c>
    </row>
    <row r="20" spans="1:8" x14ac:dyDescent="0.3">
      <c r="A20" s="12">
        <v>45839</v>
      </c>
      <c r="B20" s="10" t="s">
        <v>403</v>
      </c>
      <c r="C20" s="18">
        <v>443480</v>
      </c>
      <c r="D20" s="18">
        <v>10203</v>
      </c>
      <c r="E20" s="18">
        <v>881.93111111108055</v>
      </c>
      <c r="F20" s="18">
        <v>0</v>
      </c>
      <c r="G20" s="21">
        <f t="shared" si="0"/>
        <v>2.3006674483629475E-2</v>
      </c>
      <c r="H20" s="10" t="s">
        <v>405</v>
      </c>
    </row>
    <row r="21" spans="1:8" x14ac:dyDescent="0.3">
      <c r="A21" s="12">
        <v>45839</v>
      </c>
      <c r="B21" s="10" t="s">
        <v>404</v>
      </c>
      <c r="C21" s="18">
        <v>2236614</v>
      </c>
      <c r="D21" s="18">
        <v>51175</v>
      </c>
      <c r="E21" s="18">
        <v>4527.4419444443001</v>
      </c>
      <c r="F21" s="18">
        <v>145</v>
      </c>
      <c r="G21" s="21">
        <f t="shared" si="0"/>
        <v>2.288056857374585E-2</v>
      </c>
      <c r="H21" s="10" t="s">
        <v>405</v>
      </c>
    </row>
    <row r="22" spans="1:8" x14ac:dyDescent="0.3">
      <c r="A22" s="12">
        <v>45870</v>
      </c>
      <c r="B22" s="10" t="s">
        <v>400</v>
      </c>
      <c r="C22" s="18">
        <v>681799</v>
      </c>
      <c r="D22" s="18">
        <v>20899</v>
      </c>
      <c r="E22" s="18">
        <v>1453.283333333279</v>
      </c>
      <c r="F22" s="18">
        <v>0</v>
      </c>
      <c r="G22" s="21">
        <f t="shared" si="0"/>
        <v>3.0652729030110046E-2</v>
      </c>
      <c r="H22" s="10" t="s">
        <v>405</v>
      </c>
    </row>
    <row r="23" spans="1:8" x14ac:dyDescent="0.3">
      <c r="A23" s="12">
        <v>45870</v>
      </c>
      <c r="B23" s="10" t="s">
        <v>402</v>
      </c>
      <c r="C23" s="18">
        <v>3305389</v>
      </c>
      <c r="D23" s="18">
        <v>73534</v>
      </c>
      <c r="E23" s="18">
        <v>3440.7147222221702</v>
      </c>
      <c r="F23" s="18">
        <v>34</v>
      </c>
      <c r="G23" s="21">
        <f t="shared" si="0"/>
        <v>2.2246700766536103E-2</v>
      </c>
      <c r="H23" s="10" t="s">
        <v>405</v>
      </c>
    </row>
    <row r="24" spans="1:8" x14ac:dyDescent="0.3">
      <c r="A24" s="12">
        <v>45870</v>
      </c>
      <c r="B24" s="10" t="s">
        <v>403</v>
      </c>
      <c r="C24" s="18">
        <v>237760</v>
      </c>
      <c r="D24" s="18">
        <v>5351</v>
      </c>
      <c r="E24" s="18">
        <v>480.23472222221108</v>
      </c>
      <c r="F24" s="18">
        <v>0</v>
      </c>
      <c r="G24" s="21">
        <f t="shared" si="0"/>
        <v>2.2505888290713323E-2</v>
      </c>
      <c r="H24" s="10" t="s">
        <v>405</v>
      </c>
    </row>
    <row r="25" spans="1:8" x14ac:dyDescent="0.3">
      <c r="A25" s="12">
        <v>45870</v>
      </c>
      <c r="B25" s="10" t="s">
        <v>404</v>
      </c>
      <c r="C25" s="18">
        <v>2138267</v>
      </c>
      <c r="D25" s="18">
        <v>49261</v>
      </c>
      <c r="E25" s="18">
        <v>4257.8769444443305</v>
      </c>
      <c r="F25" s="18">
        <v>140</v>
      </c>
      <c r="G25" s="21">
        <f t="shared" si="0"/>
        <v>2.3037815202685163E-2</v>
      </c>
      <c r="H25" s="10" t="s">
        <v>405</v>
      </c>
    </row>
    <row r="26" spans="1:8" x14ac:dyDescent="0.3">
      <c r="A26" s="12">
        <v>45901</v>
      </c>
      <c r="B26" s="10" t="s">
        <v>400</v>
      </c>
      <c r="C26" s="18">
        <v>572466</v>
      </c>
      <c r="D26" s="18">
        <v>21821</v>
      </c>
      <c r="E26" s="18">
        <v>1223.689999999965</v>
      </c>
      <c r="F26" s="18">
        <v>0</v>
      </c>
      <c r="G26" s="21">
        <f t="shared" si="0"/>
        <v>3.8117547592346097E-2</v>
      </c>
      <c r="H26" s="10" t="s">
        <v>405</v>
      </c>
    </row>
    <row r="27" spans="1:8" x14ac:dyDescent="0.3">
      <c r="A27" s="12">
        <v>45901</v>
      </c>
      <c r="B27" s="10" t="s">
        <v>402</v>
      </c>
      <c r="C27" s="18">
        <v>3070042</v>
      </c>
      <c r="D27" s="18">
        <v>74793</v>
      </c>
      <c r="E27" s="18">
        <v>3317.4963888887651</v>
      </c>
      <c r="F27" s="18">
        <v>38</v>
      </c>
      <c r="G27" s="21">
        <f t="shared" si="0"/>
        <v>2.4362207422569462E-2</v>
      </c>
      <c r="H27" s="10" t="s">
        <v>405</v>
      </c>
    </row>
    <row r="28" spans="1:8" x14ac:dyDescent="0.3">
      <c r="A28" s="12">
        <v>45901</v>
      </c>
      <c r="B28" s="10" t="s">
        <v>403</v>
      </c>
      <c r="C28" s="18">
        <v>372292</v>
      </c>
      <c r="D28" s="18">
        <v>8495</v>
      </c>
      <c r="E28" s="18">
        <v>718.4547222222252</v>
      </c>
      <c r="F28" s="18">
        <v>0</v>
      </c>
      <c r="G28" s="21">
        <f t="shared" si="0"/>
        <v>2.281811051540189E-2</v>
      </c>
      <c r="H28" s="10" t="s">
        <v>405</v>
      </c>
    </row>
    <row r="29" spans="1:8" x14ac:dyDescent="0.3">
      <c r="A29" s="12">
        <v>45901</v>
      </c>
      <c r="B29" s="10" t="s">
        <v>404</v>
      </c>
      <c r="C29" s="18">
        <v>1992851</v>
      </c>
      <c r="D29" s="18">
        <v>47149</v>
      </c>
      <c r="E29" s="18">
        <v>4102.7924999998932</v>
      </c>
      <c r="F29" s="18">
        <v>141</v>
      </c>
      <c r="G29" s="21">
        <f t="shared" si="0"/>
        <v>2.3659069343367867E-2</v>
      </c>
      <c r="H29" s="10" t="s">
        <v>405</v>
      </c>
    </row>
    <row r="30" spans="1:8" x14ac:dyDescent="0.3">
      <c r="A30" s="12">
        <v>45931</v>
      </c>
      <c r="B30" s="10" t="s">
        <v>400</v>
      </c>
      <c r="C30" s="18">
        <v>550527</v>
      </c>
      <c r="D30" s="18">
        <v>19859</v>
      </c>
      <c r="E30" s="18">
        <v>1165.9527777777389</v>
      </c>
      <c r="F30" s="18">
        <v>0</v>
      </c>
      <c r="G30" s="21">
        <f t="shared" si="0"/>
        <v>3.6072708513842193E-2</v>
      </c>
      <c r="H30" s="10" t="s">
        <v>405</v>
      </c>
    </row>
    <row r="31" spans="1:8" x14ac:dyDescent="0.3">
      <c r="A31" s="12">
        <v>45931</v>
      </c>
      <c r="B31" s="10" t="s">
        <v>402</v>
      </c>
      <c r="C31" s="18">
        <v>3063889</v>
      </c>
      <c r="D31" s="18">
        <v>65383</v>
      </c>
      <c r="E31" s="18">
        <v>3377.8572222221519</v>
      </c>
      <c r="F31" s="18">
        <v>49</v>
      </c>
      <c r="G31" s="21">
        <f t="shared" si="0"/>
        <v>2.1339872299551321E-2</v>
      </c>
      <c r="H31" s="10" t="s">
        <v>405</v>
      </c>
    </row>
    <row r="32" spans="1:8" x14ac:dyDescent="0.3">
      <c r="A32" s="12">
        <v>45931</v>
      </c>
      <c r="B32" s="10" t="s">
        <v>403</v>
      </c>
      <c r="C32" s="18">
        <v>431440</v>
      </c>
      <c r="D32" s="18">
        <v>9597</v>
      </c>
      <c r="E32" s="18">
        <v>875.31611111108589</v>
      </c>
      <c r="F32" s="18">
        <v>0</v>
      </c>
      <c r="G32" s="21">
        <f t="shared" si="0"/>
        <v>2.2244112738735399E-2</v>
      </c>
      <c r="H32" s="10" t="s">
        <v>405</v>
      </c>
    </row>
    <row r="33" spans="1:8" x14ac:dyDescent="0.3">
      <c r="A33" s="12">
        <v>45931</v>
      </c>
      <c r="B33" s="10" t="s">
        <v>404</v>
      </c>
      <c r="C33" s="18">
        <v>2094836</v>
      </c>
      <c r="D33" s="18">
        <v>49125</v>
      </c>
      <c r="E33" s="18">
        <v>4346.1252777776626</v>
      </c>
      <c r="F33" s="18">
        <v>143</v>
      </c>
      <c r="G33" s="21">
        <f t="shared" si="0"/>
        <v>2.3450523095841391E-2</v>
      </c>
      <c r="H33" s="10" t="s">
        <v>405</v>
      </c>
    </row>
    <row r="34" spans="1:8" x14ac:dyDescent="0.3">
      <c r="A34" s="12">
        <v>45962</v>
      </c>
      <c r="B34" s="10" t="s">
        <v>400</v>
      </c>
      <c r="C34" s="18">
        <v>548163</v>
      </c>
      <c r="D34" s="18">
        <v>19974</v>
      </c>
      <c r="E34" s="18">
        <v>1168.5174999999599</v>
      </c>
      <c r="F34" s="18">
        <v>0</v>
      </c>
      <c r="G34" s="21">
        <f t="shared" ref="G34:G65" si="1">IF(C34=0,"",D34/C34)</f>
        <v>3.6438066779406857E-2</v>
      </c>
      <c r="H34" s="10" t="s">
        <v>405</v>
      </c>
    </row>
    <row r="35" spans="1:8" x14ac:dyDescent="0.3">
      <c r="A35" s="12">
        <v>45962</v>
      </c>
      <c r="B35" s="10" t="s">
        <v>402</v>
      </c>
      <c r="C35" s="18">
        <v>2975801</v>
      </c>
      <c r="D35" s="18">
        <v>66875</v>
      </c>
      <c r="E35" s="18">
        <v>3276.4608333332021</v>
      </c>
      <c r="F35" s="18">
        <v>34</v>
      </c>
      <c r="G35" s="21">
        <f t="shared" si="1"/>
        <v>2.2472940898937799E-2</v>
      </c>
      <c r="H35" s="10" t="s">
        <v>405</v>
      </c>
    </row>
    <row r="36" spans="1:8" x14ac:dyDescent="0.3">
      <c r="A36" s="12">
        <v>45962</v>
      </c>
      <c r="B36" s="10" t="s">
        <v>403</v>
      </c>
      <c r="C36" s="18">
        <v>448497</v>
      </c>
      <c r="D36" s="18">
        <v>10168</v>
      </c>
      <c r="E36" s="18">
        <v>886.85944444442805</v>
      </c>
      <c r="F36" s="18">
        <v>0</v>
      </c>
      <c r="G36" s="21">
        <f t="shared" si="1"/>
        <v>2.2671277622815761E-2</v>
      </c>
      <c r="H36" s="10" t="s">
        <v>405</v>
      </c>
    </row>
    <row r="37" spans="1:8" x14ac:dyDescent="0.3">
      <c r="A37" s="12">
        <v>45962</v>
      </c>
      <c r="B37" s="10" t="s">
        <v>404</v>
      </c>
      <c r="C37" s="18">
        <v>1998289</v>
      </c>
      <c r="D37" s="18">
        <v>47049</v>
      </c>
      <c r="E37" s="18">
        <v>4159.2533333332303</v>
      </c>
      <c r="F37" s="18">
        <v>137</v>
      </c>
      <c r="G37" s="21">
        <f t="shared" si="1"/>
        <v>2.3544642441608796E-2</v>
      </c>
      <c r="H37" s="10" t="s">
        <v>405</v>
      </c>
    </row>
    <row r="38" spans="1:8" x14ac:dyDescent="0.3">
      <c r="A38" s="12">
        <v>45992</v>
      </c>
      <c r="B38" s="10" t="s">
        <v>400</v>
      </c>
      <c r="C38" s="18">
        <v>572203</v>
      </c>
      <c r="D38" s="18">
        <v>16639</v>
      </c>
      <c r="E38" s="18">
        <v>1233.925555555543</v>
      </c>
      <c r="F38" s="18">
        <v>0</v>
      </c>
      <c r="G38" s="21">
        <f t="shared" si="1"/>
        <v>2.9078840900869096E-2</v>
      </c>
      <c r="H38" s="10" t="s">
        <v>405</v>
      </c>
    </row>
    <row r="39" spans="1:8" x14ac:dyDescent="0.3">
      <c r="A39" s="12">
        <v>45992</v>
      </c>
      <c r="B39" s="10" t="s">
        <v>402</v>
      </c>
      <c r="C39" s="18">
        <v>3058510</v>
      </c>
      <c r="D39" s="18">
        <v>67692</v>
      </c>
      <c r="E39" s="18">
        <v>3294.5641666665601</v>
      </c>
      <c r="F39" s="18">
        <v>34</v>
      </c>
      <c r="G39" s="21">
        <f t="shared" si="1"/>
        <v>2.2132345488489493E-2</v>
      </c>
      <c r="H39" s="10" t="s">
        <v>405</v>
      </c>
    </row>
    <row r="40" spans="1:8" x14ac:dyDescent="0.3">
      <c r="A40" s="12">
        <v>45992</v>
      </c>
      <c r="B40" s="10" t="s">
        <v>403</v>
      </c>
      <c r="C40" s="18">
        <v>338785</v>
      </c>
      <c r="D40" s="18">
        <v>7785</v>
      </c>
      <c r="E40" s="18">
        <v>692.06333333330861</v>
      </c>
      <c r="F40" s="18">
        <v>0</v>
      </c>
      <c r="G40" s="21">
        <f t="shared" si="1"/>
        <v>2.2979175583334562E-2</v>
      </c>
      <c r="H40" s="10" t="s">
        <v>405</v>
      </c>
    </row>
    <row r="41" spans="1:8" x14ac:dyDescent="0.3">
      <c r="A41" s="12">
        <v>45992</v>
      </c>
      <c r="B41" s="10" t="s">
        <v>404</v>
      </c>
      <c r="C41" s="18">
        <v>2163430</v>
      </c>
      <c r="D41" s="18">
        <v>51111</v>
      </c>
      <c r="E41" s="18">
        <v>4345.2258333332347</v>
      </c>
      <c r="F41" s="18">
        <v>146</v>
      </c>
      <c r="G41" s="21">
        <f t="shared" si="1"/>
        <v>2.3624984399772585E-2</v>
      </c>
      <c r="H41" s="10" t="s">
        <v>405</v>
      </c>
    </row>
    <row r="42" spans="1:8" x14ac:dyDescent="0.3">
      <c r="A42" s="12">
        <v>46023</v>
      </c>
      <c r="B42" s="10" t="s">
        <v>400</v>
      </c>
      <c r="C42" s="18">
        <v>469263</v>
      </c>
      <c r="D42" s="18">
        <v>14291</v>
      </c>
      <c r="E42" s="18">
        <v>998.1694444444139</v>
      </c>
      <c r="F42" s="18">
        <v>0</v>
      </c>
      <c r="G42" s="21">
        <f t="shared" si="1"/>
        <v>3.0454137658413299E-2</v>
      </c>
      <c r="H42" s="10" t="s">
        <v>405</v>
      </c>
    </row>
    <row r="43" spans="1:8" x14ac:dyDescent="0.3">
      <c r="A43" s="12">
        <v>46023</v>
      </c>
      <c r="B43" s="10" t="s">
        <v>402</v>
      </c>
      <c r="C43" s="18">
        <v>3226809</v>
      </c>
      <c r="D43" s="18">
        <v>71781</v>
      </c>
      <c r="E43" s="18">
        <v>3454.066388888798</v>
      </c>
      <c r="F43" s="18">
        <v>37</v>
      </c>
      <c r="G43" s="21">
        <f t="shared" si="1"/>
        <v>2.2245196415406055E-2</v>
      </c>
      <c r="H43" s="10" t="s">
        <v>405</v>
      </c>
    </row>
    <row r="44" spans="1:8" x14ac:dyDescent="0.3">
      <c r="A44" s="12">
        <v>46023</v>
      </c>
      <c r="B44" s="10" t="s">
        <v>403</v>
      </c>
      <c r="C44" s="18">
        <v>296927</v>
      </c>
      <c r="D44" s="18">
        <v>7059</v>
      </c>
      <c r="E44" s="18">
        <v>578.53583333332358</v>
      </c>
      <c r="F44" s="18">
        <v>0</v>
      </c>
      <c r="G44" s="21">
        <f t="shared" si="1"/>
        <v>2.3773520090796727E-2</v>
      </c>
      <c r="H44" s="10" t="s">
        <v>405</v>
      </c>
    </row>
    <row r="45" spans="1:8" x14ac:dyDescent="0.3">
      <c r="A45" s="12">
        <v>46023</v>
      </c>
      <c r="B45" s="10" t="s">
        <v>404</v>
      </c>
      <c r="C45" s="18">
        <v>2045475</v>
      </c>
      <c r="D45" s="18">
        <v>48687</v>
      </c>
      <c r="E45" s="18">
        <v>4280.6286111110203</v>
      </c>
      <c r="F45" s="18">
        <v>136</v>
      </c>
      <c r="G45" s="21">
        <f t="shared" si="1"/>
        <v>2.380229531038023E-2</v>
      </c>
      <c r="H45" s="10" t="s">
        <v>405</v>
      </c>
    </row>
    <row r="46" spans="1:8" x14ac:dyDescent="0.3">
      <c r="A46" s="12">
        <v>46054</v>
      </c>
      <c r="B46" s="10" t="s">
        <v>400</v>
      </c>
      <c r="C46" s="18">
        <v>526979</v>
      </c>
      <c r="D46" s="18">
        <v>16759</v>
      </c>
      <c r="E46" s="18">
        <v>1110.5447222221781</v>
      </c>
      <c r="F46" s="18">
        <v>0</v>
      </c>
      <c r="G46" s="21">
        <f t="shared" si="1"/>
        <v>3.1802026266701332E-2</v>
      </c>
      <c r="H46" s="10" t="s">
        <v>405</v>
      </c>
    </row>
    <row r="47" spans="1:8" x14ac:dyDescent="0.3">
      <c r="A47" s="12">
        <v>46054</v>
      </c>
      <c r="B47" s="10" t="s">
        <v>402</v>
      </c>
      <c r="C47" s="18">
        <v>2776640</v>
      </c>
      <c r="D47" s="18">
        <v>58005</v>
      </c>
      <c r="E47" s="18">
        <v>3055.650555555455</v>
      </c>
      <c r="F47" s="18">
        <v>27</v>
      </c>
      <c r="G47" s="21">
        <f t="shared" si="1"/>
        <v>2.0890356690100264E-2</v>
      </c>
      <c r="H47" s="10" t="s">
        <v>405</v>
      </c>
    </row>
    <row r="48" spans="1:8" x14ac:dyDescent="0.3">
      <c r="A48" s="12">
        <v>46054</v>
      </c>
      <c r="B48" s="10" t="s">
        <v>403</v>
      </c>
      <c r="C48" s="18">
        <v>295268</v>
      </c>
      <c r="D48" s="18">
        <v>6625</v>
      </c>
      <c r="E48" s="18">
        <v>587.81638888886721</v>
      </c>
      <c r="F48" s="18">
        <v>0</v>
      </c>
      <c r="G48" s="21">
        <f t="shared" si="1"/>
        <v>2.2437243453405042E-2</v>
      </c>
      <c r="H48" s="10" t="s">
        <v>405</v>
      </c>
    </row>
    <row r="49" spans="1:8" x14ac:dyDescent="0.3">
      <c r="A49" s="12">
        <v>46054</v>
      </c>
      <c r="B49" s="10" t="s">
        <v>404</v>
      </c>
      <c r="C49" s="18">
        <v>1980694</v>
      </c>
      <c r="D49" s="18">
        <v>46489</v>
      </c>
      <c r="E49" s="18">
        <v>3950.968055555451</v>
      </c>
      <c r="F49" s="18">
        <v>127</v>
      </c>
      <c r="G49" s="21">
        <f t="shared" si="1"/>
        <v>2.3471066202048373E-2</v>
      </c>
      <c r="H49" s="10" t="s">
        <v>405</v>
      </c>
    </row>
    <row r="50" spans="1:8" x14ac:dyDescent="0.3">
      <c r="A50" s="12">
        <v>46082</v>
      </c>
      <c r="B50" s="10" t="s">
        <v>400</v>
      </c>
      <c r="C50" s="18">
        <v>543239</v>
      </c>
      <c r="D50" s="18">
        <v>17541</v>
      </c>
      <c r="E50" s="18">
        <v>1163.8205555555321</v>
      </c>
      <c r="F50" s="18">
        <v>0</v>
      </c>
      <c r="G50" s="21">
        <f t="shared" si="1"/>
        <v>3.228965519780428E-2</v>
      </c>
      <c r="H50" s="10" t="s">
        <v>405</v>
      </c>
    </row>
    <row r="51" spans="1:8" x14ac:dyDescent="0.3">
      <c r="A51" s="12">
        <v>46082</v>
      </c>
      <c r="B51" s="10" t="s">
        <v>402</v>
      </c>
      <c r="C51" s="18">
        <v>3299469</v>
      </c>
      <c r="D51" s="18">
        <v>81224</v>
      </c>
      <c r="E51" s="18">
        <v>3382.8172222221451</v>
      </c>
      <c r="F51" s="18">
        <v>35</v>
      </c>
      <c r="G51" s="21">
        <f t="shared" si="1"/>
        <v>2.4617294479808722E-2</v>
      </c>
      <c r="H51" s="10" t="s">
        <v>405</v>
      </c>
    </row>
    <row r="52" spans="1:8" x14ac:dyDescent="0.3">
      <c r="A52" s="12">
        <v>46082</v>
      </c>
      <c r="B52" s="10" t="s">
        <v>403</v>
      </c>
      <c r="C52" s="18">
        <v>380216</v>
      </c>
      <c r="D52" s="18">
        <v>8888</v>
      </c>
      <c r="E52" s="18">
        <v>736.4194444444139</v>
      </c>
      <c r="F52" s="18">
        <v>0</v>
      </c>
      <c r="G52" s="21">
        <f t="shared" si="1"/>
        <v>2.3376186167862478E-2</v>
      </c>
      <c r="H52" s="10" t="s">
        <v>405</v>
      </c>
    </row>
    <row r="53" spans="1:8" x14ac:dyDescent="0.3">
      <c r="A53" s="12">
        <v>46082</v>
      </c>
      <c r="B53" s="10" t="s">
        <v>404</v>
      </c>
      <c r="C53" s="18">
        <v>2127602</v>
      </c>
      <c r="D53" s="18">
        <v>51488</v>
      </c>
      <c r="E53" s="18">
        <v>4381.7977777776432</v>
      </c>
      <c r="F53" s="18">
        <v>129</v>
      </c>
      <c r="G53" s="21">
        <f t="shared" si="1"/>
        <v>2.4200014852401905E-2</v>
      </c>
      <c r="H53" s="10" t="s">
        <v>405</v>
      </c>
    </row>
    <row r="54" spans="1:8" x14ac:dyDescent="0.3">
      <c r="A54" s="12">
        <v>46113</v>
      </c>
      <c r="B54" s="10" t="s">
        <v>400</v>
      </c>
      <c r="C54" s="18">
        <v>464227</v>
      </c>
      <c r="D54" s="18">
        <v>14677</v>
      </c>
      <c r="E54" s="18">
        <v>987.00666666663062</v>
      </c>
      <c r="F54" s="18">
        <v>0</v>
      </c>
      <c r="G54" s="21">
        <f t="shared" si="1"/>
        <v>3.1615998207773353E-2</v>
      </c>
      <c r="H54" s="10" t="s">
        <v>405</v>
      </c>
    </row>
    <row r="55" spans="1:8" x14ac:dyDescent="0.3">
      <c r="A55" s="12">
        <v>46113</v>
      </c>
      <c r="B55" s="10" t="s">
        <v>402</v>
      </c>
      <c r="C55" s="18">
        <v>3049092</v>
      </c>
      <c r="D55" s="18">
        <v>71980</v>
      </c>
      <c r="E55" s="18">
        <v>3176.4874999999001</v>
      </c>
      <c r="F55" s="18">
        <v>39</v>
      </c>
      <c r="G55" s="21">
        <f t="shared" si="1"/>
        <v>2.3607027928314397E-2</v>
      </c>
      <c r="H55" s="10" t="s">
        <v>405</v>
      </c>
    </row>
    <row r="56" spans="1:8" x14ac:dyDescent="0.3">
      <c r="A56" s="12">
        <v>46113</v>
      </c>
      <c r="B56" s="10" t="s">
        <v>403</v>
      </c>
      <c r="C56" s="18">
        <v>361694</v>
      </c>
      <c r="D56" s="18">
        <v>8698</v>
      </c>
      <c r="E56" s="18">
        <v>721.70555555554802</v>
      </c>
      <c r="F56" s="18">
        <v>0</v>
      </c>
      <c r="G56" s="21">
        <f t="shared" si="1"/>
        <v>2.4047952136336238E-2</v>
      </c>
      <c r="H56" s="10" t="s">
        <v>405</v>
      </c>
    </row>
    <row r="57" spans="1:8" x14ac:dyDescent="0.3">
      <c r="A57" s="12">
        <v>46113</v>
      </c>
      <c r="B57" s="10" t="s">
        <v>404</v>
      </c>
      <c r="C57" s="18">
        <v>1912861</v>
      </c>
      <c r="D57" s="18">
        <v>47727</v>
      </c>
      <c r="E57" s="18">
        <v>4039.73527777764</v>
      </c>
      <c r="F57" s="18">
        <v>145</v>
      </c>
      <c r="G57" s="21">
        <f t="shared" si="1"/>
        <v>2.4950584490979741E-2</v>
      </c>
      <c r="H57" s="10" t="s">
        <v>405</v>
      </c>
    </row>
    <row r="58" spans="1:8" x14ac:dyDescent="0.3">
      <c r="A58" s="12">
        <v>46143</v>
      </c>
      <c r="B58" s="10" t="s">
        <v>400</v>
      </c>
      <c r="C58" s="18">
        <v>529154</v>
      </c>
      <c r="D58" s="18">
        <v>16852</v>
      </c>
      <c r="E58" s="18">
        <v>1139.682222222174</v>
      </c>
      <c r="F58" s="18">
        <v>0</v>
      </c>
      <c r="G58" s="21">
        <f t="shared" si="1"/>
        <v>3.1847061535961174E-2</v>
      </c>
      <c r="H58" s="10" t="s">
        <v>405</v>
      </c>
    </row>
    <row r="59" spans="1:8" x14ac:dyDescent="0.3">
      <c r="A59" s="12">
        <v>46143</v>
      </c>
      <c r="B59" s="10" t="s">
        <v>402</v>
      </c>
      <c r="C59" s="18">
        <v>3211838</v>
      </c>
      <c r="D59" s="18">
        <v>72181</v>
      </c>
      <c r="E59" s="18">
        <v>3455.793055555444</v>
      </c>
      <c r="F59" s="18">
        <v>43</v>
      </c>
      <c r="G59" s="21">
        <f t="shared" si="1"/>
        <v>2.2473424873857274E-2</v>
      </c>
      <c r="H59" s="10" t="s">
        <v>405</v>
      </c>
    </row>
    <row r="60" spans="1:8" x14ac:dyDescent="0.3">
      <c r="A60" s="12">
        <v>46143</v>
      </c>
      <c r="B60" s="10" t="s">
        <v>403</v>
      </c>
      <c r="C60" s="18">
        <v>391966</v>
      </c>
      <c r="D60" s="18">
        <v>9360</v>
      </c>
      <c r="E60" s="18">
        <v>798.50527777774857</v>
      </c>
      <c r="F60" s="18">
        <v>0</v>
      </c>
      <c r="G60" s="21">
        <f t="shared" si="1"/>
        <v>2.3879622212130643E-2</v>
      </c>
      <c r="H60" s="10" t="s">
        <v>405</v>
      </c>
    </row>
    <row r="61" spans="1:8" x14ac:dyDescent="0.3">
      <c r="A61" s="12">
        <v>46143</v>
      </c>
      <c r="B61" s="10" t="s">
        <v>404</v>
      </c>
      <c r="C61" s="18">
        <v>2036227</v>
      </c>
      <c r="D61" s="18">
        <v>52634</v>
      </c>
      <c r="E61" s="18">
        <v>4336.6558333332578</v>
      </c>
      <c r="F61" s="18">
        <v>138</v>
      </c>
      <c r="G61" s="21">
        <f t="shared" si="1"/>
        <v>2.5848787978943407E-2</v>
      </c>
      <c r="H61" s="10" t="s">
        <v>405</v>
      </c>
    </row>
    <row r="62" spans="1:8" x14ac:dyDescent="0.3">
      <c r="A62" s="12">
        <v>46174</v>
      </c>
      <c r="B62" s="10" t="s">
        <v>400</v>
      </c>
      <c r="C62" s="18">
        <v>509140</v>
      </c>
      <c r="D62" s="18">
        <v>16157</v>
      </c>
      <c r="E62" s="18">
        <v>1081.425277777736</v>
      </c>
      <c r="F62" s="18">
        <v>0</v>
      </c>
      <c r="G62" s="21">
        <f t="shared" si="1"/>
        <v>3.1733904230663475E-2</v>
      </c>
      <c r="H62" s="10" t="s">
        <v>405</v>
      </c>
    </row>
    <row r="63" spans="1:8" x14ac:dyDescent="0.3">
      <c r="A63" s="12">
        <v>46174</v>
      </c>
      <c r="B63" s="10" t="s">
        <v>402</v>
      </c>
      <c r="C63" s="18">
        <v>3006457</v>
      </c>
      <c r="D63" s="18">
        <v>64347</v>
      </c>
      <c r="E63" s="18">
        <v>3210.3222222220829</v>
      </c>
      <c r="F63" s="18">
        <v>40</v>
      </c>
      <c r="G63" s="21">
        <f t="shared" si="1"/>
        <v>2.1402933752253901E-2</v>
      </c>
      <c r="H63" s="10" t="s">
        <v>405</v>
      </c>
    </row>
    <row r="64" spans="1:8" x14ac:dyDescent="0.3">
      <c r="A64" s="12">
        <v>46174</v>
      </c>
      <c r="B64" s="10" t="s">
        <v>403</v>
      </c>
      <c r="C64" s="18">
        <v>254209</v>
      </c>
      <c r="D64" s="18">
        <v>5787</v>
      </c>
      <c r="E64" s="18">
        <v>508.18472222219918</v>
      </c>
      <c r="F64" s="18">
        <v>0</v>
      </c>
      <c r="G64" s="21">
        <f t="shared" si="1"/>
        <v>2.2764732955953566E-2</v>
      </c>
      <c r="H64" s="10" t="s">
        <v>405</v>
      </c>
    </row>
    <row r="65" spans="1:8" x14ac:dyDescent="0.3">
      <c r="A65" s="12">
        <v>46174</v>
      </c>
      <c r="B65" s="10" t="s">
        <v>404</v>
      </c>
      <c r="C65" s="18">
        <v>2068539</v>
      </c>
      <c r="D65" s="18">
        <v>48306</v>
      </c>
      <c r="E65" s="18">
        <v>4171.5219444443073</v>
      </c>
      <c r="F65" s="18">
        <v>128</v>
      </c>
      <c r="G65" s="21">
        <f t="shared" si="1"/>
        <v>2.3352714162024502E-2</v>
      </c>
      <c r="H65" s="10" t="s">
        <v>405</v>
      </c>
    </row>
    <row r="66" spans="1:8" x14ac:dyDescent="0.3">
      <c r="A66" s="12">
        <v>46204</v>
      </c>
      <c r="B66" s="10" t="s">
        <v>400</v>
      </c>
      <c r="C66" s="18">
        <v>466586</v>
      </c>
      <c r="D66" s="18">
        <v>14368</v>
      </c>
      <c r="E66" s="18">
        <v>992.53222222219722</v>
      </c>
      <c r="F66" s="18">
        <v>0</v>
      </c>
      <c r="G66" s="21">
        <f t="shared" ref="G66:G89" si="2">IF(C66=0,"",D66/C66)</f>
        <v>3.0793894373170219E-2</v>
      </c>
      <c r="H66" s="10" t="s">
        <v>405</v>
      </c>
    </row>
    <row r="67" spans="1:8" x14ac:dyDescent="0.3">
      <c r="A67" s="12">
        <v>46204</v>
      </c>
      <c r="B67" s="10" t="s">
        <v>402</v>
      </c>
      <c r="C67" s="18">
        <v>4493051</v>
      </c>
      <c r="D67" s="18">
        <v>97673</v>
      </c>
      <c r="E67" s="18">
        <v>4702.8905555554429</v>
      </c>
      <c r="F67" s="18">
        <v>71</v>
      </c>
      <c r="G67" s="21">
        <f t="shared" si="2"/>
        <v>2.1738680464566281E-2</v>
      </c>
      <c r="H67" s="10" t="s">
        <v>405</v>
      </c>
    </row>
    <row r="68" spans="1:8" x14ac:dyDescent="0.3">
      <c r="A68" s="12">
        <v>46204</v>
      </c>
      <c r="B68" s="10" t="s">
        <v>403</v>
      </c>
      <c r="C68" s="18">
        <v>437609</v>
      </c>
      <c r="D68" s="18">
        <v>10383</v>
      </c>
      <c r="E68" s="18">
        <v>846.07472222219837</v>
      </c>
      <c r="F68" s="18">
        <v>0</v>
      </c>
      <c r="G68" s="21">
        <f t="shared" si="2"/>
        <v>2.3726660100683486E-2</v>
      </c>
      <c r="H68" s="10" t="s">
        <v>405</v>
      </c>
    </row>
    <row r="69" spans="1:8" x14ac:dyDescent="0.3">
      <c r="A69" s="12">
        <v>46204</v>
      </c>
      <c r="B69" s="10" t="s">
        <v>404</v>
      </c>
      <c r="C69" s="18">
        <v>2313732</v>
      </c>
      <c r="D69" s="18">
        <v>52831</v>
      </c>
      <c r="E69" s="18">
        <v>5189.2327777776263</v>
      </c>
      <c r="F69" s="18">
        <v>160</v>
      </c>
      <c r="G69" s="21">
        <f t="shared" si="2"/>
        <v>2.2833673044241942E-2</v>
      </c>
      <c r="H69" s="10" t="s">
        <v>405</v>
      </c>
    </row>
    <row r="70" spans="1:8" x14ac:dyDescent="0.3">
      <c r="A70" s="12">
        <v>46235</v>
      </c>
      <c r="B70" s="10" t="s">
        <v>400</v>
      </c>
      <c r="C70" s="18">
        <v>556301</v>
      </c>
      <c r="D70" s="18">
        <v>17352</v>
      </c>
      <c r="E70" s="18">
        <v>1174.086111111083</v>
      </c>
      <c r="F70" s="18">
        <v>0</v>
      </c>
      <c r="G70" s="21">
        <f t="shared" si="2"/>
        <v>3.1191746913990806E-2</v>
      </c>
      <c r="H70" s="10" t="s">
        <v>405</v>
      </c>
    </row>
    <row r="71" spans="1:8" x14ac:dyDescent="0.3">
      <c r="A71" s="12">
        <v>46235</v>
      </c>
      <c r="B71" s="10" t="s">
        <v>402</v>
      </c>
      <c r="C71" s="18">
        <v>4737376</v>
      </c>
      <c r="D71" s="18">
        <v>97539</v>
      </c>
      <c r="E71" s="18">
        <v>5102.5255555554477</v>
      </c>
      <c r="F71" s="18">
        <v>57</v>
      </c>
      <c r="G71" s="21">
        <f t="shared" si="2"/>
        <v>2.0589246029869699E-2</v>
      </c>
      <c r="H71" s="10" t="s">
        <v>405</v>
      </c>
    </row>
    <row r="72" spans="1:8" x14ac:dyDescent="0.3">
      <c r="A72" s="12">
        <v>46235</v>
      </c>
      <c r="B72" s="10" t="s">
        <v>403</v>
      </c>
      <c r="C72" s="18">
        <v>441790</v>
      </c>
      <c r="D72" s="18">
        <v>10236</v>
      </c>
      <c r="E72" s="18">
        <v>879.04138888886666</v>
      </c>
      <c r="F72" s="18">
        <v>0</v>
      </c>
      <c r="G72" s="21">
        <f t="shared" si="2"/>
        <v>2.3169379116774937E-2</v>
      </c>
      <c r="H72" s="10" t="s">
        <v>405</v>
      </c>
    </row>
    <row r="73" spans="1:8" x14ac:dyDescent="0.3">
      <c r="A73" s="12">
        <v>46235</v>
      </c>
      <c r="B73" s="10" t="s">
        <v>404</v>
      </c>
      <c r="C73" s="18">
        <v>2675672</v>
      </c>
      <c r="D73" s="18">
        <v>61496</v>
      </c>
      <c r="E73" s="18">
        <v>5519.6808333331946</v>
      </c>
      <c r="F73" s="18">
        <v>169</v>
      </c>
      <c r="G73" s="21">
        <f t="shared" si="2"/>
        <v>2.2983385108488633E-2</v>
      </c>
      <c r="H73" s="10" t="s">
        <v>405</v>
      </c>
    </row>
    <row r="74" spans="1:8" x14ac:dyDescent="0.3">
      <c r="A74" s="12">
        <v>46266</v>
      </c>
      <c r="B74" s="10" t="s">
        <v>400</v>
      </c>
      <c r="C74" s="18">
        <v>525762</v>
      </c>
      <c r="D74" s="18">
        <v>19333</v>
      </c>
      <c r="E74" s="18">
        <v>1135.9166666666399</v>
      </c>
      <c r="F74" s="18">
        <v>0</v>
      </c>
      <c r="G74" s="21">
        <f t="shared" si="2"/>
        <v>3.6771390857460222E-2</v>
      </c>
      <c r="H74" s="10" t="s">
        <v>405</v>
      </c>
    </row>
    <row r="75" spans="1:8" x14ac:dyDescent="0.3">
      <c r="A75" s="12">
        <v>46266</v>
      </c>
      <c r="B75" s="10" t="s">
        <v>402</v>
      </c>
      <c r="C75" s="18">
        <v>4453652</v>
      </c>
      <c r="D75" s="18">
        <v>100963</v>
      </c>
      <c r="E75" s="18">
        <v>4753.8011111109727</v>
      </c>
      <c r="F75" s="18">
        <v>61</v>
      </c>
      <c r="G75" s="21">
        <f t="shared" si="2"/>
        <v>2.2669710161458505E-2</v>
      </c>
      <c r="H75" s="10" t="s">
        <v>405</v>
      </c>
    </row>
    <row r="76" spans="1:8" x14ac:dyDescent="0.3">
      <c r="A76" s="12">
        <v>46266</v>
      </c>
      <c r="B76" s="10" t="s">
        <v>403</v>
      </c>
      <c r="C76" s="18">
        <v>462346</v>
      </c>
      <c r="D76" s="18">
        <v>10149</v>
      </c>
      <c r="E76" s="18">
        <v>960.29472222219226</v>
      </c>
      <c r="F76" s="18">
        <v>0</v>
      </c>
      <c r="G76" s="21">
        <f t="shared" si="2"/>
        <v>2.1951092904448185E-2</v>
      </c>
      <c r="H76" s="10" t="s">
        <v>405</v>
      </c>
    </row>
    <row r="77" spans="1:8" x14ac:dyDescent="0.3">
      <c r="A77" s="12">
        <v>46266</v>
      </c>
      <c r="B77" s="10" t="s">
        <v>404</v>
      </c>
      <c r="C77" s="18">
        <v>2492916</v>
      </c>
      <c r="D77" s="18">
        <v>58023</v>
      </c>
      <c r="E77" s="18">
        <v>5231.9552777776426</v>
      </c>
      <c r="F77" s="18">
        <v>178</v>
      </c>
      <c r="G77" s="21">
        <f t="shared" si="2"/>
        <v>2.3275152472044786E-2</v>
      </c>
      <c r="H77" s="10" t="s">
        <v>405</v>
      </c>
    </row>
    <row r="78" spans="1:8" x14ac:dyDescent="0.3">
      <c r="A78" s="12">
        <v>46296</v>
      </c>
      <c r="B78" s="10" t="s">
        <v>400</v>
      </c>
      <c r="C78" s="18">
        <v>546240</v>
      </c>
      <c r="D78" s="18">
        <v>19542</v>
      </c>
      <c r="E78" s="18">
        <v>1172.5233333333119</v>
      </c>
      <c r="F78" s="18">
        <v>0</v>
      </c>
      <c r="G78" s="21">
        <f t="shared" si="2"/>
        <v>3.5775483304042177E-2</v>
      </c>
      <c r="H78" s="10" t="s">
        <v>405</v>
      </c>
    </row>
    <row r="79" spans="1:8" x14ac:dyDescent="0.3">
      <c r="A79" s="12">
        <v>46296</v>
      </c>
      <c r="B79" s="10" t="s">
        <v>402</v>
      </c>
      <c r="C79" s="18">
        <v>4773452</v>
      </c>
      <c r="D79" s="18">
        <v>102899</v>
      </c>
      <c r="E79" s="18">
        <v>5194.9344444443168</v>
      </c>
      <c r="F79" s="18">
        <v>64</v>
      </c>
      <c r="G79" s="21">
        <f t="shared" si="2"/>
        <v>2.1556517170383194E-2</v>
      </c>
      <c r="H79" s="10" t="s">
        <v>405</v>
      </c>
    </row>
    <row r="80" spans="1:8" x14ac:dyDescent="0.3">
      <c r="A80" s="12">
        <v>46296</v>
      </c>
      <c r="B80" s="10" t="s">
        <v>403</v>
      </c>
      <c r="C80" s="18">
        <v>461147</v>
      </c>
      <c r="D80" s="18">
        <v>10185</v>
      </c>
      <c r="E80" s="18">
        <v>892.47999999998137</v>
      </c>
      <c r="F80" s="18">
        <v>0</v>
      </c>
      <c r="G80" s="21">
        <f t="shared" si="2"/>
        <v>2.2086232806458678E-2</v>
      </c>
      <c r="H80" s="10" t="s">
        <v>405</v>
      </c>
    </row>
    <row r="81" spans="1:8" x14ac:dyDescent="0.3">
      <c r="A81" s="12">
        <v>46296</v>
      </c>
      <c r="B81" s="10" t="s">
        <v>404</v>
      </c>
      <c r="C81" s="18">
        <v>2646941</v>
      </c>
      <c r="D81" s="18">
        <v>60401</v>
      </c>
      <c r="E81" s="18">
        <v>5420.625555555408</v>
      </c>
      <c r="F81" s="18">
        <v>180</v>
      </c>
      <c r="G81" s="21">
        <f t="shared" si="2"/>
        <v>2.2819171262223072E-2</v>
      </c>
      <c r="H81" s="10" t="s">
        <v>405</v>
      </c>
    </row>
    <row r="82" spans="1:8" x14ac:dyDescent="0.3">
      <c r="A82" s="12">
        <v>46327</v>
      </c>
      <c r="B82" s="10" t="s">
        <v>400</v>
      </c>
      <c r="C82" s="18">
        <v>509090</v>
      </c>
      <c r="D82" s="18">
        <v>19860</v>
      </c>
      <c r="E82" s="18">
        <v>1088.0491666666469</v>
      </c>
      <c r="F82" s="18">
        <v>0</v>
      </c>
      <c r="G82" s="21">
        <f t="shared" si="2"/>
        <v>3.9010783947828476E-2</v>
      </c>
      <c r="H82" s="10" t="s">
        <v>405</v>
      </c>
    </row>
    <row r="83" spans="1:8" x14ac:dyDescent="0.3">
      <c r="A83" s="12">
        <v>46327</v>
      </c>
      <c r="B83" s="10" t="s">
        <v>402</v>
      </c>
      <c r="C83" s="18">
        <v>4418168</v>
      </c>
      <c r="D83" s="18">
        <v>91878</v>
      </c>
      <c r="E83" s="18">
        <v>4927.6505555553931</v>
      </c>
      <c r="F83" s="18">
        <v>68</v>
      </c>
      <c r="G83" s="21">
        <f t="shared" si="2"/>
        <v>2.0795497138180349E-2</v>
      </c>
      <c r="H83" s="10" t="s">
        <v>405</v>
      </c>
    </row>
    <row r="84" spans="1:8" x14ac:dyDescent="0.3">
      <c r="A84" s="12">
        <v>46327</v>
      </c>
      <c r="B84" s="10" t="s">
        <v>403</v>
      </c>
      <c r="C84" s="18">
        <v>383074</v>
      </c>
      <c r="D84" s="18">
        <v>8843</v>
      </c>
      <c r="E84" s="18">
        <v>768.17722222218947</v>
      </c>
      <c r="F84" s="18">
        <v>0</v>
      </c>
      <c r="G84" s="21">
        <f t="shared" si="2"/>
        <v>2.3084312691542628E-2</v>
      </c>
      <c r="H84" s="10" t="s">
        <v>405</v>
      </c>
    </row>
    <row r="85" spans="1:8" x14ac:dyDescent="0.3">
      <c r="A85" s="12">
        <v>46327</v>
      </c>
      <c r="B85" s="10" t="s">
        <v>404</v>
      </c>
      <c r="C85" s="18">
        <v>2407620</v>
      </c>
      <c r="D85" s="18">
        <v>55372</v>
      </c>
      <c r="E85" s="18">
        <v>5156.8805555554363</v>
      </c>
      <c r="F85" s="18">
        <v>172</v>
      </c>
      <c r="G85" s="21">
        <f t="shared" si="2"/>
        <v>2.2998645965725487E-2</v>
      </c>
      <c r="H85" s="10" t="s">
        <v>405</v>
      </c>
    </row>
    <row r="86" spans="1:8" x14ac:dyDescent="0.3">
      <c r="A86" s="12">
        <v>46357</v>
      </c>
      <c r="B86" s="10" t="s">
        <v>400</v>
      </c>
      <c r="C86" s="18">
        <v>589367</v>
      </c>
      <c r="D86" s="18">
        <v>18422</v>
      </c>
      <c r="E86" s="18">
        <v>1245.56666666662</v>
      </c>
      <c r="F86" s="18">
        <v>0</v>
      </c>
      <c r="G86" s="21">
        <f t="shared" si="2"/>
        <v>3.1257264149502771E-2</v>
      </c>
      <c r="H86" s="10" t="s">
        <v>405</v>
      </c>
    </row>
    <row r="87" spans="1:8" x14ac:dyDescent="0.3">
      <c r="A87" s="12">
        <v>46357</v>
      </c>
      <c r="B87" s="10" t="s">
        <v>402</v>
      </c>
      <c r="C87" s="18">
        <v>4306092</v>
      </c>
      <c r="D87" s="18">
        <v>90104</v>
      </c>
      <c r="E87" s="18">
        <v>4791.1283333332212</v>
      </c>
      <c r="F87" s="18">
        <v>72</v>
      </c>
      <c r="G87" s="21">
        <f t="shared" si="2"/>
        <v>2.0924773553375079E-2</v>
      </c>
      <c r="H87" s="10" t="s">
        <v>405</v>
      </c>
    </row>
    <row r="88" spans="1:8" x14ac:dyDescent="0.3">
      <c r="A88" s="12">
        <v>46357</v>
      </c>
      <c r="B88" s="10" t="s">
        <v>403</v>
      </c>
      <c r="C88" s="18">
        <v>359103</v>
      </c>
      <c r="D88" s="18">
        <v>8584</v>
      </c>
      <c r="E88" s="18">
        <v>729.78361111108552</v>
      </c>
      <c r="F88" s="18">
        <v>0</v>
      </c>
      <c r="G88" s="21">
        <f t="shared" si="2"/>
        <v>2.3904005257544492E-2</v>
      </c>
      <c r="H88" s="10" t="s">
        <v>405</v>
      </c>
    </row>
    <row r="89" spans="1:8" x14ac:dyDescent="0.3">
      <c r="A89" s="12">
        <v>46357</v>
      </c>
      <c r="B89" s="10" t="s">
        <v>404</v>
      </c>
      <c r="C89" s="18">
        <v>2608256</v>
      </c>
      <c r="D89" s="18">
        <v>59893</v>
      </c>
      <c r="E89" s="18">
        <v>5342.6288888887429</v>
      </c>
      <c r="F89" s="18">
        <v>176</v>
      </c>
      <c r="G89" s="21">
        <f t="shared" si="2"/>
        <v>2.2962853339549491E-2</v>
      </c>
      <c r="H89" s="10" t="s">
        <v>405</v>
      </c>
    </row>
  </sheetData>
  <dataValidations count="1">
    <dataValidation type="list" allowBlank="1" showErrorMessage="1" errorTitle="Valor inválido" error="Valor fora da lista controlada (ver folha Listas)." sqref="B2:B289" xr:uid="{00000000-0002-0000-0500-000000000000}">
      <formula1>lst_Processo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86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9" customWidth="1"/>
    <col min="3" max="3" width="13" customWidth="1"/>
    <col min="4" max="4" width="44" customWidth="1"/>
    <col min="5" max="5" width="12" customWidth="1"/>
    <col min="6" max="6" width="8" customWidth="1"/>
    <col min="7" max="7" width="30" customWidth="1"/>
    <col min="8" max="8" width="10" customWidth="1"/>
  </cols>
  <sheetData>
    <row r="1" spans="1:8" ht="26.4" x14ac:dyDescent="0.3">
      <c r="A1" s="8" t="s">
        <v>318</v>
      </c>
      <c r="B1" s="8" t="s">
        <v>393</v>
      </c>
      <c r="C1" s="8" t="s">
        <v>406</v>
      </c>
      <c r="D1" s="8" t="s">
        <v>258</v>
      </c>
      <c r="E1" s="8" t="s">
        <v>257</v>
      </c>
      <c r="F1" s="8" t="s">
        <v>80</v>
      </c>
      <c r="G1" s="8" t="s">
        <v>399</v>
      </c>
      <c r="H1" s="8" t="s">
        <v>407</v>
      </c>
    </row>
    <row r="2" spans="1:8" x14ac:dyDescent="0.3">
      <c r="A2" s="12">
        <v>45717</v>
      </c>
      <c r="B2" s="10" t="s">
        <v>408</v>
      </c>
      <c r="C2" s="10" t="s">
        <v>409</v>
      </c>
      <c r="D2" s="10" t="s">
        <v>410</v>
      </c>
      <c r="E2" s="20">
        <v>568941.28</v>
      </c>
      <c r="F2" s="10" t="s">
        <v>411</v>
      </c>
      <c r="G2" s="10" t="s">
        <v>412</v>
      </c>
      <c r="H2" s="10" t="s">
        <v>413</v>
      </c>
    </row>
    <row r="3" spans="1:8" ht="26.4" x14ac:dyDescent="0.3">
      <c r="A3" s="12">
        <v>45717</v>
      </c>
      <c r="B3" s="10" t="s">
        <v>402</v>
      </c>
      <c r="C3" s="10" t="s">
        <v>414</v>
      </c>
      <c r="D3" s="10" t="s">
        <v>415</v>
      </c>
      <c r="E3" s="20">
        <v>150493.32999999999</v>
      </c>
      <c r="F3" s="10" t="s">
        <v>411</v>
      </c>
      <c r="G3" s="10" t="s">
        <v>416</v>
      </c>
      <c r="H3" s="10" t="s">
        <v>417</v>
      </c>
    </row>
    <row r="4" spans="1:8" ht="26.4" x14ac:dyDescent="0.3">
      <c r="A4" s="12">
        <v>45717</v>
      </c>
      <c r="B4" s="10" t="s">
        <v>404</v>
      </c>
      <c r="C4" s="10" t="s">
        <v>414</v>
      </c>
      <c r="D4" s="10" t="s">
        <v>415</v>
      </c>
      <c r="E4" s="20">
        <v>233780.43</v>
      </c>
      <c r="F4" s="10" t="s">
        <v>411</v>
      </c>
      <c r="G4" s="10" t="s">
        <v>416</v>
      </c>
      <c r="H4" s="10" t="s">
        <v>417</v>
      </c>
    </row>
    <row r="5" spans="1:8" ht="26.4" x14ac:dyDescent="0.3">
      <c r="A5" s="12">
        <v>45717</v>
      </c>
      <c r="B5" s="10" t="s">
        <v>403</v>
      </c>
      <c r="C5" s="10" t="s">
        <v>414</v>
      </c>
      <c r="D5" s="10" t="s">
        <v>415</v>
      </c>
      <c r="E5" s="20">
        <v>12915.26</v>
      </c>
      <c r="F5" s="10" t="s">
        <v>411</v>
      </c>
      <c r="G5" s="10" t="s">
        <v>416</v>
      </c>
      <c r="H5" s="10" t="s">
        <v>417</v>
      </c>
    </row>
    <row r="6" spans="1:8" ht="26.4" x14ac:dyDescent="0.3">
      <c r="A6" s="12">
        <v>45717</v>
      </c>
      <c r="B6" s="10" t="s">
        <v>400</v>
      </c>
      <c r="C6" s="10" t="s">
        <v>414</v>
      </c>
      <c r="D6" s="10" t="s">
        <v>415</v>
      </c>
      <c r="E6" s="20">
        <v>12304.15</v>
      </c>
      <c r="F6" s="10" t="s">
        <v>411</v>
      </c>
      <c r="G6" s="10" t="s">
        <v>416</v>
      </c>
      <c r="H6" s="10" t="s">
        <v>417</v>
      </c>
    </row>
    <row r="7" spans="1:8" ht="26.4" x14ac:dyDescent="0.3">
      <c r="A7" s="12">
        <v>45717</v>
      </c>
      <c r="B7" s="10" t="s">
        <v>418</v>
      </c>
      <c r="C7" s="10" t="s">
        <v>414</v>
      </c>
      <c r="D7" s="10" t="s">
        <v>415</v>
      </c>
      <c r="E7" s="20">
        <v>78796.94</v>
      </c>
      <c r="F7" s="10" t="s">
        <v>411</v>
      </c>
      <c r="G7" s="10" t="s">
        <v>416</v>
      </c>
      <c r="H7" s="10" t="s">
        <v>417</v>
      </c>
    </row>
    <row r="8" spans="1:8" ht="26.4" x14ac:dyDescent="0.3">
      <c r="A8" s="12">
        <v>45717</v>
      </c>
      <c r="B8" s="10" t="s">
        <v>419</v>
      </c>
      <c r="C8" s="10" t="s">
        <v>414</v>
      </c>
      <c r="D8" s="10" t="s">
        <v>415</v>
      </c>
      <c r="E8" s="20">
        <v>34764.660000000003</v>
      </c>
      <c r="F8" s="10" t="s">
        <v>411</v>
      </c>
      <c r="G8" s="10" t="s">
        <v>416</v>
      </c>
      <c r="H8" s="10" t="s">
        <v>417</v>
      </c>
    </row>
    <row r="9" spans="1:8" ht="26.4" x14ac:dyDescent="0.3">
      <c r="A9" s="12">
        <v>45717</v>
      </c>
      <c r="B9" s="10" t="s">
        <v>408</v>
      </c>
      <c r="C9" s="10" t="s">
        <v>414</v>
      </c>
      <c r="D9" s="10" t="s">
        <v>415</v>
      </c>
      <c r="E9" s="20">
        <v>45886.52</v>
      </c>
      <c r="F9" s="10" t="s">
        <v>411</v>
      </c>
      <c r="G9" s="10" t="s">
        <v>416</v>
      </c>
      <c r="H9" s="10" t="s">
        <v>417</v>
      </c>
    </row>
    <row r="10" spans="1:8" x14ac:dyDescent="0.3">
      <c r="A10" s="12">
        <v>45717</v>
      </c>
      <c r="B10" s="10" t="s">
        <v>408</v>
      </c>
      <c r="C10" s="10" t="s">
        <v>420</v>
      </c>
      <c r="D10" s="10" t="s">
        <v>421</v>
      </c>
      <c r="E10" s="20">
        <v>664.72</v>
      </c>
      <c r="F10" s="10" t="s">
        <v>422</v>
      </c>
      <c r="G10" s="10" t="s">
        <v>423</v>
      </c>
      <c r="H10" s="10" t="s">
        <v>413</v>
      </c>
    </row>
    <row r="11" spans="1:8" ht="26.4" x14ac:dyDescent="0.3">
      <c r="A11" s="12">
        <v>45717</v>
      </c>
      <c r="B11" s="10" t="s">
        <v>419</v>
      </c>
      <c r="C11" s="10" t="s">
        <v>424</v>
      </c>
      <c r="D11" s="10" t="s">
        <v>425</v>
      </c>
      <c r="E11" s="20">
        <v>516.73</v>
      </c>
      <c r="F11" s="10" t="s">
        <v>422</v>
      </c>
      <c r="G11" s="10" t="s">
        <v>426</v>
      </c>
      <c r="H11" s="10" t="s">
        <v>417</v>
      </c>
    </row>
    <row r="12" spans="1:8" x14ac:dyDescent="0.3">
      <c r="A12" s="12">
        <v>45717</v>
      </c>
      <c r="B12" s="10" t="s">
        <v>408</v>
      </c>
      <c r="C12" s="10" t="s">
        <v>424</v>
      </c>
      <c r="D12" s="10" t="s">
        <v>427</v>
      </c>
      <c r="E12" s="20">
        <v>147.99</v>
      </c>
      <c r="F12" s="10" t="s">
        <v>422</v>
      </c>
      <c r="G12" s="10" t="s">
        <v>428</v>
      </c>
      <c r="H12" s="10" t="s">
        <v>417</v>
      </c>
    </row>
    <row r="13" spans="1:8" ht="26.4" x14ac:dyDescent="0.3">
      <c r="A13" s="12">
        <v>45717</v>
      </c>
      <c r="B13" s="10" t="s">
        <v>404</v>
      </c>
      <c r="C13" s="10" t="s">
        <v>429</v>
      </c>
      <c r="D13" s="10" t="s">
        <v>430</v>
      </c>
      <c r="E13" s="20">
        <v>1454.75</v>
      </c>
      <c r="F13" s="10" t="s">
        <v>431</v>
      </c>
      <c r="G13" s="10" t="s">
        <v>432</v>
      </c>
      <c r="H13" s="10" t="s">
        <v>413</v>
      </c>
    </row>
    <row r="14" spans="1:8" ht="26.4" x14ac:dyDescent="0.3">
      <c r="A14" s="12">
        <v>45717</v>
      </c>
      <c r="B14" s="10" t="s">
        <v>402</v>
      </c>
      <c r="C14" s="10" t="s">
        <v>429</v>
      </c>
      <c r="D14" s="10" t="s">
        <v>430</v>
      </c>
      <c r="E14" s="20">
        <v>516.07000000000005</v>
      </c>
      <c r="F14" s="10" t="s">
        <v>431</v>
      </c>
      <c r="G14" s="10" t="s">
        <v>432</v>
      </c>
      <c r="H14" s="10" t="s">
        <v>413</v>
      </c>
    </row>
    <row r="15" spans="1:8" ht="26.4" x14ac:dyDescent="0.3">
      <c r="A15" s="12">
        <v>45717</v>
      </c>
      <c r="B15" s="10" t="s">
        <v>403</v>
      </c>
      <c r="C15" s="10" t="s">
        <v>429</v>
      </c>
      <c r="D15" s="10" t="s">
        <v>430</v>
      </c>
      <c r="E15" s="20">
        <v>185.89</v>
      </c>
      <c r="F15" s="10" t="s">
        <v>431</v>
      </c>
      <c r="G15" s="10" t="s">
        <v>432</v>
      </c>
      <c r="H15" s="10" t="s">
        <v>413</v>
      </c>
    </row>
    <row r="16" spans="1:8" ht="26.4" x14ac:dyDescent="0.3">
      <c r="A16" s="12">
        <v>45717</v>
      </c>
      <c r="B16" s="10" t="s">
        <v>400</v>
      </c>
      <c r="C16" s="10" t="s">
        <v>429</v>
      </c>
      <c r="D16" s="10" t="s">
        <v>430</v>
      </c>
      <c r="E16" s="20">
        <v>437.38</v>
      </c>
      <c r="F16" s="10" t="s">
        <v>431</v>
      </c>
      <c r="G16" s="10" t="s">
        <v>432</v>
      </c>
      <c r="H16" s="10" t="s">
        <v>413</v>
      </c>
    </row>
    <row r="17" spans="1:8" x14ac:dyDescent="0.3">
      <c r="A17" s="12">
        <v>45717</v>
      </c>
      <c r="B17" s="10" t="s">
        <v>433</v>
      </c>
      <c r="C17" s="10" t="s">
        <v>434</v>
      </c>
      <c r="D17" s="10" t="s">
        <v>435</v>
      </c>
      <c r="E17" s="20">
        <v>941.95</v>
      </c>
      <c r="F17" s="10" t="s">
        <v>431</v>
      </c>
      <c r="G17" s="10" t="s">
        <v>436</v>
      </c>
      <c r="H17" s="10" t="s">
        <v>413</v>
      </c>
    </row>
    <row r="18" spans="1:8" ht="26.4" x14ac:dyDescent="0.3">
      <c r="A18" s="12">
        <v>45717</v>
      </c>
      <c r="B18" s="10" t="s">
        <v>437</v>
      </c>
      <c r="C18" s="10" t="s">
        <v>438</v>
      </c>
      <c r="D18" s="10" t="s">
        <v>439</v>
      </c>
      <c r="E18" s="20">
        <v>65543.28</v>
      </c>
      <c r="F18" s="10" t="s">
        <v>431</v>
      </c>
      <c r="G18" s="10" t="s">
        <v>440</v>
      </c>
      <c r="H18" s="10" t="s">
        <v>413</v>
      </c>
    </row>
    <row r="19" spans="1:8" x14ac:dyDescent="0.3">
      <c r="A19" s="12">
        <v>45717</v>
      </c>
      <c r="B19" s="10" t="s">
        <v>437</v>
      </c>
      <c r="C19" s="10" t="s">
        <v>441</v>
      </c>
      <c r="D19" s="10" t="s">
        <v>442</v>
      </c>
      <c r="E19" s="20">
        <v>7563.26</v>
      </c>
      <c r="F19" s="10" t="s">
        <v>431</v>
      </c>
      <c r="G19" s="10" t="s">
        <v>440</v>
      </c>
      <c r="H19" s="10" t="s">
        <v>413</v>
      </c>
    </row>
    <row r="20" spans="1:8" x14ac:dyDescent="0.3">
      <c r="A20" s="12">
        <v>45717</v>
      </c>
      <c r="B20" s="10" t="s">
        <v>403</v>
      </c>
      <c r="C20" s="10" t="s">
        <v>443</v>
      </c>
      <c r="D20" s="10" t="s">
        <v>444</v>
      </c>
      <c r="E20" s="20">
        <v>88.24</v>
      </c>
      <c r="F20" s="10" t="s">
        <v>431</v>
      </c>
      <c r="G20" s="10" t="s">
        <v>445</v>
      </c>
      <c r="H20" s="10" t="s">
        <v>413</v>
      </c>
    </row>
    <row r="21" spans="1:8" ht="26.4" x14ac:dyDescent="0.3">
      <c r="A21" s="12">
        <v>45717</v>
      </c>
      <c r="B21" s="10" t="s">
        <v>403</v>
      </c>
      <c r="C21" s="10" t="s">
        <v>446</v>
      </c>
      <c r="D21" s="10" t="s">
        <v>447</v>
      </c>
      <c r="E21" s="20">
        <v>60.61</v>
      </c>
      <c r="F21" s="10" t="s">
        <v>431</v>
      </c>
      <c r="G21" s="10" t="s">
        <v>445</v>
      </c>
      <c r="H21" s="10" t="s">
        <v>413</v>
      </c>
    </row>
    <row r="22" spans="1:8" x14ac:dyDescent="0.3">
      <c r="A22" s="12">
        <v>45717</v>
      </c>
      <c r="B22" s="10" t="s">
        <v>400</v>
      </c>
      <c r="C22" s="10" t="s">
        <v>448</v>
      </c>
      <c r="D22" s="10" t="s">
        <v>449</v>
      </c>
      <c r="E22" s="20">
        <v>1178.9000000000001</v>
      </c>
      <c r="F22" s="10" t="s">
        <v>431</v>
      </c>
      <c r="G22" s="10" t="s">
        <v>450</v>
      </c>
      <c r="H22" s="10" t="s">
        <v>413</v>
      </c>
    </row>
    <row r="23" spans="1:8" ht="26.4" x14ac:dyDescent="0.3">
      <c r="A23" s="12">
        <v>45717</v>
      </c>
      <c r="B23" s="10" t="s">
        <v>437</v>
      </c>
      <c r="C23" s="10" t="s">
        <v>451</v>
      </c>
      <c r="D23" s="10" t="s">
        <v>452</v>
      </c>
      <c r="E23" s="20">
        <v>5.91</v>
      </c>
      <c r="F23" s="10" t="s">
        <v>431</v>
      </c>
      <c r="G23" s="10" t="s">
        <v>453</v>
      </c>
      <c r="H23" s="10" t="s">
        <v>413</v>
      </c>
    </row>
    <row r="24" spans="1:8" x14ac:dyDescent="0.3">
      <c r="A24" s="12">
        <v>45748</v>
      </c>
      <c r="B24" s="10" t="s">
        <v>408</v>
      </c>
      <c r="C24" s="10" t="s">
        <v>409</v>
      </c>
      <c r="D24" s="10" t="s">
        <v>410</v>
      </c>
      <c r="E24" s="20">
        <v>545353.91</v>
      </c>
      <c r="F24" s="10" t="s">
        <v>411</v>
      </c>
      <c r="G24" s="10" t="s">
        <v>412</v>
      </c>
      <c r="H24" s="10" t="s">
        <v>413</v>
      </c>
    </row>
    <row r="25" spans="1:8" ht="26.4" x14ac:dyDescent="0.3">
      <c r="A25" s="12">
        <v>45748</v>
      </c>
      <c r="B25" s="10" t="s">
        <v>402</v>
      </c>
      <c r="C25" s="10" t="s">
        <v>414</v>
      </c>
      <c r="D25" s="10" t="s">
        <v>415</v>
      </c>
      <c r="E25" s="20">
        <v>148146.39000000001</v>
      </c>
      <c r="F25" s="10" t="s">
        <v>411</v>
      </c>
      <c r="G25" s="10" t="s">
        <v>416</v>
      </c>
      <c r="H25" s="10" t="s">
        <v>417</v>
      </c>
    </row>
    <row r="26" spans="1:8" ht="26.4" x14ac:dyDescent="0.3">
      <c r="A26" s="12">
        <v>45748</v>
      </c>
      <c r="B26" s="10" t="s">
        <v>404</v>
      </c>
      <c r="C26" s="10" t="s">
        <v>414</v>
      </c>
      <c r="D26" s="10" t="s">
        <v>415</v>
      </c>
      <c r="E26" s="20">
        <v>218569.60000000001</v>
      </c>
      <c r="F26" s="10" t="s">
        <v>411</v>
      </c>
      <c r="G26" s="10" t="s">
        <v>416</v>
      </c>
      <c r="H26" s="10" t="s">
        <v>417</v>
      </c>
    </row>
    <row r="27" spans="1:8" ht="26.4" x14ac:dyDescent="0.3">
      <c r="A27" s="12">
        <v>45748</v>
      </c>
      <c r="B27" s="10" t="s">
        <v>403</v>
      </c>
      <c r="C27" s="10" t="s">
        <v>414</v>
      </c>
      <c r="D27" s="10" t="s">
        <v>415</v>
      </c>
      <c r="E27" s="20">
        <v>12952.98</v>
      </c>
      <c r="F27" s="10" t="s">
        <v>411</v>
      </c>
      <c r="G27" s="10" t="s">
        <v>416</v>
      </c>
      <c r="H27" s="10" t="s">
        <v>417</v>
      </c>
    </row>
    <row r="28" spans="1:8" ht="26.4" x14ac:dyDescent="0.3">
      <c r="A28" s="12">
        <v>45748</v>
      </c>
      <c r="B28" s="10" t="s">
        <v>400</v>
      </c>
      <c r="C28" s="10" t="s">
        <v>414</v>
      </c>
      <c r="D28" s="10" t="s">
        <v>415</v>
      </c>
      <c r="E28" s="20">
        <v>10059.719999999999</v>
      </c>
      <c r="F28" s="10" t="s">
        <v>411</v>
      </c>
      <c r="G28" s="10" t="s">
        <v>416</v>
      </c>
      <c r="H28" s="10" t="s">
        <v>417</v>
      </c>
    </row>
    <row r="29" spans="1:8" ht="26.4" x14ac:dyDescent="0.3">
      <c r="A29" s="12">
        <v>45748</v>
      </c>
      <c r="B29" s="10" t="s">
        <v>418</v>
      </c>
      <c r="C29" s="10" t="s">
        <v>414</v>
      </c>
      <c r="D29" s="10" t="s">
        <v>415</v>
      </c>
      <c r="E29" s="20">
        <v>75062.259999999995</v>
      </c>
      <c r="F29" s="10" t="s">
        <v>411</v>
      </c>
      <c r="G29" s="10" t="s">
        <v>416</v>
      </c>
      <c r="H29" s="10" t="s">
        <v>417</v>
      </c>
    </row>
    <row r="30" spans="1:8" ht="26.4" x14ac:dyDescent="0.3">
      <c r="A30" s="12">
        <v>45748</v>
      </c>
      <c r="B30" s="10" t="s">
        <v>419</v>
      </c>
      <c r="C30" s="10" t="s">
        <v>414</v>
      </c>
      <c r="D30" s="10" t="s">
        <v>415</v>
      </c>
      <c r="E30" s="20">
        <v>36653.85</v>
      </c>
      <c r="F30" s="10" t="s">
        <v>411</v>
      </c>
      <c r="G30" s="10" t="s">
        <v>416</v>
      </c>
      <c r="H30" s="10" t="s">
        <v>417</v>
      </c>
    </row>
    <row r="31" spans="1:8" ht="26.4" x14ac:dyDescent="0.3">
      <c r="A31" s="12">
        <v>45748</v>
      </c>
      <c r="B31" s="10" t="s">
        <v>408</v>
      </c>
      <c r="C31" s="10" t="s">
        <v>414</v>
      </c>
      <c r="D31" s="10" t="s">
        <v>415</v>
      </c>
      <c r="E31" s="20">
        <v>43909.120000000003</v>
      </c>
      <c r="F31" s="10" t="s">
        <v>411</v>
      </c>
      <c r="G31" s="10" t="s">
        <v>416</v>
      </c>
      <c r="H31" s="10" t="s">
        <v>417</v>
      </c>
    </row>
    <row r="32" spans="1:8" x14ac:dyDescent="0.3">
      <c r="A32" s="12">
        <v>45748</v>
      </c>
      <c r="B32" s="10" t="s">
        <v>408</v>
      </c>
      <c r="C32" s="10" t="s">
        <v>420</v>
      </c>
      <c r="D32" s="10" t="s">
        <v>421</v>
      </c>
      <c r="E32" s="20">
        <v>693.8</v>
      </c>
      <c r="F32" s="10" t="s">
        <v>422</v>
      </c>
      <c r="G32" s="10" t="s">
        <v>423</v>
      </c>
      <c r="H32" s="10" t="s">
        <v>413</v>
      </c>
    </row>
    <row r="33" spans="1:8" ht="26.4" x14ac:dyDescent="0.3">
      <c r="A33" s="12">
        <v>45748</v>
      </c>
      <c r="B33" s="10" t="s">
        <v>419</v>
      </c>
      <c r="C33" s="10" t="s">
        <v>424</v>
      </c>
      <c r="D33" s="10" t="s">
        <v>425</v>
      </c>
      <c r="E33" s="20">
        <v>544.67999999999995</v>
      </c>
      <c r="F33" s="10" t="s">
        <v>422</v>
      </c>
      <c r="G33" s="10" t="s">
        <v>426</v>
      </c>
      <c r="H33" s="10" t="s">
        <v>417</v>
      </c>
    </row>
    <row r="34" spans="1:8" x14ac:dyDescent="0.3">
      <c r="A34" s="12">
        <v>45748</v>
      </c>
      <c r="B34" s="10" t="s">
        <v>408</v>
      </c>
      <c r="C34" s="10" t="s">
        <v>424</v>
      </c>
      <c r="D34" s="10" t="s">
        <v>427</v>
      </c>
      <c r="E34" s="20">
        <v>149.12</v>
      </c>
      <c r="F34" s="10" t="s">
        <v>422</v>
      </c>
      <c r="G34" s="10" t="s">
        <v>428</v>
      </c>
      <c r="H34" s="10" t="s">
        <v>417</v>
      </c>
    </row>
    <row r="35" spans="1:8" ht="26.4" x14ac:dyDescent="0.3">
      <c r="A35" s="12">
        <v>45748</v>
      </c>
      <c r="B35" s="10" t="s">
        <v>404</v>
      </c>
      <c r="C35" s="10" t="s">
        <v>429</v>
      </c>
      <c r="D35" s="10" t="s">
        <v>430</v>
      </c>
      <c r="E35" s="20">
        <v>1348.14</v>
      </c>
      <c r="F35" s="10" t="s">
        <v>431</v>
      </c>
      <c r="G35" s="10" t="s">
        <v>432</v>
      </c>
      <c r="H35" s="10" t="s">
        <v>413</v>
      </c>
    </row>
    <row r="36" spans="1:8" ht="26.4" x14ac:dyDescent="0.3">
      <c r="A36" s="12">
        <v>45748</v>
      </c>
      <c r="B36" s="10" t="s">
        <v>402</v>
      </c>
      <c r="C36" s="10" t="s">
        <v>429</v>
      </c>
      <c r="D36" s="10" t="s">
        <v>430</v>
      </c>
      <c r="E36" s="20">
        <v>429.61</v>
      </c>
      <c r="F36" s="10" t="s">
        <v>431</v>
      </c>
      <c r="G36" s="10" t="s">
        <v>432</v>
      </c>
      <c r="H36" s="10" t="s">
        <v>413</v>
      </c>
    </row>
    <row r="37" spans="1:8" ht="26.4" x14ac:dyDescent="0.3">
      <c r="A37" s="12">
        <v>45748</v>
      </c>
      <c r="B37" s="10" t="s">
        <v>403</v>
      </c>
      <c r="C37" s="10" t="s">
        <v>429</v>
      </c>
      <c r="D37" s="10" t="s">
        <v>430</v>
      </c>
      <c r="E37" s="20">
        <v>172.63</v>
      </c>
      <c r="F37" s="10" t="s">
        <v>431</v>
      </c>
      <c r="G37" s="10" t="s">
        <v>432</v>
      </c>
      <c r="H37" s="10" t="s">
        <v>413</v>
      </c>
    </row>
    <row r="38" spans="1:8" ht="26.4" x14ac:dyDescent="0.3">
      <c r="A38" s="12">
        <v>45748</v>
      </c>
      <c r="B38" s="10" t="s">
        <v>400</v>
      </c>
      <c r="C38" s="10" t="s">
        <v>429</v>
      </c>
      <c r="D38" s="10" t="s">
        <v>430</v>
      </c>
      <c r="E38" s="20">
        <v>412.29</v>
      </c>
      <c r="F38" s="10" t="s">
        <v>431</v>
      </c>
      <c r="G38" s="10" t="s">
        <v>432</v>
      </c>
      <c r="H38" s="10" t="s">
        <v>413</v>
      </c>
    </row>
    <row r="39" spans="1:8" x14ac:dyDescent="0.3">
      <c r="A39" s="12">
        <v>45748</v>
      </c>
      <c r="B39" s="10" t="s">
        <v>433</v>
      </c>
      <c r="C39" s="10" t="s">
        <v>434</v>
      </c>
      <c r="D39" s="10" t="s">
        <v>435</v>
      </c>
      <c r="E39" s="20">
        <v>878.66</v>
      </c>
      <c r="F39" s="10" t="s">
        <v>431</v>
      </c>
      <c r="G39" s="10" t="s">
        <v>436</v>
      </c>
      <c r="H39" s="10" t="s">
        <v>413</v>
      </c>
    </row>
    <row r="40" spans="1:8" ht="26.4" x14ac:dyDescent="0.3">
      <c r="A40" s="12">
        <v>45748</v>
      </c>
      <c r="B40" s="10" t="s">
        <v>437</v>
      </c>
      <c r="C40" s="10" t="s">
        <v>438</v>
      </c>
      <c r="D40" s="10" t="s">
        <v>439</v>
      </c>
      <c r="E40" s="20">
        <v>61213.19</v>
      </c>
      <c r="F40" s="10" t="s">
        <v>431</v>
      </c>
      <c r="G40" s="10" t="s">
        <v>440</v>
      </c>
      <c r="H40" s="10" t="s">
        <v>413</v>
      </c>
    </row>
    <row r="41" spans="1:8" x14ac:dyDescent="0.3">
      <c r="A41" s="12">
        <v>45748</v>
      </c>
      <c r="B41" s="10" t="s">
        <v>437</v>
      </c>
      <c r="C41" s="10" t="s">
        <v>441</v>
      </c>
      <c r="D41" s="10" t="s">
        <v>442</v>
      </c>
      <c r="E41" s="20">
        <v>8248.5499999999993</v>
      </c>
      <c r="F41" s="10" t="s">
        <v>431</v>
      </c>
      <c r="G41" s="10" t="s">
        <v>440</v>
      </c>
      <c r="H41" s="10" t="s">
        <v>413</v>
      </c>
    </row>
    <row r="42" spans="1:8" x14ac:dyDescent="0.3">
      <c r="A42" s="12">
        <v>45748</v>
      </c>
      <c r="B42" s="10" t="s">
        <v>403</v>
      </c>
      <c r="C42" s="10" t="s">
        <v>443</v>
      </c>
      <c r="D42" s="10" t="s">
        <v>444</v>
      </c>
      <c r="E42" s="20">
        <v>81.849999999999994</v>
      </c>
      <c r="F42" s="10" t="s">
        <v>431</v>
      </c>
      <c r="G42" s="10" t="s">
        <v>445</v>
      </c>
      <c r="H42" s="10" t="s">
        <v>413</v>
      </c>
    </row>
    <row r="43" spans="1:8" ht="26.4" x14ac:dyDescent="0.3">
      <c r="A43" s="12">
        <v>45748</v>
      </c>
      <c r="B43" s="10" t="s">
        <v>403</v>
      </c>
      <c r="C43" s="10" t="s">
        <v>446</v>
      </c>
      <c r="D43" s="10" t="s">
        <v>447</v>
      </c>
      <c r="E43" s="20">
        <v>60.01</v>
      </c>
      <c r="F43" s="10" t="s">
        <v>431</v>
      </c>
      <c r="G43" s="10" t="s">
        <v>445</v>
      </c>
      <c r="H43" s="10" t="s">
        <v>413</v>
      </c>
    </row>
    <row r="44" spans="1:8" x14ac:dyDescent="0.3">
      <c r="A44" s="12">
        <v>45748</v>
      </c>
      <c r="B44" s="10" t="s">
        <v>400</v>
      </c>
      <c r="C44" s="10" t="s">
        <v>448</v>
      </c>
      <c r="D44" s="10" t="s">
        <v>449</v>
      </c>
      <c r="E44" s="20">
        <v>1108.32</v>
      </c>
      <c r="F44" s="10" t="s">
        <v>431</v>
      </c>
      <c r="G44" s="10" t="s">
        <v>450</v>
      </c>
      <c r="H44" s="10" t="s">
        <v>413</v>
      </c>
    </row>
    <row r="45" spans="1:8" ht="26.4" x14ac:dyDescent="0.3">
      <c r="A45" s="12">
        <v>45748</v>
      </c>
      <c r="B45" s="10" t="s">
        <v>437</v>
      </c>
      <c r="C45" s="10" t="s">
        <v>451</v>
      </c>
      <c r="D45" s="10" t="s">
        <v>452</v>
      </c>
      <c r="E45" s="20">
        <v>12.64</v>
      </c>
      <c r="F45" s="10" t="s">
        <v>431</v>
      </c>
      <c r="G45" s="10" t="s">
        <v>453</v>
      </c>
      <c r="H45" s="10" t="s">
        <v>413</v>
      </c>
    </row>
    <row r="46" spans="1:8" x14ac:dyDescent="0.3">
      <c r="A46" s="12">
        <v>45778</v>
      </c>
      <c r="B46" s="10" t="s">
        <v>408</v>
      </c>
      <c r="C46" s="10" t="s">
        <v>409</v>
      </c>
      <c r="D46" s="10" t="s">
        <v>410</v>
      </c>
      <c r="E46" s="20">
        <v>538026.29</v>
      </c>
      <c r="F46" s="10" t="s">
        <v>411</v>
      </c>
      <c r="G46" s="10" t="s">
        <v>412</v>
      </c>
      <c r="H46" s="10" t="s">
        <v>413</v>
      </c>
    </row>
    <row r="47" spans="1:8" ht="26.4" x14ac:dyDescent="0.3">
      <c r="A47" s="12">
        <v>45778</v>
      </c>
      <c r="B47" s="10" t="s">
        <v>402</v>
      </c>
      <c r="C47" s="10" t="s">
        <v>414</v>
      </c>
      <c r="D47" s="10" t="s">
        <v>415</v>
      </c>
      <c r="E47" s="20">
        <v>147777.69</v>
      </c>
      <c r="F47" s="10" t="s">
        <v>411</v>
      </c>
      <c r="G47" s="10" t="s">
        <v>416</v>
      </c>
      <c r="H47" s="10" t="s">
        <v>417</v>
      </c>
    </row>
    <row r="48" spans="1:8" ht="26.4" x14ac:dyDescent="0.3">
      <c r="A48" s="12">
        <v>45778</v>
      </c>
      <c r="B48" s="10" t="s">
        <v>404</v>
      </c>
      <c r="C48" s="10" t="s">
        <v>414</v>
      </c>
      <c r="D48" s="10" t="s">
        <v>415</v>
      </c>
      <c r="E48" s="20">
        <v>212282.02</v>
      </c>
      <c r="F48" s="10" t="s">
        <v>411</v>
      </c>
      <c r="G48" s="10" t="s">
        <v>416</v>
      </c>
      <c r="H48" s="10" t="s">
        <v>417</v>
      </c>
    </row>
    <row r="49" spans="1:8" ht="26.4" x14ac:dyDescent="0.3">
      <c r="A49" s="12">
        <v>45778</v>
      </c>
      <c r="B49" s="10" t="s">
        <v>403</v>
      </c>
      <c r="C49" s="10" t="s">
        <v>414</v>
      </c>
      <c r="D49" s="10" t="s">
        <v>415</v>
      </c>
      <c r="E49" s="20">
        <v>13269.41</v>
      </c>
      <c r="F49" s="10" t="s">
        <v>411</v>
      </c>
      <c r="G49" s="10" t="s">
        <v>416</v>
      </c>
      <c r="H49" s="10" t="s">
        <v>417</v>
      </c>
    </row>
    <row r="50" spans="1:8" ht="26.4" x14ac:dyDescent="0.3">
      <c r="A50" s="12">
        <v>45778</v>
      </c>
      <c r="B50" s="10" t="s">
        <v>400</v>
      </c>
      <c r="C50" s="10" t="s">
        <v>414</v>
      </c>
      <c r="D50" s="10" t="s">
        <v>415</v>
      </c>
      <c r="E50" s="20">
        <v>11492.97</v>
      </c>
      <c r="F50" s="10" t="s">
        <v>411</v>
      </c>
      <c r="G50" s="10" t="s">
        <v>416</v>
      </c>
      <c r="H50" s="10" t="s">
        <v>417</v>
      </c>
    </row>
    <row r="51" spans="1:8" ht="26.4" x14ac:dyDescent="0.3">
      <c r="A51" s="12">
        <v>45778</v>
      </c>
      <c r="B51" s="10" t="s">
        <v>418</v>
      </c>
      <c r="C51" s="10" t="s">
        <v>414</v>
      </c>
      <c r="D51" s="10" t="s">
        <v>415</v>
      </c>
      <c r="E51" s="20">
        <v>72248.58</v>
      </c>
      <c r="F51" s="10" t="s">
        <v>411</v>
      </c>
      <c r="G51" s="10" t="s">
        <v>416</v>
      </c>
      <c r="H51" s="10" t="s">
        <v>417</v>
      </c>
    </row>
    <row r="52" spans="1:8" ht="26.4" x14ac:dyDescent="0.3">
      <c r="A52" s="12">
        <v>45778</v>
      </c>
      <c r="B52" s="10" t="s">
        <v>419</v>
      </c>
      <c r="C52" s="10" t="s">
        <v>414</v>
      </c>
      <c r="D52" s="10" t="s">
        <v>415</v>
      </c>
      <c r="E52" s="20">
        <v>39448.32</v>
      </c>
      <c r="F52" s="10" t="s">
        <v>411</v>
      </c>
      <c r="G52" s="10" t="s">
        <v>416</v>
      </c>
      <c r="H52" s="10" t="s">
        <v>417</v>
      </c>
    </row>
    <row r="53" spans="1:8" ht="26.4" x14ac:dyDescent="0.3">
      <c r="A53" s="12">
        <v>45778</v>
      </c>
      <c r="B53" s="10" t="s">
        <v>408</v>
      </c>
      <c r="C53" s="10" t="s">
        <v>414</v>
      </c>
      <c r="D53" s="10" t="s">
        <v>415</v>
      </c>
      <c r="E53" s="20">
        <v>41507.29</v>
      </c>
      <c r="F53" s="10" t="s">
        <v>411</v>
      </c>
      <c r="G53" s="10" t="s">
        <v>416</v>
      </c>
      <c r="H53" s="10" t="s">
        <v>417</v>
      </c>
    </row>
    <row r="54" spans="1:8" x14ac:dyDescent="0.3">
      <c r="A54" s="12">
        <v>45778</v>
      </c>
      <c r="B54" s="10" t="s">
        <v>408</v>
      </c>
      <c r="C54" s="10" t="s">
        <v>420</v>
      </c>
      <c r="D54" s="10" t="s">
        <v>421</v>
      </c>
      <c r="E54" s="20">
        <v>704.19</v>
      </c>
      <c r="F54" s="10" t="s">
        <v>422</v>
      </c>
      <c r="G54" s="10" t="s">
        <v>423</v>
      </c>
      <c r="H54" s="10" t="s">
        <v>413</v>
      </c>
    </row>
    <row r="55" spans="1:8" ht="26.4" x14ac:dyDescent="0.3">
      <c r="A55" s="12">
        <v>45778</v>
      </c>
      <c r="B55" s="10" t="s">
        <v>419</v>
      </c>
      <c r="C55" s="10" t="s">
        <v>424</v>
      </c>
      <c r="D55" s="10" t="s">
        <v>425</v>
      </c>
      <c r="E55" s="20">
        <v>567.25</v>
      </c>
      <c r="F55" s="10" t="s">
        <v>422</v>
      </c>
      <c r="G55" s="10" t="s">
        <v>426</v>
      </c>
      <c r="H55" s="10" t="s">
        <v>417</v>
      </c>
    </row>
    <row r="56" spans="1:8" x14ac:dyDescent="0.3">
      <c r="A56" s="12">
        <v>45778</v>
      </c>
      <c r="B56" s="10" t="s">
        <v>408</v>
      </c>
      <c r="C56" s="10" t="s">
        <v>424</v>
      </c>
      <c r="D56" s="10" t="s">
        <v>427</v>
      </c>
      <c r="E56" s="20">
        <v>136.94</v>
      </c>
      <c r="F56" s="10" t="s">
        <v>422</v>
      </c>
      <c r="G56" s="10" t="s">
        <v>428</v>
      </c>
      <c r="H56" s="10" t="s">
        <v>417</v>
      </c>
    </row>
    <row r="57" spans="1:8" ht="26.4" x14ac:dyDescent="0.3">
      <c r="A57" s="12">
        <v>45778</v>
      </c>
      <c r="B57" s="10" t="s">
        <v>404</v>
      </c>
      <c r="C57" s="10" t="s">
        <v>429</v>
      </c>
      <c r="D57" s="10" t="s">
        <v>430</v>
      </c>
      <c r="E57" s="20">
        <v>1287.53</v>
      </c>
      <c r="F57" s="10" t="s">
        <v>431</v>
      </c>
      <c r="G57" s="10" t="s">
        <v>432</v>
      </c>
      <c r="H57" s="10" t="s">
        <v>413</v>
      </c>
    </row>
    <row r="58" spans="1:8" ht="26.4" x14ac:dyDescent="0.3">
      <c r="A58" s="12">
        <v>45778</v>
      </c>
      <c r="B58" s="10" t="s">
        <v>402</v>
      </c>
      <c r="C58" s="10" t="s">
        <v>429</v>
      </c>
      <c r="D58" s="10" t="s">
        <v>430</v>
      </c>
      <c r="E58" s="20">
        <v>522.52</v>
      </c>
      <c r="F58" s="10" t="s">
        <v>431</v>
      </c>
      <c r="G58" s="10" t="s">
        <v>432</v>
      </c>
      <c r="H58" s="10" t="s">
        <v>413</v>
      </c>
    </row>
    <row r="59" spans="1:8" ht="26.4" x14ac:dyDescent="0.3">
      <c r="A59" s="12">
        <v>45778</v>
      </c>
      <c r="B59" s="10" t="s">
        <v>403</v>
      </c>
      <c r="C59" s="10" t="s">
        <v>429</v>
      </c>
      <c r="D59" s="10" t="s">
        <v>430</v>
      </c>
      <c r="E59" s="20">
        <v>188.7</v>
      </c>
      <c r="F59" s="10" t="s">
        <v>431</v>
      </c>
      <c r="G59" s="10" t="s">
        <v>432</v>
      </c>
      <c r="H59" s="10" t="s">
        <v>413</v>
      </c>
    </row>
    <row r="60" spans="1:8" ht="26.4" x14ac:dyDescent="0.3">
      <c r="A60" s="12">
        <v>45778</v>
      </c>
      <c r="B60" s="10" t="s">
        <v>400</v>
      </c>
      <c r="C60" s="10" t="s">
        <v>429</v>
      </c>
      <c r="D60" s="10" t="s">
        <v>430</v>
      </c>
      <c r="E60" s="20">
        <v>472.49</v>
      </c>
      <c r="F60" s="10" t="s">
        <v>431</v>
      </c>
      <c r="G60" s="10" t="s">
        <v>432</v>
      </c>
      <c r="H60" s="10" t="s">
        <v>413</v>
      </c>
    </row>
    <row r="61" spans="1:8" x14ac:dyDescent="0.3">
      <c r="A61" s="12">
        <v>45778</v>
      </c>
      <c r="B61" s="10" t="s">
        <v>433</v>
      </c>
      <c r="C61" s="10" t="s">
        <v>434</v>
      </c>
      <c r="D61" s="10" t="s">
        <v>435</v>
      </c>
      <c r="E61" s="20">
        <v>888.59</v>
      </c>
      <c r="F61" s="10" t="s">
        <v>431</v>
      </c>
      <c r="G61" s="10" t="s">
        <v>436</v>
      </c>
      <c r="H61" s="10" t="s">
        <v>413</v>
      </c>
    </row>
    <row r="62" spans="1:8" ht="26.4" x14ac:dyDescent="0.3">
      <c r="A62" s="12">
        <v>45778</v>
      </c>
      <c r="B62" s="10" t="s">
        <v>437</v>
      </c>
      <c r="C62" s="10" t="s">
        <v>438</v>
      </c>
      <c r="D62" s="10" t="s">
        <v>439</v>
      </c>
      <c r="E62" s="20">
        <v>62191.77</v>
      </c>
      <c r="F62" s="10" t="s">
        <v>431</v>
      </c>
      <c r="G62" s="10" t="s">
        <v>440</v>
      </c>
      <c r="H62" s="10" t="s">
        <v>413</v>
      </c>
    </row>
    <row r="63" spans="1:8" x14ac:dyDescent="0.3">
      <c r="A63" s="12">
        <v>45778</v>
      </c>
      <c r="B63" s="10" t="s">
        <v>437</v>
      </c>
      <c r="C63" s="10" t="s">
        <v>441</v>
      </c>
      <c r="D63" s="10" t="s">
        <v>442</v>
      </c>
      <c r="E63" s="20">
        <v>7182</v>
      </c>
      <c r="F63" s="10" t="s">
        <v>431</v>
      </c>
      <c r="G63" s="10" t="s">
        <v>440</v>
      </c>
      <c r="H63" s="10" t="s">
        <v>413</v>
      </c>
    </row>
    <row r="64" spans="1:8" x14ac:dyDescent="0.3">
      <c r="A64" s="12">
        <v>45778</v>
      </c>
      <c r="B64" s="10" t="s">
        <v>403</v>
      </c>
      <c r="C64" s="10" t="s">
        <v>443</v>
      </c>
      <c r="D64" s="10" t="s">
        <v>444</v>
      </c>
      <c r="E64" s="20">
        <v>94.95</v>
      </c>
      <c r="F64" s="10" t="s">
        <v>431</v>
      </c>
      <c r="G64" s="10" t="s">
        <v>445</v>
      </c>
      <c r="H64" s="10" t="s">
        <v>413</v>
      </c>
    </row>
    <row r="65" spans="1:8" ht="26.4" x14ac:dyDescent="0.3">
      <c r="A65" s="12">
        <v>45778</v>
      </c>
      <c r="B65" s="10" t="s">
        <v>403</v>
      </c>
      <c r="C65" s="10" t="s">
        <v>446</v>
      </c>
      <c r="D65" s="10" t="s">
        <v>447</v>
      </c>
      <c r="E65" s="20">
        <v>59.93</v>
      </c>
      <c r="F65" s="10" t="s">
        <v>431</v>
      </c>
      <c r="G65" s="10" t="s">
        <v>445</v>
      </c>
      <c r="H65" s="10" t="s">
        <v>413</v>
      </c>
    </row>
    <row r="66" spans="1:8" x14ac:dyDescent="0.3">
      <c r="A66" s="12">
        <v>45778</v>
      </c>
      <c r="B66" s="10" t="s">
        <v>400</v>
      </c>
      <c r="C66" s="10" t="s">
        <v>448</v>
      </c>
      <c r="D66" s="10" t="s">
        <v>449</v>
      </c>
      <c r="E66" s="20">
        <v>1158.47</v>
      </c>
      <c r="F66" s="10" t="s">
        <v>431</v>
      </c>
      <c r="G66" s="10" t="s">
        <v>450</v>
      </c>
      <c r="H66" s="10" t="s">
        <v>413</v>
      </c>
    </row>
    <row r="67" spans="1:8" ht="26.4" x14ac:dyDescent="0.3">
      <c r="A67" s="12">
        <v>45778</v>
      </c>
      <c r="B67" s="10" t="s">
        <v>437</v>
      </c>
      <c r="C67" s="10" t="s">
        <v>451</v>
      </c>
      <c r="D67" s="10" t="s">
        <v>452</v>
      </c>
      <c r="E67" s="20">
        <v>7.38</v>
      </c>
      <c r="F67" s="10" t="s">
        <v>431</v>
      </c>
      <c r="G67" s="10" t="s">
        <v>453</v>
      </c>
      <c r="H67" s="10" t="s">
        <v>413</v>
      </c>
    </row>
    <row r="68" spans="1:8" x14ac:dyDescent="0.3">
      <c r="A68" s="12">
        <v>45809</v>
      </c>
      <c r="B68" s="10" t="s">
        <v>408</v>
      </c>
      <c r="C68" s="10" t="s">
        <v>409</v>
      </c>
      <c r="D68" s="10" t="s">
        <v>410</v>
      </c>
      <c r="E68" s="20">
        <v>515423.14</v>
      </c>
      <c r="F68" s="10" t="s">
        <v>411</v>
      </c>
      <c r="G68" s="10" t="s">
        <v>412</v>
      </c>
      <c r="H68" s="10" t="s">
        <v>413</v>
      </c>
    </row>
    <row r="69" spans="1:8" ht="26.4" x14ac:dyDescent="0.3">
      <c r="A69" s="12">
        <v>45809</v>
      </c>
      <c r="B69" s="10" t="s">
        <v>402</v>
      </c>
      <c r="C69" s="10" t="s">
        <v>414</v>
      </c>
      <c r="D69" s="10" t="s">
        <v>415</v>
      </c>
      <c r="E69" s="20">
        <v>127527.82</v>
      </c>
      <c r="F69" s="10" t="s">
        <v>411</v>
      </c>
      <c r="G69" s="10" t="s">
        <v>416</v>
      </c>
      <c r="H69" s="10" t="s">
        <v>417</v>
      </c>
    </row>
    <row r="70" spans="1:8" ht="26.4" x14ac:dyDescent="0.3">
      <c r="A70" s="12">
        <v>45809</v>
      </c>
      <c r="B70" s="10" t="s">
        <v>404</v>
      </c>
      <c r="C70" s="10" t="s">
        <v>414</v>
      </c>
      <c r="D70" s="10" t="s">
        <v>415</v>
      </c>
      <c r="E70" s="20">
        <v>209892.59</v>
      </c>
      <c r="F70" s="10" t="s">
        <v>411</v>
      </c>
      <c r="G70" s="10" t="s">
        <v>416</v>
      </c>
      <c r="H70" s="10" t="s">
        <v>417</v>
      </c>
    </row>
    <row r="71" spans="1:8" ht="26.4" x14ac:dyDescent="0.3">
      <c r="A71" s="12">
        <v>45809</v>
      </c>
      <c r="B71" s="10" t="s">
        <v>403</v>
      </c>
      <c r="C71" s="10" t="s">
        <v>414</v>
      </c>
      <c r="D71" s="10" t="s">
        <v>415</v>
      </c>
      <c r="E71" s="20">
        <v>12589.74</v>
      </c>
      <c r="F71" s="10" t="s">
        <v>411</v>
      </c>
      <c r="G71" s="10" t="s">
        <v>416</v>
      </c>
      <c r="H71" s="10" t="s">
        <v>417</v>
      </c>
    </row>
    <row r="72" spans="1:8" ht="26.4" x14ac:dyDescent="0.3">
      <c r="A72" s="12">
        <v>45809</v>
      </c>
      <c r="B72" s="10" t="s">
        <v>400</v>
      </c>
      <c r="C72" s="10" t="s">
        <v>414</v>
      </c>
      <c r="D72" s="10" t="s">
        <v>415</v>
      </c>
      <c r="E72" s="20">
        <v>9945.76</v>
      </c>
      <c r="F72" s="10" t="s">
        <v>411</v>
      </c>
      <c r="G72" s="10" t="s">
        <v>416</v>
      </c>
      <c r="H72" s="10" t="s">
        <v>417</v>
      </c>
    </row>
    <row r="73" spans="1:8" ht="26.4" x14ac:dyDescent="0.3">
      <c r="A73" s="12">
        <v>45809</v>
      </c>
      <c r="B73" s="10" t="s">
        <v>418</v>
      </c>
      <c r="C73" s="10" t="s">
        <v>414</v>
      </c>
      <c r="D73" s="10" t="s">
        <v>415</v>
      </c>
      <c r="E73" s="20">
        <v>68734.47</v>
      </c>
      <c r="F73" s="10" t="s">
        <v>411</v>
      </c>
      <c r="G73" s="10" t="s">
        <v>416</v>
      </c>
      <c r="H73" s="10" t="s">
        <v>417</v>
      </c>
    </row>
    <row r="74" spans="1:8" ht="26.4" x14ac:dyDescent="0.3">
      <c r="A74" s="12">
        <v>45809</v>
      </c>
      <c r="B74" s="10" t="s">
        <v>419</v>
      </c>
      <c r="C74" s="10" t="s">
        <v>414</v>
      </c>
      <c r="D74" s="10" t="s">
        <v>415</v>
      </c>
      <c r="E74" s="20">
        <v>43262.239999999998</v>
      </c>
      <c r="F74" s="10" t="s">
        <v>411</v>
      </c>
      <c r="G74" s="10" t="s">
        <v>416</v>
      </c>
      <c r="H74" s="10" t="s">
        <v>417</v>
      </c>
    </row>
    <row r="75" spans="1:8" ht="26.4" x14ac:dyDescent="0.3">
      <c r="A75" s="12">
        <v>45809</v>
      </c>
      <c r="B75" s="10" t="s">
        <v>408</v>
      </c>
      <c r="C75" s="10" t="s">
        <v>414</v>
      </c>
      <c r="D75" s="10" t="s">
        <v>415</v>
      </c>
      <c r="E75" s="20">
        <v>43470.54</v>
      </c>
      <c r="F75" s="10" t="s">
        <v>411</v>
      </c>
      <c r="G75" s="10" t="s">
        <v>416</v>
      </c>
      <c r="H75" s="10" t="s">
        <v>417</v>
      </c>
    </row>
    <row r="76" spans="1:8" x14ac:dyDescent="0.3">
      <c r="A76" s="12">
        <v>45809</v>
      </c>
      <c r="B76" s="10" t="s">
        <v>408</v>
      </c>
      <c r="C76" s="10" t="s">
        <v>420</v>
      </c>
      <c r="D76" s="10" t="s">
        <v>421</v>
      </c>
      <c r="E76" s="20">
        <v>724.54</v>
      </c>
      <c r="F76" s="10" t="s">
        <v>422</v>
      </c>
      <c r="G76" s="10" t="s">
        <v>423</v>
      </c>
      <c r="H76" s="10" t="s">
        <v>413</v>
      </c>
    </row>
    <row r="77" spans="1:8" ht="26.4" x14ac:dyDescent="0.3">
      <c r="A77" s="12">
        <v>45809</v>
      </c>
      <c r="B77" s="10" t="s">
        <v>419</v>
      </c>
      <c r="C77" s="10" t="s">
        <v>424</v>
      </c>
      <c r="D77" s="10" t="s">
        <v>425</v>
      </c>
      <c r="E77" s="20">
        <v>589.02</v>
      </c>
      <c r="F77" s="10" t="s">
        <v>422</v>
      </c>
      <c r="G77" s="10" t="s">
        <v>426</v>
      </c>
      <c r="H77" s="10" t="s">
        <v>417</v>
      </c>
    </row>
    <row r="78" spans="1:8" x14ac:dyDescent="0.3">
      <c r="A78" s="12">
        <v>45809</v>
      </c>
      <c r="B78" s="10" t="s">
        <v>408</v>
      </c>
      <c r="C78" s="10" t="s">
        <v>424</v>
      </c>
      <c r="D78" s="10" t="s">
        <v>427</v>
      </c>
      <c r="E78" s="20">
        <v>135.52000000000001</v>
      </c>
      <c r="F78" s="10" t="s">
        <v>422</v>
      </c>
      <c r="G78" s="10" t="s">
        <v>428</v>
      </c>
      <c r="H78" s="10" t="s">
        <v>417</v>
      </c>
    </row>
    <row r="79" spans="1:8" ht="26.4" x14ac:dyDescent="0.3">
      <c r="A79" s="12">
        <v>45809</v>
      </c>
      <c r="B79" s="10" t="s">
        <v>404</v>
      </c>
      <c r="C79" s="10" t="s">
        <v>429</v>
      </c>
      <c r="D79" s="10" t="s">
        <v>430</v>
      </c>
      <c r="E79" s="20">
        <v>1379.55</v>
      </c>
      <c r="F79" s="10" t="s">
        <v>431</v>
      </c>
      <c r="G79" s="10" t="s">
        <v>432</v>
      </c>
      <c r="H79" s="10" t="s">
        <v>413</v>
      </c>
    </row>
    <row r="80" spans="1:8" ht="26.4" x14ac:dyDescent="0.3">
      <c r="A80" s="12">
        <v>45809</v>
      </c>
      <c r="B80" s="10" t="s">
        <v>402</v>
      </c>
      <c r="C80" s="10" t="s">
        <v>429</v>
      </c>
      <c r="D80" s="10" t="s">
        <v>430</v>
      </c>
      <c r="E80" s="20">
        <v>407.49</v>
      </c>
      <c r="F80" s="10" t="s">
        <v>431</v>
      </c>
      <c r="G80" s="10" t="s">
        <v>432</v>
      </c>
      <c r="H80" s="10" t="s">
        <v>413</v>
      </c>
    </row>
    <row r="81" spans="1:8" ht="26.4" x14ac:dyDescent="0.3">
      <c r="A81" s="12">
        <v>45809</v>
      </c>
      <c r="B81" s="10" t="s">
        <v>403</v>
      </c>
      <c r="C81" s="10" t="s">
        <v>429</v>
      </c>
      <c r="D81" s="10" t="s">
        <v>430</v>
      </c>
      <c r="E81" s="20">
        <v>176.75</v>
      </c>
      <c r="F81" s="10" t="s">
        <v>431</v>
      </c>
      <c r="G81" s="10" t="s">
        <v>432</v>
      </c>
      <c r="H81" s="10" t="s">
        <v>413</v>
      </c>
    </row>
    <row r="82" spans="1:8" ht="26.4" x14ac:dyDescent="0.3">
      <c r="A82" s="12">
        <v>45809</v>
      </c>
      <c r="B82" s="10" t="s">
        <v>400</v>
      </c>
      <c r="C82" s="10" t="s">
        <v>429</v>
      </c>
      <c r="D82" s="10" t="s">
        <v>430</v>
      </c>
      <c r="E82" s="20">
        <v>399.56</v>
      </c>
      <c r="F82" s="10" t="s">
        <v>431</v>
      </c>
      <c r="G82" s="10" t="s">
        <v>432</v>
      </c>
      <c r="H82" s="10" t="s">
        <v>413</v>
      </c>
    </row>
    <row r="83" spans="1:8" x14ac:dyDescent="0.3">
      <c r="A83" s="12">
        <v>45809</v>
      </c>
      <c r="B83" s="10" t="s">
        <v>433</v>
      </c>
      <c r="C83" s="10" t="s">
        <v>434</v>
      </c>
      <c r="D83" s="10" t="s">
        <v>435</v>
      </c>
      <c r="E83" s="20">
        <v>856.22</v>
      </c>
      <c r="F83" s="10" t="s">
        <v>431</v>
      </c>
      <c r="G83" s="10" t="s">
        <v>436</v>
      </c>
      <c r="H83" s="10" t="s">
        <v>413</v>
      </c>
    </row>
    <row r="84" spans="1:8" ht="26.4" x14ac:dyDescent="0.3">
      <c r="A84" s="12">
        <v>45809</v>
      </c>
      <c r="B84" s="10" t="s">
        <v>437</v>
      </c>
      <c r="C84" s="10" t="s">
        <v>438</v>
      </c>
      <c r="D84" s="10" t="s">
        <v>439</v>
      </c>
      <c r="E84" s="20">
        <v>58373.63</v>
      </c>
      <c r="F84" s="10" t="s">
        <v>431</v>
      </c>
      <c r="G84" s="10" t="s">
        <v>440</v>
      </c>
      <c r="H84" s="10" t="s">
        <v>413</v>
      </c>
    </row>
    <row r="85" spans="1:8" x14ac:dyDescent="0.3">
      <c r="A85" s="12">
        <v>45809</v>
      </c>
      <c r="B85" s="10" t="s">
        <v>437</v>
      </c>
      <c r="C85" s="10" t="s">
        <v>441</v>
      </c>
      <c r="D85" s="10" t="s">
        <v>442</v>
      </c>
      <c r="E85" s="20">
        <v>7172.57</v>
      </c>
      <c r="F85" s="10" t="s">
        <v>431</v>
      </c>
      <c r="G85" s="10" t="s">
        <v>440</v>
      </c>
      <c r="H85" s="10" t="s">
        <v>413</v>
      </c>
    </row>
    <row r="86" spans="1:8" x14ac:dyDescent="0.3">
      <c r="A86" s="12">
        <v>45809</v>
      </c>
      <c r="B86" s="10" t="s">
        <v>403</v>
      </c>
      <c r="C86" s="10" t="s">
        <v>443</v>
      </c>
      <c r="D86" s="10" t="s">
        <v>444</v>
      </c>
      <c r="E86" s="20">
        <v>84.53</v>
      </c>
      <c r="F86" s="10" t="s">
        <v>431</v>
      </c>
      <c r="G86" s="10" t="s">
        <v>445</v>
      </c>
      <c r="H86" s="10" t="s">
        <v>413</v>
      </c>
    </row>
    <row r="87" spans="1:8" ht="26.4" x14ac:dyDescent="0.3">
      <c r="A87" s="12">
        <v>45809</v>
      </c>
      <c r="B87" s="10" t="s">
        <v>403</v>
      </c>
      <c r="C87" s="10" t="s">
        <v>446</v>
      </c>
      <c r="D87" s="10" t="s">
        <v>447</v>
      </c>
      <c r="E87" s="20">
        <v>52.8</v>
      </c>
      <c r="F87" s="10" t="s">
        <v>431</v>
      </c>
      <c r="G87" s="10" t="s">
        <v>445</v>
      </c>
      <c r="H87" s="10" t="s">
        <v>413</v>
      </c>
    </row>
    <row r="88" spans="1:8" x14ac:dyDescent="0.3">
      <c r="A88" s="12">
        <v>45809</v>
      </c>
      <c r="B88" s="10" t="s">
        <v>400</v>
      </c>
      <c r="C88" s="10" t="s">
        <v>448</v>
      </c>
      <c r="D88" s="10" t="s">
        <v>449</v>
      </c>
      <c r="E88" s="20">
        <v>922.94</v>
      </c>
      <c r="F88" s="10" t="s">
        <v>431</v>
      </c>
      <c r="G88" s="10" t="s">
        <v>450</v>
      </c>
      <c r="H88" s="10" t="s">
        <v>413</v>
      </c>
    </row>
    <row r="89" spans="1:8" ht="26.4" x14ac:dyDescent="0.3">
      <c r="A89" s="12">
        <v>45809</v>
      </c>
      <c r="B89" s="10" t="s">
        <v>437</v>
      </c>
      <c r="C89" s="10" t="s">
        <v>451</v>
      </c>
      <c r="D89" s="10" t="s">
        <v>452</v>
      </c>
      <c r="E89" s="20">
        <v>9.26</v>
      </c>
      <c r="F89" s="10" t="s">
        <v>431</v>
      </c>
      <c r="G89" s="10" t="s">
        <v>453</v>
      </c>
      <c r="H89" s="10" t="s">
        <v>413</v>
      </c>
    </row>
    <row r="90" spans="1:8" x14ac:dyDescent="0.3">
      <c r="A90" s="12">
        <v>45839</v>
      </c>
      <c r="B90" s="10" t="s">
        <v>408</v>
      </c>
      <c r="C90" s="10" t="s">
        <v>409</v>
      </c>
      <c r="D90" s="10" t="s">
        <v>410</v>
      </c>
      <c r="E90" s="20">
        <v>620886.12</v>
      </c>
      <c r="F90" s="10" t="s">
        <v>411</v>
      </c>
      <c r="G90" s="10" t="s">
        <v>412</v>
      </c>
      <c r="H90" s="10" t="s">
        <v>413</v>
      </c>
    </row>
    <row r="91" spans="1:8" ht="26.4" x14ac:dyDescent="0.3">
      <c r="A91" s="12">
        <v>45839</v>
      </c>
      <c r="B91" s="10" t="s">
        <v>402</v>
      </c>
      <c r="C91" s="10" t="s">
        <v>414</v>
      </c>
      <c r="D91" s="10" t="s">
        <v>415</v>
      </c>
      <c r="E91" s="20">
        <v>155541.65</v>
      </c>
      <c r="F91" s="10" t="s">
        <v>411</v>
      </c>
      <c r="G91" s="10" t="s">
        <v>416</v>
      </c>
      <c r="H91" s="10" t="s">
        <v>417</v>
      </c>
    </row>
    <row r="92" spans="1:8" ht="26.4" x14ac:dyDescent="0.3">
      <c r="A92" s="12">
        <v>45839</v>
      </c>
      <c r="B92" s="10" t="s">
        <v>404</v>
      </c>
      <c r="C92" s="10" t="s">
        <v>414</v>
      </c>
      <c r="D92" s="10" t="s">
        <v>415</v>
      </c>
      <c r="E92" s="20">
        <v>255933.65</v>
      </c>
      <c r="F92" s="10" t="s">
        <v>411</v>
      </c>
      <c r="G92" s="10" t="s">
        <v>416</v>
      </c>
      <c r="H92" s="10" t="s">
        <v>417</v>
      </c>
    </row>
    <row r="93" spans="1:8" ht="26.4" x14ac:dyDescent="0.3">
      <c r="A93" s="12">
        <v>45839</v>
      </c>
      <c r="B93" s="10" t="s">
        <v>403</v>
      </c>
      <c r="C93" s="10" t="s">
        <v>414</v>
      </c>
      <c r="D93" s="10" t="s">
        <v>415</v>
      </c>
      <c r="E93" s="20">
        <v>15942.16</v>
      </c>
      <c r="F93" s="10" t="s">
        <v>411</v>
      </c>
      <c r="G93" s="10" t="s">
        <v>416</v>
      </c>
      <c r="H93" s="10" t="s">
        <v>417</v>
      </c>
    </row>
    <row r="94" spans="1:8" ht="26.4" x14ac:dyDescent="0.3">
      <c r="A94" s="12">
        <v>45839</v>
      </c>
      <c r="B94" s="10" t="s">
        <v>400</v>
      </c>
      <c r="C94" s="10" t="s">
        <v>414</v>
      </c>
      <c r="D94" s="10" t="s">
        <v>415</v>
      </c>
      <c r="E94" s="20">
        <v>12583.88</v>
      </c>
      <c r="F94" s="10" t="s">
        <v>411</v>
      </c>
      <c r="G94" s="10" t="s">
        <v>416</v>
      </c>
      <c r="H94" s="10" t="s">
        <v>417</v>
      </c>
    </row>
    <row r="95" spans="1:8" ht="26.4" x14ac:dyDescent="0.3">
      <c r="A95" s="12">
        <v>45839</v>
      </c>
      <c r="B95" s="10" t="s">
        <v>418</v>
      </c>
      <c r="C95" s="10" t="s">
        <v>414</v>
      </c>
      <c r="D95" s="10" t="s">
        <v>415</v>
      </c>
      <c r="E95" s="20">
        <v>83128.61</v>
      </c>
      <c r="F95" s="10" t="s">
        <v>411</v>
      </c>
      <c r="G95" s="10" t="s">
        <v>416</v>
      </c>
      <c r="H95" s="10" t="s">
        <v>417</v>
      </c>
    </row>
    <row r="96" spans="1:8" ht="26.4" x14ac:dyDescent="0.3">
      <c r="A96" s="12">
        <v>45839</v>
      </c>
      <c r="B96" s="10" t="s">
        <v>419</v>
      </c>
      <c r="C96" s="10" t="s">
        <v>414</v>
      </c>
      <c r="D96" s="10" t="s">
        <v>415</v>
      </c>
      <c r="E96" s="20">
        <v>54773.91</v>
      </c>
      <c r="F96" s="10" t="s">
        <v>411</v>
      </c>
      <c r="G96" s="10" t="s">
        <v>416</v>
      </c>
      <c r="H96" s="10" t="s">
        <v>417</v>
      </c>
    </row>
    <row r="97" spans="1:8" ht="26.4" x14ac:dyDescent="0.3">
      <c r="A97" s="12">
        <v>45839</v>
      </c>
      <c r="B97" s="10" t="s">
        <v>408</v>
      </c>
      <c r="C97" s="10" t="s">
        <v>414</v>
      </c>
      <c r="D97" s="10" t="s">
        <v>415</v>
      </c>
      <c r="E97" s="20">
        <v>42982.26</v>
      </c>
      <c r="F97" s="10" t="s">
        <v>411</v>
      </c>
      <c r="G97" s="10" t="s">
        <v>416</v>
      </c>
      <c r="H97" s="10" t="s">
        <v>417</v>
      </c>
    </row>
    <row r="98" spans="1:8" x14ac:dyDescent="0.3">
      <c r="A98" s="12">
        <v>45839</v>
      </c>
      <c r="B98" s="10" t="s">
        <v>408</v>
      </c>
      <c r="C98" s="10" t="s">
        <v>420</v>
      </c>
      <c r="D98" s="10" t="s">
        <v>421</v>
      </c>
      <c r="E98" s="20">
        <v>934.86</v>
      </c>
      <c r="F98" s="10" t="s">
        <v>422</v>
      </c>
      <c r="G98" s="10" t="s">
        <v>423</v>
      </c>
      <c r="H98" s="10" t="s">
        <v>413</v>
      </c>
    </row>
    <row r="99" spans="1:8" ht="26.4" x14ac:dyDescent="0.3">
      <c r="A99" s="12">
        <v>45839</v>
      </c>
      <c r="B99" s="10" t="s">
        <v>419</v>
      </c>
      <c r="C99" s="10" t="s">
        <v>424</v>
      </c>
      <c r="D99" s="10" t="s">
        <v>425</v>
      </c>
      <c r="E99" s="20">
        <v>763.85</v>
      </c>
      <c r="F99" s="10" t="s">
        <v>422</v>
      </c>
      <c r="G99" s="10" t="s">
        <v>426</v>
      </c>
      <c r="H99" s="10" t="s">
        <v>417</v>
      </c>
    </row>
    <row r="100" spans="1:8" x14ac:dyDescent="0.3">
      <c r="A100" s="12">
        <v>45839</v>
      </c>
      <c r="B100" s="10" t="s">
        <v>408</v>
      </c>
      <c r="C100" s="10" t="s">
        <v>424</v>
      </c>
      <c r="D100" s="10" t="s">
        <v>427</v>
      </c>
      <c r="E100" s="20">
        <v>171.01</v>
      </c>
      <c r="F100" s="10" t="s">
        <v>422</v>
      </c>
      <c r="G100" s="10" t="s">
        <v>428</v>
      </c>
      <c r="H100" s="10" t="s">
        <v>417</v>
      </c>
    </row>
    <row r="101" spans="1:8" ht="26.4" x14ac:dyDescent="0.3">
      <c r="A101" s="12">
        <v>45839</v>
      </c>
      <c r="B101" s="10" t="s">
        <v>404</v>
      </c>
      <c r="C101" s="10" t="s">
        <v>429</v>
      </c>
      <c r="D101" s="10" t="s">
        <v>430</v>
      </c>
      <c r="E101" s="20">
        <v>1469.39</v>
      </c>
      <c r="F101" s="10" t="s">
        <v>431</v>
      </c>
      <c r="G101" s="10" t="s">
        <v>432</v>
      </c>
      <c r="H101" s="10" t="s">
        <v>413</v>
      </c>
    </row>
    <row r="102" spans="1:8" ht="26.4" x14ac:dyDescent="0.3">
      <c r="A102" s="12">
        <v>45839</v>
      </c>
      <c r="B102" s="10" t="s">
        <v>402</v>
      </c>
      <c r="C102" s="10" t="s">
        <v>429</v>
      </c>
      <c r="D102" s="10" t="s">
        <v>430</v>
      </c>
      <c r="E102" s="20">
        <v>454.29</v>
      </c>
      <c r="F102" s="10" t="s">
        <v>431</v>
      </c>
      <c r="G102" s="10" t="s">
        <v>432</v>
      </c>
      <c r="H102" s="10" t="s">
        <v>413</v>
      </c>
    </row>
    <row r="103" spans="1:8" ht="26.4" x14ac:dyDescent="0.3">
      <c r="A103" s="12">
        <v>45839</v>
      </c>
      <c r="B103" s="10" t="s">
        <v>403</v>
      </c>
      <c r="C103" s="10" t="s">
        <v>429</v>
      </c>
      <c r="D103" s="10" t="s">
        <v>430</v>
      </c>
      <c r="E103" s="20">
        <v>243.38</v>
      </c>
      <c r="F103" s="10" t="s">
        <v>431</v>
      </c>
      <c r="G103" s="10" t="s">
        <v>432</v>
      </c>
      <c r="H103" s="10" t="s">
        <v>413</v>
      </c>
    </row>
    <row r="104" spans="1:8" ht="26.4" x14ac:dyDescent="0.3">
      <c r="A104" s="12">
        <v>45839</v>
      </c>
      <c r="B104" s="10" t="s">
        <v>400</v>
      </c>
      <c r="C104" s="10" t="s">
        <v>429</v>
      </c>
      <c r="D104" s="10" t="s">
        <v>430</v>
      </c>
      <c r="E104" s="20">
        <v>471.67</v>
      </c>
      <c r="F104" s="10" t="s">
        <v>431</v>
      </c>
      <c r="G104" s="10" t="s">
        <v>432</v>
      </c>
      <c r="H104" s="10" t="s">
        <v>413</v>
      </c>
    </row>
    <row r="105" spans="1:8" x14ac:dyDescent="0.3">
      <c r="A105" s="12">
        <v>45839</v>
      </c>
      <c r="B105" s="10" t="s">
        <v>433</v>
      </c>
      <c r="C105" s="10" t="s">
        <v>434</v>
      </c>
      <c r="D105" s="10" t="s">
        <v>435</v>
      </c>
      <c r="E105" s="20">
        <v>1006.05</v>
      </c>
      <c r="F105" s="10" t="s">
        <v>431</v>
      </c>
      <c r="G105" s="10" t="s">
        <v>436</v>
      </c>
      <c r="H105" s="10" t="s">
        <v>413</v>
      </c>
    </row>
    <row r="106" spans="1:8" ht="26.4" x14ac:dyDescent="0.3">
      <c r="A106" s="12">
        <v>45839</v>
      </c>
      <c r="B106" s="10" t="s">
        <v>437</v>
      </c>
      <c r="C106" s="10" t="s">
        <v>438</v>
      </c>
      <c r="D106" s="10" t="s">
        <v>439</v>
      </c>
      <c r="E106" s="20">
        <v>67664.240000000005</v>
      </c>
      <c r="F106" s="10" t="s">
        <v>431</v>
      </c>
      <c r="G106" s="10" t="s">
        <v>440</v>
      </c>
      <c r="H106" s="10" t="s">
        <v>413</v>
      </c>
    </row>
    <row r="107" spans="1:8" x14ac:dyDescent="0.3">
      <c r="A107" s="12">
        <v>45839</v>
      </c>
      <c r="B107" s="10" t="s">
        <v>437</v>
      </c>
      <c r="C107" s="10" t="s">
        <v>441</v>
      </c>
      <c r="D107" s="10" t="s">
        <v>442</v>
      </c>
      <c r="E107" s="20">
        <v>6990.57</v>
      </c>
      <c r="F107" s="10" t="s">
        <v>431</v>
      </c>
      <c r="G107" s="10" t="s">
        <v>440</v>
      </c>
      <c r="H107" s="10" t="s">
        <v>413</v>
      </c>
    </row>
    <row r="108" spans="1:8" x14ac:dyDescent="0.3">
      <c r="A108" s="12">
        <v>45839</v>
      </c>
      <c r="B108" s="10" t="s">
        <v>403</v>
      </c>
      <c r="C108" s="10" t="s">
        <v>443</v>
      </c>
      <c r="D108" s="10" t="s">
        <v>444</v>
      </c>
      <c r="E108" s="20">
        <v>112.89</v>
      </c>
      <c r="F108" s="10" t="s">
        <v>431</v>
      </c>
      <c r="G108" s="10" t="s">
        <v>445</v>
      </c>
      <c r="H108" s="10" t="s">
        <v>413</v>
      </c>
    </row>
    <row r="109" spans="1:8" ht="26.4" x14ac:dyDescent="0.3">
      <c r="A109" s="12">
        <v>45839</v>
      </c>
      <c r="B109" s="10" t="s">
        <v>403</v>
      </c>
      <c r="C109" s="10" t="s">
        <v>446</v>
      </c>
      <c r="D109" s="10" t="s">
        <v>447</v>
      </c>
      <c r="E109" s="20">
        <v>68.44</v>
      </c>
      <c r="F109" s="10" t="s">
        <v>431</v>
      </c>
      <c r="G109" s="10" t="s">
        <v>445</v>
      </c>
      <c r="H109" s="10" t="s">
        <v>413</v>
      </c>
    </row>
    <row r="110" spans="1:8" x14ac:dyDescent="0.3">
      <c r="A110" s="12">
        <v>45839</v>
      </c>
      <c r="B110" s="10" t="s">
        <v>400</v>
      </c>
      <c r="C110" s="10" t="s">
        <v>448</v>
      </c>
      <c r="D110" s="10" t="s">
        <v>449</v>
      </c>
      <c r="E110" s="20">
        <v>1208.0999999999999</v>
      </c>
      <c r="F110" s="10" t="s">
        <v>431</v>
      </c>
      <c r="G110" s="10" t="s">
        <v>450</v>
      </c>
      <c r="H110" s="10" t="s">
        <v>413</v>
      </c>
    </row>
    <row r="111" spans="1:8" ht="26.4" x14ac:dyDescent="0.3">
      <c r="A111" s="12">
        <v>45839</v>
      </c>
      <c r="B111" s="10" t="s">
        <v>437</v>
      </c>
      <c r="C111" s="10" t="s">
        <v>451</v>
      </c>
      <c r="D111" s="10" t="s">
        <v>452</v>
      </c>
      <c r="E111" s="20">
        <v>9.49</v>
      </c>
      <c r="F111" s="10" t="s">
        <v>431</v>
      </c>
      <c r="G111" s="10" t="s">
        <v>453</v>
      </c>
      <c r="H111" s="10" t="s">
        <v>413</v>
      </c>
    </row>
    <row r="112" spans="1:8" x14ac:dyDescent="0.3">
      <c r="A112" s="12">
        <v>45870</v>
      </c>
      <c r="B112" s="10" t="s">
        <v>408</v>
      </c>
      <c r="C112" s="10" t="s">
        <v>409</v>
      </c>
      <c r="D112" s="10" t="s">
        <v>410</v>
      </c>
      <c r="E112" s="20">
        <v>586900.91</v>
      </c>
      <c r="F112" s="10" t="s">
        <v>411</v>
      </c>
      <c r="G112" s="10" t="s">
        <v>412</v>
      </c>
      <c r="H112" s="10" t="s">
        <v>413</v>
      </c>
    </row>
    <row r="113" spans="1:8" ht="26.4" x14ac:dyDescent="0.3">
      <c r="A113" s="12">
        <v>45870</v>
      </c>
      <c r="B113" s="10" t="s">
        <v>402</v>
      </c>
      <c r="C113" s="10" t="s">
        <v>414</v>
      </c>
      <c r="D113" s="10" t="s">
        <v>415</v>
      </c>
      <c r="E113" s="20">
        <v>150414.85999999999</v>
      </c>
      <c r="F113" s="10" t="s">
        <v>411</v>
      </c>
      <c r="G113" s="10" t="s">
        <v>416</v>
      </c>
      <c r="H113" s="10" t="s">
        <v>417</v>
      </c>
    </row>
    <row r="114" spans="1:8" ht="26.4" x14ac:dyDescent="0.3">
      <c r="A114" s="12">
        <v>45870</v>
      </c>
      <c r="B114" s="10" t="s">
        <v>404</v>
      </c>
      <c r="C114" s="10" t="s">
        <v>414</v>
      </c>
      <c r="D114" s="10" t="s">
        <v>415</v>
      </c>
      <c r="E114" s="20">
        <v>232059.57</v>
      </c>
      <c r="F114" s="10" t="s">
        <v>411</v>
      </c>
      <c r="G114" s="10" t="s">
        <v>416</v>
      </c>
      <c r="H114" s="10" t="s">
        <v>417</v>
      </c>
    </row>
    <row r="115" spans="1:8" ht="26.4" x14ac:dyDescent="0.3">
      <c r="A115" s="12">
        <v>45870</v>
      </c>
      <c r="B115" s="10" t="s">
        <v>403</v>
      </c>
      <c r="C115" s="10" t="s">
        <v>414</v>
      </c>
      <c r="D115" s="10" t="s">
        <v>415</v>
      </c>
      <c r="E115" s="20">
        <v>8254.74</v>
      </c>
      <c r="F115" s="10" t="s">
        <v>411</v>
      </c>
      <c r="G115" s="10" t="s">
        <v>416</v>
      </c>
      <c r="H115" s="10" t="s">
        <v>417</v>
      </c>
    </row>
    <row r="116" spans="1:8" ht="26.4" x14ac:dyDescent="0.3">
      <c r="A116" s="12">
        <v>45870</v>
      </c>
      <c r="B116" s="10" t="s">
        <v>400</v>
      </c>
      <c r="C116" s="10" t="s">
        <v>414</v>
      </c>
      <c r="D116" s="10" t="s">
        <v>415</v>
      </c>
      <c r="E116" s="20">
        <v>13209.51</v>
      </c>
      <c r="F116" s="10" t="s">
        <v>411</v>
      </c>
      <c r="G116" s="10" t="s">
        <v>416</v>
      </c>
      <c r="H116" s="10" t="s">
        <v>417</v>
      </c>
    </row>
    <row r="117" spans="1:8" ht="26.4" x14ac:dyDescent="0.3">
      <c r="A117" s="12">
        <v>45870</v>
      </c>
      <c r="B117" s="10" t="s">
        <v>418</v>
      </c>
      <c r="C117" s="10" t="s">
        <v>414</v>
      </c>
      <c r="D117" s="10" t="s">
        <v>415</v>
      </c>
      <c r="E117" s="20">
        <v>77888.22</v>
      </c>
      <c r="F117" s="10" t="s">
        <v>411</v>
      </c>
      <c r="G117" s="10" t="s">
        <v>416</v>
      </c>
      <c r="H117" s="10" t="s">
        <v>417</v>
      </c>
    </row>
    <row r="118" spans="1:8" ht="26.4" x14ac:dyDescent="0.3">
      <c r="A118" s="12">
        <v>45870</v>
      </c>
      <c r="B118" s="10" t="s">
        <v>419</v>
      </c>
      <c r="C118" s="10" t="s">
        <v>414</v>
      </c>
      <c r="D118" s="10" t="s">
        <v>415</v>
      </c>
      <c r="E118" s="20">
        <v>54405.39</v>
      </c>
      <c r="F118" s="10" t="s">
        <v>411</v>
      </c>
      <c r="G118" s="10" t="s">
        <v>416</v>
      </c>
      <c r="H118" s="10" t="s">
        <v>417</v>
      </c>
    </row>
    <row r="119" spans="1:8" ht="26.4" x14ac:dyDescent="0.3">
      <c r="A119" s="12">
        <v>45870</v>
      </c>
      <c r="B119" s="10" t="s">
        <v>408</v>
      </c>
      <c r="C119" s="10" t="s">
        <v>414</v>
      </c>
      <c r="D119" s="10" t="s">
        <v>415</v>
      </c>
      <c r="E119" s="20">
        <v>50668.61</v>
      </c>
      <c r="F119" s="10" t="s">
        <v>411</v>
      </c>
      <c r="G119" s="10" t="s">
        <v>416</v>
      </c>
      <c r="H119" s="10" t="s">
        <v>417</v>
      </c>
    </row>
    <row r="120" spans="1:8" x14ac:dyDescent="0.3">
      <c r="A120" s="12">
        <v>45870</v>
      </c>
      <c r="B120" s="10" t="s">
        <v>408</v>
      </c>
      <c r="C120" s="10" t="s">
        <v>420</v>
      </c>
      <c r="D120" s="10" t="s">
        <v>421</v>
      </c>
      <c r="E120" s="20">
        <v>914.2</v>
      </c>
      <c r="F120" s="10" t="s">
        <v>422</v>
      </c>
      <c r="G120" s="10" t="s">
        <v>423</v>
      </c>
      <c r="H120" s="10" t="s">
        <v>413</v>
      </c>
    </row>
    <row r="121" spans="1:8" ht="26.4" x14ac:dyDescent="0.3">
      <c r="A121" s="12">
        <v>45870</v>
      </c>
      <c r="B121" s="10" t="s">
        <v>419</v>
      </c>
      <c r="C121" s="10" t="s">
        <v>424</v>
      </c>
      <c r="D121" s="10" t="s">
        <v>425</v>
      </c>
      <c r="E121" s="20">
        <v>778.07</v>
      </c>
      <c r="F121" s="10" t="s">
        <v>422</v>
      </c>
      <c r="G121" s="10" t="s">
        <v>426</v>
      </c>
      <c r="H121" s="10" t="s">
        <v>417</v>
      </c>
    </row>
    <row r="122" spans="1:8" x14ac:dyDescent="0.3">
      <c r="A122" s="12">
        <v>45870</v>
      </c>
      <c r="B122" s="10" t="s">
        <v>408</v>
      </c>
      <c r="C122" s="10" t="s">
        <v>424</v>
      </c>
      <c r="D122" s="10" t="s">
        <v>427</v>
      </c>
      <c r="E122" s="20">
        <v>136.13</v>
      </c>
      <c r="F122" s="10" t="s">
        <v>422</v>
      </c>
      <c r="G122" s="10" t="s">
        <v>428</v>
      </c>
      <c r="H122" s="10" t="s">
        <v>417</v>
      </c>
    </row>
    <row r="123" spans="1:8" ht="26.4" x14ac:dyDescent="0.3">
      <c r="A123" s="12">
        <v>45870</v>
      </c>
      <c r="B123" s="10" t="s">
        <v>404</v>
      </c>
      <c r="C123" s="10" t="s">
        <v>429</v>
      </c>
      <c r="D123" s="10" t="s">
        <v>430</v>
      </c>
      <c r="E123" s="20">
        <v>1663.95</v>
      </c>
      <c r="F123" s="10" t="s">
        <v>431</v>
      </c>
      <c r="G123" s="10" t="s">
        <v>432</v>
      </c>
      <c r="H123" s="10" t="s">
        <v>413</v>
      </c>
    </row>
    <row r="124" spans="1:8" ht="26.4" x14ac:dyDescent="0.3">
      <c r="A124" s="12">
        <v>45870</v>
      </c>
      <c r="B124" s="10" t="s">
        <v>402</v>
      </c>
      <c r="C124" s="10" t="s">
        <v>429</v>
      </c>
      <c r="D124" s="10" t="s">
        <v>430</v>
      </c>
      <c r="E124" s="20">
        <v>474.08</v>
      </c>
      <c r="F124" s="10" t="s">
        <v>431</v>
      </c>
      <c r="G124" s="10" t="s">
        <v>432</v>
      </c>
      <c r="H124" s="10" t="s">
        <v>413</v>
      </c>
    </row>
    <row r="125" spans="1:8" ht="26.4" x14ac:dyDescent="0.3">
      <c r="A125" s="12">
        <v>45870</v>
      </c>
      <c r="B125" s="10" t="s">
        <v>403</v>
      </c>
      <c r="C125" s="10" t="s">
        <v>429</v>
      </c>
      <c r="D125" s="10" t="s">
        <v>430</v>
      </c>
      <c r="E125" s="20">
        <v>121.44</v>
      </c>
      <c r="F125" s="10" t="s">
        <v>431</v>
      </c>
      <c r="G125" s="10" t="s">
        <v>432</v>
      </c>
      <c r="H125" s="10" t="s">
        <v>413</v>
      </c>
    </row>
    <row r="126" spans="1:8" ht="26.4" x14ac:dyDescent="0.3">
      <c r="A126" s="12">
        <v>45870</v>
      </c>
      <c r="B126" s="10" t="s">
        <v>400</v>
      </c>
      <c r="C126" s="10" t="s">
        <v>429</v>
      </c>
      <c r="D126" s="10" t="s">
        <v>430</v>
      </c>
      <c r="E126" s="20">
        <v>473.44</v>
      </c>
      <c r="F126" s="10" t="s">
        <v>431</v>
      </c>
      <c r="G126" s="10" t="s">
        <v>432</v>
      </c>
      <c r="H126" s="10" t="s">
        <v>413</v>
      </c>
    </row>
    <row r="127" spans="1:8" x14ac:dyDescent="0.3">
      <c r="A127" s="12">
        <v>45870</v>
      </c>
      <c r="B127" s="10" t="s">
        <v>433</v>
      </c>
      <c r="C127" s="10" t="s">
        <v>434</v>
      </c>
      <c r="D127" s="10" t="s">
        <v>435</v>
      </c>
      <c r="E127" s="20">
        <v>981.12</v>
      </c>
      <c r="F127" s="10" t="s">
        <v>431</v>
      </c>
      <c r="G127" s="10" t="s">
        <v>436</v>
      </c>
      <c r="H127" s="10" t="s">
        <v>413</v>
      </c>
    </row>
    <row r="128" spans="1:8" ht="26.4" x14ac:dyDescent="0.3">
      <c r="A128" s="12">
        <v>45870</v>
      </c>
      <c r="B128" s="10" t="s">
        <v>437</v>
      </c>
      <c r="C128" s="10" t="s">
        <v>438</v>
      </c>
      <c r="D128" s="10" t="s">
        <v>439</v>
      </c>
      <c r="E128" s="20">
        <v>68980.399999999994</v>
      </c>
      <c r="F128" s="10" t="s">
        <v>431</v>
      </c>
      <c r="G128" s="10" t="s">
        <v>440</v>
      </c>
      <c r="H128" s="10" t="s">
        <v>413</v>
      </c>
    </row>
    <row r="129" spans="1:8" x14ac:dyDescent="0.3">
      <c r="A129" s="12">
        <v>45870</v>
      </c>
      <c r="B129" s="10" t="s">
        <v>437</v>
      </c>
      <c r="C129" s="10" t="s">
        <v>441</v>
      </c>
      <c r="D129" s="10" t="s">
        <v>442</v>
      </c>
      <c r="E129" s="20">
        <v>8337.42</v>
      </c>
      <c r="F129" s="10" t="s">
        <v>431</v>
      </c>
      <c r="G129" s="10" t="s">
        <v>440</v>
      </c>
      <c r="H129" s="10" t="s">
        <v>413</v>
      </c>
    </row>
    <row r="130" spans="1:8" x14ac:dyDescent="0.3">
      <c r="A130" s="12">
        <v>45870</v>
      </c>
      <c r="B130" s="10" t="s">
        <v>403</v>
      </c>
      <c r="C130" s="10" t="s">
        <v>443</v>
      </c>
      <c r="D130" s="10" t="s">
        <v>444</v>
      </c>
      <c r="E130" s="20">
        <v>58.37</v>
      </c>
      <c r="F130" s="10" t="s">
        <v>431</v>
      </c>
      <c r="G130" s="10" t="s">
        <v>445</v>
      </c>
      <c r="H130" s="10" t="s">
        <v>413</v>
      </c>
    </row>
    <row r="131" spans="1:8" ht="26.4" x14ac:dyDescent="0.3">
      <c r="A131" s="12">
        <v>45870</v>
      </c>
      <c r="B131" s="10" t="s">
        <v>403</v>
      </c>
      <c r="C131" s="10" t="s">
        <v>446</v>
      </c>
      <c r="D131" s="10" t="s">
        <v>447</v>
      </c>
      <c r="E131" s="20">
        <v>37.4</v>
      </c>
      <c r="F131" s="10" t="s">
        <v>431</v>
      </c>
      <c r="G131" s="10" t="s">
        <v>445</v>
      </c>
      <c r="H131" s="10" t="s">
        <v>413</v>
      </c>
    </row>
    <row r="132" spans="1:8" x14ac:dyDescent="0.3">
      <c r="A132" s="12">
        <v>45870</v>
      </c>
      <c r="B132" s="10" t="s">
        <v>400</v>
      </c>
      <c r="C132" s="10" t="s">
        <v>448</v>
      </c>
      <c r="D132" s="10" t="s">
        <v>449</v>
      </c>
      <c r="E132" s="20">
        <v>1346.04</v>
      </c>
      <c r="F132" s="10" t="s">
        <v>431</v>
      </c>
      <c r="G132" s="10" t="s">
        <v>450</v>
      </c>
      <c r="H132" s="10" t="s">
        <v>413</v>
      </c>
    </row>
    <row r="133" spans="1:8" ht="26.4" x14ac:dyDescent="0.3">
      <c r="A133" s="12">
        <v>45870</v>
      </c>
      <c r="B133" s="10" t="s">
        <v>437</v>
      </c>
      <c r="C133" s="10" t="s">
        <v>451</v>
      </c>
      <c r="D133" s="10" t="s">
        <v>452</v>
      </c>
      <c r="E133" s="20">
        <v>7.06</v>
      </c>
      <c r="F133" s="10" t="s">
        <v>431</v>
      </c>
      <c r="G133" s="10" t="s">
        <v>453</v>
      </c>
      <c r="H133" s="10" t="s">
        <v>413</v>
      </c>
    </row>
    <row r="134" spans="1:8" x14ac:dyDescent="0.3">
      <c r="A134" s="12">
        <v>45901</v>
      </c>
      <c r="B134" s="10" t="s">
        <v>408</v>
      </c>
      <c r="C134" s="10" t="s">
        <v>409</v>
      </c>
      <c r="D134" s="10" t="s">
        <v>410</v>
      </c>
      <c r="E134" s="20">
        <v>569448.28</v>
      </c>
      <c r="F134" s="10" t="s">
        <v>411</v>
      </c>
      <c r="G134" s="10" t="s">
        <v>412</v>
      </c>
      <c r="H134" s="10" t="s">
        <v>413</v>
      </c>
    </row>
    <row r="135" spans="1:8" ht="26.4" x14ac:dyDescent="0.3">
      <c r="A135" s="12">
        <v>45901</v>
      </c>
      <c r="B135" s="10" t="s">
        <v>402</v>
      </c>
      <c r="C135" s="10" t="s">
        <v>414</v>
      </c>
      <c r="D135" s="10" t="s">
        <v>415</v>
      </c>
      <c r="E135" s="20">
        <v>151542.84</v>
      </c>
      <c r="F135" s="10" t="s">
        <v>411</v>
      </c>
      <c r="G135" s="10" t="s">
        <v>416</v>
      </c>
      <c r="H135" s="10" t="s">
        <v>417</v>
      </c>
    </row>
    <row r="136" spans="1:8" ht="26.4" x14ac:dyDescent="0.3">
      <c r="A136" s="12">
        <v>45901</v>
      </c>
      <c r="B136" s="10" t="s">
        <v>404</v>
      </c>
      <c r="C136" s="10" t="s">
        <v>414</v>
      </c>
      <c r="D136" s="10" t="s">
        <v>415</v>
      </c>
      <c r="E136" s="20">
        <v>224732.31</v>
      </c>
      <c r="F136" s="10" t="s">
        <v>411</v>
      </c>
      <c r="G136" s="10" t="s">
        <v>416</v>
      </c>
      <c r="H136" s="10" t="s">
        <v>417</v>
      </c>
    </row>
    <row r="137" spans="1:8" ht="26.4" x14ac:dyDescent="0.3">
      <c r="A137" s="12">
        <v>45901</v>
      </c>
      <c r="B137" s="10" t="s">
        <v>403</v>
      </c>
      <c r="C137" s="10" t="s">
        <v>414</v>
      </c>
      <c r="D137" s="10" t="s">
        <v>415</v>
      </c>
      <c r="E137" s="20">
        <v>11962.94</v>
      </c>
      <c r="F137" s="10" t="s">
        <v>411</v>
      </c>
      <c r="G137" s="10" t="s">
        <v>416</v>
      </c>
      <c r="H137" s="10" t="s">
        <v>417</v>
      </c>
    </row>
    <row r="138" spans="1:8" ht="26.4" x14ac:dyDescent="0.3">
      <c r="A138" s="12">
        <v>45901</v>
      </c>
      <c r="B138" s="10" t="s">
        <v>400</v>
      </c>
      <c r="C138" s="10" t="s">
        <v>414</v>
      </c>
      <c r="D138" s="10" t="s">
        <v>415</v>
      </c>
      <c r="E138" s="20">
        <v>11135.96</v>
      </c>
      <c r="F138" s="10" t="s">
        <v>411</v>
      </c>
      <c r="G138" s="10" t="s">
        <v>416</v>
      </c>
      <c r="H138" s="10" t="s">
        <v>417</v>
      </c>
    </row>
    <row r="139" spans="1:8" ht="26.4" x14ac:dyDescent="0.3">
      <c r="A139" s="12">
        <v>45901</v>
      </c>
      <c r="B139" s="10" t="s">
        <v>418</v>
      </c>
      <c r="C139" s="10" t="s">
        <v>414</v>
      </c>
      <c r="D139" s="10" t="s">
        <v>415</v>
      </c>
      <c r="E139" s="20">
        <v>76055.41</v>
      </c>
      <c r="F139" s="10" t="s">
        <v>411</v>
      </c>
      <c r="G139" s="10" t="s">
        <v>416</v>
      </c>
      <c r="H139" s="10" t="s">
        <v>417</v>
      </c>
    </row>
    <row r="140" spans="1:8" ht="26.4" x14ac:dyDescent="0.3">
      <c r="A140" s="12">
        <v>45901</v>
      </c>
      <c r="B140" s="10" t="s">
        <v>419</v>
      </c>
      <c r="C140" s="10" t="s">
        <v>414</v>
      </c>
      <c r="D140" s="10" t="s">
        <v>415</v>
      </c>
      <c r="E140" s="20">
        <v>48367.48</v>
      </c>
      <c r="F140" s="10" t="s">
        <v>411</v>
      </c>
      <c r="G140" s="10" t="s">
        <v>416</v>
      </c>
      <c r="H140" s="10" t="s">
        <v>417</v>
      </c>
    </row>
    <row r="141" spans="1:8" ht="26.4" x14ac:dyDescent="0.3">
      <c r="A141" s="12">
        <v>45901</v>
      </c>
      <c r="B141" s="10" t="s">
        <v>408</v>
      </c>
      <c r="C141" s="10" t="s">
        <v>414</v>
      </c>
      <c r="D141" s="10" t="s">
        <v>415</v>
      </c>
      <c r="E141" s="20">
        <v>45651.33</v>
      </c>
      <c r="F141" s="10" t="s">
        <v>411</v>
      </c>
      <c r="G141" s="10" t="s">
        <v>416</v>
      </c>
      <c r="H141" s="10" t="s">
        <v>417</v>
      </c>
    </row>
    <row r="142" spans="1:8" x14ac:dyDescent="0.3">
      <c r="A142" s="12">
        <v>45901</v>
      </c>
      <c r="B142" s="10" t="s">
        <v>408</v>
      </c>
      <c r="C142" s="10" t="s">
        <v>420</v>
      </c>
      <c r="D142" s="10" t="s">
        <v>421</v>
      </c>
      <c r="E142" s="20">
        <v>854.7</v>
      </c>
      <c r="F142" s="10" t="s">
        <v>422</v>
      </c>
      <c r="G142" s="10" t="s">
        <v>423</v>
      </c>
      <c r="H142" s="10" t="s">
        <v>413</v>
      </c>
    </row>
    <row r="143" spans="1:8" ht="26.4" x14ac:dyDescent="0.3">
      <c r="A143" s="12">
        <v>45901</v>
      </c>
      <c r="B143" s="10" t="s">
        <v>419</v>
      </c>
      <c r="C143" s="10" t="s">
        <v>424</v>
      </c>
      <c r="D143" s="10" t="s">
        <v>425</v>
      </c>
      <c r="E143" s="20">
        <v>695.96</v>
      </c>
      <c r="F143" s="10" t="s">
        <v>422</v>
      </c>
      <c r="G143" s="10" t="s">
        <v>426</v>
      </c>
      <c r="H143" s="10" t="s">
        <v>417</v>
      </c>
    </row>
    <row r="144" spans="1:8" x14ac:dyDescent="0.3">
      <c r="A144" s="12">
        <v>45901</v>
      </c>
      <c r="B144" s="10" t="s">
        <v>408</v>
      </c>
      <c r="C144" s="10" t="s">
        <v>424</v>
      </c>
      <c r="D144" s="10" t="s">
        <v>427</v>
      </c>
      <c r="E144" s="20">
        <v>158.75</v>
      </c>
      <c r="F144" s="10" t="s">
        <v>422</v>
      </c>
      <c r="G144" s="10" t="s">
        <v>428</v>
      </c>
      <c r="H144" s="10" t="s">
        <v>417</v>
      </c>
    </row>
    <row r="145" spans="1:8" ht="26.4" x14ac:dyDescent="0.3">
      <c r="A145" s="12">
        <v>45901</v>
      </c>
      <c r="B145" s="10" t="s">
        <v>404</v>
      </c>
      <c r="C145" s="10" t="s">
        <v>429</v>
      </c>
      <c r="D145" s="10" t="s">
        <v>430</v>
      </c>
      <c r="E145" s="20">
        <v>1373.62</v>
      </c>
      <c r="F145" s="10" t="s">
        <v>431</v>
      </c>
      <c r="G145" s="10" t="s">
        <v>432</v>
      </c>
      <c r="H145" s="10" t="s">
        <v>413</v>
      </c>
    </row>
    <row r="146" spans="1:8" ht="26.4" x14ac:dyDescent="0.3">
      <c r="A146" s="12">
        <v>45901</v>
      </c>
      <c r="B146" s="10" t="s">
        <v>402</v>
      </c>
      <c r="C146" s="10" t="s">
        <v>429</v>
      </c>
      <c r="D146" s="10" t="s">
        <v>430</v>
      </c>
      <c r="E146" s="20">
        <v>476.24</v>
      </c>
      <c r="F146" s="10" t="s">
        <v>431</v>
      </c>
      <c r="G146" s="10" t="s">
        <v>432</v>
      </c>
      <c r="H146" s="10" t="s">
        <v>413</v>
      </c>
    </row>
    <row r="147" spans="1:8" ht="26.4" x14ac:dyDescent="0.3">
      <c r="A147" s="12">
        <v>45901</v>
      </c>
      <c r="B147" s="10" t="s">
        <v>403</v>
      </c>
      <c r="C147" s="10" t="s">
        <v>429</v>
      </c>
      <c r="D147" s="10" t="s">
        <v>430</v>
      </c>
      <c r="E147" s="20">
        <v>189.66</v>
      </c>
      <c r="F147" s="10" t="s">
        <v>431</v>
      </c>
      <c r="G147" s="10" t="s">
        <v>432</v>
      </c>
      <c r="H147" s="10" t="s">
        <v>413</v>
      </c>
    </row>
    <row r="148" spans="1:8" ht="26.4" x14ac:dyDescent="0.3">
      <c r="A148" s="12">
        <v>45901</v>
      </c>
      <c r="B148" s="10" t="s">
        <v>400</v>
      </c>
      <c r="C148" s="10" t="s">
        <v>429</v>
      </c>
      <c r="D148" s="10" t="s">
        <v>430</v>
      </c>
      <c r="E148" s="20">
        <v>481.52</v>
      </c>
      <c r="F148" s="10" t="s">
        <v>431</v>
      </c>
      <c r="G148" s="10" t="s">
        <v>432</v>
      </c>
      <c r="H148" s="10" t="s">
        <v>413</v>
      </c>
    </row>
    <row r="149" spans="1:8" x14ac:dyDescent="0.3">
      <c r="A149" s="12">
        <v>45901</v>
      </c>
      <c r="B149" s="10" t="s">
        <v>433</v>
      </c>
      <c r="C149" s="10" t="s">
        <v>434</v>
      </c>
      <c r="D149" s="10" t="s">
        <v>435</v>
      </c>
      <c r="E149" s="20">
        <v>894.09</v>
      </c>
      <c r="F149" s="10" t="s">
        <v>431</v>
      </c>
      <c r="G149" s="10" t="s">
        <v>436</v>
      </c>
      <c r="H149" s="10" t="s">
        <v>413</v>
      </c>
    </row>
    <row r="150" spans="1:8" ht="26.4" x14ac:dyDescent="0.3">
      <c r="A150" s="12">
        <v>45901</v>
      </c>
      <c r="B150" s="10" t="s">
        <v>437</v>
      </c>
      <c r="C150" s="10" t="s">
        <v>438</v>
      </c>
      <c r="D150" s="10" t="s">
        <v>439</v>
      </c>
      <c r="E150" s="20">
        <v>63323.85</v>
      </c>
      <c r="F150" s="10" t="s">
        <v>431</v>
      </c>
      <c r="G150" s="10" t="s">
        <v>440</v>
      </c>
      <c r="H150" s="10" t="s">
        <v>413</v>
      </c>
    </row>
    <row r="151" spans="1:8" x14ac:dyDescent="0.3">
      <c r="A151" s="12">
        <v>45901</v>
      </c>
      <c r="B151" s="10" t="s">
        <v>437</v>
      </c>
      <c r="C151" s="10" t="s">
        <v>441</v>
      </c>
      <c r="D151" s="10" t="s">
        <v>442</v>
      </c>
      <c r="E151" s="20">
        <v>7773.53</v>
      </c>
      <c r="F151" s="10" t="s">
        <v>431</v>
      </c>
      <c r="G151" s="10" t="s">
        <v>440</v>
      </c>
      <c r="H151" s="10" t="s">
        <v>413</v>
      </c>
    </row>
    <row r="152" spans="1:8" x14ac:dyDescent="0.3">
      <c r="A152" s="12">
        <v>45901</v>
      </c>
      <c r="B152" s="10" t="s">
        <v>403</v>
      </c>
      <c r="C152" s="10" t="s">
        <v>443</v>
      </c>
      <c r="D152" s="10" t="s">
        <v>444</v>
      </c>
      <c r="E152" s="20">
        <v>89.48</v>
      </c>
      <c r="F152" s="10" t="s">
        <v>431</v>
      </c>
      <c r="G152" s="10" t="s">
        <v>445</v>
      </c>
      <c r="H152" s="10" t="s">
        <v>413</v>
      </c>
    </row>
    <row r="153" spans="1:8" ht="26.4" x14ac:dyDescent="0.3">
      <c r="A153" s="12">
        <v>45901</v>
      </c>
      <c r="B153" s="10" t="s">
        <v>403</v>
      </c>
      <c r="C153" s="10" t="s">
        <v>446</v>
      </c>
      <c r="D153" s="10" t="s">
        <v>447</v>
      </c>
      <c r="E153" s="20">
        <v>59.8</v>
      </c>
      <c r="F153" s="10" t="s">
        <v>431</v>
      </c>
      <c r="G153" s="10" t="s">
        <v>445</v>
      </c>
      <c r="H153" s="10" t="s">
        <v>413</v>
      </c>
    </row>
    <row r="154" spans="1:8" x14ac:dyDescent="0.3">
      <c r="A154" s="12">
        <v>45901</v>
      </c>
      <c r="B154" s="10" t="s">
        <v>400</v>
      </c>
      <c r="C154" s="10" t="s">
        <v>448</v>
      </c>
      <c r="D154" s="10" t="s">
        <v>449</v>
      </c>
      <c r="E154" s="20">
        <v>1096.04</v>
      </c>
      <c r="F154" s="10" t="s">
        <v>431</v>
      </c>
      <c r="G154" s="10" t="s">
        <v>450</v>
      </c>
      <c r="H154" s="10" t="s">
        <v>413</v>
      </c>
    </row>
    <row r="155" spans="1:8" ht="26.4" x14ac:dyDescent="0.3">
      <c r="A155" s="12">
        <v>45901</v>
      </c>
      <c r="B155" s="10" t="s">
        <v>437</v>
      </c>
      <c r="C155" s="10" t="s">
        <v>451</v>
      </c>
      <c r="D155" s="10" t="s">
        <v>452</v>
      </c>
      <c r="E155" s="20">
        <v>11.09</v>
      </c>
      <c r="F155" s="10" t="s">
        <v>431</v>
      </c>
      <c r="G155" s="10" t="s">
        <v>453</v>
      </c>
      <c r="H155" s="10" t="s">
        <v>413</v>
      </c>
    </row>
    <row r="156" spans="1:8" x14ac:dyDescent="0.3">
      <c r="A156" s="12">
        <v>45931</v>
      </c>
      <c r="B156" s="10" t="s">
        <v>408</v>
      </c>
      <c r="C156" s="10" t="s">
        <v>409</v>
      </c>
      <c r="D156" s="10" t="s">
        <v>410</v>
      </c>
      <c r="E156" s="20">
        <v>568761.74</v>
      </c>
      <c r="F156" s="10" t="s">
        <v>411</v>
      </c>
      <c r="G156" s="10" t="s">
        <v>412</v>
      </c>
      <c r="H156" s="10" t="s">
        <v>413</v>
      </c>
    </row>
    <row r="157" spans="1:8" ht="26.4" x14ac:dyDescent="0.3">
      <c r="A157" s="12">
        <v>45931</v>
      </c>
      <c r="B157" s="10" t="s">
        <v>402</v>
      </c>
      <c r="C157" s="10" t="s">
        <v>414</v>
      </c>
      <c r="D157" s="10" t="s">
        <v>415</v>
      </c>
      <c r="E157" s="20">
        <v>150120.9</v>
      </c>
      <c r="F157" s="10" t="s">
        <v>411</v>
      </c>
      <c r="G157" s="10" t="s">
        <v>416</v>
      </c>
      <c r="H157" s="10" t="s">
        <v>417</v>
      </c>
    </row>
    <row r="158" spans="1:8" ht="26.4" x14ac:dyDescent="0.3">
      <c r="A158" s="12">
        <v>45931</v>
      </c>
      <c r="B158" s="10" t="s">
        <v>404</v>
      </c>
      <c r="C158" s="10" t="s">
        <v>414</v>
      </c>
      <c r="D158" s="10" t="s">
        <v>415</v>
      </c>
      <c r="E158" s="20">
        <v>231621.26</v>
      </c>
      <c r="F158" s="10" t="s">
        <v>411</v>
      </c>
      <c r="G158" s="10" t="s">
        <v>416</v>
      </c>
      <c r="H158" s="10" t="s">
        <v>417</v>
      </c>
    </row>
    <row r="159" spans="1:8" ht="26.4" x14ac:dyDescent="0.3">
      <c r="A159" s="12">
        <v>45931</v>
      </c>
      <c r="B159" s="10" t="s">
        <v>403</v>
      </c>
      <c r="C159" s="10" t="s">
        <v>414</v>
      </c>
      <c r="D159" s="10" t="s">
        <v>415</v>
      </c>
      <c r="E159" s="20">
        <v>15408.08</v>
      </c>
      <c r="F159" s="10" t="s">
        <v>411</v>
      </c>
      <c r="G159" s="10" t="s">
        <v>416</v>
      </c>
      <c r="H159" s="10" t="s">
        <v>417</v>
      </c>
    </row>
    <row r="160" spans="1:8" ht="26.4" x14ac:dyDescent="0.3">
      <c r="A160" s="12">
        <v>45931</v>
      </c>
      <c r="B160" s="10" t="s">
        <v>400</v>
      </c>
      <c r="C160" s="10" t="s">
        <v>414</v>
      </c>
      <c r="D160" s="10" t="s">
        <v>415</v>
      </c>
      <c r="E160" s="20">
        <v>10170.9</v>
      </c>
      <c r="F160" s="10" t="s">
        <v>411</v>
      </c>
      <c r="G160" s="10" t="s">
        <v>416</v>
      </c>
      <c r="H160" s="10" t="s">
        <v>417</v>
      </c>
    </row>
    <row r="161" spans="1:8" ht="26.4" x14ac:dyDescent="0.3">
      <c r="A161" s="12">
        <v>45931</v>
      </c>
      <c r="B161" s="10" t="s">
        <v>418</v>
      </c>
      <c r="C161" s="10" t="s">
        <v>414</v>
      </c>
      <c r="D161" s="10" t="s">
        <v>415</v>
      </c>
      <c r="E161" s="20">
        <v>76436.67</v>
      </c>
      <c r="F161" s="10" t="s">
        <v>411</v>
      </c>
      <c r="G161" s="10" t="s">
        <v>416</v>
      </c>
      <c r="H161" s="10" t="s">
        <v>417</v>
      </c>
    </row>
    <row r="162" spans="1:8" ht="26.4" x14ac:dyDescent="0.3">
      <c r="A162" s="12">
        <v>45931</v>
      </c>
      <c r="B162" s="10" t="s">
        <v>419</v>
      </c>
      <c r="C162" s="10" t="s">
        <v>414</v>
      </c>
      <c r="D162" s="10" t="s">
        <v>415</v>
      </c>
      <c r="E162" s="20">
        <v>43597.41</v>
      </c>
      <c r="F162" s="10" t="s">
        <v>411</v>
      </c>
      <c r="G162" s="10" t="s">
        <v>416</v>
      </c>
      <c r="H162" s="10" t="s">
        <v>417</v>
      </c>
    </row>
    <row r="163" spans="1:8" ht="26.4" x14ac:dyDescent="0.3">
      <c r="A163" s="12">
        <v>45931</v>
      </c>
      <c r="B163" s="10" t="s">
        <v>408</v>
      </c>
      <c r="C163" s="10" t="s">
        <v>414</v>
      </c>
      <c r="D163" s="10" t="s">
        <v>415</v>
      </c>
      <c r="E163" s="20">
        <v>41406.519999999997</v>
      </c>
      <c r="F163" s="10" t="s">
        <v>411</v>
      </c>
      <c r="G163" s="10" t="s">
        <v>416</v>
      </c>
      <c r="H163" s="10" t="s">
        <v>417</v>
      </c>
    </row>
    <row r="164" spans="1:8" x14ac:dyDescent="0.3">
      <c r="A164" s="12">
        <v>45931</v>
      </c>
      <c r="B164" s="10" t="s">
        <v>408</v>
      </c>
      <c r="C164" s="10" t="s">
        <v>420</v>
      </c>
      <c r="D164" s="10" t="s">
        <v>421</v>
      </c>
      <c r="E164" s="20">
        <v>793.45</v>
      </c>
      <c r="F164" s="10" t="s">
        <v>422</v>
      </c>
      <c r="G164" s="10" t="s">
        <v>423</v>
      </c>
      <c r="H164" s="10" t="s">
        <v>413</v>
      </c>
    </row>
    <row r="165" spans="1:8" ht="26.4" x14ac:dyDescent="0.3">
      <c r="A165" s="12">
        <v>45931</v>
      </c>
      <c r="B165" s="10" t="s">
        <v>419</v>
      </c>
      <c r="C165" s="10" t="s">
        <v>424</v>
      </c>
      <c r="D165" s="10" t="s">
        <v>425</v>
      </c>
      <c r="E165" s="20">
        <v>637.78</v>
      </c>
      <c r="F165" s="10" t="s">
        <v>422</v>
      </c>
      <c r="G165" s="10" t="s">
        <v>426</v>
      </c>
      <c r="H165" s="10" t="s">
        <v>417</v>
      </c>
    </row>
    <row r="166" spans="1:8" x14ac:dyDescent="0.3">
      <c r="A166" s="12">
        <v>45931</v>
      </c>
      <c r="B166" s="10" t="s">
        <v>408</v>
      </c>
      <c r="C166" s="10" t="s">
        <v>424</v>
      </c>
      <c r="D166" s="10" t="s">
        <v>427</v>
      </c>
      <c r="E166" s="20">
        <v>155.66999999999999</v>
      </c>
      <c r="F166" s="10" t="s">
        <v>422</v>
      </c>
      <c r="G166" s="10" t="s">
        <v>428</v>
      </c>
      <c r="H166" s="10" t="s">
        <v>417</v>
      </c>
    </row>
    <row r="167" spans="1:8" ht="26.4" x14ac:dyDescent="0.3">
      <c r="A167" s="12">
        <v>45931</v>
      </c>
      <c r="B167" s="10" t="s">
        <v>404</v>
      </c>
      <c r="C167" s="10" t="s">
        <v>429</v>
      </c>
      <c r="D167" s="10" t="s">
        <v>430</v>
      </c>
      <c r="E167" s="20">
        <v>1465.73</v>
      </c>
      <c r="F167" s="10" t="s">
        <v>431</v>
      </c>
      <c r="G167" s="10" t="s">
        <v>432</v>
      </c>
      <c r="H167" s="10" t="s">
        <v>413</v>
      </c>
    </row>
    <row r="168" spans="1:8" ht="26.4" x14ac:dyDescent="0.3">
      <c r="A168" s="12">
        <v>45931</v>
      </c>
      <c r="B168" s="10" t="s">
        <v>402</v>
      </c>
      <c r="C168" s="10" t="s">
        <v>429</v>
      </c>
      <c r="D168" s="10" t="s">
        <v>430</v>
      </c>
      <c r="E168" s="20">
        <v>452.35</v>
      </c>
      <c r="F168" s="10" t="s">
        <v>431</v>
      </c>
      <c r="G168" s="10" t="s">
        <v>432</v>
      </c>
      <c r="H168" s="10" t="s">
        <v>413</v>
      </c>
    </row>
    <row r="169" spans="1:8" ht="26.4" x14ac:dyDescent="0.3">
      <c r="A169" s="12">
        <v>45931</v>
      </c>
      <c r="B169" s="10" t="s">
        <v>403</v>
      </c>
      <c r="C169" s="10" t="s">
        <v>429</v>
      </c>
      <c r="D169" s="10" t="s">
        <v>430</v>
      </c>
      <c r="E169" s="20">
        <v>201.58</v>
      </c>
      <c r="F169" s="10" t="s">
        <v>431</v>
      </c>
      <c r="G169" s="10" t="s">
        <v>432</v>
      </c>
      <c r="H169" s="10" t="s">
        <v>413</v>
      </c>
    </row>
    <row r="170" spans="1:8" ht="26.4" x14ac:dyDescent="0.3">
      <c r="A170" s="12">
        <v>45931</v>
      </c>
      <c r="B170" s="10" t="s">
        <v>400</v>
      </c>
      <c r="C170" s="10" t="s">
        <v>429</v>
      </c>
      <c r="D170" s="10" t="s">
        <v>430</v>
      </c>
      <c r="E170" s="20">
        <v>433.47</v>
      </c>
      <c r="F170" s="10" t="s">
        <v>431</v>
      </c>
      <c r="G170" s="10" t="s">
        <v>432</v>
      </c>
      <c r="H170" s="10" t="s">
        <v>413</v>
      </c>
    </row>
    <row r="171" spans="1:8" x14ac:dyDescent="0.3">
      <c r="A171" s="12">
        <v>45931</v>
      </c>
      <c r="B171" s="10" t="s">
        <v>433</v>
      </c>
      <c r="C171" s="10" t="s">
        <v>434</v>
      </c>
      <c r="D171" s="10" t="s">
        <v>435</v>
      </c>
      <c r="E171" s="20">
        <v>910.82</v>
      </c>
      <c r="F171" s="10" t="s">
        <v>431</v>
      </c>
      <c r="G171" s="10" t="s">
        <v>436</v>
      </c>
      <c r="H171" s="10" t="s">
        <v>413</v>
      </c>
    </row>
    <row r="172" spans="1:8" ht="26.4" x14ac:dyDescent="0.3">
      <c r="A172" s="12">
        <v>45931</v>
      </c>
      <c r="B172" s="10" t="s">
        <v>437</v>
      </c>
      <c r="C172" s="10" t="s">
        <v>438</v>
      </c>
      <c r="D172" s="10" t="s">
        <v>439</v>
      </c>
      <c r="E172" s="20">
        <v>66539.64</v>
      </c>
      <c r="F172" s="10" t="s">
        <v>431</v>
      </c>
      <c r="G172" s="10" t="s">
        <v>440</v>
      </c>
      <c r="H172" s="10" t="s">
        <v>413</v>
      </c>
    </row>
    <row r="173" spans="1:8" x14ac:dyDescent="0.3">
      <c r="A173" s="12">
        <v>45931</v>
      </c>
      <c r="B173" s="10" t="s">
        <v>437</v>
      </c>
      <c r="C173" s="10" t="s">
        <v>441</v>
      </c>
      <c r="D173" s="10" t="s">
        <v>442</v>
      </c>
      <c r="E173" s="20">
        <v>8580.49</v>
      </c>
      <c r="F173" s="10" t="s">
        <v>431</v>
      </c>
      <c r="G173" s="10" t="s">
        <v>440</v>
      </c>
      <c r="H173" s="10" t="s">
        <v>413</v>
      </c>
    </row>
    <row r="174" spans="1:8" x14ac:dyDescent="0.3">
      <c r="A174" s="12">
        <v>45931</v>
      </c>
      <c r="B174" s="10" t="s">
        <v>403</v>
      </c>
      <c r="C174" s="10" t="s">
        <v>443</v>
      </c>
      <c r="D174" s="10" t="s">
        <v>444</v>
      </c>
      <c r="E174" s="20">
        <v>109.67</v>
      </c>
      <c r="F174" s="10" t="s">
        <v>431</v>
      </c>
      <c r="G174" s="10" t="s">
        <v>445</v>
      </c>
      <c r="H174" s="10" t="s">
        <v>413</v>
      </c>
    </row>
    <row r="175" spans="1:8" ht="26.4" x14ac:dyDescent="0.3">
      <c r="A175" s="12">
        <v>45931</v>
      </c>
      <c r="B175" s="10" t="s">
        <v>403</v>
      </c>
      <c r="C175" s="10" t="s">
        <v>446</v>
      </c>
      <c r="D175" s="10" t="s">
        <v>447</v>
      </c>
      <c r="E175" s="20">
        <v>72.62</v>
      </c>
      <c r="F175" s="10" t="s">
        <v>431</v>
      </c>
      <c r="G175" s="10" t="s">
        <v>445</v>
      </c>
      <c r="H175" s="10" t="s">
        <v>413</v>
      </c>
    </row>
    <row r="176" spans="1:8" x14ac:dyDescent="0.3">
      <c r="A176" s="12">
        <v>45931</v>
      </c>
      <c r="B176" s="10" t="s">
        <v>400</v>
      </c>
      <c r="C176" s="10" t="s">
        <v>448</v>
      </c>
      <c r="D176" s="10" t="s">
        <v>449</v>
      </c>
      <c r="E176" s="20">
        <v>1007.81</v>
      </c>
      <c r="F176" s="10" t="s">
        <v>431</v>
      </c>
      <c r="G176" s="10" t="s">
        <v>450</v>
      </c>
      <c r="H176" s="10" t="s">
        <v>413</v>
      </c>
    </row>
    <row r="177" spans="1:8" ht="26.4" x14ac:dyDescent="0.3">
      <c r="A177" s="12">
        <v>45931</v>
      </c>
      <c r="B177" s="10" t="s">
        <v>437</v>
      </c>
      <c r="C177" s="10" t="s">
        <v>451</v>
      </c>
      <c r="D177" s="10" t="s">
        <v>452</v>
      </c>
      <c r="E177" s="20">
        <v>10.51</v>
      </c>
      <c r="F177" s="10" t="s">
        <v>431</v>
      </c>
      <c r="G177" s="10" t="s">
        <v>453</v>
      </c>
      <c r="H177" s="10" t="s">
        <v>413</v>
      </c>
    </row>
    <row r="178" spans="1:8" x14ac:dyDescent="0.3">
      <c r="A178" s="12">
        <v>45962</v>
      </c>
      <c r="B178" s="10" t="s">
        <v>408</v>
      </c>
      <c r="C178" s="10" t="s">
        <v>409</v>
      </c>
      <c r="D178" s="10" t="s">
        <v>410</v>
      </c>
      <c r="E178" s="20">
        <v>561642.6</v>
      </c>
      <c r="F178" s="10" t="s">
        <v>411</v>
      </c>
      <c r="G178" s="10" t="s">
        <v>412</v>
      </c>
      <c r="H178" s="10" t="s">
        <v>413</v>
      </c>
    </row>
    <row r="179" spans="1:8" ht="26.4" x14ac:dyDescent="0.3">
      <c r="A179" s="12">
        <v>45962</v>
      </c>
      <c r="B179" s="10" t="s">
        <v>402</v>
      </c>
      <c r="C179" s="10" t="s">
        <v>414</v>
      </c>
      <c r="D179" s="10" t="s">
        <v>415</v>
      </c>
      <c r="E179" s="20">
        <v>147075.01</v>
      </c>
      <c r="F179" s="10" t="s">
        <v>411</v>
      </c>
      <c r="G179" s="10" t="s">
        <v>416</v>
      </c>
      <c r="H179" s="10" t="s">
        <v>417</v>
      </c>
    </row>
    <row r="180" spans="1:8" ht="26.4" x14ac:dyDescent="0.3">
      <c r="A180" s="12">
        <v>45962</v>
      </c>
      <c r="B180" s="10" t="s">
        <v>404</v>
      </c>
      <c r="C180" s="10" t="s">
        <v>414</v>
      </c>
      <c r="D180" s="10" t="s">
        <v>415</v>
      </c>
      <c r="E180" s="20">
        <v>230406.03</v>
      </c>
      <c r="F180" s="10" t="s">
        <v>411</v>
      </c>
      <c r="G180" s="10" t="s">
        <v>416</v>
      </c>
      <c r="H180" s="10" t="s">
        <v>417</v>
      </c>
    </row>
    <row r="181" spans="1:8" ht="26.4" x14ac:dyDescent="0.3">
      <c r="A181" s="12">
        <v>45962</v>
      </c>
      <c r="B181" s="10" t="s">
        <v>403</v>
      </c>
      <c r="C181" s="10" t="s">
        <v>414</v>
      </c>
      <c r="D181" s="10" t="s">
        <v>415</v>
      </c>
      <c r="E181" s="20">
        <v>16262.28</v>
      </c>
      <c r="F181" s="10" t="s">
        <v>411</v>
      </c>
      <c r="G181" s="10" t="s">
        <v>416</v>
      </c>
      <c r="H181" s="10" t="s">
        <v>417</v>
      </c>
    </row>
    <row r="182" spans="1:8" ht="26.4" x14ac:dyDescent="0.3">
      <c r="A182" s="12">
        <v>45962</v>
      </c>
      <c r="B182" s="10" t="s">
        <v>400</v>
      </c>
      <c r="C182" s="10" t="s">
        <v>414</v>
      </c>
      <c r="D182" s="10" t="s">
        <v>415</v>
      </c>
      <c r="E182" s="20">
        <v>10494.01</v>
      </c>
      <c r="F182" s="10" t="s">
        <v>411</v>
      </c>
      <c r="G182" s="10" t="s">
        <v>416</v>
      </c>
      <c r="H182" s="10" t="s">
        <v>417</v>
      </c>
    </row>
    <row r="183" spans="1:8" ht="26.4" x14ac:dyDescent="0.3">
      <c r="A183" s="12">
        <v>45962</v>
      </c>
      <c r="B183" s="10" t="s">
        <v>418</v>
      </c>
      <c r="C183" s="10" t="s">
        <v>414</v>
      </c>
      <c r="D183" s="10" t="s">
        <v>415</v>
      </c>
      <c r="E183" s="20">
        <v>76391.55</v>
      </c>
      <c r="F183" s="10" t="s">
        <v>411</v>
      </c>
      <c r="G183" s="10" t="s">
        <v>416</v>
      </c>
      <c r="H183" s="10" t="s">
        <v>417</v>
      </c>
    </row>
    <row r="184" spans="1:8" ht="26.4" x14ac:dyDescent="0.3">
      <c r="A184" s="12">
        <v>45962</v>
      </c>
      <c r="B184" s="10" t="s">
        <v>419</v>
      </c>
      <c r="C184" s="10" t="s">
        <v>414</v>
      </c>
      <c r="D184" s="10" t="s">
        <v>415</v>
      </c>
      <c r="E184" s="20">
        <v>34543.800000000003</v>
      </c>
      <c r="F184" s="10" t="s">
        <v>411</v>
      </c>
      <c r="G184" s="10" t="s">
        <v>416</v>
      </c>
      <c r="H184" s="10" t="s">
        <v>417</v>
      </c>
    </row>
    <row r="185" spans="1:8" ht="26.4" x14ac:dyDescent="0.3">
      <c r="A185" s="12">
        <v>45962</v>
      </c>
      <c r="B185" s="10" t="s">
        <v>408</v>
      </c>
      <c r="C185" s="10" t="s">
        <v>414</v>
      </c>
      <c r="D185" s="10" t="s">
        <v>415</v>
      </c>
      <c r="E185" s="20">
        <v>46469.91</v>
      </c>
      <c r="F185" s="10" t="s">
        <v>411</v>
      </c>
      <c r="G185" s="10" t="s">
        <v>416</v>
      </c>
      <c r="H185" s="10" t="s">
        <v>417</v>
      </c>
    </row>
    <row r="186" spans="1:8" x14ac:dyDescent="0.3">
      <c r="A186" s="12">
        <v>45962</v>
      </c>
      <c r="B186" s="10" t="s">
        <v>408</v>
      </c>
      <c r="C186" s="10" t="s">
        <v>420</v>
      </c>
      <c r="D186" s="10" t="s">
        <v>421</v>
      </c>
      <c r="E186" s="20">
        <v>629.21</v>
      </c>
      <c r="F186" s="10" t="s">
        <v>422</v>
      </c>
      <c r="G186" s="10" t="s">
        <v>423</v>
      </c>
      <c r="H186" s="10" t="s">
        <v>413</v>
      </c>
    </row>
    <row r="187" spans="1:8" ht="26.4" x14ac:dyDescent="0.3">
      <c r="A187" s="12">
        <v>45962</v>
      </c>
      <c r="B187" s="10" t="s">
        <v>419</v>
      </c>
      <c r="C187" s="10" t="s">
        <v>424</v>
      </c>
      <c r="D187" s="10" t="s">
        <v>425</v>
      </c>
      <c r="E187" s="20">
        <v>487.84</v>
      </c>
      <c r="F187" s="10" t="s">
        <v>422</v>
      </c>
      <c r="G187" s="10" t="s">
        <v>426</v>
      </c>
      <c r="H187" s="10" t="s">
        <v>417</v>
      </c>
    </row>
    <row r="188" spans="1:8" x14ac:dyDescent="0.3">
      <c r="A188" s="12">
        <v>45962</v>
      </c>
      <c r="B188" s="10" t="s">
        <v>408</v>
      </c>
      <c r="C188" s="10" t="s">
        <v>424</v>
      </c>
      <c r="D188" s="10" t="s">
        <v>427</v>
      </c>
      <c r="E188" s="20">
        <v>141.37</v>
      </c>
      <c r="F188" s="10" t="s">
        <v>422</v>
      </c>
      <c r="G188" s="10" t="s">
        <v>428</v>
      </c>
      <c r="H188" s="10" t="s">
        <v>417</v>
      </c>
    </row>
    <row r="189" spans="1:8" ht="26.4" x14ac:dyDescent="0.3">
      <c r="A189" s="12">
        <v>45962</v>
      </c>
      <c r="B189" s="10" t="s">
        <v>404</v>
      </c>
      <c r="C189" s="10" t="s">
        <v>429</v>
      </c>
      <c r="D189" s="10" t="s">
        <v>430</v>
      </c>
      <c r="E189" s="20">
        <v>1572.77</v>
      </c>
      <c r="F189" s="10" t="s">
        <v>431</v>
      </c>
      <c r="G189" s="10" t="s">
        <v>432</v>
      </c>
      <c r="H189" s="10" t="s">
        <v>413</v>
      </c>
    </row>
    <row r="190" spans="1:8" ht="26.4" x14ac:dyDescent="0.3">
      <c r="A190" s="12">
        <v>45962</v>
      </c>
      <c r="B190" s="10" t="s">
        <v>402</v>
      </c>
      <c r="C190" s="10" t="s">
        <v>429</v>
      </c>
      <c r="D190" s="10" t="s">
        <v>430</v>
      </c>
      <c r="E190" s="20">
        <v>466.98</v>
      </c>
      <c r="F190" s="10" t="s">
        <v>431</v>
      </c>
      <c r="G190" s="10" t="s">
        <v>432</v>
      </c>
      <c r="H190" s="10" t="s">
        <v>413</v>
      </c>
    </row>
    <row r="191" spans="1:8" ht="26.4" x14ac:dyDescent="0.3">
      <c r="A191" s="12">
        <v>45962</v>
      </c>
      <c r="B191" s="10" t="s">
        <v>403</v>
      </c>
      <c r="C191" s="10" t="s">
        <v>429</v>
      </c>
      <c r="D191" s="10" t="s">
        <v>430</v>
      </c>
      <c r="E191" s="20">
        <v>210.74</v>
      </c>
      <c r="F191" s="10" t="s">
        <v>431</v>
      </c>
      <c r="G191" s="10" t="s">
        <v>432</v>
      </c>
      <c r="H191" s="10" t="s">
        <v>413</v>
      </c>
    </row>
    <row r="192" spans="1:8" ht="26.4" x14ac:dyDescent="0.3">
      <c r="A192" s="12">
        <v>45962</v>
      </c>
      <c r="B192" s="10" t="s">
        <v>400</v>
      </c>
      <c r="C192" s="10" t="s">
        <v>429</v>
      </c>
      <c r="D192" s="10" t="s">
        <v>430</v>
      </c>
      <c r="E192" s="20">
        <v>441.09</v>
      </c>
      <c r="F192" s="10" t="s">
        <v>431</v>
      </c>
      <c r="G192" s="10" t="s">
        <v>432</v>
      </c>
      <c r="H192" s="10" t="s">
        <v>413</v>
      </c>
    </row>
    <row r="193" spans="1:8" x14ac:dyDescent="0.3">
      <c r="A193" s="12">
        <v>45962</v>
      </c>
      <c r="B193" s="10" t="s">
        <v>433</v>
      </c>
      <c r="C193" s="10" t="s">
        <v>434</v>
      </c>
      <c r="D193" s="10" t="s">
        <v>435</v>
      </c>
      <c r="E193" s="20">
        <v>892.65</v>
      </c>
      <c r="F193" s="10" t="s">
        <v>431</v>
      </c>
      <c r="G193" s="10" t="s">
        <v>436</v>
      </c>
      <c r="H193" s="10" t="s">
        <v>413</v>
      </c>
    </row>
    <row r="194" spans="1:8" ht="26.4" x14ac:dyDescent="0.3">
      <c r="A194" s="12">
        <v>45962</v>
      </c>
      <c r="B194" s="10" t="s">
        <v>437</v>
      </c>
      <c r="C194" s="10" t="s">
        <v>438</v>
      </c>
      <c r="D194" s="10" t="s">
        <v>439</v>
      </c>
      <c r="E194" s="20">
        <v>61812.52</v>
      </c>
      <c r="F194" s="10" t="s">
        <v>431</v>
      </c>
      <c r="G194" s="10" t="s">
        <v>440</v>
      </c>
      <c r="H194" s="10" t="s">
        <v>413</v>
      </c>
    </row>
    <row r="195" spans="1:8" x14ac:dyDescent="0.3">
      <c r="A195" s="12">
        <v>45962</v>
      </c>
      <c r="B195" s="10" t="s">
        <v>437</v>
      </c>
      <c r="C195" s="10" t="s">
        <v>441</v>
      </c>
      <c r="D195" s="10" t="s">
        <v>442</v>
      </c>
      <c r="E195" s="20">
        <v>7854.58</v>
      </c>
      <c r="F195" s="10" t="s">
        <v>431</v>
      </c>
      <c r="G195" s="10" t="s">
        <v>440</v>
      </c>
      <c r="H195" s="10" t="s">
        <v>413</v>
      </c>
    </row>
    <row r="196" spans="1:8" x14ac:dyDescent="0.3">
      <c r="A196" s="12">
        <v>45962</v>
      </c>
      <c r="B196" s="10" t="s">
        <v>403</v>
      </c>
      <c r="C196" s="10" t="s">
        <v>443</v>
      </c>
      <c r="D196" s="10" t="s">
        <v>444</v>
      </c>
      <c r="E196" s="20">
        <v>107.97</v>
      </c>
      <c r="F196" s="10" t="s">
        <v>431</v>
      </c>
      <c r="G196" s="10" t="s">
        <v>445</v>
      </c>
      <c r="H196" s="10" t="s">
        <v>413</v>
      </c>
    </row>
    <row r="197" spans="1:8" ht="26.4" x14ac:dyDescent="0.3">
      <c r="A197" s="12">
        <v>45962</v>
      </c>
      <c r="B197" s="10" t="s">
        <v>403</v>
      </c>
      <c r="C197" s="10" t="s">
        <v>446</v>
      </c>
      <c r="D197" s="10" t="s">
        <v>447</v>
      </c>
      <c r="E197" s="20">
        <v>70.53</v>
      </c>
      <c r="F197" s="10" t="s">
        <v>431</v>
      </c>
      <c r="G197" s="10" t="s">
        <v>445</v>
      </c>
      <c r="H197" s="10" t="s">
        <v>413</v>
      </c>
    </row>
    <row r="198" spans="1:8" x14ac:dyDescent="0.3">
      <c r="A198" s="12">
        <v>45962</v>
      </c>
      <c r="B198" s="10" t="s">
        <v>400</v>
      </c>
      <c r="C198" s="10" t="s">
        <v>448</v>
      </c>
      <c r="D198" s="10" t="s">
        <v>449</v>
      </c>
      <c r="E198" s="20">
        <v>976.29</v>
      </c>
      <c r="F198" s="10" t="s">
        <v>431</v>
      </c>
      <c r="G198" s="10" t="s">
        <v>450</v>
      </c>
      <c r="H198" s="10" t="s">
        <v>413</v>
      </c>
    </row>
    <row r="199" spans="1:8" ht="26.4" x14ac:dyDescent="0.3">
      <c r="A199" s="12">
        <v>45962</v>
      </c>
      <c r="B199" s="10" t="s">
        <v>437</v>
      </c>
      <c r="C199" s="10" t="s">
        <v>451</v>
      </c>
      <c r="D199" s="10" t="s">
        <v>452</v>
      </c>
      <c r="E199" s="20">
        <v>6.14</v>
      </c>
      <c r="F199" s="10" t="s">
        <v>431</v>
      </c>
      <c r="G199" s="10" t="s">
        <v>453</v>
      </c>
      <c r="H199" s="10" t="s">
        <v>413</v>
      </c>
    </row>
    <row r="200" spans="1:8" x14ac:dyDescent="0.3">
      <c r="A200" s="12">
        <v>45992</v>
      </c>
      <c r="B200" s="10" t="s">
        <v>408</v>
      </c>
      <c r="C200" s="10" t="s">
        <v>409</v>
      </c>
      <c r="D200" s="10" t="s">
        <v>410</v>
      </c>
      <c r="E200" s="20">
        <v>582602.49</v>
      </c>
      <c r="F200" s="10" t="s">
        <v>411</v>
      </c>
      <c r="G200" s="10" t="s">
        <v>412</v>
      </c>
      <c r="H200" s="10" t="s">
        <v>413</v>
      </c>
    </row>
    <row r="201" spans="1:8" ht="26.4" x14ac:dyDescent="0.3">
      <c r="A201" s="12">
        <v>45992</v>
      </c>
      <c r="B201" s="10" t="s">
        <v>402</v>
      </c>
      <c r="C201" s="10" t="s">
        <v>414</v>
      </c>
      <c r="D201" s="10" t="s">
        <v>415</v>
      </c>
      <c r="E201" s="20">
        <v>151638.69</v>
      </c>
      <c r="F201" s="10" t="s">
        <v>411</v>
      </c>
      <c r="G201" s="10" t="s">
        <v>416</v>
      </c>
      <c r="H201" s="10" t="s">
        <v>417</v>
      </c>
    </row>
    <row r="202" spans="1:8" ht="26.4" x14ac:dyDescent="0.3">
      <c r="A202" s="12">
        <v>45992</v>
      </c>
      <c r="B202" s="10" t="s">
        <v>404</v>
      </c>
      <c r="C202" s="10" t="s">
        <v>414</v>
      </c>
      <c r="D202" s="10" t="s">
        <v>415</v>
      </c>
      <c r="E202" s="20">
        <v>246048.48</v>
      </c>
      <c r="F202" s="10" t="s">
        <v>411</v>
      </c>
      <c r="G202" s="10" t="s">
        <v>416</v>
      </c>
      <c r="H202" s="10" t="s">
        <v>417</v>
      </c>
    </row>
    <row r="203" spans="1:8" ht="26.4" x14ac:dyDescent="0.3">
      <c r="A203" s="12">
        <v>45992</v>
      </c>
      <c r="B203" s="10" t="s">
        <v>403</v>
      </c>
      <c r="C203" s="10" t="s">
        <v>414</v>
      </c>
      <c r="D203" s="10" t="s">
        <v>415</v>
      </c>
      <c r="E203" s="20">
        <v>12466.04</v>
      </c>
      <c r="F203" s="10" t="s">
        <v>411</v>
      </c>
      <c r="G203" s="10" t="s">
        <v>416</v>
      </c>
      <c r="H203" s="10" t="s">
        <v>417</v>
      </c>
    </row>
    <row r="204" spans="1:8" ht="26.4" x14ac:dyDescent="0.3">
      <c r="A204" s="12">
        <v>45992</v>
      </c>
      <c r="B204" s="10" t="s">
        <v>400</v>
      </c>
      <c r="C204" s="10" t="s">
        <v>414</v>
      </c>
      <c r="D204" s="10" t="s">
        <v>415</v>
      </c>
      <c r="E204" s="20">
        <v>11161.95</v>
      </c>
      <c r="F204" s="10" t="s">
        <v>411</v>
      </c>
      <c r="G204" s="10" t="s">
        <v>416</v>
      </c>
      <c r="H204" s="10" t="s">
        <v>417</v>
      </c>
    </row>
    <row r="205" spans="1:8" ht="26.4" x14ac:dyDescent="0.3">
      <c r="A205" s="12">
        <v>45992</v>
      </c>
      <c r="B205" s="10" t="s">
        <v>418</v>
      </c>
      <c r="C205" s="10" t="s">
        <v>414</v>
      </c>
      <c r="D205" s="10" t="s">
        <v>415</v>
      </c>
      <c r="E205" s="20">
        <v>77789.59</v>
      </c>
      <c r="F205" s="10" t="s">
        <v>411</v>
      </c>
      <c r="G205" s="10" t="s">
        <v>416</v>
      </c>
      <c r="H205" s="10" t="s">
        <v>417</v>
      </c>
    </row>
    <row r="206" spans="1:8" ht="26.4" x14ac:dyDescent="0.3">
      <c r="A206" s="12">
        <v>45992</v>
      </c>
      <c r="B206" s="10" t="s">
        <v>419</v>
      </c>
      <c r="C206" s="10" t="s">
        <v>414</v>
      </c>
      <c r="D206" s="10" t="s">
        <v>415</v>
      </c>
      <c r="E206" s="20">
        <v>34149.910000000003</v>
      </c>
      <c r="F206" s="10" t="s">
        <v>411</v>
      </c>
      <c r="G206" s="10" t="s">
        <v>416</v>
      </c>
      <c r="H206" s="10" t="s">
        <v>417</v>
      </c>
    </row>
    <row r="207" spans="1:8" ht="26.4" x14ac:dyDescent="0.3">
      <c r="A207" s="12">
        <v>45992</v>
      </c>
      <c r="B207" s="10" t="s">
        <v>408</v>
      </c>
      <c r="C207" s="10" t="s">
        <v>414</v>
      </c>
      <c r="D207" s="10" t="s">
        <v>415</v>
      </c>
      <c r="E207" s="20">
        <v>49347.83</v>
      </c>
      <c r="F207" s="10" t="s">
        <v>411</v>
      </c>
      <c r="G207" s="10" t="s">
        <v>416</v>
      </c>
      <c r="H207" s="10" t="s">
        <v>417</v>
      </c>
    </row>
    <row r="208" spans="1:8" x14ac:dyDescent="0.3">
      <c r="A208" s="12">
        <v>45992</v>
      </c>
      <c r="B208" s="10" t="s">
        <v>408</v>
      </c>
      <c r="C208" s="10" t="s">
        <v>420</v>
      </c>
      <c r="D208" s="10" t="s">
        <v>421</v>
      </c>
      <c r="E208" s="20">
        <v>628.99</v>
      </c>
      <c r="F208" s="10" t="s">
        <v>422</v>
      </c>
      <c r="G208" s="10" t="s">
        <v>423</v>
      </c>
      <c r="H208" s="10" t="s">
        <v>413</v>
      </c>
    </row>
    <row r="209" spans="1:8" ht="26.4" x14ac:dyDescent="0.3">
      <c r="A209" s="12">
        <v>45992</v>
      </c>
      <c r="B209" s="10" t="s">
        <v>419</v>
      </c>
      <c r="C209" s="10" t="s">
        <v>424</v>
      </c>
      <c r="D209" s="10" t="s">
        <v>425</v>
      </c>
      <c r="E209" s="20">
        <v>485.73</v>
      </c>
      <c r="F209" s="10" t="s">
        <v>422</v>
      </c>
      <c r="G209" s="10" t="s">
        <v>426</v>
      </c>
      <c r="H209" s="10" t="s">
        <v>417</v>
      </c>
    </row>
    <row r="210" spans="1:8" x14ac:dyDescent="0.3">
      <c r="A210" s="12">
        <v>45992</v>
      </c>
      <c r="B210" s="10" t="s">
        <v>408</v>
      </c>
      <c r="C210" s="10" t="s">
        <v>424</v>
      </c>
      <c r="D210" s="10" t="s">
        <v>427</v>
      </c>
      <c r="E210" s="20">
        <v>143.27000000000001</v>
      </c>
      <c r="F210" s="10" t="s">
        <v>422</v>
      </c>
      <c r="G210" s="10" t="s">
        <v>428</v>
      </c>
      <c r="H210" s="10" t="s">
        <v>417</v>
      </c>
    </row>
    <row r="211" spans="1:8" ht="26.4" x14ac:dyDescent="0.3">
      <c r="A211" s="12">
        <v>45992</v>
      </c>
      <c r="B211" s="10" t="s">
        <v>404</v>
      </c>
      <c r="C211" s="10" t="s">
        <v>429</v>
      </c>
      <c r="D211" s="10" t="s">
        <v>430</v>
      </c>
      <c r="E211" s="20">
        <v>1590.63</v>
      </c>
      <c r="F211" s="10" t="s">
        <v>431</v>
      </c>
      <c r="G211" s="10" t="s">
        <v>432</v>
      </c>
      <c r="H211" s="10" t="s">
        <v>413</v>
      </c>
    </row>
    <row r="212" spans="1:8" ht="26.4" x14ac:dyDescent="0.3">
      <c r="A212" s="12">
        <v>45992</v>
      </c>
      <c r="B212" s="10" t="s">
        <v>402</v>
      </c>
      <c r="C212" s="10" t="s">
        <v>429</v>
      </c>
      <c r="D212" s="10" t="s">
        <v>430</v>
      </c>
      <c r="E212" s="20">
        <v>445.24</v>
      </c>
      <c r="F212" s="10" t="s">
        <v>431</v>
      </c>
      <c r="G212" s="10" t="s">
        <v>432</v>
      </c>
      <c r="H212" s="10" t="s">
        <v>413</v>
      </c>
    </row>
    <row r="213" spans="1:8" ht="26.4" x14ac:dyDescent="0.3">
      <c r="A213" s="12">
        <v>45992</v>
      </c>
      <c r="B213" s="10" t="s">
        <v>403</v>
      </c>
      <c r="C213" s="10" t="s">
        <v>429</v>
      </c>
      <c r="D213" s="10" t="s">
        <v>430</v>
      </c>
      <c r="E213" s="20">
        <v>173.21</v>
      </c>
      <c r="F213" s="10" t="s">
        <v>431</v>
      </c>
      <c r="G213" s="10" t="s">
        <v>432</v>
      </c>
      <c r="H213" s="10" t="s">
        <v>413</v>
      </c>
    </row>
    <row r="214" spans="1:8" ht="26.4" x14ac:dyDescent="0.3">
      <c r="A214" s="12">
        <v>45992</v>
      </c>
      <c r="B214" s="10" t="s">
        <v>400</v>
      </c>
      <c r="C214" s="10" t="s">
        <v>429</v>
      </c>
      <c r="D214" s="10" t="s">
        <v>430</v>
      </c>
      <c r="E214" s="20">
        <v>352.53</v>
      </c>
      <c r="F214" s="10" t="s">
        <v>431</v>
      </c>
      <c r="G214" s="10" t="s">
        <v>432</v>
      </c>
      <c r="H214" s="10" t="s">
        <v>413</v>
      </c>
    </row>
    <row r="215" spans="1:8" x14ac:dyDescent="0.3">
      <c r="A215" s="12">
        <v>45992</v>
      </c>
      <c r="B215" s="10" t="s">
        <v>433</v>
      </c>
      <c r="C215" s="10" t="s">
        <v>434</v>
      </c>
      <c r="D215" s="10" t="s">
        <v>435</v>
      </c>
      <c r="E215" s="20">
        <v>1001.52</v>
      </c>
      <c r="F215" s="10" t="s">
        <v>431</v>
      </c>
      <c r="G215" s="10" t="s">
        <v>436</v>
      </c>
      <c r="H215" s="10" t="s">
        <v>413</v>
      </c>
    </row>
    <row r="216" spans="1:8" ht="26.4" x14ac:dyDescent="0.3">
      <c r="A216" s="12">
        <v>45992</v>
      </c>
      <c r="B216" s="10" t="s">
        <v>437</v>
      </c>
      <c r="C216" s="10" t="s">
        <v>438</v>
      </c>
      <c r="D216" s="10" t="s">
        <v>439</v>
      </c>
      <c r="E216" s="20">
        <v>66526.600000000006</v>
      </c>
      <c r="F216" s="10" t="s">
        <v>431</v>
      </c>
      <c r="G216" s="10" t="s">
        <v>440</v>
      </c>
      <c r="H216" s="10" t="s">
        <v>413</v>
      </c>
    </row>
    <row r="217" spans="1:8" x14ac:dyDescent="0.3">
      <c r="A217" s="12">
        <v>45992</v>
      </c>
      <c r="B217" s="10" t="s">
        <v>437</v>
      </c>
      <c r="C217" s="10" t="s">
        <v>441</v>
      </c>
      <c r="D217" s="10" t="s">
        <v>442</v>
      </c>
      <c r="E217" s="20">
        <v>8469.58</v>
      </c>
      <c r="F217" s="10" t="s">
        <v>431</v>
      </c>
      <c r="G217" s="10" t="s">
        <v>440</v>
      </c>
      <c r="H217" s="10" t="s">
        <v>413</v>
      </c>
    </row>
    <row r="218" spans="1:8" x14ac:dyDescent="0.3">
      <c r="A218" s="12">
        <v>45992</v>
      </c>
      <c r="B218" s="10" t="s">
        <v>403</v>
      </c>
      <c r="C218" s="10" t="s">
        <v>443</v>
      </c>
      <c r="D218" s="10" t="s">
        <v>444</v>
      </c>
      <c r="E218" s="20">
        <v>80.92</v>
      </c>
      <c r="F218" s="10" t="s">
        <v>431</v>
      </c>
      <c r="G218" s="10" t="s">
        <v>445</v>
      </c>
      <c r="H218" s="10" t="s">
        <v>413</v>
      </c>
    </row>
    <row r="219" spans="1:8" ht="26.4" x14ac:dyDescent="0.3">
      <c r="A219" s="12">
        <v>45992</v>
      </c>
      <c r="B219" s="10" t="s">
        <v>403</v>
      </c>
      <c r="C219" s="10" t="s">
        <v>446</v>
      </c>
      <c r="D219" s="10" t="s">
        <v>447</v>
      </c>
      <c r="E219" s="20">
        <v>54.57</v>
      </c>
      <c r="F219" s="10" t="s">
        <v>431</v>
      </c>
      <c r="G219" s="10" t="s">
        <v>445</v>
      </c>
      <c r="H219" s="10" t="s">
        <v>413</v>
      </c>
    </row>
    <row r="220" spans="1:8" x14ac:dyDescent="0.3">
      <c r="A220" s="12">
        <v>45992</v>
      </c>
      <c r="B220" s="10" t="s">
        <v>400</v>
      </c>
      <c r="C220" s="10" t="s">
        <v>448</v>
      </c>
      <c r="D220" s="10" t="s">
        <v>449</v>
      </c>
      <c r="E220" s="20">
        <v>1183.76</v>
      </c>
      <c r="F220" s="10" t="s">
        <v>431</v>
      </c>
      <c r="G220" s="10" t="s">
        <v>450</v>
      </c>
      <c r="H220" s="10" t="s">
        <v>413</v>
      </c>
    </row>
    <row r="221" spans="1:8" ht="26.4" x14ac:dyDescent="0.3">
      <c r="A221" s="12">
        <v>45992</v>
      </c>
      <c r="B221" s="10" t="s">
        <v>437</v>
      </c>
      <c r="C221" s="10" t="s">
        <v>451</v>
      </c>
      <c r="D221" s="10" t="s">
        <v>452</v>
      </c>
      <c r="E221" s="20">
        <v>10.81</v>
      </c>
      <c r="F221" s="10" t="s">
        <v>431</v>
      </c>
      <c r="G221" s="10" t="s">
        <v>453</v>
      </c>
      <c r="H221" s="10" t="s">
        <v>413</v>
      </c>
    </row>
    <row r="222" spans="1:8" x14ac:dyDescent="0.3">
      <c r="A222" s="12">
        <v>46023</v>
      </c>
      <c r="B222" s="10" t="s">
        <v>408</v>
      </c>
      <c r="C222" s="10" t="s">
        <v>409</v>
      </c>
      <c r="D222" s="10" t="s">
        <v>410</v>
      </c>
      <c r="E222" s="20">
        <v>567251.43999999994</v>
      </c>
      <c r="F222" s="10" t="s">
        <v>411</v>
      </c>
      <c r="G222" s="10" t="s">
        <v>412</v>
      </c>
      <c r="H222" s="10" t="s">
        <v>413</v>
      </c>
    </row>
    <row r="223" spans="1:8" ht="26.4" x14ac:dyDescent="0.3">
      <c r="A223" s="12">
        <v>46023</v>
      </c>
      <c r="B223" s="10" t="s">
        <v>402</v>
      </c>
      <c r="C223" s="10" t="s">
        <v>414</v>
      </c>
      <c r="D223" s="10" t="s">
        <v>415</v>
      </c>
      <c r="E223" s="20">
        <v>154579.54</v>
      </c>
      <c r="F223" s="10" t="s">
        <v>411</v>
      </c>
      <c r="G223" s="10" t="s">
        <v>416</v>
      </c>
      <c r="H223" s="10" t="s">
        <v>417</v>
      </c>
    </row>
    <row r="224" spans="1:8" ht="26.4" x14ac:dyDescent="0.3">
      <c r="A224" s="12">
        <v>46023</v>
      </c>
      <c r="B224" s="10" t="s">
        <v>404</v>
      </c>
      <c r="C224" s="10" t="s">
        <v>414</v>
      </c>
      <c r="D224" s="10" t="s">
        <v>415</v>
      </c>
      <c r="E224" s="20">
        <v>238386.83</v>
      </c>
      <c r="F224" s="10" t="s">
        <v>411</v>
      </c>
      <c r="G224" s="10" t="s">
        <v>416</v>
      </c>
      <c r="H224" s="10" t="s">
        <v>417</v>
      </c>
    </row>
    <row r="225" spans="1:8" ht="26.4" x14ac:dyDescent="0.3">
      <c r="A225" s="12">
        <v>46023</v>
      </c>
      <c r="B225" s="10" t="s">
        <v>403</v>
      </c>
      <c r="C225" s="10" t="s">
        <v>414</v>
      </c>
      <c r="D225" s="10" t="s">
        <v>415</v>
      </c>
      <c r="E225" s="20">
        <v>10220.16</v>
      </c>
      <c r="F225" s="10" t="s">
        <v>411</v>
      </c>
      <c r="G225" s="10" t="s">
        <v>416</v>
      </c>
      <c r="H225" s="10" t="s">
        <v>417</v>
      </c>
    </row>
    <row r="226" spans="1:8" ht="26.4" x14ac:dyDescent="0.3">
      <c r="A226" s="12">
        <v>46023</v>
      </c>
      <c r="B226" s="10" t="s">
        <v>400</v>
      </c>
      <c r="C226" s="10" t="s">
        <v>414</v>
      </c>
      <c r="D226" s="10" t="s">
        <v>415</v>
      </c>
      <c r="E226" s="20">
        <v>8969.11</v>
      </c>
      <c r="F226" s="10" t="s">
        <v>411</v>
      </c>
      <c r="G226" s="10" t="s">
        <v>416</v>
      </c>
      <c r="H226" s="10" t="s">
        <v>417</v>
      </c>
    </row>
    <row r="227" spans="1:8" ht="26.4" x14ac:dyDescent="0.3">
      <c r="A227" s="12">
        <v>46023</v>
      </c>
      <c r="B227" s="10" t="s">
        <v>418</v>
      </c>
      <c r="C227" s="10" t="s">
        <v>414</v>
      </c>
      <c r="D227" s="10" t="s">
        <v>415</v>
      </c>
      <c r="E227" s="20">
        <v>78621.8</v>
      </c>
      <c r="F227" s="10" t="s">
        <v>411</v>
      </c>
      <c r="G227" s="10" t="s">
        <v>416</v>
      </c>
      <c r="H227" s="10" t="s">
        <v>417</v>
      </c>
    </row>
    <row r="228" spans="1:8" ht="26.4" x14ac:dyDescent="0.3">
      <c r="A228" s="12">
        <v>46023</v>
      </c>
      <c r="B228" s="10" t="s">
        <v>419</v>
      </c>
      <c r="C228" s="10" t="s">
        <v>414</v>
      </c>
      <c r="D228" s="10" t="s">
        <v>415</v>
      </c>
      <c r="E228" s="20">
        <v>28265.98</v>
      </c>
      <c r="F228" s="10" t="s">
        <v>411</v>
      </c>
      <c r="G228" s="10" t="s">
        <v>416</v>
      </c>
      <c r="H228" s="10" t="s">
        <v>417</v>
      </c>
    </row>
    <row r="229" spans="1:8" ht="26.4" x14ac:dyDescent="0.3">
      <c r="A229" s="12">
        <v>46023</v>
      </c>
      <c r="B229" s="10" t="s">
        <v>408</v>
      </c>
      <c r="C229" s="10" t="s">
        <v>414</v>
      </c>
      <c r="D229" s="10" t="s">
        <v>415</v>
      </c>
      <c r="E229" s="20">
        <v>48208.02</v>
      </c>
      <c r="F229" s="10" t="s">
        <v>411</v>
      </c>
      <c r="G229" s="10" t="s">
        <v>416</v>
      </c>
      <c r="H229" s="10" t="s">
        <v>417</v>
      </c>
    </row>
    <row r="230" spans="1:8" x14ac:dyDescent="0.3">
      <c r="A230" s="12">
        <v>46023</v>
      </c>
      <c r="B230" s="10" t="s">
        <v>408</v>
      </c>
      <c r="C230" s="10" t="s">
        <v>420</v>
      </c>
      <c r="D230" s="10" t="s">
        <v>421</v>
      </c>
      <c r="E230" s="20">
        <v>589.01</v>
      </c>
      <c r="F230" s="10" t="s">
        <v>422</v>
      </c>
      <c r="G230" s="10" t="s">
        <v>423</v>
      </c>
      <c r="H230" s="10" t="s">
        <v>413</v>
      </c>
    </row>
    <row r="231" spans="1:8" ht="26.4" x14ac:dyDescent="0.3">
      <c r="A231" s="12">
        <v>46023</v>
      </c>
      <c r="B231" s="10" t="s">
        <v>419</v>
      </c>
      <c r="C231" s="10" t="s">
        <v>424</v>
      </c>
      <c r="D231" s="10" t="s">
        <v>425</v>
      </c>
      <c r="E231" s="20">
        <v>432.47</v>
      </c>
      <c r="F231" s="10" t="s">
        <v>422</v>
      </c>
      <c r="G231" s="10" t="s">
        <v>426</v>
      </c>
      <c r="H231" s="10" t="s">
        <v>417</v>
      </c>
    </row>
    <row r="232" spans="1:8" x14ac:dyDescent="0.3">
      <c r="A232" s="12">
        <v>46023</v>
      </c>
      <c r="B232" s="10" t="s">
        <v>408</v>
      </c>
      <c r="C232" s="10" t="s">
        <v>424</v>
      </c>
      <c r="D232" s="10" t="s">
        <v>427</v>
      </c>
      <c r="E232" s="20">
        <v>156.54</v>
      </c>
      <c r="F232" s="10" t="s">
        <v>422</v>
      </c>
      <c r="G232" s="10" t="s">
        <v>428</v>
      </c>
      <c r="H232" s="10" t="s">
        <v>417</v>
      </c>
    </row>
    <row r="233" spans="1:8" ht="26.4" x14ac:dyDescent="0.3">
      <c r="A233" s="12">
        <v>46023</v>
      </c>
      <c r="B233" s="10" t="s">
        <v>404</v>
      </c>
      <c r="C233" s="10" t="s">
        <v>429</v>
      </c>
      <c r="D233" s="10" t="s">
        <v>430</v>
      </c>
      <c r="E233" s="20">
        <v>1443.42</v>
      </c>
      <c r="F233" s="10" t="s">
        <v>431</v>
      </c>
      <c r="G233" s="10" t="s">
        <v>432</v>
      </c>
      <c r="H233" s="10" t="s">
        <v>413</v>
      </c>
    </row>
    <row r="234" spans="1:8" ht="26.4" x14ac:dyDescent="0.3">
      <c r="A234" s="12">
        <v>46023</v>
      </c>
      <c r="B234" s="10" t="s">
        <v>402</v>
      </c>
      <c r="C234" s="10" t="s">
        <v>429</v>
      </c>
      <c r="D234" s="10" t="s">
        <v>430</v>
      </c>
      <c r="E234" s="20">
        <v>471.57</v>
      </c>
      <c r="F234" s="10" t="s">
        <v>431</v>
      </c>
      <c r="G234" s="10" t="s">
        <v>432</v>
      </c>
      <c r="H234" s="10" t="s">
        <v>413</v>
      </c>
    </row>
    <row r="235" spans="1:8" ht="26.4" x14ac:dyDescent="0.3">
      <c r="A235" s="12">
        <v>46023</v>
      </c>
      <c r="B235" s="10" t="s">
        <v>403</v>
      </c>
      <c r="C235" s="10" t="s">
        <v>429</v>
      </c>
      <c r="D235" s="10" t="s">
        <v>430</v>
      </c>
      <c r="E235" s="20">
        <v>154.41999999999999</v>
      </c>
      <c r="F235" s="10" t="s">
        <v>431</v>
      </c>
      <c r="G235" s="10" t="s">
        <v>432</v>
      </c>
      <c r="H235" s="10" t="s">
        <v>413</v>
      </c>
    </row>
    <row r="236" spans="1:8" ht="26.4" x14ac:dyDescent="0.3">
      <c r="A236" s="12">
        <v>46023</v>
      </c>
      <c r="B236" s="10" t="s">
        <v>400</v>
      </c>
      <c r="C236" s="10" t="s">
        <v>429</v>
      </c>
      <c r="D236" s="10" t="s">
        <v>430</v>
      </c>
      <c r="E236" s="20">
        <v>318.05</v>
      </c>
      <c r="F236" s="10" t="s">
        <v>431</v>
      </c>
      <c r="G236" s="10" t="s">
        <v>432</v>
      </c>
      <c r="H236" s="10" t="s">
        <v>413</v>
      </c>
    </row>
    <row r="237" spans="1:8" x14ac:dyDescent="0.3">
      <c r="A237" s="12">
        <v>46023</v>
      </c>
      <c r="B237" s="10" t="s">
        <v>433</v>
      </c>
      <c r="C237" s="10" t="s">
        <v>434</v>
      </c>
      <c r="D237" s="10" t="s">
        <v>435</v>
      </c>
      <c r="E237" s="20">
        <v>894.24</v>
      </c>
      <c r="F237" s="10" t="s">
        <v>431</v>
      </c>
      <c r="G237" s="10" t="s">
        <v>436</v>
      </c>
      <c r="H237" s="10" t="s">
        <v>413</v>
      </c>
    </row>
    <row r="238" spans="1:8" ht="26.4" x14ac:dyDescent="0.3">
      <c r="A238" s="12">
        <v>46023</v>
      </c>
      <c r="B238" s="10" t="s">
        <v>437</v>
      </c>
      <c r="C238" s="10" t="s">
        <v>438</v>
      </c>
      <c r="D238" s="10" t="s">
        <v>439</v>
      </c>
      <c r="E238" s="20">
        <v>65163.59</v>
      </c>
      <c r="F238" s="10" t="s">
        <v>431</v>
      </c>
      <c r="G238" s="10" t="s">
        <v>440</v>
      </c>
      <c r="H238" s="10" t="s">
        <v>413</v>
      </c>
    </row>
    <row r="239" spans="1:8" x14ac:dyDescent="0.3">
      <c r="A239" s="12">
        <v>46023</v>
      </c>
      <c r="B239" s="10" t="s">
        <v>437</v>
      </c>
      <c r="C239" s="10" t="s">
        <v>441</v>
      </c>
      <c r="D239" s="10" t="s">
        <v>442</v>
      </c>
      <c r="E239" s="20">
        <v>7736.98</v>
      </c>
      <c r="F239" s="10" t="s">
        <v>431</v>
      </c>
      <c r="G239" s="10" t="s">
        <v>440</v>
      </c>
      <c r="H239" s="10" t="s">
        <v>413</v>
      </c>
    </row>
    <row r="240" spans="1:8" x14ac:dyDescent="0.3">
      <c r="A240" s="12">
        <v>46023</v>
      </c>
      <c r="B240" s="10" t="s">
        <v>403</v>
      </c>
      <c r="C240" s="10" t="s">
        <v>443</v>
      </c>
      <c r="D240" s="10" t="s">
        <v>444</v>
      </c>
      <c r="E240" s="20">
        <v>68.17</v>
      </c>
      <c r="F240" s="10" t="s">
        <v>431</v>
      </c>
      <c r="G240" s="10" t="s">
        <v>445</v>
      </c>
      <c r="H240" s="10" t="s">
        <v>413</v>
      </c>
    </row>
    <row r="241" spans="1:8" ht="26.4" x14ac:dyDescent="0.3">
      <c r="A241" s="12">
        <v>46023</v>
      </c>
      <c r="B241" s="10" t="s">
        <v>403</v>
      </c>
      <c r="C241" s="10" t="s">
        <v>446</v>
      </c>
      <c r="D241" s="10" t="s">
        <v>447</v>
      </c>
      <c r="E241" s="20">
        <v>47.3</v>
      </c>
      <c r="F241" s="10" t="s">
        <v>431</v>
      </c>
      <c r="G241" s="10" t="s">
        <v>445</v>
      </c>
      <c r="H241" s="10" t="s">
        <v>413</v>
      </c>
    </row>
    <row r="242" spans="1:8" x14ac:dyDescent="0.3">
      <c r="A242" s="12">
        <v>46023</v>
      </c>
      <c r="B242" s="10" t="s">
        <v>400</v>
      </c>
      <c r="C242" s="10" t="s">
        <v>448</v>
      </c>
      <c r="D242" s="10" t="s">
        <v>449</v>
      </c>
      <c r="E242" s="20">
        <v>876.62</v>
      </c>
      <c r="F242" s="10" t="s">
        <v>431</v>
      </c>
      <c r="G242" s="10" t="s">
        <v>450</v>
      </c>
      <c r="H242" s="10" t="s">
        <v>413</v>
      </c>
    </row>
    <row r="243" spans="1:8" ht="26.4" x14ac:dyDescent="0.3">
      <c r="A243" s="12">
        <v>46023</v>
      </c>
      <c r="B243" s="10" t="s">
        <v>437</v>
      </c>
      <c r="C243" s="10" t="s">
        <v>451</v>
      </c>
      <c r="D243" s="10" t="s">
        <v>452</v>
      </c>
      <c r="E243" s="20">
        <v>12.56</v>
      </c>
      <c r="F243" s="10" t="s">
        <v>431</v>
      </c>
      <c r="G243" s="10" t="s">
        <v>453</v>
      </c>
      <c r="H243" s="10" t="s">
        <v>413</v>
      </c>
    </row>
    <row r="244" spans="1:8" x14ac:dyDescent="0.3">
      <c r="A244" s="12">
        <v>46054</v>
      </c>
      <c r="B244" s="10" t="s">
        <v>408</v>
      </c>
      <c r="C244" s="10" t="s">
        <v>409</v>
      </c>
      <c r="D244" s="10" t="s">
        <v>410</v>
      </c>
      <c r="E244" s="20">
        <v>527748.79</v>
      </c>
      <c r="F244" s="10" t="s">
        <v>411</v>
      </c>
      <c r="G244" s="10" t="s">
        <v>412</v>
      </c>
      <c r="H244" s="10" t="s">
        <v>413</v>
      </c>
    </row>
    <row r="245" spans="1:8" ht="26.4" x14ac:dyDescent="0.3">
      <c r="A245" s="12">
        <v>46054</v>
      </c>
      <c r="B245" s="10" t="s">
        <v>402</v>
      </c>
      <c r="C245" s="10" t="s">
        <v>414</v>
      </c>
      <c r="D245" s="10" t="s">
        <v>415</v>
      </c>
      <c r="E245" s="20">
        <v>138363.62</v>
      </c>
      <c r="F245" s="10" t="s">
        <v>411</v>
      </c>
      <c r="G245" s="10" t="s">
        <v>416</v>
      </c>
      <c r="H245" s="10" t="s">
        <v>417</v>
      </c>
    </row>
    <row r="246" spans="1:8" ht="26.4" x14ac:dyDescent="0.3">
      <c r="A246" s="12">
        <v>46054</v>
      </c>
      <c r="B246" s="10" t="s">
        <v>404</v>
      </c>
      <c r="C246" s="10" t="s">
        <v>414</v>
      </c>
      <c r="D246" s="10" t="s">
        <v>415</v>
      </c>
      <c r="E246" s="20">
        <v>219235.88</v>
      </c>
      <c r="F246" s="10" t="s">
        <v>411</v>
      </c>
      <c r="G246" s="10" t="s">
        <v>416</v>
      </c>
      <c r="H246" s="10" t="s">
        <v>417</v>
      </c>
    </row>
    <row r="247" spans="1:8" ht="26.4" x14ac:dyDescent="0.3">
      <c r="A247" s="12">
        <v>46054</v>
      </c>
      <c r="B247" s="10" t="s">
        <v>403</v>
      </c>
      <c r="C247" s="10" t="s">
        <v>414</v>
      </c>
      <c r="D247" s="10" t="s">
        <v>415</v>
      </c>
      <c r="E247" s="20">
        <v>10671.52</v>
      </c>
      <c r="F247" s="10" t="s">
        <v>411</v>
      </c>
      <c r="G247" s="10" t="s">
        <v>416</v>
      </c>
      <c r="H247" s="10" t="s">
        <v>417</v>
      </c>
    </row>
    <row r="248" spans="1:8" ht="26.4" x14ac:dyDescent="0.3">
      <c r="A248" s="12">
        <v>46054</v>
      </c>
      <c r="B248" s="10" t="s">
        <v>400</v>
      </c>
      <c r="C248" s="10" t="s">
        <v>414</v>
      </c>
      <c r="D248" s="10" t="s">
        <v>415</v>
      </c>
      <c r="E248" s="20">
        <v>9929.3700000000008</v>
      </c>
      <c r="F248" s="10" t="s">
        <v>411</v>
      </c>
      <c r="G248" s="10" t="s">
        <v>416</v>
      </c>
      <c r="H248" s="10" t="s">
        <v>417</v>
      </c>
    </row>
    <row r="249" spans="1:8" ht="26.4" x14ac:dyDescent="0.3">
      <c r="A249" s="12">
        <v>46054</v>
      </c>
      <c r="B249" s="10" t="s">
        <v>418</v>
      </c>
      <c r="C249" s="10" t="s">
        <v>414</v>
      </c>
      <c r="D249" s="10" t="s">
        <v>415</v>
      </c>
      <c r="E249" s="20">
        <v>71531.61</v>
      </c>
      <c r="F249" s="10" t="s">
        <v>411</v>
      </c>
      <c r="G249" s="10" t="s">
        <v>416</v>
      </c>
      <c r="H249" s="10" t="s">
        <v>417</v>
      </c>
    </row>
    <row r="250" spans="1:8" ht="26.4" x14ac:dyDescent="0.3">
      <c r="A250" s="12">
        <v>46054</v>
      </c>
      <c r="B250" s="10" t="s">
        <v>419</v>
      </c>
      <c r="C250" s="10" t="s">
        <v>414</v>
      </c>
      <c r="D250" s="10" t="s">
        <v>415</v>
      </c>
      <c r="E250" s="20">
        <v>30720.14</v>
      </c>
      <c r="F250" s="10" t="s">
        <v>411</v>
      </c>
      <c r="G250" s="10" t="s">
        <v>416</v>
      </c>
      <c r="H250" s="10" t="s">
        <v>417</v>
      </c>
    </row>
    <row r="251" spans="1:8" ht="26.4" x14ac:dyDescent="0.3">
      <c r="A251" s="12">
        <v>46054</v>
      </c>
      <c r="B251" s="10" t="s">
        <v>408</v>
      </c>
      <c r="C251" s="10" t="s">
        <v>414</v>
      </c>
      <c r="D251" s="10" t="s">
        <v>415</v>
      </c>
      <c r="E251" s="20">
        <v>47296.65</v>
      </c>
      <c r="F251" s="10" t="s">
        <v>411</v>
      </c>
      <c r="G251" s="10" t="s">
        <v>416</v>
      </c>
      <c r="H251" s="10" t="s">
        <v>417</v>
      </c>
    </row>
    <row r="252" spans="1:8" x14ac:dyDescent="0.3">
      <c r="A252" s="12">
        <v>46054</v>
      </c>
      <c r="B252" s="10" t="s">
        <v>408</v>
      </c>
      <c r="C252" s="10" t="s">
        <v>420</v>
      </c>
      <c r="D252" s="10" t="s">
        <v>421</v>
      </c>
      <c r="E252" s="20">
        <v>565.5</v>
      </c>
      <c r="F252" s="10" t="s">
        <v>422</v>
      </c>
      <c r="G252" s="10" t="s">
        <v>423</v>
      </c>
      <c r="H252" s="10" t="s">
        <v>413</v>
      </c>
    </row>
    <row r="253" spans="1:8" ht="26.4" x14ac:dyDescent="0.3">
      <c r="A253" s="12">
        <v>46054</v>
      </c>
      <c r="B253" s="10" t="s">
        <v>419</v>
      </c>
      <c r="C253" s="10" t="s">
        <v>424</v>
      </c>
      <c r="D253" s="10" t="s">
        <v>425</v>
      </c>
      <c r="E253" s="20">
        <v>415.36</v>
      </c>
      <c r="F253" s="10" t="s">
        <v>422</v>
      </c>
      <c r="G253" s="10" t="s">
        <v>426</v>
      </c>
      <c r="H253" s="10" t="s">
        <v>417</v>
      </c>
    </row>
    <row r="254" spans="1:8" x14ac:dyDescent="0.3">
      <c r="A254" s="12">
        <v>46054</v>
      </c>
      <c r="B254" s="10" t="s">
        <v>408</v>
      </c>
      <c r="C254" s="10" t="s">
        <v>424</v>
      </c>
      <c r="D254" s="10" t="s">
        <v>427</v>
      </c>
      <c r="E254" s="20">
        <v>150.13999999999999</v>
      </c>
      <c r="F254" s="10" t="s">
        <v>422</v>
      </c>
      <c r="G254" s="10" t="s">
        <v>428</v>
      </c>
      <c r="H254" s="10" t="s">
        <v>417</v>
      </c>
    </row>
    <row r="255" spans="1:8" ht="26.4" x14ac:dyDescent="0.3">
      <c r="A255" s="12">
        <v>46054</v>
      </c>
      <c r="B255" s="10" t="s">
        <v>404</v>
      </c>
      <c r="C255" s="10" t="s">
        <v>429</v>
      </c>
      <c r="D255" s="10" t="s">
        <v>430</v>
      </c>
      <c r="E255" s="20">
        <v>1343.25</v>
      </c>
      <c r="F255" s="10" t="s">
        <v>431</v>
      </c>
      <c r="G255" s="10" t="s">
        <v>432</v>
      </c>
      <c r="H255" s="10" t="s">
        <v>413</v>
      </c>
    </row>
    <row r="256" spans="1:8" ht="26.4" x14ac:dyDescent="0.3">
      <c r="A256" s="12">
        <v>46054</v>
      </c>
      <c r="B256" s="10" t="s">
        <v>402</v>
      </c>
      <c r="C256" s="10" t="s">
        <v>429</v>
      </c>
      <c r="D256" s="10" t="s">
        <v>430</v>
      </c>
      <c r="E256" s="20">
        <v>409.9</v>
      </c>
      <c r="F256" s="10" t="s">
        <v>431</v>
      </c>
      <c r="G256" s="10" t="s">
        <v>432</v>
      </c>
      <c r="H256" s="10" t="s">
        <v>413</v>
      </c>
    </row>
    <row r="257" spans="1:8" ht="26.4" x14ac:dyDescent="0.3">
      <c r="A257" s="12">
        <v>46054</v>
      </c>
      <c r="B257" s="10" t="s">
        <v>403</v>
      </c>
      <c r="C257" s="10" t="s">
        <v>429</v>
      </c>
      <c r="D257" s="10" t="s">
        <v>430</v>
      </c>
      <c r="E257" s="20">
        <v>155.63</v>
      </c>
      <c r="F257" s="10" t="s">
        <v>431</v>
      </c>
      <c r="G257" s="10" t="s">
        <v>432</v>
      </c>
      <c r="H257" s="10" t="s">
        <v>413</v>
      </c>
    </row>
    <row r="258" spans="1:8" ht="26.4" x14ac:dyDescent="0.3">
      <c r="A258" s="12">
        <v>46054</v>
      </c>
      <c r="B258" s="10" t="s">
        <v>400</v>
      </c>
      <c r="C258" s="10" t="s">
        <v>429</v>
      </c>
      <c r="D258" s="10" t="s">
        <v>430</v>
      </c>
      <c r="E258" s="20">
        <v>379.94</v>
      </c>
      <c r="F258" s="10" t="s">
        <v>431</v>
      </c>
      <c r="G258" s="10" t="s">
        <v>432</v>
      </c>
      <c r="H258" s="10" t="s">
        <v>413</v>
      </c>
    </row>
    <row r="259" spans="1:8" x14ac:dyDescent="0.3">
      <c r="A259" s="12">
        <v>46054</v>
      </c>
      <c r="B259" s="10" t="s">
        <v>433</v>
      </c>
      <c r="C259" s="10" t="s">
        <v>434</v>
      </c>
      <c r="D259" s="10" t="s">
        <v>435</v>
      </c>
      <c r="E259" s="20">
        <v>879.55</v>
      </c>
      <c r="F259" s="10" t="s">
        <v>431</v>
      </c>
      <c r="G259" s="10" t="s">
        <v>436</v>
      </c>
      <c r="H259" s="10" t="s">
        <v>413</v>
      </c>
    </row>
    <row r="260" spans="1:8" ht="26.4" x14ac:dyDescent="0.3">
      <c r="A260" s="12">
        <v>46054</v>
      </c>
      <c r="B260" s="10" t="s">
        <v>437</v>
      </c>
      <c r="C260" s="10" t="s">
        <v>438</v>
      </c>
      <c r="D260" s="10" t="s">
        <v>439</v>
      </c>
      <c r="E260" s="20">
        <v>62243.98</v>
      </c>
      <c r="F260" s="10" t="s">
        <v>431</v>
      </c>
      <c r="G260" s="10" t="s">
        <v>440</v>
      </c>
      <c r="H260" s="10" t="s">
        <v>413</v>
      </c>
    </row>
    <row r="261" spans="1:8" x14ac:dyDescent="0.3">
      <c r="A261" s="12">
        <v>46054</v>
      </c>
      <c r="B261" s="10" t="s">
        <v>437</v>
      </c>
      <c r="C261" s="10" t="s">
        <v>441</v>
      </c>
      <c r="D261" s="10" t="s">
        <v>442</v>
      </c>
      <c r="E261" s="20">
        <v>6848.13</v>
      </c>
      <c r="F261" s="10" t="s">
        <v>431</v>
      </c>
      <c r="G261" s="10" t="s">
        <v>440</v>
      </c>
      <c r="H261" s="10" t="s">
        <v>413</v>
      </c>
    </row>
    <row r="262" spans="1:8" x14ac:dyDescent="0.3">
      <c r="A262" s="12">
        <v>46054</v>
      </c>
      <c r="B262" s="10" t="s">
        <v>403</v>
      </c>
      <c r="C262" s="10" t="s">
        <v>443</v>
      </c>
      <c r="D262" s="10" t="s">
        <v>444</v>
      </c>
      <c r="E262" s="20">
        <v>71.58</v>
      </c>
      <c r="F262" s="10" t="s">
        <v>431</v>
      </c>
      <c r="G262" s="10" t="s">
        <v>445</v>
      </c>
      <c r="H262" s="10" t="s">
        <v>413</v>
      </c>
    </row>
    <row r="263" spans="1:8" ht="26.4" x14ac:dyDescent="0.3">
      <c r="A263" s="12">
        <v>46054</v>
      </c>
      <c r="B263" s="10" t="s">
        <v>403</v>
      </c>
      <c r="C263" s="10" t="s">
        <v>446</v>
      </c>
      <c r="D263" s="10" t="s">
        <v>447</v>
      </c>
      <c r="E263" s="20">
        <v>47.53</v>
      </c>
      <c r="F263" s="10" t="s">
        <v>431</v>
      </c>
      <c r="G263" s="10" t="s">
        <v>445</v>
      </c>
      <c r="H263" s="10" t="s">
        <v>413</v>
      </c>
    </row>
    <row r="264" spans="1:8" x14ac:dyDescent="0.3">
      <c r="A264" s="12">
        <v>46054</v>
      </c>
      <c r="B264" s="10" t="s">
        <v>400</v>
      </c>
      <c r="C264" s="10" t="s">
        <v>448</v>
      </c>
      <c r="D264" s="10" t="s">
        <v>449</v>
      </c>
      <c r="E264" s="20">
        <v>972.21</v>
      </c>
      <c r="F264" s="10" t="s">
        <v>431</v>
      </c>
      <c r="G264" s="10" t="s">
        <v>450</v>
      </c>
      <c r="H264" s="10" t="s">
        <v>413</v>
      </c>
    </row>
    <row r="265" spans="1:8" ht="26.4" x14ac:dyDescent="0.3">
      <c r="A265" s="12">
        <v>46054</v>
      </c>
      <c r="B265" s="10" t="s">
        <v>437</v>
      </c>
      <c r="C265" s="10" t="s">
        <v>451</v>
      </c>
      <c r="D265" s="10" t="s">
        <v>452</v>
      </c>
      <c r="E265" s="20">
        <v>13.53</v>
      </c>
      <c r="F265" s="10" t="s">
        <v>431</v>
      </c>
      <c r="G265" s="10" t="s">
        <v>453</v>
      </c>
      <c r="H265" s="10" t="s">
        <v>413</v>
      </c>
    </row>
    <row r="266" spans="1:8" x14ac:dyDescent="0.3">
      <c r="A266" s="12">
        <v>46082</v>
      </c>
      <c r="B266" s="10" t="s">
        <v>408</v>
      </c>
      <c r="C266" s="10" t="s">
        <v>409</v>
      </c>
      <c r="D266" s="10" t="s">
        <v>410</v>
      </c>
      <c r="E266" s="20">
        <v>590162.4</v>
      </c>
      <c r="F266" s="10" t="s">
        <v>411</v>
      </c>
      <c r="G266" s="10" t="s">
        <v>412</v>
      </c>
      <c r="H266" s="10" t="s">
        <v>413</v>
      </c>
    </row>
    <row r="267" spans="1:8" ht="26.4" x14ac:dyDescent="0.3">
      <c r="A267" s="12">
        <v>46082</v>
      </c>
      <c r="B267" s="10" t="s">
        <v>402</v>
      </c>
      <c r="C267" s="10" t="s">
        <v>414</v>
      </c>
      <c r="D267" s="10" t="s">
        <v>415</v>
      </c>
      <c r="E267" s="20">
        <v>151793.64000000001</v>
      </c>
      <c r="F267" s="10" t="s">
        <v>411</v>
      </c>
      <c r="G267" s="10" t="s">
        <v>416</v>
      </c>
      <c r="H267" s="10" t="s">
        <v>417</v>
      </c>
    </row>
    <row r="268" spans="1:8" ht="26.4" x14ac:dyDescent="0.3">
      <c r="A268" s="12">
        <v>46082</v>
      </c>
      <c r="B268" s="10" t="s">
        <v>404</v>
      </c>
      <c r="C268" s="10" t="s">
        <v>414</v>
      </c>
      <c r="D268" s="10" t="s">
        <v>415</v>
      </c>
      <c r="E268" s="20">
        <v>249887.92</v>
      </c>
      <c r="F268" s="10" t="s">
        <v>411</v>
      </c>
      <c r="G268" s="10" t="s">
        <v>416</v>
      </c>
      <c r="H268" s="10" t="s">
        <v>417</v>
      </c>
    </row>
    <row r="269" spans="1:8" ht="26.4" x14ac:dyDescent="0.3">
      <c r="A269" s="12">
        <v>46082</v>
      </c>
      <c r="B269" s="10" t="s">
        <v>403</v>
      </c>
      <c r="C269" s="10" t="s">
        <v>414</v>
      </c>
      <c r="D269" s="10" t="s">
        <v>415</v>
      </c>
      <c r="E269" s="20">
        <v>13496.1</v>
      </c>
      <c r="F269" s="10" t="s">
        <v>411</v>
      </c>
      <c r="G269" s="10" t="s">
        <v>416</v>
      </c>
      <c r="H269" s="10" t="s">
        <v>417</v>
      </c>
    </row>
    <row r="270" spans="1:8" ht="26.4" x14ac:dyDescent="0.3">
      <c r="A270" s="12">
        <v>46082</v>
      </c>
      <c r="B270" s="10" t="s">
        <v>400</v>
      </c>
      <c r="C270" s="10" t="s">
        <v>414</v>
      </c>
      <c r="D270" s="10" t="s">
        <v>415</v>
      </c>
      <c r="E270" s="20">
        <v>10479.08</v>
      </c>
      <c r="F270" s="10" t="s">
        <v>411</v>
      </c>
      <c r="G270" s="10" t="s">
        <v>416</v>
      </c>
      <c r="H270" s="10" t="s">
        <v>417</v>
      </c>
    </row>
    <row r="271" spans="1:8" ht="26.4" x14ac:dyDescent="0.3">
      <c r="A271" s="12">
        <v>46082</v>
      </c>
      <c r="B271" s="10" t="s">
        <v>418</v>
      </c>
      <c r="C271" s="10" t="s">
        <v>414</v>
      </c>
      <c r="D271" s="10" t="s">
        <v>415</v>
      </c>
      <c r="E271" s="20">
        <v>80511.33</v>
      </c>
      <c r="F271" s="10" t="s">
        <v>411</v>
      </c>
      <c r="G271" s="10" t="s">
        <v>416</v>
      </c>
      <c r="H271" s="10" t="s">
        <v>417</v>
      </c>
    </row>
    <row r="272" spans="1:8" ht="26.4" x14ac:dyDescent="0.3">
      <c r="A272" s="12">
        <v>46082</v>
      </c>
      <c r="B272" s="10" t="s">
        <v>419</v>
      </c>
      <c r="C272" s="10" t="s">
        <v>414</v>
      </c>
      <c r="D272" s="10" t="s">
        <v>415</v>
      </c>
      <c r="E272" s="20">
        <v>36987.870000000003</v>
      </c>
      <c r="F272" s="10" t="s">
        <v>411</v>
      </c>
      <c r="G272" s="10" t="s">
        <v>416</v>
      </c>
      <c r="H272" s="10" t="s">
        <v>417</v>
      </c>
    </row>
    <row r="273" spans="1:8" ht="26.4" x14ac:dyDescent="0.3">
      <c r="A273" s="12">
        <v>46082</v>
      </c>
      <c r="B273" s="10" t="s">
        <v>408</v>
      </c>
      <c r="C273" s="10" t="s">
        <v>414</v>
      </c>
      <c r="D273" s="10" t="s">
        <v>415</v>
      </c>
      <c r="E273" s="20">
        <v>47006.46</v>
      </c>
      <c r="F273" s="10" t="s">
        <v>411</v>
      </c>
      <c r="G273" s="10" t="s">
        <v>416</v>
      </c>
      <c r="H273" s="10" t="s">
        <v>417</v>
      </c>
    </row>
    <row r="274" spans="1:8" x14ac:dyDescent="0.3">
      <c r="A274" s="12">
        <v>46082</v>
      </c>
      <c r="B274" s="10" t="s">
        <v>408</v>
      </c>
      <c r="C274" s="10" t="s">
        <v>420</v>
      </c>
      <c r="D274" s="10" t="s">
        <v>421</v>
      </c>
      <c r="E274" s="20">
        <v>714.87</v>
      </c>
      <c r="F274" s="10" t="s">
        <v>422</v>
      </c>
      <c r="G274" s="10" t="s">
        <v>423</v>
      </c>
      <c r="H274" s="10" t="s">
        <v>413</v>
      </c>
    </row>
    <row r="275" spans="1:8" ht="26.4" x14ac:dyDescent="0.3">
      <c r="A275" s="12">
        <v>46082</v>
      </c>
      <c r="B275" s="10" t="s">
        <v>419</v>
      </c>
      <c r="C275" s="10" t="s">
        <v>424</v>
      </c>
      <c r="D275" s="10" t="s">
        <v>425</v>
      </c>
      <c r="E275" s="20">
        <v>546.88</v>
      </c>
      <c r="F275" s="10" t="s">
        <v>422</v>
      </c>
      <c r="G275" s="10" t="s">
        <v>426</v>
      </c>
      <c r="H275" s="10" t="s">
        <v>417</v>
      </c>
    </row>
    <row r="276" spans="1:8" x14ac:dyDescent="0.3">
      <c r="A276" s="12">
        <v>46082</v>
      </c>
      <c r="B276" s="10" t="s">
        <v>408</v>
      </c>
      <c r="C276" s="10" t="s">
        <v>424</v>
      </c>
      <c r="D276" s="10" t="s">
        <v>427</v>
      </c>
      <c r="E276" s="20">
        <v>167.99</v>
      </c>
      <c r="F276" s="10" t="s">
        <v>422</v>
      </c>
      <c r="G276" s="10" t="s">
        <v>428</v>
      </c>
      <c r="H276" s="10" t="s">
        <v>417</v>
      </c>
    </row>
    <row r="277" spans="1:8" ht="26.4" x14ac:dyDescent="0.3">
      <c r="A277" s="12">
        <v>46082</v>
      </c>
      <c r="B277" s="10" t="s">
        <v>404</v>
      </c>
      <c r="C277" s="10" t="s">
        <v>429</v>
      </c>
      <c r="D277" s="10" t="s">
        <v>430</v>
      </c>
      <c r="E277" s="20">
        <v>1458.45</v>
      </c>
      <c r="F277" s="10" t="s">
        <v>431</v>
      </c>
      <c r="G277" s="10" t="s">
        <v>432</v>
      </c>
      <c r="H277" s="10" t="s">
        <v>413</v>
      </c>
    </row>
    <row r="278" spans="1:8" ht="26.4" x14ac:dyDescent="0.3">
      <c r="A278" s="12">
        <v>46082</v>
      </c>
      <c r="B278" s="10" t="s">
        <v>402</v>
      </c>
      <c r="C278" s="10" t="s">
        <v>429</v>
      </c>
      <c r="D278" s="10" t="s">
        <v>430</v>
      </c>
      <c r="E278" s="20">
        <v>491.2</v>
      </c>
      <c r="F278" s="10" t="s">
        <v>431</v>
      </c>
      <c r="G278" s="10" t="s">
        <v>432</v>
      </c>
      <c r="H278" s="10" t="s">
        <v>413</v>
      </c>
    </row>
    <row r="279" spans="1:8" ht="26.4" x14ac:dyDescent="0.3">
      <c r="A279" s="12">
        <v>46082</v>
      </c>
      <c r="B279" s="10" t="s">
        <v>403</v>
      </c>
      <c r="C279" s="10" t="s">
        <v>429</v>
      </c>
      <c r="D279" s="10" t="s">
        <v>430</v>
      </c>
      <c r="E279" s="20">
        <v>195.37</v>
      </c>
      <c r="F279" s="10" t="s">
        <v>431</v>
      </c>
      <c r="G279" s="10" t="s">
        <v>432</v>
      </c>
      <c r="H279" s="10" t="s">
        <v>413</v>
      </c>
    </row>
    <row r="280" spans="1:8" ht="26.4" x14ac:dyDescent="0.3">
      <c r="A280" s="12">
        <v>46082</v>
      </c>
      <c r="B280" s="10" t="s">
        <v>400</v>
      </c>
      <c r="C280" s="10" t="s">
        <v>429</v>
      </c>
      <c r="D280" s="10" t="s">
        <v>430</v>
      </c>
      <c r="E280" s="20">
        <v>387.13</v>
      </c>
      <c r="F280" s="10" t="s">
        <v>431</v>
      </c>
      <c r="G280" s="10" t="s">
        <v>432</v>
      </c>
      <c r="H280" s="10" t="s">
        <v>413</v>
      </c>
    </row>
    <row r="281" spans="1:8" x14ac:dyDescent="0.3">
      <c r="A281" s="12">
        <v>46082</v>
      </c>
      <c r="B281" s="10" t="s">
        <v>433</v>
      </c>
      <c r="C281" s="10" t="s">
        <v>434</v>
      </c>
      <c r="D281" s="10" t="s">
        <v>435</v>
      </c>
      <c r="E281" s="20">
        <v>949.25</v>
      </c>
      <c r="F281" s="10" t="s">
        <v>431</v>
      </c>
      <c r="G281" s="10" t="s">
        <v>436</v>
      </c>
      <c r="H281" s="10" t="s">
        <v>413</v>
      </c>
    </row>
    <row r="282" spans="1:8" ht="26.4" x14ac:dyDescent="0.3">
      <c r="A282" s="12">
        <v>46082</v>
      </c>
      <c r="B282" s="10" t="s">
        <v>437</v>
      </c>
      <c r="C282" s="10" t="s">
        <v>438</v>
      </c>
      <c r="D282" s="10" t="s">
        <v>439</v>
      </c>
      <c r="E282" s="20">
        <v>67199.62</v>
      </c>
      <c r="F282" s="10" t="s">
        <v>431</v>
      </c>
      <c r="G282" s="10" t="s">
        <v>440</v>
      </c>
      <c r="H282" s="10" t="s">
        <v>413</v>
      </c>
    </row>
    <row r="283" spans="1:8" x14ac:dyDescent="0.3">
      <c r="A283" s="12">
        <v>46082</v>
      </c>
      <c r="B283" s="10" t="s">
        <v>437</v>
      </c>
      <c r="C283" s="10" t="s">
        <v>441</v>
      </c>
      <c r="D283" s="10" t="s">
        <v>442</v>
      </c>
      <c r="E283" s="20">
        <v>7999.31</v>
      </c>
      <c r="F283" s="10" t="s">
        <v>431</v>
      </c>
      <c r="G283" s="10" t="s">
        <v>440</v>
      </c>
      <c r="H283" s="10" t="s">
        <v>413</v>
      </c>
    </row>
    <row r="284" spans="1:8" x14ac:dyDescent="0.3">
      <c r="A284" s="12">
        <v>46082</v>
      </c>
      <c r="B284" s="10" t="s">
        <v>403</v>
      </c>
      <c r="C284" s="10" t="s">
        <v>443</v>
      </c>
      <c r="D284" s="10" t="s">
        <v>444</v>
      </c>
      <c r="E284" s="20">
        <v>93.29</v>
      </c>
      <c r="F284" s="10" t="s">
        <v>431</v>
      </c>
      <c r="G284" s="10" t="s">
        <v>445</v>
      </c>
      <c r="H284" s="10" t="s">
        <v>413</v>
      </c>
    </row>
    <row r="285" spans="1:8" ht="26.4" x14ac:dyDescent="0.3">
      <c r="A285" s="12">
        <v>46082</v>
      </c>
      <c r="B285" s="10" t="s">
        <v>403</v>
      </c>
      <c r="C285" s="10" t="s">
        <v>446</v>
      </c>
      <c r="D285" s="10" t="s">
        <v>447</v>
      </c>
      <c r="E285" s="20">
        <v>61.77</v>
      </c>
      <c r="F285" s="10" t="s">
        <v>431</v>
      </c>
      <c r="G285" s="10" t="s">
        <v>445</v>
      </c>
      <c r="H285" s="10" t="s">
        <v>413</v>
      </c>
    </row>
    <row r="286" spans="1:8" x14ac:dyDescent="0.3">
      <c r="A286" s="12">
        <v>46082</v>
      </c>
      <c r="B286" s="10" t="s">
        <v>400</v>
      </c>
      <c r="C286" s="10" t="s">
        <v>448</v>
      </c>
      <c r="D286" s="10" t="s">
        <v>449</v>
      </c>
      <c r="E286" s="20">
        <v>1073.3699999999999</v>
      </c>
      <c r="F286" s="10" t="s">
        <v>431</v>
      </c>
      <c r="G286" s="10" t="s">
        <v>450</v>
      </c>
      <c r="H286" s="10" t="s">
        <v>413</v>
      </c>
    </row>
    <row r="287" spans="1:8" ht="26.4" x14ac:dyDescent="0.3">
      <c r="A287" s="12">
        <v>46082</v>
      </c>
      <c r="B287" s="10" t="s">
        <v>437</v>
      </c>
      <c r="C287" s="10" t="s">
        <v>451</v>
      </c>
      <c r="D287" s="10" t="s">
        <v>452</v>
      </c>
      <c r="E287" s="20">
        <v>4.13</v>
      </c>
      <c r="F287" s="10" t="s">
        <v>431</v>
      </c>
      <c r="G287" s="10" t="s">
        <v>453</v>
      </c>
      <c r="H287" s="10" t="s">
        <v>413</v>
      </c>
    </row>
    <row r="288" spans="1:8" x14ac:dyDescent="0.3">
      <c r="A288" s="12">
        <v>46113</v>
      </c>
      <c r="B288" s="10" t="s">
        <v>408</v>
      </c>
      <c r="C288" s="10" t="s">
        <v>409</v>
      </c>
      <c r="D288" s="10" t="s">
        <v>410</v>
      </c>
      <c r="E288" s="20">
        <v>554352.38</v>
      </c>
      <c r="F288" s="10" t="s">
        <v>411</v>
      </c>
      <c r="G288" s="10" t="s">
        <v>412</v>
      </c>
      <c r="H288" s="10" t="s">
        <v>413</v>
      </c>
    </row>
    <row r="289" spans="1:8" ht="26.4" x14ac:dyDescent="0.3">
      <c r="A289" s="12">
        <v>46113</v>
      </c>
      <c r="B289" s="10" t="s">
        <v>402</v>
      </c>
      <c r="C289" s="10" t="s">
        <v>414</v>
      </c>
      <c r="D289" s="10" t="s">
        <v>415</v>
      </c>
      <c r="E289" s="20">
        <v>144763.56</v>
      </c>
      <c r="F289" s="10" t="s">
        <v>411</v>
      </c>
      <c r="G289" s="10" t="s">
        <v>416</v>
      </c>
      <c r="H289" s="10" t="s">
        <v>417</v>
      </c>
    </row>
    <row r="290" spans="1:8" ht="26.4" x14ac:dyDescent="0.3">
      <c r="A290" s="12">
        <v>46113</v>
      </c>
      <c r="B290" s="10" t="s">
        <v>404</v>
      </c>
      <c r="C290" s="10" t="s">
        <v>414</v>
      </c>
      <c r="D290" s="10" t="s">
        <v>415</v>
      </c>
      <c r="E290" s="20">
        <v>229523.16</v>
      </c>
      <c r="F290" s="10" t="s">
        <v>411</v>
      </c>
      <c r="G290" s="10" t="s">
        <v>416</v>
      </c>
      <c r="H290" s="10" t="s">
        <v>417</v>
      </c>
    </row>
    <row r="291" spans="1:8" ht="26.4" x14ac:dyDescent="0.3">
      <c r="A291" s="12">
        <v>46113</v>
      </c>
      <c r="B291" s="10" t="s">
        <v>403</v>
      </c>
      <c r="C291" s="10" t="s">
        <v>414</v>
      </c>
      <c r="D291" s="10" t="s">
        <v>415</v>
      </c>
      <c r="E291" s="20">
        <v>13087.3</v>
      </c>
      <c r="F291" s="10" t="s">
        <v>411</v>
      </c>
      <c r="G291" s="10" t="s">
        <v>416</v>
      </c>
      <c r="H291" s="10" t="s">
        <v>417</v>
      </c>
    </row>
    <row r="292" spans="1:8" ht="26.4" x14ac:dyDescent="0.3">
      <c r="A292" s="12">
        <v>46113</v>
      </c>
      <c r="B292" s="10" t="s">
        <v>400</v>
      </c>
      <c r="C292" s="10" t="s">
        <v>414</v>
      </c>
      <c r="D292" s="10" t="s">
        <v>415</v>
      </c>
      <c r="E292" s="20">
        <v>8967.01</v>
      </c>
      <c r="F292" s="10" t="s">
        <v>411</v>
      </c>
      <c r="G292" s="10" t="s">
        <v>416</v>
      </c>
      <c r="H292" s="10" t="s">
        <v>417</v>
      </c>
    </row>
    <row r="293" spans="1:8" ht="26.4" x14ac:dyDescent="0.3">
      <c r="A293" s="12">
        <v>46113</v>
      </c>
      <c r="B293" s="10" t="s">
        <v>418</v>
      </c>
      <c r="C293" s="10" t="s">
        <v>414</v>
      </c>
      <c r="D293" s="10" t="s">
        <v>415</v>
      </c>
      <c r="E293" s="20">
        <v>77847.3</v>
      </c>
      <c r="F293" s="10" t="s">
        <v>411</v>
      </c>
      <c r="G293" s="10" t="s">
        <v>416</v>
      </c>
      <c r="H293" s="10" t="s">
        <v>417</v>
      </c>
    </row>
    <row r="294" spans="1:8" ht="26.4" x14ac:dyDescent="0.3">
      <c r="A294" s="12">
        <v>46113</v>
      </c>
      <c r="B294" s="10" t="s">
        <v>419</v>
      </c>
      <c r="C294" s="10" t="s">
        <v>414</v>
      </c>
      <c r="D294" s="10" t="s">
        <v>415</v>
      </c>
      <c r="E294" s="20">
        <v>36663.050000000003</v>
      </c>
      <c r="F294" s="10" t="s">
        <v>411</v>
      </c>
      <c r="G294" s="10" t="s">
        <v>416</v>
      </c>
      <c r="H294" s="10" t="s">
        <v>417</v>
      </c>
    </row>
    <row r="295" spans="1:8" ht="26.4" x14ac:dyDescent="0.3">
      <c r="A295" s="12">
        <v>46113</v>
      </c>
      <c r="B295" s="10" t="s">
        <v>408</v>
      </c>
      <c r="C295" s="10" t="s">
        <v>414</v>
      </c>
      <c r="D295" s="10" t="s">
        <v>415</v>
      </c>
      <c r="E295" s="20">
        <v>43501</v>
      </c>
      <c r="F295" s="10" t="s">
        <v>411</v>
      </c>
      <c r="G295" s="10" t="s">
        <v>416</v>
      </c>
      <c r="H295" s="10" t="s">
        <v>417</v>
      </c>
    </row>
    <row r="296" spans="1:8" x14ac:dyDescent="0.3">
      <c r="A296" s="12">
        <v>46113</v>
      </c>
      <c r="B296" s="10" t="s">
        <v>408</v>
      </c>
      <c r="C296" s="10" t="s">
        <v>420</v>
      </c>
      <c r="D296" s="10" t="s">
        <v>421</v>
      </c>
      <c r="E296" s="20">
        <v>673.72</v>
      </c>
      <c r="F296" s="10" t="s">
        <v>422</v>
      </c>
      <c r="G296" s="10" t="s">
        <v>423</v>
      </c>
      <c r="H296" s="10" t="s">
        <v>413</v>
      </c>
    </row>
    <row r="297" spans="1:8" ht="26.4" x14ac:dyDescent="0.3">
      <c r="A297" s="12">
        <v>46113</v>
      </c>
      <c r="B297" s="10" t="s">
        <v>419</v>
      </c>
      <c r="C297" s="10" t="s">
        <v>424</v>
      </c>
      <c r="D297" s="10" t="s">
        <v>425</v>
      </c>
      <c r="E297" s="20">
        <v>531.54999999999995</v>
      </c>
      <c r="F297" s="10" t="s">
        <v>422</v>
      </c>
      <c r="G297" s="10" t="s">
        <v>426</v>
      </c>
      <c r="H297" s="10" t="s">
        <v>417</v>
      </c>
    </row>
    <row r="298" spans="1:8" x14ac:dyDescent="0.3">
      <c r="A298" s="12">
        <v>46113</v>
      </c>
      <c r="B298" s="10" t="s">
        <v>408</v>
      </c>
      <c r="C298" s="10" t="s">
        <v>424</v>
      </c>
      <c r="D298" s="10" t="s">
        <v>427</v>
      </c>
      <c r="E298" s="20">
        <v>142.16999999999999</v>
      </c>
      <c r="F298" s="10" t="s">
        <v>422</v>
      </c>
      <c r="G298" s="10" t="s">
        <v>428</v>
      </c>
      <c r="H298" s="10" t="s">
        <v>417</v>
      </c>
    </row>
    <row r="299" spans="1:8" ht="26.4" x14ac:dyDescent="0.3">
      <c r="A299" s="12">
        <v>46113</v>
      </c>
      <c r="B299" s="10" t="s">
        <v>404</v>
      </c>
      <c r="C299" s="10" t="s">
        <v>429</v>
      </c>
      <c r="D299" s="10" t="s">
        <v>430</v>
      </c>
      <c r="E299" s="20">
        <v>1605.17</v>
      </c>
      <c r="F299" s="10" t="s">
        <v>431</v>
      </c>
      <c r="G299" s="10" t="s">
        <v>432</v>
      </c>
      <c r="H299" s="10" t="s">
        <v>413</v>
      </c>
    </row>
    <row r="300" spans="1:8" ht="26.4" x14ac:dyDescent="0.3">
      <c r="A300" s="12">
        <v>46113</v>
      </c>
      <c r="B300" s="10" t="s">
        <v>402</v>
      </c>
      <c r="C300" s="10" t="s">
        <v>429</v>
      </c>
      <c r="D300" s="10" t="s">
        <v>430</v>
      </c>
      <c r="E300" s="20">
        <v>483.54</v>
      </c>
      <c r="F300" s="10" t="s">
        <v>431</v>
      </c>
      <c r="G300" s="10" t="s">
        <v>432</v>
      </c>
      <c r="H300" s="10" t="s">
        <v>413</v>
      </c>
    </row>
    <row r="301" spans="1:8" ht="26.4" x14ac:dyDescent="0.3">
      <c r="A301" s="12">
        <v>46113</v>
      </c>
      <c r="B301" s="10" t="s">
        <v>403</v>
      </c>
      <c r="C301" s="10" t="s">
        <v>429</v>
      </c>
      <c r="D301" s="10" t="s">
        <v>430</v>
      </c>
      <c r="E301" s="20">
        <v>201.36</v>
      </c>
      <c r="F301" s="10" t="s">
        <v>431</v>
      </c>
      <c r="G301" s="10" t="s">
        <v>432</v>
      </c>
      <c r="H301" s="10" t="s">
        <v>413</v>
      </c>
    </row>
    <row r="302" spans="1:8" ht="26.4" x14ac:dyDescent="0.3">
      <c r="A302" s="12">
        <v>46113</v>
      </c>
      <c r="B302" s="10" t="s">
        <v>400</v>
      </c>
      <c r="C302" s="10" t="s">
        <v>429</v>
      </c>
      <c r="D302" s="10" t="s">
        <v>430</v>
      </c>
      <c r="E302" s="20">
        <v>316.79000000000002</v>
      </c>
      <c r="F302" s="10" t="s">
        <v>431</v>
      </c>
      <c r="G302" s="10" t="s">
        <v>432</v>
      </c>
      <c r="H302" s="10" t="s">
        <v>413</v>
      </c>
    </row>
    <row r="303" spans="1:8" x14ac:dyDescent="0.3">
      <c r="A303" s="12">
        <v>46113</v>
      </c>
      <c r="B303" s="10" t="s">
        <v>433</v>
      </c>
      <c r="C303" s="10" t="s">
        <v>434</v>
      </c>
      <c r="D303" s="10" t="s">
        <v>435</v>
      </c>
      <c r="E303" s="20">
        <v>1027.22</v>
      </c>
      <c r="F303" s="10" t="s">
        <v>431</v>
      </c>
      <c r="G303" s="10" t="s">
        <v>436</v>
      </c>
      <c r="H303" s="10" t="s">
        <v>413</v>
      </c>
    </row>
    <row r="304" spans="1:8" ht="26.4" x14ac:dyDescent="0.3">
      <c r="A304" s="12">
        <v>46113</v>
      </c>
      <c r="B304" s="10" t="s">
        <v>437</v>
      </c>
      <c r="C304" s="10" t="s">
        <v>438</v>
      </c>
      <c r="D304" s="10" t="s">
        <v>439</v>
      </c>
      <c r="E304" s="20">
        <v>61857.58</v>
      </c>
      <c r="F304" s="10" t="s">
        <v>431</v>
      </c>
      <c r="G304" s="10" t="s">
        <v>440</v>
      </c>
      <c r="H304" s="10" t="s">
        <v>413</v>
      </c>
    </row>
    <row r="305" spans="1:8" x14ac:dyDescent="0.3">
      <c r="A305" s="12">
        <v>46113</v>
      </c>
      <c r="B305" s="10" t="s">
        <v>437</v>
      </c>
      <c r="C305" s="10" t="s">
        <v>441</v>
      </c>
      <c r="D305" s="10" t="s">
        <v>442</v>
      </c>
      <c r="E305" s="20">
        <v>7608.44</v>
      </c>
      <c r="F305" s="10" t="s">
        <v>431</v>
      </c>
      <c r="G305" s="10" t="s">
        <v>440</v>
      </c>
      <c r="H305" s="10" t="s">
        <v>413</v>
      </c>
    </row>
    <row r="306" spans="1:8" x14ac:dyDescent="0.3">
      <c r="A306" s="12">
        <v>46113</v>
      </c>
      <c r="B306" s="10" t="s">
        <v>403</v>
      </c>
      <c r="C306" s="10" t="s">
        <v>443</v>
      </c>
      <c r="D306" s="10" t="s">
        <v>444</v>
      </c>
      <c r="E306" s="20">
        <v>89.41</v>
      </c>
      <c r="F306" s="10" t="s">
        <v>431</v>
      </c>
      <c r="G306" s="10" t="s">
        <v>445</v>
      </c>
      <c r="H306" s="10" t="s">
        <v>413</v>
      </c>
    </row>
    <row r="307" spans="1:8" ht="26.4" x14ac:dyDescent="0.3">
      <c r="A307" s="12">
        <v>46113</v>
      </c>
      <c r="B307" s="10" t="s">
        <v>403</v>
      </c>
      <c r="C307" s="10" t="s">
        <v>446</v>
      </c>
      <c r="D307" s="10" t="s">
        <v>447</v>
      </c>
      <c r="E307" s="20">
        <v>56.87</v>
      </c>
      <c r="F307" s="10" t="s">
        <v>431</v>
      </c>
      <c r="G307" s="10" t="s">
        <v>445</v>
      </c>
      <c r="H307" s="10" t="s">
        <v>413</v>
      </c>
    </row>
    <row r="308" spans="1:8" x14ac:dyDescent="0.3">
      <c r="A308" s="12">
        <v>46113</v>
      </c>
      <c r="B308" s="10" t="s">
        <v>400</v>
      </c>
      <c r="C308" s="10" t="s">
        <v>448</v>
      </c>
      <c r="D308" s="10" t="s">
        <v>449</v>
      </c>
      <c r="E308" s="20">
        <v>920.56</v>
      </c>
      <c r="F308" s="10" t="s">
        <v>431</v>
      </c>
      <c r="G308" s="10" t="s">
        <v>450</v>
      </c>
      <c r="H308" s="10" t="s">
        <v>413</v>
      </c>
    </row>
    <row r="309" spans="1:8" ht="26.4" x14ac:dyDescent="0.3">
      <c r="A309" s="12">
        <v>46113</v>
      </c>
      <c r="B309" s="10" t="s">
        <v>437</v>
      </c>
      <c r="C309" s="10" t="s">
        <v>451</v>
      </c>
      <c r="D309" s="10" t="s">
        <v>452</v>
      </c>
      <c r="E309" s="20">
        <v>11.21</v>
      </c>
      <c r="F309" s="10" t="s">
        <v>431</v>
      </c>
      <c r="G309" s="10" t="s">
        <v>453</v>
      </c>
      <c r="H309" s="10" t="s">
        <v>413</v>
      </c>
    </row>
    <row r="310" spans="1:8" x14ac:dyDescent="0.3">
      <c r="A310" s="12">
        <v>46143</v>
      </c>
      <c r="B310" s="10" t="s">
        <v>408</v>
      </c>
      <c r="C310" s="10" t="s">
        <v>409</v>
      </c>
      <c r="D310" s="10" t="s">
        <v>410</v>
      </c>
      <c r="E310" s="20">
        <v>588371.46</v>
      </c>
      <c r="F310" s="10" t="s">
        <v>411</v>
      </c>
      <c r="G310" s="10" t="s">
        <v>412</v>
      </c>
      <c r="H310" s="10" t="s">
        <v>413</v>
      </c>
    </row>
    <row r="311" spans="1:8" ht="26.4" x14ac:dyDescent="0.3">
      <c r="A311" s="12">
        <v>46143</v>
      </c>
      <c r="B311" s="10" t="s">
        <v>402</v>
      </c>
      <c r="C311" s="10" t="s">
        <v>414</v>
      </c>
      <c r="D311" s="10" t="s">
        <v>415</v>
      </c>
      <c r="E311" s="20">
        <v>159194.91</v>
      </c>
      <c r="F311" s="10" t="s">
        <v>411</v>
      </c>
      <c r="G311" s="10" t="s">
        <v>416</v>
      </c>
      <c r="H311" s="10" t="s">
        <v>417</v>
      </c>
    </row>
    <row r="312" spans="1:8" ht="26.4" x14ac:dyDescent="0.3">
      <c r="A312" s="12">
        <v>46143</v>
      </c>
      <c r="B312" s="10" t="s">
        <v>404</v>
      </c>
      <c r="C312" s="10" t="s">
        <v>414</v>
      </c>
      <c r="D312" s="10" t="s">
        <v>415</v>
      </c>
      <c r="E312" s="20">
        <v>238094.46</v>
      </c>
      <c r="F312" s="10" t="s">
        <v>411</v>
      </c>
      <c r="G312" s="10" t="s">
        <v>416</v>
      </c>
      <c r="H312" s="10" t="s">
        <v>417</v>
      </c>
    </row>
    <row r="313" spans="1:8" ht="26.4" x14ac:dyDescent="0.3">
      <c r="A313" s="12">
        <v>46143</v>
      </c>
      <c r="B313" s="10" t="s">
        <v>403</v>
      </c>
      <c r="C313" s="10" t="s">
        <v>414</v>
      </c>
      <c r="D313" s="10" t="s">
        <v>415</v>
      </c>
      <c r="E313" s="20">
        <v>14410.26</v>
      </c>
      <c r="F313" s="10" t="s">
        <v>411</v>
      </c>
      <c r="G313" s="10" t="s">
        <v>416</v>
      </c>
      <c r="H313" s="10" t="s">
        <v>417</v>
      </c>
    </row>
    <row r="314" spans="1:8" ht="26.4" x14ac:dyDescent="0.3">
      <c r="A314" s="12">
        <v>46143</v>
      </c>
      <c r="B314" s="10" t="s">
        <v>400</v>
      </c>
      <c r="C314" s="10" t="s">
        <v>414</v>
      </c>
      <c r="D314" s="10" t="s">
        <v>415</v>
      </c>
      <c r="E314" s="20">
        <v>9909.56</v>
      </c>
      <c r="F314" s="10" t="s">
        <v>411</v>
      </c>
      <c r="G314" s="10" t="s">
        <v>416</v>
      </c>
      <c r="H314" s="10" t="s">
        <v>417</v>
      </c>
    </row>
    <row r="315" spans="1:8" ht="26.4" x14ac:dyDescent="0.3">
      <c r="A315" s="12">
        <v>46143</v>
      </c>
      <c r="B315" s="10" t="s">
        <v>418</v>
      </c>
      <c r="C315" s="10" t="s">
        <v>414</v>
      </c>
      <c r="D315" s="10" t="s">
        <v>415</v>
      </c>
      <c r="E315" s="20">
        <v>78735.259999999995</v>
      </c>
      <c r="F315" s="10" t="s">
        <v>411</v>
      </c>
      <c r="G315" s="10" t="s">
        <v>416</v>
      </c>
      <c r="H315" s="10" t="s">
        <v>417</v>
      </c>
    </row>
    <row r="316" spans="1:8" ht="26.4" x14ac:dyDescent="0.3">
      <c r="A316" s="12">
        <v>46143</v>
      </c>
      <c r="B316" s="10" t="s">
        <v>419</v>
      </c>
      <c r="C316" s="10" t="s">
        <v>414</v>
      </c>
      <c r="D316" s="10" t="s">
        <v>415</v>
      </c>
      <c r="E316" s="20">
        <v>43234.11</v>
      </c>
      <c r="F316" s="10" t="s">
        <v>411</v>
      </c>
      <c r="G316" s="10" t="s">
        <v>416</v>
      </c>
      <c r="H316" s="10" t="s">
        <v>417</v>
      </c>
    </row>
    <row r="317" spans="1:8" ht="26.4" x14ac:dyDescent="0.3">
      <c r="A317" s="12">
        <v>46143</v>
      </c>
      <c r="B317" s="10" t="s">
        <v>408</v>
      </c>
      <c r="C317" s="10" t="s">
        <v>414</v>
      </c>
      <c r="D317" s="10" t="s">
        <v>415</v>
      </c>
      <c r="E317" s="20">
        <v>44792.91</v>
      </c>
      <c r="F317" s="10" t="s">
        <v>411</v>
      </c>
      <c r="G317" s="10" t="s">
        <v>416</v>
      </c>
      <c r="H317" s="10" t="s">
        <v>417</v>
      </c>
    </row>
    <row r="318" spans="1:8" x14ac:dyDescent="0.3">
      <c r="A318" s="12">
        <v>46143</v>
      </c>
      <c r="B318" s="10" t="s">
        <v>408</v>
      </c>
      <c r="C318" s="10" t="s">
        <v>420</v>
      </c>
      <c r="D318" s="10" t="s">
        <v>421</v>
      </c>
      <c r="E318" s="20">
        <v>800.63</v>
      </c>
      <c r="F318" s="10" t="s">
        <v>422</v>
      </c>
      <c r="G318" s="10" t="s">
        <v>423</v>
      </c>
      <c r="H318" s="10" t="s">
        <v>413</v>
      </c>
    </row>
    <row r="319" spans="1:8" ht="26.4" x14ac:dyDescent="0.3">
      <c r="A319" s="12">
        <v>46143</v>
      </c>
      <c r="B319" s="10" t="s">
        <v>419</v>
      </c>
      <c r="C319" s="10" t="s">
        <v>424</v>
      </c>
      <c r="D319" s="10" t="s">
        <v>425</v>
      </c>
      <c r="E319" s="20">
        <v>652.59</v>
      </c>
      <c r="F319" s="10" t="s">
        <v>422</v>
      </c>
      <c r="G319" s="10" t="s">
        <v>426</v>
      </c>
      <c r="H319" s="10" t="s">
        <v>417</v>
      </c>
    </row>
    <row r="320" spans="1:8" x14ac:dyDescent="0.3">
      <c r="A320" s="12">
        <v>46143</v>
      </c>
      <c r="B320" s="10" t="s">
        <v>408</v>
      </c>
      <c r="C320" s="10" t="s">
        <v>424</v>
      </c>
      <c r="D320" s="10" t="s">
        <v>427</v>
      </c>
      <c r="E320" s="20">
        <v>148.03</v>
      </c>
      <c r="F320" s="10" t="s">
        <v>422</v>
      </c>
      <c r="G320" s="10" t="s">
        <v>428</v>
      </c>
      <c r="H320" s="10" t="s">
        <v>417</v>
      </c>
    </row>
    <row r="321" spans="1:8" ht="26.4" x14ac:dyDescent="0.3">
      <c r="A321" s="12">
        <v>46143</v>
      </c>
      <c r="B321" s="10" t="s">
        <v>404</v>
      </c>
      <c r="C321" s="10" t="s">
        <v>429</v>
      </c>
      <c r="D321" s="10" t="s">
        <v>430</v>
      </c>
      <c r="E321" s="20">
        <v>1559.2</v>
      </c>
      <c r="F321" s="10" t="s">
        <v>431</v>
      </c>
      <c r="G321" s="10" t="s">
        <v>432</v>
      </c>
      <c r="H321" s="10" t="s">
        <v>413</v>
      </c>
    </row>
    <row r="322" spans="1:8" ht="26.4" x14ac:dyDescent="0.3">
      <c r="A322" s="12">
        <v>46143</v>
      </c>
      <c r="B322" s="10" t="s">
        <v>402</v>
      </c>
      <c r="C322" s="10" t="s">
        <v>429</v>
      </c>
      <c r="D322" s="10" t="s">
        <v>430</v>
      </c>
      <c r="E322" s="20">
        <v>468.51</v>
      </c>
      <c r="F322" s="10" t="s">
        <v>431</v>
      </c>
      <c r="G322" s="10" t="s">
        <v>432</v>
      </c>
      <c r="H322" s="10" t="s">
        <v>413</v>
      </c>
    </row>
    <row r="323" spans="1:8" ht="26.4" x14ac:dyDescent="0.3">
      <c r="A323" s="12">
        <v>46143</v>
      </c>
      <c r="B323" s="10" t="s">
        <v>403</v>
      </c>
      <c r="C323" s="10" t="s">
        <v>429</v>
      </c>
      <c r="D323" s="10" t="s">
        <v>430</v>
      </c>
      <c r="E323" s="20">
        <v>207.37</v>
      </c>
      <c r="F323" s="10" t="s">
        <v>431</v>
      </c>
      <c r="G323" s="10" t="s">
        <v>432</v>
      </c>
      <c r="H323" s="10" t="s">
        <v>413</v>
      </c>
    </row>
    <row r="324" spans="1:8" ht="26.4" x14ac:dyDescent="0.3">
      <c r="A324" s="12">
        <v>46143</v>
      </c>
      <c r="B324" s="10" t="s">
        <v>400</v>
      </c>
      <c r="C324" s="10" t="s">
        <v>429</v>
      </c>
      <c r="D324" s="10" t="s">
        <v>430</v>
      </c>
      <c r="E324" s="20">
        <v>361.31</v>
      </c>
      <c r="F324" s="10" t="s">
        <v>431</v>
      </c>
      <c r="G324" s="10" t="s">
        <v>432</v>
      </c>
      <c r="H324" s="10" t="s">
        <v>413</v>
      </c>
    </row>
    <row r="325" spans="1:8" x14ac:dyDescent="0.3">
      <c r="A325" s="12">
        <v>46143</v>
      </c>
      <c r="B325" s="10" t="s">
        <v>433</v>
      </c>
      <c r="C325" s="10" t="s">
        <v>434</v>
      </c>
      <c r="D325" s="10" t="s">
        <v>435</v>
      </c>
      <c r="E325" s="20">
        <v>926.11</v>
      </c>
      <c r="F325" s="10" t="s">
        <v>431</v>
      </c>
      <c r="G325" s="10" t="s">
        <v>436</v>
      </c>
      <c r="H325" s="10" t="s">
        <v>413</v>
      </c>
    </row>
    <row r="326" spans="1:8" ht="26.4" x14ac:dyDescent="0.3">
      <c r="A326" s="12">
        <v>46143</v>
      </c>
      <c r="B326" s="10" t="s">
        <v>437</v>
      </c>
      <c r="C326" s="10" t="s">
        <v>438</v>
      </c>
      <c r="D326" s="10" t="s">
        <v>439</v>
      </c>
      <c r="E326" s="20">
        <v>65205.74</v>
      </c>
      <c r="F326" s="10" t="s">
        <v>431</v>
      </c>
      <c r="G326" s="10" t="s">
        <v>440</v>
      </c>
      <c r="H326" s="10" t="s">
        <v>413</v>
      </c>
    </row>
    <row r="327" spans="1:8" x14ac:dyDescent="0.3">
      <c r="A327" s="12">
        <v>46143</v>
      </c>
      <c r="B327" s="10" t="s">
        <v>437</v>
      </c>
      <c r="C327" s="10" t="s">
        <v>441</v>
      </c>
      <c r="D327" s="10" t="s">
        <v>442</v>
      </c>
      <c r="E327" s="20">
        <v>7871.88</v>
      </c>
      <c r="F327" s="10" t="s">
        <v>431</v>
      </c>
      <c r="G327" s="10" t="s">
        <v>440</v>
      </c>
      <c r="H327" s="10" t="s">
        <v>413</v>
      </c>
    </row>
    <row r="328" spans="1:8" x14ac:dyDescent="0.3">
      <c r="A328" s="12">
        <v>46143</v>
      </c>
      <c r="B328" s="10" t="s">
        <v>403</v>
      </c>
      <c r="C328" s="10" t="s">
        <v>443</v>
      </c>
      <c r="D328" s="10" t="s">
        <v>444</v>
      </c>
      <c r="E328" s="20">
        <v>93.39</v>
      </c>
      <c r="F328" s="10" t="s">
        <v>431</v>
      </c>
      <c r="G328" s="10" t="s">
        <v>445</v>
      </c>
      <c r="H328" s="10" t="s">
        <v>413</v>
      </c>
    </row>
    <row r="329" spans="1:8" ht="26.4" x14ac:dyDescent="0.3">
      <c r="A329" s="12">
        <v>46143</v>
      </c>
      <c r="B329" s="10" t="s">
        <v>403</v>
      </c>
      <c r="C329" s="10" t="s">
        <v>446</v>
      </c>
      <c r="D329" s="10" t="s">
        <v>447</v>
      </c>
      <c r="E329" s="20">
        <v>61.5</v>
      </c>
      <c r="F329" s="10" t="s">
        <v>431</v>
      </c>
      <c r="G329" s="10" t="s">
        <v>445</v>
      </c>
      <c r="H329" s="10" t="s">
        <v>413</v>
      </c>
    </row>
    <row r="330" spans="1:8" x14ac:dyDescent="0.3">
      <c r="A330" s="12">
        <v>46143</v>
      </c>
      <c r="B330" s="10" t="s">
        <v>400</v>
      </c>
      <c r="C330" s="10" t="s">
        <v>448</v>
      </c>
      <c r="D330" s="10" t="s">
        <v>449</v>
      </c>
      <c r="E330" s="20">
        <v>975.66</v>
      </c>
      <c r="F330" s="10" t="s">
        <v>431</v>
      </c>
      <c r="G330" s="10" t="s">
        <v>450</v>
      </c>
      <c r="H330" s="10" t="s">
        <v>413</v>
      </c>
    </row>
    <row r="331" spans="1:8" ht="26.4" x14ac:dyDescent="0.3">
      <c r="A331" s="12">
        <v>46143</v>
      </c>
      <c r="B331" s="10" t="s">
        <v>437</v>
      </c>
      <c r="C331" s="10" t="s">
        <v>451</v>
      </c>
      <c r="D331" s="10" t="s">
        <v>452</v>
      </c>
      <c r="E331" s="20">
        <v>9.01</v>
      </c>
      <c r="F331" s="10" t="s">
        <v>431</v>
      </c>
      <c r="G331" s="10" t="s">
        <v>453</v>
      </c>
      <c r="H331" s="10" t="s">
        <v>413</v>
      </c>
    </row>
    <row r="332" spans="1:8" x14ac:dyDescent="0.3">
      <c r="A332" s="12">
        <v>46174</v>
      </c>
      <c r="B332" s="10" t="s">
        <v>408</v>
      </c>
      <c r="C332" s="10" t="s">
        <v>409</v>
      </c>
      <c r="D332" s="10" t="s">
        <v>410</v>
      </c>
      <c r="E332" s="20">
        <v>568978.72</v>
      </c>
      <c r="F332" s="10" t="s">
        <v>411</v>
      </c>
      <c r="G332" s="10" t="s">
        <v>412</v>
      </c>
      <c r="H332" s="10" t="s">
        <v>413</v>
      </c>
    </row>
    <row r="333" spans="1:8" ht="26.4" x14ac:dyDescent="0.3">
      <c r="A333" s="12">
        <v>46174</v>
      </c>
      <c r="B333" s="10" t="s">
        <v>402</v>
      </c>
      <c r="C333" s="10" t="s">
        <v>414</v>
      </c>
      <c r="D333" s="10" t="s">
        <v>415</v>
      </c>
      <c r="E333" s="20">
        <v>148739.10999999999</v>
      </c>
      <c r="F333" s="10" t="s">
        <v>411</v>
      </c>
      <c r="G333" s="10" t="s">
        <v>416</v>
      </c>
      <c r="H333" s="10" t="s">
        <v>417</v>
      </c>
    </row>
    <row r="334" spans="1:8" ht="26.4" x14ac:dyDescent="0.3">
      <c r="A334" s="12">
        <v>46174</v>
      </c>
      <c r="B334" s="10" t="s">
        <v>404</v>
      </c>
      <c r="C334" s="10" t="s">
        <v>414</v>
      </c>
      <c r="D334" s="10" t="s">
        <v>415</v>
      </c>
      <c r="E334" s="20">
        <v>230318.25</v>
      </c>
      <c r="F334" s="10" t="s">
        <v>411</v>
      </c>
      <c r="G334" s="10" t="s">
        <v>416</v>
      </c>
      <c r="H334" s="10" t="s">
        <v>417</v>
      </c>
    </row>
    <row r="335" spans="1:8" ht="26.4" x14ac:dyDescent="0.3">
      <c r="A335" s="12">
        <v>46174</v>
      </c>
      <c r="B335" s="10" t="s">
        <v>403</v>
      </c>
      <c r="C335" s="10" t="s">
        <v>414</v>
      </c>
      <c r="D335" s="10" t="s">
        <v>415</v>
      </c>
      <c r="E335" s="20">
        <v>8723.6200000000008</v>
      </c>
      <c r="F335" s="10" t="s">
        <v>411</v>
      </c>
      <c r="G335" s="10" t="s">
        <v>416</v>
      </c>
      <c r="H335" s="10" t="s">
        <v>417</v>
      </c>
    </row>
    <row r="336" spans="1:8" ht="26.4" x14ac:dyDescent="0.3">
      <c r="A336" s="12">
        <v>46174</v>
      </c>
      <c r="B336" s="10" t="s">
        <v>400</v>
      </c>
      <c r="C336" s="10" t="s">
        <v>414</v>
      </c>
      <c r="D336" s="10" t="s">
        <v>415</v>
      </c>
      <c r="E336" s="20">
        <v>9464.7999999999993</v>
      </c>
      <c r="F336" s="10" t="s">
        <v>411</v>
      </c>
      <c r="G336" s="10" t="s">
        <v>416</v>
      </c>
      <c r="H336" s="10" t="s">
        <v>417</v>
      </c>
    </row>
    <row r="337" spans="1:8" ht="26.4" x14ac:dyDescent="0.3">
      <c r="A337" s="12">
        <v>46174</v>
      </c>
      <c r="B337" s="10" t="s">
        <v>418</v>
      </c>
      <c r="C337" s="10" t="s">
        <v>414</v>
      </c>
      <c r="D337" s="10" t="s">
        <v>415</v>
      </c>
      <c r="E337" s="20">
        <v>75662.25</v>
      </c>
      <c r="F337" s="10" t="s">
        <v>411</v>
      </c>
      <c r="G337" s="10" t="s">
        <v>416</v>
      </c>
      <c r="H337" s="10" t="s">
        <v>417</v>
      </c>
    </row>
    <row r="338" spans="1:8" ht="26.4" x14ac:dyDescent="0.3">
      <c r="A338" s="12">
        <v>46174</v>
      </c>
      <c r="B338" s="10" t="s">
        <v>419</v>
      </c>
      <c r="C338" s="10" t="s">
        <v>414</v>
      </c>
      <c r="D338" s="10" t="s">
        <v>415</v>
      </c>
      <c r="E338" s="20">
        <v>50910.37</v>
      </c>
      <c r="F338" s="10" t="s">
        <v>411</v>
      </c>
      <c r="G338" s="10" t="s">
        <v>416</v>
      </c>
      <c r="H338" s="10" t="s">
        <v>417</v>
      </c>
    </row>
    <row r="339" spans="1:8" ht="26.4" x14ac:dyDescent="0.3">
      <c r="A339" s="12">
        <v>46174</v>
      </c>
      <c r="B339" s="10" t="s">
        <v>408</v>
      </c>
      <c r="C339" s="10" t="s">
        <v>414</v>
      </c>
      <c r="D339" s="10" t="s">
        <v>415</v>
      </c>
      <c r="E339" s="20">
        <v>45160.32</v>
      </c>
      <c r="F339" s="10" t="s">
        <v>411</v>
      </c>
      <c r="G339" s="10" t="s">
        <v>416</v>
      </c>
      <c r="H339" s="10" t="s">
        <v>417</v>
      </c>
    </row>
    <row r="340" spans="1:8" x14ac:dyDescent="0.3">
      <c r="A340" s="12">
        <v>46174</v>
      </c>
      <c r="B340" s="10" t="s">
        <v>408</v>
      </c>
      <c r="C340" s="10" t="s">
        <v>420</v>
      </c>
      <c r="D340" s="10" t="s">
        <v>421</v>
      </c>
      <c r="E340" s="20">
        <v>859.14</v>
      </c>
      <c r="F340" s="10" t="s">
        <v>422</v>
      </c>
      <c r="G340" s="10" t="s">
        <v>423</v>
      </c>
      <c r="H340" s="10" t="s">
        <v>413</v>
      </c>
    </row>
    <row r="341" spans="1:8" ht="26.4" x14ac:dyDescent="0.3">
      <c r="A341" s="12">
        <v>46174</v>
      </c>
      <c r="B341" s="10" t="s">
        <v>419</v>
      </c>
      <c r="C341" s="10" t="s">
        <v>424</v>
      </c>
      <c r="D341" s="10" t="s">
        <v>425</v>
      </c>
      <c r="E341" s="20">
        <v>708.61</v>
      </c>
      <c r="F341" s="10" t="s">
        <v>422</v>
      </c>
      <c r="G341" s="10" t="s">
        <v>426</v>
      </c>
      <c r="H341" s="10" t="s">
        <v>417</v>
      </c>
    </row>
    <row r="342" spans="1:8" x14ac:dyDescent="0.3">
      <c r="A342" s="12">
        <v>46174</v>
      </c>
      <c r="B342" s="10" t="s">
        <v>408</v>
      </c>
      <c r="C342" s="10" t="s">
        <v>424</v>
      </c>
      <c r="D342" s="10" t="s">
        <v>427</v>
      </c>
      <c r="E342" s="20">
        <v>150.52000000000001</v>
      </c>
      <c r="F342" s="10" t="s">
        <v>422</v>
      </c>
      <c r="G342" s="10" t="s">
        <v>428</v>
      </c>
      <c r="H342" s="10" t="s">
        <v>417</v>
      </c>
    </row>
    <row r="343" spans="1:8" ht="26.4" x14ac:dyDescent="0.3">
      <c r="A343" s="12">
        <v>46174</v>
      </c>
      <c r="B343" s="10" t="s">
        <v>404</v>
      </c>
      <c r="C343" s="10" t="s">
        <v>429</v>
      </c>
      <c r="D343" s="10" t="s">
        <v>430</v>
      </c>
      <c r="E343" s="20">
        <v>1519.43</v>
      </c>
      <c r="F343" s="10" t="s">
        <v>431</v>
      </c>
      <c r="G343" s="10" t="s">
        <v>432</v>
      </c>
      <c r="H343" s="10" t="s">
        <v>413</v>
      </c>
    </row>
    <row r="344" spans="1:8" ht="26.4" x14ac:dyDescent="0.3">
      <c r="A344" s="12">
        <v>46174</v>
      </c>
      <c r="B344" s="10" t="s">
        <v>402</v>
      </c>
      <c r="C344" s="10" t="s">
        <v>429</v>
      </c>
      <c r="D344" s="10" t="s">
        <v>430</v>
      </c>
      <c r="E344" s="20">
        <v>434.01</v>
      </c>
      <c r="F344" s="10" t="s">
        <v>431</v>
      </c>
      <c r="G344" s="10" t="s">
        <v>432</v>
      </c>
      <c r="H344" s="10" t="s">
        <v>413</v>
      </c>
    </row>
    <row r="345" spans="1:8" ht="26.4" x14ac:dyDescent="0.3">
      <c r="A345" s="12">
        <v>46174</v>
      </c>
      <c r="B345" s="10" t="s">
        <v>403</v>
      </c>
      <c r="C345" s="10" t="s">
        <v>429</v>
      </c>
      <c r="D345" s="10" t="s">
        <v>430</v>
      </c>
      <c r="E345" s="20">
        <v>129.54</v>
      </c>
      <c r="F345" s="10" t="s">
        <v>431</v>
      </c>
      <c r="G345" s="10" t="s">
        <v>432</v>
      </c>
      <c r="H345" s="10" t="s">
        <v>413</v>
      </c>
    </row>
    <row r="346" spans="1:8" ht="26.4" x14ac:dyDescent="0.3">
      <c r="A346" s="12">
        <v>46174</v>
      </c>
      <c r="B346" s="10" t="s">
        <v>400</v>
      </c>
      <c r="C346" s="10" t="s">
        <v>429</v>
      </c>
      <c r="D346" s="10" t="s">
        <v>430</v>
      </c>
      <c r="E346" s="20">
        <v>341.84</v>
      </c>
      <c r="F346" s="10" t="s">
        <v>431</v>
      </c>
      <c r="G346" s="10" t="s">
        <v>432</v>
      </c>
      <c r="H346" s="10" t="s">
        <v>413</v>
      </c>
    </row>
    <row r="347" spans="1:8" x14ac:dyDescent="0.3">
      <c r="A347" s="12">
        <v>46174</v>
      </c>
      <c r="B347" s="10" t="s">
        <v>433</v>
      </c>
      <c r="C347" s="10" t="s">
        <v>434</v>
      </c>
      <c r="D347" s="10" t="s">
        <v>435</v>
      </c>
      <c r="E347" s="20">
        <v>887.18</v>
      </c>
      <c r="F347" s="10" t="s">
        <v>431</v>
      </c>
      <c r="G347" s="10" t="s">
        <v>436</v>
      </c>
      <c r="H347" s="10" t="s">
        <v>413</v>
      </c>
    </row>
    <row r="348" spans="1:8" ht="26.4" x14ac:dyDescent="0.3">
      <c r="A348" s="12">
        <v>46174</v>
      </c>
      <c r="B348" s="10" t="s">
        <v>437</v>
      </c>
      <c r="C348" s="10" t="s">
        <v>438</v>
      </c>
      <c r="D348" s="10" t="s">
        <v>439</v>
      </c>
      <c r="E348" s="20">
        <v>64993.01</v>
      </c>
      <c r="F348" s="10" t="s">
        <v>431</v>
      </c>
      <c r="G348" s="10" t="s">
        <v>440</v>
      </c>
      <c r="H348" s="10" t="s">
        <v>413</v>
      </c>
    </row>
    <row r="349" spans="1:8" x14ac:dyDescent="0.3">
      <c r="A349" s="12">
        <v>46174</v>
      </c>
      <c r="B349" s="10" t="s">
        <v>437</v>
      </c>
      <c r="C349" s="10" t="s">
        <v>441</v>
      </c>
      <c r="D349" s="10" t="s">
        <v>442</v>
      </c>
      <c r="E349" s="20">
        <v>7091.34</v>
      </c>
      <c r="F349" s="10" t="s">
        <v>431</v>
      </c>
      <c r="G349" s="10" t="s">
        <v>440</v>
      </c>
      <c r="H349" s="10" t="s">
        <v>413</v>
      </c>
    </row>
    <row r="350" spans="1:8" x14ac:dyDescent="0.3">
      <c r="A350" s="12">
        <v>46174</v>
      </c>
      <c r="B350" s="10" t="s">
        <v>403</v>
      </c>
      <c r="C350" s="10" t="s">
        <v>443</v>
      </c>
      <c r="D350" s="10" t="s">
        <v>444</v>
      </c>
      <c r="E350" s="20">
        <v>61.42</v>
      </c>
      <c r="F350" s="10" t="s">
        <v>431</v>
      </c>
      <c r="G350" s="10" t="s">
        <v>445</v>
      </c>
      <c r="H350" s="10" t="s">
        <v>413</v>
      </c>
    </row>
    <row r="351" spans="1:8" ht="26.4" x14ac:dyDescent="0.3">
      <c r="A351" s="12">
        <v>46174</v>
      </c>
      <c r="B351" s="10" t="s">
        <v>403</v>
      </c>
      <c r="C351" s="10" t="s">
        <v>446</v>
      </c>
      <c r="D351" s="10" t="s">
        <v>447</v>
      </c>
      <c r="E351" s="20">
        <v>45.09</v>
      </c>
      <c r="F351" s="10" t="s">
        <v>431</v>
      </c>
      <c r="G351" s="10" t="s">
        <v>445</v>
      </c>
      <c r="H351" s="10" t="s">
        <v>413</v>
      </c>
    </row>
    <row r="352" spans="1:8" x14ac:dyDescent="0.3">
      <c r="A352" s="12">
        <v>46174</v>
      </c>
      <c r="B352" s="10" t="s">
        <v>400</v>
      </c>
      <c r="C352" s="10" t="s">
        <v>448</v>
      </c>
      <c r="D352" s="10" t="s">
        <v>449</v>
      </c>
      <c r="E352" s="20">
        <v>992.36</v>
      </c>
      <c r="F352" s="10" t="s">
        <v>431</v>
      </c>
      <c r="G352" s="10" t="s">
        <v>450</v>
      </c>
      <c r="H352" s="10" t="s">
        <v>413</v>
      </c>
    </row>
    <row r="353" spans="1:8" ht="26.4" x14ac:dyDescent="0.3">
      <c r="A353" s="12">
        <v>46174</v>
      </c>
      <c r="B353" s="10" t="s">
        <v>437</v>
      </c>
      <c r="C353" s="10" t="s">
        <v>451</v>
      </c>
      <c r="D353" s="10" t="s">
        <v>452</v>
      </c>
      <c r="E353" s="20">
        <v>11.4</v>
      </c>
      <c r="F353" s="10" t="s">
        <v>431</v>
      </c>
      <c r="G353" s="10" t="s">
        <v>453</v>
      </c>
      <c r="H353" s="10" t="s">
        <v>413</v>
      </c>
    </row>
    <row r="354" spans="1:8" x14ac:dyDescent="0.3">
      <c r="A354" s="12">
        <v>46204</v>
      </c>
      <c r="B354" s="10" t="s">
        <v>408</v>
      </c>
      <c r="C354" s="10" t="s">
        <v>409</v>
      </c>
      <c r="D354" s="10" t="s">
        <v>410</v>
      </c>
      <c r="E354" s="20">
        <v>727698.42</v>
      </c>
      <c r="F354" s="10" t="s">
        <v>411</v>
      </c>
      <c r="G354" s="10" t="s">
        <v>412</v>
      </c>
      <c r="H354" s="10" t="s">
        <v>413</v>
      </c>
    </row>
    <row r="355" spans="1:8" ht="26.4" x14ac:dyDescent="0.3">
      <c r="A355" s="12">
        <v>46204</v>
      </c>
      <c r="B355" s="10" t="s">
        <v>402</v>
      </c>
      <c r="C355" s="10" t="s">
        <v>414</v>
      </c>
      <c r="D355" s="10" t="s">
        <v>415</v>
      </c>
      <c r="E355" s="20">
        <v>207731.91</v>
      </c>
      <c r="F355" s="10" t="s">
        <v>411</v>
      </c>
      <c r="G355" s="10" t="s">
        <v>416</v>
      </c>
      <c r="H355" s="10" t="s">
        <v>417</v>
      </c>
    </row>
    <row r="356" spans="1:8" ht="26.4" x14ac:dyDescent="0.3">
      <c r="A356" s="12">
        <v>46204</v>
      </c>
      <c r="B356" s="10" t="s">
        <v>404</v>
      </c>
      <c r="C356" s="10" t="s">
        <v>414</v>
      </c>
      <c r="D356" s="10" t="s">
        <v>415</v>
      </c>
      <c r="E356" s="20">
        <v>279082.95</v>
      </c>
      <c r="F356" s="10" t="s">
        <v>411</v>
      </c>
      <c r="G356" s="10" t="s">
        <v>416</v>
      </c>
      <c r="H356" s="10" t="s">
        <v>417</v>
      </c>
    </row>
    <row r="357" spans="1:8" ht="26.4" x14ac:dyDescent="0.3">
      <c r="A357" s="12">
        <v>46204</v>
      </c>
      <c r="B357" s="10" t="s">
        <v>403</v>
      </c>
      <c r="C357" s="10" t="s">
        <v>414</v>
      </c>
      <c r="D357" s="10" t="s">
        <v>415</v>
      </c>
      <c r="E357" s="20">
        <v>15425.6</v>
      </c>
      <c r="F357" s="10" t="s">
        <v>411</v>
      </c>
      <c r="G357" s="10" t="s">
        <v>416</v>
      </c>
      <c r="H357" s="10" t="s">
        <v>417</v>
      </c>
    </row>
    <row r="358" spans="1:8" ht="26.4" x14ac:dyDescent="0.3">
      <c r="A358" s="12">
        <v>46204</v>
      </c>
      <c r="B358" s="10" t="s">
        <v>400</v>
      </c>
      <c r="C358" s="10" t="s">
        <v>414</v>
      </c>
      <c r="D358" s="10" t="s">
        <v>415</v>
      </c>
      <c r="E358" s="20">
        <v>9195.8700000000008</v>
      </c>
      <c r="F358" s="10" t="s">
        <v>411</v>
      </c>
      <c r="G358" s="10" t="s">
        <v>416</v>
      </c>
      <c r="H358" s="10" t="s">
        <v>417</v>
      </c>
    </row>
    <row r="359" spans="1:8" ht="26.4" x14ac:dyDescent="0.3">
      <c r="A359" s="12">
        <v>46204</v>
      </c>
      <c r="B359" s="10" t="s">
        <v>418</v>
      </c>
      <c r="C359" s="10" t="s">
        <v>414</v>
      </c>
      <c r="D359" s="10" t="s">
        <v>415</v>
      </c>
      <c r="E359" s="20">
        <v>101172.77</v>
      </c>
      <c r="F359" s="10" t="s">
        <v>411</v>
      </c>
      <c r="G359" s="10" t="s">
        <v>416</v>
      </c>
      <c r="H359" s="10" t="s">
        <v>417</v>
      </c>
    </row>
    <row r="360" spans="1:8" ht="26.4" x14ac:dyDescent="0.3">
      <c r="A360" s="12">
        <v>46204</v>
      </c>
      <c r="B360" s="10" t="s">
        <v>419</v>
      </c>
      <c r="C360" s="10" t="s">
        <v>414</v>
      </c>
      <c r="D360" s="10" t="s">
        <v>415</v>
      </c>
      <c r="E360" s="20">
        <v>69857.119999999995</v>
      </c>
      <c r="F360" s="10" t="s">
        <v>411</v>
      </c>
      <c r="G360" s="10" t="s">
        <v>416</v>
      </c>
      <c r="H360" s="10" t="s">
        <v>417</v>
      </c>
    </row>
    <row r="361" spans="1:8" ht="26.4" x14ac:dyDescent="0.3">
      <c r="A361" s="12">
        <v>46204</v>
      </c>
      <c r="B361" s="10" t="s">
        <v>408</v>
      </c>
      <c r="C361" s="10" t="s">
        <v>414</v>
      </c>
      <c r="D361" s="10" t="s">
        <v>415</v>
      </c>
      <c r="E361" s="20">
        <v>45232.19</v>
      </c>
      <c r="F361" s="10" t="s">
        <v>411</v>
      </c>
      <c r="G361" s="10" t="s">
        <v>416</v>
      </c>
      <c r="H361" s="10" t="s">
        <v>417</v>
      </c>
    </row>
    <row r="362" spans="1:8" x14ac:dyDescent="0.3">
      <c r="A362" s="12">
        <v>46204</v>
      </c>
      <c r="B362" s="10" t="s">
        <v>408</v>
      </c>
      <c r="C362" s="10" t="s">
        <v>420</v>
      </c>
      <c r="D362" s="10" t="s">
        <v>421</v>
      </c>
      <c r="E362" s="20">
        <v>1093.08</v>
      </c>
      <c r="F362" s="10" t="s">
        <v>422</v>
      </c>
      <c r="G362" s="10" t="s">
        <v>423</v>
      </c>
      <c r="H362" s="10" t="s">
        <v>413</v>
      </c>
    </row>
    <row r="363" spans="1:8" ht="26.4" x14ac:dyDescent="0.3">
      <c r="A363" s="12">
        <v>46204</v>
      </c>
      <c r="B363" s="10" t="s">
        <v>419</v>
      </c>
      <c r="C363" s="10" t="s">
        <v>424</v>
      </c>
      <c r="D363" s="10" t="s">
        <v>425</v>
      </c>
      <c r="E363" s="20">
        <v>936.62</v>
      </c>
      <c r="F363" s="10" t="s">
        <v>422</v>
      </c>
      <c r="G363" s="10" t="s">
        <v>426</v>
      </c>
      <c r="H363" s="10" t="s">
        <v>417</v>
      </c>
    </row>
    <row r="364" spans="1:8" x14ac:dyDescent="0.3">
      <c r="A364" s="12">
        <v>46204</v>
      </c>
      <c r="B364" s="10" t="s">
        <v>408</v>
      </c>
      <c r="C364" s="10" t="s">
        <v>424</v>
      </c>
      <c r="D364" s="10" t="s">
        <v>427</v>
      </c>
      <c r="E364" s="20">
        <v>156.46</v>
      </c>
      <c r="F364" s="10" t="s">
        <v>422</v>
      </c>
      <c r="G364" s="10" t="s">
        <v>428</v>
      </c>
      <c r="H364" s="10" t="s">
        <v>417</v>
      </c>
    </row>
    <row r="365" spans="1:8" ht="26.4" x14ac:dyDescent="0.3">
      <c r="A365" s="12">
        <v>46204</v>
      </c>
      <c r="B365" s="10" t="s">
        <v>404</v>
      </c>
      <c r="C365" s="10" t="s">
        <v>429</v>
      </c>
      <c r="D365" s="10" t="s">
        <v>430</v>
      </c>
      <c r="E365" s="20">
        <v>1674.43</v>
      </c>
      <c r="F365" s="10" t="s">
        <v>431</v>
      </c>
      <c r="G365" s="10" t="s">
        <v>432</v>
      </c>
      <c r="H365" s="10" t="s">
        <v>413</v>
      </c>
    </row>
    <row r="366" spans="1:8" ht="26.4" x14ac:dyDescent="0.3">
      <c r="A366" s="12">
        <v>46204</v>
      </c>
      <c r="B366" s="10" t="s">
        <v>402</v>
      </c>
      <c r="C366" s="10" t="s">
        <v>429</v>
      </c>
      <c r="D366" s="10" t="s">
        <v>430</v>
      </c>
      <c r="E366" s="20">
        <v>727.59</v>
      </c>
      <c r="F366" s="10" t="s">
        <v>431</v>
      </c>
      <c r="G366" s="10" t="s">
        <v>432</v>
      </c>
      <c r="H366" s="10" t="s">
        <v>413</v>
      </c>
    </row>
    <row r="367" spans="1:8" ht="26.4" x14ac:dyDescent="0.3">
      <c r="A367" s="12">
        <v>46204</v>
      </c>
      <c r="B367" s="10" t="s">
        <v>403</v>
      </c>
      <c r="C367" s="10" t="s">
        <v>429</v>
      </c>
      <c r="D367" s="10" t="s">
        <v>430</v>
      </c>
      <c r="E367" s="20">
        <v>210.9</v>
      </c>
      <c r="F367" s="10" t="s">
        <v>431</v>
      </c>
      <c r="G367" s="10" t="s">
        <v>432</v>
      </c>
      <c r="H367" s="10" t="s">
        <v>413</v>
      </c>
    </row>
    <row r="368" spans="1:8" ht="26.4" x14ac:dyDescent="0.3">
      <c r="A368" s="12">
        <v>46204</v>
      </c>
      <c r="B368" s="10" t="s">
        <v>400</v>
      </c>
      <c r="C368" s="10" t="s">
        <v>429</v>
      </c>
      <c r="D368" s="10" t="s">
        <v>430</v>
      </c>
      <c r="E368" s="20">
        <v>323.8</v>
      </c>
      <c r="F368" s="10" t="s">
        <v>431</v>
      </c>
      <c r="G368" s="10" t="s">
        <v>432</v>
      </c>
      <c r="H368" s="10" t="s">
        <v>413</v>
      </c>
    </row>
    <row r="369" spans="1:8" x14ac:dyDescent="0.3">
      <c r="A369" s="12">
        <v>46204</v>
      </c>
      <c r="B369" s="10" t="s">
        <v>433</v>
      </c>
      <c r="C369" s="10" t="s">
        <v>434</v>
      </c>
      <c r="D369" s="10" t="s">
        <v>435</v>
      </c>
      <c r="E369" s="20">
        <v>1206.46</v>
      </c>
      <c r="F369" s="10" t="s">
        <v>431</v>
      </c>
      <c r="G369" s="10" t="s">
        <v>436</v>
      </c>
      <c r="H369" s="10" t="s">
        <v>413</v>
      </c>
    </row>
    <row r="370" spans="1:8" ht="26.4" x14ac:dyDescent="0.3">
      <c r="A370" s="12">
        <v>46204</v>
      </c>
      <c r="B370" s="10" t="s">
        <v>437</v>
      </c>
      <c r="C370" s="10" t="s">
        <v>438</v>
      </c>
      <c r="D370" s="10" t="s">
        <v>439</v>
      </c>
      <c r="E370" s="20">
        <v>79305.77</v>
      </c>
      <c r="F370" s="10" t="s">
        <v>431</v>
      </c>
      <c r="G370" s="10" t="s">
        <v>440</v>
      </c>
      <c r="H370" s="10" t="s">
        <v>413</v>
      </c>
    </row>
    <row r="371" spans="1:8" x14ac:dyDescent="0.3">
      <c r="A371" s="12">
        <v>46204</v>
      </c>
      <c r="B371" s="10" t="s">
        <v>437</v>
      </c>
      <c r="C371" s="10" t="s">
        <v>441</v>
      </c>
      <c r="D371" s="10" t="s">
        <v>442</v>
      </c>
      <c r="E371" s="20">
        <v>11328.79</v>
      </c>
      <c r="F371" s="10" t="s">
        <v>431</v>
      </c>
      <c r="G371" s="10" t="s">
        <v>440</v>
      </c>
      <c r="H371" s="10" t="s">
        <v>413</v>
      </c>
    </row>
    <row r="372" spans="1:8" x14ac:dyDescent="0.3">
      <c r="A372" s="12">
        <v>46204</v>
      </c>
      <c r="B372" s="10" t="s">
        <v>403</v>
      </c>
      <c r="C372" s="10" t="s">
        <v>443</v>
      </c>
      <c r="D372" s="10" t="s">
        <v>444</v>
      </c>
      <c r="E372" s="20">
        <v>107.27</v>
      </c>
      <c r="F372" s="10" t="s">
        <v>431</v>
      </c>
      <c r="G372" s="10" t="s">
        <v>445</v>
      </c>
      <c r="H372" s="10" t="s">
        <v>413</v>
      </c>
    </row>
    <row r="373" spans="1:8" ht="26.4" x14ac:dyDescent="0.3">
      <c r="A373" s="12">
        <v>46204</v>
      </c>
      <c r="B373" s="10" t="s">
        <v>403</v>
      </c>
      <c r="C373" s="10" t="s">
        <v>446</v>
      </c>
      <c r="D373" s="10" t="s">
        <v>447</v>
      </c>
      <c r="E373" s="20">
        <v>79.180000000000007</v>
      </c>
      <c r="F373" s="10" t="s">
        <v>431</v>
      </c>
      <c r="G373" s="10" t="s">
        <v>445</v>
      </c>
      <c r="H373" s="10" t="s">
        <v>413</v>
      </c>
    </row>
    <row r="374" spans="1:8" x14ac:dyDescent="0.3">
      <c r="A374" s="12">
        <v>46204</v>
      </c>
      <c r="B374" s="10" t="s">
        <v>400</v>
      </c>
      <c r="C374" s="10" t="s">
        <v>448</v>
      </c>
      <c r="D374" s="10" t="s">
        <v>449</v>
      </c>
      <c r="E374" s="20">
        <v>902.75</v>
      </c>
      <c r="F374" s="10" t="s">
        <v>431</v>
      </c>
      <c r="G374" s="10" t="s">
        <v>450</v>
      </c>
      <c r="H374" s="10" t="s">
        <v>413</v>
      </c>
    </row>
    <row r="375" spans="1:8" ht="26.4" x14ac:dyDescent="0.3">
      <c r="A375" s="12">
        <v>46204</v>
      </c>
      <c r="B375" s="10" t="s">
        <v>437</v>
      </c>
      <c r="C375" s="10" t="s">
        <v>451</v>
      </c>
      <c r="D375" s="10" t="s">
        <v>452</v>
      </c>
      <c r="E375" s="20">
        <v>13.82</v>
      </c>
      <c r="F375" s="10" t="s">
        <v>431</v>
      </c>
      <c r="G375" s="10" t="s">
        <v>453</v>
      </c>
      <c r="H375" s="10" t="s">
        <v>413</v>
      </c>
    </row>
    <row r="376" spans="1:8" x14ac:dyDescent="0.3">
      <c r="A376" s="12">
        <v>46235</v>
      </c>
      <c r="B376" s="10" t="s">
        <v>408</v>
      </c>
      <c r="C376" s="10" t="s">
        <v>409</v>
      </c>
      <c r="D376" s="10" t="s">
        <v>410</v>
      </c>
      <c r="E376" s="20">
        <v>804829.55</v>
      </c>
      <c r="F376" s="10" t="s">
        <v>411</v>
      </c>
      <c r="G376" s="10" t="s">
        <v>412</v>
      </c>
      <c r="H376" s="10" t="s">
        <v>413</v>
      </c>
    </row>
    <row r="377" spans="1:8" ht="26.4" x14ac:dyDescent="0.3">
      <c r="A377" s="12">
        <v>46235</v>
      </c>
      <c r="B377" s="10" t="s">
        <v>402</v>
      </c>
      <c r="C377" s="10" t="s">
        <v>414</v>
      </c>
      <c r="D377" s="10" t="s">
        <v>415</v>
      </c>
      <c r="E377" s="20">
        <v>228777.27</v>
      </c>
      <c r="F377" s="10" t="s">
        <v>411</v>
      </c>
      <c r="G377" s="10" t="s">
        <v>416</v>
      </c>
      <c r="H377" s="10" t="s">
        <v>417</v>
      </c>
    </row>
    <row r="378" spans="1:8" ht="26.4" x14ac:dyDescent="0.3">
      <c r="A378" s="12">
        <v>46235</v>
      </c>
      <c r="B378" s="10" t="s">
        <v>404</v>
      </c>
      <c r="C378" s="10" t="s">
        <v>414</v>
      </c>
      <c r="D378" s="10" t="s">
        <v>415</v>
      </c>
      <c r="E378" s="20">
        <v>314757.48</v>
      </c>
      <c r="F378" s="10" t="s">
        <v>411</v>
      </c>
      <c r="G378" s="10" t="s">
        <v>416</v>
      </c>
      <c r="H378" s="10" t="s">
        <v>417</v>
      </c>
    </row>
    <row r="379" spans="1:8" ht="26.4" x14ac:dyDescent="0.3">
      <c r="A379" s="12">
        <v>46235</v>
      </c>
      <c r="B379" s="10" t="s">
        <v>403</v>
      </c>
      <c r="C379" s="10" t="s">
        <v>414</v>
      </c>
      <c r="D379" s="10" t="s">
        <v>415</v>
      </c>
      <c r="E379" s="20">
        <v>15834.29</v>
      </c>
      <c r="F379" s="10" t="s">
        <v>411</v>
      </c>
      <c r="G379" s="10" t="s">
        <v>416</v>
      </c>
      <c r="H379" s="10" t="s">
        <v>417</v>
      </c>
    </row>
    <row r="380" spans="1:8" ht="26.4" x14ac:dyDescent="0.3">
      <c r="A380" s="12">
        <v>46235</v>
      </c>
      <c r="B380" s="10" t="s">
        <v>400</v>
      </c>
      <c r="C380" s="10" t="s">
        <v>414</v>
      </c>
      <c r="D380" s="10" t="s">
        <v>415</v>
      </c>
      <c r="E380" s="20">
        <v>10863.2</v>
      </c>
      <c r="F380" s="10" t="s">
        <v>411</v>
      </c>
      <c r="G380" s="10" t="s">
        <v>416</v>
      </c>
      <c r="H380" s="10" t="s">
        <v>417</v>
      </c>
    </row>
    <row r="381" spans="1:8" ht="26.4" x14ac:dyDescent="0.3">
      <c r="A381" s="12">
        <v>46235</v>
      </c>
      <c r="B381" s="10" t="s">
        <v>418</v>
      </c>
      <c r="C381" s="10" t="s">
        <v>414</v>
      </c>
      <c r="D381" s="10" t="s">
        <v>415</v>
      </c>
      <c r="E381" s="20">
        <v>110259.85</v>
      </c>
      <c r="F381" s="10" t="s">
        <v>411</v>
      </c>
      <c r="G381" s="10" t="s">
        <v>416</v>
      </c>
      <c r="H381" s="10" t="s">
        <v>417</v>
      </c>
    </row>
    <row r="382" spans="1:8" ht="26.4" x14ac:dyDescent="0.3">
      <c r="A382" s="12">
        <v>46235</v>
      </c>
      <c r="B382" s="10" t="s">
        <v>419</v>
      </c>
      <c r="C382" s="10" t="s">
        <v>414</v>
      </c>
      <c r="D382" s="10" t="s">
        <v>415</v>
      </c>
      <c r="E382" s="20">
        <v>75931.58</v>
      </c>
      <c r="F382" s="10" t="s">
        <v>411</v>
      </c>
      <c r="G382" s="10" t="s">
        <v>416</v>
      </c>
      <c r="H382" s="10" t="s">
        <v>417</v>
      </c>
    </row>
    <row r="383" spans="1:8" ht="26.4" x14ac:dyDescent="0.3">
      <c r="A383" s="12">
        <v>46235</v>
      </c>
      <c r="B383" s="10" t="s">
        <v>408</v>
      </c>
      <c r="C383" s="10" t="s">
        <v>414</v>
      </c>
      <c r="D383" s="10" t="s">
        <v>415</v>
      </c>
      <c r="E383" s="20">
        <v>48405.88</v>
      </c>
      <c r="F383" s="10" t="s">
        <v>411</v>
      </c>
      <c r="G383" s="10" t="s">
        <v>416</v>
      </c>
      <c r="H383" s="10" t="s">
        <v>417</v>
      </c>
    </row>
    <row r="384" spans="1:8" x14ac:dyDescent="0.3">
      <c r="A384" s="12">
        <v>46235</v>
      </c>
      <c r="B384" s="10" t="s">
        <v>408</v>
      </c>
      <c r="C384" s="10" t="s">
        <v>420</v>
      </c>
      <c r="D384" s="10" t="s">
        <v>421</v>
      </c>
      <c r="E384" s="20">
        <v>1223.1199999999999</v>
      </c>
      <c r="F384" s="10" t="s">
        <v>422</v>
      </c>
      <c r="G384" s="10" t="s">
        <v>423</v>
      </c>
      <c r="H384" s="10" t="s">
        <v>413</v>
      </c>
    </row>
    <row r="385" spans="1:8" ht="26.4" x14ac:dyDescent="0.3">
      <c r="A385" s="12">
        <v>46235</v>
      </c>
      <c r="B385" s="10" t="s">
        <v>419</v>
      </c>
      <c r="C385" s="10" t="s">
        <v>424</v>
      </c>
      <c r="D385" s="10" t="s">
        <v>425</v>
      </c>
      <c r="E385" s="20">
        <v>1071.1600000000001</v>
      </c>
      <c r="F385" s="10" t="s">
        <v>422</v>
      </c>
      <c r="G385" s="10" t="s">
        <v>426</v>
      </c>
      <c r="H385" s="10" t="s">
        <v>417</v>
      </c>
    </row>
    <row r="386" spans="1:8" x14ac:dyDescent="0.3">
      <c r="A386" s="12">
        <v>46235</v>
      </c>
      <c r="B386" s="10" t="s">
        <v>408</v>
      </c>
      <c r="C386" s="10" t="s">
        <v>424</v>
      </c>
      <c r="D386" s="10" t="s">
        <v>427</v>
      </c>
      <c r="E386" s="20">
        <v>151.96</v>
      </c>
      <c r="F386" s="10" t="s">
        <v>422</v>
      </c>
      <c r="G386" s="10" t="s">
        <v>428</v>
      </c>
      <c r="H386" s="10" t="s">
        <v>417</v>
      </c>
    </row>
    <row r="387" spans="1:8" ht="26.4" x14ac:dyDescent="0.3">
      <c r="A387" s="12">
        <v>46235</v>
      </c>
      <c r="B387" s="10" t="s">
        <v>404</v>
      </c>
      <c r="C387" s="10" t="s">
        <v>429</v>
      </c>
      <c r="D387" s="10" t="s">
        <v>430</v>
      </c>
      <c r="E387" s="20">
        <v>1828.99</v>
      </c>
      <c r="F387" s="10" t="s">
        <v>431</v>
      </c>
      <c r="G387" s="10" t="s">
        <v>432</v>
      </c>
      <c r="H387" s="10" t="s">
        <v>413</v>
      </c>
    </row>
    <row r="388" spans="1:8" ht="26.4" x14ac:dyDescent="0.3">
      <c r="A388" s="12">
        <v>46235</v>
      </c>
      <c r="B388" s="10" t="s">
        <v>402</v>
      </c>
      <c r="C388" s="10" t="s">
        <v>429</v>
      </c>
      <c r="D388" s="10" t="s">
        <v>430</v>
      </c>
      <c r="E388" s="20">
        <v>671.32</v>
      </c>
      <c r="F388" s="10" t="s">
        <v>431</v>
      </c>
      <c r="G388" s="10" t="s">
        <v>432</v>
      </c>
      <c r="H388" s="10" t="s">
        <v>413</v>
      </c>
    </row>
    <row r="389" spans="1:8" ht="26.4" x14ac:dyDescent="0.3">
      <c r="A389" s="12">
        <v>46235</v>
      </c>
      <c r="B389" s="10" t="s">
        <v>403</v>
      </c>
      <c r="C389" s="10" t="s">
        <v>429</v>
      </c>
      <c r="D389" s="10" t="s">
        <v>430</v>
      </c>
      <c r="E389" s="20">
        <v>224.55</v>
      </c>
      <c r="F389" s="10" t="s">
        <v>431</v>
      </c>
      <c r="G389" s="10" t="s">
        <v>432</v>
      </c>
      <c r="H389" s="10" t="s">
        <v>413</v>
      </c>
    </row>
    <row r="390" spans="1:8" ht="26.4" x14ac:dyDescent="0.3">
      <c r="A390" s="12">
        <v>46235</v>
      </c>
      <c r="B390" s="10" t="s">
        <v>400</v>
      </c>
      <c r="C390" s="10" t="s">
        <v>429</v>
      </c>
      <c r="D390" s="10" t="s">
        <v>430</v>
      </c>
      <c r="E390" s="20">
        <v>385.45</v>
      </c>
      <c r="F390" s="10" t="s">
        <v>431</v>
      </c>
      <c r="G390" s="10" t="s">
        <v>432</v>
      </c>
      <c r="H390" s="10" t="s">
        <v>413</v>
      </c>
    </row>
    <row r="391" spans="1:8" x14ac:dyDescent="0.3">
      <c r="A391" s="12">
        <v>46235</v>
      </c>
      <c r="B391" s="10" t="s">
        <v>433</v>
      </c>
      <c r="C391" s="10" t="s">
        <v>434</v>
      </c>
      <c r="D391" s="10" t="s">
        <v>435</v>
      </c>
      <c r="E391" s="20">
        <v>1173.25</v>
      </c>
      <c r="F391" s="10" t="s">
        <v>431</v>
      </c>
      <c r="G391" s="10" t="s">
        <v>436</v>
      </c>
      <c r="H391" s="10" t="s">
        <v>413</v>
      </c>
    </row>
    <row r="392" spans="1:8" ht="26.4" x14ac:dyDescent="0.3">
      <c r="A392" s="12">
        <v>46235</v>
      </c>
      <c r="B392" s="10" t="s">
        <v>437</v>
      </c>
      <c r="C392" s="10" t="s">
        <v>438</v>
      </c>
      <c r="D392" s="10" t="s">
        <v>439</v>
      </c>
      <c r="E392" s="20">
        <v>87418.92</v>
      </c>
      <c r="F392" s="10" t="s">
        <v>431</v>
      </c>
      <c r="G392" s="10" t="s">
        <v>440</v>
      </c>
      <c r="H392" s="10" t="s">
        <v>413</v>
      </c>
    </row>
    <row r="393" spans="1:8" x14ac:dyDescent="0.3">
      <c r="A393" s="12">
        <v>46235</v>
      </c>
      <c r="B393" s="10" t="s">
        <v>437</v>
      </c>
      <c r="C393" s="10" t="s">
        <v>441</v>
      </c>
      <c r="D393" s="10" t="s">
        <v>442</v>
      </c>
      <c r="E393" s="20">
        <v>9989.5499999999993</v>
      </c>
      <c r="F393" s="10" t="s">
        <v>431</v>
      </c>
      <c r="G393" s="10" t="s">
        <v>440</v>
      </c>
      <c r="H393" s="10" t="s">
        <v>413</v>
      </c>
    </row>
    <row r="394" spans="1:8" x14ac:dyDescent="0.3">
      <c r="A394" s="12">
        <v>46235</v>
      </c>
      <c r="B394" s="10" t="s">
        <v>403</v>
      </c>
      <c r="C394" s="10" t="s">
        <v>443</v>
      </c>
      <c r="D394" s="10" t="s">
        <v>444</v>
      </c>
      <c r="E394" s="20">
        <v>109.92</v>
      </c>
      <c r="F394" s="10" t="s">
        <v>431</v>
      </c>
      <c r="G394" s="10" t="s">
        <v>445</v>
      </c>
      <c r="H394" s="10" t="s">
        <v>413</v>
      </c>
    </row>
    <row r="395" spans="1:8" ht="26.4" x14ac:dyDescent="0.3">
      <c r="A395" s="12">
        <v>46235</v>
      </c>
      <c r="B395" s="10" t="s">
        <v>403</v>
      </c>
      <c r="C395" s="10" t="s">
        <v>446</v>
      </c>
      <c r="D395" s="10" t="s">
        <v>447</v>
      </c>
      <c r="E395" s="20">
        <v>84.06</v>
      </c>
      <c r="F395" s="10" t="s">
        <v>431</v>
      </c>
      <c r="G395" s="10" t="s">
        <v>445</v>
      </c>
      <c r="H395" s="10" t="s">
        <v>413</v>
      </c>
    </row>
    <row r="396" spans="1:8" x14ac:dyDescent="0.3">
      <c r="A396" s="12">
        <v>46235</v>
      </c>
      <c r="B396" s="10" t="s">
        <v>400</v>
      </c>
      <c r="C396" s="10" t="s">
        <v>448</v>
      </c>
      <c r="D396" s="10" t="s">
        <v>449</v>
      </c>
      <c r="E396" s="20">
        <v>1064.3499999999999</v>
      </c>
      <c r="F396" s="10" t="s">
        <v>431</v>
      </c>
      <c r="G396" s="10" t="s">
        <v>450</v>
      </c>
      <c r="H396" s="10" t="s">
        <v>413</v>
      </c>
    </row>
    <row r="397" spans="1:8" ht="26.4" x14ac:dyDescent="0.3">
      <c r="A397" s="12">
        <v>46235</v>
      </c>
      <c r="B397" s="10" t="s">
        <v>437</v>
      </c>
      <c r="C397" s="10" t="s">
        <v>451</v>
      </c>
      <c r="D397" s="10" t="s">
        <v>452</v>
      </c>
      <c r="E397" s="20">
        <v>19.37</v>
      </c>
      <c r="F397" s="10" t="s">
        <v>431</v>
      </c>
      <c r="G397" s="10" t="s">
        <v>453</v>
      </c>
      <c r="H397" s="10" t="s">
        <v>413</v>
      </c>
    </row>
    <row r="398" spans="1:8" x14ac:dyDescent="0.3">
      <c r="A398" s="12">
        <v>46266</v>
      </c>
      <c r="B398" s="10" t="s">
        <v>408</v>
      </c>
      <c r="C398" s="10" t="s">
        <v>409</v>
      </c>
      <c r="D398" s="10" t="s">
        <v>410</v>
      </c>
      <c r="E398" s="20">
        <v>736636.48</v>
      </c>
      <c r="F398" s="10" t="s">
        <v>411</v>
      </c>
      <c r="G398" s="10" t="s">
        <v>412</v>
      </c>
      <c r="H398" s="10" t="s">
        <v>413</v>
      </c>
    </row>
    <row r="399" spans="1:8" ht="26.4" x14ac:dyDescent="0.3">
      <c r="A399" s="12">
        <v>46266</v>
      </c>
      <c r="B399" s="10" t="s">
        <v>402</v>
      </c>
      <c r="C399" s="10" t="s">
        <v>414</v>
      </c>
      <c r="D399" s="10" t="s">
        <v>415</v>
      </c>
      <c r="E399" s="20">
        <v>209010.48</v>
      </c>
      <c r="F399" s="10" t="s">
        <v>411</v>
      </c>
      <c r="G399" s="10" t="s">
        <v>416</v>
      </c>
      <c r="H399" s="10" t="s">
        <v>417</v>
      </c>
    </row>
    <row r="400" spans="1:8" ht="26.4" x14ac:dyDescent="0.3">
      <c r="A400" s="12">
        <v>46266</v>
      </c>
      <c r="B400" s="10" t="s">
        <v>404</v>
      </c>
      <c r="C400" s="10" t="s">
        <v>414</v>
      </c>
      <c r="D400" s="10" t="s">
        <v>415</v>
      </c>
      <c r="E400" s="20">
        <v>288038.42</v>
      </c>
      <c r="F400" s="10" t="s">
        <v>411</v>
      </c>
      <c r="G400" s="10" t="s">
        <v>416</v>
      </c>
      <c r="H400" s="10" t="s">
        <v>417</v>
      </c>
    </row>
    <row r="401" spans="1:8" ht="26.4" x14ac:dyDescent="0.3">
      <c r="A401" s="12">
        <v>46266</v>
      </c>
      <c r="B401" s="10" t="s">
        <v>403</v>
      </c>
      <c r="C401" s="10" t="s">
        <v>414</v>
      </c>
      <c r="D401" s="10" t="s">
        <v>415</v>
      </c>
      <c r="E401" s="20">
        <v>18311.080000000002</v>
      </c>
      <c r="F401" s="10" t="s">
        <v>411</v>
      </c>
      <c r="G401" s="10" t="s">
        <v>416</v>
      </c>
      <c r="H401" s="10" t="s">
        <v>417</v>
      </c>
    </row>
    <row r="402" spans="1:8" ht="26.4" x14ac:dyDescent="0.3">
      <c r="A402" s="12">
        <v>46266</v>
      </c>
      <c r="B402" s="10" t="s">
        <v>400</v>
      </c>
      <c r="C402" s="10" t="s">
        <v>414</v>
      </c>
      <c r="D402" s="10" t="s">
        <v>415</v>
      </c>
      <c r="E402" s="20">
        <v>10324.01</v>
      </c>
      <c r="F402" s="10" t="s">
        <v>411</v>
      </c>
      <c r="G402" s="10" t="s">
        <v>416</v>
      </c>
      <c r="H402" s="10" t="s">
        <v>417</v>
      </c>
    </row>
    <row r="403" spans="1:8" ht="26.4" x14ac:dyDescent="0.3">
      <c r="A403" s="12">
        <v>46266</v>
      </c>
      <c r="B403" s="10" t="s">
        <v>418</v>
      </c>
      <c r="C403" s="10" t="s">
        <v>414</v>
      </c>
      <c r="D403" s="10" t="s">
        <v>415</v>
      </c>
      <c r="E403" s="20">
        <v>95994.77</v>
      </c>
      <c r="F403" s="10" t="s">
        <v>411</v>
      </c>
      <c r="G403" s="10" t="s">
        <v>416</v>
      </c>
      <c r="H403" s="10" t="s">
        <v>417</v>
      </c>
    </row>
    <row r="404" spans="1:8" ht="26.4" x14ac:dyDescent="0.3">
      <c r="A404" s="12">
        <v>46266</v>
      </c>
      <c r="B404" s="10" t="s">
        <v>419</v>
      </c>
      <c r="C404" s="10" t="s">
        <v>414</v>
      </c>
      <c r="D404" s="10" t="s">
        <v>415</v>
      </c>
      <c r="E404" s="20">
        <v>66228.23</v>
      </c>
      <c r="F404" s="10" t="s">
        <v>411</v>
      </c>
      <c r="G404" s="10" t="s">
        <v>416</v>
      </c>
      <c r="H404" s="10" t="s">
        <v>417</v>
      </c>
    </row>
    <row r="405" spans="1:8" ht="26.4" x14ac:dyDescent="0.3">
      <c r="A405" s="12">
        <v>46266</v>
      </c>
      <c r="B405" s="10" t="s">
        <v>408</v>
      </c>
      <c r="C405" s="10" t="s">
        <v>414</v>
      </c>
      <c r="D405" s="10" t="s">
        <v>415</v>
      </c>
      <c r="E405" s="20">
        <v>48729.49</v>
      </c>
      <c r="F405" s="10" t="s">
        <v>411</v>
      </c>
      <c r="G405" s="10" t="s">
        <v>416</v>
      </c>
      <c r="H405" s="10" t="s">
        <v>417</v>
      </c>
    </row>
    <row r="406" spans="1:8" x14ac:dyDescent="0.3">
      <c r="A406" s="12">
        <v>46266</v>
      </c>
      <c r="B406" s="10" t="s">
        <v>408</v>
      </c>
      <c r="C406" s="10" t="s">
        <v>420</v>
      </c>
      <c r="D406" s="10" t="s">
        <v>421</v>
      </c>
      <c r="E406" s="20">
        <v>1106.72</v>
      </c>
      <c r="F406" s="10" t="s">
        <v>422</v>
      </c>
      <c r="G406" s="10" t="s">
        <v>423</v>
      </c>
      <c r="H406" s="10" t="s">
        <v>413</v>
      </c>
    </row>
    <row r="407" spans="1:8" ht="26.4" x14ac:dyDescent="0.3">
      <c r="A407" s="12">
        <v>46266</v>
      </c>
      <c r="B407" s="10" t="s">
        <v>419</v>
      </c>
      <c r="C407" s="10" t="s">
        <v>424</v>
      </c>
      <c r="D407" s="10" t="s">
        <v>425</v>
      </c>
      <c r="E407" s="20">
        <v>939.52</v>
      </c>
      <c r="F407" s="10" t="s">
        <v>422</v>
      </c>
      <c r="G407" s="10" t="s">
        <v>426</v>
      </c>
      <c r="H407" s="10" t="s">
        <v>417</v>
      </c>
    </row>
    <row r="408" spans="1:8" x14ac:dyDescent="0.3">
      <c r="A408" s="12">
        <v>46266</v>
      </c>
      <c r="B408" s="10" t="s">
        <v>408</v>
      </c>
      <c r="C408" s="10" t="s">
        <v>424</v>
      </c>
      <c r="D408" s="10" t="s">
        <v>427</v>
      </c>
      <c r="E408" s="20">
        <v>167.21</v>
      </c>
      <c r="F408" s="10" t="s">
        <v>422</v>
      </c>
      <c r="G408" s="10" t="s">
        <v>428</v>
      </c>
      <c r="H408" s="10" t="s">
        <v>417</v>
      </c>
    </row>
    <row r="409" spans="1:8" ht="26.4" x14ac:dyDescent="0.3">
      <c r="A409" s="12">
        <v>46266</v>
      </c>
      <c r="B409" s="10" t="s">
        <v>404</v>
      </c>
      <c r="C409" s="10" t="s">
        <v>429</v>
      </c>
      <c r="D409" s="10" t="s">
        <v>430</v>
      </c>
      <c r="E409" s="20">
        <v>1890.9</v>
      </c>
      <c r="F409" s="10" t="s">
        <v>431</v>
      </c>
      <c r="G409" s="10" t="s">
        <v>432</v>
      </c>
      <c r="H409" s="10" t="s">
        <v>413</v>
      </c>
    </row>
    <row r="410" spans="1:8" ht="26.4" x14ac:dyDescent="0.3">
      <c r="A410" s="12">
        <v>46266</v>
      </c>
      <c r="B410" s="10" t="s">
        <v>402</v>
      </c>
      <c r="C410" s="10" t="s">
        <v>429</v>
      </c>
      <c r="D410" s="10" t="s">
        <v>430</v>
      </c>
      <c r="E410" s="20">
        <v>730.42</v>
      </c>
      <c r="F410" s="10" t="s">
        <v>431</v>
      </c>
      <c r="G410" s="10" t="s">
        <v>432</v>
      </c>
      <c r="H410" s="10" t="s">
        <v>413</v>
      </c>
    </row>
    <row r="411" spans="1:8" ht="26.4" x14ac:dyDescent="0.3">
      <c r="A411" s="12">
        <v>46266</v>
      </c>
      <c r="B411" s="10" t="s">
        <v>403</v>
      </c>
      <c r="C411" s="10" t="s">
        <v>429</v>
      </c>
      <c r="D411" s="10" t="s">
        <v>430</v>
      </c>
      <c r="E411" s="20">
        <v>232.66</v>
      </c>
      <c r="F411" s="10" t="s">
        <v>431</v>
      </c>
      <c r="G411" s="10" t="s">
        <v>432</v>
      </c>
      <c r="H411" s="10" t="s">
        <v>413</v>
      </c>
    </row>
    <row r="412" spans="1:8" ht="26.4" x14ac:dyDescent="0.3">
      <c r="A412" s="12">
        <v>46266</v>
      </c>
      <c r="B412" s="10" t="s">
        <v>400</v>
      </c>
      <c r="C412" s="10" t="s">
        <v>429</v>
      </c>
      <c r="D412" s="10" t="s">
        <v>430</v>
      </c>
      <c r="E412" s="20">
        <v>430.13</v>
      </c>
      <c r="F412" s="10" t="s">
        <v>431</v>
      </c>
      <c r="G412" s="10" t="s">
        <v>432</v>
      </c>
      <c r="H412" s="10" t="s">
        <v>413</v>
      </c>
    </row>
    <row r="413" spans="1:8" x14ac:dyDescent="0.3">
      <c r="A413" s="12">
        <v>46266</v>
      </c>
      <c r="B413" s="10" t="s">
        <v>433</v>
      </c>
      <c r="C413" s="10" t="s">
        <v>434</v>
      </c>
      <c r="D413" s="10" t="s">
        <v>435</v>
      </c>
      <c r="E413" s="20">
        <v>1246.6400000000001</v>
      </c>
      <c r="F413" s="10" t="s">
        <v>431</v>
      </c>
      <c r="G413" s="10" t="s">
        <v>436</v>
      </c>
      <c r="H413" s="10" t="s">
        <v>413</v>
      </c>
    </row>
    <row r="414" spans="1:8" ht="26.4" x14ac:dyDescent="0.3">
      <c r="A414" s="12">
        <v>46266</v>
      </c>
      <c r="B414" s="10" t="s">
        <v>437</v>
      </c>
      <c r="C414" s="10" t="s">
        <v>438</v>
      </c>
      <c r="D414" s="10" t="s">
        <v>439</v>
      </c>
      <c r="E414" s="20">
        <v>82709.72</v>
      </c>
      <c r="F414" s="10" t="s">
        <v>431</v>
      </c>
      <c r="G414" s="10" t="s">
        <v>440</v>
      </c>
      <c r="H414" s="10" t="s">
        <v>413</v>
      </c>
    </row>
    <row r="415" spans="1:8" x14ac:dyDescent="0.3">
      <c r="A415" s="12">
        <v>46266</v>
      </c>
      <c r="B415" s="10" t="s">
        <v>437</v>
      </c>
      <c r="C415" s="10" t="s">
        <v>441</v>
      </c>
      <c r="D415" s="10" t="s">
        <v>442</v>
      </c>
      <c r="E415" s="20">
        <v>10024.709999999999</v>
      </c>
      <c r="F415" s="10" t="s">
        <v>431</v>
      </c>
      <c r="G415" s="10" t="s">
        <v>440</v>
      </c>
      <c r="H415" s="10" t="s">
        <v>413</v>
      </c>
    </row>
    <row r="416" spans="1:8" x14ac:dyDescent="0.3">
      <c r="A416" s="12">
        <v>46266</v>
      </c>
      <c r="B416" s="10" t="s">
        <v>403</v>
      </c>
      <c r="C416" s="10" t="s">
        <v>443</v>
      </c>
      <c r="D416" s="10" t="s">
        <v>444</v>
      </c>
      <c r="E416" s="20">
        <v>112.86</v>
      </c>
      <c r="F416" s="10" t="s">
        <v>431</v>
      </c>
      <c r="G416" s="10" t="s">
        <v>445</v>
      </c>
      <c r="H416" s="10" t="s">
        <v>413</v>
      </c>
    </row>
    <row r="417" spans="1:8" ht="26.4" x14ac:dyDescent="0.3">
      <c r="A417" s="12">
        <v>46266</v>
      </c>
      <c r="B417" s="10" t="s">
        <v>403</v>
      </c>
      <c r="C417" s="10" t="s">
        <v>446</v>
      </c>
      <c r="D417" s="10" t="s">
        <v>447</v>
      </c>
      <c r="E417" s="20">
        <v>78.78</v>
      </c>
      <c r="F417" s="10" t="s">
        <v>431</v>
      </c>
      <c r="G417" s="10" t="s">
        <v>445</v>
      </c>
      <c r="H417" s="10" t="s">
        <v>413</v>
      </c>
    </row>
    <row r="418" spans="1:8" x14ac:dyDescent="0.3">
      <c r="A418" s="12">
        <v>46266</v>
      </c>
      <c r="B418" s="10" t="s">
        <v>400</v>
      </c>
      <c r="C418" s="10" t="s">
        <v>448</v>
      </c>
      <c r="D418" s="10" t="s">
        <v>449</v>
      </c>
      <c r="E418" s="20">
        <v>990.54</v>
      </c>
      <c r="F418" s="10" t="s">
        <v>431</v>
      </c>
      <c r="G418" s="10" t="s">
        <v>450</v>
      </c>
      <c r="H418" s="10" t="s">
        <v>413</v>
      </c>
    </row>
    <row r="419" spans="1:8" ht="26.4" x14ac:dyDescent="0.3">
      <c r="A419" s="12">
        <v>46266</v>
      </c>
      <c r="B419" s="10" t="s">
        <v>437</v>
      </c>
      <c r="C419" s="10" t="s">
        <v>451</v>
      </c>
      <c r="D419" s="10" t="s">
        <v>452</v>
      </c>
      <c r="E419" s="20">
        <v>15.84</v>
      </c>
      <c r="F419" s="10" t="s">
        <v>431</v>
      </c>
      <c r="G419" s="10" t="s">
        <v>453</v>
      </c>
      <c r="H419" s="10" t="s">
        <v>413</v>
      </c>
    </row>
    <row r="420" spans="1:8" x14ac:dyDescent="0.3">
      <c r="A420" s="12">
        <v>46296</v>
      </c>
      <c r="B420" s="10" t="s">
        <v>408</v>
      </c>
      <c r="C420" s="10" t="s">
        <v>409</v>
      </c>
      <c r="D420" s="10" t="s">
        <v>410</v>
      </c>
      <c r="E420" s="20">
        <v>741702.88</v>
      </c>
      <c r="F420" s="10" t="s">
        <v>411</v>
      </c>
      <c r="G420" s="10" t="s">
        <v>412</v>
      </c>
      <c r="H420" s="10" t="s">
        <v>413</v>
      </c>
    </row>
    <row r="421" spans="1:8" ht="26.4" x14ac:dyDescent="0.3">
      <c r="A421" s="12">
        <v>46296</v>
      </c>
      <c r="B421" s="10" t="s">
        <v>402</v>
      </c>
      <c r="C421" s="10" t="s">
        <v>414</v>
      </c>
      <c r="D421" s="10" t="s">
        <v>415</v>
      </c>
      <c r="E421" s="20">
        <v>226684.01</v>
      </c>
      <c r="F421" s="10" t="s">
        <v>411</v>
      </c>
      <c r="G421" s="10" t="s">
        <v>416</v>
      </c>
      <c r="H421" s="10" t="s">
        <v>417</v>
      </c>
    </row>
    <row r="422" spans="1:8" ht="26.4" x14ac:dyDescent="0.3">
      <c r="A422" s="12">
        <v>46296</v>
      </c>
      <c r="B422" s="10" t="s">
        <v>404</v>
      </c>
      <c r="C422" s="10" t="s">
        <v>414</v>
      </c>
      <c r="D422" s="10" t="s">
        <v>415</v>
      </c>
      <c r="E422" s="20">
        <v>287926.03000000003</v>
      </c>
      <c r="F422" s="10" t="s">
        <v>411</v>
      </c>
      <c r="G422" s="10" t="s">
        <v>416</v>
      </c>
      <c r="H422" s="10" t="s">
        <v>417</v>
      </c>
    </row>
    <row r="423" spans="1:8" ht="26.4" x14ac:dyDescent="0.3">
      <c r="A423" s="12">
        <v>46296</v>
      </c>
      <c r="B423" s="10" t="s">
        <v>403</v>
      </c>
      <c r="C423" s="10" t="s">
        <v>414</v>
      </c>
      <c r="D423" s="10" t="s">
        <v>415</v>
      </c>
      <c r="E423" s="20">
        <v>16422.79</v>
      </c>
      <c r="F423" s="10" t="s">
        <v>411</v>
      </c>
      <c r="G423" s="10" t="s">
        <v>416</v>
      </c>
      <c r="H423" s="10" t="s">
        <v>417</v>
      </c>
    </row>
    <row r="424" spans="1:8" ht="26.4" x14ac:dyDescent="0.3">
      <c r="A424" s="12">
        <v>46296</v>
      </c>
      <c r="B424" s="10" t="s">
        <v>400</v>
      </c>
      <c r="C424" s="10" t="s">
        <v>414</v>
      </c>
      <c r="D424" s="10" t="s">
        <v>415</v>
      </c>
      <c r="E424" s="20">
        <v>10798.24</v>
      </c>
      <c r="F424" s="10" t="s">
        <v>411</v>
      </c>
      <c r="G424" s="10" t="s">
        <v>416</v>
      </c>
      <c r="H424" s="10" t="s">
        <v>417</v>
      </c>
    </row>
    <row r="425" spans="1:8" ht="26.4" x14ac:dyDescent="0.3">
      <c r="A425" s="12">
        <v>46296</v>
      </c>
      <c r="B425" s="10" t="s">
        <v>418</v>
      </c>
      <c r="C425" s="10" t="s">
        <v>414</v>
      </c>
      <c r="D425" s="10" t="s">
        <v>415</v>
      </c>
      <c r="E425" s="20">
        <v>98976.16</v>
      </c>
      <c r="F425" s="10" t="s">
        <v>411</v>
      </c>
      <c r="G425" s="10" t="s">
        <v>416</v>
      </c>
      <c r="H425" s="10" t="s">
        <v>417</v>
      </c>
    </row>
    <row r="426" spans="1:8" ht="26.4" x14ac:dyDescent="0.3">
      <c r="A426" s="12">
        <v>46296</v>
      </c>
      <c r="B426" s="10" t="s">
        <v>419</v>
      </c>
      <c r="C426" s="10" t="s">
        <v>414</v>
      </c>
      <c r="D426" s="10" t="s">
        <v>415</v>
      </c>
      <c r="E426" s="20">
        <v>60264.56</v>
      </c>
      <c r="F426" s="10" t="s">
        <v>411</v>
      </c>
      <c r="G426" s="10" t="s">
        <v>416</v>
      </c>
      <c r="H426" s="10" t="s">
        <v>417</v>
      </c>
    </row>
    <row r="427" spans="1:8" ht="26.4" x14ac:dyDescent="0.3">
      <c r="A427" s="12">
        <v>46296</v>
      </c>
      <c r="B427" s="10" t="s">
        <v>408</v>
      </c>
      <c r="C427" s="10" t="s">
        <v>414</v>
      </c>
      <c r="D427" s="10" t="s">
        <v>415</v>
      </c>
      <c r="E427" s="20">
        <v>40631.08</v>
      </c>
      <c r="F427" s="10" t="s">
        <v>411</v>
      </c>
      <c r="G427" s="10" t="s">
        <v>416</v>
      </c>
      <c r="H427" s="10" t="s">
        <v>417</v>
      </c>
    </row>
    <row r="428" spans="1:8" x14ac:dyDescent="0.3">
      <c r="A428" s="12">
        <v>46296</v>
      </c>
      <c r="B428" s="10" t="s">
        <v>408</v>
      </c>
      <c r="C428" s="10" t="s">
        <v>420</v>
      </c>
      <c r="D428" s="10" t="s">
        <v>421</v>
      </c>
      <c r="E428" s="20">
        <v>1031.27</v>
      </c>
      <c r="F428" s="10" t="s">
        <v>422</v>
      </c>
      <c r="G428" s="10" t="s">
        <v>423</v>
      </c>
      <c r="H428" s="10" t="s">
        <v>413</v>
      </c>
    </row>
    <row r="429" spans="1:8" ht="26.4" x14ac:dyDescent="0.3">
      <c r="A429" s="12">
        <v>46296</v>
      </c>
      <c r="B429" s="10" t="s">
        <v>419</v>
      </c>
      <c r="C429" s="10" t="s">
        <v>424</v>
      </c>
      <c r="D429" s="10" t="s">
        <v>425</v>
      </c>
      <c r="E429" s="20">
        <v>874.49</v>
      </c>
      <c r="F429" s="10" t="s">
        <v>422</v>
      </c>
      <c r="G429" s="10" t="s">
        <v>426</v>
      </c>
      <c r="H429" s="10" t="s">
        <v>417</v>
      </c>
    </row>
    <row r="430" spans="1:8" x14ac:dyDescent="0.3">
      <c r="A430" s="12">
        <v>46296</v>
      </c>
      <c r="B430" s="10" t="s">
        <v>408</v>
      </c>
      <c r="C430" s="10" t="s">
        <v>424</v>
      </c>
      <c r="D430" s="10" t="s">
        <v>427</v>
      </c>
      <c r="E430" s="20">
        <v>156.79</v>
      </c>
      <c r="F430" s="10" t="s">
        <v>422</v>
      </c>
      <c r="G430" s="10" t="s">
        <v>428</v>
      </c>
      <c r="H430" s="10" t="s">
        <v>417</v>
      </c>
    </row>
    <row r="431" spans="1:8" ht="26.4" x14ac:dyDescent="0.3">
      <c r="A431" s="12">
        <v>46296</v>
      </c>
      <c r="B431" s="10" t="s">
        <v>404</v>
      </c>
      <c r="C431" s="10" t="s">
        <v>429</v>
      </c>
      <c r="D431" s="10" t="s">
        <v>430</v>
      </c>
      <c r="E431" s="20">
        <v>1836.02</v>
      </c>
      <c r="F431" s="10" t="s">
        <v>431</v>
      </c>
      <c r="G431" s="10" t="s">
        <v>432</v>
      </c>
      <c r="H431" s="10" t="s">
        <v>413</v>
      </c>
    </row>
    <row r="432" spans="1:8" ht="26.4" x14ac:dyDescent="0.3">
      <c r="A432" s="12">
        <v>46296</v>
      </c>
      <c r="B432" s="10" t="s">
        <v>402</v>
      </c>
      <c r="C432" s="10" t="s">
        <v>429</v>
      </c>
      <c r="D432" s="10" t="s">
        <v>430</v>
      </c>
      <c r="E432" s="20">
        <v>753.11</v>
      </c>
      <c r="F432" s="10" t="s">
        <v>431</v>
      </c>
      <c r="G432" s="10" t="s">
        <v>432</v>
      </c>
      <c r="H432" s="10" t="s">
        <v>413</v>
      </c>
    </row>
    <row r="433" spans="1:8" ht="26.4" x14ac:dyDescent="0.3">
      <c r="A433" s="12">
        <v>46296</v>
      </c>
      <c r="B433" s="10" t="s">
        <v>403</v>
      </c>
      <c r="C433" s="10" t="s">
        <v>429</v>
      </c>
      <c r="D433" s="10" t="s">
        <v>430</v>
      </c>
      <c r="E433" s="20">
        <v>232.3</v>
      </c>
      <c r="F433" s="10" t="s">
        <v>431</v>
      </c>
      <c r="G433" s="10" t="s">
        <v>432</v>
      </c>
      <c r="H433" s="10" t="s">
        <v>413</v>
      </c>
    </row>
    <row r="434" spans="1:8" ht="26.4" x14ac:dyDescent="0.3">
      <c r="A434" s="12">
        <v>46296</v>
      </c>
      <c r="B434" s="10" t="s">
        <v>400</v>
      </c>
      <c r="C434" s="10" t="s">
        <v>429</v>
      </c>
      <c r="D434" s="10" t="s">
        <v>430</v>
      </c>
      <c r="E434" s="20">
        <v>427.8</v>
      </c>
      <c r="F434" s="10" t="s">
        <v>431</v>
      </c>
      <c r="G434" s="10" t="s">
        <v>432</v>
      </c>
      <c r="H434" s="10" t="s">
        <v>413</v>
      </c>
    </row>
    <row r="435" spans="1:8" x14ac:dyDescent="0.3">
      <c r="A435" s="12">
        <v>46296</v>
      </c>
      <c r="B435" s="10" t="s">
        <v>433</v>
      </c>
      <c r="C435" s="10" t="s">
        <v>434</v>
      </c>
      <c r="D435" s="10" t="s">
        <v>435</v>
      </c>
      <c r="E435" s="20">
        <v>1287.6199999999999</v>
      </c>
      <c r="F435" s="10" t="s">
        <v>431</v>
      </c>
      <c r="G435" s="10" t="s">
        <v>436</v>
      </c>
      <c r="H435" s="10" t="s">
        <v>413</v>
      </c>
    </row>
    <row r="436" spans="1:8" ht="26.4" x14ac:dyDescent="0.3">
      <c r="A436" s="12">
        <v>46296</v>
      </c>
      <c r="B436" s="10" t="s">
        <v>437</v>
      </c>
      <c r="C436" s="10" t="s">
        <v>438</v>
      </c>
      <c r="D436" s="10" t="s">
        <v>439</v>
      </c>
      <c r="E436" s="20">
        <v>86715.92</v>
      </c>
      <c r="F436" s="10" t="s">
        <v>431</v>
      </c>
      <c r="G436" s="10" t="s">
        <v>440</v>
      </c>
      <c r="H436" s="10" t="s">
        <v>413</v>
      </c>
    </row>
    <row r="437" spans="1:8" x14ac:dyDescent="0.3">
      <c r="A437" s="12">
        <v>46296</v>
      </c>
      <c r="B437" s="10" t="s">
        <v>437</v>
      </c>
      <c r="C437" s="10" t="s">
        <v>441</v>
      </c>
      <c r="D437" s="10" t="s">
        <v>442</v>
      </c>
      <c r="E437" s="20">
        <v>10414.15</v>
      </c>
      <c r="F437" s="10" t="s">
        <v>431</v>
      </c>
      <c r="G437" s="10" t="s">
        <v>440</v>
      </c>
      <c r="H437" s="10" t="s">
        <v>413</v>
      </c>
    </row>
    <row r="438" spans="1:8" x14ac:dyDescent="0.3">
      <c r="A438" s="12">
        <v>46296</v>
      </c>
      <c r="B438" s="10" t="s">
        <v>403</v>
      </c>
      <c r="C438" s="10" t="s">
        <v>443</v>
      </c>
      <c r="D438" s="10" t="s">
        <v>444</v>
      </c>
      <c r="E438" s="20">
        <v>111.79</v>
      </c>
      <c r="F438" s="10" t="s">
        <v>431</v>
      </c>
      <c r="G438" s="10" t="s">
        <v>445</v>
      </c>
      <c r="H438" s="10" t="s">
        <v>413</v>
      </c>
    </row>
    <row r="439" spans="1:8" ht="26.4" x14ac:dyDescent="0.3">
      <c r="A439" s="12">
        <v>46296</v>
      </c>
      <c r="B439" s="10" t="s">
        <v>403</v>
      </c>
      <c r="C439" s="10" t="s">
        <v>446</v>
      </c>
      <c r="D439" s="10" t="s">
        <v>447</v>
      </c>
      <c r="E439" s="20">
        <v>76.709999999999994</v>
      </c>
      <c r="F439" s="10" t="s">
        <v>431</v>
      </c>
      <c r="G439" s="10" t="s">
        <v>445</v>
      </c>
      <c r="H439" s="10" t="s">
        <v>413</v>
      </c>
    </row>
    <row r="440" spans="1:8" x14ac:dyDescent="0.3">
      <c r="A440" s="12">
        <v>46296</v>
      </c>
      <c r="B440" s="10" t="s">
        <v>400</v>
      </c>
      <c r="C440" s="10" t="s">
        <v>448</v>
      </c>
      <c r="D440" s="10" t="s">
        <v>449</v>
      </c>
      <c r="E440" s="20">
        <v>1101.68</v>
      </c>
      <c r="F440" s="10" t="s">
        <v>431</v>
      </c>
      <c r="G440" s="10" t="s">
        <v>450</v>
      </c>
      <c r="H440" s="10" t="s">
        <v>413</v>
      </c>
    </row>
    <row r="441" spans="1:8" ht="26.4" x14ac:dyDescent="0.3">
      <c r="A441" s="12">
        <v>46296</v>
      </c>
      <c r="B441" s="10" t="s">
        <v>437</v>
      </c>
      <c r="C441" s="10" t="s">
        <v>451</v>
      </c>
      <c r="D441" s="10" t="s">
        <v>452</v>
      </c>
      <c r="E441" s="20">
        <v>11.85</v>
      </c>
      <c r="F441" s="10" t="s">
        <v>431</v>
      </c>
      <c r="G441" s="10" t="s">
        <v>453</v>
      </c>
      <c r="H441" s="10" t="s">
        <v>413</v>
      </c>
    </row>
    <row r="442" spans="1:8" x14ac:dyDescent="0.3">
      <c r="A442" s="12">
        <v>46327</v>
      </c>
      <c r="B442" s="10" t="s">
        <v>408</v>
      </c>
      <c r="C442" s="10" t="s">
        <v>409</v>
      </c>
      <c r="D442" s="10" t="s">
        <v>410</v>
      </c>
      <c r="E442" s="20">
        <v>697660.72</v>
      </c>
      <c r="F442" s="10" t="s">
        <v>411</v>
      </c>
      <c r="G442" s="10" t="s">
        <v>412</v>
      </c>
      <c r="H442" s="10" t="s">
        <v>413</v>
      </c>
    </row>
    <row r="443" spans="1:8" ht="26.4" x14ac:dyDescent="0.3">
      <c r="A443" s="12">
        <v>46327</v>
      </c>
      <c r="B443" s="10" t="s">
        <v>402</v>
      </c>
      <c r="C443" s="10" t="s">
        <v>414</v>
      </c>
      <c r="D443" s="10" t="s">
        <v>415</v>
      </c>
      <c r="E443" s="20">
        <v>219159.62</v>
      </c>
      <c r="F443" s="10" t="s">
        <v>411</v>
      </c>
      <c r="G443" s="10" t="s">
        <v>416</v>
      </c>
      <c r="H443" s="10" t="s">
        <v>417</v>
      </c>
    </row>
    <row r="444" spans="1:8" ht="26.4" x14ac:dyDescent="0.3">
      <c r="A444" s="12">
        <v>46327</v>
      </c>
      <c r="B444" s="10" t="s">
        <v>404</v>
      </c>
      <c r="C444" s="10" t="s">
        <v>414</v>
      </c>
      <c r="D444" s="10" t="s">
        <v>415</v>
      </c>
      <c r="E444" s="20">
        <v>275391.77</v>
      </c>
      <c r="F444" s="10" t="s">
        <v>411</v>
      </c>
      <c r="G444" s="10" t="s">
        <v>416</v>
      </c>
      <c r="H444" s="10" t="s">
        <v>417</v>
      </c>
    </row>
    <row r="445" spans="1:8" ht="26.4" x14ac:dyDescent="0.3">
      <c r="A445" s="12">
        <v>46327</v>
      </c>
      <c r="B445" s="10" t="s">
        <v>403</v>
      </c>
      <c r="C445" s="10" t="s">
        <v>414</v>
      </c>
      <c r="D445" s="10" t="s">
        <v>415</v>
      </c>
      <c r="E445" s="20">
        <v>13955.59</v>
      </c>
      <c r="F445" s="10" t="s">
        <v>411</v>
      </c>
      <c r="G445" s="10" t="s">
        <v>416</v>
      </c>
      <c r="H445" s="10" t="s">
        <v>417</v>
      </c>
    </row>
    <row r="446" spans="1:8" ht="26.4" x14ac:dyDescent="0.3">
      <c r="A446" s="12">
        <v>46327</v>
      </c>
      <c r="B446" s="10" t="s">
        <v>400</v>
      </c>
      <c r="C446" s="10" t="s">
        <v>414</v>
      </c>
      <c r="D446" s="10" t="s">
        <v>415</v>
      </c>
      <c r="E446" s="20">
        <v>9812.9500000000007</v>
      </c>
      <c r="F446" s="10" t="s">
        <v>411</v>
      </c>
      <c r="G446" s="10" t="s">
        <v>416</v>
      </c>
      <c r="H446" s="10" t="s">
        <v>417</v>
      </c>
    </row>
    <row r="447" spans="1:8" ht="26.4" x14ac:dyDescent="0.3">
      <c r="A447" s="12">
        <v>46327</v>
      </c>
      <c r="B447" s="10" t="s">
        <v>418</v>
      </c>
      <c r="C447" s="10" t="s">
        <v>414</v>
      </c>
      <c r="D447" s="10" t="s">
        <v>415</v>
      </c>
      <c r="E447" s="20">
        <v>86365.66</v>
      </c>
      <c r="F447" s="10" t="s">
        <v>411</v>
      </c>
      <c r="G447" s="10" t="s">
        <v>416</v>
      </c>
      <c r="H447" s="10" t="s">
        <v>417</v>
      </c>
    </row>
    <row r="448" spans="1:8" ht="26.4" x14ac:dyDescent="0.3">
      <c r="A448" s="12">
        <v>46327</v>
      </c>
      <c r="B448" s="10" t="s">
        <v>419</v>
      </c>
      <c r="C448" s="10" t="s">
        <v>414</v>
      </c>
      <c r="D448" s="10" t="s">
        <v>415</v>
      </c>
      <c r="E448" s="20">
        <v>47166.66</v>
      </c>
      <c r="F448" s="10" t="s">
        <v>411</v>
      </c>
      <c r="G448" s="10" t="s">
        <v>416</v>
      </c>
      <c r="H448" s="10" t="s">
        <v>417</v>
      </c>
    </row>
    <row r="449" spans="1:8" ht="26.4" x14ac:dyDescent="0.3">
      <c r="A449" s="12">
        <v>46327</v>
      </c>
      <c r="B449" s="10" t="s">
        <v>408</v>
      </c>
      <c r="C449" s="10" t="s">
        <v>414</v>
      </c>
      <c r="D449" s="10" t="s">
        <v>415</v>
      </c>
      <c r="E449" s="20">
        <v>45808.45</v>
      </c>
      <c r="F449" s="10" t="s">
        <v>411</v>
      </c>
      <c r="G449" s="10" t="s">
        <v>416</v>
      </c>
      <c r="H449" s="10" t="s">
        <v>417</v>
      </c>
    </row>
    <row r="450" spans="1:8" x14ac:dyDescent="0.3">
      <c r="A450" s="12">
        <v>46327</v>
      </c>
      <c r="B450" s="10" t="s">
        <v>408</v>
      </c>
      <c r="C450" s="10" t="s">
        <v>420</v>
      </c>
      <c r="D450" s="10" t="s">
        <v>421</v>
      </c>
      <c r="E450" s="20">
        <v>820.48</v>
      </c>
      <c r="F450" s="10" t="s">
        <v>422</v>
      </c>
      <c r="G450" s="10" t="s">
        <v>423</v>
      </c>
      <c r="H450" s="10" t="s">
        <v>413</v>
      </c>
    </row>
    <row r="451" spans="1:8" ht="26.4" x14ac:dyDescent="0.3">
      <c r="A451" s="12">
        <v>46327</v>
      </c>
      <c r="B451" s="10" t="s">
        <v>419</v>
      </c>
      <c r="C451" s="10" t="s">
        <v>424</v>
      </c>
      <c r="D451" s="10" t="s">
        <v>425</v>
      </c>
      <c r="E451" s="20">
        <v>666.44</v>
      </c>
      <c r="F451" s="10" t="s">
        <v>422</v>
      </c>
      <c r="G451" s="10" t="s">
        <v>426</v>
      </c>
      <c r="H451" s="10" t="s">
        <v>417</v>
      </c>
    </row>
    <row r="452" spans="1:8" x14ac:dyDescent="0.3">
      <c r="A452" s="12">
        <v>46327</v>
      </c>
      <c r="B452" s="10" t="s">
        <v>408</v>
      </c>
      <c r="C452" s="10" t="s">
        <v>424</v>
      </c>
      <c r="D452" s="10" t="s">
        <v>427</v>
      </c>
      <c r="E452" s="20">
        <v>154.04</v>
      </c>
      <c r="F452" s="10" t="s">
        <v>422</v>
      </c>
      <c r="G452" s="10" t="s">
        <v>428</v>
      </c>
      <c r="H452" s="10" t="s">
        <v>417</v>
      </c>
    </row>
    <row r="453" spans="1:8" ht="26.4" x14ac:dyDescent="0.3">
      <c r="A453" s="12">
        <v>46327</v>
      </c>
      <c r="B453" s="10" t="s">
        <v>404</v>
      </c>
      <c r="C453" s="10" t="s">
        <v>429</v>
      </c>
      <c r="D453" s="10" t="s">
        <v>430</v>
      </c>
      <c r="E453" s="20">
        <v>1803.69</v>
      </c>
      <c r="F453" s="10" t="s">
        <v>431</v>
      </c>
      <c r="G453" s="10" t="s">
        <v>432</v>
      </c>
      <c r="H453" s="10" t="s">
        <v>413</v>
      </c>
    </row>
    <row r="454" spans="1:8" ht="26.4" x14ac:dyDescent="0.3">
      <c r="A454" s="12">
        <v>46327</v>
      </c>
      <c r="B454" s="10" t="s">
        <v>402</v>
      </c>
      <c r="C454" s="10" t="s">
        <v>429</v>
      </c>
      <c r="D454" s="10" t="s">
        <v>430</v>
      </c>
      <c r="E454" s="20">
        <v>660.41</v>
      </c>
      <c r="F454" s="10" t="s">
        <v>431</v>
      </c>
      <c r="G454" s="10" t="s">
        <v>432</v>
      </c>
      <c r="H454" s="10" t="s">
        <v>413</v>
      </c>
    </row>
    <row r="455" spans="1:8" ht="26.4" x14ac:dyDescent="0.3">
      <c r="A455" s="12">
        <v>46327</v>
      </c>
      <c r="B455" s="10" t="s">
        <v>403</v>
      </c>
      <c r="C455" s="10" t="s">
        <v>429</v>
      </c>
      <c r="D455" s="10" t="s">
        <v>430</v>
      </c>
      <c r="E455" s="20">
        <v>191.65</v>
      </c>
      <c r="F455" s="10" t="s">
        <v>431</v>
      </c>
      <c r="G455" s="10" t="s">
        <v>432</v>
      </c>
      <c r="H455" s="10" t="s">
        <v>413</v>
      </c>
    </row>
    <row r="456" spans="1:8" ht="26.4" x14ac:dyDescent="0.3">
      <c r="A456" s="12">
        <v>46327</v>
      </c>
      <c r="B456" s="10" t="s">
        <v>400</v>
      </c>
      <c r="C456" s="10" t="s">
        <v>429</v>
      </c>
      <c r="D456" s="10" t="s">
        <v>430</v>
      </c>
      <c r="E456" s="20">
        <v>460.74</v>
      </c>
      <c r="F456" s="10" t="s">
        <v>431</v>
      </c>
      <c r="G456" s="10" t="s">
        <v>432</v>
      </c>
      <c r="H456" s="10" t="s">
        <v>413</v>
      </c>
    </row>
    <row r="457" spans="1:8" x14ac:dyDescent="0.3">
      <c r="A457" s="12">
        <v>46327</v>
      </c>
      <c r="B457" s="10" t="s">
        <v>433</v>
      </c>
      <c r="C457" s="10" t="s">
        <v>434</v>
      </c>
      <c r="D457" s="10" t="s">
        <v>435</v>
      </c>
      <c r="E457" s="20">
        <v>1190.9000000000001</v>
      </c>
      <c r="F457" s="10" t="s">
        <v>431</v>
      </c>
      <c r="G457" s="10" t="s">
        <v>436</v>
      </c>
      <c r="H457" s="10" t="s">
        <v>413</v>
      </c>
    </row>
    <row r="458" spans="1:8" ht="26.4" x14ac:dyDescent="0.3">
      <c r="A458" s="12">
        <v>46327</v>
      </c>
      <c r="B458" s="10" t="s">
        <v>437</v>
      </c>
      <c r="C458" s="10" t="s">
        <v>438</v>
      </c>
      <c r="D458" s="10" t="s">
        <v>439</v>
      </c>
      <c r="E458" s="20">
        <v>81035.320000000007</v>
      </c>
      <c r="F458" s="10" t="s">
        <v>431</v>
      </c>
      <c r="G458" s="10" t="s">
        <v>440</v>
      </c>
      <c r="H458" s="10" t="s">
        <v>413</v>
      </c>
    </row>
    <row r="459" spans="1:8" x14ac:dyDescent="0.3">
      <c r="A459" s="12">
        <v>46327</v>
      </c>
      <c r="B459" s="10" t="s">
        <v>437</v>
      </c>
      <c r="C459" s="10" t="s">
        <v>441</v>
      </c>
      <c r="D459" s="10" t="s">
        <v>442</v>
      </c>
      <c r="E459" s="20">
        <v>9246.1200000000008</v>
      </c>
      <c r="F459" s="10" t="s">
        <v>431</v>
      </c>
      <c r="G459" s="10" t="s">
        <v>440</v>
      </c>
      <c r="H459" s="10" t="s">
        <v>413</v>
      </c>
    </row>
    <row r="460" spans="1:8" x14ac:dyDescent="0.3">
      <c r="A460" s="12">
        <v>46327</v>
      </c>
      <c r="B460" s="10" t="s">
        <v>403</v>
      </c>
      <c r="C460" s="10" t="s">
        <v>443</v>
      </c>
      <c r="D460" s="10" t="s">
        <v>444</v>
      </c>
      <c r="E460" s="20">
        <v>91.14</v>
      </c>
      <c r="F460" s="10" t="s">
        <v>431</v>
      </c>
      <c r="G460" s="10" t="s">
        <v>445</v>
      </c>
      <c r="H460" s="10" t="s">
        <v>413</v>
      </c>
    </row>
    <row r="461" spans="1:8" ht="26.4" x14ac:dyDescent="0.3">
      <c r="A461" s="12">
        <v>46327</v>
      </c>
      <c r="B461" s="10" t="s">
        <v>403</v>
      </c>
      <c r="C461" s="10" t="s">
        <v>446</v>
      </c>
      <c r="D461" s="10" t="s">
        <v>447</v>
      </c>
      <c r="E461" s="20">
        <v>62.82</v>
      </c>
      <c r="F461" s="10" t="s">
        <v>431</v>
      </c>
      <c r="G461" s="10" t="s">
        <v>445</v>
      </c>
      <c r="H461" s="10" t="s">
        <v>413</v>
      </c>
    </row>
    <row r="462" spans="1:8" x14ac:dyDescent="0.3">
      <c r="A462" s="12">
        <v>46327</v>
      </c>
      <c r="B462" s="10" t="s">
        <v>400</v>
      </c>
      <c r="C462" s="10" t="s">
        <v>448</v>
      </c>
      <c r="D462" s="10" t="s">
        <v>449</v>
      </c>
      <c r="E462" s="20">
        <v>988.85</v>
      </c>
      <c r="F462" s="10" t="s">
        <v>431</v>
      </c>
      <c r="G462" s="10" t="s">
        <v>450</v>
      </c>
      <c r="H462" s="10" t="s">
        <v>413</v>
      </c>
    </row>
    <row r="463" spans="1:8" ht="26.4" x14ac:dyDescent="0.3">
      <c r="A463" s="12">
        <v>46327</v>
      </c>
      <c r="B463" s="10" t="s">
        <v>437</v>
      </c>
      <c r="C463" s="10" t="s">
        <v>451</v>
      </c>
      <c r="D463" s="10" t="s">
        <v>452</v>
      </c>
      <c r="E463" s="20">
        <v>10.49</v>
      </c>
      <c r="F463" s="10" t="s">
        <v>431</v>
      </c>
      <c r="G463" s="10" t="s">
        <v>453</v>
      </c>
      <c r="H463" s="10" t="s">
        <v>413</v>
      </c>
    </row>
    <row r="464" spans="1:8" x14ac:dyDescent="0.3">
      <c r="A464" s="12">
        <v>46357</v>
      </c>
      <c r="B464" s="10" t="s">
        <v>408</v>
      </c>
      <c r="C464" s="10" t="s">
        <v>409</v>
      </c>
      <c r="D464" s="10" t="s">
        <v>410</v>
      </c>
      <c r="E464" s="20">
        <v>675973.18</v>
      </c>
      <c r="F464" s="10" t="s">
        <v>411</v>
      </c>
      <c r="G464" s="10" t="s">
        <v>412</v>
      </c>
      <c r="H464" s="10" t="s">
        <v>413</v>
      </c>
    </row>
    <row r="465" spans="1:8" ht="26.4" x14ac:dyDescent="0.3">
      <c r="A465" s="12">
        <v>46357</v>
      </c>
      <c r="B465" s="10" t="s">
        <v>402</v>
      </c>
      <c r="C465" s="10" t="s">
        <v>414</v>
      </c>
      <c r="D465" s="10" t="s">
        <v>415</v>
      </c>
      <c r="E465" s="20">
        <v>197345.18</v>
      </c>
      <c r="F465" s="10" t="s">
        <v>411</v>
      </c>
      <c r="G465" s="10" t="s">
        <v>416</v>
      </c>
      <c r="H465" s="10" t="s">
        <v>417</v>
      </c>
    </row>
    <row r="466" spans="1:8" ht="26.4" x14ac:dyDescent="0.3">
      <c r="A466" s="12">
        <v>46357</v>
      </c>
      <c r="B466" s="10" t="s">
        <v>404</v>
      </c>
      <c r="C466" s="10" t="s">
        <v>414</v>
      </c>
      <c r="D466" s="10" t="s">
        <v>415</v>
      </c>
      <c r="E466" s="20">
        <v>286520.57</v>
      </c>
      <c r="F466" s="10" t="s">
        <v>411</v>
      </c>
      <c r="G466" s="10" t="s">
        <v>416</v>
      </c>
      <c r="H466" s="10" t="s">
        <v>417</v>
      </c>
    </row>
    <row r="467" spans="1:8" ht="26.4" x14ac:dyDescent="0.3">
      <c r="A467" s="12">
        <v>46357</v>
      </c>
      <c r="B467" s="10" t="s">
        <v>403</v>
      </c>
      <c r="C467" s="10" t="s">
        <v>414</v>
      </c>
      <c r="D467" s="10" t="s">
        <v>415</v>
      </c>
      <c r="E467" s="20">
        <v>13206.18</v>
      </c>
      <c r="F467" s="10" t="s">
        <v>411</v>
      </c>
      <c r="G467" s="10" t="s">
        <v>416</v>
      </c>
      <c r="H467" s="10" t="s">
        <v>417</v>
      </c>
    </row>
    <row r="468" spans="1:8" ht="26.4" x14ac:dyDescent="0.3">
      <c r="A468" s="12">
        <v>46357</v>
      </c>
      <c r="B468" s="10" t="s">
        <v>400</v>
      </c>
      <c r="C468" s="10" t="s">
        <v>414</v>
      </c>
      <c r="D468" s="10" t="s">
        <v>415</v>
      </c>
      <c r="E468" s="20">
        <v>11355.58</v>
      </c>
      <c r="F468" s="10" t="s">
        <v>411</v>
      </c>
      <c r="G468" s="10" t="s">
        <v>416</v>
      </c>
      <c r="H468" s="10" t="s">
        <v>417</v>
      </c>
    </row>
    <row r="469" spans="1:8" ht="26.4" x14ac:dyDescent="0.3">
      <c r="A469" s="12">
        <v>46357</v>
      </c>
      <c r="B469" s="10" t="s">
        <v>418</v>
      </c>
      <c r="C469" s="10" t="s">
        <v>414</v>
      </c>
      <c r="D469" s="10" t="s">
        <v>415</v>
      </c>
      <c r="E469" s="20">
        <v>79473.98</v>
      </c>
      <c r="F469" s="10" t="s">
        <v>411</v>
      </c>
      <c r="G469" s="10" t="s">
        <v>416</v>
      </c>
      <c r="H469" s="10" t="s">
        <v>417</v>
      </c>
    </row>
    <row r="470" spans="1:8" ht="26.4" x14ac:dyDescent="0.3">
      <c r="A470" s="12">
        <v>46357</v>
      </c>
      <c r="B470" s="10" t="s">
        <v>419</v>
      </c>
      <c r="C470" s="10" t="s">
        <v>414</v>
      </c>
      <c r="D470" s="10" t="s">
        <v>415</v>
      </c>
      <c r="E470" s="20">
        <v>38953</v>
      </c>
      <c r="F470" s="10" t="s">
        <v>411</v>
      </c>
      <c r="G470" s="10" t="s">
        <v>416</v>
      </c>
      <c r="H470" s="10" t="s">
        <v>417</v>
      </c>
    </row>
    <row r="471" spans="1:8" ht="26.4" x14ac:dyDescent="0.3">
      <c r="A471" s="12">
        <v>46357</v>
      </c>
      <c r="B471" s="10" t="s">
        <v>408</v>
      </c>
      <c r="C471" s="10" t="s">
        <v>414</v>
      </c>
      <c r="D471" s="10" t="s">
        <v>415</v>
      </c>
      <c r="E471" s="20">
        <v>49118.69</v>
      </c>
      <c r="F471" s="10" t="s">
        <v>411</v>
      </c>
      <c r="G471" s="10" t="s">
        <v>416</v>
      </c>
      <c r="H471" s="10" t="s">
        <v>417</v>
      </c>
    </row>
    <row r="472" spans="1:8" x14ac:dyDescent="0.3">
      <c r="A472" s="12">
        <v>46357</v>
      </c>
      <c r="B472" s="10" t="s">
        <v>408</v>
      </c>
      <c r="C472" s="10" t="s">
        <v>420</v>
      </c>
      <c r="D472" s="10" t="s">
        <v>421</v>
      </c>
      <c r="E472" s="20">
        <v>701.33</v>
      </c>
      <c r="F472" s="10" t="s">
        <v>422</v>
      </c>
      <c r="G472" s="10" t="s">
        <v>423</v>
      </c>
      <c r="H472" s="10" t="s">
        <v>413</v>
      </c>
    </row>
    <row r="473" spans="1:8" ht="26.4" x14ac:dyDescent="0.3">
      <c r="A473" s="12">
        <v>46357</v>
      </c>
      <c r="B473" s="10" t="s">
        <v>419</v>
      </c>
      <c r="C473" s="10" t="s">
        <v>424</v>
      </c>
      <c r="D473" s="10" t="s">
        <v>425</v>
      </c>
      <c r="E473" s="20">
        <v>554.61</v>
      </c>
      <c r="F473" s="10" t="s">
        <v>422</v>
      </c>
      <c r="G473" s="10" t="s">
        <v>426</v>
      </c>
      <c r="H473" s="10" t="s">
        <v>417</v>
      </c>
    </row>
    <row r="474" spans="1:8" x14ac:dyDescent="0.3">
      <c r="A474" s="12">
        <v>46357</v>
      </c>
      <c r="B474" s="10" t="s">
        <v>408</v>
      </c>
      <c r="C474" s="10" t="s">
        <v>424</v>
      </c>
      <c r="D474" s="10" t="s">
        <v>427</v>
      </c>
      <c r="E474" s="20">
        <v>146.72</v>
      </c>
      <c r="F474" s="10" t="s">
        <v>422</v>
      </c>
      <c r="G474" s="10" t="s">
        <v>428</v>
      </c>
      <c r="H474" s="10" t="s">
        <v>417</v>
      </c>
    </row>
    <row r="475" spans="1:8" ht="26.4" x14ac:dyDescent="0.3">
      <c r="A475" s="12">
        <v>46357</v>
      </c>
      <c r="B475" s="10" t="s">
        <v>404</v>
      </c>
      <c r="C475" s="10" t="s">
        <v>429</v>
      </c>
      <c r="D475" s="10" t="s">
        <v>430</v>
      </c>
      <c r="E475" s="20">
        <v>1795.76</v>
      </c>
      <c r="F475" s="10" t="s">
        <v>431</v>
      </c>
      <c r="G475" s="10" t="s">
        <v>432</v>
      </c>
      <c r="H475" s="10" t="s">
        <v>413</v>
      </c>
    </row>
    <row r="476" spans="1:8" ht="26.4" x14ac:dyDescent="0.3">
      <c r="A476" s="12">
        <v>46357</v>
      </c>
      <c r="B476" s="10" t="s">
        <v>402</v>
      </c>
      <c r="C476" s="10" t="s">
        <v>429</v>
      </c>
      <c r="D476" s="10" t="s">
        <v>430</v>
      </c>
      <c r="E476" s="20">
        <v>622.36</v>
      </c>
      <c r="F476" s="10" t="s">
        <v>431</v>
      </c>
      <c r="G476" s="10" t="s">
        <v>432</v>
      </c>
      <c r="H476" s="10" t="s">
        <v>413</v>
      </c>
    </row>
    <row r="477" spans="1:8" ht="26.4" x14ac:dyDescent="0.3">
      <c r="A477" s="12">
        <v>46357</v>
      </c>
      <c r="B477" s="10" t="s">
        <v>403</v>
      </c>
      <c r="C477" s="10" t="s">
        <v>429</v>
      </c>
      <c r="D477" s="10" t="s">
        <v>430</v>
      </c>
      <c r="E477" s="20">
        <v>191.07</v>
      </c>
      <c r="F477" s="10" t="s">
        <v>431</v>
      </c>
      <c r="G477" s="10" t="s">
        <v>432</v>
      </c>
      <c r="H477" s="10" t="s">
        <v>413</v>
      </c>
    </row>
    <row r="478" spans="1:8" ht="26.4" x14ac:dyDescent="0.3">
      <c r="A478" s="12">
        <v>46357</v>
      </c>
      <c r="B478" s="10" t="s">
        <v>400</v>
      </c>
      <c r="C478" s="10" t="s">
        <v>429</v>
      </c>
      <c r="D478" s="10" t="s">
        <v>430</v>
      </c>
      <c r="E478" s="20">
        <v>423.48</v>
      </c>
      <c r="F478" s="10" t="s">
        <v>431</v>
      </c>
      <c r="G478" s="10" t="s">
        <v>432</v>
      </c>
      <c r="H478" s="10" t="s">
        <v>413</v>
      </c>
    </row>
    <row r="479" spans="1:8" x14ac:dyDescent="0.3">
      <c r="A479" s="12">
        <v>46357</v>
      </c>
      <c r="B479" s="10" t="s">
        <v>433</v>
      </c>
      <c r="C479" s="10" t="s">
        <v>434</v>
      </c>
      <c r="D479" s="10" t="s">
        <v>435</v>
      </c>
      <c r="E479" s="20">
        <v>1151.5899999999999</v>
      </c>
      <c r="F479" s="10" t="s">
        <v>431</v>
      </c>
      <c r="G479" s="10" t="s">
        <v>436</v>
      </c>
      <c r="H479" s="10" t="s">
        <v>413</v>
      </c>
    </row>
    <row r="480" spans="1:8" ht="26.4" x14ac:dyDescent="0.3">
      <c r="A480" s="12">
        <v>46357</v>
      </c>
      <c r="B480" s="10" t="s">
        <v>437</v>
      </c>
      <c r="C480" s="10" t="s">
        <v>438</v>
      </c>
      <c r="D480" s="10" t="s">
        <v>439</v>
      </c>
      <c r="E480" s="20">
        <v>84277.1</v>
      </c>
      <c r="F480" s="10" t="s">
        <v>431</v>
      </c>
      <c r="G480" s="10" t="s">
        <v>440</v>
      </c>
      <c r="H480" s="10" t="s">
        <v>413</v>
      </c>
    </row>
    <row r="481" spans="1:8" x14ac:dyDescent="0.3">
      <c r="A481" s="12">
        <v>46357</v>
      </c>
      <c r="B481" s="10" t="s">
        <v>437</v>
      </c>
      <c r="C481" s="10" t="s">
        <v>441</v>
      </c>
      <c r="D481" s="10" t="s">
        <v>442</v>
      </c>
      <c r="E481" s="20">
        <v>9111.06</v>
      </c>
      <c r="F481" s="10" t="s">
        <v>431</v>
      </c>
      <c r="G481" s="10" t="s">
        <v>440</v>
      </c>
      <c r="H481" s="10" t="s">
        <v>413</v>
      </c>
    </row>
    <row r="482" spans="1:8" x14ac:dyDescent="0.3">
      <c r="A482" s="12">
        <v>46357</v>
      </c>
      <c r="B482" s="10" t="s">
        <v>403</v>
      </c>
      <c r="C482" s="10" t="s">
        <v>443</v>
      </c>
      <c r="D482" s="10" t="s">
        <v>444</v>
      </c>
      <c r="E482" s="20">
        <v>89.05</v>
      </c>
      <c r="F482" s="10" t="s">
        <v>431</v>
      </c>
      <c r="G482" s="10" t="s">
        <v>445</v>
      </c>
      <c r="H482" s="10" t="s">
        <v>413</v>
      </c>
    </row>
    <row r="483" spans="1:8" ht="26.4" x14ac:dyDescent="0.3">
      <c r="A483" s="12">
        <v>46357</v>
      </c>
      <c r="B483" s="10" t="s">
        <v>403</v>
      </c>
      <c r="C483" s="10" t="s">
        <v>446</v>
      </c>
      <c r="D483" s="10" t="s">
        <v>447</v>
      </c>
      <c r="E483" s="20">
        <v>57.56</v>
      </c>
      <c r="F483" s="10" t="s">
        <v>431</v>
      </c>
      <c r="G483" s="10" t="s">
        <v>445</v>
      </c>
      <c r="H483" s="10" t="s">
        <v>413</v>
      </c>
    </row>
    <row r="484" spans="1:8" x14ac:dyDescent="0.3">
      <c r="A484" s="12">
        <v>46357</v>
      </c>
      <c r="B484" s="10" t="s">
        <v>400</v>
      </c>
      <c r="C484" s="10" t="s">
        <v>448</v>
      </c>
      <c r="D484" s="10" t="s">
        <v>449</v>
      </c>
      <c r="E484" s="20">
        <v>1110.67</v>
      </c>
      <c r="F484" s="10" t="s">
        <v>431</v>
      </c>
      <c r="G484" s="10" t="s">
        <v>450</v>
      </c>
      <c r="H484" s="10" t="s">
        <v>413</v>
      </c>
    </row>
    <row r="485" spans="1:8" ht="26.4" x14ac:dyDescent="0.3">
      <c r="A485" s="12">
        <v>46357</v>
      </c>
      <c r="B485" s="10" t="s">
        <v>437</v>
      </c>
      <c r="C485" s="10" t="s">
        <v>451</v>
      </c>
      <c r="D485" s="10" t="s">
        <v>452</v>
      </c>
      <c r="E485" s="20">
        <v>14.6</v>
      </c>
      <c r="F485" s="10" t="s">
        <v>431</v>
      </c>
      <c r="G485" s="10" t="s">
        <v>453</v>
      </c>
      <c r="H485" s="10" t="s">
        <v>413</v>
      </c>
    </row>
    <row r="486" spans="1:8" ht="26.4" x14ac:dyDescent="0.3">
      <c r="A486" s="12">
        <v>45962</v>
      </c>
      <c r="B486" s="10" t="s">
        <v>419</v>
      </c>
      <c r="C486" s="10" t="s">
        <v>454</v>
      </c>
      <c r="D486" s="10" t="s">
        <v>455</v>
      </c>
      <c r="E486" s="20">
        <v>3.2</v>
      </c>
      <c r="F486" s="10" t="s">
        <v>431</v>
      </c>
      <c r="G486" s="10" t="s">
        <v>456</v>
      </c>
      <c r="H486" s="10" t="s">
        <v>413</v>
      </c>
    </row>
  </sheetData>
  <dataValidations count="2">
    <dataValidation type="list" allowBlank="1" showErrorMessage="1" errorTitle="Valor inválido" error="Valor fora da lista controlada (ver folha Listas)." sqref="B2:B686" xr:uid="{00000000-0002-0000-0600-000000000000}">
      <formula1>lst_Processo</formula1>
    </dataValidation>
    <dataValidation type="list" allowBlank="1" showErrorMessage="1" errorTitle="Valor inválido" error="Valor fora da lista controlada (ver folha Listas)." sqref="H2:H686" xr:uid="{00000000-0002-0000-0600-000001000000}">
      <formula1>lst_Qualidade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6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10" customWidth="1"/>
    <col min="3" max="3" width="44" customWidth="1"/>
    <col min="4" max="4" width="8" customWidth="1"/>
    <col min="5" max="5" width="11" customWidth="1"/>
    <col min="6" max="6" width="9" customWidth="1"/>
    <col min="7" max="7" width="30" customWidth="1"/>
    <col min="8" max="8" width="9" customWidth="1"/>
  </cols>
  <sheetData>
    <row r="1" spans="1:8" ht="39.6" x14ac:dyDescent="0.3">
      <c r="A1" s="8" t="s">
        <v>318</v>
      </c>
      <c r="B1" s="8" t="s">
        <v>457</v>
      </c>
      <c r="C1" s="8" t="s">
        <v>258</v>
      </c>
      <c r="D1" s="8" t="s">
        <v>458</v>
      </c>
      <c r="E1" s="8" t="s">
        <v>459</v>
      </c>
      <c r="F1" s="8" t="s">
        <v>460</v>
      </c>
      <c r="G1" s="8" t="s">
        <v>461</v>
      </c>
      <c r="H1" s="9" t="s">
        <v>462</v>
      </c>
    </row>
    <row r="2" spans="1:8" x14ac:dyDescent="0.3">
      <c r="A2" s="12">
        <v>45717</v>
      </c>
      <c r="B2" s="10" t="s">
        <v>463</v>
      </c>
      <c r="C2" s="10" t="s">
        <v>464</v>
      </c>
      <c r="D2" s="10" t="s">
        <v>465</v>
      </c>
      <c r="E2" s="16">
        <v>1652.1</v>
      </c>
      <c r="F2" s="10" t="s">
        <v>466</v>
      </c>
      <c r="G2" s="10" t="s">
        <v>467</v>
      </c>
      <c r="H2" s="11" t="str">
        <f t="shared" ref="H2:H65" si="0">IF(LEFT(F2,1)="R","Sim","Não")</f>
        <v>Sim</v>
      </c>
    </row>
    <row r="3" spans="1:8" x14ac:dyDescent="0.3">
      <c r="A3" s="12">
        <v>45717</v>
      </c>
      <c r="B3" s="10" t="s">
        <v>468</v>
      </c>
      <c r="C3" s="10" t="s">
        <v>469</v>
      </c>
      <c r="D3" s="10" t="s">
        <v>465</v>
      </c>
      <c r="E3" s="16">
        <v>3270.2</v>
      </c>
      <c r="F3" s="10" t="s">
        <v>466</v>
      </c>
      <c r="G3" s="10" t="s">
        <v>470</v>
      </c>
      <c r="H3" s="11" t="str">
        <f t="shared" si="0"/>
        <v>Sim</v>
      </c>
    </row>
    <row r="4" spans="1:8" x14ac:dyDescent="0.3">
      <c r="A4" s="12">
        <v>45717</v>
      </c>
      <c r="B4" s="10" t="s">
        <v>471</v>
      </c>
      <c r="C4" s="10" t="s">
        <v>472</v>
      </c>
      <c r="D4" s="10" t="s">
        <v>465</v>
      </c>
      <c r="E4" s="16">
        <v>1841.9</v>
      </c>
      <c r="F4" s="10" t="s">
        <v>466</v>
      </c>
      <c r="G4" s="10" t="s">
        <v>467</v>
      </c>
      <c r="H4" s="11" t="str">
        <f t="shared" si="0"/>
        <v>Sim</v>
      </c>
    </row>
    <row r="5" spans="1:8" x14ac:dyDescent="0.3">
      <c r="A5" s="12">
        <v>45717</v>
      </c>
      <c r="B5" s="10" t="s">
        <v>473</v>
      </c>
      <c r="C5" s="10" t="s">
        <v>474</v>
      </c>
      <c r="D5" s="10" t="s">
        <v>465</v>
      </c>
      <c r="E5" s="16">
        <v>1117.9000000000001</v>
      </c>
      <c r="F5" s="10" t="s">
        <v>466</v>
      </c>
      <c r="G5" s="10" t="s">
        <v>475</v>
      </c>
      <c r="H5" s="11" t="str">
        <f t="shared" si="0"/>
        <v>Sim</v>
      </c>
    </row>
    <row r="6" spans="1:8" x14ac:dyDescent="0.3">
      <c r="A6" s="12">
        <v>45717</v>
      </c>
      <c r="B6" s="10" t="s">
        <v>463</v>
      </c>
      <c r="C6" s="10" t="s">
        <v>476</v>
      </c>
      <c r="D6" s="10" t="s">
        <v>465</v>
      </c>
      <c r="E6" s="16">
        <v>445.2</v>
      </c>
      <c r="F6" s="10" t="s">
        <v>477</v>
      </c>
      <c r="G6" s="10" t="s">
        <v>467</v>
      </c>
      <c r="H6" s="11" t="str">
        <f t="shared" si="0"/>
        <v>Sim</v>
      </c>
    </row>
    <row r="7" spans="1:8" x14ac:dyDescent="0.3">
      <c r="A7" s="12">
        <v>45717</v>
      </c>
      <c r="B7" s="10" t="s">
        <v>478</v>
      </c>
      <c r="C7" s="10" t="s">
        <v>479</v>
      </c>
      <c r="D7" s="10" t="s">
        <v>465</v>
      </c>
      <c r="E7" s="16">
        <v>2246.6</v>
      </c>
      <c r="F7" s="10" t="s">
        <v>480</v>
      </c>
      <c r="G7" s="10" t="s">
        <v>481</v>
      </c>
      <c r="H7" s="11" t="str">
        <f t="shared" si="0"/>
        <v>Não</v>
      </c>
    </row>
    <row r="8" spans="1:8" x14ac:dyDescent="0.3">
      <c r="A8" s="12">
        <v>45717</v>
      </c>
      <c r="B8" s="10" t="s">
        <v>482</v>
      </c>
      <c r="C8" s="10" t="s">
        <v>483</v>
      </c>
      <c r="D8" s="10" t="s">
        <v>465</v>
      </c>
      <c r="E8" s="16">
        <v>458.8</v>
      </c>
      <c r="F8" s="10" t="s">
        <v>484</v>
      </c>
      <c r="G8" s="10" t="s">
        <v>485</v>
      </c>
      <c r="H8" s="11" t="str">
        <f t="shared" si="0"/>
        <v>Sim</v>
      </c>
    </row>
    <row r="9" spans="1:8" ht="26.4" x14ac:dyDescent="0.3">
      <c r="A9" s="12">
        <v>45717</v>
      </c>
      <c r="B9" s="10" t="s">
        <v>486</v>
      </c>
      <c r="C9" s="10" t="s">
        <v>487</v>
      </c>
      <c r="D9" s="10" t="s">
        <v>488</v>
      </c>
      <c r="E9" s="16">
        <v>24.3</v>
      </c>
      <c r="F9" s="10" t="s">
        <v>477</v>
      </c>
      <c r="G9" s="10" t="s">
        <v>489</v>
      </c>
      <c r="H9" s="11" t="str">
        <f t="shared" si="0"/>
        <v>Sim</v>
      </c>
    </row>
    <row r="10" spans="1:8" ht="26.4" x14ac:dyDescent="0.3">
      <c r="A10" s="12">
        <v>45717</v>
      </c>
      <c r="B10" s="10" t="s">
        <v>490</v>
      </c>
      <c r="C10" s="10" t="s">
        <v>491</v>
      </c>
      <c r="D10" s="10" t="s">
        <v>488</v>
      </c>
      <c r="E10" s="16">
        <v>44.1</v>
      </c>
      <c r="F10" s="10" t="s">
        <v>477</v>
      </c>
      <c r="G10" s="10" t="s">
        <v>489</v>
      </c>
      <c r="H10" s="11" t="str">
        <f t="shared" si="0"/>
        <v>Sim</v>
      </c>
    </row>
    <row r="11" spans="1:8" ht="26.4" x14ac:dyDescent="0.3">
      <c r="A11" s="12">
        <v>45717</v>
      </c>
      <c r="B11" s="10" t="s">
        <v>492</v>
      </c>
      <c r="C11" s="10" t="s">
        <v>493</v>
      </c>
      <c r="D11" s="10" t="s">
        <v>488</v>
      </c>
      <c r="E11" s="16">
        <v>41.2</v>
      </c>
      <c r="F11" s="10" t="s">
        <v>494</v>
      </c>
      <c r="G11" s="10" t="s">
        <v>489</v>
      </c>
      <c r="H11" s="11" t="str">
        <f t="shared" si="0"/>
        <v>Não</v>
      </c>
    </row>
    <row r="12" spans="1:8" x14ac:dyDescent="0.3">
      <c r="A12" s="12">
        <v>45717</v>
      </c>
      <c r="B12" s="10" t="s">
        <v>495</v>
      </c>
      <c r="C12" s="10" t="s">
        <v>496</v>
      </c>
      <c r="D12" s="10" t="s">
        <v>488</v>
      </c>
      <c r="E12" s="16">
        <v>193.3</v>
      </c>
      <c r="F12" s="10" t="s">
        <v>477</v>
      </c>
      <c r="G12" s="10" t="s">
        <v>497</v>
      </c>
      <c r="H12" s="11" t="str">
        <f t="shared" si="0"/>
        <v>Sim</v>
      </c>
    </row>
    <row r="13" spans="1:8" ht="26.4" x14ac:dyDescent="0.3">
      <c r="A13" s="12">
        <v>45717</v>
      </c>
      <c r="B13" s="10" t="s">
        <v>498</v>
      </c>
      <c r="C13" s="10" t="s">
        <v>499</v>
      </c>
      <c r="D13" s="10" t="s">
        <v>488</v>
      </c>
      <c r="E13" s="16">
        <v>0</v>
      </c>
      <c r="F13" s="10" t="s">
        <v>477</v>
      </c>
      <c r="G13" s="10" t="s">
        <v>489</v>
      </c>
      <c r="H13" s="11" t="str">
        <f t="shared" si="0"/>
        <v>Sim</v>
      </c>
    </row>
    <row r="14" spans="1:8" x14ac:dyDescent="0.3">
      <c r="A14" s="12">
        <v>45748</v>
      </c>
      <c r="B14" s="10" t="s">
        <v>463</v>
      </c>
      <c r="C14" s="10" t="s">
        <v>464</v>
      </c>
      <c r="D14" s="10" t="s">
        <v>465</v>
      </c>
      <c r="E14" s="16">
        <v>1484</v>
      </c>
      <c r="F14" s="10" t="s">
        <v>466</v>
      </c>
      <c r="G14" s="10" t="s">
        <v>467</v>
      </c>
      <c r="H14" s="11" t="str">
        <f t="shared" si="0"/>
        <v>Sim</v>
      </c>
    </row>
    <row r="15" spans="1:8" x14ac:dyDescent="0.3">
      <c r="A15" s="12">
        <v>45748</v>
      </c>
      <c r="B15" s="10" t="s">
        <v>468</v>
      </c>
      <c r="C15" s="10" t="s">
        <v>469</v>
      </c>
      <c r="D15" s="10" t="s">
        <v>465</v>
      </c>
      <c r="E15" s="16">
        <v>3625</v>
      </c>
      <c r="F15" s="10" t="s">
        <v>466</v>
      </c>
      <c r="G15" s="10" t="s">
        <v>470</v>
      </c>
      <c r="H15" s="11" t="str">
        <f t="shared" si="0"/>
        <v>Sim</v>
      </c>
    </row>
    <row r="16" spans="1:8" x14ac:dyDescent="0.3">
      <c r="A16" s="12">
        <v>45748</v>
      </c>
      <c r="B16" s="10" t="s">
        <v>471</v>
      </c>
      <c r="C16" s="10" t="s">
        <v>472</v>
      </c>
      <c r="D16" s="10" t="s">
        <v>465</v>
      </c>
      <c r="E16" s="16">
        <v>1657.1</v>
      </c>
      <c r="F16" s="10" t="s">
        <v>466</v>
      </c>
      <c r="G16" s="10" t="s">
        <v>467</v>
      </c>
      <c r="H16" s="11" t="str">
        <f t="shared" si="0"/>
        <v>Sim</v>
      </c>
    </row>
    <row r="17" spans="1:8" x14ac:dyDescent="0.3">
      <c r="A17" s="12">
        <v>45748</v>
      </c>
      <c r="B17" s="10" t="s">
        <v>473</v>
      </c>
      <c r="C17" s="10" t="s">
        <v>474</v>
      </c>
      <c r="D17" s="10" t="s">
        <v>465</v>
      </c>
      <c r="E17" s="16">
        <v>1287.2</v>
      </c>
      <c r="F17" s="10" t="s">
        <v>466</v>
      </c>
      <c r="G17" s="10" t="s">
        <v>475</v>
      </c>
      <c r="H17" s="11" t="str">
        <f t="shared" si="0"/>
        <v>Sim</v>
      </c>
    </row>
    <row r="18" spans="1:8" x14ac:dyDescent="0.3">
      <c r="A18" s="12">
        <v>45748</v>
      </c>
      <c r="B18" s="10" t="s">
        <v>463</v>
      </c>
      <c r="C18" s="10" t="s">
        <v>476</v>
      </c>
      <c r="D18" s="10" t="s">
        <v>465</v>
      </c>
      <c r="E18" s="16">
        <v>375.2</v>
      </c>
      <c r="F18" s="10" t="s">
        <v>477</v>
      </c>
      <c r="G18" s="10" t="s">
        <v>467</v>
      </c>
      <c r="H18" s="11" t="str">
        <f t="shared" si="0"/>
        <v>Sim</v>
      </c>
    </row>
    <row r="19" spans="1:8" x14ac:dyDescent="0.3">
      <c r="A19" s="12">
        <v>45748</v>
      </c>
      <c r="B19" s="10" t="s">
        <v>478</v>
      </c>
      <c r="C19" s="10" t="s">
        <v>479</v>
      </c>
      <c r="D19" s="10" t="s">
        <v>465</v>
      </c>
      <c r="E19" s="16">
        <v>2146.6999999999998</v>
      </c>
      <c r="F19" s="10" t="s">
        <v>480</v>
      </c>
      <c r="G19" s="10" t="s">
        <v>481</v>
      </c>
      <c r="H19" s="11" t="str">
        <f t="shared" si="0"/>
        <v>Não</v>
      </c>
    </row>
    <row r="20" spans="1:8" x14ac:dyDescent="0.3">
      <c r="A20" s="12">
        <v>45748</v>
      </c>
      <c r="B20" s="10" t="s">
        <v>482</v>
      </c>
      <c r="C20" s="10" t="s">
        <v>483</v>
      </c>
      <c r="D20" s="10" t="s">
        <v>465</v>
      </c>
      <c r="E20" s="16">
        <v>251.5</v>
      </c>
      <c r="F20" s="10" t="s">
        <v>484</v>
      </c>
      <c r="G20" s="10" t="s">
        <v>485</v>
      </c>
      <c r="H20" s="11" t="str">
        <f t="shared" si="0"/>
        <v>Sim</v>
      </c>
    </row>
    <row r="21" spans="1:8" ht="26.4" x14ac:dyDescent="0.3">
      <c r="A21" s="12">
        <v>45748</v>
      </c>
      <c r="B21" s="10" t="s">
        <v>486</v>
      </c>
      <c r="C21" s="10" t="s">
        <v>487</v>
      </c>
      <c r="D21" s="10" t="s">
        <v>488</v>
      </c>
      <c r="E21" s="16">
        <v>25.4</v>
      </c>
      <c r="F21" s="10" t="s">
        <v>477</v>
      </c>
      <c r="G21" s="10" t="s">
        <v>489</v>
      </c>
      <c r="H21" s="11" t="str">
        <f t="shared" si="0"/>
        <v>Sim</v>
      </c>
    </row>
    <row r="22" spans="1:8" ht="26.4" x14ac:dyDescent="0.3">
      <c r="A22" s="12">
        <v>45748</v>
      </c>
      <c r="B22" s="10" t="s">
        <v>490</v>
      </c>
      <c r="C22" s="10" t="s">
        <v>491</v>
      </c>
      <c r="D22" s="10" t="s">
        <v>488</v>
      </c>
      <c r="E22" s="16">
        <v>43.9</v>
      </c>
      <c r="F22" s="10" t="s">
        <v>477</v>
      </c>
      <c r="G22" s="10" t="s">
        <v>489</v>
      </c>
      <c r="H22" s="11" t="str">
        <f t="shared" si="0"/>
        <v>Sim</v>
      </c>
    </row>
    <row r="23" spans="1:8" ht="26.4" x14ac:dyDescent="0.3">
      <c r="A23" s="12">
        <v>45748</v>
      </c>
      <c r="B23" s="10" t="s">
        <v>492</v>
      </c>
      <c r="C23" s="10" t="s">
        <v>493</v>
      </c>
      <c r="D23" s="10" t="s">
        <v>488</v>
      </c>
      <c r="E23" s="16">
        <v>43.2</v>
      </c>
      <c r="F23" s="10" t="s">
        <v>494</v>
      </c>
      <c r="G23" s="10" t="s">
        <v>489</v>
      </c>
      <c r="H23" s="11" t="str">
        <f t="shared" si="0"/>
        <v>Não</v>
      </c>
    </row>
    <row r="24" spans="1:8" x14ac:dyDescent="0.3">
      <c r="A24" s="12">
        <v>45748</v>
      </c>
      <c r="B24" s="10" t="s">
        <v>495</v>
      </c>
      <c r="C24" s="10" t="s">
        <v>496</v>
      </c>
      <c r="D24" s="10" t="s">
        <v>488</v>
      </c>
      <c r="E24" s="16">
        <v>10.8</v>
      </c>
      <c r="F24" s="10" t="s">
        <v>477</v>
      </c>
      <c r="G24" s="10" t="s">
        <v>497</v>
      </c>
      <c r="H24" s="11" t="str">
        <f t="shared" si="0"/>
        <v>Sim</v>
      </c>
    </row>
    <row r="25" spans="1:8" ht="26.4" x14ac:dyDescent="0.3">
      <c r="A25" s="12">
        <v>45748</v>
      </c>
      <c r="B25" s="10" t="s">
        <v>498</v>
      </c>
      <c r="C25" s="10" t="s">
        <v>499</v>
      </c>
      <c r="D25" s="10" t="s">
        <v>488</v>
      </c>
      <c r="E25" s="16">
        <v>5.4</v>
      </c>
      <c r="F25" s="10" t="s">
        <v>477</v>
      </c>
      <c r="G25" s="10" t="s">
        <v>489</v>
      </c>
      <c r="H25" s="11" t="str">
        <f t="shared" si="0"/>
        <v>Sim</v>
      </c>
    </row>
    <row r="26" spans="1:8" x14ac:dyDescent="0.3">
      <c r="A26" s="12">
        <v>45778</v>
      </c>
      <c r="B26" s="10" t="s">
        <v>463</v>
      </c>
      <c r="C26" s="10" t="s">
        <v>464</v>
      </c>
      <c r="D26" s="10" t="s">
        <v>465</v>
      </c>
      <c r="E26" s="16">
        <v>1582.7</v>
      </c>
      <c r="F26" s="10" t="s">
        <v>466</v>
      </c>
      <c r="G26" s="10" t="s">
        <v>467</v>
      </c>
      <c r="H26" s="11" t="str">
        <f t="shared" si="0"/>
        <v>Sim</v>
      </c>
    </row>
    <row r="27" spans="1:8" x14ac:dyDescent="0.3">
      <c r="A27" s="12">
        <v>45778</v>
      </c>
      <c r="B27" s="10" t="s">
        <v>468</v>
      </c>
      <c r="C27" s="10" t="s">
        <v>469</v>
      </c>
      <c r="D27" s="10" t="s">
        <v>465</v>
      </c>
      <c r="E27" s="16">
        <v>3415.6</v>
      </c>
      <c r="F27" s="10" t="s">
        <v>466</v>
      </c>
      <c r="G27" s="10" t="s">
        <v>470</v>
      </c>
      <c r="H27" s="11" t="str">
        <f t="shared" si="0"/>
        <v>Sim</v>
      </c>
    </row>
    <row r="28" spans="1:8" x14ac:dyDescent="0.3">
      <c r="A28" s="12">
        <v>45778</v>
      </c>
      <c r="B28" s="10" t="s">
        <v>471</v>
      </c>
      <c r="C28" s="10" t="s">
        <v>472</v>
      </c>
      <c r="D28" s="10" t="s">
        <v>465</v>
      </c>
      <c r="E28" s="16">
        <v>1815.2</v>
      </c>
      <c r="F28" s="10" t="s">
        <v>466</v>
      </c>
      <c r="G28" s="10" t="s">
        <v>467</v>
      </c>
      <c r="H28" s="11" t="str">
        <f t="shared" si="0"/>
        <v>Sim</v>
      </c>
    </row>
    <row r="29" spans="1:8" x14ac:dyDescent="0.3">
      <c r="A29" s="12">
        <v>45778</v>
      </c>
      <c r="B29" s="10" t="s">
        <v>473</v>
      </c>
      <c r="C29" s="10" t="s">
        <v>474</v>
      </c>
      <c r="D29" s="10" t="s">
        <v>465</v>
      </c>
      <c r="E29" s="16">
        <v>1201.5</v>
      </c>
      <c r="F29" s="10" t="s">
        <v>466</v>
      </c>
      <c r="G29" s="10" t="s">
        <v>475</v>
      </c>
      <c r="H29" s="11" t="str">
        <f t="shared" si="0"/>
        <v>Sim</v>
      </c>
    </row>
    <row r="30" spans="1:8" x14ac:dyDescent="0.3">
      <c r="A30" s="12">
        <v>45778</v>
      </c>
      <c r="B30" s="10" t="s">
        <v>463</v>
      </c>
      <c r="C30" s="10" t="s">
        <v>476</v>
      </c>
      <c r="D30" s="10" t="s">
        <v>465</v>
      </c>
      <c r="E30" s="16">
        <v>393.9</v>
      </c>
      <c r="F30" s="10" t="s">
        <v>477</v>
      </c>
      <c r="G30" s="10" t="s">
        <v>467</v>
      </c>
      <c r="H30" s="11" t="str">
        <f t="shared" si="0"/>
        <v>Sim</v>
      </c>
    </row>
    <row r="31" spans="1:8" x14ac:dyDescent="0.3">
      <c r="A31" s="12">
        <v>45778</v>
      </c>
      <c r="B31" s="10" t="s">
        <v>478</v>
      </c>
      <c r="C31" s="10" t="s">
        <v>479</v>
      </c>
      <c r="D31" s="10" t="s">
        <v>465</v>
      </c>
      <c r="E31" s="16">
        <v>2050.1</v>
      </c>
      <c r="F31" s="10" t="s">
        <v>480</v>
      </c>
      <c r="G31" s="10" t="s">
        <v>481</v>
      </c>
      <c r="H31" s="11" t="str">
        <f t="shared" si="0"/>
        <v>Não</v>
      </c>
    </row>
    <row r="32" spans="1:8" x14ac:dyDescent="0.3">
      <c r="A32" s="12">
        <v>45778</v>
      </c>
      <c r="B32" s="10" t="s">
        <v>482</v>
      </c>
      <c r="C32" s="10" t="s">
        <v>483</v>
      </c>
      <c r="D32" s="10" t="s">
        <v>465</v>
      </c>
      <c r="E32" s="16">
        <v>260.8</v>
      </c>
      <c r="F32" s="10" t="s">
        <v>484</v>
      </c>
      <c r="G32" s="10" t="s">
        <v>485</v>
      </c>
      <c r="H32" s="11" t="str">
        <f t="shared" si="0"/>
        <v>Sim</v>
      </c>
    </row>
    <row r="33" spans="1:8" ht="26.4" x14ac:dyDescent="0.3">
      <c r="A33" s="12">
        <v>45778</v>
      </c>
      <c r="B33" s="10" t="s">
        <v>486</v>
      </c>
      <c r="C33" s="10" t="s">
        <v>487</v>
      </c>
      <c r="D33" s="10" t="s">
        <v>488</v>
      </c>
      <c r="E33" s="16">
        <v>24.1</v>
      </c>
      <c r="F33" s="10" t="s">
        <v>477</v>
      </c>
      <c r="G33" s="10" t="s">
        <v>489</v>
      </c>
      <c r="H33" s="11" t="str">
        <f t="shared" si="0"/>
        <v>Sim</v>
      </c>
    </row>
    <row r="34" spans="1:8" ht="26.4" x14ac:dyDescent="0.3">
      <c r="A34" s="12">
        <v>45778</v>
      </c>
      <c r="B34" s="10" t="s">
        <v>490</v>
      </c>
      <c r="C34" s="10" t="s">
        <v>491</v>
      </c>
      <c r="D34" s="10" t="s">
        <v>488</v>
      </c>
      <c r="E34" s="16">
        <v>41.1</v>
      </c>
      <c r="F34" s="10" t="s">
        <v>477</v>
      </c>
      <c r="G34" s="10" t="s">
        <v>489</v>
      </c>
      <c r="H34" s="11" t="str">
        <f t="shared" si="0"/>
        <v>Sim</v>
      </c>
    </row>
    <row r="35" spans="1:8" ht="26.4" x14ac:dyDescent="0.3">
      <c r="A35" s="12">
        <v>45778</v>
      </c>
      <c r="B35" s="10" t="s">
        <v>492</v>
      </c>
      <c r="C35" s="10" t="s">
        <v>493</v>
      </c>
      <c r="D35" s="10" t="s">
        <v>488</v>
      </c>
      <c r="E35" s="16">
        <v>46.9</v>
      </c>
      <c r="F35" s="10" t="s">
        <v>494</v>
      </c>
      <c r="G35" s="10" t="s">
        <v>489</v>
      </c>
      <c r="H35" s="11" t="str">
        <f t="shared" si="0"/>
        <v>Não</v>
      </c>
    </row>
    <row r="36" spans="1:8" x14ac:dyDescent="0.3">
      <c r="A36" s="12">
        <v>45778</v>
      </c>
      <c r="B36" s="10" t="s">
        <v>495</v>
      </c>
      <c r="C36" s="10" t="s">
        <v>496</v>
      </c>
      <c r="D36" s="10" t="s">
        <v>488</v>
      </c>
      <c r="E36" s="16">
        <v>9.6999999999999993</v>
      </c>
      <c r="F36" s="10" t="s">
        <v>477</v>
      </c>
      <c r="G36" s="10" t="s">
        <v>497</v>
      </c>
      <c r="H36" s="11" t="str">
        <f t="shared" si="0"/>
        <v>Sim</v>
      </c>
    </row>
    <row r="37" spans="1:8" ht="26.4" x14ac:dyDescent="0.3">
      <c r="A37" s="12">
        <v>45778</v>
      </c>
      <c r="B37" s="10" t="s">
        <v>498</v>
      </c>
      <c r="C37" s="10" t="s">
        <v>499</v>
      </c>
      <c r="D37" s="10" t="s">
        <v>488</v>
      </c>
      <c r="E37" s="16">
        <v>0</v>
      </c>
      <c r="F37" s="10" t="s">
        <v>477</v>
      </c>
      <c r="G37" s="10" t="s">
        <v>489</v>
      </c>
      <c r="H37" s="11" t="str">
        <f t="shared" si="0"/>
        <v>Sim</v>
      </c>
    </row>
    <row r="38" spans="1:8" x14ac:dyDescent="0.3">
      <c r="A38" s="12">
        <v>45809</v>
      </c>
      <c r="B38" s="10" t="s">
        <v>463</v>
      </c>
      <c r="C38" s="10" t="s">
        <v>464</v>
      </c>
      <c r="D38" s="10" t="s">
        <v>465</v>
      </c>
      <c r="E38" s="16">
        <v>1507.1</v>
      </c>
      <c r="F38" s="10" t="s">
        <v>466</v>
      </c>
      <c r="G38" s="10" t="s">
        <v>467</v>
      </c>
      <c r="H38" s="11" t="str">
        <f t="shared" si="0"/>
        <v>Sim</v>
      </c>
    </row>
    <row r="39" spans="1:8" x14ac:dyDescent="0.3">
      <c r="A39" s="12">
        <v>45809</v>
      </c>
      <c r="B39" s="10" t="s">
        <v>468</v>
      </c>
      <c r="C39" s="10" t="s">
        <v>469</v>
      </c>
      <c r="D39" s="10" t="s">
        <v>465</v>
      </c>
      <c r="E39" s="16">
        <v>3233.6</v>
      </c>
      <c r="F39" s="10" t="s">
        <v>466</v>
      </c>
      <c r="G39" s="10" t="s">
        <v>470</v>
      </c>
      <c r="H39" s="11" t="str">
        <f t="shared" si="0"/>
        <v>Sim</v>
      </c>
    </row>
    <row r="40" spans="1:8" x14ac:dyDescent="0.3">
      <c r="A40" s="12">
        <v>45809</v>
      </c>
      <c r="B40" s="10" t="s">
        <v>471</v>
      </c>
      <c r="C40" s="10" t="s">
        <v>472</v>
      </c>
      <c r="D40" s="10" t="s">
        <v>465</v>
      </c>
      <c r="E40" s="16">
        <v>1746.2</v>
      </c>
      <c r="F40" s="10" t="s">
        <v>466</v>
      </c>
      <c r="G40" s="10" t="s">
        <v>467</v>
      </c>
      <c r="H40" s="11" t="str">
        <f t="shared" si="0"/>
        <v>Sim</v>
      </c>
    </row>
    <row r="41" spans="1:8" x14ac:dyDescent="0.3">
      <c r="A41" s="12">
        <v>45809</v>
      </c>
      <c r="B41" s="10" t="s">
        <v>473</v>
      </c>
      <c r="C41" s="10" t="s">
        <v>474</v>
      </c>
      <c r="D41" s="10" t="s">
        <v>465</v>
      </c>
      <c r="E41" s="16">
        <v>1379.7</v>
      </c>
      <c r="F41" s="10" t="s">
        <v>466</v>
      </c>
      <c r="G41" s="10" t="s">
        <v>475</v>
      </c>
      <c r="H41" s="11" t="str">
        <f t="shared" si="0"/>
        <v>Sim</v>
      </c>
    </row>
    <row r="42" spans="1:8" x14ac:dyDescent="0.3">
      <c r="A42" s="12">
        <v>45809</v>
      </c>
      <c r="B42" s="10" t="s">
        <v>463</v>
      </c>
      <c r="C42" s="10" t="s">
        <v>476</v>
      </c>
      <c r="D42" s="10" t="s">
        <v>465</v>
      </c>
      <c r="E42" s="16">
        <v>354.8</v>
      </c>
      <c r="F42" s="10" t="s">
        <v>477</v>
      </c>
      <c r="G42" s="10" t="s">
        <v>467</v>
      </c>
      <c r="H42" s="11" t="str">
        <f t="shared" si="0"/>
        <v>Sim</v>
      </c>
    </row>
    <row r="43" spans="1:8" x14ac:dyDescent="0.3">
      <c r="A43" s="12">
        <v>45809</v>
      </c>
      <c r="B43" s="10" t="s">
        <v>478</v>
      </c>
      <c r="C43" s="10" t="s">
        <v>479</v>
      </c>
      <c r="D43" s="10" t="s">
        <v>465</v>
      </c>
      <c r="E43" s="16">
        <v>2265.1</v>
      </c>
      <c r="F43" s="10" t="s">
        <v>480</v>
      </c>
      <c r="G43" s="10" t="s">
        <v>481</v>
      </c>
      <c r="H43" s="11" t="str">
        <f t="shared" si="0"/>
        <v>Não</v>
      </c>
    </row>
    <row r="44" spans="1:8" x14ac:dyDescent="0.3">
      <c r="A44" s="12">
        <v>45809</v>
      </c>
      <c r="B44" s="10" t="s">
        <v>482</v>
      </c>
      <c r="C44" s="10" t="s">
        <v>483</v>
      </c>
      <c r="D44" s="10" t="s">
        <v>465</v>
      </c>
      <c r="E44" s="16">
        <v>372.7</v>
      </c>
      <c r="F44" s="10" t="s">
        <v>484</v>
      </c>
      <c r="G44" s="10" t="s">
        <v>485</v>
      </c>
      <c r="H44" s="11" t="str">
        <f t="shared" si="0"/>
        <v>Sim</v>
      </c>
    </row>
    <row r="45" spans="1:8" ht="26.4" x14ac:dyDescent="0.3">
      <c r="A45" s="12">
        <v>45809</v>
      </c>
      <c r="B45" s="10" t="s">
        <v>486</v>
      </c>
      <c r="C45" s="10" t="s">
        <v>487</v>
      </c>
      <c r="D45" s="10" t="s">
        <v>488</v>
      </c>
      <c r="E45" s="16">
        <v>24.7</v>
      </c>
      <c r="F45" s="10" t="s">
        <v>477</v>
      </c>
      <c r="G45" s="10" t="s">
        <v>489</v>
      </c>
      <c r="H45" s="11" t="str">
        <f t="shared" si="0"/>
        <v>Sim</v>
      </c>
    </row>
    <row r="46" spans="1:8" ht="26.4" x14ac:dyDescent="0.3">
      <c r="A46" s="12">
        <v>45809</v>
      </c>
      <c r="B46" s="10" t="s">
        <v>490</v>
      </c>
      <c r="C46" s="10" t="s">
        <v>491</v>
      </c>
      <c r="D46" s="10" t="s">
        <v>488</v>
      </c>
      <c r="E46" s="16">
        <v>43.1</v>
      </c>
      <c r="F46" s="10" t="s">
        <v>477</v>
      </c>
      <c r="G46" s="10" t="s">
        <v>489</v>
      </c>
      <c r="H46" s="11" t="str">
        <f t="shared" si="0"/>
        <v>Sim</v>
      </c>
    </row>
    <row r="47" spans="1:8" ht="26.4" x14ac:dyDescent="0.3">
      <c r="A47" s="12">
        <v>45809</v>
      </c>
      <c r="B47" s="10" t="s">
        <v>492</v>
      </c>
      <c r="C47" s="10" t="s">
        <v>493</v>
      </c>
      <c r="D47" s="10" t="s">
        <v>488</v>
      </c>
      <c r="E47" s="16">
        <v>39.700000000000003</v>
      </c>
      <c r="F47" s="10" t="s">
        <v>494</v>
      </c>
      <c r="G47" s="10" t="s">
        <v>489</v>
      </c>
      <c r="H47" s="11" t="str">
        <f t="shared" si="0"/>
        <v>Não</v>
      </c>
    </row>
    <row r="48" spans="1:8" x14ac:dyDescent="0.3">
      <c r="A48" s="12">
        <v>45809</v>
      </c>
      <c r="B48" s="10" t="s">
        <v>495</v>
      </c>
      <c r="C48" s="10" t="s">
        <v>496</v>
      </c>
      <c r="D48" s="10" t="s">
        <v>488</v>
      </c>
      <c r="E48" s="16">
        <v>177.1</v>
      </c>
      <c r="F48" s="10" t="s">
        <v>477</v>
      </c>
      <c r="G48" s="10" t="s">
        <v>497</v>
      </c>
      <c r="H48" s="11" t="str">
        <f t="shared" si="0"/>
        <v>Sim</v>
      </c>
    </row>
    <row r="49" spans="1:8" ht="26.4" x14ac:dyDescent="0.3">
      <c r="A49" s="12">
        <v>45809</v>
      </c>
      <c r="B49" s="10" t="s">
        <v>498</v>
      </c>
      <c r="C49" s="10" t="s">
        <v>499</v>
      </c>
      <c r="D49" s="10" t="s">
        <v>488</v>
      </c>
      <c r="E49" s="16">
        <v>0</v>
      </c>
      <c r="F49" s="10" t="s">
        <v>477</v>
      </c>
      <c r="G49" s="10" t="s">
        <v>489</v>
      </c>
      <c r="H49" s="11" t="str">
        <f t="shared" si="0"/>
        <v>Sim</v>
      </c>
    </row>
    <row r="50" spans="1:8" x14ac:dyDescent="0.3">
      <c r="A50" s="12">
        <v>45839</v>
      </c>
      <c r="B50" s="10" t="s">
        <v>463</v>
      </c>
      <c r="C50" s="10" t="s">
        <v>464</v>
      </c>
      <c r="D50" s="10" t="s">
        <v>465</v>
      </c>
      <c r="E50" s="16">
        <v>1632.7</v>
      </c>
      <c r="F50" s="10" t="s">
        <v>466</v>
      </c>
      <c r="G50" s="10" t="s">
        <v>467</v>
      </c>
      <c r="H50" s="11" t="str">
        <f t="shared" si="0"/>
        <v>Sim</v>
      </c>
    </row>
    <row r="51" spans="1:8" x14ac:dyDescent="0.3">
      <c r="A51" s="12">
        <v>45839</v>
      </c>
      <c r="B51" s="10" t="s">
        <v>468</v>
      </c>
      <c r="C51" s="10" t="s">
        <v>469</v>
      </c>
      <c r="D51" s="10" t="s">
        <v>465</v>
      </c>
      <c r="E51" s="16">
        <v>3141.9</v>
      </c>
      <c r="F51" s="10" t="s">
        <v>466</v>
      </c>
      <c r="G51" s="10" t="s">
        <v>470</v>
      </c>
      <c r="H51" s="11" t="str">
        <f t="shared" si="0"/>
        <v>Sim</v>
      </c>
    </row>
    <row r="52" spans="1:8" x14ac:dyDescent="0.3">
      <c r="A52" s="12">
        <v>45839</v>
      </c>
      <c r="B52" s="10" t="s">
        <v>471</v>
      </c>
      <c r="C52" s="10" t="s">
        <v>472</v>
      </c>
      <c r="D52" s="10" t="s">
        <v>465</v>
      </c>
      <c r="E52" s="16">
        <v>1967.4</v>
      </c>
      <c r="F52" s="10" t="s">
        <v>466</v>
      </c>
      <c r="G52" s="10" t="s">
        <v>467</v>
      </c>
      <c r="H52" s="11" t="str">
        <f t="shared" si="0"/>
        <v>Sim</v>
      </c>
    </row>
    <row r="53" spans="1:8" x14ac:dyDescent="0.3">
      <c r="A53" s="12">
        <v>45839</v>
      </c>
      <c r="B53" s="10" t="s">
        <v>473</v>
      </c>
      <c r="C53" s="10" t="s">
        <v>474</v>
      </c>
      <c r="D53" s="10" t="s">
        <v>465</v>
      </c>
      <c r="E53" s="16">
        <v>1363.8</v>
      </c>
      <c r="F53" s="10" t="s">
        <v>466</v>
      </c>
      <c r="G53" s="10" t="s">
        <v>475</v>
      </c>
      <c r="H53" s="11" t="str">
        <f t="shared" si="0"/>
        <v>Sim</v>
      </c>
    </row>
    <row r="54" spans="1:8" x14ac:dyDescent="0.3">
      <c r="A54" s="12">
        <v>45839</v>
      </c>
      <c r="B54" s="10" t="s">
        <v>463</v>
      </c>
      <c r="C54" s="10" t="s">
        <v>476</v>
      </c>
      <c r="D54" s="10" t="s">
        <v>465</v>
      </c>
      <c r="E54" s="16">
        <v>469.2</v>
      </c>
      <c r="F54" s="10" t="s">
        <v>477</v>
      </c>
      <c r="G54" s="10" t="s">
        <v>467</v>
      </c>
      <c r="H54" s="11" t="str">
        <f t="shared" si="0"/>
        <v>Sim</v>
      </c>
    </row>
    <row r="55" spans="1:8" x14ac:dyDescent="0.3">
      <c r="A55" s="12">
        <v>45839</v>
      </c>
      <c r="B55" s="10" t="s">
        <v>478</v>
      </c>
      <c r="C55" s="10" t="s">
        <v>479</v>
      </c>
      <c r="D55" s="10" t="s">
        <v>465</v>
      </c>
      <c r="E55" s="16">
        <v>2145.6</v>
      </c>
      <c r="F55" s="10" t="s">
        <v>480</v>
      </c>
      <c r="G55" s="10" t="s">
        <v>481</v>
      </c>
      <c r="H55" s="11" t="str">
        <f t="shared" si="0"/>
        <v>Não</v>
      </c>
    </row>
    <row r="56" spans="1:8" x14ac:dyDescent="0.3">
      <c r="A56" s="12">
        <v>45839</v>
      </c>
      <c r="B56" s="10" t="s">
        <v>482</v>
      </c>
      <c r="C56" s="10" t="s">
        <v>483</v>
      </c>
      <c r="D56" s="10" t="s">
        <v>465</v>
      </c>
      <c r="E56" s="16">
        <v>298.8</v>
      </c>
      <c r="F56" s="10" t="s">
        <v>484</v>
      </c>
      <c r="G56" s="10" t="s">
        <v>485</v>
      </c>
      <c r="H56" s="11" t="str">
        <f t="shared" si="0"/>
        <v>Sim</v>
      </c>
    </row>
    <row r="57" spans="1:8" ht="26.4" x14ac:dyDescent="0.3">
      <c r="A57" s="12">
        <v>45839</v>
      </c>
      <c r="B57" s="10" t="s">
        <v>486</v>
      </c>
      <c r="C57" s="10" t="s">
        <v>487</v>
      </c>
      <c r="D57" s="10" t="s">
        <v>488</v>
      </c>
      <c r="E57" s="16">
        <v>27.6</v>
      </c>
      <c r="F57" s="10" t="s">
        <v>477</v>
      </c>
      <c r="G57" s="10" t="s">
        <v>489</v>
      </c>
      <c r="H57" s="11" t="str">
        <f t="shared" si="0"/>
        <v>Sim</v>
      </c>
    </row>
    <row r="58" spans="1:8" ht="26.4" x14ac:dyDescent="0.3">
      <c r="A58" s="12">
        <v>45839</v>
      </c>
      <c r="B58" s="10" t="s">
        <v>490</v>
      </c>
      <c r="C58" s="10" t="s">
        <v>491</v>
      </c>
      <c r="D58" s="10" t="s">
        <v>488</v>
      </c>
      <c r="E58" s="16">
        <v>36.9</v>
      </c>
      <c r="F58" s="10" t="s">
        <v>477</v>
      </c>
      <c r="G58" s="10" t="s">
        <v>489</v>
      </c>
      <c r="H58" s="11" t="str">
        <f t="shared" si="0"/>
        <v>Sim</v>
      </c>
    </row>
    <row r="59" spans="1:8" ht="26.4" x14ac:dyDescent="0.3">
      <c r="A59" s="12">
        <v>45839</v>
      </c>
      <c r="B59" s="10" t="s">
        <v>492</v>
      </c>
      <c r="C59" s="10" t="s">
        <v>493</v>
      </c>
      <c r="D59" s="10" t="s">
        <v>488</v>
      </c>
      <c r="E59" s="16">
        <v>49.2</v>
      </c>
      <c r="F59" s="10" t="s">
        <v>494</v>
      </c>
      <c r="G59" s="10" t="s">
        <v>489</v>
      </c>
      <c r="H59" s="11" t="str">
        <f t="shared" si="0"/>
        <v>Não</v>
      </c>
    </row>
    <row r="60" spans="1:8" x14ac:dyDescent="0.3">
      <c r="A60" s="12">
        <v>45839</v>
      </c>
      <c r="B60" s="10" t="s">
        <v>495</v>
      </c>
      <c r="C60" s="10" t="s">
        <v>496</v>
      </c>
      <c r="D60" s="10" t="s">
        <v>488</v>
      </c>
      <c r="E60" s="16">
        <v>11</v>
      </c>
      <c r="F60" s="10" t="s">
        <v>477</v>
      </c>
      <c r="G60" s="10" t="s">
        <v>497</v>
      </c>
      <c r="H60" s="11" t="str">
        <f t="shared" si="0"/>
        <v>Sim</v>
      </c>
    </row>
    <row r="61" spans="1:8" ht="26.4" x14ac:dyDescent="0.3">
      <c r="A61" s="12">
        <v>45839</v>
      </c>
      <c r="B61" s="10" t="s">
        <v>498</v>
      </c>
      <c r="C61" s="10" t="s">
        <v>499</v>
      </c>
      <c r="D61" s="10" t="s">
        <v>488</v>
      </c>
      <c r="E61" s="16">
        <v>0</v>
      </c>
      <c r="F61" s="10" t="s">
        <v>477</v>
      </c>
      <c r="G61" s="10" t="s">
        <v>489</v>
      </c>
      <c r="H61" s="11" t="str">
        <f t="shared" si="0"/>
        <v>Sim</v>
      </c>
    </row>
    <row r="62" spans="1:8" x14ac:dyDescent="0.3">
      <c r="A62" s="12">
        <v>45870</v>
      </c>
      <c r="B62" s="10" t="s">
        <v>463</v>
      </c>
      <c r="C62" s="10" t="s">
        <v>464</v>
      </c>
      <c r="D62" s="10" t="s">
        <v>465</v>
      </c>
      <c r="E62" s="16">
        <v>1751.8</v>
      </c>
      <c r="F62" s="10" t="s">
        <v>466</v>
      </c>
      <c r="G62" s="10" t="s">
        <v>467</v>
      </c>
      <c r="H62" s="11" t="str">
        <f t="shared" si="0"/>
        <v>Sim</v>
      </c>
    </row>
    <row r="63" spans="1:8" x14ac:dyDescent="0.3">
      <c r="A63" s="12">
        <v>45870</v>
      </c>
      <c r="B63" s="10" t="s">
        <v>468</v>
      </c>
      <c r="C63" s="10" t="s">
        <v>469</v>
      </c>
      <c r="D63" s="10" t="s">
        <v>465</v>
      </c>
      <c r="E63" s="16">
        <v>2916.1</v>
      </c>
      <c r="F63" s="10" t="s">
        <v>466</v>
      </c>
      <c r="G63" s="10" t="s">
        <v>470</v>
      </c>
      <c r="H63" s="11" t="str">
        <f t="shared" si="0"/>
        <v>Sim</v>
      </c>
    </row>
    <row r="64" spans="1:8" x14ac:dyDescent="0.3">
      <c r="A64" s="12">
        <v>45870</v>
      </c>
      <c r="B64" s="10" t="s">
        <v>471</v>
      </c>
      <c r="C64" s="10" t="s">
        <v>472</v>
      </c>
      <c r="D64" s="10" t="s">
        <v>465</v>
      </c>
      <c r="E64" s="16">
        <v>1949.5</v>
      </c>
      <c r="F64" s="10" t="s">
        <v>466</v>
      </c>
      <c r="G64" s="10" t="s">
        <v>467</v>
      </c>
      <c r="H64" s="11" t="str">
        <f t="shared" si="0"/>
        <v>Sim</v>
      </c>
    </row>
    <row r="65" spans="1:8" x14ac:dyDescent="0.3">
      <c r="A65" s="12">
        <v>45870</v>
      </c>
      <c r="B65" s="10" t="s">
        <v>473</v>
      </c>
      <c r="C65" s="10" t="s">
        <v>474</v>
      </c>
      <c r="D65" s="10" t="s">
        <v>465</v>
      </c>
      <c r="E65" s="16">
        <v>1091.0999999999999</v>
      </c>
      <c r="F65" s="10" t="s">
        <v>466</v>
      </c>
      <c r="G65" s="10" t="s">
        <v>475</v>
      </c>
      <c r="H65" s="11" t="str">
        <f t="shared" si="0"/>
        <v>Sim</v>
      </c>
    </row>
    <row r="66" spans="1:8" x14ac:dyDescent="0.3">
      <c r="A66" s="12">
        <v>45870</v>
      </c>
      <c r="B66" s="10" t="s">
        <v>463</v>
      </c>
      <c r="C66" s="10" t="s">
        <v>476</v>
      </c>
      <c r="D66" s="10" t="s">
        <v>465</v>
      </c>
      <c r="E66" s="16">
        <v>492</v>
      </c>
      <c r="F66" s="10" t="s">
        <v>477</v>
      </c>
      <c r="G66" s="10" t="s">
        <v>467</v>
      </c>
      <c r="H66" s="11" t="str">
        <f t="shared" ref="H66:H129" si="1">IF(LEFT(F66,1)="R","Sim","Não")</f>
        <v>Sim</v>
      </c>
    </row>
    <row r="67" spans="1:8" x14ac:dyDescent="0.3">
      <c r="A67" s="12">
        <v>45870</v>
      </c>
      <c r="B67" s="10" t="s">
        <v>478</v>
      </c>
      <c r="C67" s="10" t="s">
        <v>479</v>
      </c>
      <c r="D67" s="10" t="s">
        <v>465</v>
      </c>
      <c r="E67" s="16">
        <v>2439.4</v>
      </c>
      <c r="F67" s="10" t="s">
        <v>480</v>
      </c>
      <c r="G67" s="10" t="s">
        <v>481</v>
      </c>
      <c r="H67" s="11" t="str">
        <f t="shared" si="1"/>
        <v>Não</v>
      </c>
    </row>
    <row r="68" spans="1:8" x14ac:dyDescent="0.3">
      <c r="A68" s="12">
        <v>45870</v>
      </c>
      <c r="B68" s="10" t="s">
        <v>482</v>
      </c>
      <c r="C68" s="10" t="s">
        <v>483</v>
      </c>
      <c r="D68" s="10" t="s">
        <v>465</v>
      </c>
      <c r="E68" s="16">
        <v>391.4</v>
      </c>
      <c r="F68" s="10" t="s">
        <v>484</v>
      </c>
      <c r="G68" s="10" t="s">
        <v>485</v>
      </c>
      <c r="H68" s="11" t="str">
        <f t="shared" si="1"/>
        <v>Sim</v>
      </c>
    </row>
    <row r="69" spans="1:8" ht="26.4" x14ac:dyDescent="0.3">
      <c r="A69" s="12">
        <v>45870</v>
      </c>
      <c r="B69" s="10" t="s">
        <v>486</v>
      </c>
      <c r="C69" s="10" t="s">
        <v>487</v>
      </c>
      <c r="D69" s="10" t="s">
        <v>488</v>
      </c>
      <c r="E69" s="16">
        <v>17.7</v>
      </c>
      <c r="F69" s="10" t="s">
        <v>477</v>
      </c>
      <c r="G69" s="10" t="s">
        <v>489</v>
      </c>
      <c r="H69" s="11" t="str">
        <f t="shared" si="1"/>
        <v>Sim</v>
      </c>
    </row>
    <row r="70" spans="1:8" ht="26.4" x14ac:dyDescent="0.3">
      <c r="A70" s="12">
        <v>45870</v>
      </c>
      <c r="B70" s="10" t="s">
        <v>490</v>
      </c>
      <c r="C70" s="10" t="s">
        <v>491</v>
      </c>
      <c r="D70" s="10" t="s">
        <v>488</v>
      </c>
      <c r="E70" s="16">
        <v>42.9</v>
      </c>
      <c r="F70" s="10" t="s">
        <v>477</v>
      </c>
      <c r="G70" s="10" t="s">
        <v>489</v>
      </c>
      <c r="H70" s="11" t="str">
        <f t="shared" si="1"/>
        <v>Sim</v>
      </c>
    </row>
    <row r="71" spans="1:8" ht="26.4" x14ac:dyDescent="0.3">
      <c r="A71" s="12">
        <v>45870</v>
      </c>
      <c r="B71" s="10" t="s">
        <v>492</v>
      </c>
      <c r="C71" s="10" t="s">
        <v>493</v>
      </c>
      <c r="D71" s="10" t="s">
        <v>488</v>
      </c>
      <c r="E71" s="16">
        <v>31.1</v>
      </c>
      <c r="F71" s="10" t="s">
        <v>494</v>
      </c>
      <c r="G71" s="10" t="s">
        <v>489</v>
      </c>
      <c r="H71" s="11" t="str">
        <f t="shared" si="1"/>
        <v>Não</v>
      </c>
    </row>
    <row r="72" spans="1:8" x14ac:dyDescent="0.3">
      <c r="A72" s="12">
        <v>45870</v>
      </c>
      <c r="B72" s="10" t="s">
        <v>495</v>
      </c>
      <c r="C72" s="10" t="s">
        <v>496</v>
      </c>
      <c r="D72" s="10" t="s">
        <v>488</v>
      </c>
      <c r="E72" s="16">
        <v>12.9</v>
      </c>
      <c r="F72" s="10" t="s">
        <v>477</v>
      </c>
      <c r="G72" s="10" t="s">
        <v>497</v>
      </c>
      <c r="H72" s="11" t="str">
        <f t="shared" si="1"/>
        <v>Sim</v>
      </c>
    </row>
    <row r="73" spans="1:8" ht="26.4" x14ac:dyDescent="0.3">
      <c r="A73" s="12">
        <v>45870</v>
      </c>
      <c r="B73" s="10" t="s">
        <v>498</v>
      </c>
      <c r="C73" s="10" t="s">
        <v>499</v>
      </c>
      <c r="D73" s="10" t="s">
        <v>488</v>
      </c>
      <c r="E73" s="16">
        <v>0</v>
      </c>
      <c r="F73" s="10" t="s">
        <v>477</v>
      </c>
      <c r="G73" s="10" t="s">
        <v>489</v>
      </c>
      <c r="H73" s="11" t="str">
        <f t="shared" si="1"/>
        <v>Sim</v>
      </c>
    </row>
    <row r="74" spans="1:8" x14ac:dyDescent="0.3">
      <c r="A74" s="12">
        <v>45901</v>
      </c>
      <c r="B74" s="10" t="s">
        <v>463</v>
      </c>
      <c r="C74" s="10" t="s">
        <v>464</v>
      </c>
      <c r="D74" s="10" t="s">
        <v>465</v>
      </c>
      <c r="E74" s="16">
        <v>1626.9</v>
      </c>
      <c r="F74" s="10" t="s">
        <v>466</v>
      </c>
      <c r="G74" s="10" t="s">
        <v>467</v>
      </c>
      <c r="H74" s="11" t="str">
        <f t="shared" si="1"/>
        <v>Sim</v>
      </c>
    </row>
    <row r="75" spans="1:8" x14ac:dyDescent="0.3">
      <c r="A75" s="12">
        <v>45901</v>
      </c>
      <c r="B75" s="10" t="s">
        <v>468</v>
      </c>
      <c r="C75" s="10" t="s">
        <v>469</v>
      </c>
      <c r="D75" s="10" t="s">
        <v>465</v>
      </c>
      <c r="E75" s="16">
        <v>3260</v>
      </c>
      <c r="F75" s="10" t="s">
        <v>466</v>
      </c>
      <c r="G75" s="10" t="s">
        <v>470</v>
      </c>
      <c r="H75" s="11" t="str">
        <f t="shared" si="1"/>
        <v>Sim</v>
      </c>
    </row>
    <row r="76" spans="1:8" x14ac:dyDescent="0.3">
      <c r="A76" s="12">
        <v>45901</v>
      </c>
      <c r="B76" s="10" t="s">
        <v>471</v>
      </c>
      <c r="C76" s="10" t="s">
        <v>472</v>
      </c>
      <c r="D76" s="10" t="s">
        <v>465</v>
      </c>
      <c r="E76" s="16">
        <v>1860.1</v>
      </c>
      <c r="F76" s="10" t="s">
        <v>466</v>
      </c>
      <c r="G76" s="10" t="s">
        <v>467</v>
      </c>
      <c r="H76" s="11" t="str">
        <f t="shared" si="1"/>
        <v>Sim</v>
      </c>
    </row>
    <row r="77" spans="1:8" x14ac:dyDescent="0.3">
      <c r="A77" s="12">
        <v>45901</v>
      </c>
      <c r="B77" s="10" t="s">
        <v>473</v>
      </c>
      <c r="C77" s="10" t="s">
        <v>474</v>
      </c>
      <c r="D77" s="10" t="s">
        <v>465</v>
      </c>
      <c r="E77" s="16">
        <v>1237.8</v>
      </c>
      <c r="F77" s="10" t="s">
        <v>466</v>
      </c>
      <c r="G77" s="10" t="s">
        <v>475</v>
      </c>
      <c r="H77" s="11" t="str">
        <f t="shared" si="1"/>
        <v>Sim</v>
      </c>
    </row>
    <row r="78" spans="1:8" x14ac:dyDescent="0.3">
      <c r="A78" s="12">
        <v>45901</v>
      </c>
      <c r="B78" s="10" t="s">
        <v>463</v>
      </c>
      <c r="C78" s="10" t="s">
        <v>476</v>
      </c>
      <c r="D78" s="10" t="s">
        <v>465</v>
      </c>
      <c r="E78" s="16">
        <v>414.3</v>
      </c>
      <c r="F78" s="10" t="s">
        <v>477</v>
      </c>
      <c r="G78" s="10" t="s">
        <v>467</v>
      </c>
      <c r="H78" s="11" t="str">
        <f t="shared" si="1"/>
        <v>Sim</v>
      </c>
    </row>
    <row r="79" spans="1:8" x14ac:dyDescent="0.3">
      <c r="A79" s="12">
        <v>45901</v>
      </c>
      <c r="B79" s="10" t="s">
        <v>478</v>
      </c>
      <c r="C79" s="10" t="s">
        <v>479</v>
      </c>
      <c r="D79" s="10" t="s">
        <v>465</v>
      </c>
      <c r="E79" s="16">
        <v>2078.5</v>
      </c>
      <c r="F79" s="10" t="s">
        <v>480</v>
      </c>
      <c r="G79" s="10" t="s">
        <v>481</v>
      </c>
      <c r="H79" s="11" t="str">
        <f t="shared" si="1"/>
        <v>Não</v>
      </c>
    </row>
    <row r="80" spans="1:8" x14ac:dyDescent="0.3">
      <c r="A80" s="12">
        <v>45901</v>
      </c>
      <c r="B80" s="10" t="s">
        <v>482</v>
      </c>
      <c r="C80" s="10" t="s">
        <v>483</v>
      </c>
      <c r="D80" s="10" t="s">
        <v>465</v>
      </c>
      <c r="E80" s="16">
        <v>316.2</v>
      </c>
      <c r="F80" s="10" t="s">
        <v>484</v>
      </c>
      <c r="G80" s="10" t="s">
        <v>485</v>
      </c>
      <c r="H80" s="11" t="str">
        <f t="shared" si="1"/>
        <v>Sim</v>
      </c>
    </row>
    <row r="81" spans="1:8" ht="26.4" x14ac:dyDescent="0.3">
      <c r="A81" s="12">
        <v>45901</v>
      </c>
      <c r="B81" s="10" t="s">
        <v>486</v>
      </c>
      <c r="C81" s="10" t="s">
        <v>487</v>
      </c>
      <c r="D81" s="10" t="s">
        <v>488</v>
      </c>
      <c r="E81" s="16">
        <v>28.3</v>
      </c>
      <c r="F81" s="10" t="s">
        <v>477</v>
      </c>
      <c r="G81" s="10" t="s">
        <v>489</v>
      </c>
      <c r="H81" s="11" t="str">
        <f t="shared" si="1"/>
        <v>Sim</v>
      </c>
    </row>
    <row r="82" spans="1:8" ht="26.4" x14ac:dyDescent="0.3">
      <c r="A82" s="12">
        <v>45901</v>
      </c>
      <c r="B82" s="10" t="s">
        <v>490</v>
      </c>
      <c r="C82" s="10" t="s">
        <v>491</v>
      </c>
      <c r="D82" s="10" t="s">
        <v>488</v>
      </c>
      <c r="E82" s="16">
        <v>33.1</v>
      </c>
      <c r="F82" s="10" t="s">
        <v>477</v>
      </c>
      <c r="G82" s="10" t="s">
        <v>489</v>
      </c>
      <c r="H82" s="11" t="str">
        <f t="shared" si="1"/>
        <v>Sim</v>
      </c>
    </row>
    <row r="83" spans="1:8" ht="26.4" x14ac:dyDescent="0.3">
      <c r="A83" s="12">
        <v>45901</v>
      </c>
      <c r="B83" s="10" t="s">
        <v>492</v>
      </c>
      <c r="C83" s="10" t="s">
        <v>493</v>
      </c>
      <c r="D83" s="10" t="s">
        <v>488</v>
      </c>
      <c r="E83" s="16">
        <v>45.1</v>
      </c>
      <c r="F83" s="10" t="s">
        <v>494</v>
      </c>
      <c r="G83" s="10" t="s">
        <v>489</v>
      </c>
      <c r="H83" s="11" t="str">
        <f t="shared" si="1"/>
        <v>Não</v>
      </c>
    </row>
    <row r="84" spans="1:8" x14ac:dyDescent="0.3">
      <c r="A84" s="12">
        <v>45901</v>
      </c>
      <c r="B84" s="10" t="s">
        <v>495</v>
      </c>
      <c r="C84" s="10" t="s">
        <v>496</v>
      </c>
      <c r="D84" s="10" t="s">
        <v>488</v>
      </c>
      <c r="E84" s="16">
        <v>191.2</v>
      </c>
      <c r="F84" s="10" t="s">
        <v>477</v>
      </c>
      <c r="G84" s="10" t="s">
        <v>497</v>
      </c>
      <c r="H84" s="11" t="str">
        <f t="shared" si="1"/>
        <v>Sim</v>
      </c>
    </row>
    <row r="85" spans="1:8" ht="26.4" x14ac:dyDescent="0.3">
      <c r="A85" s="12">
        <v>45901</v>
      </c>
      <c r="B85" s="10" t="s">
        <v>498</v>
      </c>
      <c r="C85" s="10" t="s">
        <v>499</v>
      </c>
      <c r="D85" s="10" t="s">
        <v>488</v>
      </c>
      <c r="E85" s="16">
        <v>0</v>
      </c>
      <c r="F85" s="10" t="s">
        <v>477</v>
      </c>
      <c r="G85" s="10" t="s">
        <v>489</v>
      </c>
      <c r="H85" s="11" t="str">
        <f t="shared" si="1"/>
        <v>Sim</v>
      </c>
    </row>
    <row r="86" spans="1:8" x14ac:dyDescent="0.3">
      <c r="A86" s="12">
        <v>45931</v>
      </c>
      <c r="B86" s="10" t="s">
        <v>463</v>
      </c>
      <c r="C86" s="10" t="s">
        <v>464</v>
      </c>
      <c r="D86" s="10" t="s">
        <v>465</v>
      </c>
      <c r="E86" s="16">
        <v>1642.3</v>
      </c>
      <c r="F86" s="10" t="s">
        <v>466</v>
      </c>
      <c r="G86" s="10" t="s">
        <v>467</v>
      </c>
      <c r="H86" s="11" t="str">
        <f t="shared" si="1"/>
        <v>Sim</v>
      </c>
    </row>
    <row r="87" spans="1:8" x14ac:dyDescent="0.3">
      <c r="A87" s="12">
        <v>45931</v>
      </c>
      <c r="B87" s="10" t="s">
        <v>468</v>
      </c>
      <c r="C87" s="10" t="s">
        <v>469</v>
      </c>
      <c r="D87" s="10" t="s">
        <v>465</v>
      </c>
      <c r="E87" s="16">
        <v>3607</v>
      </c>
      <c r="F87" s="10" t="s">
        <v>466</v>
      </c>
      <c r="G87" s="10" t="s">
        <v>470</v>
      </c>
      <c r="H87" s="11" t="str">
        <f t="shared" si="1"/>
        <v>Sim</v>
      </c>
    </row>
    <row r="88" spans="1:8" x14ac:dyDescent="0.3">
      <c r="A88" s="12">
        <v>45931</v>
      </c>
      <c r="B88" s="10" t="s">
        <v>471</v>
      </c>
      <c r="C88" s="10" t="s">
        <v>472</v>
      </c>
      <c r="D88" s="10" t="s">
        <v>465</v>
      </c>
      <c r="E88" s="16">
        <v>1816.7</v>
      </c>
      <c r="F88" s="10" t="s">
        <v>466</v>
      </c>
      <c r="G88" s="10" t="s">
        <v>467</v>
      </c>
      <c r="H88" s="11" t="str">
        <f t="shared" si="1"/>
        <v>Sim</v>
      </c>
    </row>
    <row r="89" spans="1:8" x14ac:dyDescent="0.3">
      <c r="A89" s="12">
        <v>45931</v>
      </c>
      <c r="B89" s="10" t="s">
        <v>473</v>
      </c>
      <c r="C89" s="10" t="s">
        <v>474</v>
      </c>
      <c r="D89" s="10" t="s">
        <v>465</v>
      </c>
      <c r="E89" s="16">
        <v>1443.5</v>
      </c>
      <c r="F89" s="10" t="s">
        <v>466</v>
      </c>
      <c r="G89" s="10" t="s">
        <v>475</v>
      </c>
      <c r="H89" s="11" t="str">
        <f t="shared" si="1"/>
        <v>Sim</v>
      </c>
    </row>
    <row r="90" spans="1:8" x14ac:dyDescent="0.3">
      <c r="A90" s="12">
        <v>45931</v>
      </c>
      <c r="B90" s="10" t="s">
        <v>463</v>
      </c>
      <c r="C90" s="10" t="s">
        <v>476</v>
      </c>
      <c r="D90" s="10" t="s">
        <v>465</v>
      </c>
      <c r="E90" s="16">
        <v>446.7</v>
      </c>
      <c r="F90" s="10" t="s">
        <v>477</v>
      </c>
      <c r="G90" s="10" t="s">
        <v>467</v>
      </c>
      <c r="H90" s="11" t="str">
        <f t="shared" si="1"/>
        <v>Sim</v>
      </c>
    </row>
    <row r="91" spans="1:8" x14ac:dyDescent="0.3">
      <c r="A91" s="12">
        <v>45931</v>
      </c>
      <c r="B91" s="10" t="s">
        <v>478</v>
      </c>
      <c r="C91" s="10" t="s">
        <v>479</v>
      </c>
      <c r="D91" s="10" t="s">
        <v>465</v>
      </c>
      <c r="E91" s="16">
        <v>2297.4</v>
      </c>
      <c r="F91" s="10" t="s">
        <v>480</v>
      </c>
      <c r="G91" s="10" t="s">
        <v>481</v>
      </c>
      <c r="H91" s="11" t="str">
        <f t="shared" si="1"/>
        <v>Não</v>
      </c>
    </row>
    <row r="92" spans="1:8" x14ac:dyDescent="0.3">
      <c r="A92" s="12">
        <v>45931</v>
      </c>
      <c r="B92" s="10" t="s">
        <v>482</v>
      </c>
      <c r="C92" s="10" t="s">
        <v>483</v>
      </c>
      <c r="D92" s="10" t="s">
        <v>465</v>
      </c>
      <c r="E92" s="16">
        <v>344</v>
      </c>
      <c r="F92" s="10" t="s">
        <v>484</v>
      </c>
      <c r="G92" s="10" t="s">
        <v>485</v>
      </c>
      <c r="H92" s="11" t="str">
        <f t="shared" si="1"/>
        <v>Sim</v>
      </c>
    </row>
    <row r="93" spans="1:8" ht="26.4" x14ac:dyDescent="0.3">
      <c r="A93" s="12">
        <v>45931</v>
      </c>
      <c r="B93" s="10" t="s">
        <v>486</v>
      </c>
      <c r="C93" s="10" t="s">
        <v>487</v>
      </c>
      <c r="D93" s="10" t="s">
        <v>488</v>
      </c>
      <c r="E93" s="16">
        <v>26.8</v>
      </c>
      <c r="F93" s="10" t="s">
        <v>477</v>
      </c>
      <c r="G93" s="10" t="s">
        <v>489</v>
      </c>
      <c r="H93" s="11" t="str">
        <f t="shared" si="1"/>
        <v>Sim</v>
      </c>
    </row>
    <row r="94" spans="1:8" ht="26.4" x14ac:dyDescent="0.3">
      <c r="A94" s="12">
        <v>45931</v>
      </c>
      <c r="B94" s="10" t="s">
        <v>490</v>
      </c>
      <c r="C94" s="10" t="s">
        <v>491</v>
      </c>
      <c r="D94" s="10" t="s">
        <v>488</v>
      </c>
      <c r="E94" s="16">
        <v>32.9</v>
      </c>
      <c r="F94" s="10" t="s">
        <v>477</v>
      </c>
      <c r="G94" s="10" t="s">
        <v>489</v>
      </c>
      <c r="H94" s="11" t="str">
        <f t="shared" si="1"/>
        <v>Sim</v>
      </c>
    </row>
    <row r="95" spans="1:8" ht="26.4" x14ac:dyDescent="0.3">
      <c r="A95" s="12">
        <v>45931</v>
      </c>
      <c r="B95" s="10" t="s">
        <v>492</v>
      </c>
      <c r="C95" s="10" t="s">
        <v>493</v>
      </c>
      <c r="D95" s="10" t="s">
        <v>488</v>
      </c>
      <c r="E95" s="16">
        <v>54.7</v>
      </c>
      <c r="F95" s="10" t="s">
        <v>494</v>
      </c>
      <c r="G95" s="10" t="s">
        <v>489</v>
      </c>
      <c r="H95" s="11" t="str">
        <f t="shared" si="1"/>
        <v>Não</v>
      </c>
    </row>
    <row r="96" spans="1:8" x14ac:dyDescent="0.3">
      <c r="A96" s="12">
        <v>45931</v>
      </c>
      <c r="B96" s="10" t="s">
        <v>495</v>
      </c>
      <c r="C96" s="10" t="s">
        <v>496</v>
      </c>
      <c r="D96" s="10" t="s">
        <v>488</v>
      </c>
      <c r="E96" s="16">
        <v>11.9</v>
      </c>
      <c r="F96" s="10" t="s">
        <v>477</v>
      </c>
      <c r="G96" s="10" t="s">
        <v>497</v>
      </c>
      <c r="H96" s="11" t="str">
        <f t="shared" si="1"/>
        <v>Sim</v>
      </c>
    </row>
    <row r="97" spans="1:8" ht="26.4" x14ac:dyDescent="0.3">
      <c r="A97" s="12">
        <v>45931</v>
      </c>
      <c r="B97" s="10" t="s">
        <v>498</v>
      </c>
      <c r="C97" s="10" t="s">
        <v>499</v>
      </c>
      <c r="D97" s="10" t="s">
        <v>488</v>
      </c>
      <c r="E97" s="16">
        <v>5.2</v>
      </c>
      <c r="F97" s="10" t="s">
        <v>477</v>
      </c>
      <c r="G97" s="10" t="s">
        <v>489</v>
      </c>
      <c r="H97" s="11" t="str">
        <f t="shared" si="1"/>
        <v>Sim</v>
      </c>
    </row>
    <row r="98" spans="1:8" x14ac:dyDescent="0.3">
      <c r="A98" s="12">
        <v>45962</v>
      </c>
      <c r="B98" s="10" t="s">
        <v>463</v>
      </c>
      <c r="C98" s="10" t="s">
        <v>464</v>
      </c>
      <c r="D98" s="10" t="s">
        <v>465</v>
      </c>
      <c r="E98" s="16">
        <v>1798.9</v>
      </c>
      <c r="F98" s="10" t="s">
        <v>466</v>
      </c>
      <c r="G98" s="10" t="s">
        <v>467</v>
      </c>
      <c r="H98" s="11" t="str">
        <f t="shared" si="1"/>
        <v>Sim</v>
      </c>
    </row>
    <row r="99" spans="1:8" x14ac:dyDescent="0.3">
      <c r="A99" s="12">
        <v>45962</v>
      </c>
      <c r="B99" s="10" t="s">
        <v>468</v>
      </c>
      <c r="C99" s="10" t="s">
        <v>469</v>
      </c>
      <c r="D99" s="10" t="s">
        <v>465</v>
      </c>
      <c r="E99" s="16">
        <v>3444.1</v>
      </c>
      <c r="F99" s="10" t="s">
        <v>466</v>
      </c>
      <c r="G99" s="10" t="s">
        <v>470</v>
      </c>
      <c r="H99" s="11" t="str">
        <f t="shared" si="1"/>
        <v>Sim</v>
      </c>
    </row>
    <row r="100" spans="1:8" x14ac:dyDescent="0.3">
      <c r="A100" s="12">
        <v>45962</v>
      </c>
      <c r="B100" s="10" t="s">
        <v>471</v>
      </c>
      <c r="C100" s="10" t="s">
        <v>472</v>
      </c>
      <c r="D100" s="10" t="s">
        <v>465</v>
      </c>
      <c r="E100" s="16">
        <v>1754.5</v>
      </c>
      <c r="F100" s="10" t="s">
        <v>466</v>
      </c>
      <c r="G100" s="10" t="s">
        <v>467</v>
      </c>
      <c r="H100" s="11" t="str">
        <f t="shared" si="1"/>
        <v>Sim</v>
      </c>
    </row>
    <row r="101" spans="1:8" x14ac:dyDescent="0.3">
      <c r="A101" s="12">
        <v>45962</v>
      </c>
      <c r="B101" s="10" t="s">
        <v>473</v>
      </c>
      <c r="C101" s="10" t="s">
        <v>474</v>
      </c>
      <c r="D101" s="10" t="s">
        <v>465</v>
      </c>
      <c r="E101" s="16">
        <v>1245.2</v>
      </c>
      <c r="F101" s="10" t="s">
        <v>466</v>
      </c>
      <c r="G101" s="10" t="s">
        <v>475</v>
      </c>
      <c r="H101" s="11" t="str">
        <f t="shared" si="1"/>
        <v>Sim</v>
      </c>
    </row>
    <row r="102" spans="1:8" x14ac:dyDescent="0.3">
      <c r="A102" s="12">
        <v>45962</v>
      </c>
      <c r="B102" s="10" t="s">
        <v>463</v>
      </c>
      <c r="C102" s="10" t="s">
        <v>476</v>
      </c>
      <c r="D102" s="10" t="s">
        <v>465</v>
      </c>
      <c r="E102" s="16">
        <v>424.7</v>
      </c>
      <c r="F102" s="10" t="s">
        <v>477</v>
      </c>
      <c r="G102" s="10" t="s">
        <v>467</v>
      </c>
      <c r="H102" s="11" t="str">
        <f t="shared" si="1"/>
        <v>Sim</v>
      </c>
    </row>
    <row r="103" spans="1:8" x14ac:dyDescent="0.3">
      <c r="A103" s="12">
        <v>45962</v>
      </c>
      <c r="B103" s="10" t="s">
        <v>478</v>
      </c>
      <c r="C103" s="10" t="s">
        <v>479</v>
      </c>
      <c r="D103" s="10" t="s">
        <v>465</v>
      </c>
      <c r="E103" s="16">
        <v>2098.9</v>
      </c>
      <c r="F103" s="10" t="s">
        <v>480</v>
      </c>
      <c r="G103" s="10" t="s">
        <v>481</v>
      </c>
      <c r="H103" s="11" t="str">
        <f t="shared" si="1"/>
        <v>Não</v>
      </c>
    </row>
    <row r="104" spans="1:8" x14ac:dyDescent="0.3">
      <c r="A104" s="12">
        <v>45962</v>
      </c>
      <c r="B104" s="10" t="s">
        <v>482</v>
      </c>
      <c r="C104" s="10" t="s">
        <v>483</v>
      </c>
      <c r="D104" s="10" t="s">
        <v>465</v>
      </c>
      <c r="E104" s="16">
        <v>326</v>
      </c>
      <c r="F104" s="10" t="s">
        <v>484</v>
      </c>
      <c r="G104" s="10" t="s">
        <v>485</v>
      </c>
      <c r="H104" s="11" t="str">
        <f t="shared" si="1"/>
        <v>Sim</v>
      </c>
    </row>
    <row r="105" spans="1:8" ht="26.4" x14ac:dyDescent="0.3">
      <c r="A105" s="12">
        <v>45962</v>
      </c>
      <c r="B105" s="10" t="s">
        <v>486</v>
      </c>
      <c r="C105" s="10" t="s">
        <v>487</v>
      </c>
      <c r="D105" s="10" t="s">
        <v>488</v>
      </c>
      <c r="E105" s="16">
        <v>31</v>
      </c>
      <c r="F105" s="10" t="s">
        <v>477</v>
      </c>
      <c r="G105" s="10" t="s">
        <v>489</v>
      </c>
      <c r="H105" s="11" t="str">
        <f t="shared" si="1"/>
        <v>Sim</v>
      </c>
    </row>
    <row r="106" spans="1:8" ht="26.4" x14ac:dyDescent="0.3">
      <c r="A106" s="12">
        <v>45962</v>
      </c>
      <c r="B106" s="10" t="s">
        <v>490</v>
      </c>
      <c r="C106" s="10" t="s">
        <v>491</v>
      </c>
      <c r="D106" s="10" t="s">
        <v>488</v>
      </c>
      <c r="E106" s="16">
        <v>35.700000000000003</v>
      </c>
      <c r="F106" s="10" t="s">
        <v>477</v>
      </c>
      <c r="G106" s="10" t="s">
        <v>489</v>
      </c>
      <c r="H106" s="11" t="str">
        <f t="shared" si="1"/>
        <v>Sim</v>
      </c>
    </row>
    <row r="107" spans="1:8" ht="26.4" x14ac:dyDescent="0.3">
      <c r="A107" s="12">
        <v>45962</v>
      </c>
      <c r="B107" s="10" t="s">
        <v>492</v>
      </c>
      <c r="C107" s="10" t="s">
        <v>493</v>
      </c>
      <c r="D107" s="10" t="s">
        <v>488</v>
      </c>
      <c r="E107" s="16">
        <v>49.8</v>
      </c>
      <c r="F107" s="10" t="s">
        <v>494</v>
      </c>
      <c r="G107" s="10" t="s">
        <v>489</v>
      </c>
      <c r="H107" s="11" t="str">
        <f t="shared" si="1"/>
        <v>Não</v>
      </c>
    </row>
    <row r="108" spans="1:8" x14ac:dyDescent="0.3">
      <c r="A108" s="12">
        <v>45962</v>
      </c>
      <c r="B108" s="10" t="s">
        <v>495</v>
      </c>
      <c r="C108" s="10" t="s">
        <v>496</v>
      </c>
      <c r="D108" s="10" t="s">
        <v>488</v>
      </c>
      <c r="E108" s="16">
        <v>13.2</v>
      </c>
      <c r="F108" s="10" t="s">
        <v>477</v>
      </c>
      <c r="G108" s="10" t="s">
        <v>497</v>
      </c>
      <c r="H108" s="11" t="str">
        <f t="shared" si="1"/>
        <v>Sim</v>
      </c>
    </row>
    <row r="109" spans="1:8" ht="26.4" x14ac:dyDescent="0.3">
      <c r="A109" s="12">
        <v>45962</v>
      </c>
      <c r="B109" s="10" t="s">
        <v>498</v>
      </c>
      <c r="C109" s="10" t="s">
        <v>499</v>
      </c>
      <c r="D109" s="10" t="s">
        <v>488</v>
      </c>
      <c r="E109" s="16">
        <v>0</v>
      </c>
      <c r="F109" s="10" t="s">
        <v>477</v>
      </c>
      <c r="G109" s="10" t="s">
        <v>489</v>
      </c>
      <c r="H109" s="11" t="str">
        <f t="shared" si="1"/>
        <v>Sim</v>
      </c>
    </row>
    <row r="110" spans="1:8" x14ac:dyDescent="0.3">
      <c r="A110" s="12">
        <v>45992</v>
      </c>
      <c r="B110" s="10" t="s">
        <v>463</v>
      </c>
      <c r="C110" s="10" t="s">
        <v>464</v>
      </c>
      <c r="D110" s="10" t="s">
        <v>465</v>
      </c>
      <c r="E110" s="16">
        <v>1560.1</v>
      </c>
      <c r="F110" s="10" t="s">
        <v>466</v>
      </c>
      <c r="G110" s="10" t="s">
        <v>467</v>
      </c>
      <c r="H110" s="11" t="str">
        <f t="shared" si="1"/>
        <v>Sim</v>
      </c>
    </row>
    <row r="111" spans="1:8" x14ac:dyDescent="0.3">
      <c r="A111" s="12">
        <v>45992</v>
      </c>
      <c r="B111" s="10" t="s">
        <v>468</v>
      </c>
      <c r="C111" s="10" t="s">
        <v>469</v>
      </c>
      <c r="D111" s="10" t="s">
        <v>465</v>
      </c>
      <c r="E111" s="16">
        <v>3472.8</v>
      </c>
      <c r="F111" s="10" t="s">
        <v>466</v>
      </c>
      <c r="G111" s="10" t="s">
        <v>470</v>
      </c>
      <c r="H111" s="11" t="str">
        <f t="shared" si="1"/>
        <v>Sim</v>
      </c>
    </row>
    <row r="112" spans="1:8" x14ac:dyDescent="0.3">
      <c r="A112" s="12">
        <v>45992</v>
      </c>
      <c r="B112" s="10" t="s">
        <v>471</v>
      </c>
      <c r="C112" s="10" t="s">
        <v>472</v>
      </c>
      <c r="D112" s="10" t="s">
        <v>465</v>
      </c>
      <c r="E112" s="16">
        <v>1756.2</v>
      </c>
      <c r="F112" s="10" t="s">
        <v>466</v>
      </c>
      <c r="G112" s="10" t="s">
        <v>467</v>
      </c>
      <c r="H112" s="11" t="str">
        <f t="shared" si="1"/>
        <v>Sim</v>
      </c>
    </row>
    <row r="113" spans="1:8" x14ac:dyDescent="0.3">
      <c r="A113" s="12">
        <v>45992</v>
      </c>
      <c r="B113" s="10" t="s">
        <v>473</v>
      </c>
      <c r="C113" s="10" t="s">
        <v>474</v>
      </c>
      <c r="D113" s="10" t="s">
        <v>465</v>
      </c>
      <c r="E113" s="16">
        <v>1006.6</v>
      </c>
      <c r="F113" s="10" t="s">
        <v>466</v>
      </c>
      <c r="G113" s="10" t="s">
        <v>475</v>
      </c>
      <c r="H113" s="11" t="str">
        <f t="shared" si="1"/>
        <v>Sim</v>
      </c>
    </row>
    <row r="114" spans="1:8" x14ac:dyDescent="0.3">
      <c r="A114" s="12">
        <v>45992</v>
      </c>
      <c r="B114" s="10" t="s">
        <v>463</v>
      </c>
      <c r="C114" s="10" t="s">
        <v>476</v>
      </c>
      <c r="D114" s="10" t="s">
        <v>465</v>
      </c>
      <c r="E114" s="16">
        <v>434.3</v>
      </c>
      <c r="F114" s="10" t="s">
        <v>477</v>
      </c>
      <c r="G114" s="10" t="s">
        <v>467</v>
      </c>
      <c r="H114" s="11" t="str">
        <f t="shared" si="1"/>
        <v>Sim</v>
      </c>
    </row>
    <row r="115" spans="1:8" x14ac:dyDescent="0.3">
      <c r="A115" s="12">
        <v>45992</v>
      </c>
      <c r="B115" s="10" t="s">
        <v>478</v>
      </c>
      <c r="C115" s="10" t="s">
        <v>479</v>
      </c>
      <c r="D115" s="10" t="s">
        <v>465</v>
      </c>
      <c r="E115" s="16">
        <v>2391.1999999999998</v>
      </c>
      <c r="F115" s="10" t="s">
        <v>480</v>
      </c>
      <c r="G115" s="10" t="s">
        <v>481</v>
      </c>
      <c r="H115" s="11" t="str">
        <f t="shared" si="1"/>
        <v>Não</v>
      </c>
    </row>
    <row r="116" spans="1:8" x14ac:dyDescent="0.3">
      <c r="A116" s="12">
        <v>45992</v>
      </c>
      <c r="B116" s="10" t="s">
        <v>482</v>
      </c>
      <c r="C116" s="10" t="s">
        <v>483</v>
      </c>
      <c r="D116" s="10" t="s">
        <v>465</v>
      </c>
      <c r="E116" s="16">
        <v>286.3</v>
      </c>
      <c r="F116" s="10" t="s">
        <v>484</v>
      </c>
      <c r="G116" s="10" t="s">
        <v>485</v>
      </c>
      <c r="H116" s="11" t="str">
        <f t="shared" si="1"/>
        <v>Sim</v>
      </c>
    </row>
    <row r="117" spans="1:8" ht="26.4" x14ac:dyDescent="0.3">
      <c r="A117" s="12">
        <v>45992</v>
      </c>
      <c r="B117" s="10" t="s">
        <v>486</v>
      </c>
      <c r="C117" s="10" t="s">
        <v>487</v>
      </c>
      <c r="D117" s="10" t="s">
        <v>488</v>
      </c>
      <c r="E117" s="16">
        <v>27.7</v>
      </c>
      <c r="F117" s="10" t="s">
        <v>477</v>
      </c>
      <c r="G117" s="10" t="s">
        <v>489</v>
      </c>
      <c r="H117" s="11" t="str">
        <f t="shared" si="1"/>
        <v>Sim</v>
      </c>
    </row>
    <row r="118" spans="1:8" ht="26.4" x14ac:dyDescent="0.3">
      <c r="A118" s="12">
        <v>45992</v>
      </c>
      <c r="B118" s="10" t="s">
        <v>490</v>
      </c>
      <c r="C118" s="10" t="s">
        <v>491</v>
      </c>
      <c r="D118" s="10" t="s">
        <v>488</v>
      </c>
      <c r="E118" s="16">
        <v>37.5</v>
      </c>
      <c r="F118" s="10" t="s">
        <v>477</v>
      </c>
      <c r="G118" s="10" t="s">
        <v>489</v>
      </c>
      <c r="H118" s="11" t="str">
        <f t="shared" si="1"/>
        <v>Sim</v>
      </c>
    </row>
    <row r="119" spans="1:8" ht="26.4" x14ac:dyDescent="0.3">
      <c r="A119" s="12">
        <v>45992</v>
      </c>
      <c r="B119" s="10" t="s">
        <v>492</v>
      </c>
      <c r="C119" s="10" t="s">
        <v>493</v>
      </c>
      <c r="D119" s="10" t="s">
        <v>488</v>
      </c>
      <c r="E119" s="16">
        <v>36.700000000000003</v>
      </c>
      <c r="F119" s="10" t="s">
        <v>494</v>
      </c>
      <c r="G119" s="10" t="s">
        <v>489</v>
      </c>
      <c r="H119" s="11" t="str">
        <f t="shared" si="1"/>
        <v>Não</v>
      </c>
    </row>
    <row r="120" spans="1:8" x14ac:dyDescent="0.3">
      <c r="A120" s="12">
        <v>45992</v>
      </c>
      <c r="B120" s="10" t="s">
        <v>495</v>
      </c>
      <c r="C120" s="10" t="s">
        <v>496</v>
      </c>
      <c r="D120" s="10" t="s">
        <v>488</v>
      </c>
      <c r="E120" s="16">
        <v>177.6</v>
      </c>
      <c r="F120" s="10" t="s">
        <v>477</v>
      </c>
      <c r="G120" s="10" t="s">
        <v>497</v>
      </c>
      <c r="H120" s="11" t="str">
        <f t="shared" si="1"/>
        <v>Sim</v>
      </c>
    </row>
    <row r="121" spans="1:8" ht="26.4" x14ac:dyDescent="0.3">
      <c r="A121" s="12">
        <v>45992</v>
      </c>
      <c r="B121" s="10" t="s">
        <v>498</v>
      </c>
      <c r="C121" s="10" t="s">
        <v>499</v>
      </c>
      <c r="D121" s="10" t="s">
        <v>488</v>
      </c>
      <c r="E121" s="16">
        <v>0</v>
      </c>
      <c r="F121" s="10" t="s">
        <v>477</v>
      </c>
      <c r="G121" s="10" t="s">
        <v>489</v>
      </c>
      <c r="H121" s="11" t="str">
        <f t="shared" si="1"/>
        <v>Sim</v>
      </c>
    </row>
    <row r="122" spans="1:8" x14ac:dyDescent="0.3">
      <c r="A122" s="12">
        <v>46023</v>
      </c>
      <c r="B122" s="10" t="s">
        <v>463</v>
      </c>
      <c r="C122" s="10" t="s">
        <v>464</v>
      </c>
      <c r="D122" s="10" t="s">
        <v>465</v>
      </c>
      <c r="E122" s="16">
        <v>1493.2</v>
      </c>
      <c r="F122" s="10" t="s">
        <v>466</v>
      </c>
      <c r="G122" s="10" t="s">
        <v>467</v>
      </c>
      <c r="H122" s="11" t="str">
        <f t="shared" si="1"/>
        <v>Sim</v>
      </c>
    </row>
    <row r="123" spans="1:8" x14ac:dyDescent="0.3">
      <c r="A123" s="12">
        <v>46023</v>
      </c>
      <c r="B123" s="10" t="s">
        <v>468</v>
      </c>
      <c r="C123" s="10" t="s">
        <v>469</v>
      </c>
      <c r="D123" s="10" t="s">
        <v>465</v>
      </c>
      <c r="E123" s="16">
        <v>3259.3</v>
      </c>
      <c r="F123" s="10" t="s">
        <v>466</v>
      </c>
      <c r="G123" s="10" t="s">
        <v>470</v>
      </c>
      <c r="H123" s="11" t="str">
        <f t="shared" si="1"/>
        <v>Sim</v>
      </c>
    </row>
    <row r="124" spans="1:8" x14ac:dyDescent="0.3">
      <c r="A124" s="12">
        <v>46023</v>
      </c>
      <c r="B124" s="10" t="s">
        <v>471</v>
      </c>
      <c r="C124" s="10" t="s">
        <v>472</v>
      </c>
      <c r="D124" s="10" t="s">
        <v>465</v>
      </c>
      <c r="E124" s="16">
        <v>1814</v>
      </c>
      <c r="F124" s="10" t="s">
        <v>466</v>
      </c>
      <c r="G124" s="10" t="s">
        <v>467</v>
      </c>
      <c r="H124" s="11" t="str">
        <f t="shared" si="1"/>
        <v>Sim</v>
      </c>
    </row>
    <row r="125" spans="1:8" x14ac:dyDescent="0.3">
      <c r="A125" s="12">
        <v>46023</v>
      </c>
      <c r="B125" s="10" t="s">
        <v>473</v>
      </c>
      <c r="C125" s="10" t="s">
        <v>474</v>
      </c>
      <c r="D125" s="10" t="s">
        <v>465</v>
      </c>
      <c r="E125" s="16">
        <v>1202.4000000000001</v>
      </c>
      <c r="F125" s="10" t="s">
        <v>466</v>
      </c>
      <c r="G125" s="10" t="s">
        <v>475</v>
      </c>
      <c r="H125" s="11" t="str">
        <f t="shared" si="1"/>
        <v>Sim</v>
      </c>
    </row>
    <row r="126" spans="1:8" x14ac:dyDescent="0.3">
      <c r="A126" s="12">
        <v>46023</v>
      </c>
      <c r="B126" s="10" t="s">
        <v>463</v>
      </c>
      <c r="C126" s="10" t="s">
        <v>476</v>
      </c>
      <c r="D126" s="10" t="s">
        <v>465</v>
      </c>
      <c r="E126" s="16">
        <v>319</v>
      </c>
      <c r="F126" s="10" t="s">
        <v>477</v>
      </c>
      <c r="G126" s="10" t="s">
        <v>467</v>
      </c>
      <c r="H126" s="11" t="str">
        <f t="shared" si="1"/>
        <v>Sim</v>
      </c>
    </row>
    <row r="127" spans="1:8" x14ac:dyDescent="0.3">
      <c r="A127" s="12">
        <v>46023</v>
      </c>
      <c r="B127" s="10" t="s">
        <v>478</v>
      </c>
      <c r="C127" s="10" t="s">
        <v>479</v>
      </c>
      <c r="D127" s="10" t="s">
        <v>465</v>
      </c>
      <c r="E127" s="16">
        <v>1962</v>
      </c>
      <c r="F127" s="10" t="s">
        <v>480</v>
      </c>
      <c r="G127" s="10" t="s">
        <v>481</v>
      </c>
      <c r="H127" s="11" t="str">
        <f t="shared" si="1"/>
        <v>Não</v>
      </c>
    </row>
    <row r="128" spans="1:8" x14ac:dyDescent="0.3">
      <c r="A128" s="12">
        <v>46023</v>
      </c>
      <c r="B128" s="10" t="s">
        <v>482</v>
      </c>
      <c r="C128" s="10" t="s">
        <v>483</v>
      </c>
      <c r="D128" s="10" t="s">
        <v>465</v>
      </c>
      <c r="E128" s="16">
        <v>236.3</v>
      </c>
      <c r="F128" s="10" t="s">
        <v>484</v>
      </c>
      <c r="G128" s="10" t="s">
        <v>485</v>
      </c>
      <c r="H128" s="11" t="str">
        <f t="shared" si="1"/>
        <v>Sim</v>
      </c>
    </row>
    <row r="129" spans="1:8" ht="26.4" x14ac:dyDescent="0.3">
      <c r="A129" s="12">
        <v>46023</v>
      </c>
      <c r="B129" s="10" t="s">
        <v>486</v>
      </c>
      <c r="C129" s="10" t="s">
        <v>487</v>
      </c>
      <c r="D129" s="10" t="s">
        <v>488</v>
      </c>
      <c r="E129" s="16">
        <v>22.2</v>
      </c>
      <c r="F129" s="10" t="s">
        <v>477</v>
      </c>
      <c r="G129" s="10" t="s">
        <v>489</v>
      </c>
      <c r="H129" s="11" t="str">
        <f t="shared" si="1"/>
        <v>Sim</v>
      </c>
    </row>
    <row r="130" spans="1:8" ht="26.4" x14ac:dyDescent="0.3">
      <c r="A130" s="12">
        <v>46023</v>
      </c>
      <c r="B130" s="10" t="s">
        <v>490</v>
      </c>
      <c r="C130" s="10" t="s">
        <v>491</v>
      </c>
      <c r="D130" s="10" t="s">
        <v>488</v>
      </c>
      <c r="E130" s="16">
        <v>35.4</v>
      </c>
      <c r="F130" s="10" t="s">
        <v>477</v>
      </c>
      <c r="G130" s="10" t="s">
        <v>489</v>
      </c>
      <c r="H130" s="11" t="str">
        <f t="shared" ref="H130:H193" si="2">IF(LEFT(F130,1)="R","Sim","Não")</f>
        <v>Sim</v>
      </c>
    </row>
    <row r="131" spans="1:8" ht="26.4" x14ac:dyDescent="0.3">
      <c r="A131" s="12">
        <v>46023</v>
      </c>
      <c r="B131" s="10" t="s">
        <v>492</v>
      </c>
      <c r="C131" s="10" t="s">
        <v>493</v>
      </c>
      <c r="D131" s="10" t="s">
        <v>488</v>
      </c>
      <c r="E131" s="16">
        <v>36.299999999999997</v>
      </c>
      <c r="F131" s="10" t="s">
        <v>494</v>
      </c>
      <c r="G131" s="10" t="s">
        <v>489</v>
      </c>
      <c r="H131" s="11" t="str">
        <f t="shared" si="2"/>
        <v>Não</v>
      </c>
    </row>
    <row r="132" spans="1:8" x14ac:dyDescent="0.3">
      <c r="A132" s="12">
        <v>46023</v>
      </c>
      <c r="B132" s="10" t="s">
        <v>495</v>
      </c>
      <c r="C132" s="10" t="s">
        <v>496</v>
      </c>
      <c r="D132" s="10" t="s">
        <v>488</v>
      </c>
      <c r="E132" s="16">
        <v>8.5</v>
      </c>
      <c r="F132" s="10" t="s">
        <v>477</v>
      </c>
      <c r="G132" s="10" t="s">
        <v>497</v>
      </c>
      <c r="H132" s="11" t="str">
        <f t="shared" si="2"/>
        <v>Sim</v>
      </c>
    </row>
    <row r="133" spans="1:8" ht="26.4" x14ac:dyDescent="0.3">
      <c r="A133" s="12">
        <v>46023</v>
      </c>
      <c r="B133" s="10" t="s">
        <v>498</v>
      </c>
      <c r="C133" s="10" t="s">
        <v>499</v>
      </c>
      <c r="D133" s="10" t="s">
        <v>488</v>
      </c>
      <c r="E133" s="16">
        <v>0</v>
      </c>
      <c r="F133" s="10" t="s">
        <v>477</v>
      </c>
      <c r="G133" s="10" t="s">
        <v>489</v>
      </c>
      <c r="H133" s="11" t="str">
        <f t="shared" si="2"/>
        <v>Sim</v>
      </c>
    </row>
    <row r="134" spans="1:8" x14ac:dyDescent="0.3">
      <c r="A134" s="12">
        <v>46054</v>
      </c>
      <c r="B134" s="10" t="s">
        <v>463</v>
      </c>
      <c r="C134" s="10" t="s">
        <v>464</v>
      </c>
      <c r="D134" s="10" t="s">
        <v>465</v>
      </c>
      <c r="E134" s="16">
        <v>1409.2</v>
      </c>
      <c r="F134" s="10" t="s">
        <v>466</v>
      </c>
      <c r="G134" s="10" t="s">
        <v>467</v>
      </c>
      <c r="H134" s="11" t="str">
        <f t="shared" si="2"/>
        <v>Sim</v>
      </c>
    </row>
    <row r="135" spans="1:8" x14ac:dyDescent="0.3">
      <c r="A135" s="12">
        <v>46054</v>
      </c>
      <c r="B135" s="10" t="s">
        <v>468</v>
      </c>
      <c r="C135" s="10" t="s">
        <v>469</v>
      </c>
      <c r="D135" s="10" t="s">
        <v>465</v>
      </c>
      <c r="E135" s="16">
        <v>3242.1</v>
      </c>
      <c r="F135" s="10" t="s">
        <v>466</v>
      </c>
      <c r="G135" s="10" t="s">
        <v>470</v>
      </c>
      <c r="H135" s="11" t="str">
        <f t="shared" si="2"/>
        <v>Sim</v>
      </c>
    </row>
    <row r="136" spans="1:8" x14ac:dyDescent="0.3">
      <c r="A136" s="12">
        <v>46054</v>
      </c>
      <c r="B136" s="10" t="s">
        <v>471</v>
      </c>
      <c r="C136" s="10" t="s">
        <v>472</v>
      </c>
      <c r="D136" s="10" t="s">
        <v>465</v>
      </c>
      <c r="E136" s="16">
        <v>1647.6</v>
      </c>
      <c r="F136" s="10" t="s">
        <v>466</v>
      </c>
      <c r="G136" s="10" t="s">
        <v>467</v>
      </c>
      <c r="H136" s="11" t="str">
        <f t="shared" si="2"/>
        <v>Sim</v>
      </c>
    </row>
    <row r="137" spans="1:8" x14ac:dyDescent="0.3">
      <c r="A137" s="12">
        <v>46054</v>
      </c>
      <c r="B137" s="10" t="s">
        <v>473</v>
      </c>
      <c r="C137" s="10" t="s">
        <v>474</v>
      </c>
      <c r="D137" s="10" t="s">
        <v>465</v>
      </c>
      <c r="E137" s="16">
        <v>1186.9000000000001</v>
      </c>
      <c r="F137" s="10" t="s">
        <v>466</v>
      </c>
      <c r="G137" s="10" t="s">
        <v>475</v>
      </c>
      <c r="H137" s="11" t="str">
        <f t="shared" si="2"/>
        <v>Sim</v>
      </c>
    </row>
    <row r="138" spans="1:8" x14ac:dyDescent="0.3">
      <c r="A138" s="12">
        <v>46054</v>
      </c>
      <c r="B138" s="10" t="s">
        <v>463</v>
      </c>
      <c r="C138" s="10" t="s">
        <v>476</v>
      </c>
      <c r="D138" s="10" t="s">
        <v>465</v>
      </c>
      <c r="E138" s="16">
        <v>399</v>
      </c>
      <c r="F138" s="10" t="s">
        <v>477</v>
      </c>
      <c r="G138" s="10" t="s">
        <v>467</v>
      </c>
      <c r="H138" s="11" t="str">
        <f t="shared" si="2"/>
        <v>Sim</v>
      </c>
    </row>
    <row r="139" spans="1:8" x14ac:dyDescent="0.3">
      <c r="A139" s="12">
        <v>46054</v>
      </c>
      <c r="B139" s="10" t="s">
        <v>478</v>
      </c>
      <c r="C139" s="10" t="s">
        <v>479</v>
      </c>
      <c r="D139" s="10" t="s">
        <v>465</v>
      </c>
      <c r="E139" s="16">
        <v>2059.5</v>
      </c>
      <c r="F139" s="10" t="s">
        <v>480</v>
      </c>
      <c r="G139" s="10" t="s">
        <v>481</v>
      </c>
      <c r="H139" s="11" t="str">
        <f t="shared" si="2"/>
        <v>Não</v>
      </c>
    </row>
    <row r="140" spans="1:8" x14ac:dyDescent="0.3">
      <c r="A140" s="12">
        <v>46054</v>
      </c>
      <c r="B140" s="10" t="s">
        <v>482</v>
      </c>
      <c r="C140" s="10" t="s">
        <v>483</v>
      </c>
      <c r="D140" s="10" t="s">
        <v>465</v>
      </c>
      <c r="E140" s="16">
        <v>221.2</v>
      </c>
      <c r="F140" s="10" t="s">
        <v>484</v>
      </c>
      <c r="G140" s="10" t="s">
        <v>485</v>
      </c>
      <c r="H140" s="11" t="str">
        <f t="shared" si="2"/>
        <v>Sim</v>
      </c>
    </row>
    <row r="141" spans="1:8" ht="26.4" x14ac:dyDescent="0.3">
      <c r="A141" s="12">
        <v>46054</v>
      </c>
      <c r="B141" s="10" t="s">
        <v>486</v>
      </c>
      <c r="C141" s="10" t="s">
        <v>487</v>
      </c>
      <c r="D141" s="10" t="s">
        <v>488</v>
      </c>
      <c r="E141" s="16">
        <v>21.7</v>
      </c>
      <c r="F141" s="10" t="s">
        <v>477</v>
      </c>
      <c r="G141" s="10" t="s">
        <v>489</v>
      </c>
      <c r="H141" s="11" t="str">
        <f t="shared" si="2"/>
        <v>Sim</v>
      </c>
    </row>
    <row r="142" spans="1:8" ht="26.4" x14ac:dyDescent="0.3">
      <c r="A142" s="12">
        <v>46054</v>
      </c>
      <c r="B142" s="10" t="s">
        <v>490</v>
      </c>
      <c r="C142" s="10" t="s">
        <v>491</v>
      </c>
      <c r="D142" s="10" t="s">
        <v>488</v>
      </c>
      <c r="E142" s="16">
        <v>31.5</v>
      </c>
      <c r="F142" s="10" t="s">
        <v>477</v>
      </c>
      <c r="G142" s="10" t="s">
        <v>489</v>
      </c>
      <c r="H142" s="11" t="str">
        <f t="shared" si="2"/>
        <v>Sim</v>
      </c>
    </row>
    <row r="143" spans="1:8" ht="26.4" x14ac:dyDescent="0.3">
      <c r="A143" s="12">
        <v>46054</v>
      </c>
      <c r="B143" s="10" t="s">
        <v>492</v>
      </c>
      <c r="C143" s="10" t="s">
        <v>493</v>
      </c>
      <c r="D143" s="10" t="s">
        <v>488</v>
      </c>
      <c r="E143" s="16">
        <v>36.1</v>
      </c>
      <c r="F143" s="10" t="s">
        <v>494</v>
      </c>
      <c r="G143" s="10" t="s">
        <v>489</v>
      </c>
      <c r="H143" s="11" t="str">
        <f t="shared" si="2"/>
        <v>Não</v>
      </c>
    </row>
    <row r="144" spans="1:8" x14ac:dyDescent="0.3">
      <c r="A144" s="12">
        <v>46054</v>
      </c>
      <c r="B144" s="10" t="s">
        <v>495</v>
      </c>
      <c r="C144" s="10" t="s">
        <v>496</v>
      </c>
      <c r="D144" s="10" t="s">
        <v>488</v>
      </c>
      <c r="E144" s="16">
        <v>11</v>
      </c>
      <c r="F144" s="10" t="s">
        <v>477</v>
      </c>
      <c r="G144" s="10" t="s">
        <v>497</v>
      </c>
      <c r="H144" s="11" t="str">
        <f t="shared" si="2"/>
        <v>Sim</v>
      </c>
    </row>
    <row r="145" spans="1:8" ht="26.4" x14ac:dyDescent="0.3">
      <c r="A145" s="12">
        <v>46054</v>
      </c>
      <c r="B145" s="10" t="s">
        <v>498</v>
      </c>
      <c r="C145" s="10" t="s">
        <v>499</v>
      </c>
      <c r="D145" s="10" t="s">
        <v>488</v>
      </c>
      <c r="E145" s="16">
        <v>0</v>
      </c>
      <c r="F145" s="10" t="s">
        <v>477</v>
      </c>
      <c r="G145" s="10" t="s">
        <v>489</v>
      </c>
      <c r="H145" s="11" t="str">
        <f t="shared" si="2"/>
        <v>Sim</v>
      </c>
    </row>
    <row r="146" spans="1:8" x14ac:dyDescent="0.3">
      <c r="A146" s="12">
        <v>46082</v>
      </c>
      <c r="B146" s="10" t="s">
        <v>463</v>
      </c>
      <c r="C146" s="10" t="s">
        <v>464</v>
      </c>
      <c r="D146" s="10" t="s">
        <v>465</v>
      </c>
      <c r="E146" s="16">
        <v>1582.9</v>
      </c>
      <c r="F146" s="10" t="s">
        <v>466</v>
      </c>
      <c r="G146" s="10" t="s">
        <v>467</v>
      </c>
      <c r="H146" s="11" t="str">
        <f t="shared" si="2"/>
        <v>Sim</v>
      </c>
    </row>
    <row r="147" spans="1:8" x14ac:dyDescent="0.3">
      <c r="A147" s="12">
        <v>46082</v>
      </c>
      <c r="B147" s="10" t="s">
        <v>468</v>
      </c>
      <c r="C147" s="10" t="s">
        <v>469</v>
      </c>
      <c r="D147" s="10" t="s">
        <v>465</v>
      </c>
      <c r="E147" s="16">
        <v>2951.6</v>
      </c>
      <c r="F147" s="10" t="s">
        <v>466</v>
      </c>
      <c r="G147" s="10" t="s">
        <v>470</v>
      </c>
      <c r="H147" s="11" t="str">
        <f t="shared" si="2"/>
        <v>Sim</v>
      </c>
    </row>
    <row r="148" spans="1:8" x14ac:dyDescent="0.3">
      <c r="A148" s="12">
        <v>46082</v>
      </c>
      <c r="B148" s="10" t="s">
        <v>471</v>
      </c>
      <c r="C148" s="10" t="s">
        <v>472</v>
      </c>
      <c r="D148" s="10" t="s">
        <v>465</v>
      </c>
      <c r="E148" s="16">
        <v>1954.7</v>
      </c>
      <c r="F148" s="10" t="s">
        <v>466</v>
      </c>
      <c r="G148" s="10" t="s">
        <v>467</v>
      </c>
      <c r="H148" s="11" t="str">
        <f t="shared" si="2"/>
        <v>Sim</v>
      </c>
    </row>
    <row r="149" spans="1:8" x14ac:dyDescent="0.3">
      <c r="A149" s="12">
        <v>46082</v>
      </c>
      <c r="B149" s="10" t="s">
        <v>473</v>
      </c>
      <c r="C149" s="10" t="s">
        <v>474</v>
      </c>
      <c r="D149" s="10" t="s">
        <v>465</v>
      </c>
      <c r="E149" s="16">
        <v>1233.9000000000001</v>
      </c>
      <c r="F149" s="10" t="s">
        <v>466</v>
      </c>
      <c r="G149" s="10" t="s">
        <v>475</v>
      </c>
      <c r="H149" s="11" t="str">
        <f t="shared" si="2"/>
        <v>Sim</v>
      </c>
    </row>
    <row r="150" spans="1:8" x14ac:dyDescent="0.3">
      <c r="A150" s="12">
        <v>46082</v>
      </c>
      <c r="B150" s="10" t="s">
        <v>463</v>
      </c>
      <c r="C150" s="10" t="s">
        <v>476</v>
      </c>
      <c r="D150" s="10" t="s">
        <v>465</v>
      </c>
      <c r="E150" s="16">
        <v>406.6</v>
      </c>
      <c r="F150" s="10" t="s">
        <v>477</v>
      </c>
      <c r="G150" s="10" t="s">
        <v>467</v>
      </c>
      <c r="H150" s="11" t="str">
        <f t="shared" si="2"/>
        <v>Sim</v>
      </c>
    </row>
    <row r="151" spans="1:8" x14ac:dyDescent="0.3">
      <c r="A151" s="12">
        <v>46082</v>
      </c>
      <c r="B151" s="10" t="s">
        <v>478</v>
      </c>
      <c r="C151" s="10" t="s">
        <v>479</v>
      </c>
      <c r="D151" s="10" t="s">
        <v>465</v>
      </c>
      <c r="E151" s="16">
        <v>2107.1</v>
      </c>
      <c r="F151" s="10" t="s">
        <v>480</v>
      </c>
      <c r="G151" s="10" t="s">
        <v>481</v>
      </c>
      <c r="H151" s="11" t="str">
        <f t="shared" si="2"/>
        <v>Não</v>
      </c>
    </row>
    <row r="152" spans="1:8" x14ac:dyDescent="0.3">
      <c r="A152" s="12">
        <v>46082</v>
      </c>
      <c r="B152" s="10" t="s">
        <v>482</v>
      </c>
      <c r="C152" s="10" t="s">
        <v>483</v>
      </c>
      <c r="D152" s="10" t="s">
        <v>465</v>
      </c>
      <c r="E152" s="16">
        <v>233.5</v>
      </c>
      <c r="F152" s="10" t="s">
        <v>484</v>
      </c>
      <c r="G152" s="10" t="s">
        <v>485</v>
      </c>
      <c r="H152" s="11" t="str">
        <f t="shared" si="2"/>
        <v>Sim</v>
      </c>
    </row>
    <row r="153" spans="1:8" ht="26.4" x14ac:dyDescent="0.3">
      <c r="A153" s="12">
        <v>46082</v>
      </c>
      <c r="B153" s="10" t="s">
        <v>486</v>
      </c>
      <c r="C153" s="10" t="s">
        <v>487</v>
      </c>
      <c r="D153" s="10" t="s">
        <v>488</v>
      </c>
      <c r="E153" s="16">
        <v>27.1</v>
      </c>
      <c r="F153" s="10" t="s">
        <v>477</v>
      </c>
      <c r="G153" s="10" t="s">
        <v>489</v>
      </c>
      <c r="H153" s="11" t="str">
        <f t="shared" si="2"/>
        <v>Sim</v>
      </c>
    </row>
    <row r="154" spans="1:8" ht="26.4" x14ac:dyDescent="0.3">
      <c r="A154" s="12">
        <v>46082</v>
      </c>
      <c r="B154" s="10" t="s">
        <v>490</v>
      </c>
      <c r="C154" s="10" t="s">
        <v>491</v>
      </c>
      <c r="D154" s="10" t="s">
        <v>488</v>
      </c>
      <c r="E154" s="16">
        <v>33.700000000000003</v>
      </c>
      <c r="F154" s="10" t="s">
        <v>477</v>
      </c>
      <c r="G154" s="10" t="s">
        <v>489</v>
      </c>
      <c r="H154" s="11" t="str">
        <f t="shared" si="2"/>
        <v>Sim</v>
      </c>
    </row>
    <row r="155" spans="1:8" ht="26.4" x14ac:dyDescent="0.3">
      <c r="A155" s="12">
        <v>46082</v>
      </c>
      <c r="B155" s="10" t="s">
        <v>492</v>
      </c>
      <c r="C155" s="10" t="s">
        <v>493</v>
      </c>
      <c r="D155" s="10" t="s">
        <v>488</v>
      </c>
      <c r="E155" s="16">
        <v>40.799999999999997</v>
      </c>
      <c r="F155" s="10" t="s">
        <v>494</v>
      </c>
      <c r="G155" s="10" t="s">
        <v>489</v>
      </c>
      <c r="H155" s="11" t="str">
        <f t="shared" si="2"/>
        <v>Não</v>
      </c>
    </row>
    <row r="156" spans="1:8" x14ac:dyDescent="0.3">
      <c r="A156" s="12">
        <v>46082</v>
      </c>
      <c r="B156" s="10" t="s">
        <v>495</v>
      </c>
      <c r="C156" s="10" t="s">
        <v>496</v>
      </c>
      <c r="D156" s="10" t="s">
        <v>488</v>
      </c>
      <c r="E156" s="16">
        <v>168.9</v>
      </c>
      <c r="F156" s="10" t="s">
        <v>477</v>
      </c>
      <c r="G156" s="10" t="s">
        <v>497</v>
      </c>
      <c r="H156" s="11" t="str">
        <f t="shared" si="2"/>
        <v>Sim</v>
      </c>
    </row>
    <row r="157" spans="1:8" ht="26.4" x14ac:dyDescent="0.3">
      <c r="A157" s="12">
        <v>46082</v>
      </c>
      <c r="B157" s="10" t="s">
        <v>498</v>
      </c>
      <c r="C157" s="10" t="s">
        <v>499</v>
      </c>
      <c r="D157" s="10" t="s">
        <v>488</v>
      </c>
      <c r="E157" s="16">
        <v>0</v>
      </c>
      <c r="F157" s="10" t="s">
        <v>477</v>
      </c>
      <c r="G157" s="10" t="s">
        <v>489</v>
      </c>
      <c r="H157" s="11" t="str">
        <f t="shared" si="2"/>
        <v>Sim</v>
      </c>
    </row>
    <row r="158" spans="1:8" x14ac:dyDescent="0.3">
      <c r="A158" s="12">
        <v>46113</v>
      </c>
      <c r="B158" s="10" t="s">
        <v>463</v>
      </c>
      <c r="C158" s="10" t="s">
        <v>464</v>
      </c>
      <c r="D158" s="10" t="s">
        <v>465</v>
      </c>
      <c r="E158" s="16">
        <v>1579.6</v>
      </c>
      <c r="F158" s="10" t="s">
        <v>466</v>
      </c>
      <c r="G158" s="10" t="s">
        <v>467</v>
      </c>
      <c r="H158" s="11" t="str">
        <f t="shared" si="2"/>
        <v>Sim</v>
      </c>
    </row>
    <row r="159" spans="1:8" x14ac:dyDescent="0.3">
      <c r="A159" s="12">
        <v>46113</v>
      </c>
      <c r="B159" s="10" t="s">
        <v>468</v>
      </c>
      <c r="C159" s="10" t="s">
        <v>469</v>
      </c>
      <c r="D159" s="10" t="s">
        <v>465</v>
      </c>
      <c r="E159" s="16">
        <v>3209.1</v>
      </c>
      <c r="F159" s="10" t="s">
        <v>466</v>
      </c>
      <c r="G159" s="10" t="s">
        <v>470</v>
      </c>
      <c r="H159" s="11" t="str">
        <f t="shared" si="2"/>
        <v>Sim</v>
      </c>
    </row>
    <row r="160" spans="1:8" x14ac:dyDescent="0.3">
      <c r="A160" s="12">
        <v>46113</v>
      </c>
      <c r="B160" s="10" t="s">
        <v>471</v>
      </c>
      <c r="C160" s="10" t="s">
        <v>472</v>
      </c>
      <c r="D160" s="10" t="s">
        <v>465</v>
      </c>
      <c r="E160" s="16">
        <v>1820.8</v>
      </c>
      <c r="F160" s="10" t="s">
        <v>466</v>
      </c>
      <c r="G160" s="10" t="s">
        <v>467</v>
      </c>
      <c r="H160" s="11" t="str">
        <f t="shared" si="2"/>
        <v>Sim</v>
      </c>
    </row>
    <row r="161" spans="1:8" x14ac:dyDescent="0.3">
      <c r="A161" s="12">
        <v>46113</v>
      </c>
      <c r="B161" s="10" t="s">
        <v>473</v>
      </c>
      <c r="C161" s="10" t="s">
        <v>474</v>
      </c>
      <c r="D161" s="10" t="s">
        <v>465</v>
      </c>
      <c r="E161" s="16">
        <v>1001.9</v>
      </c>
      <c r="F161" s="10" t="s">
        <v>466</v>
      </c>
      <c r="G161" s="10" t="s">
        <v>475</v>
      </c>
      <c r="H161" s="11" t="str">
        <f t="shared" si="2"/>
        <v>Sim</v>
      </c>
    </row>
    <row r="162" spans="1:8" x14ac:dyDescent="0.3">
      <c r="A162" s="12">
        <v>46113</v>
      </c>
      <c r="B162" s="10" t="s">
        <v>463</v>
      </c>
      <c r="C162" s="10" t="s">
        <v>476</v>
      </c>
      <c r="D162" s="10" t="s">
        <v>465</v>
      </c>
      <c r="E162" s="16">
        <v>335.8</v>
      </c>
      <c r="F162" s="10" t="s">
        <v>477</v>
      </c>
      <c r="G162" s="10" t="s">
        <v>467</v>
      </c>
      <c r="H162" s="11" t="str">
        <f t="shared" si="2"/>
        <v>Sim</v>
      </c>
    </row>
    <row r="163" spans="1:8" x14ac:dyDescent="0.3">
      <c r="A163" s="12">
        <v>46113</v>
      </c>
      <c r="B163" s="10" t="s">
        <v>478</v>
      </c>
      <c r="C163" s="10" t="s">
        <v>479</v>
      </c>
      <c r="D163" s="10" t="s">
        <v>465</v>
      </c>
      <c r="E163" s="16">
        <v>1973.8</v>
      </c>
      <c r="F163" s="10" t="s">
        <v>480</v>
      </c>
      <c r="G163" s="10" t="s">
        <v>481</v>
      </c>
      <c r="H163" s="11" t="str">
        <f t="shared" si="2"/>
        <v>Não</v>
      </c>
    </row>
    <row r="164" spans="1:8" x14ac:dyDescent="0.3">
      <c r="A164" s="12">
        <v>46113</v>
      </c>
      <c r="B164" s="10" t="s">
        <v>482</v>
      </c>
      <c r="C164" s="10" t="s">
        <v>483</v>
      </c>
      <c r="D164" s="10" t="s">
        <v>465</v>
      </c>
      <c r="E164" s="16">
        <v>350.4</v>
      </c>
      <c r="F164" s="10" t="s">
        <v>484</v>
      </c>
      <c r="G164" s="10" t="s">
        <v>485</v>
      </c>
      <c r="H164" s="11" t="str">
        <f t="shared" si="2"/>
        <v>Sim</v>
      </c>
    </row>
    <row r="165" spans="1:8" ht="26.4" x14ac:dyDescent="0.3">
      <c r="A165" s="12">
        <v>46113</v>
      </c>
      <c r="B165" s="10" t="s">
        <v>486</v>
      </c>
      <c r="C165" s="10" t="s">
        <v>487</v>
      </c>
      <c r="D165" s="10" t="s">
        <v>488</v>
      </c>
      <c r="E165" s="16">
        <v>32.799999999999997</v>
      </c>
      <c r="F165" s="10" t="s">
        <v>477</v>
      </c>
      <c r="G165" s="10" t="s">
        <v>489</v>
      </c>
      <c r="H165" s="11" t="str">
        <f t="shared" si="2"/>
        <v>Sim</v>
      </c>
    </row>
    <row r="166" spans="1:8" ht="26.4" x14ac:dyDescent="0.3">
      <c r="A166" s="12">
        <v>46113</v>
      </c>
      <c r="B166" s="10" t="s">
        <v>490</v>
      </c>
      <c r="C166" s="10" t="s">
        <v>491</v>
      </c>
      <c r="D166" s="10" t="s">
        <v>488</v>
      </c>
      <c r="E166" s="16">
        <v>44.7</v>
      </c>
      <c r="F166" s="10" t="s">
        <v>477</v>
      </c>
      <c r="G166" s="10" t="s">
        <v>489</v>
      </c>
      <c r="H166" s="11" t="str">
        <f t="shared" si="2"/>
        <v>Sim</v>
      </c>
    </row>
    <row r="167" spans="1:8" ht="26.4" x14ac:dyDescent="0.3">
      <c r="A167" s="12">
        <v>46113</v>
      </c>
      <c r="B167" s="10" t="s">
        <v>492</v>
      </c>
      <c r="C167" s="10" t="s">
        <v>493</v>
      </c>
      <c r="D167" s="10" t="s">
        <v>488</v>
      </c>
      <c r="E167" s="16">
        <v>45.6</v>
      </c>
      <c r="F167" s="10" t="s">
        <v>494</v>
      </c>
      <c r="G167" s="10" t="s">
        <v>489</v>
      </c>
      <c r="H167" s="11" t="str">
        <f t="shared" si="2"/>
        <v>Não</v>
      </c>
    </row>
    <row r="168" spans="1:8" x14ac:dyDescent="0.3">
      <c r="A168" s="12">
        <v>46113</v>
      </c>
      <c r="B168" s="10" t="s">
        <v>495</v>
      </c>
      <c r="C168" s="10" t="s">
        <v>496</v>
      </c>
      <c r="D168" s="10" t="s">
        <v>488</v>
      </c>
      <c r="E168" s="16">
        <v>10.9</v>
      </c>
      <c r="F168" s="10" t="s">
        <v>477</v>
      </c>
      <c r="G168" s="10" t="s">
        <v>497</v>
      </c>
      <c r="H168" s="11" t="str">
        <f t="shared" si="2"/>
        <v>Sim</v>
      </c>
    </row>
    <row r="169" spans="1:8" ht="26.4" x14ac:dyDescent="0.3">
      <c r="A169" s="12">
        <v>46113</v>
      </c>
      <c r="B169" s="10" t="s">
        <v>498</v>
      </c>
      <c r="C169" s="10" t="s">
        <v>499</v>
      </c>
      <c r="D169" s="10" t="s">
        <v>488</v>
      </c>
      <c r="E169" s="16">
        <v>6.2</v>
      </c>
      <c r="F169" s="10" t="s">
        <v>477</v>
      </c>
      <c r="G169" s="10" t="s">
        <v>489</v>
      </c>
      <c r="H169" s="11" t="str">
        <f t="shared" si="2"/>
        <v>Sim</v>
      </c>
    </row>
    <row r="170" spans="1:8" x14ac:dyDescent="0.3">
      <c r="A170" s="12">
        <v>46143</v>
      </c>
      <c r="B170" s="10" t="s">
        <v>463</v>
      </c>
      <c r="C170" s="10" t="s">
        <v>464</v>
      </c>
      <c r="D170" s="10" t="s">
        <v>465</v>
      </c>
      <c r="E170" s="16">
        <v>1670.3</v>
      </c>
      <c r="F170" s="10" t="s">
        <v>466</v>
      </c>
      <c r="G170" s="10" t="s">
        <v>467</v>
      </c>
      <c r="H170" s="11" t="str">
        <f t="shared" si="2"/>
        <v>Sim</v>
      </c>
    </row>
    <row r="171" spans="1:8" x14ac:dyDescent="0.3">
      <c r="A171" s="12">
        <v>46143</v>
      </c>
      <c r="B171" s="10" t="s">
        <v>468</v>
      </c>
      <c r="C171" s="10" t="s">
        <v>469</v>
      </c>
      <c r="D171" s="10" t="s">
        <v>465</v>
      </c>
      <c r="E171" s="16">
        <v>3732.5</v>
      </c>
      <c r="F171" s="10" t="s">
        <v>466</v>
      </c>
      <c r="G171" s="10" t="s">
        <v>470</v>
      </c>
      <c r="H171" s="11" t="str">
        <f t="shared" si="2"/>
        <v>Sim</v>
      </c>
    </row>
    <row r="172" spans="1:8" x14ac:dyDescent="0.3">
      <c r="A172" s="12">
        <v>46143</v>
      </c>
      <c r="B172" s="10" t="s">
        <v>471</v>
      </c>
      <c r="C172" s="10" t="s">
        <v>472</v>
      </c>
      <c r="D172" s="10" t="s">
        <v>465</v>
      </c>
      <c r="E172" s="16">
        <v>1525.4</v>
      </c>
      <c r="F172" s="10" t="s">
        <v>466</v>
      </c>
      <c r="G172" s="10" t="s">
        <v>467</v>
      </c>
      <c r="H172" s="11" t="str">
        <f t="shared" si="2"/>
        <v>Sim</v>
      </c>
    </row>
    <row r="173" spans="1:8" x14ac:dyDescent="0.3">
      <c r="A173" s="12">
        <v>46143</v>
      </c>
      <c r="B173" s="10" t="s">
        <v>473</v>
      </c>
      <c r="C173" s="10" t="s">
        <v>474</v>
      </c>
      <c r="D173" s="10" t="s">
        <v>465</v>
      </c>
      <c r="E173" s="16">
        <v>1059.3</v>
      </c>
      <c r="F173" s="10" t="s">
        <v>466</v>
      </c>
      <c r="G173" s="10" t="s">
        <v>475</v>
      </c>
      <c r="H173" s="11" t="str">
        <f t="shared" si="2"/>
        <v>Sim</v>
      </c>
    </row>
    <row r="174" spans="1:8" x14ac:dyDescent="0.3">
      <c r="A174" s="12">
        <v>46143</v>
      </c>
      <c r="B174" s="10" t="s">
        <v>463</v>
      </c>
      <c r="C174" s="10" t="s">
        <v>476</v>
      </c>
      <c r="D174" s="10" t="s">
        <v>465</v>
      </c>
      <c r="E174" s="16">
        <v>377.9</v>
      </c>
      <c r="F174" s="10" t="s">
        <v>477</v>
      </c>
      <c r="G174" s="10" t="s">
        <v>467</v>
      </c>
      <c r="H174" s="11" t="str">
        <f t="shared" si="2"/>
        <v>Sim</v>
      </c>
    </row>
    <row r="175" spans="1:8" x14ac:dyDescent="0.3">
      <c r="A175" s="12">
        <v>46143</v>
      </c>
      <c r="B175" s="10" t="s">
        <v>478</v>
      </c>
      <c r="C175" s="10" t="s">
        <v>479</v>
      </c>
      <c r="D175" s="10" t="s">
        <v>465</v>
      </c>
      <c r="E175" s="16">
        <v>2126.1</v>
      </c>
      <c r="F175" s="10" t="s">
        <v>480</v>
      </c>
      <c r="G175" s="10" t="s">
        <v>481</v>
      </c>
      <c r="H175" s="11" t="str">
        <f t="shared" si="2"/>
        <v>Não</v>
      </c>
    </row>
    <row r="176" spans="1:8" x14ac:dyDescent="0.3">
      <c r="A176" s="12">
        <v>46143</v>
      </c>
      <c r="B176" s="10" t="s">
        <v>482</v>
      </c>
      <c r="C176" s="10" t="s">
        <v>483</v>
      </c>
      <c r="D176" s="10" t="s">
        <v>465</v>
      </c>
      <c r="E176" s="16">
        <v>221.9</v>
      </c>
      <c r="F176" s="10" t="s">
        <v>484</v>
      </c>
      <c r="G176" s="10" t="s">
        <v>485</v>
      </c>
      <c r="H176" s="11" t="str">
        <f t="shared" si="2"/>
        <v>Sim</v>
      </c>
    </row>
    <row r="177" spans="1:8" ht="26.4" x14ac:dyDescent="0.3">
      <c r="A177" s="12">
        <v>46143</v>
      </c>
      <c r="B177" s="10" t="s">
        <v>486</v>
      </c>
      <c r="C177" s="10" t="s">
        <v>487</v>
      </c>
      <c r="D177" s="10" t="s">
        <v>488</v>
      </c>
      <c r="E177" s="16">
        <v>32.700000000000003</v>
      </c>
      <c r="F177" s="10" t="s">
        <v>477</v>
      </c>
      <c r="G177" s="10" t="s">
        <v>489</v>
      </c>
      <c r="H177" s="11" t="str">
        <f t="shared" si="2"/>
        <v>Sim</v>
      </c>
    </row>
    <row r="178" spans="1:8" ht="26.4" x14ac:dyDescent="0.3">
      <c r="A178" s="12">
        <v>46143</v>
      </c>
      <c r="B178" s="10" t="s">
        <v>490</v>
      </c>
      <c r="C178" s="10" t="s">
        <v>491</v>
      </c>
      <c r="D178" s="10" t="s">
        <v>488</v>
      </c>
      <c r="E178" s="16">
        <v>39.799999999999997</v>
      </c>
      <c r="F178" s="10" t="s">
        <v>477</v>
      </c>
      <c r="G178" s="10" t="s">
        <v>489</v>
      </c>
      <c r="H178" s="11" t="str">
        <f t="shared" si="2"/>
        <v>Sim</v>
      </c>
    </row>
    <row r="179" spans="1:8" ht="26.4" x14ac:dyDescent="0.3">
      <c r="A179" s="12">
        <v>46143</v>
      </c>
      <c r="B179" s="10" t="s">
        <v>492</v>
      </c>
      <c r="C179" s="10" t="s">
        <v>493</v>
      </c>
      <c r="D179" s="10" t="s">
        <v>488</v>
      </c>
      <c r="E179" s="16">
        <v>42.5</v>
      </c>
      <c r="F179" s="10" t="s">
        <v>494</v>
      </c>
      <c r="G179" s="10" t="s">
        <v>489</v>
      </c>
      <c r="H179" s="11" t="str">
        <f t="shared" si="2"/>
        <v>Não</v>
      </c>
    </row>
    <row r="180" spans="1:8" x14ac:dyDescent="0.3">
      <c r="A180" s="12">
        <v>46143</v>
      </c>
      <c r="B180" s="10" t="s">
        <v>495</v>
      </c>
      <c r="C180" s="10" t="s">
        <v>496</v>
      </c>
      <c r="D180" s="10" t="s">
        <v>488</v>
      </c>
      <c r="E180" s="16">
        <v>9.6999999999999993</v>
      </c>
      <c r="F180" s="10" t="s">
        <v>477</v>
      </c>
      <c r="G180" s="10" t="s">
        <v>497</v>
      </c>
      <c r="H180" s="11" t="str">
        <f t="shared" si="2"/>
        <v>Sim</v>
      </c>
    </row>
    <row r="181" spans="1:8" ht="26.4" x14ac:dyDescent="0.3">
      <c r="A181" s="12">
        <v>46143</v>
      </c>
      <c r="B181" s="10" t="s">
        <v>498</v>
      </c>
      <c r="C181" s="10" t="s">
        <v>499</v>
      </c>
      <c r="D181" s="10" t="s">
        <v>488</v>
      </c>
      <c r="E181" s="16">
        <v>0</v>
      </c>
      <c r="F181" s="10" t="s">
        <v>477</v>
      </c>
      <c r="G181" s="10" t="s">
        <v>489</v>
      </c>
      <c r="H181" s="11" t="str">
        <f t="shared" si="2"/>
        <v>Sim</v>
      </c>
    </row>
    <row r="182" spans="1:8" x14ac:dyDescent="0.3">
      <c r="A182" s="12">
        <v>46174</v>
      </c>
      <c r="B182" s="10" t="s">
        <v>463</v>
      </c>
      <c r="C182" s="10" t="s">
        <v>464</v>
      </c>
      <c r="D182" s="10" t="s">
        <v>465</v>
      </c>
      <c r="E182" s="16">
        <v>1537.6</v>
      </c>
      <c r="F182" s="10" t="s">
        <v>466</v>
      </c>
      <c r="G182" s="10" t="s">
        <v>467</v>
      </c>
      <c r="H182" s="11" t="str">
        <f t="shared" si="2"/>
        <v>Sim</v>
      </c>
    </row>
    <row r="183" spans="1:8" x14ac:dyDescent="0.3">
      <c r="A183" s="12">
        <v>46174</v>
      </c>
      <c r="B183" s="10" t="s">
        <v>468</v>
      </c>
      <c r="C183" s="10" t="s">
        <v>469</v>
      </c>
      <c r="D183" s="10" t="s">
        <v>465</v>
      </c>
      <c r="E183" s="16">
        <v>3503.6</v>
      </c>
      <c r="F183" s="10" t="s">
        <v>466</v>
      </c>
      <c r="G183" s="10" t="s">
        <v>470</v>
      </c>
      <c r="H183" s="11" t="str">
        <f t="shared" si="2"/>
        <v>Sim</v>
      </c>
    </row>
    <row r="184" spans="1:8" x14ac:dyDescent="0.3">
      <c r="A184" s="12">
        <v>46174</v>
      </c>
      <c r="B184" s="10" t="s">
        <v>471</v>
      </c>
      <c r="C184" s="10" t="s">
        <v>472</v>
      </c>
      <c r="D184" s="10" t="s">
        <v>465</v>
      </c>
      <c r="E184" s="16">
        <v>1732.4</v>
      </c>
      <c r="F184" s="10" t="s">
        <v>466</v>
      </c>
      <c r="G184" s="10" t="s">
        <v>467</v>
      </c>
      <c r="H184" s="11" t="str">
        <f t="shared" si="2"/>
        <v>Sim</v>
      </c>
    </row>
    <row r="185" spans="1:8" x14ac:dyDescent="0.3">
      <c r="A185" s="12">
        <v>46174</v>
      </c>
      <c r="B185" s="10" t="s">
        <v>473</v>
      </c>
      <c r="C185" s="10" t="s">
        <v>474</v>
      </c>
      <c r="D185" s="10" t="s">
        <v>465</v>
      </c>
      <c r="E185" s="16">
        <v>1355.1</v>
      </c>
      <c r="F185" s="10" t="s">
        <v>466</v>
      </c>
      <c r="G185" s="10" t="s">
        <v>475</v>
      </c>
      <c r="H185" s="11" t="str">
        <f t="shared" si="2"/>
        <v>Sim</v>
      </c>
    </row>
    <row r="186" spans="1:8" x14ac:dyDescent="0.3">
      <c r="A186" s="12">
        <v>46174</v>
      </c>
      <c r="B186" s="10" t="s">
        <v>463</v>
      </c>
      <c r="C186" s="10" t="s">
        <v>476</v>
      </c>
      <c r="D186" s="10" t="s">
        <v>465</v>
      </c>
      <c r="E186" s="16">
        <v>353</v>
      </c>
      <c r="F186" s="10" t="s">
        <v>477</v>
      </c>
      <c r="G186" s="10" t="s">
        <v>467</v>
      </c>
      <c r="H186" s="11" t="str">
        <f t="shared" si="2"/>
        <v>Sim</v>
      </c>
    </row>
    <row r="187" spans="1:8" x14ac:dyDescent="0.3">
      <c r="A187" s="12">
        <v>46174</v>
      </c>
      <c r="B187" s="10" t="s">
        <v>478</v>
      </c>
      <c r="C187" s="10" t="s">
        <v>479</v>
      </c>
      <c r="D187" s="10" t="s">
        <v>465</v>
      </c>
      <c r="E187" s="16">
        <v>1982.9</v>
      </c>
      <c r="F187" s="10" t="s">
        <v>480</v>
      </c>
      <c r="G187" s="10" t="s">
        <v>481</v>
      </c>
      <c r="H187" s="11" t="str">
        <f t="shared" si="2"/>
        <v>Não</v>
      </c>
    </row>
    <row r="188" spans="1:8" x14ac:dyDescent="0.3">
      <c r="A188" s="12">
        <v>46174</v>
      </c>
      <c r="B188" s="10" t="s">
        <v>482</v>
      </c>
      <c r="C188" s="10" t="s">
        <v>483</v>
      </c>
      <c r="D188" s="10" t="s">
        <v>465</v>
      </c>
      <c r="E188" s="16">
        <v>329</v>
      </c>
      <c r="F188" s="10" t="s">
        <v>484</v>
      </c>
      <c r="G188" s="10" t="s">
        <v>485</v>
      </c>
      <c r="H188" s="11" t="str">
        <f t="shared" si="2"/>
        <v>Sim</v>
      </c>
    </row>
    <row r="189" spans="1:8" ht="26.4" x14ac:dyDescent="0.3">
      <c r="A189" s="12">
        <v>46174</v>
      </c>
      <c r="B189" s="10" t="s">
        <v>486</v>
      </c>
      <c r="C189" s="10" t="s">
        <v>487</v>
      </c>
      <c r="D189" s="10" t="s">
        <v>488</v>
      </c>
      <c r="E189" s="16">
        <v>16.3</v>
      </c>
      <c r="F189" s="10" t="s">
        <v>477</v>
      </c>
      <c r="G189" s="10" t="s">
        <v>489</v>
      </c>
      <c r="H189" s="11" t="str">
        <f t="shared" si="2"/>
        <v>Sim</v>
      </c>
    </row>
    <row r="190" spans="1:8" ht="26.4" x14ac:dyDescent="0.3">
      <c r="A190" s="12">
        <v>46174</v>
      </c>
      <c r="B190" s="10" t="s">
        <v>490</v>
      </c>
      <c r="C190" s="10" t="s">
        <v>491</v>
      </c>
      <c r="D190" s="10" t="s">
        <v>488</v>
      </c>
      <c r="E190" s="16">
        <v>32.1</v>
      </c>
      <c r="F190" s="10" t="s">
        <v>477</v>
      </c>
      <c r="G190" s="10" t="s">
        <v>489</v>
      </c>
      <c r="H190" s="11" t="str">
        <f t="shared" si="2"/>
        <v>Sim</v>
      </c>
    </row>
    <row r="191" spans="1:8" ht="26.4" x14ac:dyDescent="0.3">
      <c r="A191" s="12">
        <v>46174</v>
      </c>
      <c r="B191" s="10" t="s">
        <v>492</v>
      </c>
      <c r="C191" s="10" t="s">
        <v>493</v>
      </c>
      <c r="D191" s="10" t="s">
        <v>488</v>
      </c>
      <c r="E191" s="16">
        <v>39.1</v>
      </c>
      <c r="F191" s="10" t="s">
        <v>494</v>
      </c>
      <c r="G191" s="10" t="s">
        <v>489</v>
      </c>
      <c r="H191" s="11" t="str">
        <f t="shared" si="2"/>
        <v>Não</v>
      </c>
    </row>
    <row r="192" spans="1:8" x14ac:dyDescent="0.3">
      <c r="A192" s="12">
        <v>46174</v>
      </c>
      <c r="B192" s="10" t="s">
        <v>495</v>
      </c>
      <c r="C192" s="10" t="s">
        <v>496</v>
      </c>
      <c r="D192" s="10" t="s">
        <v>488</v>
      </c>
      <c r="E192" s="16">
        <v>198.2</v>
      </c>
      <c r="F192" s="10" t="s">
        <v>477</v>
      </c>
      <c r="G192" s="10" t="s">
        <v>497</v>
      </c>
      <c r="H192" s="11" t="str">
        <f t="shared" si="2"/>
        <v>Sim</v>
      </c>
    </row>
    <row r="193" spans="1:8" ht="26.4" x14ac:dyDescent="0.3">
      <c r="A193" s="12">
        <v>46174</v>
      </c>
      <c r="B193" s="10" t="s">
        <v>498</v>
      </c>
      <c r="C193" s="10" t="s">
        <v>499</v>
      </c>
      <c r="D193" s="10" t="s">
        <v>488</v>
      </c>
      <c r="E193" s="16">
        <v>0</v>
      </c>
      <c r="F193" s="10" t="s">
        <v>477</v>
      </c>
      <c r="G193" s="10" t="s">
        <v>489</v>
      </c>
      <c r="H193" s="11" t="str">
        <f t="shared" si="2"/>
        <v>Sim</v>
      </c>
    </row>
    <row r="194" spans="1:8" x14ac:dyDescent="0.3">
      <c r="A194" s="12">
        <v>46204</v>
      </c>
      <c r="B194" s="10" t="s">
        <v>463</v>
      </c>
      <c r="C194" s="10" t="s">
        <v>464</v>
      </c>
      <c r="D194" s="10" t="s">
        <v>465</v>
      </c>
      <c r="E194" s="16">
        <v>1730.3</v>
      </c>
      <c r="F194" s="10" t="s">
        <v>466</v>
      </c>
      <c r="G194" s="10" t="s">
        <v>467</v>
      </c>
      <c r="H194" s="11" t="str">
        <f t="shared" ref="H194:H257" si="3">IF(LEFT(F194,1)="R","Sim","Não")</f>
        <v>Sim</v>
      </c>
    </row>
    <row r="195" spans="1:8" x14ac:dyDescent="0.3">
      <c r="A195" s="12">
        <v>46204</v>
      </c>
      <c r="B195" s="10" t="s">
        <v>468</v>
      </c>
      <c r="C195" s="10" t="s">
        <v>469</v>
      </c>
      <c r="D195" s="10" t="s">
        <v>465</v>
      </c>
      <c r="E195" s="16">
        <v>3101</v>
      </c>
      <c r="F195" s="10" t="s">
        <v>466</v>
      </c>
      <c r="G195" s="10" t="s">
        <v>470</v>
      </c>
      <c r="H195" s="11" t="str">
        <f t="shared" si="3"/>
        <v>Sim</v>
      </c>
    </row>
    <row r="196" spans="1:8" x14ac:dyDescent="0.3">
      <c r="A196" s="12">
        <v>46204</v>
      </c>
      <c r="B196" s="10" t="s">
        <v>471</v>
      </c>
      <c r="C196" s="10" t="s">
        <v>472</v>
      </c>
      <c r="D196" s="10" t="s">
        <v>465</v>
      </c>
      <c r="E196" s="16">
        <v>1809.1</v>
      </c>
      <c r="F196" s="10" t="s">
        <v>466</v>
      </c>
      <c r="G196" s="10" t="s">
        <v>467</v>
      </c>
      <c r="H196" s="11" t="str">
        <f t="shared" si="3"/>
        <v>Sim</v>
      </c>
    </row>
    <row r="197" spans="1:8" x14ac:dyDescent="0.3">
      <c r="A197" s="12">
        <v>46204</v>
      </c>
      <c r="B197" s="10" t="s">
        <v>473</v>
      </c>
      <c r="C197" s="10" t="s">
        <v>474</v>
      </c>
      <c r="D197" s="10" t="s">
        <v>465</v>
      </c>
      <c r="E197" s="16">
        <v>1309.2</v>
      </c>
      <c r="F197" s="10" t="s">
        <v>466</v>
      </c>
      <c r="G197" s="10" t="s">
        <v>475</v>
      </c>
      <c r="H197" s="11" t="str">
        <f t="shared" si="3"/>
        <v>Sim</v>
      </c>
    </row>
    <row r="198" spans="1:8" x14ac:dyDescent="0.3">
      <c r="A198" s="12">
        <v>46204</v>
      </c>
      <c r="B198" s="10" t="s">
        <v>463</v>
      </c>
      <c r="C198" s="10" t="s">
        <v>476</v>
      </c>
      <c r="D198" s="10" t="s">
        <v>465</v>
      </c>
      <c r="E198" s="16">
        <v>332</v>
      </c>
      <c r="F198" s="10" t="s">
        <v>477</v>
      </c>
      <c r="G198" s="10" t="s">
        <v>467</v>
      </c>
      <c r="H198" s="11" t="str">
        <f t="shared" si="3"/>
        <v>Sim</v>
      </c>
    </row>
    <row r="199" spans="1:8" x14ac:dyDescent="0.3">
      <c r="A199" s="12">
        <v>46204</v>
      </c>
      <c r="B199" s="10" t="s">
        <v>478</v>
      </c>
      <c r="C199" s="10" t="s">
        <v>479</v>
      </c>
      <c r="D199" s="10" t="s">
        <v>465</v>
      </c>
      <c r="E199" s="16">
        <v>2289.3000000000002</v>
      </c>
      <c r="F199" s="10" t="s">
        <v>480</v>
      </c>
      <c r="G199" s="10" t="s">
        <v>481</v>
      </c>
      <c r="H199" s="11" t="str">
        <f t="shared" si="3"/>
        <v>Não</v>
      </c>
    </row>
    <row r="200" spans="1:8" x14ac:dyDescent="0.3">
      <c r="A200" s="12">
        <v>46204</v>
      </c>
      <c r="B200" s="10" t="s">
        <v>482</v>
      </c>
      <c r="C200" s="10" t="s">
        <v>483</v>
      </c>
      <c r="D200" s="10" t="s">
        <v>465</v>
      </c>
      <c r="E200" s="16">
        <v>243.2</v>
      </c>
      <c r="F200" s="10" t="s">
        <v>484</v>
      </c>
      <c r="G200" s="10" t="s">
        <v>485</v>
      </c>
      <c r="H200" s="11" t="str">
        <f t="shared" si="3"/>
        <v>Sim</v>
      </c>
    </row>
    <row r="201" spans="1:8" ht="26.4" x14ac:dyDescent="0.3">
      <c r="A201" s="12">
        <v>46204</v>
      </c>
      <c r="B201" s="10" t="s">
        <v>486</v>
      </c>
      <c r="C201" s="10" t="s">
        <v>487</v>
      </c>
      <c r="D201" s="10" t="s">
        <v>488</v>
      </c>
      <c r="E201" s="16">
        <v>35.6</v>
      </c>
      <c r="F201" s="10" t="s">
        <v>477</v>
      </c>
      <c r="G201" s="10" t="s">
        <v>489</v>
      </c>
      <c r="H201" s="11" t="str">
        <f t="shared" si="3"/>
        <v>Sim</v>
      </c>
    </row>
    <row r="202" spans="1:8" ht="26.4" x14ac:dyDescent="0.3">
      <c r="A202" s="12">
        <v>46204</v>
      </c>
      <c r="B202" s="10" t="s">
        <v>490</v>
      </c>
      <c r="C202" s="10" t="s">
        <v>491</v>
      </c>
      <c r="D202" s="10" t="s">
        <v>488</v>
      </c>
      <c r="E202" s="16">
        <v>39</v>
      </c>
      <c r="F202" s="10" t="s">
        <v>477</v>
      </c>
      <c r="G202" s="10" t="s">
        <v>489</v>
      </c>
      <c r="H202" s="11" t="str">
        <f t="shared" si="3"/>
        <v>Sim</v>
      </c>
    </row>
    <row r="203" spans="1:8" ht="26.4" x14ac:dyDescent="0.3">
      <c r="A203" s="12">
        <v>46204</v>
      </c>
      <c r="B203" s="10" t="s">
        <v>492</v>
      </c>
      <c r="C203" s="10" t="s">
        <v>493</v>
      </c>
      <c r="D203" s="10" t="s">
        <v>488</v>
      </c>
      <c r="E203" s="16">
        <v>57.9</v>
      </c>
      <c r="F203" s="10" t="s">
        <v>494</v>
      </c>
      <c r="G203" s="10" t="s">
        <v>489</v>
      </c>
      <c r="H203" s="11" t="str">
        <f t="shared" si="3"/>
        <v>Não</v>
      </c>
    </row>
    <row r="204" spans="1:8" x14ac:dyDescent="0.3">
      <c r="A204" s="12">
        <v>46204</v>
      </c>
      <c r="B204" s="10" t="s">
        <v>495</v>
      </c>
      <c r="C204" s="10" t="s">
        <v>496</v>
      </c>
      <c r="D204" s="10" t="s">
        <v>488</v>
      </c>
      <c r="E204" s="16">
        <v>12.9</v>
      </c>
      <c r="F204" s="10" t="s">
        <v>477</v>
      </c>
      <c r="G204" s="10" t="s">
        <v>497</v>
      </c>
      <c r="H204" s="11" t="str">
        <f t="shared" si="3"/>
        <v>Sim</v>
      </c>
    </row>
    <row r="205" spans="1:8" ht="26.4" x14ac:dyDescent="0.3">
      <c r="A205" s="12">
        <v>46204</v>
      </c>
      <c r="B205" s="10" t="s">
        <v>498</v>
      </c>
      <c r="C205" s="10" t="s">
        <v>499</v>
      </c>
      <c r="D205" s="10" t="s">
        <v>488</v>
      </c>
      <c r="E205" s="16">
        <v>0</v>
      </c>
      <c r="F205" s="10" t="s">
        <v>477</v>
      </c>
      <c r="G205" s="10" t="s">
        <v>489</v>
      </c>
      <c r="H205" s="11" t="str">
        <f t="shared" si="3"/>
        <v>Sim</v>
      </c>
    </row>
    <row r="206" spans="1:8" x14ac:dyDescent="0.3">
      <c r="A206" s="12">
        <v>46235</v>
      </c>
      <c r="B206" s="10" t="s">
        <v>463</v>
      </c>
      <c r="C206" s="10" t="s">
        <v>464</v>
      </c>
      <c r="D206" s="10" t="s">
        <v>465</v>
      </c>
      <c r="E206" s="16">
        <v>1937.1</v>
      </c>
      <c r="F206" s="10" t="s">
        <v>466</v>
      </c>
      <c r="G206" s="10" t="s">
        <v>467</v>
      </c>
      <c r="H206" s="11" t="str">
        <f t="shared" si="3"/>
        <v>Sim</v>
      </c>
    </row>
    <row r="207" spans="1:8" x14ac:dyDescent="0.3">
      <c r="A207" s="12">
        <v>46235</v>
      </c>
      <c r="B207" s="10" t="s">
        <v>468</v>
      </c>
      <c r="C207" s="10" t="s">
        <v>469</v>
      </c>
      <c r="D207" s="10" t="s">
        <v>465</v>
      </c>
      <c r="E207" s="16">
        <v>3665.7</v>
      </c>
      <c r="F207" s="10" t="s">
        <v>466</v>
      </c>
      <c r="G207" s="10" t="s">
        <v>470</v>
      </c>
      <c r="H207" s="11" t="str">
        <f t="shared" si="3"/>
        <v>Sim</v>
      </c>
    </row>
    <row r="208" spans="1:8" x14ac:dyDescent="0.3">
      <c r="A208" s="12">
        <v>46235</v>
      </c>
      <c r="B208" s="10" t="s">
        <v>471</v>
      </c>
      <c r="C208" s="10" t="s">
        <v>472</v>
      </c>
      <c r="D208" s="10" t="s">
        <v>465</v>
      </c>
      <c r="E208" s="16">
        <v>1558.8</v>
      </c>
      <c r="F208" s="10" t="s">
        <v>466</v>
      </c>
      <c r="G208" s="10" t="s">
        <v>467</v>
      </c>
      <c r="H208" s="11" t="str">
        <f t="shared" si="3"/>
        <v>Sim</v>
      </c>
    </row>
    <row r="209" spans="1:8" x14ac:dyDescent="0.3">
      <c r="A209" s="12">
        <v>46235</v>
      </c>
      <c r="B209" s="10" t="s">
        <v>473</v>
      </c>
      <c r="C209" s="10" t="s">
        <v>474</v>
      </c>
      <c r="D209" s="10" t="s">
        <v>465</v>
      </c>
      <c r="E209" s="16">
        <v>891.6</v>
      </c>
      <c r="F209" s="10" t="s">
        <v>466</v>
      </c>
      <c r="G209" s="10" t="s">
        <v>475</v>
      </c>
      <c r="H209" s="11" t="str">
        <f t="shared" si="3"/>
        <v>Sim</v>
      </c>
    </row>
    <row r="210" spans="1:8" x14ac:dyDescent="0.3">
      <c r="A210" s="12">
        <v>46235</v>
      </c>
      <c r="B210" s="10" t="s">
        <v>463</v>
      </c>
      <c r="C210" s="10" t="s">
        <v>476</v>
      </c>
      <c r="D210" s="10" t="s">
        <v>465</v>
      </c>
      <c r="E210" s="16">
        <v>399.5</v>
      </c>
      <c r="F210" s="10" t="s">
        <v>477</v>
      </c>
      <c r="G210" s="10" t="s">
        <v>467</v>
      </c>
      <c r="H210" s="11" t="str">
        <f t="shared" si="3"/>
        <v>Sim</v>
      </c>
    </row>
    <row r="211" spans="1:8" x14ac:dyDescent="0.3">
      <c r="A211" s="12">
        <v>46235</v>
      </c>
      <c r="B211" s="10" t="s">
        <v>478</v>
      </c>
      <c r="C211" s="10" t="s">
        <v>479</v>
      </c>
      <c r="D211" s="10" t="s">
        <v>465</v>
      </c>
      <c r="E211" s="16">
        <v>1865.2</v>
      </c>
      <c r="F211" s="10" t="s">
        <v>480</v>
      </c>
      <c r="G211" s="10" t="s">
        <v>481</v>
      </c>
      <c r="H211" s="11" t="str">
        <f t="shared" si="3"/>
        <v>Não</v>
      </c>
    </row>
    <row r="212" spans="1:8" x14ac:dyDescent="0.3">
      <c r="A212" s="12">
        <v>46235</v>
      </c>
      <c r="B212" s="10" t="s">
        <v>482</v>
      </c>
      <c r="C212" s="10" t="s">
        <v>483</v>
      </c>
      <c r="D212" s="10" t="s">
        <v>465</v>
      </c>
      <c r="E212" s="16">
        <v>253.3</v>
      </c>
      <c r="F212" s="10" t="s">
        <v>484</v>
      </c>
      <c r="G212" s="10" t="s">
        <v>485</v>
      </c>
      <c r="H212" s="11" t="str">
        <f t="shared" si="3"/>
        <v>Sim</v>
      </c>
    </row>
    <row r="213" spans="1:8" ht="26.4" x14ac:dyDescent="0.3">
      <c r="A213" s="12">
        <v>46235</v>
      </c>
      <c r="B213" s="10" t="s">
        <v>486</v>
      </c>
      <c r="C213" s="10" t="s">
        <v>487</v>
      </c>
      <c r="D213" s="10" t="s">
        <v>488</v>
      </c>
      <c r="E213" s="16">
        <v>26.4</v>
      </c>
      <c r="F213" s="10" t="s">
        <v>477</v>
      </c>
      <c r="G213" s="10" t="s">
        <v>489</v>
      </c>
      <c r="H213" s="11" t="str">
        <f t="shared" si="3"/>
        <v>Sim</v>
      </c>
    </row>
    <row r="214" spans="1:8" ht="26.4" x14ac:dyDescent="0.3">
      <c r="A214" s="12">
        <v>46235</v>
      </c>
      <c r="B214" s="10" t="s">
        <v>490</v>
      </c>
      <c r="C214" s="10" t="s">
        <v>491</v>
      </c>
      <c r="D214" s="10" t="s">
        <v>488</v>
      </c>
      <c r="E214" s="16">
        <v>35.200000000000003</v>
      </c>
      <c r="F214" s="10" t="s">
        <v>477</v>
      </c>
      <c r="G214" s="10" t="s">
        <v>489</v>
      </c>
      <c r="H214" s="11" t="str">
        <f t="shared" si="3"/>
        <v>Sim</v>
      </c>
    </row>
    <row r="215" spans="1:8" ht="26.4" x14ac:dyDescent="0.3">
      <c r="A215" s="12">
        <v>46235</v>
      </c>
      <c r="B215" s="10" t="s">
        <v>492</v>
      </c>
      <c r="C215" s="10" t="s">
        <v>493</v>
      </c>
      <c r="D215" s="10" t="s">
        <v>488</v>
      </c>
      <c r="E215" s="16">
        <v>54.8</v>
      </c>
      <c r="F215" s="10" t="s">
        <v>494</v>
      </c>
      <c r="G215" s="10" t="s">
        <v>489</v>
      </c>
      <c r="H215" s="11" t="str">
        <f t="shared" si="3"/>
        <v>Não</v>
      </c>
    </row>
    <row r="216" spans="1:8" x14ac:dyDescent="0.3">
      <c r="A216" s="12">
        <v>46235</v>
      </c>
      <c r="B216" s="10" t="s">
        <v>495</v>
      </c>
      <c r="C216" s="10" t="s">
        <v>496</v>
      </c>
      <c r="D216" s="10" t="s">
        <v>488</v>
      </c>
      <c r="E216" s="16">
        <v>12.6</v>
      </c>
      <c r="F216" s="10" t="s">
        <v>477</v>
      </c>
      <c r="G216" s="10" t="s">
        <v>497</v>
      </c>
      <c r="H216" s="11" t="str">
        <f t="shared" si="3"/>
        <v>Sim</v>
      </c>
    </row>
    <row r="217" spans="1:8" ht="26.4" x14ac:dyDescent="0.3">
      <c r="A217" s="12">
        <v>46235</v>
      </c>
      <c r="B217" s="10" t="s">
        <v>498</v>
      </c>
      <c r="C217" s="10" t="s">
        <v>499</v>
      </c>
      <c r="D217" s="10" t="s">
        <v>488</v>
      </c>
      <c r="E217" s="16">
        <v>0</v>
      </c>
      <c r="F217" s="10" t="s">
        <v>477</v>
      </c>
      <c r="G217" s="10" t="s">
        <v>489</v>
      </c>
      <c r="H217" s="11" t="str">
        <f t="shared" si="3"/>
        <v>Sim</v>
      </c>
    </row>
    <row r="218" spans="1:8" x14ac:dyDescent="0.3">
      <c r="A218" s="12">
        <v>46266</v>
      </c>
      <c r="B218" s="10" t="s">
        <v>463</v>
      </c>
      <c r="C218" s="10" t="s">
        <v>464</v>
      </c>
      <c r="D218" s="10" t="s">
        <v>465</v>
      </c>
      <c r="E218" s="16">
        <v>2037.5</v>
      </c>
      <c r="F218" s="10" t="s">
        <v>466</v>
      </c>
      <c r="G218" s="10" t="s">
        <v>467</v>
      </c>
      <c r="H218" s="11" t="str">
        <f t="shared" si="3"/>
        <v>Sim</v>
      </c>
    </row>
    <row r="219" spans="1:8" x14ac:dyDescent="0.3">
      <c r="A219" s="12">
        <v>46266</v>
      </c>
      <c r="B219" s="10" t="s">
        <v>468</v>
      </c>
      <c r="C219" s="10" t="s">
        <v>469</v>
      </c>
      <c r="D219" s="10" t="s">
        <v>465</v>
      </c>
      <c r="E219" s="16">
        <v>3429.3</v>
      </c>
      <c r="F219" s="10" t="s">
        <v>466</v>
      </c>
      <c r="G219" s="10" t="s">
        <v>470</v>
      </c>
      <c r="H219" s="11" t="str">
        <f t="shared" si="3"/>
        <v>Sim</v>
      </c>
    </row>
    <row r="220" spans="1:8" x14ac:dyDescent="0.3">
      <c r="A220" s="12">
        <v>46266</v>
      </c>
      <c r="B220" s="10" t="s">
        <v>471</v>
      </c>
      <c r="C220" s="10" t="s">
        <v>472</v>
      </c>
      <c r="D220" s="10" t="s">
        <v>465</v>
      </c>
      <c r="E220" s="16">
        <v>1706.6</v>
      </c>
      <c r="F220" s="10" t="s">
        <v>466</v>
      </c>
      <c r="G220" s="10" t="s">
        <v>467</v>
      </c>
      <c r="H220" s="11" t="str">
        <f t="shared" si="3"/>
        <v>Sim</v>
      </c>
    </row>
    <row r="221" spans="1:8" x14ac:dyDescent="0.3">
      <c r="A221" s="12">
        <v>46266</v>
      </c>
      <c r="B221" s="10" t="s">
        <v>473</v>
      </c>
      <c r="C221" s="10" t="s">
        <v>474</v>
      </c>
      <c r="D221" s="10" t="s">
        <v>465</v>
      </c>
      <c r="E221" s="16">
        <v>1261.3</v>
      </c>
      <c r="F221" s="10" t="s">
        <v>466</v>
      </c>
      <c r="G221" s="10" t="s">
        <v>475</v>
      </c>
      <c r="H221" s="11" t="str">
        <f t="shared" si="3"/>
        <v>Sim</v>
      </c>
    </row>
    <row r="222" spans="1:8" x14ac:dyDescent="0.3">
      <c r="A222" s="12">
        <v>46266</v>
      </c>
      <c r="B222" s="10" t="s">
        <v>463</v>
      </c>
      <c r="C222" s="10" t="s">
        <v>476</v>
      </c>
      <c r="D222" s="10" t="s">
        <v>465</v>
      </c>
      <c r="E222" s="16">
        <v>376.6</v>
      </c>
      <c r="F222" s="10" t="s">
        <v>477</v>
      </c>
      <c r="G222" s="10" t="s">
        <v>467</v>
      </c>
      <c r="H222" s="11" t="str">
        <f t="shared" si="3"/>
        <v>Sim</v>
      </c>
    </row>
    <row r="223" spans="1:8" x14ac:dyDescent="0.3">
      <c r="A223" s="12">
        <v>46266</v>
      </c>
      <c r="B223" s="10" t="s">
        <v>478</v>
      </c>
      <c r="C223" s="10" t="s">
        <v>479</v>
      </c>
      <c r="D223" s="10" t="s">
        <v>465</v>
      </c>
      <c r="E223" s="16">
        <v>2093.5</v>
      </c>
      <c r="F223" s="10" t="s">
        <v>480</v>
      </c>
      <c r="G223" s="10" t="s">
        <v>481</v>
      </c>
      <c r="H223" s="11" t="str">
        <f t="shared" si="3"/>
        <v>Não</v>
      </c>
    </row>
    <row r="224" spans="1:8" x14ac:dyDescent="0.3">
      <c r="A224" s="12">
        <v>46266</v>
      </c>
      <c r="B224" s="10" t="s">
        <v>482</v>
      </c>
      <c r="C224" s="10" t="s">
        <v>483</v>
      </c>
      <c r="D224" s="10" t="s">
        <v>465</v>
      </c>
      <c r="E224" s="16">
        <v>158.80000000000001</v>
      </c>
      <c r="F224" s="10" t="s">
        <v>484</v>
      </c>
      <c r="G224" s="10" t="s">
        <v>485</v>
      </c>
      <c r="H224" s="11" t="str">
        <f t="shared" si="3"/>
        <v>Sim</v>
      </c>
    </row>
    <row r="225" spans="1:8" ht="26.4" x14ac:dyDescent="0.3">
      <c r="A225" s="12">
        <v>46266</v>
      </c>
      <c r="B225" s="10" t="s">
        <v>486</v>
      </c>
      <c r="C225" s="10" t="s">
        <v>487</v>
      </c>
      <c r="D225" s="10" t="s">
        <v>488</v>
      </c>
      <c r="E225" s="16">
        <v>29.8</v>
      </c>
      <c r="F225" s="10" t="s">
        <v>477</v>
      </c>
      <c r="G225" s="10" t="s">
        <v>489</v>
      </c>
      <c r="H225" s="11" t="str">
        <f t="shared" si="3"/>
        <v>Sim</v>
      </c>
    </row>
    <row r="226" spans="1:8" ht="26.4" x14ac:dyDescent="0.3">
      <c r="A226" s="12">
        <v>46266</v>
      </c>
      <c r="B226" s="10" t="s">
        <v>490</v>
      </c>
      <c r="C226" s="10" t="s">
        <v>491</v>
      </c>
      <c r="D226" s="10" t="s">
        <v>488</v>
      </c>
      <c r="E226" s="16">
        <v>39</v>
      </c>
      <c r="F226" s="10" t="s">
        <v>477</v>
      </c>
      <c r="G226" s="10" t="s">
        <v>489</v>
      </c>
      <c r="H226" s="11" t="str">
        <f t="shared" si="3"/>
        <v>Sim</v>
      </c>
    </row>
    <row r="227" spans="1:8" ht="26.4" x14ac:dyDescent="0.3">
      <c r="A227" s="12">
        <v>46266</v>
      </c>
      <c r="B227" s="10" t="s">
        <v>492</v>
      </c>
      <c r="C227" s="10" t="s">
        <v>493</v>
      </c>
      <c r="D227" s="10" t="s">
        <v>488</v>
      </c>
      <c r="E227" s="16">
        <v>55.8</v>
      </c>
      <c r="F227" s="10" t="s">
        <v>494</v>
      </c>
      <c r="G227" s="10" t="s">
        <v>489</v>
      </c>
      <c r="H227" s="11" t="str">
        <f t="shared" si="3"/>
        <v>Não</v>
      </c>
    </row>
    <row r="228" spans="1:8" x14ac:dyDescent="0.3">
      <c r="A228" s="12">
        <v>46266</v>
      </c>
      <c r="B228" s="10" t="s">
        <v>495</v>
      </c>
      <c r="C228" s="10" t="s">
        <v>496</v>
      </c>
      <c r="D228" s="10" t="s">
        <v>488</v>
      </c>
      <c r="E228" s="16">
        <v>151.30000000000001</v>
      </c>
      <c r="F228" s="10" t="s">
        <v>477</v>
      </c>
      <c r="G228" s="10" t="s">
        <v>497</v>
      </c>
      <c r="H228" s="11" t="str">
        <f t="shared" si="3"/>
        <v>Sim</v>
      </c>
    </row>
    <row r="229" spans="1:8" ht="26.4" x14ac:dyDescent="0.3">
      <c r="A229" s="12">
        <v>46266</v>
      </c>
      <c r="B229" s="10" t="s">
        <v>498</v>
      </c>
      <c r="C229" s="10" t="s">
        <v>499</v>
      </c>
      <c r="D229" s="10" t="s">
        <v>488</v>
      </c>
      <c r="E229" s="16">
        <v>0</v>
      </c>
      <c r="F229" s="10" t="s">
        <v>477</v>
      </c>
      <c r="G229" s="10" t="s">
        <v>489</v>
      </c>
      <c r="H229" s="11" t="str">
        <f t="shared" si="3"/>
        <v>Sim</v>
      </c>
    </row>
    <row r="230" spans="1:8" x14ac:dyDescent="0.3">
      <c r="A230" s="12">
        <v>46296</v>
      </c>
      <c r="B230" s="10" t="s">
        <v>463</v>
      </c>
      <c r="C230" s="10" t="s">
        <v>464</v>
      </c>
      <c r="D230" s="10" t="s">
        <v>465</v>
      </c>
      <c r="E230" s="16">
        <v>1961.6</v>
      </c>
      <c r="F230" s="10" t="s">
        <v>466</v>
      </c>
      <c r="G230" s="10" t="s">
        <v>467</v>
      </c>
      <c r="H230" s="11" t="str">
        <f t="shared" si="3"/>
        <v>Sim</v>
      </c>
    </row>
    <row r="231" spans="1:8" x14ac:dyDescent="0.3">
      <c r="A231" s="12">
        <v>46296</v>
      </c>
      <c r="B231" s="10" t="s">
        <v>468</v>
      </c>
      <c r="C231" s="10" t="s">
        <v>469</v>
      </c>
      <c r="D231" s="10" t="s">
        <v>465</v>
      </c>
      <c r="E231" s="16">
        <v>3499.7</v>
      </c>
      <c r="F231" s="10" t="s">
        <v>466</v>
      </c>
      <c r="G231" s="10" t="s">
        <v>470</v>
      </c>
      <c r="H231" s="11" t="str">
        <f t="shared" si="3"/>
        <v>Sim</v>
      </c>
    </row>
    <row r="232" spans="1:8" x14ac:dyDescent="0.3">
      <c r="A232" s="12">
        <v>46296</v>
      </c>
      <c r="B232" s="10" t="s">
        <v>471</v>
      </c>
      <c r="C232" s="10" t="s">
        <v>472</v>
      </c>
      <c r="D232" s="10" t="s">
        <v>465</v>
      </c>
      <c r="E232" s="16">
        <v>1564.1</v>
      </c>
      <c r="F232" s="10" t="s">
        <v>466</v>
      </c>
      <c r="G232" s="10" t="s">
        <v>467</v>
      </c>
      <c r="H232" s="11" t="str">
        <f t="shared" si="3"/>
        <v>Sim</v>
      </c>
    </row>
    <row r="233" spans="1:8" x14ac:dyDescent="0.3">
      <c r="A233" s="12">
        <v>46296</v>
      </c>
      <c r="B233" s="10" t="s">
        <v>473</v>
      </c>
      <c r="C233" s="10" t="s">
        <v>474</v>
      </c>
      <c r="D233" s="10" t="s">
        <v>465</v>
      </c>
      <c r="E233" s="16">
        <v>1124.0999999999999</v>
      </c>
      <c r="F233" s="10" t="s">
        <v>466</v>
      </c>
      <c r="G233" s="10" t="s">
        <v>475</v>
      </c>
      <c r="H233" s="11" t="str">
        <f t="shared" si="3"/>
        <v>Sim</v>
      </c>
    </row>
    <row r="234" spans="1:8" x14ac:dyDescent="0.3">
      <c r="A234" s="12">
        <v>46296</v>
      </c>
      <c r="B234" s="10" t="s">
        <v>463</v>
      </c>
      <c r="C234" s="10" t="s">
        <v>476</v>
      </c>
      <c r="D234" s="10" t="s">
        <v>465</v>
      </c>
      <c r="E234" s="16">
        <v>377.9</v>
      </c>
      <c r="F234" s="10" t="s">
        <v>477</v>
      </c>
      <c r="G234" s="10" t="s">
        <v>467</v>
      </c>
      <c r="H234" s="11" t="str">
        <f t="shared" si="3"/>
        <v>Sim</v>
      </c>
    </row>
    <row r="235" spans="1:8" x14ac:dyDescent="0.3">
      <c r="A235" s="12">
        <v>46296</v>
      </c>
      <c r="B235" s="10" t="s">
        <v>478</v>
      </c>
      <c r="C235" s="10" t="s">
        <v>479</v>
      </c>
      <c r="D235" s="10" t="s">
        <v>465</v>
      </c>
      <c r="E235" s="16">
        <v>2503.5</v>
      </c>
      <c r="F235" s="10" t="s">
        <v>480</v>
      </c>
      <c r="G235" s="10" t="s">
        <v>481</v>
      </c>
      <c r="H235" s="11" t="str">
        <f t="shared" si="3"/>
        <v>Não</v>
      </c>
    </row>
    <row r="236" spans="1:8" x14ac:dyDescent="0.3">
      <c r="A236" s="12">
        <v>46296</v>
      </c>
      <c r="B236" s="10" t="s">
        <v>482</v>
      </c>
      <c r="C236" s="10" t="s">
        <v>483</v>
      </c>
      <c r="D236" s="10" t="s">
        <v>465</v>
      </c>
      <c r="E236" s="16">
        <v>239.3</v>
      </c>
      <c r="F236" s="10" t="s">
        <v>484</v>
      </c>
      <c r="G236" s="10" t="s">
        <v>485</v>
      </c>
      <c r="H236" s="11" t="str">
        <f t="shared" si="3"/>
        <v>Sim</v>
      </c>
    </row>
    <row r="237" spans="1:8" ht="26.4" x14ac:dyDescent="0.3">
      <c r="A237" s="12">
        <v>46296</v>
      </c>
      <c r="B237" s="10" t="s">
        <v>486</v>
      </c>
      <c r="C237" s="10" t="s">
        <v>487</v>
      </c>
      <c r="D237" s="10" t="s">
        <v>488</v>
      </c>
      <c r="E237" s="16">
        <v>32.700000000000003</v>
      </c>
      <c r="F237" s="10" t="s">
        <v>477</v>
      </c>
      <c r="G237" s="10" t="s">
        <v>489</v>
      </c>
      <c r="H237" s="11" t="str">
        <f t="shared" si="3"/>
        <v>Sim</v>
      </c>
    </row>
    <row r="238" spans="1:8" ht="26.4" x14ac:dyDescent="0.3">
      <c r="A238" s="12">
        <v>46296</v>
      </c>
      <c r="B238" s="10" t="s">
        <v>490</v>
      </c>
      <c r="C238" s="10" t="s">
        <v>491</v>
      </c>
      <c r="D238" s="10" t="s">
        <v>488</v>
      </c>
      <c r="E238" s="16">
        <v>43.5</v>
      </c>
      <c r="F238" s="10" t="s">
        <v>477</v>
      </c>
      <c r="G238" s="10" t="s">
        <v>489</v>
      </c>
      <c r="H238" s="11" t="str">
        <f t="shared" si="3"/>
        <v>Sim</v>
      </c>
    </row>
    <row r="239" spans="1:8" ht="26.4" x14ac:dyDescent="0.3">
      <c r="A239" s="12">
        <v>46296</v>
      </c>
      <c r="B239" s="10" t="s">
        <v>492</v>
      </c>
      <c r="C239" s="10" t="s">
        <v>493</v>
      </c>
      <c r="D239" s="10" t="s">
        <v>488</v>
      </c>
      <c r="E239" s="16">
        <v>57</v>
      </c>
      <c r="F239" s="10" t="s">
        <v>494</v>
      </c>
      <c r="G239" s="10" t="s">
        <v>489</v>
      </c>
      <c r="H239" s="11" t="str">
        <f t="shared" si="3"/>
        <v>Não</v>
      </c>
    </row>
    <row r="240" spans="1:8" x14ac:dyDescent="0.3">
      <c r="A240" s="12">
        <v>46296</v>
      </c>
      <c r="B240" s="10" t="s">
        <v>495</v>
      </c>
      <c r="C240" s="10" t="s">
        <v>496</v>
      </c>
      <c r="D240" s="10" t="s">
        <v>488</v>
      </c>
      <c r="E240" s="16">
        <v>10.3</v>
      </c>
      <c r="F240" s="10" t="s">
        <v>477</v>
      </c>
      <c r="G240" s="10" t="s">
        <v>497</v>
      </c>
      <c r="H240" s="11" t="str">
        <f t="shared" si="3"/>
        <v>Sim</v>
      </c>
    </row>
    <row r="241" spans="1:8" ht="26.4" x14ac:dyDescent="0.3">
      <c r="A241" s="12">
        <v>46296</v>
      </c>
      <c r="B241" s="10" t="s">
        <v>498</v>
      </c>
      <c r="C241" s="10" t="s">
        <v>499</v>
      </c>
      <c r="D241" s="10" t="s">
        <v>488</v>
      </c>
      <c r="E241" s="16">
        <v>6.4</v>
      </c>
      <c r="F241" s="10" t="s">
        <v>477</v>
      </c>
      <c r="G241" s="10" t="s">
        <v>489</v>
      </c>
      <c r="H241" s="11" t="str">
        <f t="shared" si="3"/>
        <v>Sim</v>
      </c>
    </row>
    <row r="242" spans="1:8" x14ac:dyDescent="0.3">
      <c r="A242" s="12">
        <v>46327</v>
      </c>
      <c r="B242" s="10" t="s">
        <v>463</v>
      </c>
      <c r="C242" s="10" t="s">
        <v>464</v>
      </c>
      <c r="D242" s="10" t="s">
        <v>465</v>
      </c>
      <c r="E242" s="16">
        <v>1925.6</v>
      </c>
      <c r="F242" s="10" t="s">
        <v>466</v>
      </c>
      <c r="G242" s="10" t="s">
        <v>467</v>
      </c>
      <c r="H242" s="11" t="str">
        <f t="shared" si="3"/>
        <v>Sim</v>
      </c>
    </row>
    <row r="243" spans="1:8" x14ac:dyDescent="0.3">
      <c r="A243" s="12">
        <v>46327</v>
      </c>
      <c r="B243" s="10" t="s">
        <v>468</v>
      </c>
      <c r="C243" s="10" t="s">
        <v>469</v>
      </c>
      <c r="D243" s="10" t="s">
        <v>465</v>
      </c>
      <c r="E243" s="16">
        <v>3402.2</v>
      </c>
      <c r="F243" s="10" t="s">
        <v>466</v>
      </c>
      <c r="G243" s="10" t="s">
        <v>470</v>
      </c>
      <c r="H243" s="11" t="str">
        <f t="shared" si="3"/>
        <v>Sim</v>
      </c>
    </row>
    <row r="244" spans="1:8" x14ac:dyDescent="0.3">
      <c r="A244" s="12">
        <v>46327</v>
      </c>
      <c r="B244" s="10" t="s">
        <v>471</v>
      </c>
      <c r="C244" s="10" t="s">
        <v>472</v>
      </c>
      <c r="D244" s="10" t="s">
        <v>465</v>
      </c>
      <c r="E244" s="16">
        <v>1777.9</v>
      </c>
      <c r="F244" s="10" t="s">
        <v>466</v>
      </c>
      <c r="G244" s="10" t="s">
        <v>467</v>
      </c>
      <c r="H244" s="11" t="str">
        <f t="shared" si="3"/>
        <v>Sim</v>
      </c>
    </row>
    <row r="245" spans="1:8" x14ac:dyDescent="0.3">
      <c r="A245" s="12">
        <v>46327</v>
      </c>
      <c r="B245" s="10" t="s">
        <v>473</v>
      </c>
      <c r="C245" s="10" t="s">
        <v>474</v>
      </c>
      <c r="D245" s="10" t="s">
        <v>465</v>
      </c>
      <c r="E245" s="16">
        <v>1020.1</v>
      </c>
      <c r="F245" s="10" t="s">
        <v>466</v>
      </c>
      <c r="G245" s="10" t="s">
        <v>475</v>
      </c>
      <c r="H245" s="11" t="str">
        <f t="shared" si="3"/>
        <v>Sim</v>
      </c>
    </row>
    <row r="246" spans="1:8" x14ac:dyDescent="0.3">
      <c r="A246" s="12">
        <v>46327</v>
      </c>
      <c r="B246" s="10" t="s">
        <v>463</v>
      </c>
      <c r="C246" s="10" t="s">
        <v>476</v>
      </c>
      <c r="D246" s="10" t="s">
        <v>465</v>
      </c>
      <c r="E246" s="16">
        <v>363.1</v>
      </c>
      <c r="F246" s="10" t="s">
        <v>477</v>
      </c>
      <c r="G246" s="10" t="s">
        <v>467</v>
      </c>
      <c r="H246" s="11" t="str">
        <f t="shared" si="3"/>
        <v>Sim</v>
      </c>
    </row>
    <row r="247" spans="1:8" x14ac:dyDescent="0.3">
      <c r="A247" s="12">
        <v>46327</v>
      </c>
      <c r="B247" s="10" t="s">
        <v>478</v>
      </c>
      <c r="C247" s="10" t="s">
        <v>479</v>
      </c>
      <c r="D247" s="10" t="s">
        <v>465</v>
      </c>
      <c r="E247" s="16">
        <v>2073</v>
      </c>
      <c r="F247" s="10" t="s">
        <v>480</v>
      </c>
      <c r="G247" s="10" t="s">
        <v>481</v>
      </c>
      <c r="H247" s="11" t="str">
        <f t="shared" si="3"/>
        <v>Não</v>
      </c>
    </row>
    <row r="248" spans="1:8" x14ac:dyDescent="0.3">
      <c r="A248" s="12">
        <v>46327</v>
      </c>
      <c r="B248" s="10" t="s">
        <v>482</v>
      </c>
      <c r="C248" s="10" t="s">
        <v>483</v>
      </c>
      <c r="D248" s="10" t="s">
        <v>465</v>
      </c>
      <c r="E248" s="16">
        <v>144.19999999999999</v>
      </c>
      <c r="F248" s="10" t="s">
        <v>484</v>
      </c>
      <c r="G248" s="10" t="s">
        <v>485</v>
      </c>
      <c r="H248" s="11" t="str">
        <f t="shared" si="3"/>
        <v>Sim</v>
      </c>
    </row>
    <row r="249" spans="1:8" ht="26.4" x14ac:dyDescent="0.3">
      <c r="A249" s="12">
        <v>46327</v>
      </c>
      <c r="B249" s="10" t="s">
        <v>486</v>
      </c>
      <c r="C249" s="10" t="s">
        <v>487</v>
      </c>
      <c r="D249" s="10" t="s">
        <v>488</v>
      </c>
      <c r="E249" s="16">
        <v>27.2</v>
      </c>
      <c r="F249" s="10" t="s">
        <v>477</v>
      </c>
      <c r="G249" s="10" t="s">
        <v>489</v>
      </c>
      <c r="H249" s="11" t="str">
        <f t="shared" si="3"/>
        <v>Sim</v>
      </c>
    </row>
    <row r="250" spans="1:8" ht="26.4" x14ac:dyDescent="0.3">
      <c r="A250" s="12">
        <v>46327</v>
      </c>
      <c r="B250" s="10" t="s">
        <v>490</v>
      </c>
      <c r="C250" s="10" t="s">
        <v>491</v>
      </c>
      <c r="D250" s="10" t="s">
        <v>488</v>
      </c>
      <c r="E250" s="16">
        <v>37.299999999999997</v>
      </c>
      <c r="F250" s="10" t="s">
        <v>477</v>
      </c>
      <c r="G250" s="10" t="s">
        <v>489</v>
      </c>
      <c r="H250" s="11" t="str">
        <f t="shared" si="3"/>
        <v>Sim</v>
      </c>
    </row>
    <row r="251" spans="1:8" ht="26.4" x14ac:dyDescent="0.3">
      <c r="A251" s="12">
        <v>46327</v>
      </c>
      <c r="B251" s="10" t="s">
        <v>492</v>
      </c>
      <c r="C251" s="10" t="s">
        <v>493</v>
      </c>
      <c r="D251" s="10" t="s">
        <v>488</v>
      </c>
      <c r="E251" s="16">
        <v>41.5</v>
      </c>
      <c r="F251" s="10" t="s">
        <v>494</v>
      </c>
      <c r="G251" s="10" t="s">
        <v>489</v>
      </c>
      <c r="H251" s="11" t="str">
        <f t="shared" si="3"/>
        <v>Não</v>
      </c>
    </row>
    <row r="252" spans="1:8" x14ac:dyDescent="0.3">
      <c r="A252" s="12">
        <v>46327</v>
      </c>
      <c r="B252" s="10" t="s">
        <v>495</v>
      </c>
      <c r="C252" s="10" t="s">
        <v>496</v>
      </c>
      <c r="D252" s="10" t="s">
        <v>488</v>
      </c>
      <c r="E252" s="16">
        <v>11</v>
      </c>
      <c r="F252" s="10" t="s">
        <v>477</v>
      </c>
      <c r="G252" s="10" t="s">
        <v>497</v>
      </c>
      <c r="H252" s="11" t="str">
        <f t="shared" si="3"/>
        <v>Sim</v>
      </c>
    </row>
    <row r="253" spans="1:8" ht="26.4" x14ac:dyDescent="0.3">
      <c r="A253" s="12">
        <v>46327</v>
      </c>
      <c r="B253" s="10" t="s">
        <v>498</v>
      </c>
      <c r="C253" s="10" t="s">
        <v>499</v>
      </c>
      <c r="D253" s="10" t="s">
        <v>488</v>
      </c>
      <c r="E253" s="16">
        <v>0</v>
      </c>
      <c r="F253" s="10" t="s">
        <v>477</v>
      </c>
      <c r="G253" s="10" t="s">
        <v>489</v>
      </c>
      <c r="H253" s="11" t="str">
        <f t="shared" si="3"/>
        <v>Sim</v>
      </c>
    </row>
    <row r="254" spans="1:8" x14ac:dyDescent="0.3">
      <c r="A254" s="12">
        <v>46357</v>
      </c>
      <c r="B254" s="10" t="s">
        <v>463</v>
      </c>
      <c r="C254" s="10" t="s">
        <v>464</v>
      </c>
      <c r="D254" s="10" t="s">
        <v>465</v>
      </c>
      <c r="E254" s="16">
        <v>1881.1</v>
      </c>
      <c r="F254" s="10" t="s">
        <v>466</v>
      </c>
      <c r="G254" s="10" t="s">
        <v>467</v>
      </c>
      <c r="H254" s="11" t="str">
        <f t="shared" si="3"/>
        <v>Sim</v>
      </c>
    </row>
    <row r="255" spans="1:8" x14ac:dyDescent="0.3">
      <c r="A255" s="12">
        <v>46357</v>
      </c>
      <c r="B255" s="10" t="s">
        <v>468</v>
      </c>
      <c r="C255" s="10" t="s">
        <v>469</v>
      </c>
      <c r="D255" s="10" t="s">
        <v>465</v>
      </c>
      <c r="E255" s="16">
        <v>2973.7</v>
      </c>
      <c r="F255" s="10" t="s">
        <v>466</v>
      </c>
      <c r="G255" s="10" t="s">
        <v>470</v>
      </c>
      <c r="H255" s="11" t="str">
        <f t="shared" si="3"/>
        <v>Sim</v>
      </c>
    </row>
    <row r="256" spans="1:8" x14ac:dyDescent="0.3">
      <c r="A256" s="12">
        <v>46357</v>
      </c>
      <c r="B256" s="10" t="s">
        <v>471</v>
      </c>
      <c r="C256" s="10" t="s">
        <v>472</v>
      </c>
      <c r="D256" s="10" t="s">
        <v>465</v>
      </c>
      <c r="E256" s="16">
        <v>1679.4</v>
      </c>
      <c r="F256" s="10" t="s">
        <v>466</v>
      </c>
      <c r="G256" s="10" t="s">
        <v>467</v>
      </c>
      <c r="H256" s="11" t="str">
        <f t="shared" si="3"/>
        <v>Sim</v>
      </c>
    </row>
    <row r="257" spans="1:8" x14ac:dyDescent="0.3">
      <c r="A257" s="12">
        <v>46357</v>
      </c>
      <c r="B257" s="10" t="s">
        <v>473</v>
      </c>
      <c r="C257" s="10" t="s">
        <v>474</v>
      </c>
      <c r="D257" s="10" t="s">
        <v>465</v>
      </c>
      <c r="E257" s="16">
        <v>1150.7</v>
      </c>
      <c r="F257" s="10" t="s">
        <v>466</v>
      </c>
      <c r="G257" s="10" t="s">
        <v>475</v>
      </c>
      <c r="H257" s="11" t="str">
        <f t="shared" si="3"/>
        <v>Sim</v>
      </c>
    </row>
    <row r="258" spans="1:8" x14ac:dyDescent="0.3">
      <c r="A258" s="12">
        <v>46357</v>
      </c>
      <c r="B258" s="10" t="s">
        <v>463</v>
      </c>
      <c r="C258" s="10" t="s">
        <v>476</v>
      </c>
      <c r="D258" s="10" t="s">
        <v>465</v>
      </c>
      <c r="E258" s="16">
        <v>418.1</v>
      </c>
      <c r="F258" s="10" t="s">
        <v>477</v>
      </c>
      <c r="G258" s="10" t="s">
        <v>467</v>
      </c>
      <c r="H258" s="11" t="str">
        <f t="shared" ref="H258:H265" si="4">IF(LEFT(F258,1)="R","Sim","Não")</f>
        <v>Sim</v>
      </c>
    </row>
    <row r="259" spans="1:8" x14ac:dyDescent="0.3">
      <c r="A259" s="12">
        <v>46357</v>
      </c>
      <c r="B259" s="10" t="s">
        <v>478</v>
      </c>
      <c r="C259" s="10" t="s">
        <v>479</v>
      </c>
      <c r="D259" s="10" t="s">
        <v>465</v>
      </c>
      <c r="E259" s="16">
        <v>1783.3</v>
      </c>
      <c r="F259" s="10" t="s">
        <v>480</v>
      </c>
      <c r="G259" s="10" t="s">
        <v>481</v>
      </c>
      <c r="H259" s="11" t="str">
        <f t="shared" si="4"/>
        <v>Não</v>
      </c>
    </row>
    <row r="260" spans="1:8" x14ac:dyDescent="0.3">
      <c r="A260" s="12">
        <v>46357</v>
      </c>
      <c r="B260" s="10" t="s">
        <v>482</v>
      </c>
      <c r="C260" s="10" t="s">
        <v>483</v>
      </c>
      <c r="D260" s="10" t="s">
        <v>465</v>
      </c>
      <c r="E260" s="16">
        <v>314.2</v>
      </c>
      <c r="F260" s="10" t="s">
        <v>484</v>
      </c>
      <c r="G260" s="10" t="s">
        <v>485</v>
      </c>
      <c r="H260" s="11" t="str">
        <f t="shared" si="4"/>
        <v>Sim</v>
      </c>
    </row>
    <row r="261" spans="1:8" ht="26.4" x14ac:dyDescent="0.3">
      <c r="A261" s="12">
        <v>46357</v>
      </c>
      <c r="B261" s="10" t="s">
        <v>486</v>
      </c>
      <c r="C261" s="10" t="s">
        <v>487</v>
      </c>
      <c r="D261" s="10" t="s">
        <v>488</v>
      </c>
      <c r="E261" s="16">
        <v>25.1</v>
      </c>
      <c r="F261" s="10" t="s">
        <v>477</v>
      </c>
      <c r="G261" s="10" t="s">
        <v>489</v>
      </c>
      <c r="H261" s="11" t="str">
        <f t="shared" si="4"/>
        <v>Sim</v>
      </c>
    </row>
    <row r="262" spans="1:8" ht="26.4" x14ac:dyDescent="0.3">
      <c r="A262" s="12">
        <v>46357</v>
      </c>
      <c r="B262" s="10" t="s">
        <v>490</v>
      </c>
      <c r="C262" s="10" t="s">
        <v>491</v>
      </c>
      <c r="D262" s="10" t="s">
        <v>488</v>
      </c>
      <c r="E262" s="16">
        <v>42.6</v>
      </c>
      <c r="F262" s="10" t="s">
        <v>477</v>
      </c>
      <c r="G262" s="10" t="s">
        <v>489</v>
      </c>
      <c r="H262" s="11" t="str">
        <f t="shared" si="4"/>
        <v>Sim</v>
      </c>
    </row>
    <row r="263" spans="1:8" ht="26.4" x14ac:dyDescent="0.3">
      <c r="A263" s="12">
        <v>46357</v>
      </c>
      <c r="B263" s="10" t="s">
        <v>492</v>
      </c>
      <c r="C263" s="10" t="s">
        <v>493</v>
      </c>
      <c r="D263" s="10" t="s">
        <v>488</v>
      </c>
      <c r="E263" s="16">
        <v>50.1</v>
      </c>
      <c r="F263" s="10" t="s">
        <v>494</v>
      </c>
      <c r="G263" s="10" t="s">
        <v>489</v>
      </c>
      <c r="H263" s="11" t="str">
        <f t="shared" si="4"/>
        <v>Não</v>
      </c>
    </row>
    <row r="264" spans="1:8" x14ac:dyDescent="0.3">
      <c r="A264" s="12">
        <v>46357</v>
      </c>
      <c r="B264" s="10" t="s">
        <v>495</v>
      </c>
      <c r="C264" s="10" t="s">
        <v>496</v>
      </c>
      <c r="D264" s="10" t="s">
        <v>488</v>
      </c>
      <c r="E264" s="16">
        <v>186.4</v>
      </c>
      <c r="F264" s="10" t="s">
        <v>477</v>
      </c>
      <c r="G264" s="10" t="s">
        <v>497</v>
      </c>
      <c r="H264" s="11" t="str">
        <f t="shared" si="4"/>
        <v>Sim</v>
      </c>
    </row>
    <row r="265" spans="1:8" ht="26.4" x14ac:dyDescent="0.3">
      <c r="A265" s="12">
        <v>46357</v>
      </c>
      <c r="B265" s="10" t="s">
        <v>498</v>
      </c>
      <c r="C265" s="10" t="s">
        <v>499</v>
      </c>
      <c r="D265" s="10" t="s">
        <v>488</v>
      </c>
      <c r="E265" s="16">
        <v>0</v>
      </c>
      <c r="F265" s="10" t="s">
        <v>477</v>
      </c>
      <c r="G265" s="10" t="s">
        <v>489</v>
      </c>
      <c r="H265" s="11" t="str">
        <f t="shared" si="4"/>
        <v>Sim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8" customWidth="1"/>
    <col min="3" max="3" width="13" customWidth="1"/>
    <col min="4" max="4" width="12" customWidth="1"/>
    <col min="5" max="5" width="11" customWidth="1"/>
    <col min="6" max="6" width="10" customWidth="1"/>
    <col min="7" max="7" width="11" customWidth="1"/>
    <col min="8" max="8" width="10" customWidth="1"/>
    <col min="9" max="13" width="11" customWidth="1"/>
    <col min="14" max="14" width="12" customWidth="1"/>
    <col min="15" max="15" width="10" customWidth="1"/>
    <col min="16" max="17" width="12" customWidth="1"/>
  </cols>
  <sheetData>
    <row r="1" spans="1:17" ht="17.399999999999999" x14ac:dyDescent="0.3">
      <c r="A1" s="1" t="s">
        <v>500</v>
      </c>
    </row>
    <row r="3" spans="1:17" ht="39.6" x14ac:dyDescent="0.3">
      <c r="A3" s="8" t="s">
        <v>501</v>
      </c>
      <c r="B3" s="8" t="s">
        <v>502</v>
      </c>
      <c r="C3" s="8" t="s">
        <v>503</v>
      </c>
      <c r="D3" s="8" t="s">
        <v>504</v>
      </c>
      <c r="E3" s="8" t="s">
        <v>505</v>
      </c>
      <c r="F3" s="8" t="s">
        <v>506</v>
      </c>
      <c r="G3" s="8" t="s">
        <v>507</v>
      </c>
      <c r="H3" s="8" t="s">
        <v>508</v>
      </c>
      <c r="I3" s="8" t="s">
        <v>509</v>
      </c>
      <c r="J3" s="8" t="s">
        <v>510</v>
      </c>
      <c r="K3" s="8" t="s">
        <v>511</v>
      </c>
      <c r="L3" s="8" t="s">
        <v>512</v>
      </c>
      <c r="M3" s="8" t="s">
        <v>513</v>
      </c>
      <c r="N3" s="8" t="s">
        <v>514</v>
      </c>
      <c r="O3" s="8" t="s">
        <v>515</v>
      </c>
      <c r="P3" s="8" t="s">
        <v>516</v>
      </c>
      <c r="Q3" s="8" t="s">
        <v>517</v>
      </c>
    </row>
    <row r="4" spans="1:17" x14ac:dyDescent="0.3">
      <c r="A4" s="22">
        <f>INDEX(Dim_Mes!$A$2:$A$23,1)</f>
        <v>45717</v>
      </c>
      <c r="B4" s="23">
        <f>INDEX(Dim_Mes!$E$2:$E$23,1)</f>
        <v>13.2</v>
      </c>
      <c r="C4" s="24">
        <f>SUMIFS(Producao_Mensal!$C$2:$C$89,Producao_Mensal!$A$2:$A$89,$A4,Producao_Mensal!$B$2:$B$89,"INJ")+SUMIFS(Producao_Mensal!$C$2:$C$89,Producao_Mensal!$A$2:$A$89,$A4,Producao_Mensal!$B$2:$B$89,"SOP")</f>
        <v>5201978</v>
      </c>
      <c r="D4" s="24">
        <f>SUMIFS(Dados_Ambientais!$E$2:$E$486,Dados_Ambientais!$A$2:$A$486,$A4,Dados_Ambientais!$C$2:$C$486,"ENE_TOTAL")</f>
        <v>568941.28</v>
      </c>
      <c r="E4" s="23">
        <f t="shared" ref="E4:E25" si="0">D4/C4*1000</f>
        <v>109.37018188081535</v>
      </c>
      <c r="F4" s="24">
        <f>SUMIFS(Dados_Ambientais!$E$2:$E$486,Dados_Ambientais!$A$2:$A$486,$A4,Dados_Ambientais!$C$2:$C$486,"AGUA_TOTAL")</f>
        <v>664.72</v>
      </c>
      <c r="G4" s="25">
        <f t="shared" ref="G4:G25" si="1">F4/C4*1000</f>
        <v>0.127782162861896</v>
      </c>
      <c r="H4" s="24">
        <f>SUMIFS(Dados_Ambientais!$E$2:$E$486,Dados_Ambientais!$A$2:$A$486,$A4,Dados_Ambientais!$C$2:$C$486,"SCRAP_KG")</f>
        <v>2594.09</v>
      </c>
      <c r="I4" s="25">
        <f t="shared" ref="I4:I25" si="2">H4/C4*1000</f>
        <v>0.49867377370684768</v>
      </c>
      <c r="J4" s="26">
        <f>SUMIFS(Dados_Ambientais!$E$2:$E$486,Dados_Ambientais!$A$2:$A$486,$A4,Dados_Ambientais!$C$2:$C$486,"REGRIND_KG")/H4</f>
        <v>0.363113847245084</v>
      </c>
      <c r="K4" s="24">
        <f>SUMIFS(Residuos_Mensais!$E$2:$E$265,Residuos_Mensais!$A$2:$A$265,$A4)</f>
        <v>11335.599999999999</v>
      </c>
      <c r="L4" s="26">
        <f>SUMIFS(Residuos_Mensais!$E$2:$E$265,Residuos_Mensais!$A$2:$A$265,$A4,Residuos_Mensais!$H$2:$H$265,"Sim")/K4</f>
        <v>0.79817565898584975</v>
      </c>
      <c r="M4" s="24">
        <f>SUMIFS(Residuos_Mensais!$E$2:$E$265,Residuos_Mensais!$A$2:$A$265,$A4,Residuos_Mensais!$D$2:$D$265,"Sim")</f>
        <v>302.90000000000003</v>
      </c>
      <c r="N4" s="24">
        <f>SUMIFS(Producao_Mensal!$C$2:$C$89,Producao_Mensal!$A$2:$A$89,$A4,Producao_Mensal!$B$2:$B$89,"SER")</f>
        <v>373701</v>
      </c>
      <c r="O4" s="27">
        <f>SUMIFS(Dados_Ambientais!$E$2:$E$486,Dados_Ambientais!$A$2:$A$486,$A4,Dados_Ambientais!$C$2:$C$486,"SOLVENTE_KG")</f>
        <v>60.61</v>
      </c>
      <c r="P4" s="25">
        <f t="shared" ref="P4:P25" si="3">O4/N4*1000</f>
        <v>0.16218848758767038</v>
      </c>
      <c r="Q4" s="27">
        <f>D4*INDEX(Parametros!$B$2:$B$25,22)/1000</f>
        <v>62.583540800000002</v>
      </c>
    </row>
    <row r="5" spans="1:17" x14ac:dyDescent="0.3">
      <c r="A5" s="22">
        <f>INDEX(Dim_Mes!$A$2:$A$23,2)</f>
        <v>45748</v>
      </c>
      <c r="B5" s="23">
        <f>INDEX(Dim_Mes!$E$2:$E$23,2)</f>
        <v>15.2</v>
      </c>
      <c r="C5" s="24">
        <f>SUMIFS(Producao_Mensal!$C$2:$C$89,Producao_Mensal!$A$2:$A$89,$A5,Producao_Mensal!$B$2:$B$89,"INJ")+SUMIFS(Producao_Mensal!$C$2:$C$89,Producao_Mensal!$A$2:$A$89,$A5,Producao_Mensal!$B$2:$B$89,"SOP")</f>
        <v>4867004</v>
      </c>
      <c r="D5" s="24">
        <f>SUMIFS(Dados_Ambientais!$E$2:$E$486,Dados_Ambientais!$A$2:$A$486,$A5,Dados_Ambientais!$C$2:$C$486,"ENE_TOTAL")</f>
        <v>545353.91</v>
      </c>
      <c r="E5" s="23">
        <f t="shared" si="0"/>
        <v>112.05125576227184</v>
      </c>
      <c r="F5" s="24">
        <f>SUMIFS(Dados_Ambientais!$E$2:$E$486,Dados_Ambientais!$A$2:$A$486,$A5,Dados_Ambientais!$C$2:$C$486,"AGUA_TOTAL")</f>
        <v>693.8</v>
      </c>
      <c r="G5" s="25">
        <f t="shared" si="1"/>
        <v>0.14255176285041066</v>
      </c>
      <c r="H5" s="24">
        <f>SUMIFS(Dados_Ambientais!$E$2:$E$486,Dados_Ambientais!$A$2:$A$486,$A5,Dados_Ambientais!$C$2:$C$486,"SCRAP_KG")</f>
        <v>2362.67</v>
      </c>
      <c r="I5" s="25">
        <f t="shared" si="2"/>
        <v>0.48544648822971997</v>
      </c>
      <c r="J5" s="26">
        <f>SUMIFS(Dados_Ambientais!$E$2:$E$486,Dados_Ambientais!$A$2:$A$486,$A5,Dados_Ambientais!$C$2:$C$486,"REGRIND_KG")/H5</f>
        <v>0.37189281617830672</v>
      </c>
      <c r="K5" s="24">
        <f>SUMIFS(Residuos_Mensais!$E$2:$E$265,Residuos_Mensais!$A$2:$A$265,$A5)</f>
        <v>10955.4</v>
      </c>
      <c r="L5" s="26">
        <f>SUMIFS(Residuos_Mensais!$E$2:$E$265,Residuos_Mensais!$A$2:$A$265,$A5,Residuos_Mensais!$H$2:$H$265,"Sim")/K5</f>
        <v>0.80010770944009335</v>
      </c>
      <c r="M5" s="24">
        <f>SUMIFS(Residuos_Mensais!$E$2:$E$265,Residuos_Mensais!$A$2:$A$265,$A5,Residuos_Mensais!$D$2:$D$265,"Sim")</f>
        <v>128.69999999999999</v>
      </c>
      <c r="N5" s="24">
        <f>SUMIFS(Producao_Mensal!$C$2:$C$89,Producao_Mensal!$A$2:$A$89,$A5,Producao_Mensal!$B$2:$B$89,"SER")</f>
        <v>352528</v>
      </c>
      <c r="O5" s="27">
        <f>SUMIFS(Dados_Ambientais!$E$2:$E$486,Dados_Ambientais!$A$2:$A$486,$A5,Dados_Ambientais!$C$2:$C$486,"SOLVENTE_KG")</f>
        <v>60.01</v>
      </c>
      <c r="P5" s="25">
        <f t="shared" si="3"/>
        <v>0.17022761312576587</v>
      </c>
      <c r="Q5" s="27">
        <f>D5*INDEX(Parametros!$B$2:$B$25,22)/1000</f>
        <v>59.988930100000005</v>
      </c>
    </row>
    <row r="6" spans="1:17" x14ac:dyDescent="0.3">
      <c r="A6" s="22">
        <f>INDEX(Dim_Mes!$A$2:$A$23,3)</f>
        <v>45778</v>
      </c>
      <c r="B6" s="23">
        <f>INDEX(Dim_Mes!$E$2:$E$23,3)</f>
        <v>16.8</v>
      </c>
      <c r="C6" s="24">
        <f>SUMIFS(Producao_Mensal!$C$2:$C$89,Producao_Mensal!$A$2:$A$89,$A6,Producao_Mensal!$B$2:$B$89,"INJ")+SUMIFS(Producao_Mensal!$C$2:$C$89,Producao_Mensal!$A$2:$A$89,$A6,Producao_Mensal!$B$2:$B$89,"SOP")</f>
        <v>5030597</v>
      </c>
      <c r="D6" s="24">
        <f>SUMIFS(Dados_Ambientais!$E$2:$E$486,Dados_Ambientais!$A$2:$A$486,$A6,Dados_Ambientais!$C$2:$C$486,"ENE_TOTAL")</f>
        <v>538026.29</v>
      </c>
      <c r="E6" s="23">
        <f t="shared" si="0"/>
        <v>106.95078337620764</v>
      </c>
      <c r="F6" s="24">
        <f>SUMIFS(Dados_Ambientais!$E$2:$E$486,Dados_Ambientais!$A$2:$A$486,$A6,Dados_Ambientais!$C$2:$C$486,"AGUA_TOTAL")</f>
        <v>704.19</v>
      </c>
      <c r="G6" s="25">
        <f t="shared" si="1"/>
        <v>0.13998139783409405</v>
      </c>
      <c r="H6" s="24">
        <f>SUMIFS(Dados_Ambientais!$E$2:$E$486,Dados_Ambientais!$A$2:$A$486,$A6,Dados_Ambientais!$C$2:$C$486,"SCRAP_KG")</f>
        <v>2471.2399999999998</v>
      </c>
      <c r="I6" s="25">
        <f t="shared" si="2"/>
        <v>0.49124189435170412</v>
      </c>
      <c r="J6" s="26">
        <f>SUMIFS(Dados_Ambientais!$E$2:$E$486,Dados_Ambientais!$A$2:$A$486,$A6,Dados_Ambientais!$C$2:$C$486,"REGRIND_KG")/H6</f>
        <v>0.35957252229649894</v>
      </c>
      <c r="K6" s="24">
        <f>SUMIFS(Residuos_Mensais!$E$2:$E$265,Residuos_Mensais!$A$2:$A$265,$A6)</f>
        <v>10841.6</v>
      </c>
      <c r="L6" s="26">
        <f>SUMIFS(Residuos_Mensais!$E$2:$E$265,Residuos_Mensais!$A$2:$A$265,$A6,Residuos_Mensais!$H$2:$H$265,"Sim")/K6</f>
        <v>0.80657836481700118</v>
      </c>
      <c r="M6" s="24">
        <f>SUMIFS(Residuos_Mensais!$E$2:$E$265,Residuos_Mensais!$A$2:$A$265,$A6,Residuos_Mensais!$D$2:$D$265,"Sim")</f>
        <v>121.8</v>
      </c>
      <c r="N6" s="24">
        <f>SUMIFS(Producao_Mensal!$C$2:$C$89,Producao_Mensal!$A$2:$A$89,$A6,Producao_Mensal!$B$2:$B$89,"SER")</f>
        <v>376251</v>
      </c>
      <c r="O6" s="27">
        <f>SUMIFS(Dados_Ambientais!$E$2:$E$486,Dados_Ambientais!$A$2:$A$486,$A6,Dados_Ambientais!$C$2:$C$486,"SOLVENTE_KG")</f>
        <v>59.93</v>
      </c>
      <c r="P6" s="25">
        <f t="shared" si="3"/>
        <v>0.1592819686857975</v>
      </c>
      <c r="Q6" s="27">
        <f>D6*INDEX(Parametros!$B$2:$B$25,22)/1000</f>
        <v>59.182891900000001</v>
      </c>
    </row>
    <row r="7" spans="1:17" x14ac:dyDescent="0.3">
      <c r="A7" s="22">
        <f>INDEX(Dim_Mes!$A$2:$A$23,4)</f>
        <v>45809</v>
      </c>
      <c r="B7" s="23">
        <f>INDEX(Dim_Mes!$E$2:$E$23,4)</f>
        <v>21.2</v>
      </c>
      <c r="C7" s="24">
        <f>SUMIFS(Producao_Mensal!$C$2:$C$89,Producao_Mensal!$A$2:$A$89,$A7,Producao_Mensal!$B$2:$B$89,"INJ")+SUMIFS(Producao_Mensal!$C$2:$C$89,Producao_Mensal!$A$2:$A$89,$A7,Producao_Mensal!$B$2:$B$89,"SOP")</f>
        <v>4543947</v>
      </c>
      <c r="D7" s="24">
        <f>SUMIFS(Dados_Ambientais!$E$2:$E$486,Dados_Ambientais!$A$2:$A$486,$A7,Dados_Ambientais!$C$2:$C$486,"ENE_TOTAL")</f>
        <v>515423.14</v>
      </c>
      <c r="E7" s="23">
        <f t="shared" si="0"/>
        <v>113.43071122968644</v>
      </c>
      <c r="F7" s="24">
        <f>SUMIFS(Dados_Ambientais!$E$2:$E$486,Dados_Ambientais!$A$2:$A$486,$A7,Dados_Ambientais!$C$2:$C$486,"AGUA_TOTAL")</f>
        <v>724.54</v>
      </c>
      <c r="G7" s="25">
        <f t="shared" si="1"/>
        <v>0.15945168374543101</v>
      </c>
      <c r="H7" s="24">
        <f>SUMIFS(Dados_Ambientais!$E$2:$E$486,Dados_Ambientais!$A$2:$A$486,$A7,Dados_Ambientais!$C$2:$C$486,"SCRAP_KG")</f>
        <v>2363.35</v>
      </c>
      <c r="I7" s="25">
        <f t="shared" si="2"/>
        <v>0.52010949951660967</v>
      </c>
      <c r="J7" s="26">
        <f>SUMIFS(Dados_Ambientais!$E$2:$E$486,Dados_Ambientais!$A$2:$A$486,$A7,Dados_Ambientais!$C$2:$C$486,"REGRIND_KG")/H7</f>
        <v>0.36229081600270807</v>
      </c>
      <c r="K7" s="24">
        <f>SUMIFS(Residuos_Mensais!$E$2:$E$265,Residuos_Mensais!$A$2:$A$265,$A7)</f>
        <v>11143.800000000003</v>
      </c>
      <c r="L7" s="26">
        <f>SUMIFS(Residuos_Mensais!$E$2:$E$265,Residuos_Mensais!$A$2:$A$265,$A7,Residuos_Mensais!$H$2:$H$265,"Sim")/K7</f>
        <v>0.79317647481110565</v>
      </c>
      <c r="M7" s="24">
        <f>SUMIFS(Residuos_Mensais!$E$2:$E$265,Residuos_Mensais!$A$2:$A$265,$A7,Residuos_Mensais!$D$2:$D$265,"Sim")</f>
        <v>284.60000000000002</v>
      </c>
      <c r="N7" s="24">
        <f>SUMIFS(Producao_Mensal!$C$2:$C$89,Producao_Mensal!$A$2:$A$89,$A7,Producao_Mensal!$B$2:$B$89,"SER")</f>
        <v>336762</v>
      </c>
      <c r="O7" s="27">
        <f>SUMIFS(Dados_Ambientais!$E$2:$E$486,Dados_Ambientais!$A$2:$A$486,$A7,Dados_Ambientais!$C$2:$C$486,"SOLVENTE_KG")</f>
        <v>52.8</v>
      </c>
      <c r="P7" s="25">
        <f t="shared" si="3"/>
        <v>0.15678728597644628</v>
      </c>
      <c r="Q7" s="27">
        <f>D7*INDEX(Parametros!$B$2:$B$25,22)/1000</f>
        <v>56.696545400000005</v>
      </c>
    </row>
    <row r="8" spans="1:17" x14ac:dyDescent="0.3">
      <c r="A8" s="22">
        <f>INDEX(Dim_Mes!$A$2:$A$23,5)</f>
        <v>45839</v>
      </c>
      <c r="B8" s="23">
        <f>INDEX(Dim_Mes!$E$2:$E$23,5)</f>
        <v>22.2</v>
      </c>
      <c r="C8" s="24">
        <f>SUMIFS(Producao_Mensal!$C$2:$C$89,Producao_Mensal!$A$2:$A$89,$A8,Producao_Mensal!$B$2:$B$89,"INJ")+SUMIFS(Producao_Mensal!$C$2:$C$89,Producao_Mensal!$A$2:$A$89,$A8,Producao_Mensal!$B$2:$B$89,"SOP")</f>
        <v>5273074</v>
      </c>
      <c r="D8" s="24">
        <f>SUMIFS(Dados_Ambientais!$E$2:$E$486,Dados_Ambientais!$A$2:$A$486,$A8,Dados_Ambientais!$C$2:$C$486,"ENE_TOTAL")</f>
        <v>620886.12</v>
      </c>
      <c r="E8" s="23">
        <f t="shared" si="0"/>
        <v>117.74652128910006</v>
      </c>
      <c r="F8" s="24">
        <f>SUMIFS(Dados_Ambientais!$E$2:$E$486,Dados_Ambientais!$A$2:$A$486,$A8,Dados_Ambientais!$C$2:$C$486,"AGUA_TOTAL")</f>
        <v>934.86</v>
      </c>
      <c r="G8" s="25">
        <f t="shared" si="1"/>
        <v>0.17728937617791823</v>
      </c>
      <c r="H8" s="24">
        <f>SUMIFS(Dados_Ambientais!$E$2:$E$486,Dados_Ambientais!$A$2:$A$486,$A8,Dados_Ambientais!$C$2:$C$486,"SCRAP_KG")</f>
        <v>2638.73</v>
      </c>
      <c r="I8" s="25">
        <f t="shared" si="2"/>
        <v>0.50041588644498447</v>
      </c>
      <c r="J8" s="26">
        <f>SUMIFS(Dados_Ambientais!$E$2:$E$486,Dados_Ambientais!$A$2:$A$486,$A8,Dados_Ambientais!$C$2:$C$486,"REGRIND_KG")/H8</f>
        <v>0.38126295604324806</v>
      </c>
      <c r="K8" s="24">
        <f>SUMIFS(Residuos_Mensais!$E$2:$E$265,Residuos_Mensais!$A$2:$A$265,$A8)</f>
        <v>11144.1</v>
      </c>
      <c r="L8" s="26">
        <f>SUMIFS(Residuos_Mensais!$E$2:$E$265,Residuos_Mensais!$A$2:$A$265,$A8,Residuos_Mensais!$H$2:$H$265,"Sim")/K8</f>
        <v>0.80305273642555242</v>
      </c>
      <c r="M8" s="24">
        <f>SUMIFS(Residuos_Mensais!$E$2:$E$265,Residuos_Mensais!$A$2:$A$265,$A8,Residuos_Mensais!$D$2:$D$265,"Sim")</f>
        <v>124.7</v>
      </c>
      <c r="N8" s="24">
        <f>SUMIFS(Producao_Mensal!$C$2:$C$89,Producao_Mensal!$A$2:$A$89,$A8,Producao_Mensal!$B$2:$B$89,"SER")</f>
        <v>443480</v>
      </c>
      <c r="O8" s="27">
        <f>SUMIFS(Dados_Ambientais!$E$2:$E$486,Dados_Ambientais!$A$2:$A$486,$A8,Dados_Ambientais!$C$2:$C$486,"SOLVENTE_KG")</f>
        <v>68.44</v>
      </c>
      <c r="P8" s="25">
        <f t="shared" si="3"/>
        <v>0.15432488500045097</v>
      </c>
      <c r="Q8" s="27">
        <f>D8*INDEX(Parametros!$B$2:$B$25,22)/1000</f>
        <v>68.297473199999999</v>
      </c>
    </row>
    <row r="9" spans="1:17" x14ac:dyDescent="0.3">
      <c r="A9" s="22">
        <f>INDEX(Dim_Mes!$A$2:$A$23,6)</f>
        <v>45870</v>
      </c>
      <c r="B9" s="23">
        <f>INDEX(Dim_Mes!$E$2:$E$23,6)</f>
        <v>23.1</v>
      </c>
      <c r="C9" s="24">
        <f>SUMIFS(Producao_Mensal!$C$2:$C$89,Producao_Mensal!$A$2:$A$89,$A9,Producao_Mensal!$B$2:$B$89,"INJ")+SUMIFS(Producao_Mensal!$C$2:$C$89,Producao_Mensal!$A$2:$A$89,$A9,Producao_Mensal!$B$2:$B$89,"SOP")</f>
        <v>5443656</v>
      </c>
      <c r="D9" s="24">
        <f>SUMIFS(Dados_Ambientais!$E$2:$E$486,Dados_Ambientais!$A$2:$A$486,$A9,Dados_Ambientais!$C$2:$C$486,"ENE_TOTAL")</f>
        <v>586900.91</v>
      </c>
      <c r="E9" s="23">
        <f t="shared" si="0"/>
        <v>107.81373951623689</v>
      </c>
      <c r="F9" s="24">
        <f>SUMIFS(Dados_Ambientais!$E$2:$E$486,Dados_Ambientais!$A$2:$A$486,$A9,Dados_Ambientais!$C$2:$C$486,"AGUA_TOTAL")</f>
        <v>914.2</v>
      </c>
      <c r="G9" s="25">
        <f t="shared" si="1"/>
        <v>0.16793860596628443</v>
      </c>
      <c r="H9" s="24">
        <f>SUMIFS(Dados_Ambientais!$E$2:$E$486,Dados_Ambientais!$A$2:$A$486,$A9,Dados_Ambientais!$C$2:$C$486,"SCRAP_KG")</f>
        <v>2732.9100000000003</v>
      </c>
      <c r="I9" s="25">
        <f t="shared" si="2"/>
        <v>0.50203576419964824</v>
      </c>
      <c r="J9" s="26">
        <f>SUMIFS(Dados_Ambientais!$E$2:$E$486,Dados_Ambientais!$A$2:$A$486,$A9,Dados_Ambientais!$C$2:$C$486,"REGRIND_KG")/H9</f>
        <v>0.35900194298385235</v>
      </c>
      <c r="K9" s="24">
        <f>SUMIFS(Residuos_Mensais!$E$2:$E$265,Residuos_Mensais!$A$2:$A$265,$A9)</f>
        <v>11135.9</v>
      </c>
      <c r="L9" s="26">
        <f>SUMIFS(Residuos_Mensais!$E$2:$E$265,Residuos_Mensais!$A$2:$A$265,$A9,Residuos_Mensais!$H$2:$H$265,"Sim")/K9</f>
        <v>0.77814994746720068</v>
      </c>
      <c r="M9" s="24">
        <f>SUMIFS(Residuos_Mensais!$E$2:$E$265,Residuos_Mensais!$A$2:$A$265,$A9,Residuos_Mensais!$D$2:$D$265,"Sim")</f>
        <v>104.6</v>
      </c>
      <c r="N9" s="24">
        <f>SUMIFS(Producao_Mensal!$C$2:$C$89,Producao_Mensal!$A$2:$A$89,$A9,Producao_Mensal!$B$2:$B$89,"SER")</f>
        <v>237760</v>
      </c>
      <c r="O9" s="27">
        <f>SUMIFS(Dados_Ambientais!$E$2:$E$486,Dados_Ambientais!$A$2:$A$486,$A9,Dados_Ambientais!$C$2:$C$486,"SOLVENTE_KG")</f>
        <v>37.4</v>
      </c>
      <c r="P9" s="25">
        <f t="shared" si="3"/>
        <v>0.15730148048452219</v>
      </c>
      <c r="Q9" s="27">
        <f>D9*INDEX(Parametros!$B$2:$B$25,22)/1000</f>
        <v>64.559100100000009</v>
      </c>
    </row>
    <row r="10" spans="1:17" x14ac:dyDescent="0.3">
      <c r="A10" s="22">
        <f>INDEX(Dim_Mes!$A$2:$A$23,7)</f>
        <v>45901</v>
      </c>
      <c r="B10" s="23">
        <f>INDEX(Dim_Mes!$E$2:$E$23,7)</f>
        <v>20.9</v>
      </c>
      <c r="C10" s="24">
        <f>SUMIFS(Producao_Mensal!$C$2:$C$89,Producao_Mensal!$A$2:$A$89,$A10,Producao_Mensal!$B$2:$B$89,"INJ")+SUMIFS(Producao_Mensal!$C$2:$C$89,Producao_Mensal!$A$2:$A$89,$A10,Producao_Mensal!$B$2:$B$89,"SOP")</f>
        <v>5062893</v>
      </c>
      <c r="D10" s="24">
        <f>SUMIFS(Dados_Ambientais!$E$2:$E$486,Dados_Ambientais!$A$2:$A$486,$A10,Dados_Ambientais!$C$2:$C$486,"ENE_TOTAL")</f>
        <v>569448.28</v>
      </c>
      <c r="E10" s="23">
        <f t="shared" si="0"/>
        <v>112.47487948096079</v>
      </c>
      <c r="F10" s="24">
        <f>SUMIFS(Dados_Ambientais!$E$2:$E$486,Dados_Ambientais!$A$2:$A$486,$A10,Dados_Ambientais!$C$2:$C$486,"AGUA_TOTAL")</f>
        <v>854.7</v>
      </c>
      <c r="G10" s="25">
        <f t="shared" si="1"/>
        <v>0.16881652446536002</v>
      </c>
      <c r="H10" s="24">
        <f>SUMIFS(Dados_Ambientais!$E$2:$E$486,Dados_Ambientais!$A$2:$A$486,$A10,Dados_Ambientais!$C$2:$C$486,"SCRAP_KG")</f>
        <v>2521.04</v>
      </c>
      <c r="I10" s="25">
        <f t="shared" si="2"/>
        <v>0.49794455462519155</v>
      </c>
      <c r="J10" s="26">
        <f>SUMIFS(Dados_Ambientais!$E$2:$E$486,Dados_Ambientais!$A$2:$A$486,$A10,Dados_Ambientais!$C$2:$C$486,"REGRIND_KG")/H10</f>
        <v>0.35465125503760353</v>
      </c>
      <c r="K10" s="24">
        <f>SUMIFS(Residuos_Mensais!$E$2:$E$265,Residuos_Mensais!$A$2:$A$265,$A10)</f>
        <v>11091.500000000002</v>
      </c>
      <c r="L10" s="26">
        <f>SUMIFS(Residuos_Mensais!$E$2:$E$265,Residuos_Mensais!$A$2:$A$265,$A10,Residuos_Mensais!$H$2:$H$265,"Sim")/K10</f>
        <v>0.80853806969300812</v>
      </c>
      <c r="M10" s="24">
        <f>SUMIFS(Residuos_Mensais!$E$2:$E$265,Residuos_Mensais!$A$2:$A$265,$A10,Residuos_Mensais!$D$2:$D$265,"Sim")</f>
        <v>297.7</v>
      </c>
      <c r="N10" s="24">
        <f>SUMIFS(Producao_Mensal!$C$2:$C$89,Producao_Mensal!$A$2:$A$89,$A10,Producao_Mensal!$B$2:$B$89,"SER")</f>
        <v>372292</v>
      </c>
      <c r="O10" s="27">
        <f>SUMIFS(Dados_Ambientais!$E$2:$E$486,Dados_Ambientais!$A$2:$A$486,$A10,Dados_Ambientais!$C$2:$C$486,"SOLVENTE_KG")</f>
        <v>59.8</v>
      </c>
      <c r="P10" s="25">
        <f t="shared" si="3"/>
        <v>0.16062660492301742</v>
      </c>
      <c r="Q10" s="27">
        <f>D10*INDEX(Parametros!$B$2:$B$25,22)/1000</f>
        <v>62.639310800000004</v>
      </c>
    </row>
    <row r="11" spans="1:17" x14ac:dyDescent="0.3">
      <c r="A11" s="22">
        <f>INDEX(Dim_Mes!$A$2:$A$23,8)</f>
        <v>45931</v>
      </c>
      <c r="B11" s="23">
        <f>INDEX(Dim_Mes!$E$2:$E$23,8)</f>
        <v>18.100000000000001</v>
      </c>
      <c r="C11" s="24">
        <f>SUMIFS(Producao_Mensal!$C$2:$C$89,Producao_Mensal!$A$2:$A$89,$A11,Producao_Mensal!$B$2:$B$89,"INJ")+SUMIFS(Producao_Mensal!$C$2:$C$89,Producao_Mensal!$A$2:$A$89,$A11,Producao_Mensal!$B$2:$B$89,"SOP")</f>
        <v>5158725</v>
      </c>
      <c r="D11" s="24">
        <f>SUMIFS(Dados_Ambientais!$E$2:$E$486,Dados_Ambientais!$A$2:$A$486,$A11,Dados_Ambientais!$C$2:$C$486,"ENE_TOTAL")</f>
        <v>568761.74</v>
      </c>
      <c r="E11" s="23">
        <f t="shared" si="0"/>
        <v>110.25238600623216</v>
      </c>
      <c r="F11" s="24">
        <f>SUMIFS(Dados_Ambientais!$E$2:$E$486,Dados_Ambientais!$A$2:$A$486,$A11,Dados_Ambientais!$C$2:$C$486,"AGUA_TOTAL")</f>
        <v>793.45</v>
      </c>
      <c r="G11" s="25">
        <f t="shared" si="1"/>
        <v>0.15380738457661536</v>
      </c>
      <c r="H11" s="24">
        <f>SUMIFS(Dados_Ambientais!$E$2:$E$486,Dados_Ambientais!$A$2:$A$486,$A11,Dados_Ambientais!$C$2:$C$486,"SCRAP_KG")</f>
        <v>2553.13</v>
      </c>
      <c r="I11" s="25">
        <f t="shared" si="2"/>
        <v>0.49491492568415646</v>
      </c>
      <c r="J11" s="26">
        <f>SUMIFS(Dados_Ambientais!$E$2:$E$486,Dados_Ambientais!$A$2:$A$486,$A11,Dados_Ambientais!$C$2:$C$486,"REGRIND_KG")/H11</f>
        <v>0.35674642497640152</v>
      </c>
      <c r="K11" s="24">
        <f>SUMIFS(Residuos_Mensais!$E$2:$E$265,Residuos_Mensais!$A$2:$A$265,$A11)</f>
        <v>11729.1</v>
      </c>
      <c r="L11" s="26">
        <f>SUMIFS(Residuos_Mensais!$E$2:$E$265,Residuos_Mensais!$A$2:$A$265,$A11,Residuos_Mensais!$H$2:$H$265,"Sim")/K11</f>
        <v>0.79946457955000805</v>
      </c>
      <c r="M11" s="24">
        <f>SUMIFS(Residuos_Mensais!$E$2:$E$265,Residuos_Mensais!$A$2:$A$265,$A11,Residuos_Mensais!$D$2:$D$265,"Sim")</f>
        <v>131.5</v>
      </c>
      <c r="N11" s="24">
        <f>SUMIFS(Producao_Mensal!$C$2:$C$89,Producao_Mensal!$A$2:$A$89,$A11,Producao_Mensal!$B$2:$B$89,"SER")</f>
        <v>431440</v>
      </c>
      <c r="O11" s="27">
        <f>SUMIFS(Dados_Ambientais!$E$2:$E$486,Dados_Ambientais!$A$2:$A$486,$A11,Dados_Ambientais!$C$2:$C$486,"SOLVENTE_KG")</f>
        <v>72.62</v>
      </c>
      <c r="P11" s="25">
        <f t="shared" si="3"/>
        <v>0.16832004450213242</v>
      </c>
      <c r="Q11" s="27">
        <f>D11*INDEX(Parametros!$B$2:$B$25,22)/1000</f>
        <v>62.563791399999999</v>
      </c>
    </row>
    <row r="12" spans="1:17" x14ac:dyDescent="0.3">
      <c r="A12" s="22">
        <f>INDEX(Dim_Mes!$A$2:$A$23,9)</f>
        <v>45962</v>
      </c>
      <c r="B12" s="23">
        <f>INDEX(Dim_Mes!$E$2:$E$23,9)</f>
        <v>13.3</v>
      </c>
      <c r="C12" s="24">
        <f>SUMIFS(Producao_Mensal!$C$2:$C$89,Producao_Mensal!$A$2:$A$89,$A12,Producao_Mensal!$B$2:$B$89,"INJ")+SUMIFS(Producao_Mensal!$C$2:$C$89,Producao_Mensal!$A$2:$A$89,$A12,Producao_Mensal!$B$2:$B$89,"SOP")</f>
        <v>4974090</v>
      </c>
      <c r="D12" s="24">
        <f>SUMIFS(Dados_Ambientais!$E$2:$E$486,Dados_Ambientais!$A$2:$A$486,$A12,Dados_Ambientais!$C$2:$C$486,"ENE_TOTAL")</f>
        <v>561642.6</v>
      </c>
      <c r="E12" s="23">
        <f t="shared" si="0"/>
        <v>112.91363847457525</v>
      </c>
      <c r="F12" s="24">
        <f>SUMIFS(Dados_Ambientais!$E$2:$E$486,Dados_Ambientais!$A$2:$A$486,$A12,Dados_Ambientais!$C$2:$C$486,"AGUA_TOTAL")</f>
        <v>629.21</v>
      </c>
      <c r="G12" s="25">
        <f t="shared" si="1"/>
        <v>0.12649751009732435</v>
      </c>
      <c r="H12" s="24">
        <f>SUMIFS(Dados_Ambientais!$E$2:$E$486,Dados_Ambientais!$A$2:$A$486,$A12,Dados_Ambientais!$C$2:$C$486,"SCRAP_KG")</f>
        <v>2691.58</v>
      </c>
      <c r="I12" s="25">
        <f t="shared" si="2"/>
        <v>0.54112008427672198</v>
      </c>
      <c r="J12" s="26">
        <f>SUMIFS(Dados_Ambientais!$E$2:$E$486,Dados_Ambientais!$A$2:$A$486,$A12,Dados_Ambientais!$C$2:$C$486,"REGRIND_KG")/H12</f>
        <v>0.33164535328691697</v>
      </c>
      <c r="K12" s="24">
        <f>SUMIFS(Residuos_Mensais!$E$2:$E$265,Residuos_Mensais!$A$2:$A$265,$A12)</f>
        <v>11222.000000000002</v>
      </c>
      <c r="L12" s="26">
        <f>SUMIFS(Residuos_Mensais!$E$2:$E$265,Residuos_Mensais!$A$2:$A$265,$A12,Residuos_Mensais!$H$2:$H$265,"Sim")/K12</f>
        <v>0.80852789164141881</v>
      </c>
      <c r="M12" s="24">
        <f>SUMIFS(Residuos_Mensais!$E$2:$E$265,Residuos_Mensais!$A$2:$A$265,$A12,Residuos_Mensais!$D$2:$D$265,"Sim")</f>
        <v>129.69999999999999</v>
      </c>
      <c r="N12" s="24">
        <f>SUMIFS(Producao_Mensal!$C$2:$C$89,Producao_Mensal!$A$2:$A$89,$A12,Producao_Mensal!$B$2:$B$89,"SER")</f>
        <v>448497</v>
      </c>
      <c r="O12" s="27">
        <f>SUMIFS(Dados_Ambientais!$E$2:$E$486,Dados_Ambientais!$A$2:$A$486,$A12,Dados_Ambientais!$C$2:$C$486,"SOLVENTE_KG")</f>
        <v>70.53</v>
      </c>
      <c r="P12" s="25">
        <f t="shared" si="3"/>
        <v>0.15725857698044804</v>
      </c>
      <c r="Q12" s="27">
        <f>D12*INDEX(Parametros!$B$2:$B$25,22)/1000</f>
        <v>61.780685999999996</v>
      </c>
    </row>
    <row r="13" spans="1:17" x14ac:dyDescent="0.3">
      <c r="A13" s="22">
        <f>INDEX(Dim_Mes!$A$2:$A$23,10)</f>
        <v>45992</v>
      </c>
      <c r="B13" s="23">
        <f>INDEX(Dim_Mes!$E$2:$E$23,10)</f>
        <v>11.4</v>
      </c>
      <c r="C13" s="24">
        <f>SUMIFS(Producao_Mensal!$C$2:$C$89,Producao_Mensal!$A$2:$A$89,$A13,Producao_Mensal!$B$2:$B$89,"INJ")+SUMIFS(Producao_Mensal!$C$2:$C$89,Producao_Mensal!$A$2:$A$89,$A13,Producao_Mensal!$B$2:$B$89,"SOP")</f>
        <v>5221940</v>
      </c>
      <c r="D13" s="24">
        <f>SUMIFS(Dados_Ambientais!$E$2:$E$486,Dados_Ambientais!$A$2:$A$486,$A13,Dados_Ambientais!$C$2:$C$486,"ENE_TOTAL")</f>
        <v>582602.49</v>
      </c>
      <c r="E13" s="23">
        <f t="shared" si="0"/>
        <v>111.56820836700535</v>
      </c>
      <c r="F13" s="24">
        <f>SUMIFS(Dados_Ambientais!$E$2:$E$486,Dados_Ambientais!$A$2:$A$486,$A13,Dados_Ambientais!$C$2:$C$486,"AGUA_TOTAL")</f>
        <v>628.99</v>
      </c>
      <c r="G13" s="25">
        <f t="shared" si="1"/>
        <v>0.12045140311838129</v>
      </c>
      <c r="H13" s="24">
        <f>SUMIFS(Dados_Ambientais!$E$2:$E$486,Dados_Ambientais!$A$2:$A$486,$A13,Dados_Ambientais!$C$2:$C$486,"SCRAP_KG")</f>
        <v>2561.6099999999997</v>
      </c>
      <c r="I13" s="25">
        <f t="shared" si="2"/>
        <v>0.49054757427316281</v>
      </c>
      <c r="J13" s="26">
        <f>SUMIFS(Dados_Ambientais!$E$2:$E$486,Dados_Ambientais!$A$2:$A$486,$A13,Dados_Ambientais!$C$2:$C$486,"REGRIND_KG")/H13</f>
        <v>0.3909728647217961</v>
      </c>
      <c r="K13" s="24">
        <f>SUMIFS(Residuos_Mensais!$E$2:$E$265,Residuos_Mensais!$A$2:$A$265,$A13)</f>
        <v>11187.000000000002</v>
      </c>
      <c r="L13" s="26">
        <f>SUMIFS(Residuos_Mensais!$E$2:$E$265,Residuos_Mensais!$A$2:$A$265,$A13,Residuos_Mensais!$H$2:$H$265,"Sim")/K13</f>
        <v>0.78297130598015541</v>
      </c>
      <c r="M13" s="24">
        <f>SUMIFS(Residuos_Mensais!$E$2:$E$265,Residuos_Mensais!$A$2:$A$265,$A13,Residuos_Mensais!$D$2:$D$265,"Sim")</f>
        <v>279.5</v>
      </c>
      <c r="N13" s="24">
        <f>SUMIFS(Producao_Mensal!$C$2:$C$89,Producao_Mensal!$A$2:$A$89,$A13,Producao_Mensal!$B$2:$B$89,"SER")</f>
        <v>338785</v>
      </c>
      <c r="O13" s="27">
        <f>SUMIFS(Dados_Ambientais!$E$2:$E$486,Dados_Ambientais!$A$2:$A$486,$A13,Dados_Ambientais!$C$2:$C$486,"SOLVENTE_KG")</f>
        <v>54.57</v>
      </c>
      <c r="P13" s="25">
        <f t="shared" si="3"/>
        <v>0.16107560842422186</v>
      </c>
      <c r="Q13" s="27">
        <f>D13*INDEX(Parametros!$B$2:$B$25,22)/1000</f>
        <v>64.086273899999995</v>
      </c>
    </row>
    <row r="14" spans="1:17" x14ac:dyDescent="0.3">
      <c r="A14" s="22">
        <f>INDEX(Dim_Mes!$A$2:$A$23,11)</f>
        <v>46023</v>
      </c>
      <c r="B14" s="23">
        <f>INDEX(Dim_Mes!$E$2:$E$23,11)</f>
        <v>9.6</v>
      </c>
      <c r="C14" s="24">
        <f>SUMIFS(Producao_Mensal!$C$2:$C$89,Producao_Mensal!$A$2:$A$89,$A14,Producao_Mensal!$B$2:$B$89,"INJ")+SUMIFS(Producao_Mensal!$C$2:$C$89,Producao_Mensal!$A$2:$A$89,$A14,Producao_Mensal!$B$2:$B$89,"SOP")</f>
        <v>5272284</v>
      </c>
      <c r="D14" s="24">
        <f>SUMIFS(Dados_Ambientais!$E$2:$E$486,Dados_Ambientais!$A$2:$A$486,$A14,Dados_Ambientais!$C$2:$C$486,"ENE_TOTAL")</f>
        <v>567251.43999999994</v>
      </c>
      <c r="E14" s="23">
        <f t="shared" si="0"/>
        <v>107.59121473729411</v>
      </c>
      <c r="F14" s="24">
        <f>SUMIFS(Dados_Ambientais!$E$2:$E$486,Dados_Ambientais!$A$2:$A$486,$A14,Dados_Ambientais!$C$2:$C$486,"AGUA_TOTAL")</f>
        <v>589.01</v>
      </c>
      <c r="G14" s="25">
        <f t="shared" si="1"/>
        <v>0.1117181851357021</v>
      </c>
      <c r="H14" s="24">
        <f>SUMIFS(Dados_Ambientais!$E$2:$E$486,Dados_Ambientais!$A$2:$A$486,$A14,Dados_Ambientais!$C$2:$C$486,"SCRAP_KG")</f>
        <v>2387.46</v>
      </c>
      <c r="I14" s="25">
        <f t="shared" si="2"/>
        <v>0.45283220706623545</v>
      </c>
      <c r="J14" s="26">
        <f>SUMIFS(Dados_Ambientais!$E$2:$E$486,Dados_Ambientais!$A$2:$A$486,$A14,Dados_Ambientais!$C$2:$C$486,"REGRIND_KG")/H14</f>
        <v>0.37455706064185368</v>
      </c>
      <c r="K14" s="24">
        <f>SUMIFS(Residuos_Mensais!$E$2:$E$265,Residuos_Mensais!$A$2:$A$265,$A14)</f>
        <v>10388.599999999999</v>
      </c>
      <c r="L14" s="26">
        <f>SUMIFS(Residuos_Mensais!$E$2:$E$265,Residuos_Mensais!$A$2:$A$265,$A14,Residuos_Mensais!$H$2:$H$265,"Sim")/K14</f>
        <v>0.80764491846832109</v>
      </c>
      <c r="M14" s="24">
        <f>SUMIFS(Residuos_Mensais!$E$2:$E$265,Residuos_Mensais!$A$2:$A$265,$A14,Residuos_Mensais!$D$2:$D$265,"Sim")</f>
        <v>102.39999999999999</v>
      </c>
      <c r="N14" s="24">
        <f>SUMIFS(Producao_Mensal!$C$2:$C$89,Producao_Mensal!$A$2:$A$89,$A14,Producao_Mensal!$B$2:$B$89,"SER")</f>
        <v>296927</v>
      </c>
      <c r="O14" s="27">
        <f>SUMIFS(Dados_Ambientais!$E$2:$E$486,Dados_Ambientais!$A$2:$A$486,$A14,Dados_Ambientais!$C$2:$C$486,"SOLVENTE_KG")</f>
        <v>47.3</v>
      </c>
      <c r="P14" s="25">
        <f t="shared" si="3"/>
        <v>0.15929841341474502</v>
      </c>
      <c r="Q14" s="27">
        <f>D14*INDEX(Parametros!$B$2:$B$25,22)/1000</f>
        <v>62.39765839999999</v>
      </c>
    </row>
    <row r="15" spans="1:17" x14ac:dyDescent="0.3">
      <c r="A15" s="22">
        <f>INDEX(Dim_Mes!$A$2:$A$23,12)</f>
        <v>46054</v>
      </c>
      <c r="B15" s="23">
        <f>INDEX(Dim_Mes!$E$2:$E$23,12)</f>
        <v>11.9</v>
      </c>
      <c r="C15" s="24">
        <f>SUMIFS(Producao_Mensal!$C$2:$C$89,Producao_Mensal!$A$2:$A$89,$A15,Producao_Mensal!$B$2:$B$89,"INJ")+SUMIFS(Producao_Mensal!$C$2:$C$89,Producao_Mensal!$A$2:$A$89,$A15,Producao_Mensal!$B$2:$B$89,"SOP")</f>
        <v>4757334</v>
      </c>
      <c r="D15" s="24">
        <f>SUMIFS(Dados_Ambientais!$E$2:$E$486,Dados_Ambientais!$A$2:$A$486,$A15,Dados_Ambientais!$C$2:$C$486,"ENE_TOTAL")</f>
        <v>527748.79</v>
      </c>
      <c r="E15" s="23">
        <f t="shared" si="0"/>
        <v>110.93372674695534</v>
      </c>
      <c r="F15" s="24">
        <f>SUMIFS(Dados_Ambientais!$E$2:$E$486,Dados_Ambientais!$A$2:$A$486,$A15,Dados_Ambientais!$C$2:$C$486,"AGUA_TOTAL")</f>
        <v>565.5</v>
      </c>
      <c r="G15" s="25">
        <f t="shared" si="1"/>
        <v>0.11886909769211075</v>
      </c>
      <c r="H15" s="24">
        <f>SUMIFS(Dados_Ambientais!$E$2:$E$486,Dados_Ambientais!$A$2:$A$486,$A15,Dados_Ambientais!$C$2:$C$486,"SCRAP_KG")</f>
        <v>2288.7200000000003</v>
      </c>
      <c r="I15" s="25">
        <f t="shared" si="2"/>
        <v>0.4810929819096158</v>
      </c>
      <c r="J15" s="26">
        <f>SUMIFS(Dados_Ambientais!$E$2:$E$486,Dados_Ambientais!$A$2:$A$486,$A15,Dados_Ambientais!$C$2:$C$486,"REGRIND_KG")/H15</f>
        <v>0.38429777342794219</v>
      </c>
      <c r="K15" s="24">
        <f>SUMIFS(Residuos_Mensais!$E$2:$E$265,Residuos_Mensais!$A$2:$A$265,$A15)</f>
        <v>10265.800000000001</v>
      </c>
      <c r="L15" s="26">
        <f>SUMIFS(Residuos_Mensais!$E$2:$E$265,Residuos_Mensais!$A$2:$A$265,$A15,Residuos_Mensais!$H$2:$H$265,"Sim")/K15</f>
        <v>0.79586588478248144</v>
      </c>
      <c r="M15" s="24">
        <f>SUMIFS(Residuos_Mensais!$E$2:$E$265,Residuos_Mensais!$A$2:$A$265,$A15,Residuos_Mensais!$D$2:$D$265,"Sim")</f>
        <v>100.30000000000001</v>
      </c>
      <c r="N15" s="24">
        <f>SUMIFS(Producao_Mensal!$C$2:$C$89,Producao_Mensal!$A$2:$A$89,$A15,Producao_Mensal!$B$2:$B$89,"SER")</f>
        <v>295268</v>
      </c>
      <c r="O15" s="27">
        <f>SUMIFS(Dados_Ambientais!$E$2:$E$486,Dados_Ambientais!$A$2:$A$486,$A15,Dados_Ambientais!$C$2:$C$486,"SOLVENTE_KG")</f>
        <v>47.53</v>
      </c>
      <c r="P15" s="25">
        <f t="shared" si="3"/>
        <v>0.16097240473061764</v>
      </c>
      <c r="Q15" s="27">
        <f>D15*INDEX(Parametros!$B$2:$B$25,22)/1000</f>
        <v>58.052366900000003</v>
      </c>
    </row>
    <row r="16" spans="1:17" x14ac:dyDescent="0.3">
      <c r="A16" s="22">
        <f>INDEX(Dim_Mes!$A$2:$A$23,13)</f>
        <v>46082</v>
      </c>
      <c r="B16" s="23">
        <f>INDEX(Dim_Mes!$E$2:$E$23,13)</f>
        <v>13.1</v>
      </c>
      <c r="C16" s="24">
        <f>SUMIFS(Producao_Mensal!$C$2:$C$89,Producao_Mensal!$A$2:$A$89,$A16,Producao_Mensal!$B$2:$B$89,"INJ")+SUMIFS(Producao_Mensal!$C$2:$C$89,Producao_Mensal!$A$2:$A$89,$A16,Producao_Mensal!$B$2:$B$89,"SOP")</f>
        <v>5427071</v>
      </c>
      <c r="D16" s="24">
        <f>SUMIFS(Dados_Ambientais!$E$2:$E$486,Dados_Ambientais!$A$2:$A$486,$A16,Dados_Ambientais!$C$2:$C$486,"ENE_TOTAL")</f>
        <v>590162.4</v>
      </c>
      <c r="E16" s="23">
        <f t="shared" si="0"/>
        <v>108.74418263553214</v>
      </c>
      <c r="F16" s="24">
        <f>SUMIFS(Dados_Ambientais!$E$2:$E$486,Dados_Ambientais!$A$2:$A$486,$A16,Dados_Ambientais!$C$2:$C$486,"AGUA_TOTAL")</f>
        <v>714.87</v>
      </c>
      <c r="G16" s="25">
        <f t="shared" si="1"/>
        <v>0.13172298648755471</v>
      </c>
      <c r="H16" s="24">
        <f>SUMIFS(Dados_Ambientais!$E$2:$E$486,Dados_Ambientais!$A$2:$A$486,$A16,Dados_Ambientais!$C$2:$C$486,"SCRAP_KG")</f>
        <v>2532.15</v>
      </c>
      <c r="I16" s="25">
        <f t="shared" si="2"/>
        <v>0.46657764381560513</v>
      </c>
      <c r="J16" s="26">
        <f>SUMIFS(Dados_Ambientais!$E$2:$E$486,Dados_Ambientais!$A$2:$A$486,$A16,Dados_Ambientais!$C$2:$C$486,"REGRIND_KG")/H16</f>
        <v>0.37487905534822186</v>
      </c>
      <c r="K16" s="24">
        <f>SUMIFS(Residuos_Mensais!$E$2:$E$265,Residuos_Mensais!$A$2:$A$265,$A16)</f>
        <v>10740.800000000001</v>
      </c>
      <c r="L16" s="26">
        <f>SUMIFS(Residuos_Mensais!$E$2:$E$265,Residuos_Mensais!$A$2:$A$265,$A16,Residuos_Mensais!$H$2:$H$265,"Sim")/K16</f>
        <v>0.80002420676299724</v>
      </c>
      <c r="M16" s="24">
        <f>SUMIFS(Residuos_Mensais!$E$2:$E$265,Residuos_Mensais!$A$2:$A$265,$A16,Residuos_Mensais!$D$2:$D$265,"Sim")</f>
        <v>270.5</v>
      </c>
      <c r="N16" s="24">
        <f>SUMIFS(Producao_Mensal!$C$2:$C$89,Producao_Mensal!$A$2:$A$89,$A16,Producao_Mensal!$B$2:$B$89,"SER")</f>
        <v>380216</v>
      </c>
      <c r="O16" s="27">
        <f>SUMIFS(Dados_Ambientais!$E$2:$E$486,Dados_Ambientais!$A$2:$A$486,$A16,Dados_Ambientais!$C$2:$C$486,"SOLVENTE_KG")</f>
        <v>61.77</v>
      </c>
      <c r="P16" s="25">
        <f t="shared" si="3"/>
        <v>0.16246028573232058</v>
      </c>
      <c r="Q16" s="27">
        <f>D16*INDEX(Parametros!$B$2:$B$25,22)/1000</f>
        <v>64.917863999999994</v>
      </c>
    </row>
    <row r="17" spans="1:17" x14ac:dyDescent="0.3">
      <c r="A17" s="22">
        <f>INDEX(Dim_Mes!$A$2:$A$23,14)</f>
        <v>46113</v>
      </c>
      <c r="B17" s="23">
        <f>INDEX(Dim_Mes!$E$2:$E$23,14)</f>
        <v>14.9</v>
      </c>
      <c r="C17" s="24">
        <f>SUMIFS(Producao_Mensal!$C$2:$C$89,Producao_Mensal!$A$2:$A$89,$A17,Producao_Mensal!$B$2:$B$89,"INJ")+SUMIFS(Producao_Mensal!$C$2:$C$89,Producao_Mensal!$A$2:$A$89,$A17,Producao_Mensal!$B$2:$B$89,"SOP")</f>
        <v>4961953</v>
      </c>
      <c r="D17" s="24">
        <f>SUMIFS(Dados_Ambientais!$E$2:$E$486,Dados_Ambientais!$A$2:$A$486,$A17,Dados_Ambientais!$C$2:$C$486,"ENE_TOTAL")</f>
        <v>554352.38</v>
      </c>
      <c r="E17" s="23">
        <f t="shared" si="0"/>
        <v>111.72060275460086</v>
      </c>
      <c r="F17" s="24">
        <f>SUMIFS(Dados_Ambientais!$E$2:$E$486,Dados_Ambientais!$A$2:$A$486,$A17,Dados_Ambientais!$C$2:$C$486,"AGUA_TOTAL")</f>
        <v>673.72</v>
      </c>
      <c r="G17" s="25">
        <f t="shared" si="1"/>
        <v>0.13577718289552521</v>
      </c>
      <c r="H17" s="24">
        <f>SUMIFS(Dados_Ambientais!$E$2:$E$486,Dados_Ambientais!$A$2:$A$486,$A17,Dados_Ambientais!$C$2:$C$486,"SCRAP_KG")</f>
        <v>2606.86</v>
      </c>
      <c r="I17" s="25">
        <f t="shared" si="2"/>
        <v>0.52536974856472851</v>
      </c>
      <c r="J17" s="26">
        <f>SUMIFS(Dados_Ambientais!$E$2:$E$486,Dados_Ambientais!$A$2:$A$486,$A17,Dados_Ambientais!$C$2:$C$486,"REGRIND_KG")/H17</f>
        <v>0.39404494295819492</v>
      </c>
      <c r="K17" s="24">
        <f>SUMIFS(Residuos_Mensais!$E$2:$E$265,Residuos_Mensais!$A$2:$A$265,$A17)</f>
        <v>10411.6</v>
      </c>
      <c r="L17" s="26">
        <f>SUMIFS(Residuos_Mensais!$E$2:$E$265,Residuos_Mensais!$A$2:$A$265,$A17,Residuos_Mensais!$H$2:$H$265,"Sim")/K17</f>
        <v>0.80604325944139232</v>
      </c>
      <c r="M17" s="24">
        <f>SUMIFS(Residuos_Mensais!$E$2:$E$265,Residuos_Mensais!$A$2:$A$265,$A17,Residuos_Mensais!$D$2:$D$265,"Sim")</f>
        <v>140.19999999999999</v>
      </c>
      <c r="N17" s="24">
        <f>SUMIFS(Producao_Mensal!$C$2:$C$89,Producao_Mensal!$A$2:$A$89,$A17,Producao_Mensal!$B$2:$B$89,"SER")</f>
        <v>361694</v>
      </c>
      <c r="O17" s="27">
        <f>SUMIFS(Dados_Ambientais!$E$2:$E$486,Dados_Ambientais!$A$2:$A$486,$A17,Dados_Ambientais!$C$2:$C$486,"SOLVENTE_KG")</f>
        <v>56.87</v>
      </c>
      <c r="P17" s="25">
        <f t="shared" si="3"/>
        <v>0.15723235663295493</v>
      </c>
      <c r="Q17" s="27">
        <f>D17*INDEX(Parametros!$B$2:$B$25,22)/1000</f>
        <v>60.978761800000001</v>
      </c>
    </row>
    <row r="18" spans="1:17" x14ac:dyDescent="0.3">
      <c r="A18" s="22">
        <f>INDEX(Dim_Mes!$A$2:$A$23,15)</f>
        <v>46143</v>
      </c>
      <c r="B18" s="23">
        <f>INDEX(Dim_Mes!$E$2:$E$23,15)</f>
        <v>17.600000000000001</v>
      </c>
      <c r="C18" s="24">
        <f>SUMIFS(Producao_Mensal!$C$2:$C$89,Producao_Mensal!$A$2:$A$89,$A18,Producao_Mensal!$B$2:$B$89,"INJ")+SUMIFS(Producao_Mensal!$C$2:$C$89,Producao_Mensal!$A$2:$A$89,$A18,Producao_Mensal!$B$2:$B$89,"SOP")</f>
        <v>5248065</v>
      </c>
      <c r="D18" s="24">
        <f>SUMIFS(Dados_Ambientais!$E$2:$E$486,Dados_Ambientais!$A$2:$A$486,$A18,Dados_Ambientais!$C$2:$C$486,"ENE_TOTAL")</f>
        <v>588371.46</v>
      </c>
      <c r="E18" s="23">
        <f t="shared" si="0"/>
        <v>112.11207559357591</v>
      </c>
      <c r="F18" s="24">
        <f>SUMIFS(Dados_Ambientais!$E$2:$E$486,Dados_Ambientais!$A$2:$A$486,$A18,Dados_Ambientais!$C$2:$C$486,"AGUA_TOTAL")</f>
        <v>800.63</v>
      </c>
      <c r="G18" s="25">
        <f t="shared" si="1"/>
        <v>0.15255718059894458</v>
      </c>
      <c r="H18" s="24">
        <f>SUMIFS(Dados_Ambientais!$E$2:$E$486,Dados_Ambientais!$A$2:$A$486,$A18,Dados_Ambientais!$C$2:$C$486,"SCRAP_KG")</f>
        <v>2596.39</v>
      </c>
      <c r="I18" s="25">
        <f t="shared" si="2"/>
        <v>0.49473282057291595</v>
      </c>
      <c r="J18" s="26">
        <f>SUMIFS(Dados_Ambientais!$E$2:$E$486,Dados_Ambientais!$A$2:$A$486,$A18,Dados_Ambientais!$C$2:$C$486,"REGRIND_KG")/H18</f>
        <v>0.35669140614468553</v>
      </c>
      <c r="K18" s="24">
        <f>SUMIFS(Residuos_Mensais!$E$2:$E$265,Residuos_Mensais!$A$2:$A$265,$A18)</f>
        <v>10838.100000000002</v>
      </c>
      <c r="L18" s="26">
        <f>SUMIFS(Residuos_Mensais!$E$2:$E$265,Residuos_Mensais!$A$2:$A$265,$A18,Residuos_Mensais!$H$2:$H$265,"Sim")/K18</f>
        <v>0.79990957824710973</v>
      </c>
      <c r="M18" s="24">
        <f>SUMIFS(Residuos_Mensais!$E$2:$E$265,Residuos_Mensais!$A$2:$A$265,$A18,Residuos_Mensais!$D$2:$D$265,"Sim")</f>
        <v>124.7</v>
      </c>
      <c r="N18" s="24">
        <f>SUMIFS(Producao_Mensal!$C$2:$C$89,Producao_Mensal!$A$2:$A$89,$A18,Producao_Mensal!$B$2:$B$89,"SER")</f>
        <v>391966</v>
      </c>
      <c r="O18" s="27">
        <f>SUMIFS(Dados_Ambientais!$E$2:$E$486,Dados_Ambientais!$A$2:$A$486,$A18,Dados_Ambientais!$C$2:$C$486,"SOLVENTE_KG")</f>
        <v>61.5</v>
      </c>
      <c r="P18" s="25">
        <f t="shared" si="3"/>
        <v>0.1569013638938071</v>
      </c>
      <c r="Q18" s="27">
        <f>D18*INDEX(Parametros!$B$2:$B$25,22)/1000</f>
        <v>64.720860599999995</v>
      </c>
    </row>
    <row r="19" spans="1:17" x14ac:dyDescent="0.3">
      <c r="A19" s="22">
        <f>INDEX(Dim_Mes!$A$2:$A$23,16)</f>
        <v>46174</v>
      </c>
      <c r="B19" s="23">
        <f>INDEX(Dim_Mes!$E$2:$E$23,16)</f>
        <v>21.3</v>
      </c>
      <c r="C19" s="24">
        <f>SUMIFS(Producao_Mensal!$C$2:$C$89,Producao_Mensal!$A$2:$A$89,$A19,Producao_Mensal!$B$2:$B$89,"INJ")+SUMIFS(Producao_Mensal!$C$2:$C$89,Producao_Mensal!$A$2:$A$89,$A19,Producao_Mensal!$B$2:$B$89,"SOP")</f>
        <v>5074996</v>
      </c>
      <c r="D19" s="24">
        <f>SUMIFS(Dados_Ambientais!$E$2:$E$486,Dados_Ambientais!$A$2:$A$486,$A19,Dados_Ambientais!$C$2:$C$486,"ENE_TOTAL")</f>
        <v>568978.72</v>
      </c>
      <c r="E19" s="23">
        <f t="shared" si="0"/>
        <v>112.11412186334728</v>
      </c>
      <c r="F19" s="24">
        <f>SUMIFS(Dados_Ambientais!$E$2:$E$486,Dados_Ambientais!$A$2:$A$486,$A19,Dados_Ambientais!$C$2:$C$486,"AGUA_TOTAL")</f>
        <v>859.14</v>
      </c>
      <c r="G19" s="25">
        <f t="shared" si="1"/>
        <v>0.16928880338033764</v>
      </c>
      <c r="H19" s="24">
        <f>SUMIFS(Dados_Ambientais!$E$2:$E$486,Dados_Ambientais!$A$2:$A$486,$A19,Dados_Ambientais!$C$2:$C$486,"SCRAP_KG")</f>
        <v>2424.8200000000002</v>
      </c>
      <c r="I19" s="25">
        <f t="shared" si="2"/>
        <v>0.47779742092407562</v>
      </c>
      <c r="J19" s="26">
        <f>SUMIFS(Dados_Ambientais!$E$2:$E$486,Dados_Ambientais!$A$2:$A$486,$A19,Dados_Ambientais!$C$2:$C$486,"REGRIND_KG")/H19</f>
        <v>0.36587458038122411</v>
      </c>
      <c r="K19" s="24">
        <f>SUMIFS(Residuos_Mensais!$E$2:$E$265,Residuos_Mensais!$A$2:$A$265,$A19)</f>
        <v>11079.300000000001</v>
      </c>
      <c r="L19" s="26">
        <f>SUMIFS(Residuos_Mensais!$E$2:$E$265,Residuos_Mensais!$A$2:$A$265,$A19,Residuos_Mensais!$H$2:$H$265,"Sim")/K19</f>
        <v>0.8174974953291273</v>
      </c>
      <c r="M19" s="24">
        <f>SUMIFS(Residuos_Mensais!$E$2:$E$265,Residuos_Mensais!$A$2:$A$265,$A19,Residuos_Mensais!$D$2:$D$265,"Sim")</f>
        <v>285.7</v>
      </c>
      <c r="N19" s="24">
        <f>SUMIFS(Producao_Mensal!$C$2:$C$89,Producao_Mensal!$A$2:$A$89,$A19,Producao_Mensal!$B$2:$B$89,"SER")</f>
        <v>254209</v>
      </c>
      <c r="O19" s="27">
        <f>SUMIFS(Dados_Ambientais!$E$2:$E$486,Dados_Ambientais!$A$2:$A$486,$A19,Dados_Ambientais!$C$2:$C$486,"SOLVENTE_KG")</f>
        <v>45.09</v>
      </c>
      <c r="P19" s="25">
        <f t="shared" si="3"/>
        <v>0.17737373578433493</v>
      </c>
      <c r="Q19" s="27">
        <f>D19*INDEX(Parametros!$B$2:$B$25,22)/1000</f>
        <v>62.587659199999997</v>
      </c>
    </row>
    <row r="20" spans="1:17" x14ac:dyDescent="0.3">
      <c r="A20" s="22">
        <f>INDEX(Dim_Mes!$A$2:$A$23,17)</f>
        <v>46204</v>
      </c>
      <c r="B20" s="23">
        <f>INDEX(Dim_Mes!$E$2:$E$23,17)</f>
        <v>23.3</v>
      </c>
      <c r="C20" s="24">
        <f>SUMIFS(Producao_Mensal!$C$2:$C$89,Producao_Mensal!$A$2:$A$89,$A20,Producao_Mensal!$B$2:$B$89,"INJ")+SUMIFS(Producao_Mensal!$C$2:$C$89,Producao_Mensal!$A$2:$A$89,$A20,Producao_Mensal!$B$2:$B$89,"SOP")</f>
        <v>6806783</v>
      </c>
      <c r="D20" s="24">
        <f>SUMIFS(Dados_Ambientais!$E$2:$E$486,Dados_Ambientais!$A$2:$A$486,$A20,Dados_Ambientais!$C$2:$C$486,"ENE_TOTAL")</f>
        <v>727698.42</v>
      </c>
      <c r="E20" s="23">
        <f t="shared" si="0"/>
        <v>106.90783296602815</v>
      </c>
      <c r="F20" s="24">
        <f>SUMIFS(Dados_Ambientais!$E$2:$E$486,Dados_Ambientais!$A$2:$A$486,$A20,Dados_Ambientais!$C$2:$C$486,"AGUA_TOTAL")</f>
        <v>1093.08</v>
      </c>
      <c r="G20" s="25">
        <f t="shared" si="1"/>
        <v>0.16058687341729566</v>
      </c>
      <c r="H20" s="24">
        <f>SUMIFS(Dados_Ambientais!$E$2:$E$486,Dados_Ambientais!$A$2:$A$486,$A20,Dados_Ambientais!$C$2:$C$486,"SCRAP_KG")</f>
        <v>2936.7200000000003</v>
      </c>
      <c r="I20" s="25">
        <f t="shared" si="2"/>
        <v>0.43144022660925146</v>
      </c>
      <c r="J20" s="26">
        <f>SUMIFS(Dados_Ambientais!$E$2:$E$486,Dados_Ambientais!$A$2:$A$486,$A20,Dados_Ambientais!$C$2:$C$486,"REGRIND_KG")/H20</f>
        <v>0.41081887275599988</v>
      </c>
      <c r="K20" s="24">
        <f>SUMIFS(Residuos_Mensais!$E$2:$E$265,Residuos_Mensais!$A$2:$A$265,$A20)</f>
        <v>10959.499999999998</v>
      </c>
      <c r="L20" s="26">
        <f>SUMIFS(Residuos_Mensais!$E$2:$E$265,Residuos_Mensais!$A$2:$A$265,$A20,Residuos_Mensais!$H$2:$H$265,"Sim")/K20</f>
        <v>0.78582964551302525</v>
      </c>
      <c r="M20" s="24">
        <f>SUMIFS(Residuos_Mensais!$E$2:$E$265,Residuos_Mensais!$A$2:$A$265,$A20,Residuos_Mensais!$D$2:$D$265,"Sim")</f>
        <v>145.4</v>
      </c>
      <c r="N20" s="24">
        <f>SUMIFS(Producao_Mensal!$C$2:$C$89,Producao_Mensal!$A$2:$A$89,$A20,Producao_Mensal!$B$2:$B$89,"SER")</f>
        <v>437609</v>
      </c>
      <c r="O20" s="27">
        <f>SUMIFS(Dados_Ambientais!$E$2:$E$486,Dados_Ambientais!$A$2:$A$486,$A20,Dados_Ambientais!$C$2:$C$486,"SOLVENTE_KG")</f>
        <v>79.180000000000007</v>
      </c>
      <c r="P20" s="25">
        <f t="shared" si="3"/>
        <v>0.18093777778793399</v>
      </c>
      <c r="Q20" s="27">
        <f>D20*INDEX(Parametros!$B$2:$B$25,22)/1000</f>
        <v>80.046826200000012</v>
      </c>
    </row>
    <row r="21" spans="1:17" x14ac:dyDescent="0.3">
      <c r="A21" s="22">
        <f>INDEX(Dim_Mes!$A$2:$A$23,18)</f>
        <v>46235</v>
      </c>
      <c r="B21" s="23">
        <f>INDEX(Dim_Mes!$E$2:$E$23,18)</f>
        <v>24</v>
      </c>
      <c r="C21" s="24">
        <f>SUMIFS(Producao_Mensal!$C$2:$C$89,Producao_Mensal!$A$2:$A$89,$A21,Producao_Mensal!$B$2:$B$89,"INJ")+SUMIFS(Producao_Mensal!$C$2:$C$89,Producao_Mensal!$A$2:$A$89,$A21,Producao_Mensal!$B$2:$B$89,"SOP")</f>
        <v>7413048</v>
      </c>
      <c r="D21" s="24">
        <f>SUMIFS(Dados_Ambientais!$E$2:$E$486,Dados_Ambientais!$A$2:$A$486,$A21,Dados_Ambientais!$C$2:$C$486,"ENE_TOTAL")</f>
        <v>804829.55</v>
      </c>
      <c r="E21" s="23">
        <f t="shared" si="0"/>
        <v>108.56931588733812</v>
      </c>
      <c r="F21" s="24">
        <f>SUMIFS(Dados_Ambientais!$E$2:$E$486,Dados_Ambientais!$A$2:$A$486,$A21,Dados_Ambientais!$C$2:$C$486,"AGUA_TOTAL")</f>
        <v>1223.1199999999999</v>
      </c>
      <c r="G21" s="25">
        <f t="shared" si="1"/>
        <v>0.16499555918159439</v>
      </c>
      <c r="H21" s="24">
        <f>SUMIFS(Dados_Ambientais!$E$2:$E$486,Dados_Ambientais!$A$2:$A$486,$A21,Dados_Ambientais!$C$2:$C$486,"SCRAP_KG")</f>
        <v>3110.31</v>
      </c>
      <c r="I21" s="25">
        <f t="shared" si="2"/>
        <v>0.41957235404384269</v>
      </c>
      <c r="J21" s="26">
        <f>SUMIFS(Dados_Ambientais!$E$2:$E$486,Dados_Ambientais!$A$2:$A$486,$A21,Dados_Ambientais!$C$2:$C$486,"REGRIND_KG")/H21</f>
        <v>0.37721320382855728</v>
      </c>
      <c r="K21" s="24">
        <f>SUMIFS(Residuos_Mensais!$E$2:$E$265,Residuos_Mensais!$A$2:$A$265,$A21)</f>
        <v>10700.2</v>
      </c>
      <c r="L21" s="26">
        <f>SUMIFS(Residuos_Mensais!$E$2:$E$265,Residuos_Mensais!$A$2:$A$265,$A21,Residuos_Mensais!$H$2:$H$265,"Sim")/K21</f>
        <v>0.82056410160557747</v>
      </c>
      <c r="M21" s="24">
        <f>SUMIFS(Residuos_Mensais!$E$2:$E$265,Residuos_Mensais!$A$2:$A$265,$A21,Residuos_Mensais!$D$2:$D$265,"Sim")</f>
        <v>129</v>
      </c>
      <c r="N21" s="24">
        <f>SUMIFS(Producao_Mensal!$C$2:$C$89,Producao_Mensal!$A$2:$A$89,$A21,Producao_Mensal!$B$2:$B$89,"SER")</f>
        <v>441790</v>
      </c>
      <c r="O21" s="27">
        <f>SUMIFS(Dados_Ambientais!$E$2:$E$486,Dados_Ambientais!$A$2:$A$486,$A21,Dados_Ambientais!$C$2:$C$486,"SOLVENTE_KG")</f>
        <v>84.06</v>
      </c>
      <c r="P21" s="25">
        <f t="shared" si="3"/>
        <v>0.19027139591208492</v>
      </c>
      <c r="Q21" s="27">
        <f>D21*INDEX(Parametros!$B$2:$B$25,22)/1000</f>
        <v>88.531250500000013</v>
      </c>
    </row>
    <row r="22" spans="1:17" x14ac:dyDescent="0.3">
      <c r="A22" s="22">
        <f>INDEX(Dim_Mes!$A$2:$A$23,19)</f>
        <v>46266</v>
      </c>
      <c r="B22" s="23">
        <f>INDEX(Dim_Mes!$E$2:$E$23,19)</f>
        <v>21.6</v>
      </c>
      <c r="C22" s="24">
        <f>SUMIFS(Producao_Mensal!$C$2:$C$89,Producao_Mensal!$A$2:$A$89,$A22,Producao_Mensal!$B$2:$B$89,"INJ")+SUMIFS(Producao_Mensal!$C$2:$C$89,Producao_Mensal!$A$2:$A$89,$A22,Producao_Mensal!$B$2:$B$89,"SOP")</f>
        <v>6946568</v>
      </c>
      <c r="D22" s="24">
        <f>SUMIFS(Dados_Ambientais!$E$2:$E$486,Dados_Ambientais!$A$2:$A$486,$A22,Dados_Ambientais!$C$2:$C$486,"ENE_TOTAL")</f>
        <v>736636.48</v>
      </c>
      <c r="E22" s="23">
        <f t="shared" si="0"/>
        <v>106.04322594985034</v>
      </c>
      <c r="F22" s="24">
        <f>SUMIFS(Dados_Ambientais!$E$2:$E$486,Dados_Ambientais!$A$2:$A$486,$A22,Dados_Ambientais!$C$2:$C$486,"AGUA_TOTAL")</f>
        <v>1106.72</v>
      </c>
      <c r="G22" s="25">
        <f t="shared" si="1"/>
        <v>0.15931896153611394</v>
      </c>
      <c r="H22" s="24">
        <f>SUMIFS(Dados_Ambientais!$E$2:$E$486,Dados_Ambientais!$A$2:$A$486,$A22,Dados_Ambientais!$C$2:$C$486,"SCRAP_KG")</f>
        <v>3284.11</v>
      </c>
      <c r="I22" s="25">
        <f t="shared" si="2"/>
        <v>0.47276727155049802</v>
      </c>
      <c r="J22" s="26">
        <f>SUMIFS(Dados_Ambientais!$E$2:$E$486,Dados_Ambientais!$A$2:$A$486,$A22,Dados_Ambientais!$C$2:$C$486,"REGRIND_KG")/H22</f>
        <v>0.37959751652654755</v>
      </c>
      <c r="K22" s="24">
        <f>SUMIFS(Residuos_Mensais!$E$2:$E$265,Residuos_Mensais!$A$2:$A$265,$A22)</f>
        <v>11339.499999999996</v>
      </c>
      <c r="L22" s="26">
        <f>SUMIFS(Residuos_Mensais!$E$2:$E$265,Residuos_Mensais!$A$2:$A$265,$A22,Residuos_Mensais!$H$2:$H$265,"Sim")/K22</f>
        <v>0.81045901494774897</v>
      </c>
      <c r="M22" s="24">
        <f>SUMIFS(Residuos_Mensais!$E$2:$E$265,Residuos_Mensais!$A$2:$A$265,$A22,Residuos_Mensais!$D$2:$D$265,"Sim")</f>
        <v>275.89999999999998</v>
      </c>
      <c r="N22" s="24">
        <f>SUMIFS(Producao_Mensal!$C$2:$C$89,Producao_Mensal!$A$2:$A$89,$A22,Producao_Mensal!$B$2:$B$89,"SER")</f>
        <v>462346</v>
      </c>
      <c r="O22" s="27">
        <f>SUMIFS(Dados_Ambientais!$E$2:$E$486,Dados_Ambientais!$A$2:$A$486,$A22,Dados_Ambientais!$C$2:$C$486,"SOLVENTE_KG")</f>
        <v>78.78</v>
      </c>
      <c r="P22" s="25">
        <f t="shared" si="3"/>
        <v>0.17039187102300007</v>
      </c>
      <c r="Q22" s="27">
        <f>D22*INDEX(Parametros!$B$2:$B$25,22)/1000</f>
        <v>81.030012799999994</v>
      </c>
    </row>
    <row r="23" spans="1:17" x14ac:dyDescent="0.3">
      <c r="A23" s="22">
        <f>INDEX(Dim_Mes!$A$2:$A$23,20)</f>
        <v>46296</v>
      </c>
      <c r="B23" s="23">
        <f>INDEX(Dim_Mes!$E$2:$E$23,20)</f>
        <v>18.2</v>
      </c>
      <c r="C23" s="24">
        <f>SUMIFS(Producao_Mensal!$C$2:$C$89,Producao_Mensal!$A$2:$A$89,$A23,Producao_Mensal!$B$2:$B$89,"INJ")+SUMIFS(Producao_Mensal!$C$2:$C$89,Producao_Mensal!$A$2:$A$89,$A23,Producao_Mensal!$B$2:$B$89,"SOP")</f>
        <v>7420393</v>
      </c>
      <c r="D23" s="24">
        <f>SUMIFS(Dados_Ambientais!$E$2:$E$486,Dados_Ambientais!$A$2:$A$486,$A23,Dados_Ambientais!$C$2:$C$486,"ENE_TOTAL")</f>
        <v>741702.88</v>
      </c>
      <c r="E23" s="23">
        <f t="shared" si="0"/>
        <v>99.954662778642586</v>
      </c>
      <c r="F23" s="24">
        <f>SUMIFS(Dados_Ambientais!$E$2:$E$486,Dados_Ambientais!$A$2:$A$486,$A23,Dados_Ambientais!$C$2:$C$486,"AGUA_TOTAL")</f>
        <v>1031.27</v>
      </c>
      <c r="G23" s="25">
        <f t="shared" si="1"/>
        <v>0.13897781424784375</v>
      </c>
      <c r="H23" s="24">
        <f>SUMIFS(Dados_Ambientais!$E$2:$E$486,Dados_Ambientais!$A$2:$A$486,$A23,Dados_Ambientais!$C$2:$C$486,"SCRAP_KG")</f>
        <v>3249.2300000000005</v>
      </c>
      <c r="I23" s="25">
        <f t="shared" si="2"/>
        <v>0.43787842503759578</v>
      </c>
      <c r="J23" s="26">
        <f>SUMIFS(Dados_Ambientais!$E$2:$E$486,Dados_Ambientais!$A$2:$A$486,$A23,Dados_Ambientais!$C$2:$C$486,"REGRIND_KG")/H23</f>
        <v>0.39628465821132997</v>
      </c>
      <c r="K23" s="24">
        <f>SUMIFS(Residuos_Mensais!$E$2:$E$265,Residuos_Mensais!$A$2:$A$265,$A23)</f>
        <v>11420.099999999999</v>
      </c>
      <c r="L23" s="26">
        <f>SUMIFS(Residuos_Mensais!$E$2:$E$265,Residuos_Mensais!$A$2:$A$265,$A23,Residuos_Mensais!$H$2:$H$265,"Sim")/K23</f>
        <v>0.77579005437780757</v>
      </c>
      <c r="M23" s="24">
        <f>SUMIFS(Residuos_Mensais!$E$2:$E$265,Residuos_Mensais!$A$2:$A$265,$A23,Residuos_Mensais!$D$2:$D$265,"Sim")</f>
        <v>149.9</v>
      </c>
      <c r="N23" s="24">
        <f>SUMIFS(Producao_Mensal!$C$2:$C$89,Producao_Mensal!$A$2:$A$89,$A23,Producao_Mensal!$B$2:$B$89,"SER")</f>
        <v>461147</v>
      </c>
      <c r="O23" s="27">
        <f>SUMIFS(Dados_Ambientais!$E$2:$E$486,Dados_Ambientais!$A$2:$A$486,$A23,Dados_Ambientais!$C$2:$C$486,"SOLVENTE_KG")</f>
        <v>76.709999999999994</v>
      </c>
      <c r="P23" s="25">
        <f t="shared" si="3"/>
        <v>0.16634608920799657</v>
      </c>
      <c r="Q23" s="27">
        <f>D23*INDEX(Parametros!$B$2:$B$25,22)/1000</f>
        <v>81.587316799999996</v>
      </c>
    </row>
    <row r="24" spans="1:17" x14ac:dyDescent="0.3">
      <c r="A24" s="22">
        <f>INDEX(Dim_Mes!$A$2:$A$23,21)</f>
        <v>46327</v>
      </c>
      <c r="B24" s="23">
        <f>INDEX(Dim_Mes!$E$2:$E$23,21)</f>
        <v>13.8</v>
      </c>
      <c r="C24" s="24">
        <f>SUMIFS(Producao_Mensal!$C$2:$C$89,Producao_Mensal!$A$2:$A$89,$A24,Producao_Mensal!$B$2:$B$89,"INJ")+SUMIFS(Producao_Mensal!$C$2:$C$89,Producao_Mensal!$A$2:$A$89,$A24,Producao_Mensal!$B$2:$B$89,"SOP")</f>
        <v>6825788</v>
      </c>
      <c r="D24" s="24">
        <f>SUMIFS(Dados_Ambientais!$E$2:$E$486,Dados_Ambientais!$A$2:$A$486,$A24,Dados_Ambientais!$C$2:$C$486,"ENE_TOTAL")</f>
        <v>697660.72</v>
      </c>
      <c r="E24" s="23">
        <f t="shared" si="0"/>
        <v>102.20955001825429</v>
      </c>
      <c r="F24" s="24">
        <f>SUMIFS(Dados_Ambientais!$E$2:$E$486,Dados_Ambientais!$A$2:$A$486,$A24,Dados_Ambientais!$C$2:$C$486,"AGUA_TOTAL")</f>
        <v>820.48</v>
      </c>
      <c r="G24" s="25">
        <f t="shared" si="1"/>
        <v>0.12020297143714397</v>
      </c>
      <c r="H24" s="24">
        <f>SUMIFS(Dados_Ambientais!$E$2:$E$486,Dados_Ambientais!$A$2:$A$486,$A24,Dados_Ambientais!$C$2:$C$486,"SCRAP_KG")</f>
        <v>3116.49</v>
      </c>
      <c r="I24" s="25">
        <f t="shared" si="2"/>
        <v>0.45657585615023494</v>
      </c>
      <c r="J24" s="26">
        <f>SUMIFS(Dados_Ambientais!$E$2:$E$486,Dados_Ambientais!$A$2:$A$486,$A24,Dados_Ambientais!$C$2:$C$486,"REGRIND_KG")/H24</f>
        <v>0.38212861263793568</v>
      </c>
      <c r="K24" s="24">
        <f>SUMIFS(Residuos_Mensais!$E$2:$E$265,Residuos_Mensais!$A$2:$A$265,$A24)</f>
        <v>10823.1</v>
      </c>
      <c r="L24" s="26">
        <f>SUMIFS(Residuos_Mensais!$E$2:$E$265,Residuos_Mensais!$A$2:$A$265,$A24,Residuos_Mensais!$H$2:$H$265,"Sim")/K24</f>
        <v>0.80463083589729378</v>
      </c>
      <c r="M24" s="24">
        <f>SUMIFS(Residuos_Mensais!$E$2:$E$265,Residuos_Mensais!$A$2:$A$265,$A24,Residuos_Mensais!$D$2:$D$265,"Sim")</f>
        <v>117</v>
      </c>
      <c r="N24" s="24">
        <f>SUMIFS(Producao_Mensal!$C$2:$C$89,Producao_Mensal!$A$2:$A$89,$A24,Producao_Mensal!$B$2:$B$89,"SER")</f>
        <v>383074</v>
      </c>
      <c r="O24" s="27">
        <f>SUMIFS(Dados_Ambientais!$E$2:$E$486,Dados_Ambientais!$A$2:$A$486,$A24,Dados_Ambientais!$C$2:$C$486,"SOLVENTE_KG")</f>
        <v>62.82</v>
      </c>
      <c r="P24" s="25">
        <f t="shared" si="3"/>
        <v>0.16398920313046564</v>
      </c>
      <c r="Q24" s="27">
        <f>D24*INDEX(Parametros!$B$2:$B$25,22)/1000</f>
        <v>76.742679199999998</v>
      </c>
    </row>
    <row r="25" spans="1:17" x14ac:dyDescent="0.3">
      <c r="A25" s="22">
        <f>INDEX(Dim_Mes!$A$2:$A$23,22)</f>
        <v>46357</v>
      </c>
      <c r="B25" s="23">
        <f>INDEX(Dim_Mes!$E$2:$E$23,22)</f>
        <v>11.1</v>
      </c>
      <c r="C25" s="24">
        <f>SUMIFS(Producao_Mensal!$C$2:$C$89,Producao_Mensal!$A$2:$A$89,$A25,Producao_Mensal!$B$2:$B$89,"INJ")+SUMIFS(Producao_Mensal!$C$2:$C$89,Producao_Mensal!$A$2:$A$89,$A25,Producao_Mensal!$B$2:$B$89,"SOP")</f>
        <v>6914348</v>
      </c>
      <c r="D25" s="24">
        <f>SUMIFS(Dados_Ambientais!$E$2:$E$486,Dados_Ambientais!$A$2:$A$486,$A25,Dados_Ambientais!$C$2:$C$486,"ENE_TOTAL")</f>
        <v>675973.18</v>
      </c>
      <c r="E25" s="23">
        <f t="shared" si="0"/>
        <v>97.763835433218006</v>
      </c>
      <c r="F25" s="24">
        <f>SUMIFS(Dados_Ambientais!$E$2:$E$486,Dados_Ambientais!$A$2:$A$486,$A25,Dados_Ambientais!$C$2:$C$486,"AGUA_TOTAL")</f>
        <v>701.33</v>
      </c>
      <c r="G25" s="25">
        <f t="shared" si="1"/>
        <v>0.10143111107511511</v>
      </c>
      <c r="H25" s="24">
        <f>SUMIFS(Dados_Ambientais!$E$2:$E$486,Dados_Ambientais!$A$2:$A$486,$A25,Dados_Ambientais!$C$2:$C$486,"SCRAP_KG")</f>
        <v>3032.67</v>
      </c>
      <c r="I25" s="25">
        <f t="shared" si="2"/>
        <v>0.43860534644770555</v>
      </c>
      <c r="J25" s="26">
        <f>SUMIFS(Dados_Ambientais!$E$2:$E$486,Dados_Ambientais!$A$2:$A$486,$A25,Dados_Ambientais!$C$2:$C$486,"REGRIND_KG")/H25</f>
        <v>0.37972809438547545</v>
      </c>
      <c r="K25" s="24">
        <f>SUMIFS(Residuos_Mensais!$E$2:$E$265,Residuos_Mensais!$A$2:$A$265,$A25)</f>
        <v>10504.7</v>
      </c>
      <c r="L25" s="26">
        <f>SUMIFS(Residuos_Mensais!$E$2:$E$265,Residuos_Mensais!$A$2:$A$265,$A25,Residuos_Mensais!$H$2:$H$265,"Sim")/K25</f>
        <v>0.82546859976962683</v>
      </c>
      <c r="M25" s="24">
        <f>SUMIFS(Residuos_Mensais!$E$2:$E$265,Residuos_Mensais!$A$2:$A$265,$A25,Residuos_Mensais!$D$2:$D$265,"Sim")</f>
        <v>304.20000000000005</v>
      </c>
      <c r="N25" s="24">
        <f>SUMIFS(Producao_Mensal!$C$2:$C$89,Producao_Mensal!$A$2:$A$89,$A25,Producao_Mensal!$B$2:$B$89,"SER")</f>
        <v>359103</v>
      </c>
      <c r="O25" s="27">
        <f>SUMIFS(Dados_Ambientais!$E$2:$E$486,Dados_Ambientais!$A$2:$A$486,$A25,Dados_Ambientais!$C$2:$C$486,"SOLVENTE_KG")</f>
        <v>57.56</v>
      </c>
      <c r="P25" s="25">
        <f t="shared" si="3"/>
        <v>0.16028827383786826</v>
      </c>
      <c r="Q25" s="27">
        <f>D25*INDEX(Parametros!$B$2:$B$25,22)/1000</f>
        <v>74.357049800000013</v>
      </c>
    </row>
  </sheetData>
  <conditionalFormatting sqref="P4:P25">
    <cfRule type="expression" dxfId="6" priority="1">
      <formula>P4&gt;AVERAGE($P$4:$P$22)*1.1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E24"/>
  <sheetViews>
    <sheetView showGridLines="0" workbookViewId="0"/>
  </sheetViews>
  <sheetFormatPr defaultRowHeight="14.4" x14ac:dyDescent="0.3"/>
  <cols>
    <col min="1" max="1" width="46" customWidth="1"/>
    <col min="2" max="5" width="18" customWidth="1"/>
  </cols>
  <sheetData>
    <row r="1" spans="1:5" ht="17.399999999999999" x14ac:dyDescent="0.3">
      <c r="A1" s="1" t="s">
        <v>518</v>
      </c>
    </row>
    <row r="3" spans="1:5" x14ac:dyDescent="0.3">
      <c r="A3" s="28" t="s">
        <v>519</v>
      </c>
    </row>
    <row r="5" spans="1:5" x14ac:dyDescent="0.3">
      <c r="A5" s="29" t="s">
        <v>520</v>
      </c>
      <c r="B5" s="30">
        <f>AVERAGE(Indicadores_Mensais!P19:P21)</f>
        <v>0.18286096982811795</v>
      </c>
    </row>
    <row r="6" spans="1:5" x14ac:dyDescent="0.3">
      <c r="A6" s="29" t="s">
        <v>521</v>
      </c>
      <c r="B6" s="30">
        <f>AVERAGE(Indicadores_Mensais!P16:P18)</f>
        <v>0.15886466875302754</v>
      </c>
    </row>
    <row r="7" spans="1:5" x14ac:dyDescent="0.3">
      <c r="A7" s="29" t="s">
        <v>522</v>
      </c>
      <c r="B7" s="31">
        <f>B5/B6-1</f>
        <v>0.1510486961225801</v>
      </c>
    </row>
    <row r="8" spans="1:5" x14ac:dyDescent="0.3">
      <c r="A8" s="29" t="s">
        <v>523</v>
      </c>
      <c r="B8" s="32">
        <f>SUM(Indicadores_Mensais!N19:N21)</f>
        <v>1133608</v>
      </c>
    </row>
    <row r="9" spans="1:5" x14ac:dyDescent="0.3">
      <c r="A9" s="29" t="s">
        <v>524</v>
      </c>
      <c r="B9" s="32">
        <f>SUM(Indicadores_Mensais!N16:N18)</f>
        <v>1133876</v>
      </c>
    </row>
    <row r="10" spans="1:5" x14ac:dyDescent="0.3">
      <c r="A10" s="29" t="s">
        <v>525</v>
      </c>
      <c r="B10" s="31">
        <f>B8/B9-1</f>
        <v>-2.3635741474381522E-4</v>
      </c>
    </row>
    <row r="11" spans="1:5" x14ac:dyDescent="0.3">
      <c r="A11" s="29" t="s">
        <v>526</v>
      </c>
      <c r="B11" s="30">
        <f>AVERAGE(Indicadores_Mensais!P7:P9)</f>
        <v>0.15613788382047314</v>
      </c>
    </row>
    <row r="12" spans="1:5" x14ac:dyDescent="0.3">
      <c r="A12" s="29" t="s">
        <v>527</v>
      </c>
      <c r="B12" s="31">
        <f>B5/B11-1</f>
        <v>0.17115055842802973</v>
      </c>
    </row>
    <row r="13" spans="1:5" x14ac:dyDescent="0.3">
      <c r="A13" s="29" t="s">
        <v>528</v>
      </c>
      <c r="B13" s="32">
        <f>SUM(Indicadores_Mensais!O19:O21)-B6*B8/1000</f>
        <v>28.239740584217969</v>
      </c>
    </row>
    <row r="14" spans="1:5" x14ac:dyDescent="0.3">
      <c r="A14" s="29" t="s">
        <v>529</v>
      </c>
      <c r="B14" s="30">
        <f>AVERAGE(Indicadores_Mensais!P23:P25)</f>
        <v>0.16354118872544349</v>
      </c>
    </row>
    <row r="15" spans="1:5" x14ac:dyDescent="0.3">
      <c r="A15" s="29" t="s">
        <v>530</v>
      </c>
      <c r="B15" s="31">
        <f>B14/B6-1</f>
        <v>2.943713041498297E-2</v>
      </c>
    </row>
    <row r="16" spans="1:5" ht="45" customHeight="1" x14ac:dyDescent="0.3">
      <c r="A16" s="29" t="s">
        <v>531</v>
      </c>
      <c r="B16" s="42" t="str">
        <f>IF(AND(B7&gt;=0.1,ABS(B10)&lt;0.05),"DESVIO REAL: o indicador subiu "&amp;FIXED(B7*100,1)&amp;"% com a produção estável ("&amp;FIXED(B10*100,2)&amp;"%) → investigar causas operacionais/técnicas.",IF(B7&gt;=0.1,"Subida acompanhada de variação de produção: normalizar antes de concluir.","Sem desvio relevante."))</f>
        <v>DESVIO REAL: o indicador subiu 15,1% com a produção estável (-0,02%) → investigar causas operacionais/técnicas.</v>
      </c>
      <c r="C16" s="43"/>
      <c r="D16" s="43"/>
      <c r="E16" s="44"/>
    </row>
    <row r="18" spans="1:5" ht="75" customHeight="1" x14ac:dyDescent="0.3">
      <c r="A18" s="28" t="s">
        <v>532</v>
      </c>
      <c r="B18" s="40" t="s">
        <v>533</v>
      </c>
      <c r="C18" s="41"/>
      <c r="D18" s="41"/>
      <c r="E18" s="41"/>
    </row>
    <row r="20" spans="1:5" x14ac:dyDescent="0.3">
      <c r="A20" s="28" t="s">
        <v>534</v>
      </c>
    </row>
    <row r="21" spans="1:5" ht="31.95" customHeight="1" x14ac:dyDescent="0.3">
      <c r="B21" s="40" t="s">
        <v>535</v>
      </c>
      <c r="C21" s="41"/>
      <c r="D21" s="41"/>
      <c r="E21" s="41"/>
    </row>
    <row r="22" spans="1:5" ht="31.95" customHeight="1" x14ac:dyDescent="0.3">
      <c r="B22" s="40" t="s">
        <v>536</v>
      </c>
      <c r="C22" s="41"/>
      <c r="D22" s="41"/>
      <c r="E22" s="41"/>
    </row>
    <row r="23" spans="1:5" ht="31.95" customHeight="1" x14ac:dyDescent="0.3">
      <c r="B23" s="40" t="s">
        <v>537</v>
      </c>
      <c r="C23" s="41"/>
      <c r="D23" s="41"/>
      <c r="E23" s="41"/>
    </row>
    <row r="24" spans="1:5" ht="31.95" customHeight="1" x14ac:dyDescent="0.3">
      <c r="B24" s="40" t="s">
        <v>538</v>
      </c>
      <c r="C24" s="41"/>
      <c r="D24" s="41"/>
      <c r="E24" s="41"/>
    </row>
  </sheetData>
  <mergeCells count="6">
    <mergeCell ref="B23:E23"/>
    <mergeCell ref="B18:E18"/>
    <mergeCell ref="B21:E21"/>
    <mergeCell ref="B16:E16"/>
    <mergeCell ref="B24:E24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8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2" customWidth="1"/>
    <col min="3" max="3" width="46" customWidth="1"/>
    <col min="4" max="4" width="40" customWidth="1"/>
    <col min="5" max="5" width="50" customWidth="1"/>
    <col min="6" max="6" width="12" customWidth="1"/>
    <col min="7" max="7" width="10" customWidth="1"/>
  </cols>
  <sheetData>
    <row r="1" spans="1:7" ht="26.4" x14ac:dyDescent="0.3">
      <c r="A1" s="8" t="s">
        <v>539</v>
      </c>
      <c r="B1" s="8" t="s">
        <v>540</v>
      </c>
      <c r="C1" s="8" t="s">
        <v>541</v>
      </c>
      <c r="D1" s="8" t="s">
        <v>542</v>
      </c>
      <c r="E1" s="8" t="s">
        <v>543</v>
      </c>
      <c r="F1" s="8" t="s">
        <v>14</v>
      </c>
      <c r="G1" s="8" t="s">
        <v>544</v>
      </c>
    </row>
    <row r="2" spans="1:7" ht="48" customHeight="1" x14ac:dyDescent="0.3">
      <c r="A2" s="10" t="s">
        <v>545</v>
      </c>
      <c r="B2" s="10" t="s">
        <v>546</v>
      </c>
      <c r="C2" s="10" t="s">
        <v>547</v>
      </c>
      <c r="D2" s="10" t="s">
        <v>548</v>
      </c>
      <c r="E2" s="10" t="s">
        <v>549</v>
      </c>
      <c r="F2" s="10" t="s">
        <v>550</v>
      </c>
      <c r="G2" s="10" t="s">
        <v>551</v>
      </c>
    </row>
    <row r="3" spans="1:7" ht="48" customHeight="1" x14ac:dyDescent="0.3">
      <c r="A3" s="10" t="s">
        <v>552</v>
      </c>
      <c r="B3" s="10" t="s">
        <v>553</v>
      </c>
      <c r="C3" s="10" t="s">
        <v>554</v>
      </c>
      <c r="D3" s="10" t="s">
        <v>555</v>
      </c>
      <c r="E3" s="10" t="s">
        <v>556</v>
      </c>
      <c r="F3" s="10" t="s">
        <v>550</v>
      </c>
      <c r="G3" s="10" t="s">
        <v>551</v>
      </c>
    </row>
    <row r="4" spans="1:7" ht="48" customHeight="1" x14ac:dyDescent="0.3">
      <c r="A4" s="10" t="s">
        <v>557</v>
      </c>
      <c r="B4" s="10" t="s">
        <v>558</v>
      </c>
      <c r="C4" s="10" t="s">
        <v>559</v>
      </c>
      <c r="D4" s="10" t="s">
        <v>560</v>
      </c>
      <c r="E4" s="10" t="s">
        <v>561</v>
      </c>
      <c r="F4" s="10" t="s">
        <v>550</v>
      </c>
      <c r="G4" s="10" t="s">
        <v>551</v>
      </c>
    </row>
    <row r="5" spans="1:7" ht="48" customHeight="1" x14ac:dyDescent="0.3">
      <c r="A5" s="10" t="s">
        <v>562</v>
      </c>
      <c r="B5" s="10" t="s">
        <v>563</v>
      </c>
      <c r="C5" s="10" t="s">
        <v>564</v>
      </c>
      <c r="D5" s="10" t="s">
        <v>565</v>
      </c>
      <c r="E5" s="10" t="s">
        <v>566</v>
      </c>
      <c r="F5" s="10" t="s">
        <v>567</v>
      </c>
      <c r="G5" s="10"/>
    </row>
    <row r="6" spans="1:7" ht="48" customHeight="1" x14ac:dyDescent="0.3">
      <c r="A6" s="10" t="s">
        <v>568</v>
      </c>
      <c r="B6" s="10" t="s">
        <v>569</v>
      </c>
      <c r="C6" s="10" t="s">
        <v>570</v>
      </c>
      <c r="D6" s="10" t="s">
        <v>571</v>
      </c>
      <c r="E6" s="10" t="s">
        <v>572</v>
      </c>
      <c r="F6" s="10" t="s">
        <v>567</v>
      </c>
      <c r="G6" s="10"/>
    </row>
    <row r="7" spans="1:7" ht="48" customHeight="1" x14ac:dyDescent="0.3">
      <c r="A7" s="10" t="s">
        <v>573</v>
      </c>
      <c r="B7" s="10" t="s">
        <v>574</v>
      </c>
      <c r="C7" s="10" t="s">
        <v>575</v>
      </c>
      <c r="D7" s="10" t="s">
        <v>576</v>
      </c>
      <c r="E7" s="10" t="s">
        <v>577</v>
      </c>
      <c r="F7" s="10" t="s">
        <v>578</v>
      </c>
      <c r="G7" s="10"/>
    </row>
    <row r="8" spans="1:7" ht="48" customHeight="1" x14ac:dyDescent="0.3">
      <c r="A8" s="10" t="s">
        <v>579</v>
      </c>
      <c r="B8" s="10" t="s">
        <v>546</v>
      </c>
      <c r="C8" s="10" t="s">
        <v>580</v>
      </c>
      <c r="D8" s="10" t="s">
        <v>581</v>
      </c>
      <c r="E8" s="10" t="s">
        <v>582</v>
      </c>
      <c r="F8" s="10" t="s">
        <v>567</v>
      </c>
      <c r="G8" s="10"/>
    </row>
  </sheetData>
  <conditionalFormatting sqref="F2:F208">
    <cfRule type="expression" dxfId="5" priority="1">
      <formula>ISNUMBER(SEARCH("Confirmada",F2))</formula>
    </cfRule>
    <cfRule type="expression" dxfId="4" priority="2">
      <formula>ISNUMBER(SEARCH("Parcial",F2))</formula>
    </cfRule>
    <cfRule type="expression" dxfId="3" priority="3">
      <formula>ISNUMBER(SEARCH("Descartada",F2))</formula>
    </cfRule>
  </conditionalFormatting>
  <dataValidations count="2">
    <dataValidation type="list" allowBlank="1" showErrorMessage="1" errorTitle="Valor inválido" error="Valor fora da lista controlada (ver folha Listas)." sqref="B2:B208" xr:uid="{00000000-0002-0000-0A00-000000000000}">
      <formula1>lst_Cat6M</formula1>
    </dataValidation>
    <dataValidation type="list" allowBlank="1" showErrorMessage="1" errorTitle="Valor inválido" error="Valor fora da lista controlada (ver folha Listas)." sqref="F2:F208" xr:uid="{00000000-0002-0000-0A00-000001000000}">
      <formula1>lst_EstadoHip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47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8" customWidth="1"/>
    <col min="3" max="3" width="6" customWidth="1"/>
    <col min="4" max="6" width="10" customWidth="1"/>
    <col min="9" max="13" width="10" customWidth="1"/>
  </cols>
  <sheetData>
    <row r="1" spans="1:13" ht="26.4" x14ac:dyDescent="0.3">
      <c r="A1" s="8" t="s">
        <v>583</v>
      </c>
      <c r="B1" s="8" t="s">
        <v>584</v>
      </c>
      <c r="C1" s="8" t="s">
        <v>585</v>
      </c>
      <c r="D1" s="8" t="s">
        <v>586</v>
      </c>
      <c r="E1" s="8" t="s">
        <v>587</v>
      </c>
      <c r="F1" s="9" t="s">
        <v>588</v>
      </c>
      <c r="I1" s="28" t="s">
        <v>589</v>
      </c>
    </row>
    <row r="2" spans="1:13" x14ac:dyDescent="0.3">
      <c r="A2" s="12">
        <v>46273</v>
      </c>
      <c r="B2" s="10" t="s">
        <v>590</v>
      </c>
      <c r="C2" s="13">
        <v>1</v>
      </c>
      <c r="D2" s="18">
        <v>5787</v>
      </c>
      <c r="E2" s="15">
        <v>1.206</v>
      </c>
      <c r="F2" s="33">
        <f t="shared" ref="F2:F65" si="0">E2/D2*1000</f>
        <v>0.20839813374805596</v>
      </c>
      <c r="I2" s="34"/>
      <c r="J2" s="34" t="s">
        <v>591</v>
      </c>
      <c r="K2" s="34" t="s">
        <v>592</v>
      </c>
      <c r="L2" s="34" t="s">
        <v>593</v>
      </c>
      <c r="M2" s="34" t="s">
        <v>594</v>
      </c>
    </row>
    <row r="3" spans="1:13" x14ac:dyDescent="0.3">
      <c r="A3" s="12">
        <v>46273</v>
      </c>
      <c r="B3" s="10" t="s">
        <v>590</v>
      </c>
      <c r="C3" s="13">
        <v>2</v>
      </c>
      <c r="D3" s="18">
        <v>6168</v>
      </c>
      <c r="E3" s="15">
        <v>1.486</v>
      </c>
      <c r="F3" s="33">
        <f t="shared" si="0"/>
        <v>0.24092088197146563</v>
      </c>
      <c r="I3" s="28" t="s">
        <v>590</v>
      </c>
      <c r="J3" s="35">
        <f>SUMIFS($E$2:$E$475,$B$2:$B$475,"SS-001",$C$2:$C$475,1)/SUMIFS($D$2:$D$475,$B$2:$B$475,"SS-001",$C$2:$C$475,1)*1000</f>
        <v>0.1872241312380486</v>
      </c>
      <c r="K3" s="35">
        <f>SUMIFS($E$2:$E$475,$B$2:$B$475,"SS-001",$C$2:$C$475,2)/SUMIFS($D$2:$D$475,$B$2:$B$475,"SS-001",$C$2:$C$475,2)*1000</f>
        <v>0.21379860281182594</v>
      </c>
      <c r="L3" s="35">
        <f>SUMIFS($E$2:$E$475,$B$2:$B$475,"SS-001",$C$2:$C$475,3)/SUMIFS($D$2:$D$475,$B$2:$B$475,"SS-001",$C$2:$C$475,3)*1000</f>
        <v>0.18417437139048401</v>
      </c>
      <c r="M3" s="35">
        <f>SUMIFS($E$2:$E$475,$B$2:$B$475,"SS-001")/SUMIFS($D$2:$D$475,$B$2:$B$475,"SS-001")*1000</f>
        <v>0.19511979362656665</v>
      </c>
    </row>
    <row r="4" spans="1:13" x14ac:dyDescent="0.3">
      <c r="A4" s="12">
        <v>46273</v>
      </c>
      <c r="B4" s="10" t="s">
        <v>590</v>
      </c>
      <c r="C4" s="13">
        <v>3</v>
      </c>
      <c r="D4" s="18">
        <v>6361</v>
      </c>
      <c r="E4" s="15">
        <v>1.359</v>
      </c>
      <c r="F4" s="33">
        <f t="shared" si="0"/>
        <v>0.21364565319918249</v>
      </c>
      <c r="I4" s="28" t="s">
        <v>595</v>
      </c>
      <c r="J4" s="35">
        <f>SUMIFS($E$2:$E$475,$B$2:$B$475,"SS-002",$C$2:$C$475,1)/SUMIFS($D$2:$D$475,$B$2:$B$475,"SS-002",$C$2:$C$475,1)*1000</f>
        <v>0.1456765142871215</v>
      </c>
      <c r="K4" s="35">
        <f>SUMIFS($E$2:$E$475,$B$2:$B$475,"SS-002",$C$2:$C$475,2)/SUMIFS($D$2:$D$475,$B$2:$B$475,"SS-002",$C$2:$C$475,2)*1000</f>
        <v>0.16336446434882174</v>
      </c>
      <c r="L4" s="35">
        <f>SUMIFS($E$2:$E$475,$B$2:$B$475,"SS-002",$C$2:$C$475,3)/SUMIFS($D$2:$D$475,$B$2:$B$475,"SS-002",$C$2:$C$475,3)*1000</f>
        <v>0.145499164427111</v>
      </c>
      <c r="M4" s="35">
        <f>SUMIFS($E$2:$E$475,$B$2:$B$475,"SS-002")/SUMIFS($D$2:$D$475,$B$2:$B$475,"SS-002")*1000</f>
        <v>0.15149870126300455</v>
      </c>
    </row>
    <row r="5" spans="1:13" x14ac:dyDescent="0.3">
      <c r="A5" s="12">
        <v>46273</v>
      </c>
      <c r="B5" s="10" t="s">
        <v>595</v>
      </c>
      <c r="C5" s="13">
        <v>1</v>
      </c>
      <c r="D5" s="18">
        <v>6294</v>
      </c>
      <c r="E5" s="15">
        <v>1.0049999999999999</v>
      </c>
      <c r="F5" s="33">
        <f t="shared" si="0"/>
        <v>0.15967588179218301</v>
      </c>
    </row>
    <row r="6" spans="1:13" x14ac:dyDescent="0.3">
      <c r="A6" s="12">
        <v>46273</v>
      </c>
      <c r="B6" s="10" t="s">
        <v>595</v>
      </c>
      <c r="C6" s="13">
        <v>2</v>
      </c>
      <c r="D6" s="18">
        <v>5631</v>
      </c>
      <c r="E6" s="15">
        <v>1.0860000000000001</v>
      </c>
      <c r="F6" s="33">
        <f t="shared" si="0"/>
        <v>0.1928609483217901</v>
      </c>
    </row>
    <row r="7" spans="1:13" x14ac:dyDescent="0.3">
      <c r="A7" s="12">
        <v>46273</v>
      </c>
      <c r="B7" s="10" t="s">
        <v>595</v>
      </c>
      <c r="C7" s="13">
        <v>3</v>
      </c>
      <c r="D7" s="18">
        <v>6037</v>
      </c>
      <c r="E7" s="15">
        <v>1.0109999999999999</v>
      </c>
      <c r="F7" s="33">
        <f t="shared" si="0"/>
        <v>0.16746728507536854</v>
      </c>
    </row>
    <row r="8" spans="1:13" x14ac:dyDescent="0.3">
      <c r="A8" s="12">
        <v>46274</v>
      </c>
      <c r="B8" s="10" t="s">
        <v>590</v>
      </c>
      <c r="C8" s="13">
        <v>1</v>
      </c>
      <c r="D8" s="18">
        <v>6856</v>
      </c>
      <c r="E8" s="15">
        <v>1.27</v>
      </c>
      <c r="F8" s="33">
        <f t="shared" si="0"/>
        <v>0.18523920653442238</v>
      </c>
    </row>
    <row r="9" spans="1:13" x14ac:dyDescent="0.3">
      <c r="A9" s="12">
        <v>46274</v>
      </c>
      <c r="B9" s="10" t="s">
        <v>590</v>
      </c>
      <c r="C9" s="13">
        <v>2</v>
      </c>
      <c r="D9" s="18">
        <v>6864</v>
      </c>
      <c r="E9" s="15">
        <v>1.5960000000000001</v>
      </c>
      <c r="F9" s="33">
        <f t="shared" si="0"/>
        <v>0.23251748251748253</v>
      </c>
    </row>
    <row r="10" spans="1:13" x14ac:dyDescent="0.3">
      <c r="A10" s="12">
        <v>46274</v>
      </c>
      <c r="B10" s="10" t="s">
        <v>590</v>
      </c>
      <c r="C10" s="13">
        <v>3</v>
      </c>
      <c r="D10" s="18">
        <v>5681</v>
      </c>
      <c r="E10" s="15">
        <v>1.151</v>
      </c>
      <c r="F10" s="33">
        <f t="shared" si="0"/>
        <v>0.20260517514522092</v>
      </c>
    </row>
    <row r="11" spans="1:13" x14ac:dyDescent="0.3">
      <c r="A11" s="12">
        <v>46274</v>
      </c>
      <c r="B11" s="10" t="s">
        <v>595</v>
      </c>
      <c r="C11" s="13">
        <v>1</v>
      </c>
      <c r="D11" s="18">
        <v>6349</v>
      </c>
      <c r="E11" s="15">
        <v>1.0640000000000001</v>
      </c>
      <c r="F11" s="33">
        <f t="shared" si="0"/>
        <v>0.16758544652701213</v>
      </c>
    </row>
    <row r="12" spans="1:13" x14ac:dyDescent="0.3">
      <c r="A12" s="12">
        <v>46274</v>
      </c>
      <c r="B12" s="10" t="s">
        <v>595</v>
      </c>
      <c r="C12" s="13">
        <v>2</v>
      </c>
      <c r="D12" s="18">
        <v>7611</v>
      </c>
      <c r="E12" s="15">
        <v>1.294</v>
      </c>
      <c r="F12" s="33">
        <f t="shared" si="0"/>
        <v>0.17001708054132178</v>
      </c>
    </row>
    <row r="13" spans="1:13" x14ac:dyDescent="0.3">
      <c r="A13" s="12">
        <v>46274</v>
      </c>
      <c r="B13" s="10" t="s">
        <v>595</v>
      </c>
      <c r="C13" s="13">
        <v>3</v>
      </c>
      <c r="D13" s="18">
        <v>6016</v>
      </c>
      <c r="E13" s="15">
        <v>0.97199999999999998</v>
      </c>
      <c r="F13" s="33">
        <f t="shared" si="0"/>
        <v>0.16156914893617019</v>
      </c>
    </row>
    <row r="14" spans="1:13" x14ac:dyDescent="0.3">
      <c r="A14" s="12">
        <v>46275</v>
      </c>
      <c r="B14" s="10" t="s">
        <v>590</v>
      </c>
      <c r="C14" s="13">
        <v>1</v>
      </c>
      <c r="D14" s="18">
        <v>5933</v>
      </c>
      <c r="E14" s="15">
        <v>1.093</v>
      </c>
      <c r="F14" s="33">
        <f t="shared" si="0"/>
        <v>0.18422383279959548</v>
      </c>
    </row>
    <row r="15" spans="1:13" x14ac:dyDescent="0.3">
      <c r="A15" s="12">
        <v>46275</v>
      </c>
      <c r="B15" s="10" t="s">
        <v>590</v>
      </c>
      <c r="C15" s="13">
        <v>2</v>
      </c>
      <c r="D15" s="18">
        <v>6086</v>
      </c>
      <c r="E15" s="15">
        <v>1.4730000000000001</v>
      </c>
      <c r="F15" s="33">
        <f t="shared" si="0"/>
        <v>0.24203089056851793</v>
      </c>
    </row>
    <row r="16" spans="1:13" x14ac:dyDescent="0.3">
      <c r="A16" s="12">
        <v>46275</v>
      </c>
      <c r="B16" s="10" t="s">
        <v>590</v>
      </c>
      <c r="C16" s="13">
        <v>3</v>
      </c>
      <c r="D16" s="18">
        <v>6396</v>
      </c>
      <c r="E16" s="15">
        <v>1.2829999999999999</v>
      </c>
      <c r="F16" s="33">
        <f t="shared" si="0"/>
        <v>0.20059412132582863</v>
      </c>
    </row>
    <row r="17" spans="1:6" x14ac:dyDescent="0.3">
      <c r="A17" s="12">
        <v>46275</v>
      </c>
      <c r="B17" s="10" t="s">
        <v>595</v>
      </c>
      <c r="C17" s="13">
        <v>1</v>
      </c>
      <c r="D17" s="18">
        <v>6875</v>
      </c>
      <c r="E17" s="15">
        <v>1.101</v>
      </c>
      <c r="F17" s="33">
        <f t="shared" si="0"/>
        <v>0.16014545454545454</v>
      </c>
    </row>
    <row r="18" spans="1:6" x14ac:dyDescent="0.3">
      <c r="A18" s="12">
        <v>46275</v>
      </c>
      <c r="B18" s="10" t="s">
        <v>595</v>
      </c>
      <c r="C18" s="13">
        <v>2</v>
      </c>
      <c r="D18" s="18">
        <v>6597</v>
      </c>
      <c r="E18" s="15">
        <v>1.1539999999999999</v>
      </c>
      <c r="F18" s="33">
        <f t="shared" si="0"/>
        <v>0.17492799757465513</v>
      </c>
    </row>
    <row r="19" spans="1:6" x14ac:dyDescent="0.3">
      <c r="A19" s="12">
        <v>46275</v>
      </c>
      <c r="B19" s="10" t="s">
        <v>595</v>
      </c>
      <c r="C19" s="13">
        <v>3</v>
      </c>
      <c r="D19" s="18">
        <v>4924</v>
      </c>
      <c r="E19" s="15">
        <v>0.81399999999999995</v>
      </c>
      <c r="F19" s="33">
        <f t="shared" si="0"/>
        <v>0.16531275385865149</v>
      </c>
    </row>
    <row r="20" spans="1:6" x14ac:dyDescent="0.3">
      <c r="A20" s="12">
        <v>46276</v>
      </c>
      <c r="B20" s="10" t="s">
        <v>590</v>
      </c>
      <c r="C20" s="13">
        <v>1</v>
      </c>
      <c r="D20" s="18">
        <v>6380</v>
      </c>
      <c r="E20" s="15">
        <v>1.365</v>
      </c>
      <c r="F20" s="33">
        <f t="shared" si="0"/>
        <v>0.21394984326018809</v>
      </c>
    </row>
    <row r="21" spans="1:6" x14ac:dyDescent="0.3">
      <c r="A21" s="12">
        <v>46276</v>
      </c>
      <c r="B21" s="10" t="s">
        <v>590</v>
      </c>
      <c r="C21" s="13">
        <v>2</v>
      </c>
      <c r="D21" s="18">
        <v>6276</v>
      </c>
      <c r="E21" s="15">
        <v>1.494</v>
      </c>
      <c r="F21" s="33">
        <f t="shared" si="0"/>
        <v>0.23804971319311663</v>
      </c>
    </row>
    <row r="22" spans="1:6" x14ac:dyDescent="0.3">
      <c r="A22" s="12">
        <v>46276</v>
      </c>
      <c r="B22" s="10" t="s">
        <v>590</v>
      </c>
      <c r="C22" s="13">
        <v>3</v>
      </c>
      <c r="D22" s="18">
        <v>6082</v>
      </c>
      <c r="E22" s="15">
        <v>1.3260000000000001</v>
      </c>
      <c r="F22" s="33">
        <f t="shared" si="0"/>
        <v>0.21802038803025323</v>
      </c>
    </row>
    <row r="23" spans="1:6" x14ac:dyDescent="0.3">
      <c r="A23" s="12">
        <v>46276</v>
      </c>
      <c r="B23" s="10" t="s">
        <v>595</v>
      </c>
      <c r="C23" s="13">
        <v>1</v>
      </c>
      <c r="D23" s="18">
        <v>5830</v>
      </c>
      <c r="E23" s="15">
        <v>0.90600000000000003</v>
      </c>
      <c r="F23" s="33">
        <f t="shared" si="0"/>
        <v>0.15540308747855919</v>
      </c>
    </row>
    <row r="24" spans="1:6" x14ac:dyDescent="0.3">
      <c r="A24" s="12">
        <v>46276</v>
      </c>
      <c r="B24" s="10" t="s">
        <v>595</v>
      </c>
      <c r="C24" s="13">
        <v>2</v>
      </c>
      <c r="D24" s="18">
        <v>6191</v>
      </c>
      <c r="E24" s="15">
        <v>1.1779999999999999</v>
      </c>
      <c r="F24" s="33">
        <f t="shared" si="0"/>
        <v>0.19027620739783555</v>
      </c>
    </row>
    <row r="25" spans="1:6" x14ac:dyDescent="0.3">
      <c r="A25" s="12">
        <v>46276</v>
      </c>
      <c r="B25" s="10" t="s">
        <v>595</v>
      </c>
      <c r="C25" s="13">
        <v>3</v>
      </c>
      <c r="D25" s="18">
        <v>7308</v>
      </c>
      <c r="E25" s="15">
        <v>1.119</v>
      </c>
      <c r="F25" s="33">
        <f t="shared" si="0"/>
        <v>0.15311986863711</v>
      </c>
    </row>
    <row r="26" spans="1:6" x14ac:dyDescent="0.3">
      <c r="A26" s="12">
        <v>46279</v>
      </c>
      <c r="B26" s="10" t="s">
        <v>590</v>
      </c>
      <c r="C26" s="13">
        <v>1</v>
      </c>
      <c r="D26" s="18">
        <v>7469</v>
      </c>
      <c r="E26" s="15">
        <v>1.55</v>
      </c>
      <c r="F26" s="33">
        <f t="shared" si="0"/>
        <v>0.20752443432855805</v>
      </c>
    </row>
    <row r="27" spans="1:6" x14ac:dyDescent="0.3">
      <c r="A27" s="12">
        <v>46279</v>
      </c>
      <c r="B27" s="10" t="s">
        <v>590</v>
      </c>
      <c r="C27" s="13">
        <v>2</v>
      </c>
      <c r="D27" s="18">
        <v>6218</v>
      </c>
      <c r="E27" s="15">
        <v>1.4690000000000001</v>
      </c>
      <c r="F27" s="33">
        <f t="shared" si="0"/>
        <v>0.2362495979414603</v>
      </c>
    </row>
    <row r="28" spans="1:6" x14ac:dyDescent="0.3">
      <c r="A28" s="12">
        <v>46279</v>
      </c>
      <c r="B28" s="10" t="s">
        <v>590</v>
      </c>
      <c r="C28" s="13">
        <v>3</v>
      </c>
      <c r="D28" s="18">
        <v>6667</v>
      </c>
      <c r="E28" s="15">
        <v>1.5089999999999999</v>
      </c>
      <c r="F28" s="33">
        <f t="shared" si="0"/>
        <v>0.2263386830658467</v>
      </c>
    </row>
    <row r="29" spans="1:6" x14ac:dyDescent="0.3">
      <c r="A29" s="12">
        <v>46279</v>
      </c>
      <c r="B29" s="10" t="s">
        <v>595</v>
      </c>
      <c r="C29" s="13">
        <v>1</v>
      </c>
      <c r="D29" s="18">
        <v>5764</v>
      </c>
      <c r="E29" s="15">
        <v>0.90600000000000003</v>
      </c>
      <c r="F29" s="33">
        <f t="shared" si="0"/>
        <v>0.1571825121443442</v>
      </c>
    </row>
    <row r="30" spans="1:6" x14ac:dyDescent="0.3">
      <c r="A30" s="12">
        <v>46279</v>
      </c>
      <c r="B30" s="10" t="s">
        <v>595</v>
      </c>
      <c r="C30" s="13">
        <v>2</v>
      </c>
      <c r="D30" s="18">
        <v>6085</v>
      </c>
      <c r="E30" s="15">
        <v>1.099</v>
      </c>
      <c r="F30" s="33">
        <f t="shared" si="0"/>
        <v>0.18060805258833196</v>
      </c>
    </row>
    <row r="31" spans="1:6" x14ac:dyDescent="0.3">
      <c r="A31" s="12">
        <v>46279</v>
      </c>
      <c r="B31" s="10" t="s">
        <v>595</v>
      </c>
      <c r="C31" s="13">
        <v>3</v>
      </c>
      <c r="D31" s="18">
        <v>5715</v>
      </c>
      <c r="E31" s="15">
        <v>0.92800000000000005</v>
      </c>
      <c r="F31" s="33">
        <f t="shared" si="0"/>
        <v>0.16237970253718287</v>
      </c>
    </row>
    <row r="32" spans="1:6" x14ac:dyDescent="0.3">
      <c r="A32" s="12">
        <v>46280</v>
      </c>
      <c r="B32" s="10" t="s">
        <v>590</v>
      </c>
      <c r="C32" s="13">
        <v>1</v>
      </c>
      <c r="D32" s="18">
        <v>6589</v>
      </c>
      <c r="E32" s="15">
        <v>1.38</v>
      </c>
      <c r="F32" s="33">
        <f t="shared" si="0"/>
        <v>0.20943997571710424</v>
      </c>
    </row>
    <row r="33" spans="1:6" x14ac:dyDescent="0.3">
      <c r="A33" s="12">
        <v>46280</v>
      </c>
      <c r="B33" s="10" t="s">
        <v>590</v>
      </c>
      <c r="C33" s="13">
        <v>2</v>
      </c>
      <c r="D33" s="18">
        <v>5961</v>
      </c>
      <c r="E33" s="15">
        <v>1.468</v>
      </c>
      <c r="F33" s="33">
        <f t="shared" si="0"/>
        <v>0.24626740479785272</v>
      </c>
    </row>
    <row r="34" spans="1:6" x14ac:dyDescent="0.3">
      <c r="A34" s="12">
        <v>46280</v>
      </c>
      <c r="B34" s="10" t="s">
        <v>590</v>
      </c>
      <c r="C34" s="13">
        <v>3</v>
      </c>
      <c r="D34" s="18">
        <v>6706</v>
      </c>
      <c r="E34" s="15">
        <v>1.4179999999999999</v>
      </c>
      <c r="F34" s="33">
        <f t="shared" si="0"/>
        <v>0.21145243065911123</v>
      </c>
    </row>
    <row r="35" spans="1:6" x14ac:dyDescent="0.3">
      <c r="A35" s="12">
        <v>46280</v>
      </c>
      <c r="B35" s="10" t="s">
        <v>595</v>
      </c>
      <c r="C35" s="13">
        <v>1</v>
      </c>
      <c r="D35" s="18">
        <v>6715</v>
      </c>
      <c r="E35" s="15">
        <v>1.052</v>
      </c>
      <c r="F35" s="33">
        <f t="shared" si="0"/>
        <v>0.15666418466120627</v>
      </c>
    </row>
    <row r="36" spans="1:6" x14ac:dyDescent="0.3">
      <c r="A36" s="12">
        <v>46280</v>
      </c>
      <c r="B36" s="10" t="s">
        <v>595</v>
      </c>
      <c r="C36" s="13">
        <v>2</v>
      </c>
      <c r="D36" s="18">
        <v>6631</v>
      </c>
      <c r="E36" s="15">
        <v>1.2889999999999999</v>
      </c>
      <c r="F36" s="33">
        <f t="shared" si="0"/>
        <v>0.1943899864273865</v>
      </c>
    </row>
    <row r="37" spans="1:6" x14ac:dyDescent="0.3">
      <c r="A37" s="12">
        <v>46280</v>
      </c>
      <c r="B37" s="10" t="s">
        <v>595</v>
      </c>
      <c r="C37" s="13">
        <v>3</v>
      </c>
      <c r="D37" s="18">
        <v>5935</v>
      </c>
      <c r="E37" s="15">
        <v>0.93300000000000005</v>
      </c>
      <c r="F37" s="33">
        <f t="shared" si="0"/>
        <v>0.15720303285593934</v>
      </c>
    </row>
    <row r="38" spans="1:6" x14ac:dyDescent="0.3">
      <c r="A38" s="12">
        <v>46281</v>
      </c>
      <c r="B38" s="10" t="s">
        <v>590</v>
      </c>
      <c r="C38" s="13">
        <v>1</v>
      </c>
      <c r="D38" s="18">
        <v>5884</v>
      </c>
      <c r="E38" s="15">
        <v>1.2230000000000001</v>
      </c>
      <c r="F38" s="33">
        <f t="shared" si="0"/>
        <v>0.20785180149558125</v>
      </c>
    </row>
    <row r="39" spans="1:6" x14ac:dyDescent="0.3">
      <c r="A39" s="12">
        <v>46281</v>
      </c>
      <c r="B39" s="10" t="s">
        <v>590</v>
      </c>
      <c r="C39" s="13">
        <v>2</v>
      </c>
      <c r="D39" s="18">
        <v>6146</v>
      </c>
      <c r="E39" s="15">
        <v>1.5</v>
      </c>
      <c r="F39" s="33">
        <f t="shared" si="0"/>
        <v>0.24406117800195248</v>
      </c>
    </row>
    <row r="40" spans="1:6" x14ac:dyDescent="0.3">
      <c r="A40" s="12">
        <v>46281</v>
      </c>
      <c r="B40" s="10" t="s">
        <v>590</v>
      </c>
      <c r="C40" s="13">
        <v>3</v>
      </c>
      <c r="D40" s="18">
        <v>6211</v>
      </c>
      <c r="E40" s="15">
        <v>1.2350000000000001</v>
      </c>
      <c r="F40" s="33">
        <f t="shared" si="0"/>
        <v>0.19884076638222511</v>
      </c>
    </row>
    <row r="41" spans="1:6" x14ac:dyDescent="0.3">
      <c r="A41" s="12">
        <v>46281</v>
      </c>
      <c r="B41" s="10" t="s">
        <v>595</v>
      </c>
      <c r="C41" s="13">
        <v>1</v>
      </c>
      <c r="D41" s="18">
        <v>6472</v>
      </c>
      <c r="E41" s="15">
        <v>0.95699999999999996</v>
      </c>
      <c r="F41" s="33">
        <f t="shared" si="0"/>
        <v>0.14786773794808405</v>
      </c>
    </row>
    <row r="42" spans="1:6" x14ac:dyDescent="0.3">
      <c r="A42" s="12">
        <v>46281</v>
      </c>
      <c r="B42" s="10" t="s">
        <v>595</v>
      </c>
      <c r="C42" s="13">
        <v>2</v>
      </c>
      <c r="D42" s="18">
        <v>6219</v>
      </c>
      <c r="E42" s="15">
        <v>1.002</v>
      </c>
      <c r="F42" s="33">
        <f t="shared" si="0"/>
        <v>0.16111915098890495</v>
      </c>
    </row>
    <row r="43" spans="1:6" x14ac:dyDescent="0.3">
      <c r="A43" s="12">
        <v>46281</v>
      </c>
      <c r="B43" s="10" t="s">
        <v>595</v>
      </c>
      <c r="C43" s="13">
        <v>3</v>
      </c>
      <c r="D43" s="18">
        <v>5709</v>
      </c>
      <c r="E43" s="15">
        <v>0.94099999999999995</v>
      </c>
      <c r="F43" s="33">
        <f t="shared" si="0"/>
        <v>0.16482746540550006</v>
      </c>
    </row>
    <row r="44" spans="1:6" x14ac:dyDescent="0.3">
      <c r="A44" s="12">
        <v>46282</v>
      </c>
      <c r="B44" s="10" t="s">
        <v>590</v>
      </c>
      <c r="C44" s="13">
        <v>1</v>
      </c>
      <c r="D44" s="18">
        <v>6090</v>
      </c>
      <c r="E44" s="15">
        <v>1.1839999999999999</v>
      </c>
      <c r="F44" s="33">
        <f t="shared" si="0"/>
        <v>0.19441707717569787</v>
      </c>
    </row>
    <row r="45" spans="1:6" x14ac:dyDescent="0.3">
      <c r="A45" s="12">
        <v>46282</v>
      </c>
      <c r="B45" s="10" t="s">
        <v>590</v>
      </c>
      <c r="C45" s="13">
        <v>2</v>
      </c>
      <c r="D45" s="18">
        <v>5736</v>
      </c>
      <c r="E45" s="15">
        <v>1.177</v>
      </c>
      <c r="F45" s="33">
        <f t="shared" si="0"/>
        <v>0.20519525801952582</v>
      </c>
    </row>
    <row r="46" spans="1:6" x14ac:dyDescent="0.3">
      <c r="A46" s="12">
        <v>46282</v>
      </c>
      <c r="B46" s="10" t="s">
        <v>590</v>
      </c>
      <c r="C46" s="13">
        <v>3</v>
      </c>
      <c r="D46" s="18">
        <v>5669</v>
      </c>
      <c r="E46" s="15">
        <v>1.083</v>
      </c>
      <c r="F46" s="33">
        <f t="shared" si="0"/>
        <v>0.19103898394778618</v>
      </c>
    </row>
    <row r="47" spans="1:6" x14ac:dyDescent="0.3">
      <c r="A47" s="12">
        <v>46282</v>
      </c>
      <c r="B47" s="10" t="s">
        <v>595</v>
      </c>
      <c r="C47" s="13">
        <v>1</v>
      </c>
      <c r="D47" s="18">
        <v>5999</v>
      </c>
      <c r="E47" s="15">
        <v>0.97399999999999998</v>
      </c>
      <c r="F47" s="33">
        <f t="shared" si="0"/>
        <v>0.16236039339889982</v>
      </c>
    </row>
    <row r="48" spans="1:6" x14ac:dyDescent="0.3">
      <c r="A48" s="12">
        <v>46282</v>
      </c>
      <c r="B48" s="10" t="s">
        <v>595</v>
      </c>
      <c r="C48" s="13">
        <v>2</v>
      </c>
      <c r="D48" s="18">
        <v>7142</v>
      </c>
      <c r="E48" s="15">
        <v>1.3029999999999999</v>
      </c>
      <c r="F48" s="33">
        <f t="shared" si="0"/>
        <v>0.18244189302716324</v>
      </c>
    </row>
    <row r="49" spans="1:6" x14ac:dyDescent="0.3">
      <c r="A49" s="12">
        <v>46282</v>
      </c>
      <c r="B49" s="10" t="s">
        <v>595</v>
      </c>
      <c r="C49" s="13">
        <v>3</v>
      </c>
      <c r="D49" s="18">
        <v>5793</v>
      </c>
      <c r="E49" s="15">
        <v>0.85799999999999998</v>
      </c>
      <c r="F49" s="33">
        <f t="shared" si="0"/>
        <v>0.14810978767477989</v>
      </c>
    </row>
    <row r="50" spans="1:6" x14ac:dyDescent="0.3">
      <c r="A50" s="12">
        <v>46283</v>
      </c>
      <c r="B50" s="10" t="s">
        <v>590</v>
      </c>
      <c r="C50" s="13">
        <v>1</v>
      </c>
      <c r="D50" s="18">
        <v>5974</v>
      </c>
      <c r="E50" s="15">
        <v>1.105</v>
      </c>
      <c r="F50" s="33">
        <f t="shared" si="0"/>
        <v>0.18496819551389354</v>
      </c>
    </row>
    <row r="51" spans="1:6" x14ac:dyDescent="0.3">
      <c r="A51" s="12">
        <v>46283</v>
      </c>
      <c r="B51" s="10" t="s">
        <v>590</v>
      </c>
      <c r="C51" s="13">
        <v>2</v>
      </c>
      <c r="D51" s="18">
        <v>6040</v>
      </c>
      <c r="E51" s="15">
        <v>1.3640000000000001</v>
      </c>
      <c r="F51" s="33">
        <f t="shared" si="0"/>
        <v>0.22582781456953643</v>
      </c>
    </row>
    <row r="52" spans="1:6" x14ac:dyDescent="0.3">
      <c r="A52" s="12">
        <v>46283</v>
      </c>
      <c r="B52" s="10" t="s">
        <v>590</v>
      </c>
      <c r="C52" s="13">
        <v>3</v>
      </c>
      <c r="D52" s="18">
        <v>6065</v>
      </c>
      <c r="E52" s="15">
        <v>1.155</v>
      </c>
      <c r="F52" s="33">
        <f t="shared" si="0"/>
        <v>0.19043693322341304</v>
      </c>
    </row>
    <row r="53" spans="1:6" x14ac:dyDescent="0.3">
      <c r="A53" s="12">
        <v>46283</v>
      </c>
      <c r="B53" s="10" t="s">
        <v>595</v>
      </c>
      <c r="C53" s="13">
        <v>1</v>
      </c>
      <c r="D53" s="18">
        <v>5285</v>
      </c>
      <c r="E53" s="15">
        <v>0.751</v>
      </c>
      <c r="F53" s="33">
        <f t="shared" si="0"/>
        <v>0.14210028382213813</v>
      </c>
    </row>
    <row r="54" spans="1:6" x14ac:dyDescent="0.3">
      <c r="A54" s="12">
        <v>46283</v>
      </c>
      <c r="B54" s="10" t="s">
        <v>595</v>
      </c>
      <c r="C54" s="13">
        <v>2</v>
      </c>
      <c r="D54" s="18">
        <v>6533</v>
      </c>
      <c r="E54" s="15">
        <v>1.169</v>
      </c>
      <c r="F54" s="33">
        <f t="shared" si="0"/>
        <v>0.17893770090310732</v>
      </c>
    </row>
    <row r="55" spans="1:6" x14ac:dyDescent="0.3">
      <c r="A55" s="12">
        <v>46283</v>
      </c>
      <c r="B55" s="10" t="s">
        <v>595</v>
      </c>
      <c r="C55" s="13">
        <v>3</v>
      </c>
      <c r="D55" s="18">
        <v>5550</v>
      </c>
      <c r="E55" s="15">
        <v>0.82799999999999996</v>
      </c>
      <c r="F55" s="33">
        <f t="shared" si="0"/>
        <v>0.14918918918918916</v>
      </c>
    </row>
    <row r="56" spans="1:6" x14ac:dyDescent="0.3">
      <c r="A56" s="12">
        <v>46286</v>
      </c>
      <c r="B56" s="10" t="s">
        <v>590</v>
      </c>
      <c r="C56" s="13">
        <v>1</v>
      </c>
      <c r="D56" s="18">
        <v>6219</v>
      </c>
      <c r="E56" s="15">
        <v>1.0980000000000001</v>
      </c>
      <c r="F56" s="33">
        <f t="shared" si="0"/>
        <v>0.17655571635311143</v>
      </c>
    </row>
    <row r="57" spans="1:6" x14ac:dyDescent="0.3">
      <c r="A57" s="12">
        <v>46286</v>
      </c>
      <c r="B57" s="10" t="s">
        <v>590</v>
      </c>
      <c r="C57" s="13">
        <v>2</v>
      </c>
      <c r="D57" s="18">
        <v>6258</v>
      </c>
      <c r="E57" s="15">
        <v>1.448</v>
      </c>
      <c r="F57" s="33">
        <f t="shared" si="0"/>
        <v>0.23138382869926494</v>
      </c>
    </row>
    <row r="58" spans="1:6" x14ac:dyDescent="0.3">
      <c r="A58" s="12">
        <v>46286</v>
      </c>
      <c r="B58" s="10" t="s">
        <v>590</v>
      </c>
      <c r="C58" s="13">
        <v>3</v>
      </c>
      <c r="D58" s="18">
        <v>6173</v>
      </c>
      <c r="E58" s="15">
        <v>1.3</v>
      </c>
      <c r="F58" s="33">
        <f t="shared" si="0"/>
        <v>0.21059452454236188</v>
      </c>
    </row>
    <row r="59" spans="1:6" x14ac:dyDescent="0.3">
      <c r="A59" s="12">
        <v>46286</v>
      </c>
      <c r="B59" s="10" t="s">
        <v>595</v>
      </c>
      <c r="C59" s="13">
        <v>1</v>
      </c>
      <c r="D59" s="18">
        <v>5899</v>
      </c>
      <c r="E59" s="15">
        <v>0.878</v>
      </c>
      <c r="F59" s="33">
        <f t="shared" si="0"/>
        <v>0.14883878623495508</v>
      </c>
    </row>
    <row r="60" spans="1:6" x14ac:dyDescent="0.3">
      <c r="A60" s="12">
        <v>46286</v>
      </c>
      <c r="B60" s="10" t="s">
        <v>595</v>
      </c>
      <c r="C60" s="13">
        <v>2</v>
      </c>
      <c r="D60" s="18">
        <v>6424</v>
      </c>
      <c r="E60" s="15">
        <v>1.1439999999999999</v>
      </c>
      <c r="F60" s="33">
        <f t="shared" si="0"/>
        <v>0.17808219178082191</v>
      </c>
    </row>
    <row r="61" spans="1:6" x14ac:dyDescent="0.3">
      <c r="A61" s="12">
        <v>46286</v>
      </c>
      <c r="B61" s="10" t="s">
        <v>595</v>
      </c>
      <c r="C61" s="13">
        <v>3</v>
      </c>
      <c r="D61" s="18">
        <v>5957</v>
      </c>
      <c r="E61" s="15">
        <v>0.90100000000000002</v>
      </c>
      <c r="F61" s="33">
        <f t="shared" si="0"/>
        <v>0.15125062951149906</v>
      </c>
    </row>
    <row r="62" spans="1:6" x14ac:dyDescent="0.3">
      <c r="A62" s="12">
        <v>46287</v>
      </c>
      <c r="B62" s="10" t="s">
        <v>590</v>
      </c>
      <c r="C62" s="13">
        <v>1</v>
      </c>
      <c r="D62" s="18">
        <v>6346</v>
      </c>
      <c r="E62" s="15">
        <v>1.38</v>
      </c>
      <c r="F62" s="33">
        <f t="shared" si="0"/>
        <v>0.21745981720768987</v>
      </c>
    </row>
    <row r="63" spans="1:6" x14ac:dyDescent="0.3">
      <c r="A63" s="12">
        <v>46287</v>
      </c>
      <c r="B63" s="10" t="s">
        <v>590</v>
      </c>
      <c r="C63" s="13">
        <v>2</v>
      </c>
      <c r="D63" s="18">
        <v>6851</v>
      </c>
      <c r="E63" s="15">
        <v>1.5409999999999999</v>
      </c>
      <c r="F63" s="33">
        <f t="shared" si="0"/>
        <v>0.22493066705590425</v>
      </c>
    </row>
    <row r="64" spans="1:6" x14ac:dyDescent="0.3">
      <c r="A64" s="12">
        <v>46287</v>
      </c>
      <c r="B64" s="10" t="s">
        <v>590</v>
      </c>
      <c r="C64" s="13">
        <v>3</v>
      </c>
      <c r="D64" s="18">
        <v>6873</v>
      </c>
      <c r="E64" s="15">
        <v>1.238</v>
      </c>
      <c r="F64" s="33">
        <f t="shared" si="0"/>
        <v>0.18012512730976282</v>
      </c>
    </row>
    <row r="65" spans="1:6" x14ac:dyDescent="0.3">
      <c r="A65" s="12">
        <v>46287</v>
      </c>
      <c r="B65" s="10" t="s">
        <v>595</v>
      </c>
      <c r="C65" s="13">
        <v>1</v>
      </c>
      <c r="D65" s="18">
        <v>6326</v>
      </c>
      <c r="E65" s="15">
        <v>1.0189999999999999</v>
      </c>
      <c r="F65" s="33">
        <f t="shared" si="0"/>
        <v>0.16108125197597217</v>
      </c>
    </row>
    <row r="66" spans="1:6" x14ac:dyDescent="0.3">
      <c r="A66" s="12">
        <v>46287</v>
      </c>
      <c r="B66" s="10" t="s">
        <v>595</v>
      </c>
      <c r="C66" s="13">
        <v>2</v>
      </c>
      <c r="D66" s="18">
        <v>5270</v>
      </c>
      <c r="E66" s="15">
        <v>0.97099999999999997</v>
      </c>
      <c r="F66" s="33">
        <f t="shared" ref="F66:F129" si="1">E66/D66*1000</f>
        <v>0.18425047438330169</v>
      </c>
    </row>
    <row r="67" spans="1:6" x14ac:dyDescent="0.3">
      <c r="A67" s="12">
        <v>46287</v>
      </c>
      <c r="B67" s="10" t="s">
        <v>595</v>
      </c>
      <c r="C67" s="13">
        <v>3</v>
      </c>
      <c r="D67" s="18">
        <v>6455</v>
      </c>
      <c r="E67" s="15">
        <v>0.91300000000000003</v>
      </c>
      <c r="F67" s="33">
        <f t="shared" si="1"/>
        <v>0.14144074360960496</v>
      </c>
    </row>
    <row r="68" spans="1:6" x14ac:dyDescent="0.3">
      <c r="A68" s="12">
        <v>46288</v>
      </c>
      <c r="B68" s="10" t="s">
        <v>590</v>
      </c>
      <c r="C68" s="13">
        <v>1</v>
      </c>
      <c r="D68" s="18">
        <v>6620</v>
      </c>
      <c r="E68" s="15">
        <v>1.1739999999999999</v>
      </c>
      <c r="F68" s="33">
        <f t="shared" si="1"/>
        <v>0.17734138972809665</v>
      </c>
    </row>
    <row r="69" spans="1:6" x14ac:dyDescent="0.3">
      <c r="A69" s="12">
        <v>46288</v>
      </c>
      <c r="B69" s="10" t="s">
        <v>590</v>
      </c>
      <c r="C69" s="13">
        <v>2</v>
      </c>
      <c r="D69" s="18">
        <v>6657</v>
      </c>
      <c r="E69" s="15">
        <v>1.4990000000000001</v>
      </c>
      <c r="F69" s="33">
        <f t="shared" si="1"/>
        <v>0.22517650593360375</v>
      </c>
    </row>
    <row r="70" spans="1:6" x14ac:dyDescent="0.3">
      <c r="A70" s="12">
        <v>46288</v>
      </c>
      <c r="B70" s="10" t="s">
        <v>590</v>
      </c>
      <c r="C70" s="13">
        <v>3</v>
      </c>
      <c r="D70" s="18">
        <v>6691</v>
      </c>
      <c r="E70" s="15">
        <v>1.1890000000000001</v>
      </c>
      <c r="F70" s="33">
        <f t="shared" si="1"/>
        <v>0.17770138992676732</v>
      </c>
    </row>
    <row r="71" spans="1:6" x14ac:dyDescent="0.3">
      <c r="A71" s="12">
        <v>46288</v>
      </c>
      <c r="B71" s="10" t="s">
        <v>595</v>
      </c>
      <c r="C71" s="13">
        <v>1</v>
      </c>
      <c r="D71" s="18">
        <v>6489</v>
      </c>
      <c r="E71" s="15">
        <v>1</v>
      </c>
      <c r="F71" s="33">
        <f t="shared" si="1"/>
        <v>0.15410695022345508</v>
      </c>
    </row>
    <row r="72" spans="1:6" x14ac:dyDescent="0.3">
      <c r="A72" s="12">
        <v>46288</v>
      </c>
      <c r="B72" s="10" t="s">
        <v>595</v>
      </c>
      <c r="C72" s="13">
        <v>2</v>
      </c>
      <c r="D72" s="18">
        <v>5700</v>
      </c>
      <c r="E72" s="15">
        <v>1.083</v>
      </c>
      <c r="F72" s="33">
        <f t="shared" si="1"/>
        <v>0.18999999999999997</v>
      </c>
    </row>
    <row r="73" spans="1:6" x14ac:dyDescent="0.3">
      <c r="A73" s="12">
        <v>46288</v>
      </c>
      <c r="B73" s="10" t="s">
        <v>595</v>
      </c>
      <c r="C73" s="13">
        <v>3</v>
      </c>
      <c r="D73" s="18">
        <v>5635</v>
      </c>
      <c r="E73" s="15">
        <v>0.93400000000000005</v>
      </c>
      <c r="F73" s="33">
        <f t="shared" si="1"/>
        <v>0.16574977817213843</v>
      </c>
    </row>
    <row r="74" spans="1:6" x14ac:dyDescent="0.3">
      <c r="A74" s="12">
        <v>46289</v>
      </c>
      <c r="B74" s="10" t="s">
        <v>590</v>
      </c>
      <c r="C74" s="13">
        <v>1</v>
      </c>
      <c r="D74" s="18">
        <v>7201</v>
      </c>
      <c r="E74" s="15">
        <v>1.3080000000000001</v>
      </c>
      <c r="F74" s="33">
        <f t="shared" si="1"/>
        <v>0.18164143868907098</v>
      </c>
    </row>
    <row r="75" spans="1:6" x14ac:dyDescent="0.3">
      <c r="A75" s="12">
        <v>46289</v>
      </c>
      <c r="B75" s="10" t="s">
        <v>590</v>
      </c>
      <c r="C75" s="13">
        <v>2</v>
      </c>
      <c r="D75" s="18">
        <v>7031</v>
      </c>
      <c r="E75" s="15">
        <v>1.617</v>
      </c>
      <c r="F75" s="33">
        <f t="shared" si="1"/>
        <v>0.22998151045370502</v>
      </c>
    </row>
    <row r="76" spans="1:6" x14ac:dyDescent="0.3">
      <c r="A76" s="12">
        <v>46289</v>
      </c>
      <c r="B76" s="10" t="s">
        <v>590</v>
      </c>
      <c r="C76" s="13">
        <v>3</v>
      </c>
      <c r="D76" s="18">
        <v>6382</v>
      </c>
      <c r="E76" s="15">
        <v>1.2450000000000001</v>
      </c>
      <c r="F76" s="33">
        <f t="shared" si="1"/>
        <v>0.19507991225321217</v>
      </c>
    </row>
    <row r="77" spans="1:6" x14ac:dyDescent="0.3">
      <c r="A77" s="12">
        <v>46289</v>
      </c>
      <c r="B77" s="10" t="s">
        <v>595</v>
      </c>
      <c r="C77" s="13">
        <v>1</v>
      </c>
      <c r="D77" s="18">
        <v>5333</v>
      </c>
      <c r="E77" s="15">
        <v>0.78300000000000003</v>
      </c>
      <c r="F77" s="33">
        <f t="shared" si="1"/>
        <v>0.14682167635477217</v>
      </c>
    </row>
    <row r="78" spans="1:6" x14ac:dyDescent="0.3">
      <c r="A78" s="12">
        <v>46289</v>
      </c>
      <c r="B78" s="10" t="s">
        <v>595</v>
      </c>
      <c r="C78" s="13">
        <v>2</v>
      </c>
      <c r="D78" s="18">
        <v>6067</v>
      </c>
      <c r="E78" s="15">
        <v>1.087</v>
      </c>
      <c r="F78" s="33">
        <f t="shared" si="1"/>
        <v>0.17916597989121474</v>
      </c>
    </row>
    <row r="79" spans="1:6" x14ac:dyDescent="0.3">
      <c r="A79" s="12">
        <v>46289</v>
      </c>
      <c r="B79" s="10" t="s">
        <v>595</v>
      </c>
      <c r="C79" s="13">
        <v>3</v>
      </c>
      <c r="D79" s="18">
        <v>5099</v>
      </c>
      <c r="E79" s="15">
        <v>0.749</v>
      </c>
      <c r="F79" s="33">
        <f t="shared" si="1"/>
        <v>0.14689154736222787</v>
      </c>
    </row>
    <row r="80" spans="1:6" x14ac:dyDescent="0.3">
      <c r="A80" s="12">
        <v>46290</v>
      </c>
      <c r="B80" s="10" t="s">
        <v>590</v>
      </c>
      <c r="C80" s="13">
        <v>1</v>
      </c>
      <c r="D80" s="18">
        <v>6705</v>
      </c>
      <c r="E80" s="15">
        <v>1.2290000000000001</v>
      </c>
      <c r="F80" s="33">
        <f t="shared" si="1"/>
        <v>0.18329604772557795</v>
      </c>
    </row>
    <row r="81" spans="1:6" x14ac:dyDescent="0.3">
      <c r="A81" s="12">
        <v>46290</v>
      </c>
      <c r="B81" s="10" t="s">
        <v>590</v>
      </c>
      <c r="C81" s="13">
        <v>2</v>
      </c>
      <c r="D81" s="18">
        <v>6479</v>
      </c>
      <c r="E81" s="15">
        <v>1.51</v>
      </c>
      <c r="F81" s="33">
        <f t="shared" si="1"/>
        <v>0.23306065750887481</v>
      </c>
    </row>
    <row r="82" spans="1:6" x14ac:dyDescent="0.3">
      <c r="A82" s="12">
        <v>46290</v>
      </c>
      <c r="B82" s="10" t="s">
        <v>590</v>
      </c>
      <c r="C82" s="13">
        <v>3</v>
      </c>
      <c r="D82" s="18">
        <v>6073</v>
      </c>
      <c r="E82" s="15">
        <v>1.18</v>
      </c>
      <c r="F82" s="33">
        <f t="shared" si="1"/>
        <v>0.19430265107854436</v>
      </c>
    </row>
    <row r="83" spans="1:6" x14ac:dyDescent="0.3">
      <c r="A83" s="12">
        <v>46290</v>
      </c>
      <c r="B83" s="10" t="s">
        <v>595</v>
      </c>
      <c r="C83" s="13">
        <v>1</v>
      </c>
      <c r="D83" s="18">
        <v>6623</v>
      </c>
      <c r="E83" s="15">
        <v>0.88400000000000001</v>
      </c>
      <c r="F83" s="33">
        <f t="shared" si="1"/>
        <v>0.13347425637928431</v>
      </c>
    </row>
    <row r="84" spans="1:6" x14ac:dyDescent="0.3">
      <c r="A84" s="12">
        <v>46290</v>
      </c>
      <c r="B84" s="10" t="s">
        <v>595</v>
      </c>
      <c r="C84" s="13">
        <v>2</v>
      </c>
      <c r="D84" s="18">
        <v>6517</v>
      </c>
      <c r="E84" s="15">
        <v>1.1100000000000001</v>
      </c>
      <c r="F84" s="33">
        <f t="shared" si="1"/>
        <v>0.17032376860518644</v>
      </c>
    </row>
    <row r="85" spans="1:6" x14ac:dyDescent="0.3">
      <c r="A85" s="12">
        <v>46290</v>
      </c>
      <c r="B85" s="10" t="s">
        <v>595</v>
      </c>
      <c r="C85" s="13">
        <v>3</v>
      </c>
      <c r="D85" s="18">
        <v>6210</v>
      </c>
      <c r="E85" s="15">
        <v>0.88800000000000001</v>
      </c>
      <c r="F85" s="33">
        <f t="shared" si="1"/>
        <v>0.14299516908212562</v>
      </c>
    </row>
    <row r="86" spans="1:6" x14ac:dyDescent="0.3">
      <c r="A86" s="12">
        <v>46293</v>
      </c>
      <c r="B86" s="10" t="s">
        <v>590</v>
      </c>
      <c r="C86" s="13">
        <v>1</v>
      </c>
      <c r="D86" s="18">
        <v>5918</v>
      </c>
      <c r="E86" s="15">
        <v>1.1779999999999999</v>
      </c>
      <c r="F86" s="33">
        <f t="shared" si="1"/>
        <v>0.19905373436971951</v>
      </c>
    </row>
    <row r="87" spans="1:6" x14ac:dyDescent="0.3">
      <c r="A87" s="12">
        <v>46293</v>
      </c>
      <c r="B87" s="10" t="s">
        <v>590</v>
      </c>
      <c r="C87" s="13">
        <v>2</v>
      </c>
      <c r="D87" s="18">
        <v>6408</v>
      </c>
      <c r="E87" s="15">
        <v>1.417</v>
      </c>
      <c r="F87" s="33">
        <f t="shared" si="1"/>
        <v>0.22112983770287142</v>
      </c>
    </row>
    <row r="88" spans="1:6" x14ac:dyDescent="0.3">
      <c r="A88" s="12">
        <v>46293</v>
      </c>
      <c r="B88" s="10" t="s">
        <v>590</v>
      </c>
      <c r="C88" s="13">
        <v>3</v>
      </c>
      <c r="D88" s="18">
        <v>5385</v>
      </c>
      <c r="E88" s="15">
        <v>1.0509999999999999</v>
      </c>
      <c r="F88" s="33">
        <f t="shared" si="1"/>
        <v>0.19517177344475395</v>
      </c>
    </row>
    <row r="89" spans="1:6" x14ac:dyDescent="0.3">
      <c r="A89" s="12">
        <v>46293</v>
      </c>
      <c r="B89" s="10" t="s">
        <v>595</v>
      </c>
      <c r="C89" s="13">
        <v>1</v>
      </c>
      <c r="D89" s="18">
        <v>6449</v>
      </c>
      <c r="E89" s="15">
        <v>1.06</v>
      </c>
      <c r="F89" s="33">
        <f t="shared" si="1"/>
        <v>0.1643665684602264</v>
      </c>
    </row>
    <row r="90" spans="1:6" x14ac:dyDescent="0.3">
      <c r="A90" s="12">
        <v>46293</v>
      </c>
      <c r="B90" s="10" t="s">
        <v>595</v>
      </c>
      <c r="C90" s="13">
        <v>2</v>
      </c>
      <c r="D90" s="18">
        <v>5856</v>
      </c>
      <c r="E90" s="15">
        <v>1.026</v>
      </c>
      <c r="F90" s="33">
        <f t="shared" si="1"/>
        <v>0.1752049180327869</v>
      </c>
    </row>
    <row r="91" spans="1:6" x14ac:dyDescent="0.3">
      <c r="A91" s="12">
        <v>46293</v>
      </c>
      <c r="B91" s="10" t="s">
        <v>595</v>
      </c>
      <c r="C91" s="13">
        <v>3</v>
      </c>
      <c r="D91" s="18">
        <v>6075</v>
      </c>
      <c r="E91" s="15">
        <v>0.75</v>
      </c>
      <c r="F91" s="33">
        <f t="shared" si="1"/>
        <v>0.1234567901234568</v>
      </c>
    </row>
    <row r="92" spans="1:6" x14ac:dyDescent="0.3">
      <c r="A92" s="12">
        <v>46294</v>
      </c>
      <c r="B92" s="10" t="s">
        <v>590</v>
      </c>
      <c r="C92" s="13">
        <v>1</v>
      </c>
      <c r="D92" s="18">
        <v>5839</v>
      </c>
      <c r="E92" s="15">
        <v>1.1439999999999999</v>
      </c>
      <c r="F92" s="33">
        <f t="shared" si="1"/>
        <v>0.19592395958212019</v>
      </c>
    </row>
    <row r="93" spans="1:6" x14ac:dyDescent="0.3">
      <c r="A93" s="12">
        <v>46294</v>
      </c>
      <c r="B93" s="10" t="s">
        <v>590</v>
      </c>
      <c r="C93" s="13">
        <v>2</v>
      </c>
      <c r="D93" s="18">
        <v>5866</v>
      </c>
      <c r="E93" s="15">
        <v>1.454</v>
      </c>
      <c r="F93" s="33">
        <f t="shared" si="1"/>
        <v>0.24786907603136718</v>
      </c>
    </row>
    <row r="94" spans="1:6" x14ac:dyDescent="0.3">
      <c r="A94" s="12">
        <v>46294</v>
      </c>
      <c r="B94" s="10" t="s">
        <v>590</v>
      </c>
      <c r="C94" s="13">
        <v>3</v>
      </c>
      <c r="D94" s="18">
        <v>6455</v>
      </c>
      <c r="E94" s="15">
        <v>1.208</v>
      </c>
      <c r="F94" s="33">
        <f t="shared" si="1"/>
        <v>0.18714175058094498</v>
      </c>
    </row>
    <row r="95" spans="1:6" x14ac:dyDescent="0.3">
      <c r="A95" s="12">
        <v>46294</v>
      </c>
      <c r="B95" s="10" t="s">
        <v>595</v>
      </c>
      <c r="C95" s="13">
        <v>1</v>
      </c>
      <c r="D95" s="18">
        <v>6728</v>
      </c>
      <c r="E95" s="15">
        <v>0.96799999999999997</v>
      </c>
      <c r="F95" s="33">
        <f t="shared" si="1"/>
        <v>0.14387633769322233</v>
      </c>
    </row>
    <row r="96" spans="1:6" x14ac:dyDescent="0.3">
      <c r="A96" s="12">
        <v>46294</v>
      </c>
      <c r="B96" s="10" t="s">
        <v>595</v>
      </c>
      <c r="C96" s="13">
        <v>2</v>
      </c>
      <c r="D96" s="18">
        <v>6719</v>
      </c>
      <c r="E96" s="15">
        <v>1.1850000000000001</v>
      </c>
      <c r="F96" s="33">
        <f t="shared" si="1"/>
        <v>0.17636553058490848</v>
      </c>
    </row>
    <row r="97" spans="1:6" x14ac:dyDescent="0.3">
      <c r="A97" s="12">
        <v>46294</v>
      </c>
      <c r="B97" s="10" t="s">
        <v>595</v>
      </c>
      <c r="C97" s="13">
        <v>3</v>
      </c>
      <c r="D97" s="18">
        <v>6454</v>
      </c>
      <c r="E97" s="15">
        <v>0.91500000000000004</v>
      </c>
      <c r="F97" s="33">
        <f t="shared" si="1"/>
        <v>0.14177254415866131</v>
      </c>
    </row>
    <row r="98" spans="1:6" x14ac:dyDescent="0.3">
      <c r="A98" s="12">
        <v>46295</v>
      </c>
      <c r="B98" s="10" t="s">
        <v>590</v>
      </c>
      <c r="C98" s="13">
        <v>1</v>
      </c>
      <c r="D98" s="18">
        <v>6239</v>
      </c>
      <c r="E98" s="15">
        <v>1.22</v>
      </c>
      <c r="F98" s="33">
        <f t="shared" si="1"/>
        <v>0.19554415771758293</v>
      </c>
    </row>
    <row r="99" spans="1:6" x14ac:dyDescent="0.3">
      <c r="A99" s="12">
        <v>46295</v>
      </c>
      <c r="B99" s="10" t="s">
        <v>590</v>
      </c>
      <c r="C99" s="13">
        <v>2</v>
      </c>
      <c r="D99" s="18">
        <v>6306</v>
      </c>
      <c r="E99" s="15">
        <v>1.4770000000000001</v>
      </c>
      <c r="F99" s="33">
        <f t="shared" si="1"/>
        <v>0.23422137646685698</v>
      </c>
    </row>
    <row r="100" spans="1:6" x14ac:dyDescent="0.3">
      <c r="A100" s="12">
        <v>46295</v>
      </c>
      <c r="B100" s="10" t="s">
        <v>590</v>
      </c>
      <c r="C100" s="13">
        <v>3</v>
      </c>
      <c r="D100" s="18">
        <v>7089</v>
      </c>
      <c r="E100" s="15">
        <v>1.3420000000000001</v>
      </c>
      <c r="F100" s="33">
        <f t="shared" si="1"/>
        <v>0.18930737762730993</v>
      </c>
    </row>
    <row r="101" spans="1:6" x14ac:dyDescent="0.3">
      <c r="A101" s="12">
        <v>46295</v>
      </c>
      <c r="B101" s="10" t="s">
        <v>595</v>
      </c>
      <c r="C101" s="13">
        <v>1</v>
      </c>
      <c r="D101" s="18">
        <v>5841</v>
      </c>
      <c r="E101" s="15">
        <v>0.89600000000000002</v>
      </c>
      <c r="F101" s="33">
        <f t="shared" si="1"/>
        <v>0.15339839068652628</v>
      </c>
    </row>
    <row r="102" spans="1:6" x14ac:dyDescent="0.3">
      <c r="A102" s="12">
        <v>46295</v>
      </c>
      <c r="B102" s="10" t="s">
        <v>595</v>
      </c>
      <c r="C102" s="13">
        <v>2</v>
      </c>
      <c r="D102" s="18">
        <v>5959</v>
      </c>
      <c r="E102" s="15">
        <v>1.127</v>
      </c>
      <c r="F102" s="33">
        <f t="shared" si="1"/>
        <v>0.18912569223023998</v>
      </c>
    </row>
    <row r="103" spans="1:6" x14ac:dyDescent="0.3">
      <c r="A103" s="12">
        <v>46295</v>
      </c>
      <c r="B103" s="10" t="s">
        <v>595</v>
      </c>
      <c r="C103" s="13">
        <v>3</v>
      </c>
      <c r="D103" s="18">
        <v>5998</v>
      </c>
      <c r="E103" s="15">
        <v>0.84</v>
      </c>
      <c r="F103" s="33">
        <f t="shared" si="1"/>
        <v>0.14004668222740912</v>
      </c>
    </row>
    <row r="104" spans="1:6" x14ac:dyDescent="0.3">
      <c r="A104" s="12">
        <v>46296</v>
      </c>
      <c r="B104" s="10" t="s">
        <v>590</v>
      </c>
      <c r="C104" s="13">
        <v>1</v>
      </c>
      <c r="D104" s="18">
        <v>6378</v>
      </c>
      <c r="E104" s="15">
        <v>1.1399999999999999</v>
      </c>
      <c r="F104" s="33">
        <f t="shared" si="1"/>
        <v>0.17873941674506111</v>
      </c>
    </row>
    <row r="105" spans="1:6" x14ac:dyDescent="0.3">
      <c r="A105" s="12">
        <v>46296</v>
      </c>
      <c r="B105" s="10" t="s">
        <v>590</v>
      </c>
      <c r="C105" s="13">
        <v>2</v>
      </c>
      <c r="D105" s="18">
        <v>5984</v>
      </c>
      <c r="E105" s="15">
        <v>1.41</v>
      </c>
      <c r="F105" s="33">
        <f t="shared" si="1"/>
        <v>0.2356283422459893</v>
      </c>
    </row>
    <row r="106" spans="1:6" x14ac:dyDescent="0.3">
      <c r="A106" s="12">
        <v>46296</v>
      </c>
      <c r="B106" s="10" t="s">
        <v>590</v>
      </c>
      <c r="C106" s="13">
        <v>3</v>
      </c>
      <c r="D106" s="18">
        <v>5307</v>
      </c>
      <c r="E106" s="15">
        <v>1.03</v>
      </c>
      <c r="F106" s="33">
        <f t="shared" si="1"/>
        <v>0.19408328622573959</v>
      </c>
    </row>
    <row r="107" spans="1:6" x14ac:dyDescent="0.3">
      <c r="A107" s="12">
        <v>46296</v>
      </c>
      <c r="B107" s="10" t="s">
        <v>595</v>
      </c>
      <c r="C107" s="13">
        <v>1</v>
      </c>
      <c r="D107" s="18">
        <v>5962</v>
      </c>
      <c r="E107" s="15">
        <v>0.876</v>
      </c>
      <c r="F107" s="33">
        <f t="shared" si="1"/>
        <v>0.14693056021469306</v>
      </c>
    </row>
    <row r="108" spans="1:6" x14ac:dyDescent="0.3">
      <c r="A108" s="12">
        <v>46296</v>
      </c>
      <c r="B108" s="10" t="s">
        <v>595</v>
      </c>
      <c r="C108" s="13">
        <v>2</v>
      </c>
      <c r="D108" s="18">
        <v>6676</v>
      </c>
      <c r="E108" s="15">
        <v>1.1819999999999999</v>
      </c>
      <c r="F108" s="33">
        <f t="shared" si="1"/>
        <v>0.17705212702216896</v>
      </c>
    </row>
    <row r="109" spans="1:6" x14ac:dyDescent="0.3">
      <c r="A109" s="12">
        <v>46296</v>
      </c>
      <c r="B109" s="10" t="s">
        <v>595</v>
      </c>
      <c r="C109" s="13">
        <v>3</v>
      </c>
      <c r="D109" s="18">
        <v>6505</v>
      </c>
      <c r="E109" s="15">
        <v>0.92700000000000005</v>
      </c>
      <c r="F109" s="33">
        <f t="shared" si="1"/>
        <v>0.14250576479631052</v>
      </c>
    </row>
    <row r="110" spans="1:6" x14ac:dyDescent="0.3">
      <c r="A110" s="12">
        <v>46297</v>
      </c>
      <c r="B110" s="10" t="s">
        <v>590</v>
      </c>
      <c r="C110" s="13">
        <v>1</v>
      </c>
      <c r="D110" s="18">
        <v>6888</v>
      </c>
      <c r="E110" s="15">
        <v>1.351</v>
      </c>
      <c r="F110" s="33">
        <f t="shared" si="1"/>
        <v>0.19613821138211382</v>
      </c>
    </row>
    <row r="111" spans="1:6" x14ac:dyDescent="0.3">
      <c r="A111" s="12">
        <v>46297</v>
      </c>
      <c r="B111" s="10" t="s">
        <v>590</v>
      </c>
      <c r="C111" s="13">
        <v>2</v>
      </c>
      <c r="D111" s="18">
        <v>5251</v>
      </c>
      <c r="E111" s="15">
        <v>1.2749999999999999</v>
      </c>
      <c r="F111" s="33">
        <f t="shared" si="1"/>
        <v>0.24281089316320698</v>
      </c>
    </row>
    <row r="112" spans="1:6" x14ac:dyDescent="0.3">
      <c r="A112" s="12">
        <v>46297</v>
      </c>
      <c r="B112" s="10" t="s">
        <v>590</v>
      </c>
      <c r="C112" s="13">
        <v>3</v>
      </c>
      <c r="D112" s="18">
        <v>5570</v>
      </c>
      <c r="E112" s="15">
        <v>1.1399999999999999</v>
      </c>
      <c r="F112" s="33">
        <f t="shared" si="1"/>
        <v>0.20466786355475761</v>
      </c>
    </row>
    <row r="113" spans="1:6" x14ac:dyDescent="0.3">
      <c r="A113" s="12">
        <v>46297</v>
      </c>
      <c r="B113" s="10" t="s">
        <v>595</v>
      </c>
      <c r="C113" s="13">
        <v>1</v>
      </c>
      <c r="D113" s="18">
        <v>5725</v>
      </c>
      <c r="E113" s="15">
        <v>0.86599999999999999</v>
      </c>
      <c r="F113" s="33">
        <f t="shared" si="1"/>
        <v>0.15126637554585151</v>
      </c>
    </row>
    <row r="114" spans="1:6" x14ac:dyDescent="0.3">
      <c r="A114" s="12">
        <v>46297</v>
      </c>
      <c r="B114" s="10" t="s">
        <v>595</v>
      </c>
      <c r="C114" s="13">
        <v>2</v>
      </c>
      <c r="D114" s="18">
        <v>6751</v>
      </c>
      <c r="E114" s="15">
        <v>1.155</v>
      </c>
      <c r="F114" s="33">
        <f t="shared" si="1"/>
        <v>0.1710857650718412</v>
      </c>
    </row>
    <row r="115" spans="1:6" x14ac:dyDescent="0.3">
      <c r="A115" s="12">
        <v>46297</v>
      </c>
      <c r="B115" s="10" t="s">
        <v>595</v>
      </c>
      <c r="C115" s="13">
        <v>3</v>
      </c>
      <c r="D115" s="18">
        <v>6379</v>
      </c>
      <c r="E115" s="15">
        <v>0.97199999999999998</v>
      </c>
      <c r="F115" s="33">
        <f t="shared" si="1"/>
        <v>0.1523749804044521</v>
      </c>
    </row>
    <row r="116" spans="1:6" x14ac:dyDescent="0.3">
      <c r="A116" s="12">
        <v>46301</v>
      </c>
      <c r="B116" s="10" t="s">
        <v>590</v>
      </c>
      <c r="C116" s="13">
        <v>1</v>
      </c>
      <c r="D116" s="18">
        <v>5310</v>
      </c>
      <c r="E116" s="15">
        <v>1.1279999999999999</v>
      </c>
      <c r="F116" s="33">
        <f t="shared" si="1"/>
        <v>0.21242937853107344</v>
      </c>
    </row>
    <row r="117" spans="1:6" x14ac:dyDescent="0.3">
      <c r="A117" s="12">
        <v>46301</v>
      </c>
      <c r="B117" s="10" t="s">
        <v>590</v>
      </c>
      <c r="C117" s="13">
        <v>2</v>
      </c>
      <c r="D117" s="18">
        <v>6111</v>
      </c>
      <c r="E117" s="15">
        <v>1.4159999999999999</v>
      </c>
      <c r="F117" s="33">
        <f t="shared" si="1"/>
        <v>0.23171330387825231</v>
      </c>
    </row>
    <row r="118" spans="1:6" x14ac:dyDescent="0.3">
      <c r="A118" s="12">
        <v>46301</v>
      </c>
      <c r="B118" s="10" t="s">
        <v>590</v>
      </c>
      <c r="C118" s="13">
        <v>3</v>
      </c>
      <c r="D118" s="18">
        <v>6270</v>
      </c>
      <c r="E118" s="15">
        <v>1.2629999999999999</v>
      </c>
      <c r="F118" s="33">
        <f t="shared" si="1"/>
        <v>0.20143540669856458</v>
      </c>
    </row>
    <row r="119" spans="1:6" x14ac:dyDescent="0.3">
      <c r="A119" s="12">
        <v>46301</v>
      </c>
      <c r="B119" s="10" t="s">
        <v>595</v>
      </c>
      <c r="C119" s="13">
        <v>1</v>
      </c>
      <c r="D119" s="18">
        <v>6239</v>
      </c>
      <c r="E119" s="15">
        <v>0.85</v>
      </c>
      <c r="F119" s="33">
        <f t="shared" si="1"/>
        <v>0.13623978201634879</v>
      </c>
    </row>
    <row r="120" spans="1:6" x14ac:dyDescent="0.3">
      <c r="A120" s="12">
        <v>46301</v>
      </c>
      <c r="B120" s="10" t="s">
        <v>595</v>
      </c>
      <c r="C120" s="13">
        <v>2</v>
      </c>
      <c r="D120" s="18">
        <v>6632</v>
      </c>
      <c r="E120" s="15">
        <v>0.99299999999999999</v>
      </c>
      <c r="F120" s="33">
        <f t="shared" si="1"/>
        <v>0.14972858866103739</v>
      </c>
    </row>
    <row r="121" spans="1:6" x14ac:dyDescent="0.3">
      <c r="A121" s="12">
        <v>46301</v>
      </c>
      <c r="B121" s="10" t="s">
        <v>595</v>
      </c>
      <c r="C121" s="13">
        <v>3</v>
      </c>
      <c r="D121" s="18">
        <v>6649</v>
      </c>
      <c r="E121" s="15">
        <v>0.876</v>
      </c>
      <c r="F121" s="33">
        <f t="shared" si="1"/>
        <v>0.131749135208302</v>
      </c>
    </row>
    <row r="122" spans="1:6" x14ac:dyDescent="0.3">
      <c r="A122" s="12">
        <v>46302</v>
      </c>
      <c r="B122" s="10" t="s">
        <v>590</v>
      </c>
      <c r="C122" s="13">
        <v>1</v>
      </c>
      <c r="D122" s="18">
        <v>6756</v>
      </c>
      <c r="E122" s="15">
        <v>1.337</v>
      </c>
      <c r="F122" s="33">
        <f t="shared" si="1"/>
        <v>0.19789816459443457</v>
      </c>
    </row>
    <row r="123" spans="1:6" x14ac:dyDescent="0.3">
      <c r="A123" s="12">
        <v>46302</v>
      </c>
      <c r="B123" s="10" t="s">
        <v>590</v>
      </c>
      <c r="C123" s="13">
        <v>2</v>
      </c>
      <c r="D123" s="18">
        <v>6228</v>
      </c>
      <c r="E123" s="15">
        <v>1.365</v>
      </c>
      <c r="F123" s="33">
        <f t="shared" si="1"/>
        <v>0.21917148362235067</v>
      </c>
    </row>
    <row r="124" spans="1:6" x14ac:dyDescent="0.3">
      <c r="A124" s="12">
        <v>46302</v>
      </c>
      <c r="B124" s="10" t="s">
        <v>590</v>
      </c>
      <c r="C124" s="13">
        <v>3</v>
      </c>
      <c r="D124" s="18">
        <v>6205</v>
      </c>
      <c r="E124" s="15">
        <v>1.127</v>
      </c>
      <c r="F124" s="33">
        <f t="shared" si="1"/>
        <v>0.18162771958098309</v>
      </c>
    </row>
    <row r="125" spans="1:6" x14ac:dyDescent="0.3">
      <c r="A125" s="12">
        <v>46302</v>
      </c>
      <c r="B125" s="10" t="s">
        <v>595</v>
      </c>
      <c r="C125" s="13">
        <v>1</v>
      </c>
      <c r="D125" s="18">
        <v>6523</v>
      </c>
      <c r="E125" s="15">
        <v>0.98599999999999999</v>
      </c>
      <c r="F125" s="33">
        <f t="shared" si="1"/>
        <v>0.15115744289437374</v>
      </c>
    </row>
    <row r="126" spans="1:6" x14ac:dyDescent="0.3">
      <c r="A126" s="12">
        <v>46302</v>
      </c>
      <c r="B126" s="10" t="s">
        <v>595</v>
      </c>
      <c r="C126" s="13">
        <v>2</v>
      </c>
      <c r="D126" s="18">
        <v>6682</v>
      </c>
      <c r="E126" s="15">
        <v>1.0960000000000001</v>
      </c>
      <c r="F126" s="33">
        <f t="shared" si="1"/>
        <v>0.16402274768033523</v>
      </c>
    </row>
    <row r="127" spans="1:6" x14ac:dyDescent="0.3">
      <c r="A127" s="12">
        <v>46302</v>
      </c>
      <c r="B127" s="10" t="s">
        <v>595</v>
      </c>
      <c r="C127" s="13">
        <v>3</v>
      </c>
      <c r="D127" s="18">
        <v>5887</v>
      </c>
      <c r="E127" s="15">
        <v>0.83699999999999997</v>
      </c>
      <c r="F127" s="33">
        <f t="shared" si="1"/>
        <v>0.14217767963308986</v>
      </c>
    </row>
    <row r="128" spans="1:6" x14ac:dyDescent="0.3">
      <c r="A128" s="12">
        <v>46303</v>
      </c>
      <c r="B128" s="10" t="s">
        <v>590</v>
      </c>
      <c r="C128" s="13">
        <v>1</v>
      </c>
      <c r="D128" s="18">
        <v>5207</v>
      </c>
      <c r="E128" s="15">
        <v>0.91400000000000003</v>
      </c>
      <c r="F128" s="33">
        <f t="shared" si="1"/>
        <v>0.17553293643172654</v>
      </c>
    </row>
    <row r="129" spans="1:6" x14ac:dyDescent="0.3">
      <c r="A129" s="12">
        <v>46303</v>
      </c>
      <c r="B129" s="10" t="s">
        <v>590</v>
      </c>
      <c r="C129" s="13">
        <v>2</v>
      </c>
      <c r="D129" s="18">
        <v>6373</v>
      </c>
      <c r="E129" s="15">
        <v>1.5449999999999999</v>
      </c>
      <c r="F129" s="33">
        <f t="shared" si="1"/>
        <v>0.24242899733249645</v>
      </c>
    </row>
    <row r="130" spans="1:6" x14ac:dyDescent="0.3">
      <c r="A130" s="12">
        <v>46303</v>
      </c>
      <c r="B130" s="10" t="s">
        <v>590</v>
      </c>
      <c r="C130" s="13">
        <v>3</v>
      </c>
      <c r="D130" s="18">
        <v>5958</v>
      </c>
      <c r="E130" s="15">
        <v>1.083</v>
      </c>
      <c r="F130" s="33">
        <f t="shared" ref="F130:F193" si="2">E130/D130*1000</f>
        <v>0.18177240684793555</v>
      </c>
    </row>
    <row r="131" spans="1:6" x14ac:dyDescent="0.3">
      <c r="A131" s="12">
        <v>46303</v>
      </c>
      <c r="B131" s="10" t="s">
        <v>595</v>
      </c>
      <c r="C131" s="13">
        <v>1</v>
      </c>
      <c r="D131" s="18">
        <v>6933</v>
      </c>
      <c r="E131" s="15">
        <v>0.90700000000000003</v>
      </c>
      <c r="F131" s="33">
        <f t="shared" si="2"/>
        <v>0.13082359728833118</v>
      </c>
    </row>
    <row r="132" spans="1:6" x14ac:dyDescent="0.3">
      <c r="A132" s="12">
        <v>46303</v>
      </c>
      <c r="B132" s="10" t="s">
        <v>595</v>
      </c>
      <c r="C132" s="13">
        <v>2</v>
      </c>
      <c r="D132" s="18">
        <v>6673</v>
      </c>
      <c r="E132" s="15">
        <v>1.0369999999999999</v>
      </c>
      <c r="F132" s="33">
        <f t="shared" si="2"/>
        <v>0.1554023677506369</v>
      </c>
    </row>
    <row r="133" spans="1:6" x14ac:dyDescent="0.3">
      <c r="A133" s="12">
        <v>46303</v>
      </c>
      <c r="B133" s="10" t="s">
        <v>595</v>
      </c>
      <c r="C133" s="13">
        <v>3</v>
      </c>
      <c r="D133" s="18">
        <v>6432</v>
      </c>
      <c r="E133" s="15">
        <v>0.94299999999999995</v>
      </c>
      <c r="F133" s="33">
        <f t="shared" si="2"/>
        <v>0.14661069651741293</v>
      </c>
    </row>
    <row r="134" spans="1:6" x14ac:dyDescent="0.3">
      <c r="A134" s="12">
        <v>46304</v>
      </c>
      <c r="B134" s="10" t="s">
        <v>590</v>
      </c>
      <c r="C134" s="13">
        <v>1</v>
      </c>
      <c r="D134" s="18">
        <v>6498</v>
      </c>
      <c r="E134" s="15">
        <v>1.2569999999999999</v>
      </c>
      <c r="F134" s="33">
        <f t="shared" si="2"/>
        <v>0.19344413665743304</v>
      </c>
    </row>
    <row r="135" spans="1:6" x14ac:dyDescent="0.3">
      <c r="A135" s="12">
        <v>46304</v>
      </c>
      <c r="B135" s="10" t="s">
        <v>590</v>
      </c>
      <c r="C135" s="13">
        <v>2</v>
      </c>
      <c r="D135" s="18">
        <v>5998</v>
      </c>
      <c r="E135" s="15">
        <v>1.3320000000000001</v>
      </c>
      <c r="F135" s="33">
        <f t="shared" si="2"/>
        <v>0.22207402467489162</v>
      </c>
    </row>
    <row r="136" spans="1:6" x14ac:dyDescent="0.3">
      <c r="A136" s="12">
        <v>46304</v>
      </c>
      <c r="B136" s="10" t="s">
        <v>590</v>
      </c>
      <c r="C136" s="13">
        <v>3</v>
      </c>
      <c r="D136" s="18">
        <v>5940</v>
      </c>
      <c r="E136" s="15">
        <v>1.2050000000000001</v>
      </c>
      <c r="F136" s="33">
        <f t="shared" si="2"/>
        <v>0.20286195286195288</v>
      </c>
    </row>
    <row r="137" spans="1:6" x14ac:dyDescent="0.3">
      <c r="A137" s="12">
        <v>46304</v>
      </c>
      <c r="B137" s="10" t="s">
        <v>595</v>
      </c>
      <c r="C137" s="13">
        <v>1</v>
      </c>
      <c r="D137" s="18">
        <v>5685</v>
      </c>
      <c r="E137" s="15">
        <v>0.88700000000000001</v>
      </c>
      <c r="F137" s="33">
        <f t="shared" si="2"/>
        <v>0.15602462620932278</v>
      </c>
    </row>
    <row r="138" spans="1:6" x14ac:dyDescent="0.3">
      <c r="A138" s="12">
        <v>46304</v>
      </c>
      <c r="B138" s="10" t="s">
        <v>595</v>
      </c>
      <c r="C138" s="13">
        <v>2</v>
      </c>
      <c r="D138" s="18">
        <v>6069</v>
      </c>
      <c r="E138" s="15">
        <v>0.97599999999999998</v>
      </c>
      <c r="F138" s="33">
        <f t="shared" si="2"/>
        <v>0.16081726808370406</v>
      </c>
    </row>
    <row r="139" spans="1:6" x14ac:dyDescent="0.3">
      <c r="A139" s="12">
        <v>46304</v>
      </c>
      <c r="B139" s="10" t="s">
        <v>595</v>
      </c>
      <c r="C139" s="13">
        <v>3</v>
      </c>
      <c r="D139" s="18">
        <v>6856</v>
      </c>
      <c r="E139" s="15">
        <v>0.93600000000000005</v>
      </c>
      <c r="F139" s="33">
        <f t="shared" si="2"/>
        <v>0.13652275379229872</v>
      </c>
    </row>
    <row r="140" spans="1:6" x14ac:dyDescent="0.3">
      <c r="A140" s="12">
        <v>46307</v>
      </c>
      <c r="B140" s="10" t="s">
        <v>590</v>
      </c>
      <c r="C140" s="13">
        <v>1</v>
      </c>
      <c r="D140" s="18">
        <v>5616</v>
      </c>
      <c r="E140" s="15">
        <v>1.069</v>
      </c>
      <c r="F140" s="33">
        <f t="shared" si="2"/>
        <v>0.19034900284900283</v>
      </c>
    </row>
    <row r="141" spans="1:6" x14ac:dyDescent="0.3">
      <c r="A141" s="12">
        <v>46307</v>
      </c>
      <c r="B141" s="10" t="s">
        <v>590</v>
      </c>
      <c r="C141" s="13">
        <v>2</v>
      </c>
      <c r="D141" s="18">
        <v>6299</v>
      </c>
      <c r="E141" s="15">
        <v>1.512</v>
      </c>
      <c r="F141" s="33">
        <f t="shared" si="2"/>
        <v>0.2400381012859184</v>
      </c>
    </row>
    <row r="142" spans="1:6" x14ac:dyDescent="0.3">
      <c r="A142" s="12">
        <v>46307</v>
      </c>
      <c r="B142" s="10" t="s">
        <v>590</v>
      </c>
      <c r="C142" s="13">
        <v>3</v>
      </c>
      <c r="D142" s="18">
        <v>6737</v>
      </c>
      <c r="E142" s="15">
        <v>1.242</v>
      </c>
      <c r="F142" s="33">
        <f t="shared" si="2"/>
        <v>0.18435505417841769</v>
      </c>
    </row>
    <row r="143" spans="1:6" x14ac:dyDescent="0.3">
      <c r="A143" s="12">
        <v>46307</v>
      </c>
      <c r="B143" s="10" t="s">
        <v>595</v>
      </c>
      <c r="C143" s="13">
        <v>1</v>
      </c>
      <c r="D143" s="18">
        <v>6135</v>
      </c>
      <c r="E143" s="15">
        <v>0.88100000000000001</v>
      </c>
      <c r="F143" s="33">
        <f t="shared" si="2"/>
        <v>0.14360228198859007</v>
      </c>
    </row>
    <row r="144" spans="1:6" x14ac:dyDescent="0.3">
      <c r="A144" s="12">
        <v>46307</v>
      </c>
      <c r="B144" s="10" t="s">
        <v>595</v>
      </c>
      <c r="C144" s="13">
        <v>2</v>
      </c>
      <c r="D144" s="18">
        <v>5282</v>
      </c>
      <c r="E144" s="15">
        <v>0.89900000000000002</v>
      </c>
      <c r="F144" s="33">
        <f t="shared" si="2"/>
        <v>0.17020068156001514</v>
      </c>
    </row>
    <row r="145" spans="1:6" x14ac:dyDescent="0.3">
      <c r="A145" s="12">
        <v>46307</v>
      </c>
      <c r="B145" s="10" t="s">
        <v>595</v>
      </c>
      <c r="C145" s="13">
        <v>3</v>
      </c>
      <c r="D145" s="18">
        <v>5229</v>
      </c>
      <c r="E145" s="15">
        <v>0.75900000000000001</v>
      </c>
      <c r="F145" s="33">
        <f t="shared" si="2"/>
        <v>0.14515203671830176</v>
      </c>
    </row>
    <row r="146" spans="1:6" x14ac:dyDescent="0.3">
      <c r="A146" s="12">
        <v>46308</v>
      </c>
      <c r="B146" s="10" t="s">
        <v>590</v>
      </c>
      <c r="C146" s="13">
        <v>1</v>
      </c>
      <c r="D146" s="18">
        <v>5663</v>
      </c>
      <c r="E146" s="15">
        <v>1.034</v>
      </c>
      <c r="F146" s="33">
        <f t="shared" si="2"/>
        <v>0.18258873388663252</v>
      </c>
    </row>
    <row r="147" spans="1:6" x14ac:dyDescent="0.3">
      <c r="A147" s="12">
        <v>46308</v>
      </c>
      <c r="B147" s="10" t="s">
        <v>590</v>
      </c>
      <c r="C147" s="13">
        <v>2</v>
      </c>
      <c r="D147" s="18">
        <v>6417</v>
      </c>
      <c r="E147" s="15">
        <v>1.474</v>
      </c>
      <c r="F147" s="33">
        <f t="shared" si="2"/>
        <v>0.22970235312451301</v>
      </c>
    </row>
    <row r="148" spans="1:6" x14ac:dyDescent="0.3">
      <c r="A148" s="12">
        <v>46308</v>
      </c>
      <c r="B148" s="10" t="s">
        <v>590</v>
      </c>
      <c r="C148" s="13">
        <v>3</v>
      </c>
      <c r="D148" s="18">
        <v>6774</v>
      </c>
      <c r="E148" s="15">
        <v>1.17</v>
      </c>
      <c r="F148" s="33">
        <f t="shared" si="2"/>
        <v>0.17271922054915853</v>
      </c>
    </row>
    <row r="149" spans="1:6" x14ac:dyDescent="0.3">
      <c r="A149" s="12">
        <v>46308</v>
      </c>
      <c r="B149" s="10" t="s">
        <v>595</v>
      </c>
      <c r="C149" s="13">
        <v>1</v>
      </c>
      <c r="D149" s="18">
        <v>6313</v>
      </c>
      <c r="E149" s="15">
        <v>0.98899999999999999</v>
      </c>
      <c r="F149" s="33">
        <f t="shared" si="2"/>
        <v>0.15666085854585776</v>
      </c>
    </row>
    <row r="150" spans="1:6" x14ac:dyDescent="0.3">
      <c r="A150" s="12">
        <v>46308</v>
      </c>
      <c r="B150" s="10" t="s">
        <v>595</v>
      </c>
      <c r="C150" s="13">
        <v>2</v>
      </c>
      <c r="D150" s="18">
        <v>5533</v>
      </c>
      <c r="E150" s="15">
        <v>0.89200000000000002</v>
      </c>
      <c r="F150" s="33">
        <f t="shared" si="2"/>
        <v>0.16121453099584312</v>
      </c>
    </row>
    <row r="151" spans="1:6" x14ac:dyDescent="0.3">
      <c r="A151" s="12">
        <v>46308</v>
      </c>
      <c r="B151" s="10" t="s">
        <v>595</v>
      </c>
      <c r="C151" s="13">
        <v>3</v>
      </c>
      <c r="D151" s="18">
        <v>5862</v>
      </c>
      <c r="E151" s="15">
        <v>0.873</v>
      </c>
      <c r="F151" s="33">
        <f t="shared" si="2"/>
        <v>0.14892528147389969</v>
      </c>
    </row>
    <row r="152" spans="1:6" x14ac:dyDescent="0.3">
      <c r="A152" s="12">
        <v>46309</v>
      </c>
      <c r="B152" s="10" t="s">
        <v>590</v>
      </c>
      <c r="C152" s="13">
        <v>1</v>
      </c>
      <c r="D152" s="18">
        <v>5590</v>
      </c>
      <c r="E152" s="15">
        <v>1.109</v>
      </c>
      <c r="F152" s="33">
        <f t="shared" si="2"/>
        <v>0.19838998211091233</v>
      </c>
    </row>
    <row r="153" spans="1:6" x14ac:dyDescent="0.3">
      <c r="A153" s="12">
        <v>46309</v>
      </c>
      <c r="B153" s="10" t="s">
        <v>590</v>
      </c>
      <c r="C153" s="13">
        <v>2</v>
      </c>
      <c r="D153" s="18">
        <v>5770</v>
      </c>
      <c r="E153" s="15">
        <v>1.042</v>
      </c>
      <c r="F153" s="33">
        <f t="shared" si="2"/>
        <v>0.18058925476603122</v>
      </c>
    </row>
    <row r="154" spans="1:6" x14ac:dyDescent="0.3">
      <c r="A154" s="12">
        <v>46309</v>
      </c>
      <c r="B154" s="10" t="s">
        <v>590</v>
      </c>
      <c r="C154" s="13">
        <v>3</v>
      </c>
      <c r="D154" s="18">
        <v>6297</v>
      </c>
      <c r="E154" s="15">
        <v>1.1930000000000001</v>
      </c>
      <c r="F154" s="33">
        <f t="shared" si="2"/>
        <v>0.1894552961727807</v>
      </c>
    </row>
    <row r="155" spans="1:6" x14ac:dyDescent="0.3">
      <c r="A155" s="12">
        <v>46309</v>
      </c>
      <c r="B155" s="10" t="s">
        <v>595</v>
      </c>
      <c r="C155" s="13">
        <v>1</v>
      </c>
      <c r="D155" s="18">
        <v>6225</v>
      </c>
      <c r="E155" s="15">
        <v>0.995</v>
      </c>
      <c r="F155" s="33">
        <f t="shared" si="2"/>
        <v>0.15983935742971889</v>
      </c>
    </row>
    <row r="156" spans="1:6" x14ac:dyDescent="0.3">
      <c r="A156" s="12">
        <v>46309</v>
      </c>
      <c r="B156" s="10" t="s">
        <v>595</v>
      </c>
      <c r="C156" s="13">
        <v>2</v>
      </c>
      <c r="D156" s="18">
        <v>5997</v>
      </c>
      <c r="E156" s="15">
        <v>1.006</v>
      </c>
      <c r="F156" s="33">
        <f t="shared" si="2"/>
        <v>0.16775054193763547</v>
      </c>
    </row>
    <row r="157" spans="1:6" x14ac:dyDescent="0.3">
      <c r="A157" s="12">
        <v>46309</v>
      </c>
      <c r="B157" s="10" t="s">
        <v>595</v>
      </c>
      <c r="C157" s="13">
        <v>3</v>
      </c>
      <c r="D157" s="18">
        <v>6254</v>
      </c>
      <c r="E157" s="15">
        <v>0.86</v>
      </c>
      <c r="F157" s="33">
        <f t="shared" si="2"/>
        <v>0.13751199232491207</v>
      </c>
    </row>
    <row r="158" spans="1:6" x14ac:dyDescent="0.3">
      <c r="A158" s="12">
        <v>46310</v>
      </c>
      <c r="B158" s="10" t="s">
        <v>590</v>
      </c>
      <c r="C158" s="13">
        <v>1</v>
      </c>
      <c r="D158" s="18">
        <v>5985</v>
      </c>
      <c r="E158" s="15">
        <v>1.0980000000000001</v>
      </c>
      <c r="F158" s="33">
        <f t="shared" si="2"/>
        <v>0.18345864661654138</v>
      </c>
    </row>
    <row r="159" spans="1:6" x14ac:dyDescent="0.3">
      <c r="A159" s="12">
        <v>46310</v>
      </c>
      <c r="B159" s="10" t="s">
        <v>590</v>
      </c>
      <c r="C159" s="13">
        <v>2</v>
      </c>
      <c r="D159" s="18">
        <v>6301</v>
      </c>
      <c r="E159" s="15">
        <v>1.365</v>
      </c>
      <c r="F159" s="33">
        <f t="shared" si="2"/>
        <v>0.21663228059038248</v>
      </c>
    </row>
    <row r="160" spans="1:6" x14ac:dyDescent="0.3">
      <c r="A160" s="12">
        <v>46310</v>
      </c>
      <c r="B160" s="10" t="s">
        <v>590</v>
      </c>
      <c r="C160" s="13">
        <v>3</v>
      </c>
      <c r="D160" s="18">
        <v>5870</v>
      </c>
      <c r="E160" s="15">
        <v>1.0289999999999999</v>
      </c>
      <c r="F160" s="33">
        <f t="shared" si="2"/>
        <v>0.17529812606473594</v>
      </c>
    </row>
    <row r="161" spans="1:6" x14ac:dyDescent="0.3">
      <c r="A161" s="12">
        <v>46310</v>
      </c>
      <c r="B161" s="10" t="s">
        <v>595</v>
      </c>
      <c r="C161" s="13">
        <v>1</v>
      </c>
      <c r="D161" s="18">
        <v>6970</v>
      </c>
      <c r="E161" s="15">
        <v>1.042</v>
      </c>
      <c r="F161" s="33">
        <f t="shared" si="2"/>
        <v>0.14949784791965567</v>
      </c>
    </row>
    <row r="162" spans="1:6" x14ac:dyDescent="0.3">
      <c r="A162" s="12">
        <v>46310</v>
      </c>
      <c r="B162" s="10" t="s">
        <v>595</v>
      </c>
      <c r="C162" s="13">
        <v>2</v>
      </c>
      <c r="D162" s="18">
        <v>6537</v>
      </c>
      <c r="E162" s="15">
        <v>1.214</v>
      </c>
      <c r="F162" s="33">
        <f t="shared" si="2"/>
        <v>0.18571210035184335</v>
      </c>
    </row>
    <row r="163" spans="1:6" x14ac:dyDescent="0.3">
      <c r="A163" s="12">
        <v>46310</v>
      </c>
      <c r="B163" s="10" t="s">
        <v>595</v>
      </c>
      <c r="C163" s="13">
        <v>3</v>
      </c>
      <c r="D163" s="18">
        <v>6601</v>
      </c>
      <c r="E163" s="15">
        <v>0.96099999999999997</v>
      </c>
      <c r="F163" s="33">
        <f t="shared" si="2"/>
        <v>0.14558400242387515</v>
      </c>
    </row>
    <row r="164" spans="1:6" x14ac:dyDescent="0.3">
      <c r="A164" s="12">
        <v>46311</v>
      </c>
      <c r="B164" s="10" t="s">
        <v>590</v>
      </c>
      <c r="C164" s="13">
        <v>1</v>
      </c>
      <c r="D164" s="18">
        <v>6159</v>
      </c>
      <c r="E164" s="15">
        <v>1.3660000000000001</v>
      </c>
      <c r="F164" s="33">
        <f t="shared" si="2"/>
        <v>0.22178925150186721</v>
      </c>
    </row>
    <row r="165" spans="1:6" x14ac:dyDescent="0.3">
      <c r="A165" s="12">
        <v>46311</v>
      </c>
      <c r="B165" s="10" t="s">
        <v>590</v>
      </c>
      <c r="C165" s="13">
        <v>2</v>
      </c>
      <c r="D165" s="18">
        <v>5709</v>
      </c>
      <c r="E165" s="15">
        <v>1.248</v>
      </c>
      <c r="F165" s="33">
        <f t="shared" si="2"/>
        <v>0.2186022070415134</v>
      </c>
    </row>
    <row r="166" spans="1:6" x14ac:dyDescent="0.3">
      <c r="A166" s="12">
        <v>46311</v>
      </c>
      <c r="B166" s="10" t="s">
        <v>590</v>
      </c>
      <c r="C166" s="13">
        <v>3</v>
      </c>
      <c r="D166" s="18">
        <v>6649</v>
      </c>
      <c r="E166" s="15">
        <v>1.2989999999999999</v>
      </c>
      <c r="F166" s="33">
        <f t="shared" si="2"/>
        <v>0.1953677244698451</v>
      </c>
    </row>
    <row r="167" spans="1:6" x14ac:dyDescent="0.3">
      <c r="A167" s="12">
        <v>46311</v>
      </c>
      <c r="B167" s="10" t="s">
        <v>595</v>
      </c>
      <c r="C167" s="13">
        <v>1</v>
      </c>
      <c r="D167" s="18">
        <v>6713</v>
      </c>
      <c r="E167" s="15">
        <v>0.88700000000000001</v>
      </c>
      <c r="F167" s="33">
        <f t="shared" si="2"/>
        <v>0.13213168479070458</v>
      </c>
    </row>
    <row r="168" spans="1:6" x14ac:dyDescent="0.3">
      <c r="A168" s="12">
        <v>46311</v>
      </c>
      <c r="B168" s="10" t="s">
        <v>595</v>
      </c>
      <c r="C168" s="13">
        <v>2</v>
      </c>
      <c r="D168" s="18">
        <v>5683</v>
      </c>
      <c r="E168" s="15">
        <v>0.98599999999999999</v>
      </c>
      <c r="F168" s="33">
        <f t="shared" si="2"/>
        <v>0.17349991201830017</v>
      </c>
    </row>
    <row r="169" spans="1:6" x14ac:dyDescent="0.3">
      <c r="A169" s="12">
        <v>46311</v>
      </c>
      <c r="B169" s="10" t="s">
        <v>595</v>
      </c>
      <c r="C169" s="13">
        <v>3</v>
      </c>
      <c r="D169" s="18">
        <v>5574</v>
      </c>
      <c r="E169" s="15">
        <v>0.91300000000000003</v>
      </c>
      <c r="F169" s="33">
        <f t="shared" si="2"/>
        <v>0.16379619662719772</v>
      </c>
    </row>
    <row r="170" spans="1:6" x14ac:dyDescent="0.3">
      <c r="A170" s="12">
        <v>46314</v>
      </c>
      <c r="B170" s="10" t="s">
        <v>590</v>
      </c>
      <c r="C170" s="13">
        <v>1</v>
      </c>
      <c r="D170" s="18">
        <v>5953</v>
      </c>
      <c r="E170" s="15">
        <v>1.0780000000000001</v>
      </c>
      <c r="F170" s="33">
        <f t="shared" si="2"/>
        <v>0.18108516714261719</v>
      </c>
    </row>
    <row r="171" spans="1:6" x14ac:dyDescent="0.3">
      <c r="A171" s="12">
        <v>46314</v>
      </c>
      <c r="B171" s="10" t="s">
        <v>590</v>
      </c>
      <c r="C171" s="13">
        <v>2</v>
      </c>
      <c r="D171" s="18">
        <v>6117</v>
      </c>
      <c r="E171" s="15">
        <v>1.4159999999999999</v>
      </c>
      <c r="F171" s="33">
        <f t="shared" si="2"/>
        <v>0.23148602256007847</v>
      </c>
    </row>
    <row r="172" spans="1:6" x14ac:dyDescent="0.3">
      <c r="A172" s="12">
        <v>46314</v>
      </c>
      <c r="B172" s="10" t="s">
        <v>590</v>
      </c>
      <c r="C172" s="13">
        <v>3</v>
      </c>
      <c r="D172" s="18">
        <v>7042</v>
      </c>
      <c r="E172" s="15">
        <v>1.379</v>
      </c>
      <c r="F172" s="33">
        <f t="shared" si="2"/>
        <v>0.19582504970178927</v>
      </c>
    </row>
    <row r="173" spans="1:6" x14ac:dyDescent="0.3">
      <c r="A173" s="12">
        <v>46314</v>
      </c>
      <c r="B173" s="10" t="s">
        <v>595</v>
      </c>
      <c r="C173" s="13">
        <v>1</v>
      </c>
      <c r="D173" s="18">
        <v>6036</v>
      </c>
      <c r="E173" s="15">
        <v>0.91700000000000004</v>
      </c>
      <c r="F173" s="33">
        <f t="shared" si="2"/>
        <v>0.15192180251822401</v>
      </c>
    </row>
    <row r="174" spans="1:6" x14ac:dyDescent="0.3">
      <c r="A174" s="12">
        <v>46314</v>
      </c>
      <c r="B174" s="10" t="s">
        <v>595</v>
      </c>
      <c r="C174" s="13">
        <v>2</v>
      </c>
      <c r="D174" s="18">
        <v>6557</v>
      </c>
      <c r="E174" s="15">
        <v>1.129</v>
      </c>
      <c r="F174" s="33">
        <f t="shared" si="2"/>
        <v>0.17218240048802808</v>
      </c>
    </row>
    <row r="175" spans="1:6" x14ac:dyDescent="0.3">
      <c r="A175" s="12">
        <v>46314</v>
      </c>
      <c r="B175" s="10" t="s">
        <v>595</v>
      </c>
      <c r="C175" s="13">
        <v>3</v>
      </c>
      <c r="D175" s="18">
        <v>7055</v>
      </c>
      <c r="E175" s="15">
        <v>1.018</v>
      </c>
      <c r="F175" s="33">
        <f t="shared" si="2"/>
        <v>0.14429482636428065</v>
      </c>
    </row>
    <row r="176" spans="1:6" x14ac:dyDescent="0.3">
      <c r="A176" s="12">
        <v>46315</v>
      </c>
      <c r="B176" s="10" t="s">
        <v>590</v>
      </c>
      <c r="C176" s="13">
        <v>1</v>
      </c>
      <c r="D176" s="18">
        <v>5591</v>
      </c>
      <c r="E176" s="15">
        <v>1.117</v>
      </c>
      <c r="F176" s="33">
        <f t="shared" si="2"/>
        <v>0.1997853693435879</v>
      </c>
    </row>
    <row r="177" spans="1:6" x14ac:dyDescent="0.3">
      <c r="A177" s="12">
        <v>46315</v>
      </c>
      <c r="B177" s="10" t="s">
        <v>590</v>
      </c>
      <c r="C177" s="13">
        <v>2</v>
      </c>
      <c r="D177" s="18">
        <v>6599</v>
      </c>
      <c r="E177" s="15">
        <v>1.3320000000000001</v>
      </c>
      <c r="F177" s="33">
        <f t="shared" si="2"/>
        <v>0.20184876496438856</v>
      </c>
    </row>
    <row r="178" spans="1:6" x14ac:dyDescent="0.3">
      <c r="A178" s="12">
        <v>46315</v>
      </c>
      <c r="B178" s="10" t="s">
        <v>590</v>
      </c>
      <c r="C178" s="13">
        <v>3</v>
      </c>
      <c r="D178" s="18">
        <v>6303</v>
      </c>
      <c r="E178" s="15">
        <v>1.105</v>
      </c>
      <c r="F178" s="33">
        <f t="shared" si="2"/>
        <v>0.17531334285260988</v>
      </c>
    </row>
    <row r="179" spans="1:6" x14ac:dyDescent="0.3">
      <c r="A179" s="12">
        <v>46315</v>
      </c>
      <c r="B179" s="10" t="s">
        <v>595</v>
      </c>
      <c r="C179" s="13">
        <v>1</v>
      </c>
      <c r="D179" s="18">
        <v>5988</v>
      </c>
      <c r="E179" s="15">
        <v>0.86699999999999999</v>
      </c>
      <c r="F179" s="33">
        <f t="shared" si="2"/>
        <v>0.14478957915831664</v>
      </c>
    </row>
    <row r="180" spans="1:6" x14ac:dyDescent="0.3">
      <c r="A180" s="12">
        <v>46315</v>
      </c>
      <c r="B180" s="10" t="s">
        <v>595</v>
      </c>
      <c r="C180" s="13">
        <v>2</v>
      </c>
      <c r="D180" s="18">
        <v>5861</v>
      </c>
      <c r="E180" s="15">
        <v>1.0289999999999999</v>
      </c>
      <c r="F180" s="33">
        <f t="shared" si="2"/>
        <v>0.17556730933287834</v>
      </c>
    </row>
    <row r="181" spans="1:6" x14ac:dyDescent="0.3">
      <c r="A181" s="12">
        <v>46315</v>
      </c>
      <c r="B181" s="10" t="s">
        <v>595</v>
      </c>
      <c r="C181" s="13">
        <v>3</v>
      </c>
      <c r="D181" s="18">
        <v>6157</v>
      </c>
      <c r="E181" s="15">
        <v>0.877</v>
      </c>
      <c r="F181" s="33">
        <f t="shared" si="2"/>
        <v>0.14243949975637485</v>
      </c>
    </row>
    <row r="182" spans="1:6" x14ac:dyDescent="0.3">
      <c r="A182" s="12">
        <v>46316</v>
      </c>
      <c r="B182" s="10" t="s">
        <v>590</v>
      </c>
      <c r="C182" s="13">
        <v>1</v>
      </c>
      <c r="D182" s="18">
        <v>6051</v>
      </c>
      <c r="E182" s="15">
        <v>1.1910000000000001</v>
      </c>
      <c r="F182" s="33">
        <f t="shared" si="2"/>
        <v>0.19682697074863661</v>
      </c>
    </row>
    <row r="183" spans="1:6" x14ac:dyDescent="0.3">
      <c r="A183" s="12">
        <v>46316</v>
      </c>
      <c r="B183" s="10" t="s">
        <v>590</v>
      </c>
      <c r="C183" s="13">
        <v>2</v>
      </c>
      <c r="D183" s="18">
        <v>5957</v>
      </c>
      <c r="E183" s="15">
        <v>1.347</v>
      </c>
      <c r="F183" s="33">
        <f t="shared" si="2"/>
        <v>0.22612053046835656</v>
      </c>
    </row>
    <row r="184" spans="1:6" x14ac:dyDescent="0.3">
      <c r="A184" s="12">
        <v>46316</v>
      </c>
      <c r="B184" s="10" t="s">
        <v>590</v>
      </c>
      <c r="C184" s="13">
        <v>3</v>
      </c>
      <c r="D184" s="18">
        <v>6395</v>
      </c>
      <c r="E184" s="15">
        <v>1.286</v>
      </c>
      <c r="F184" s="33">
        <f t="shared" si="2"/>
        <v>0.20109460516028146</v>
      </c>
    </row>
    <row r="185" spans="1:6" x14ac:dyDescent="0.3">
      <c r="A185" s="12">
        <v>46316</v>
      </c>
      <c r="B185" s="10" t="s">
        <v>595</v>
      </c>
      <c r="C185" s="13">
        <v>1</v>
      </c>
      <c r="D185" s="18">
        <v>5221</v>
      </c>
      <c r="E185" s="15">
        <v>0.79500000000000004</v>
      </c>
      <c r="F185" s="33">
        <f t="shared" si="2"/>
        <v>0.15226968013790462</v>
      </c>
    </row>
    <row r="186" spans="1:6" x14ac:dyDescent="0.3">
      <c r="A186" s="12">
        <v>46316</v>
      </c>
      <c r="B186" s="10" t="s">
        <v>595</v>
      </c>
      <c r="C186" s="13">
        <v>2</v>
      </c>
      <c r="D186" s="18">
        <v>5410</v>
      </c>
      <c r="E186" s="15">
        <v>0.97699999999999998</v>
      </c>
      <c r="F186" s="33">
        <f t="shared" si="2"/>
        <v>0.18059149722735673</v>
      </c>
    </row>
    <row r="187" spans="1:6" x14ac:dyDescent="0.3">
      <c r="A187" s="12">
        <v>46316</v>
      </c>
      <c r="B187" s="10" t="s">
        <v>595</v>
      </c>
      <c r="C187" s="13">
        <v>3</v>
      </c>
      <c r="D187" s="18">
        <v>6678</v>
      </c>
      <c r="E187" s="15">
        <v>1.038</v>
      </c>
      <c r="F187" s="33">
        <f t="shared" si="2"/>
        <v>0.15543575920934413</v>
      </c>
    </row>
    <row r="188" spans="1:6" x14ac:dyDescent="0.3">
      <c r="A188" s="12">
        <v>46317</v>
      </c>
      <c r="B188" s="10" t="s">
        <v>590</v>
      </c>
      <c r="C188" s="13">
        <v>1</v>
      </c>
      <c r="D188" s="18">
        <v>6299</v>
      </c>
      <c r="E188" s="15">
        <v>1.125</v>
      </c>
      <c r="F188" s="33">
        <f t="shared" si="2"/>
        <v>0.1785997777424988</v>
      </c>
    </row>
    <row r="189" spans="1:6" x14ac:dyDescent="0.3">
      <c r="A189" s="12">
        <v>46317</v>
      </c>
      <c r="B189" s="10" t="s">
        <v>590</v>
      </c>
      <c r="C189" s="13">
        <v>2</v>
      </c>
      <c r="D189" s="18">
        <v>6248</v>
      </c>
      <c r="E189" s="15">
        <v>1.35</v>
      </c>
      <c r="F189" s="33">
        <f t="shared" si="2"/>
        <v>0.21606914212548017</v>
      </c>
    </row>
    <row r="190" spans="1:6" x14ac:dyDescent="0.3">
      <c r="A190" s="12">
        <v>46317</v>
      </c>
      <c r="B190" s="10" t="s">
        <v>590</v>
      </c>
      <c r="C190" s="13">
        <v>3</v>
      </c>
      <c r="D190" s="18">
        <v>6815</v>
      </c>
      <c r="E190" s="15">
        <v>1.3520000000000001</v>
      </c>
      <c r="F190" s="33">
        <f t="shared" si="2"/>
        <v>0.1983859134262656</v>
      </c>
    </row>
    <row r="191" spans="1:6" x14ac:dyDescent="0.3">
      <c r="A191" s="12">
        <v>46317</v>
      </c>
      <c r="B191" s="10" t="s">
        <v>595</v>
      </c>
      <c r="C191" s="13">
        <v>1</v>
      </c>
      <c r="D191" s="18">
        <v>6663</v>
      </c>
      <c r="E191" s="15">
        <v>0.97899999999999998</v>
      </c>
      <c r="F191" s="33">
        <f t="shared" si="2"/>
        <v>0.14693081194657062</v>
      </c>
    </row>
    <row r="192" spans="1:6" x14ac:dyDescent="0.3">
      <c r="A192" s="12">
        <v>46317</v>
      </c>
      <c r="B192" s="10" t="s">
        <v>595</v>
      </c>
      <c r="C192" s="13">
        <v>2</v>
      </c>
      <c r="D192" s="18">
        <v>5610</v>
      </c>
      <c r="E192" s="15">
        <v>0.99099999999999999</v>
      </c>
      <c r="F192" s="33">
        <f t="shared" si="2"/>
        <v>0.17664884135472372</v>
      </c>
    </row>
    <row r="193" spans="1:6" x14ac:dyDescent="0.3">
      <c r="A193" s="12">
        <v>46317</v>
      </c>
      <c r="B193" s="10" t="s">
        <v>595</v>
      </c>
      <c r="C193" s="13">
        <v>3</v>
      </c>
      <c r="D193" s="18">
        <v>6375</v>
      </c>
      <c r="E193" s="15">
        <v>1.0409999999999999</v>
      </c>
      <c r="F193" s="33">
        <f t="shared" si="2"/>
        <v>0.16329411764705881</v>
      </c>
    </row>
    <row r="194" spans="1:6" x14ac:dyDescent="0.3">
      <c r="A194" s="12">
        <v>46318</v>
      </c>
      <c r="B194" s="10" t="s">
        <v>590</v>
      </c>
      <c r="C194" s="13">
        <v>1</v>
      </c>
      <c r="D194" s="18">
        <v>6524</v>
      </c>
      <c r="E194" s="15">
        <v>1.2909999999999999</v>
      </c>
      <c r="F194" s="33">
        <f t="shared" ref="F194:F257" si="3">E194/D194*1000</f>
        <v>0.19788473329245859</v>
      </c>
    </row>
    <row r="195" spans="1:6" x14ac:dyDescent="0.3">
      <c r="A195" s="12">
        <v>46318</v>
      </c>
      <c r="B195" s="10" t="s">
        <v>590</v>
      </c>
      <c r="C195" s="13">
        <v>2</v>
      </c>
      <c r="D195" s="18">
        <v>5625</v>
      </c>
      <c r="E195" s="15">
        <v>1.244</v>
      </c>
      <c r="F195" s="33">
        <f t="shared" si="3"/>
        <v>0.22115555555555555</v>
      </c>
    </row>
    <row r="196" spans="1:6" x14ac:dyDescent="0.3">
      <c r="A196" s="12">
        <v>46318</v>
      </c>
      <c r="B196" s="10" t="s">
        <v>590</v>
      </c>
      <c r="C196" s="13">
        <v>3</v>
      </c>
      <c r="D196" s="18">
        <v>5519</v>
      </c>
      <c r="E196" s="15">
        <v>1.212</v>
      </c>
      <c r="F196" s="33">
        <f t="shared" si="3"/>
        <v>0.21960500090596122</v>
      </c>
    </row>
    <row r="197" spans="1:6" x14ac:dyDescent="0.3">
      <c r="A197" s="12">
        <v>46318</v>
      </c>
      <c r="B197" s="10" t="s">
        <v>595</v>
      </c>
      <c r="C197" s="13">
        <v>1</v>
      </c>
      <c r="D197" s="18">
        <v>7507</v>
      </c>
      <c r="E197" s="15">
        <v>1.163</v>
      </c>
      <c r="F197" s="33">
        <f t="shared" si="3"/>
        <v>0.15492207273211669</v>
      </c>
    </row>
    <row r="198" spans="1:6" x14ac:dyDescent="0.3">
      <c r="A198" s="12">
        <v>46318</v>
      </c>
      <c r="B198" s="10" t="s">
        <v>595</v>
      </c>
      <c r="C198" s="13">
        <v>2</v>
      </c>
      <c r="D198" s="18">
        <v>6776</v>
      </c>
      <c r="E198" s="15">
        <v>1.2</v>
      </c>
      <c r="F198" s="33">
        <f t="shared" si="3"/>
        <v>0.17709563164108616</v>
      </c>
    </row>
    <row r="199" spans="1:6" x14ac:dyDescent="0.3">
      <c r="A199" s="12">
        <v>46318</v>
      </c>
      <c r="B199" s="10" t="s">
        <v>595</v>
      </c>
      <c r="C199" s="13">
        <v>3</v>
      </c>
      <c r="D199" s="18">
        <v>6331</v>
      </c>
      <c r="E199" s="15">
        <v>0.86099999999999999</v>
      </c>
      <c r="F199" s="33">
        <f t="shared" si="3"/>
        <v>0.13599747275311957</v>
      </c>
    </row>
    <row r="200" spans="1:6" x14ac:dyDescent="0.3">
      <c r="A200" s="12">
        <v>46321</v>
      </c>
      <c r="B200" s="10" t="s">
        <v>590</v>
      </c>
      <c r="C200" s="13">
        <v>1</v>
      </c>
      <c r="D200" s="18">
        <v>6504</v>
      </c>
      <c r="E200" s="15">
        <v>1.2150000000000001</v>
      </c>
      <c r="F200" s="33">
        <f t="shared" si="3"/>
        <v>0.18680811808118084</v>
      </c>
    </row>
    <row r="201" spans="1:6" x14ac:dyDescent="0.3">
      <c r="A201" s="12">
        <v>46321</v>
      </c>
      <c r="B201" s="10" t="s">
        <v>590</v>
      </c>
      <c r="C201" s="13">
        <v>2</v>
      </c>
      <c r="D201" s="18">
        <v>6904</v>
      </c>
      <c r="E201" s="15">
        <v>1.587</v>
      </c>
      <c r="F201" s="33">
        <f t="shared" si="3"/>
        <v>0.22986674391657008</v>
      </c>
    </row>
    <row r="202" spans="1:6" x14ac:dyDescent="0.3">
      <c r="A202" s="12">
        <v>46321</v>
      </c>
      <c r="B202" s="10" t="s">
        <v>590</v>
      </c>
      <c r="C202" s="13">
        <v>3</v>
      </c>
      <c r="D202" s="18">
        <v>6374</v>
      </c>
      <c r="E202" s="15">
        <v>1.2749999999999999</v>
      </c>
      <c r="F202" s="33">
        <f t="shared" si="3"/>
        <v>0.20003137747097582</v>
      </c>
    </row>
    <row r="203" spans="1:6" x14ac:dyDescent="0.3">
      <c r="A203" s="12">
        <v>46321</v>
      </c>
      <c r="B203" s="10" t="s">
        <v>595</v>
      </c>
      <c r="C203" s="13">
        <v>1</v>
      </c>
      <c r="D203" s="18">
        <v>6362</v>
      </c>
      <c r="E203" s="15">
        <v>0.92</v>
      </c>
      <c r="F203" s="33">
        <f t="shared" si="3"/>
        <v>0.14460861364350833</v>
      </c>
    </row>
    <row r="204" spans="1:6" x14ac:dyDescent="0.3">
      <c r="A204" s="12">
        <v>46321</v>
      </c>
      <c r="B204" s="10" t="s">
        <v>595</v>
      </c>
      <c r="C204" s="13">
        <v>2</v>
      </c>
      <c r="D204" s="18">
        <v>6121</v>
      </c>
      <c r="E204" s="15">
        <v>0.99299999999999999</v>
      </c>
      <c r="F204" s="33">
        <f t="shared" si="3"/>
        <v>0.16222839405325928</v>
      </c>
    </row>
    <row r="205" spans="1:6" x14ac:dyDescent="0.3">
      <c r="A205" s="12">
        <v>46321</v>
      </c>
      <c r="B205" s="10" t="s">
        <v>595</v>
      </c>
      <c r="C205" s="13">
        <v>3</v>
      </c>
      <c r="D205" s="18">
        <v>6303</v>
      </c>
      <c r="E205" s="15">
        <v>0.89800000000000002</v>
      </c>
      <c r="F205" s="33">
        <f t="shared" si="3"/>
        <v>0.14247183880691736</v>
      </c>
    </row>
    <row r="206" spans="1:6" x14ac:dyDescent="0.3">
      <c r="A206" s="12">
        <v>46322</v>
      </c>
      <c r="B206" s="10" t="s">
        <v>590</v>
      </c>
      <c r="C206" s="13">
        <v>1</v>
      </c>
      <c r="D206" s="18">
        <v>6282</v>
      </c>
      <c r="E206" s="15">
        <v>1.1859999999999999</v>
      </c>
      <c r="F206" s="33">
        <f t="shared" si="3"/>
        <v>0.18879337790512574</v>
      </c>
    </row>
    <row r="207" spans="1:6" x14ac:dyDescent="0.3">
      <c r="A207" s="12">
        <v>46322</v>
      </c>
      <c r="B207" s="10" t="s">
        <v>590</v>
      </c>
      <c r="C207" s="13">
        <v>2</v>
      </c>
      <c r="D207" s="18">
        <v>6429</v>
      </c>
      <c r="E207" s="15">
        <v>1.486</v>
      </c>
      <c r="F207" s="33">
        <f t="shared" si="3"/>
        <v>0.23114014621247472</v>
      </c>
    </row>
    <row r="208" spans="1:6" x14ac:dyDescent="0.3">
      <c r="A208" s="12">
        <v>46322</v>
      </c>
      <c r="B208" s="10" t="s">
        <v>590</v>
      </c>
      <c r="C208" s="13">
        <v>3</v>
      </c>
      <c r="D208" s="18">
        <v>6294</v>
      </c>
      <c r="E208" s="15">
        <v>1.2370000000000001</v>
      </c>
      <c r="F208" s="33">
        <f t="shared" si="3"/>
        <v>0.19653638385764222</v>
      </c>
    </row>
    <row r="209" spans="1:6" x14ac:dyDescent="0.3">
      <c r="A209" s="12">
        <v>46322</v>
      </c>
      <c r="B209" s="10" t="s">
        <v>595</v>
      </c>
      <c r="C209" s="13">
        <v>1</v>
      </c>
      <c r="D209" s="18">
        <v>5757</v>
      </c>
      <c r="E209" s="15">
        <v>0.88800000000000001</v>
      </c>
      <c r="F209" s="33">
        <f t="shared" si="3"/>
        <v>0.15424700364773319</v>
      </c>
    </row>
    <row r="210" spans="1:6" x14ac:dyDescent="0.3">
      <c r="A210" s="12">
        <v>46322</v>
      </c>
      <c r="B210" s="10" t="s">
        <v>595</v>
      </c>
      <c r="C210" s="13">
        <v>2</v>
      </c>
      <c r="D210" s="18">
        <v>5418</v>
      </c>
      <c r="E210" s="15">
        <v>0.97099999999999997</v>
      </c>
      <c r="F210" s="33">
        <f t="shared" si="3"/>
        <v>0.17921742340346991</v>
      </c>
    </row>
    <row r="211" spans="1:6" x14ac:dyDescent="0.3">
      <c r="A211" s="12">
        <v>46322</v>
      </c>
      <c r="B211" s="10" t="s">
        <v>595</v>
      </c>
      <c r="C211" s="13">
        <v>3</v>
      </c>
      <c r="D211" s="18">
        <v>6589</v>
      </c>
      <c r="E211" s="15">
        <v>1.036</v>
      </c>
      <c r="F211" s="33">
        <f t="shared" si="3"/>
        <v>0.15723174988617394</v>
      </c>
    </row>
    <row r="212" spans="1:6" x14ac:dyDescent="0.3">
      <c r="A212" s="12">
        <v>46323</v>
      </c>
      <c r="B212" s="10" t="s">
        <v>590</v>
      </c>
      <c r="C212" s="13">
        <v>1</v>
      </c>
      <c r="D212" s="18">
        <v>6404</v>
      </c>
      <c r="E212" s="15">
        <v>1.284</v>
      </c>
      <c r="F212" s="33">
        <f t="shared" si="3"/>
        <v>0.20049968769519053</v>
      </c>
    </row>
    <row r="213" spans="1:6" x14ac:dyDescent="0.3">
      <c r="A213" s="12">
        <v>46323</v>
      </c>
      <c r="B213" s="10" t="s">
        <v>590</v>
      </c>
      <c r="C213" s="13">
        <v>2</v>
      </c>
      <c r="D213" s="18">
        <v>5651</v>
      </c>
      <c r="E213" s="15">
        <v>1.3120000000000001</v>
      </c>
      <c r="F213" s="33">
        <f t="shared" si="3"/>
        <v>0.23217129711555476</v>
      </c>
    </row>
    <row r="214" spans="1:6" x14ac:dyDescent="0.3">
      <c r="A214" s="12">
        <v>46323</v>
      </c>
      <c r="B214" s="10" t="s">
        <v>590</v>
      </c>
      <c r="C214" s="13">
        <v>3</v>
      </c>
      <c r="D214" s="18">
        <v>5872</v>
      </c>
      <c r="E214" s="15">
        <v>1.1619999999999999</v>
      </c>
      <c r="F214" s="33">
        <f t="shared" si="3"/>
        <v>0.19788828337874659</v>
      </c>
    </row>
    <row r="215" spans="1:6" x14ac:dyDescent="0.3">
      <c r="A215" s="12">
        <v>46323</v>
      </c>
      <c r="B215" s="10" t="s">
        <v>595</v>
      </c>
      <c r="C215" s="13">
        <v>1</v>
      </c>
      <c r="D215" s="18">
        <v>6999</v>
      </c>
      <c r="E215" s="15">
        <v>0.96599999999999997</v>
      </c>
      <c r="F215" s="33">
        <f t="shared" si="3"/>
        <v>0.13801971710244321</v>
      </c>
    </row>
    <row r="216" spans="1:6" x14ac:dyDescent="0.3">
      <c r="A216" s="12">
        <v>46323</v>
      </c>
      <c r="B216" s="10" t="s">
        <v>595</v>
      </c>
      <c r="C216" s="13">
        <v>2</v>
      </c>
      <c r="D216" s="18">
        <v>5806</v>
      </c>
      <c r="E216" s="15">
        <v>1.077</v>
      </c>
      <c r="F216" s="33">
        <f t="shared" si="3"/>
        <v>0.18549776093696177</v>
      </c>
    </row>
    <row r="217" spans="1:6" x14ac:dyDescent="0.3">
      <c r="A217" s="12">
        <v>46323</v>
      </c>
      <c r="B217" s="10" t="s">
        <v>595</v>
      </c>
      <c r="C217" s="13">
        <v>3</v>
      </c>
      <c r="D217" s="18">
        <v>6263</v>
      </c>
      <c r="E217" s="15">
        <v>0.997</v>
      </c>
      <c r="F217" s="33">
        <f t="shared" si="3"/>
        <v>0.1591888871148012</v>
      </c>
    </row>
    <row r="218" spans="1:6" x14ac:dyDescent="0.3">
      <c r="A218" s="12">
        <v>46324</v>
      </c>
      <c r="B218" s="10" t="s">
        <v>590</v>
      </c>
      <c r="C218" s="13">
        <v>1</v>
      </c>
      <c r="D218" s="18">
        <v>5922</v>
      </c>
      <c r="E218" s="15">
        <v>1.0760000000000001</v>
      </c>
      <c r="F218" s="33">
        <f t="shared" si="3"/>
        <v>0.18169537318473492</v>
      </c>
    </row>
    <row r="219" spans="1:6" x14ac:dyDescent="0.3">
      <c r="A219" s="12">
        <v>46324</v>
      </c>
      <c r="B219" s="10" t="s">
        <v>590</v>
      </c>
      <c r="C219" s="13">
        <v>2</v>
      </c>
      <c r="D219" s="18">
        <v>6726</v>
      </c>
      <c r="E219" s="15">
        <v>1.647</v>
      </c>
      <c r="F219" s="33">
        <f t="shared" si="3"/>
        <v>0.24487065120428192</v>
      </c>
    </row>
    <row r="220" spans="1:6" x14ac:dyDescent="0.3">
      <c r="A220" s="12">
        <v>46324</v>
      </c>
      <c r="B220" s="10" t="s">
        <v>590</v>
      </c>
      <c r="C220" s="13">
        <v>3</v>
      </c>
      <c r="D220" s="18">
        <v>5645</v>
      </c>
      <c r="E220" s="15">
        <v>1.07</v>
      </c>
      <c r="F220" s="33">
        <f t="shared" si="3"/>
        <v>0.18954827280779452</v>
      </c>
    </row>
    <row r="221" spans="1:6" x14ac:dyDescent="0.3">
      <c r="A221" s="12">
        <v>46324</v>
      </c>
      <c r="B221" s="10" t="s">
        <v>595</v>
      </c>
      <c r="C221" s="13">
        <v>1</v>
      </c>
      <c r="D221" s="18">
        <v>6692</v>
      </c>
      <c r="E221" s="15">
        <v>0.92200000000000004</v>
      </c>
      <c r="F221" s="33">
        <f t="shared" si="3"/>
        <v>0.13777644949193069</v>
      </c>
    </row>
    <row r="222" spans="1:6" x14ac:dyDescent="0.3">
      <c r="A222" s="12">
        <v>46324</v>
      </c>
      <c r="B222" s="10" t="s">
        <v>595</v>
      </c>
      <c r="C222" s="13">
        <v>2</v>
      </c>
      <c r="D222" s="18">
        <v>5266</v>
      </c>
      <c r="E222" s="15">
        <v>0.86499999999999999</v>
      </c>
      <c r="F222" s="33">
        <f t="shared" si="3"/>
        <v>0.16426129889859475</v>
      </c>
    </row>
    <row r="223" spans="1:6" x14ac:dyDescent="0.3">
      <c r="A223" s="12">
        <v>46324</v>
      </c>
      <c r="B223" s="10" t="s">
        <v>595</v>
      </c>
      <c r="C223" s="13">
        <v>3</v>
      </c>
      <c r="D223" s="18">
        <v>6298</v>
      </c>
      <c r="E223" s="15">
        <v>0.99399999999999999</v>
      </c>
      <c r="F223" s="33">
        <f t="shared" si="3"/>
        <v>0.15782788186725946</v>
      </c>
    </row>
    <row r="224" spans="1:6" x14ac:dyDescent="0.3">
      <c r="A224" s="12">
        <v>46325</v>
      </c>
      <c r="B224" s="10" t="s">
        <v>590</v>
      </c>
      <c r="C224" s="13">
        <v>1</v>
      </c>
      <c r="D224" s="18">
        <v>6258</v>
      </c>
      <c r="E224" s="15">
        <v>1.149</v>
      </c>
      <c r="F224" s="33">
        <f t="shared" si="3"/>
        <v>0.18360498561840846</v>
      </c>
    </row>
    <row r="225" spans="1:6" x14ac:dyDescent="0.3">
      <c r="A225" s="12">
        <v>46325</v>
      </c>
      <c r="B225" s="10" t="s">
        <v>590</v>
      </c>
      <c r="C225" s="13">
        <v>2</v>
      </c>
      <c r="D225" s="18">
        <v>6112</v>
      </c>
      <c r="E225" s="15">
        <v>1.1779999999999999</v>
      </c>
      <c r="F225" s="33">
        <f t="shared" si="3"/>
        <v>0.19273560209424082</v>
      </c>
    </row>
    <row r="226" spans="1:6" x14ac:dyDescent="0.3">
      <c r="A226" s="12">
        <v>46325</v>
      </c>
      <c r="B226" s="10" t="s">
        <v>590</v>
      </c>
      <c r="C226" s="13">
        <v>3</v>
      </c>
      <c r="D226" s="18">
        <v>5848</v>
      </c>
      <c r="E226" s="15">
        <v>1.016</v>
      </c>
      <c r="F226" s="33">
        <f t="shared" si="3"/>
        <v>0.173734610123119</v>
      </c>
    </row>
    <row r="227" spans="1:6" x14ac:dyDescent="0.3">
      <c r="A227" s="12">
        <v>46325</v>
      </c>
      <c r="B227" s="10" t="s">
        <v>595</v>
      </c>
      <c r="C227" s="13">
        <v>1</v>
      </c>
      <c r="D227" s="18">
        <v>5907</v>
      </c>
      <c r="E227" s="15">
        <v>0.91500000000000004</v>
      </c>
      <c r="F227" s="33">
        <f t="shared" si="3"/>
        <v>0.15490096495683089</v>
      </c>
    </row>
    <row r="228" spans="1:6" x14ac:dyDescent="0.3">
      <c r="A228" s="12">
        <v>46325</v>
      </c>
      <c r="B228" s="10" t="s">
        <v>595</v>
      </c>
      <c r="C228" s="13">
        <v>2</v>
      </c>
      <c r="D228" s="18">
        <v>5434</v>
      </c>
      <c r="E228" s="15">
        <v>0.96499999999999997</v>
      </c>
      <c r="F228" s="33">
        <f t="shared" si="3"/>
        <v>0.1775855723224144</v>
      </c>
    </row>
    <row r="229" spans="1:6" x14ac:dyDescent="0.3">
      <c r="A229" s="12">
        <v>46325</v>
      </c>
      <c r="B229" s="10" t="s">
        <v>595</v>
      </c>
      <c r="C229" s="13">
        <v>3</v>
      </c>
      <c r="D229" s="18">
        <v>6262</v>
      </c>
      <c r="E229" s="15">
        <v>0.91400000000000003</v>
      </c>
      <c r="F229" s="33">
        <f t="shared" si="3"/>
        <v>0.14595975726604918</v>
      </c>
    </row>
    <row r="230" spans="1:6" x14ac:dyDescent="0.3">
      <c r="A230" s="12">
        <v>46328</v>
      </c>
      <c r="B230" s="10" t="s">
        <v>590</v>
      </c>
      <c r="C230" s="13">
        <v>1</v>
      </c>
      <c r="D230" s="18">
        <v>5833</v>
      </c>
      <c r="E230" s="15">
        <v>1.105</v>
      </c>
      <c r="F230" s="33">
        <f t="shared" si="3"/>
        <v>0.18943939653694497</v>
      </c>
    </row>
    <row r="231" spans="1:6" x14ac:dyDescent="0.3">
      <c r="A231" s="12">
        <v>46328</v>
      </c>
      <c r="B231" s="10" t="s">
        <v>590</v>
      </c>
      <c r="C231" s="13">
        <v>2</v>
      </c>
      <c r="D231" s="18">
        <v>6504</v>
      </c>
      <c r="E231" s="15">
        <v>1.5920000000000001</v>
      </c>
      <c r="F231" s="33">
        <f t="shared" si="3"/>
        <v>0.24477244772447726</v>
      </c>
    </row>
    <row r="232" spans="1:6" x14ac:dyDescent="0.3">
      <c r="A232" s="12">
        <v>46328</v>
      </c>
      <c r="B232" s="10" t="s">
        <v>590</v>
      </c>
      <c r="C232" s="13">
        <v>3</v>
      </c>
      <c r="D232" s="18">
        <v>5722</v>
      </c>
      <c r="E232" s="15">
        <v>1.125</v>
      </c>
      <c r="F232" s="33">
        <f t="shared" si="3"/>
        <v>0.19660957707095422</v>
      </c>
    </row>
    <row r="233" spans="1:6" x14ac:dyDescent="0.3">
      <c r="A233" s="12">
        <v>46328</v>
      </c>
      <c r="B233" s="10" t="s">
        <v>595</v>
      </c>
      <c r="C233" s="13">
        <v>1</v>
      </c>
      <c r="D233" s="18">
        <v>5811</v>
      </c>
      <c r="E233" s="15">
        <v>0.89</v>
      </c>
      <c r="F233" s="33">
        <f t="shared" si="3"/>
        <v>0.15315780416451558</v>
      </c>
    </row>
    <row r="234" spans="1:6" x14ac:dyDescent="0.3">
      <c r="A234" s="12">
        <v>46328</v>
      </c>
      <c r="B234" s="10" t="s">
        <v>595</v>
      </c>
      <c r="C234" s="13">
        <v>2</v>
      </c>
      <c r="D234" s="18">
        <v>6384</v>
      </c>
      <c r="E234" s="15">
        <v>0.95899999999999996</v>
      </c>
      <c r="F234" s="33">
        <f t="shared" si="3"/>
        <v>0.15021929824561403</v>
      </c>
    </row>
    <row r="235" spans="1:6" x14ac:dyDescent="0.3">
      <c r="A235" s="12">
        <v>46328</v>
      </c>
      <c r="B235" s="10" t="s">
        <v>595</v>
      </c>
      <c r="C235" s="13">
        <v>3</v>
      </c>
      <c r="D235" s="18">
        <v>5848</v>
      </c>
      <c r="E235" s="15">
        <v>0.79100000000000004</v>
      </c>
      <c r="F235" s="33">
        <f t="shared" si="3"/>
        <v>0.13525991792065664</v>
      </c>
    </row>
    <row r="236" spans="1:6" x14ac:dyDescent="0.3">
      <c r="A236" s="12">
        <v>46329</v>
      </c>
      <c r="B236" s="10" t="s">
        <v>590</v>
      </c>
      <c r="C236" s="13">
        <v>1</v>
      </c>
      <c r="D236" s="18">
        <v>5900</v>
      </c>
      <c r="E236" s="15">
        <v>1.105</v>
      </c>
      <c r="F236" s="33">
        <f t="shared" si="3"/>
        <v>0.18728813559322033</v>
      </c>
    </row>
    <row r="237" spans="1:6" x14ac:dyDescent="0.3">
      <c r="A237" s="12">
        <v>46329</v>
      </c>
      <c r="B237" s="10" t="s">
        <v>590</v>
      </c>
      <c r="C237" s="13">
        <v>2</v>
      </c>
      <c r="D237" s="18">
        <v>6073</v>
      </c>
      <c r="E237" s="15">
        <v>1.4019999999999999</v>
      </c>
      <c r="F237" s="33">
        <f t="shared" si="3"/>
        <v>0.23085789560349085</v>
      </c>
    </row>
    <row r="238" spans="1:6" x14ac:dyDescent="0.3">
      <c r="A238" s="12">
        <v>46329</v>
      </c>
      <c r="B238" s="10" t="s">
        <v>590</v>
      </c>
      <c r="C238" s="13">
        <v>3</v>
      </c>
      <c r="D238" s="18">
        <v>6259</v>
      </c>
      <c r="E238" s="15">
        <v>1.226</v>
      </c>
      <c r="F238" s="33">
        <f t="shared" si="3"/>
        <v>0.1958779357724876</v>
      </c>
    </row>
    <row r="239" spans="1:6" x14ac:dyDescent="0.3">
      <c r="A239" s="12">
        <v>46329</v>
      </c>
      <c r="B239" s="10" t="s">
        <v>595</v>
      </c>
      <c r="C239" s="13">
        <v>1</v>
      </c>
      <c r="D239" s="18">
        <v>6667</v>
      </c>
      <c r="E239" s="15">
        <v>0.92800000000000005</v>
      </c>
      <c r="F239" s="33">
        <f t="shared" si="3"/>
        <v>0.13919304034798261</v>
      </c>
    </row>
    <row r="240" spans="1:6" x14ac:dyDescent="0.3">
      <c r="A240" s="12">
        <v>46329</v>
      </c>
      <c r="B240" s="10" t="s">
        <v>595</v>
      </c>
      <c r="C240" s="13">
        <v>2</v>
      </c>
      <c r="D240" s="18">
        <v>5988</v>
      </c>
      <c r="E240" s="15">
        <v>0.94</v>
      </c>
      <c r="F240" s="33">
        <f t="shared" si="3"/>
        <v>0.15698062792251169</v>
      </c>
    </row>
    <row r="241" spans="1:6" x14ac:dyDescent="0.3">
      <c r="A241" s="12">
        <v>46329</v>
      </c>
      <c r="B241" s="10" t="s">
        <v>595</v>
      </c>
      <c r="C241" s="13">
        <v>3</v>
      </c>
      <c r="D241" s="18">
        <v>5722</v>
      </c>
      <c r="E241" s="15">
        <v>0.878</v>
      </c>
      <c r="F241" s="33">
        <f t="shared" si="3"/>
        <v>0.15344285214959805</v>
      </c>
    </row>
    <row r="242" spans="1:6" x14ac:dyDescent="0.3">
      <c r="A242" s="12">
        <v>46330</v>
      </c>
      <c r="B242" s="10" t="s">
        <v>590</v>
      </c>
      <c r="C242" s="13">
        <v>1</v>
      </c>
      <c r="D242" s="18">
        <v>6419</v>
      </c>
      <c r="E242" s="15">
        <v>1.268</v>
      </c>
      <c r="F242" s="33">
        <f t="shared" si="3"/>
        <v>0.19753855740769591</v>
      </c>
    </row>
    <row r="243" spans="1:6" x14ac:dyDescent="0.3">
      <c r="A243" s="12">
        <v>46330</v>
      </c>
      <c r="B243" s="10" t="s">
        <v>590</v>
      </c>
      <c r="C243" s="13">
        <v>2</v>
      </c>
      <c r="D243" s="18">
        <v>7054</v>
      </c>
      <c r="E243" s="15">
        <v>1.629</v>
      </c>
      <c r="F243" s="33">
        <f t="shared" si="3"/>
        <v>0.23093280408278991</v>
      </c>
    </row>
    <row r="244" spans="1:6" x14ac:dyDescent="0.3">
      <c r="A244" s="12">
        <v>46330</v>
      </c>
      <c r="B244" s="10" t="s">
        <v>590</v>
      </c>
      <c r="C244" s="13">
        <v>3</v>
      </c>
      <c r="D244" s="18">
        <v>6342</v>
      </c>
      <c r="E244" s="15">
        <v>1.2509999999999999</v>
      </c>
      <c r="F244" s="33">
        <f t="shared" si="3"/>
        <v>0.19725638599810782</v>
      </c>
    </row>
    <row r="245" spans="1:6" x14ac:dyDescent="0.3">
      <c r="A245" s="12">
        <v>46330</v>
      </c>
      <c r="B245" s="10" t="s">
        <v>595</v>
      </c>
      <c r="C245" s="13">
        <v>1</v>
      </c>
      <c r="D245" s="18">
        <v>7041</v>
      </c>
      <c r="E245" s="15">
        <v>0.97799999999999998</v>
      </c>
      <c r="F245" s="33">
        <f t="shared" si="3"/>
        <v>0.13890072432893052</v>
      </c>
    </row>
    <row r="246" spans="1:6" x14ac:dyDescent="0.3">
      <c r="A246" s="12">
        <v>46330</v>
      </c>
      <c r="B246" s="10" t="s">
        <v>595</v>
      </c>
      <c r="C246" s="13">
        <v>2</v>
      </c>
      <c r="D246" s="18">
        <v>5371</v>
      </c>
      <c r="E246" s="15">
        <v>0.97</v>
      </c>
      <c r="F246" s="33">
        <f t="shared" si="3"/>
        <v>0.18059951591882331</v>
      </c>
    </row>
    <row r="247" spans="1:6" x14ac:dyDescent="0.3">
      <c r="A247" s="12">
        <v>46330</v>
      </c>
      <c r="B247" s="10" t="s">
        <v>595</v>
      </c>
      <c r="C247" s="13">
        <v>3</v>
      </c>
      <c r="D247" s="18">
        <v>5554</v>
      </c>
      <c r="E247" s="15">
        <v>0.84599999999999997</v>
      </c>
      <c r="F247" s="33">
        <f t="shared" si="3"/>
        <v>0.15232265034209577</v>
      </c>
    </row>
    <row r="248" spans="1:6" x14ac:dyDescent="0.3">
      <c r="A248" s="12">
        <v>46331</v>
      </c>
      <c r="B248" s="10" t="s">
        <v>590</v>
      </c>
      <c r="C248" s="13">
        <v>1</v>
      </c>
      <c r="D248" s="18">
        <v>5829</v>
      </c>
      <c r="E248" s="15">
        <v>1.0589999999999999</v>
      </c>
      <c r="F248" s="33">
        <f t="shared" si="3"/>
        <v>0.18167781780751413</v>
      </c>
    </row>
    <row r="249" spans="1:6" x14ac:dyDescent="0.3">
      <c r="A249" s="12">
        <v>46331</v>
      </c>
      <c r="B249" s="10" t="s">
        <v>590</v>
      </c>
      <c r="C249" s="13">
        <v>2</v>
      </c>
      <c r="D249" s="18">
        <v>6181</v>
      </c>
      <c r="E249" s="15">
        <v>1.1579999999999999</v>
      </c>
      <c r="F249" s="33">
        <f t="shared" si="3"/>
        <v>0.18734832551367092</v>
      </c>
    </row>
    <row r="250" spans="1:6" x14ac:dyDescent="0.3">
      <c r="A250" s="12">
        <v>46331</v>
      </c>
      <c r="B250" s="10" t="s">
        <v>590</v>
      </c>
      <c r="C250" s="13">
        <v>3</v>
      </c>
      <c r="D250" s="18">
        <v>5552</v>
      </c>
      <c r="E250" s="15">
        <v>1.0780000000000001</v>
      </c>
      <c r="F250" s="33">
        <f t="shared" si="3"/>
        <v>0.19416426512968299</v>
      </c>
    </row>
    <row r="251" spans="1:6" x14ac:dyDescent="0.3">
      <c r="A251" s="12">
        <v>46331</v>
      </c>
      <c r="B251" s="10" t="s">
        <v>595</v>
      </c>
      <c r="C251" s="13">
        <v>1</v>
      </c>
      <c r="D251" s="18">
        <v>6900</v>
      </c>
      <c r="E251" s="15">
        <v>1.107</v>
      </c>
      <c r="F251" s="33">
        <f t="shared" si="3"/>
        <v>0.16043478260869565</v>
      </c>
    </row>
    <row r="252" spans="1:6" x14ac:dyDescent="0.3">
      <c r="A252" s="12">
        <v>46331</v>
      </c>
      <c r="B252" s="10" t="s">
        <v>595</v>
      </c>
      <c r="C252" s="13">
        <v>2</v>
      </c>
      <c r="D252" s="18">
        <v>6712</v>
      </c>
      <c r="E252" s="15">
        <v>1.1220000000000001</v>
      </c>
      <c r="F252" s="33">
        <f t="shared" si="3"/>
        <v>0.16716328963051255</v>
      </c>
    </row>
    <row r="253" spans="1:6" x14ac:dyDescent="0.3">
      <c r="A253" s="12">
        <v>46331</v>
      </c>
      <c r="B253" s="10" t="s">
        <v>595</v>
      </c>
      <c r="C253" s="13">
        <v>3</v>
      </c>
      <c r="D253" s="18">
        <v>6070</v>
      </c>
      <c r="E253" s="15">
        <v>0.98</v>
      </c>
      <c r="F253" s="33">
        <f t="shared" si="3"/>
        <v>0.16144975288303129</v>
      </c>
    </row>
    <row r="254" spans="1:6" x14ac:dyDescent="0.3">
      <c r="A254" s="12">
        <v>46332</v>
      </c>
      <c r="B254" s="10" t="s">
        <v>590</v>
      </c>
      <c r="C254" s="13">
        <v>1</v>
      </c>
      <c r="D254" s="18">
        <v>6556</v>
      </c>
      <c r="E254" s="15">
        <v>1.2829999999999999</v>
      </c>
      <c r="F254" s="33">
        <f t="shared" si="3"/>
        <v>0.19569859670530812</v>
      </c>
    </row>
    <row r="255" spans="1:6" x14ac:dyDescent="0.3">
      <c r="A255" s="12">
        <v>46332</v>
      </c>
      <c r="B255" s="10" t="s">
        <v>590</v>
      </c>
      <c r="C255" s="13">
        <v>2</v>
      </c>
      <c r="D255" s="18">
        <v>6260</v>
      </c>
      <c r="E255" s="15">
        <v>1.415</v>
      </c>
      <c r="F255" s="33">
        <f t="shared" si="3"/>
        <v>0.22603833865814699</v>
      </c>
    </row>
    <row r="256" spans="1:6" x14ac:dyDescent="0.3">
      <c r="A256" s="12">
        <v>46332</v>
      </c>
      <c r="B256" s="10" t="s">
        <v>590</v>
      </c>
      <c r="C256" s="13">
        <v>3</v>
      </c>
      <c r="D256" s="18">
        <v>5973</v>
      </c>
      <c r="E256" s="15">
        <v>1.079</v>
      </c>
      <c r="F256" s="33">
        <f t="shared" si="3"/>
        <v>0.18064624141972208</v>
      </c>
    </row>
    <row r="257" spans="1:6" x14ac:dyDescent="0.3">
      <c r="A257" s="12">
        <v>46332</v>
      </c>
      <c r="B257" s="10" t="s">
        <v>595</v>
      </c>
      <c r="C257" s="13">
        <v>1</v>
      </c>
      <c r="D257" s="18">
        <v>5952</v>
      </c>
      <c r="E257" s="15">
        <v>0.91200000000000003</v>
      </c>
      <c r="F257" s="33">
        <f t="shared" si="3"/>
        <v>0.15322580645161291</v>
      </c>
    </row>
    <row r="258" spans="1:6" x14ac:dyDescent="0.3">
      <c r="A258" s="12">
        <v>46332</v>
      </c>
      <c r="B258" s="10" t="s">
        <v>595</v>
      </c>
      <c r="C258" s="13">
        <v>2</v>
      </c>
      <c r="D258" s="18">
        <v>6190</v>
      </c>
      <c r="E258" s="15">
        <v>1.0900000000000001</v>
      </c>
      <c r="F258" s="33">
        <f t="shared" ref="F258:F321" si="4">E258/D258*1000</f>
        <v>0.17609046849757676</v>
      </c>
    </row>
    <row r="259" spans="1:6" x14ac:dyDescent="0.3">
      <c r="A259" s="12">
        <v>46332</v>
      </c>
      <c r="B259" s="10" t="s">
        <v>595</v>
      </c>
      <c r="C259" s="13">
        <v>3</v>
      </c>
      <c r="D259" s="18">
        <v>6454</v>
      </c>
      <c r="E259" s="15">
        <v>0.97299999999999998</v>
      </c>
      <c r="F259" s="33">
        <f t="shared" si="4"/>
        <v>0.15075921908893708</v>
      </c>
    </row>
    <row r="260" spans="1:6" x14ac:dyDescent="0.3">
      <c r="A260" s="12">
        <v>46335</v>
      </c>
      <c r="B260" s="10" t="s">
        <v>590</v>
      </c>
      <c r="C260" s="13">
        <v>1</v>
      </c>
      <c r="D260" s="18">
        <v>5145</v>
      </c>
      <c r="E260" s="15">
        <v>1.018</v>
      </c>
      <c r="F260" s="33">
        <f t="shared" si="4"/>
        <v>0.1978620019436346</v>
      </c>
    </row>
    <row r="261" spans="1:6" x14ac:dyDescent="0.3">
      <c r="A261" s="12">
        <v>46335</v>
      </c>
      <c r="B261" s="10" t="s">
        <v>590</v>
      </c>
      <c r="C261" s="13">
        <v>2</v>
      </c>
      <c r="D261" s="18">
        <v>6244</v>
      </c>
      <c r="E261" s="15">
        <v>1.488</v>
      </c>
      <c r="F261" s="33">
        <f t="shared" si="4"/>
        <v>0.23830877642536835</v>
      </c>
    </row>
    <row r="262" spans="1:6" x14ac:dyDescent="0.3">
      <c r="A262" s="12">
        <v>46335</v>
      </c>
      <c r="B262" s="10" t="s">
        <v>590</v>
      </c>
      <c r="C262" s="13">
        <v>3</v>
      </c>
      <c r="D262" s="18">
        <v>7006</v>
      </c>
      <c r="E262" s="15">
        <v>1.3640000000000001</v>
      </c>
      <c r="F262" s="33">
        <f t="shared" si="4"/>
        <v>0.19469026548672566</v>
      </c>
    </row>
    <row r="263" spans="1:6" x14ac:dyDescent="0.3">
      <c r="A263" s="12">
        <v>46335</v>
      </c>
      <c r="B263" s="10" t="s">
        <v>595</v>
      </c>
      <c r="C263" s="13">
        <v>1</v>
      </c>
      <c r="D263" s="18">
        <v>6536</v>
      </c>
      <c r="E263" s="15">
        <v>0.96</v>
      </c>
      <c r="F263" s="33">
        <f t="shared" si="4"/>
        <v>0.14687882496940025</v>
      </c>
    </row>
    <row r="264" spans="1:6" x14ac:dyDescent="0.3">
      <c r="A264" s="12">
        <v>46335</v>
      </c>
      <c r="B264" s="10" t="s">
        <v>595</v>
      </c>
      <c r="C264" s="13">
        <v>2</v>
      </c>
      <c r="D264" s="18">
        <v>6488</v>
      </c>
      <c r="E264" s="15">
        <v>1.153</v>
      </c>
      <c r="F264" s="33">
        <f t="shared" si="4"/>
        <v>0.17771270036991368</v>
      </c>
    </row>
    <row r="265" spans="1:6" x14ac:dyDescent="0.3">
      <c r="A265" s="12">
        <v>46335</v>
      </c>
      <c r="B265" s="10" t="s">
        <v>595</v>
      </c>
      <c r="C265" s="13">
        <v>3</v>
      </c>
      <c r="D265" s="18">
        <v>5793</v>
      </c>
      <c r="E265" s="15">
        <v>0.93600000000000005</v>
      </c>
      <c r="F265" s="33">
        <f t="shared" si="4"/>
        <v>0.16157431382703263</v>
      </c>
    </row>
    <row r="266" spans="1:6" x14ac:dyDescent="0.3">
      <c r="A266" s="12">
        <v>46336</v>
      </c>
      <c r="B266" s="10" t="s">
        <v>590</v>
      </c>
      <c r="C266" s="13">
        <v>1</v>
      </c>
      <c r="D266" s="18">
        <v>6691</v>
      </c>
      <c r="E266" s="15">
        <v>1.377</v>
      </c>
      <c r="F266" s="33">
        <f t="shared" si="4"/>
        <v>0.20579883425496936</v>
      </c>
    </row>
    <row r="267" spans="1:6" x14ac:dyDescent="0.3">
      <c r="A267" s="12">
        <v>46336</v>
      </c>
      <c r="B267" s="10" t="s">
        <v>590</v>
      </c>
      <c r="C267" s="13">
        <v>2</v>
      </c>
      <c r="D267" s="18">
        <v>6020</v>
      </c>
      <c r="E267" s="15">
        <v>1.23</v>
      </c>
      <c r="F267" s="33">
        <f t="shared" si="4"/>
        <v>0.20431893687707639</v>
      </c>
    </row>
    <row r="268" spans="1:6" x14ac:dyDescent="0.3">
      <c r="A268" s="12">
        <v>46336</v>
      </c>
      <c r="B268" s="10" t="s">
        <v>590</v>
      </c>
      <c r="C268" s="13">
        <v>3</v>
      </c>
      <c r="D268" s="18">
        <v>5259</v>
      </c>
      <c r="E268" s="15">
        <v>0.88800000000000001</v>
      </c>
      <c r="F268" s="33">
        <f t="shared" si="4"/>
        <v>0.16885339418140333</v>
      </c>
    </row>
    <row r="269" spans="1:6" x14ac:dyDescent="0.3">
      <c r="A269" s="12">
        <v>46336</v>
      </c>
      <c r="B269" s="10" t="s">
        <v>595</v>
      </c>
      <c r="C269" s="13">
        <v>1</v>
      </c>
      <c r="D269" s="18">
        <v>6460</v>
      </c>
      <c r="E269" s="15">
        <v>0.874</v>
      </c>
      <c r="F269" s="33">
        <f t="shared" si="4"/>
        <v>0.13529411764705881</v>
      </c>
    </row>
    <row r="270" spans="1:6" x14ac:dyDescent="0.3">
      <c r="A270" s="12">
        <v>46336</v>
      </c>
      <c r="B270" s="10" t="s">
        <v>595</v>
      </c>
      <c r="C270" s="13">
        <v>2</v>
      </c>
      <c r="D270" s="18">
        <v>6156</v>
      </c>
      <c r="E270" s="15">
        <v>0.93200000000000005</v>
      </c>
      <c r="F270" s="33">
        <f t="shared" si="4"/>
        <v>0.15139701104613387</v>
      </c>
    </row>
    <row r="271" spans="1:6" x14ac:dyDescent="0.3">
      <c r="A271" s="12">
        <v>46336</v>
      </c>
      <c r="B271" s="10" t="s">
        <v>595</v>
      </c>
      <c r="C271" s="13">
        <v>3</v>
      </c>
      <c r="D271" s="18">
        <v>5678</v>
      </c>
      <c r="E271" s="15">
        <v>0.83899999999999997</v>
      </c>
      <c r="F271" s="33">
        <f t="shared" si="4"/>
        <v>0.14776329693554066</v>
      </c>
    </row>
    <row r="272" spans="1:6" x14ac:dyDescent="0.3">
      <c r="A272" s="12">
        <v>46337</v>
      </c>
      <c r="B272" s="10" t="s">
        <v>590</v>
      </c>
      <c r="C272" s="13">
        <v>1</v>
      </c>
      <c r="D272" s="18">
        <v>6812</v>
      </c>
      <c r="E272" s="15">
        <v>1.391</v>
      </c>
      <c r="F272" s="33">
        <f t="shared" si="4"/>
        <v>0.20419847328244276</v>
      </c>
    </row>
    <row r="273" spans="1:6" x14ac:dyDescent="0.3">
      <c r="A273" s="12">
        <v>46337</v>
      </c>
      <c r="B273" s="10" t="s">
        <v>590</v>
      </c>
      <c r="C273" s="13">
        <v>2</v>
      </c>
      <c r="D273" s="18">
        <v>5793</v>
      </c>
      <c r="E273" s="15">
        <v>1.141</v>
      </c>
      <c r="F273" s="33">
        <f t="shared" si="4"/>
        <v>0.19696185050923529</v>
      </c>
    </row>
    <row r="274" spans="1:6" x14ac:dyDescent="0.3">
      <c r="A274" s="12">
        <v>46337</v>
      </c>
      <c r="B274" s="10" t="s">
        <v>590</v>
      </c>
      <c r="C274" s="13">
        <v>3</v>
      </c>
      <c r="D274" s="18">
        <v>5846</v>
      </c>
      <c r="E274" s="15">
        <v>1.014</v>
      </c>
      <c r="F274" s="33">
        <f t="shared" si="4"/>
        <v>0.17345193294560382</v>
      </c>
    </row>
    <row r="275" spans="1:6" x14ac:dyDescent="0.3">
      <c r="A275" s="12">
        <v>46337</v>
      </c>
      <c r="B275" s="10" t="s">
        <v>595</v>
      </c>
      <c r="C275" s="13">
        <v>1</v>
      </c>
      <c r="D275" s="18">
        <v>6690</v>
      </c>
      <c r="E275" s="15">
        <v>1.048</v>
      </c>
      <c r="F275" s="33">
        <f t="shared" si="4"/>
        <v>0.15665171898355756</v>
      </c>
    </row>
    <row r="276" spans="1:6" x14ac:dyDescent="0.3">
      <c r="A276" s="12">
        <v>46337</v>
      </c>
      <c r="B276" s="10" t="s">
        <v>595</v>
      </c>
      <c r="C276" s="13">
        <v>2</v>
      </c>
      <c r="D276" s="18">
        <v>6068</v>
      </c>
      <c r="E276" s="15">
        <v>0.92200000000000004</v>
      </c>
      <c r="F276" s="33">
        <f t="shared" si="4"/>
        <v>0.15194462755438368</v>
      </c>
    </row>
    <row r="277" spans="1:6" x14ac:dyDescent="0.3">
      <c r="A277" s="12">
        <v>46337</v>
      </c>
      <c r="B277" s="10" t="s">
        <v>595</v>
      </c>
      <c r="C277" s="13">
        <v>3</v>
      </c>
      <c r="D277" s="18">
        <v>5870</v>
      </c>
      <c r="E277" s="15">
        <v>0.76600000000000001</v>
      </c>
      <c r="F277" s="33">
        <f t="shared" si="4"/>
        <v>0.1304940374787053</v>
      </c>
    </row>
    <row r="278" spans="1:6" x14ac:dyDescent="0.3">
      <c r="A278" s="12">
        <v>46338</v>
      </c>
      <c r="B278" s="10" t="s">
        <v>590</v>
      </c>
      <c r="C278" s="13">
        <v>1</v>
      </c>
      <c r="D278" s="18">
        <v>5666</v>
      </c>
      <c r="E278" s="15">
        <v>1.075</v>
      </c>
      <c r="F278" s="33">
        <f t="shared" si="4"/>
        <v>0.18972820331803741</v>
      </c>
    </row>
    <row r="279" spans="1:6" x14ac:dyDescent="0.3">
      <c r="A279" s="12">
        <v>46338</v>
      </c>
      <c r="B279" s="10" t="s">
        <v>590</v>
      </c>
      <c r="C279" s="13">
        <v>2</v>
      </c>
      <c r="D279" s="18">
        <v>6549</v>
      </c>
      <c r="E279" s="15">
        <v>1.3120000000000001</v>
      </c>
      <c r="F279" s="33">
        <f t="shared" si="4"/>
        <v>0.20033592914948847</v>
      </c>
    </row>
    <row r="280" spans="1:6" x14ac:dyDescent="0.3">
      <c r="A280" s="12">
        <v>46338</v>
      </c>
      <c r="B280" s="10" t="s">
        <v>590</v>
      </c>
      <c r="C280" s="13">
        <v>3</v>
      </c>
      <c r="D280" s="18">
        <v>6102</v>
      </c>
      <c r="E280" s="15">
        <v>0.97</v>
      </c>
      <c r="F280" s="33">
        <f t="shared" si="4"/>
        <v>0.15896427400852178</v>
      </c>
    </row>
    <row r="281" spans="1:6" x14ac:dyDescent="0.3">
      <c r="A281" s="12">
        <v>46338</v>
      </c>
      <c r="B281" s="10" t="s">
        <v>595</v>
      </c>
      <c r="C281" s="13">
        <v>1</v>
      </c>
      <c r="D281" s="18">
        <v>5828</v>
      </c>
      <c r="E281" s="15">
        <v>0.81399999999999995</v>
      </c>
      <c r="F281" s="33">
        <f t="shared" si="4"/>
        <v>0.13967055593685654</v>
      </c>
    </row>
    <row r="282" spans="1:6" x14ac:dyDescent="0.3">
      <c r="A282" s="12">
        <v>46338</v>
      </c>
      <c r="B282" s="10" t="s">
        <v>595</v>
      </c>
      <c r="C282" s="13">
        <v>2</v>
      </c>
      <c r="D282" s="18">
        <v>5680</v>
      </c>
      <c r="E282" s="15">
        <v>0.88100000000000001</v>
      </c>
      <c r="F282" s="33">
        <f t="shared" si="4"/>
        <v>0.15510563380281689</v>
      </c>
    </row>
    <row r="283" spans="1:6" x14ac:dyDescent="0.3">
      <c r="A283" s="12">
        <v>46338</v>
      </c>
      <c r="B283" s="10" t="s">
        <v>595</v>
      </c>
      <c r="C283" s="13">
        <v>3</v>
      </c>
      <c r="D283" s="18">
        <v>6760</v>
      </c>
      <c r="E283" s="15">
        <v>0.92600000000000005</v>
      </c>
      <c r="F283" s="33">
        <f t="shared" si="4"/>
        <v>0.13698224852071006</v>
      </c>
    </row>
    <row r="284" spans="1:6" x14ac:dyDescent="0.3">
      <c r="A284" s="12">
        <v>46339</v>
      </c>
      <c r="B284" s="10" t="s">
        <v>590</v>
      </c>
      <c r="C284" s="13">
        <v>1</v>
      </c>
      <c r="D284" s="18">
        <v>6240</v>
      </c>
      <c r="E284" s="15">
        <v>1.0920000000000001</v>
      </c>
      <c r="F284" s="33">
        <f t="shared" si="4"/>
        <v>0.17500000000000002</v>
      </c>
    </row>
    <row r="285" spans="1:6" x14ac:dyDescent="0.3">
      <c r="A285" s="12">
        <v>46339</v>
      </c>
      <c r="B285" s="10" t="s">
        <v>590</v>
      </c>
      <c r="C285" s="13">
        <v>2</v>
      </c>
      <c r="D285" s="18">
        <v>6377</v>
      </c>
      <c r="E285" s="15">
        <v>1.286</v>
      </c>
      <c r="F285" s="33">
        <f t="shared" si="4"/>
        <v>0.20166222361612043</v>
      </c>
    </row>
    <row r="286" spans="1:6" x14ac:dyDescent="0.3">
      <c r="A286" s="12">
        <v>46339</v>
      </c>
      <c r="B286" s="10" t="s">
        <v>590</v>
      </c>
      <c r="C286" s="13">
        <v>3</v>
      </c>
      <c r="D286" s="18">
        <v>5353</v>
      </c>
      <c r="E286" s="15">
        <v>0.92900000000000005</v>
      </c>
      <c r="F286" s="33">
        <f t="shared" si="4"/>
        <v>0.17354754343358866</v>
      </c>
    </row>
    <row r="287" spans="1:6" x14ac:dyDescent="0.3">
      <c r="A287" s="12">
        <v>46339</v>
      </c>
      <c r="B287" s="10" t="s">
        <v>595</v>
      </c>
      <c r="C287" s="13">
        <v>1</v>
      </c>
      <c r="D287" s="18">
        <v>5468</v>
      </c>
      <c r="E287" s="15">
        <v>0.79300000000000004</v>
      </c>
      <c r="F287" s="33">
        <f t="shared" si="4"/>
        <v>0.14502560351133872</v>
      </c>
    </row>
    <row r="288" spans="1:6" x14ac:dyDescent="0.3">
      <c r="A288" s="12">
        <v>46339</v>
      </c>
      <c r="B288" s="10" t="s">
        <v>595</v>
      </c>
      <c r="C288" s="13">
        <v>2</v>
      </c>
      <c r="D288" s="18">
        <v>6763</v>
      </c>
      <c r="E288" s="15">
        <v>1.0509999999999999</v>
      </c>
      <c r="F288" s="33">
        <f t="shared" si="4"/>
        <v>0.15540440632855243</v>
      </c>
    </row>
    <row r="289" spans="1:6" x14ac:dyDescent="0.3">
      <c r="A289" s="12">
        <v>46339</v>
      </c>
      <c r="B289" s="10" t="s">
        <v>595</v>
      </c>
      <c r="C289" s="13">
        <v>3</v>
      </c>
      <c r="D289" s="18">
        <v>5421</v>
      </c>
      <c r="E289" s="15">
        <v>0.73699999999999999</v>
      </c>
      <c r="F289" s="33">
        <f t="shared" si="4"/>
        <v>0.13595277624054602</v>
      </c>
    </row>
    <row r="290" spans="1:6" x14ac:dyDescent="0.3">
      <c r="A290" s="12">
        <v>46342</v>
      </c>
      <c r="B290" s="10" t="s">
        <v>590</v>
      </c>
      <c r="C290" s="13">
        <v>1</v>
      </c>
      <c r="D290" s="18">
        <v>5367</v>
      </c>
      <c r="E290" s="15">
        <v>1.046</v>
      </c>
      <c r="F290" s="33">
        <f t="shared" si="4"/>
        <v>0.19489472703558786</v>
      </c>
    </row>
    <row r="291" spans="1:6" x14ac:dyDescent="0.3">
      <c r="A291" s="12">
        <v>46342</v>
      </c>
      <c r="B291" s="10" t="s">
        <v>590</v>
      </c>
      <c r="C291" s="13">
        <v>2</v>
      </c>
      <c r="D291" s="18">
        <v>5924</v>
      </c>
      <c r="E291" s="15">
        <v>1.1779999999999999</v>
      </c>
      <c r="F291" s="33">
        <f t="shared" si="4"/>
        <v>0.1988521269412559</v>
      </c>
    </row>
    <row r="292" spans="1:6" x14ac:dyDescent="0.3">
      <c r="A292" s="12">
        <v>46342</v>
      </c>
      <c r="B292" s="10" t="s">
        <v>590</v>
      </c>
      <c r="C292" s="13">
        <v>3</v>
      </c>
      <c r="D292" s="18">
        <v>5936</v>
      </c>
      <c r="E292" s="15">
        <v>1.1579999999999999</v>
      </c>
      <c r="F292" s="33">
        <f t="shared" si="4"/>
        <v>0.19508086253369269</v>
      </c>
    </row>
    <row r="293" spans="1:6" x14ac:dyDescent="0.3">
      <c r="A293" s="12">
        <v>46342</v>
      </c>
      <c r="B293" s="10" t="s">
        <v>595</v>
      </c>
      <c r="C293" s="13">
        <v>1</v>
      </c>
      <c r="D293" s="18">
        <v>5627</v>
      </c>
      <c r="E293" s="15">
        <v>0.85299999999999998</v>
      </c>
      <c r="F293" s="33">
        <f t="shared" si="4"/>
        <v>0.15159054558379242</v>
      </c>
    </row>
    <row r="294" spans="1:6" x14ac:dyDescent="0.3">
      <c r="A294" s="12">
        <v>46342</v>
      </c>
      <c r="B294" s="10" t="s">
        <v>595</v>
      </c>
      <c r="C294" s="13">
        <v>2</v>
      </c>
      <c r="D294" s="18">
        <v>6381</v>
      </c>
      <c r="E294" s="15">
        <v>0.93899999999999995</v>
      </c>
      <c r="F294" s="33">
        <f t="shared" si="4"/>
        <v>0.14715561824165491</v>
      </c>
    </row>
    <row r="295" spans="1:6" x14ac:dyDescent="0.3">
      <c r="A295" s="12">
        <v>46342</v>
      </c>
      <c r="B295" s="10" t="s">
        <v>595</v>
      </c>
      <c r="C295" s="13">
        <v>3</v>
      </c>
      <c r="D295" s="18">
        <v>5791</v>
      </c>
      <c r="E295" s="15">
        <v>0.86399999999999999</v>
      </c>
      <c r="F295" s="33">
        <f t="shared" si="4"/>
        <v>0.14919702987394232</v>
      </c>
    </row>
    <row r="296" spans="1:6" x14ac:dyDescent="0.3">
      <c r="A296" s="12">
        <v>46343</v>
      </c>
      <c r="B296" s="10" t="s">
        <v>590</v>
      </c>
      <c r="C296" s="13">
        <v>1</v>
      </c>
      <c r="D296" s="18">
        <v>6091</v>
      </c>
      <c r="E296" s="15">
        <v>1.131</v>
      </c>
      <c r="F296" s="33">
        <f t="shared" si="4"/>
        <v>0.18568379576424232</v>
      </c>
    </row>
    <row r="297" spans="1:6" x14ac:dyDescent="0.3">
      <c r="A297" s="12">
        <v>46343</v>
      </c>
      <c r="B297" s="10" t="s">
        <v>590</v>
      </c>
      <c r="C297" s="13">
        <v>2</v>
      </c>
      <c r="D297" s="18">
        <v>6111</v>
      </c>
      <c r="E297" s="15">
        <v>1.2929999999999999</v>
      </c>
      <c r="F297" s="33">
        <f t="shared" si="4"/>
        <v>0.21158566519391259</v>
      </c>
    </row>
    <row r="298" spans="1:6" x14ac:dyDescent="0.3">
      <c r="A298" s="12">
        <v>46343</v>
      </c>
      <c r="B298" s="10" t="s">
        <v>590</v>
      </c>
      <c r="C298" s="13">
        <v>3</v>
      </c>
      <c r="D298" s="18">
        <v>6225</v>
      </c>
      <c r="E298" s="15">
        <v>1.157</v>
      </c>
      <c r="F298" s="33">
        <f t="shared" si="4"/>
        <v>0.18586345381526104</v>
      </c>
    </row>
    <row r="299" spans="1:6" x14ac:dyDescent="0.3">
      <c r="A299" s="12">
        <v>46343</v>
      </c>
      <c r="B299" s="10" t="s">
        <v>595</v>
      </c>
      <c r="C299" s="13">
        <v>1</v>
      </c>
      <c r="D299" s="18">
        <v>6400</v>
      </c>
      <c r="E299" s="15">
        <v>0.98399999999999999</v>
      </c>
      <c r="F299" s="33">
        <f t="shared" si="4"/>
        <v>0.15375</v>
      </c>
    </row>
    <row r="300" spans="1:6" x14ac:dyDescent="0.3">
      <c r="A300" s="12">
        <v>46343</v>
      </c>
      <c r="B300" s="10" t="s">
        <v>595</v>
      </c>
      <c r="C300" s="13">
        <v>2</v>
      </c>
      <c r="D300" s="18">
        <v>6427</v>
      </c>
      <c r="E300" s="15">
        <v>0.88400000000000001</v>
      </c>
      <c r="F300" s="33">
        <f t="shared" si="4"/>
        <v>0.13754473315699392</v>
      </c>
    </row>
    <row r="301" spans="1:6" x14ac:dyDescent="0.3">
      <c r="A301" s="12">
        <v>46343</v>
      </c>
      <c r="B301" s="10" t="s">
        <v>595</v>
      </c>
      <c r="C301" s="13">
        <v>3</v>
      </c>
      <c r="D301" s="18">
        <v>7329</v>
      </c>
      <c r="E301" s="15">
        <v>1.073</v>
      </c>
      <c r="F301" s="33">
        <f t="shared" si="4"/>
        <v>0.14640469368263065</v>
      </c>
    </row>
    <row r="302" spans="1:6" x14ac:dyDescent="0.3">
      <c r="A302" s="12">
        <v>46344</v>
      </c>
      <c r="B302" s="10" t="s">
        <v>590</v>
      </c>
      <c r="C302" s="13">
        <v>1</v>
      </c>
      <c r="D302" s="18">
        <v>5990</v>
      </c>
      <c r="E302" s="15">
        <v>1.0580000000000001</v>
      </c>
      <c r="F302" s="33">
        <f t="shared" si="4"/>
        <v>0.17662771285475795</v>
      </c>
    </row>
    <row r="303" spans="1:6" x14ac:dyDescent="0.3">
      <c r="A303" s="12">
        <v>46344</v>
      </c>
      <c r="B303" s="10" t="s">
        <v>590</v>
      </c>
      <c r="C303" s="13">
        <v>2</v>
      </c>
      <c r="D303" s="18">
        <v>6830</v>
      </c>
      <c r="E303" s="15">
        <v>1.3640000000000001</v>
      </c>
      <c r="F303" s="33">
        <f t="shared" si="4"/>
        <v>0.19970717423133238</v>
      </c>
    </row>
    <row r="304" spans="1:6" x14ac:dyDescent="0.3">
      <c r="A304" s="12">
        <v>46344</v>
      </c>
      <c r="B304" s="10" t="s">
        <v>590</v>
      </c>
      <c r="C304" s="13">
        <v>3</v>
      </c>
      <c r="D304" s="18">
        <v>6174</v>
      </c>
      <c r="E304" s="15">
        <v>0.95</v>
      </c>
      <c r="F304" s="33">
        <f t="shared" si="4"/>
        <v>0.15387107223841917</v>
      </c>
    </row>
    <row r="305" spans="1:6" x14ac:dyDescent="0.3">
      <c r="A305" s="12">
        <v>46344</v>
      </c>
      <c r="B305" s="10" t="s">
        <v>595</v>
      </c>
      <c r="C305" s="13">
        <v>1</v>
      </c>
      <c r="D305" s="18">
        <v>6355</v>
      </c>
      <c r="E305" s="15">
        <v>0.879</v>
      </c>
      <c r="F305" s="33">
        <f t="shared" si="4"/>
        <v>0.13831628638867033</v>
      </c>
    </row>
    <row r="306" spans="1:6" x14ac:dyDescent="0.3">
      <c r="A306" s="12">
        <v>46344</v>
      </c>
      <c r="B306" s="10" t="s">
        <v>595</v>
      </c>
      <c r="C306" s="13">
        <v>2</v>
      </c>
      <c r="D306" s="18">
        <v>7190</v>
      </c>
      <c r="E306" s="15">
        <v>1.0960000000000001</v>
      </c>
      <c r="F306" s="33">
        <f t="shared" si="4"/>
        <v>0.15243393602225314</v>
      </c>
    </row>
    <row r="307" spans="1:6" x14ac:dyDescent="0.3">
      <c r="A307" s="12">
        <v>46344</v>
      </c>
      <c r="B307" s="10" t="s">
        <v>595</v>
      </c>
      <c r="C307" s="13">
        <v>3</v>
      </c>
      <c r="D307" s="18">
        <v>5927</v>
      </c>
      <c r="E307" s="15">
        <v>0.84599999999999997</v>
      </c>
      <c r="F307" s="33">
        <f t="shared" si="4"/>
        <v>0.14273662898599629</v>
      </c>
    </row>
    <row r="308" spans="1:6" x14ac:dyDescent="0.3">
      <c r="A308" s="12">
        <v>46345</v>
      </c>
      <c r="B308" s="10" t="s">
        <v>590</v>
      </c>
      <c r="C308" s="13">
        <v>1</v>
      </c>
      <c r="D308" s="18">
        <v>6598</v>
      </c>
      <c r="E308" s="15">
        <v>1.236</v>
      </c>
      <c r="F308" s="33">
        <f t="shared" si="4"/>
        <v>0.18732949378599575</v>
      </c>
    </row>
    <row r="309" spans="1:6" x14ac:dyDescent="0.3">
      <c r="A309" s="12">
        <v>46345</v>
      </c>
      <c r="B309" s="10" t="s">
        <v>590</v>
      </c>
      <c r="C309" s="13">
        <v>2</v>
      </c>
      <c r="D309" s="18">
        <v>6343</v>
      </c>
      <c r="E309" s="15">
        <v>1.321</v>
      </c>
      <c r="F309" s="33">
        <f t="shared" si="4"/>
        <v>0.20826107520100898</v>
      </c>
    </row>
    <row r="310" spans="1:6" x14ac:dyDescent="0.3">
      <c r="A310" s="12">
        <v>46345</v>
      </c>
      <c r="B310" s="10" t="s">
        <v>590</v>
      </c>
      <c r="C310" s="13">
        <v>3</v>
      </c>
      <c r="D310" s="18">
        <v>5598</v>
      </c>
      <c r="E310" s="15">
        <v>0.94599999999999995</v>
      </c>
      <c r="F310" s="33">
        <f t="shared" si="4"/>
        <v>0.16898892461593426</v>
      </c>
    </row>
    <row r="311" spans="1:6" x14ac:dyDescent="0.3">
      <c r="A311" s="12">
        <v>46345</v>
      </c>
      <c r="B311" s="10" t="s">
        <v>595</v>
      </c>
      <c r="C311" s="13">
        <v>1</v>
      </c>
      <c r="D311" s="18">
        <v>6552</v>
      </c>
      <c r="E311" s="15">
        <v>0.95299999999999996</v>
      </c>
      <c r="F311" s="33">
        <f t="shared" si="4"/>
        <v>0.14545177045177043</v>
      </c>
    </row>
    <row r="312" spans="1:6" x14ac:dyDescent="0.3">
      <c r="A312" s="12">
        <v>46345</v>
      </c>
      <c r="B312" s="10" t="s">
        <v>595</v>
      </c>
      <c r="C312" s="13">
        <v>2</v>
      </c>
      <c r="D312" s="18">
        <v>6209</v>
      </c>
      <c r="E312" s="15">
        <v>0.83199999999999996</v>
      </c>
      <c r="F312" s="33">
        <f t="shared" si="4"/>
        <v>0.13399903366081492</v>
      </c>
    </row>
    <row r="313" spans="1:6" x14ac:dyDescent="0.3">
      <c r="A313" s="12">
        <v>46345</v>
      </c>
      <c r="B313" s="10" t="s">
        <v>595</v>
      </c>
      <c r="C313" s="13">
        <v>3</v>
      </c>
      <c r="D313" s="18">
        <v>5675</v>
      </c>
      <c r="E313" s="15">
        <v>0.63800000000000001</v>
      </c>
      <c r="F313" s="33">
        <f t="shared" si="4"/>
        <v>0.11242290748898678</v>
      </c>
    </row>
    <row r="314" spans="1:6" x14ac:dyDescent="0.3">
      <c r="A314" s="12">
        <v>46346</v>
      </c>
      <c r="B314" s="10" t="s">
        <v>590</v>
      </c>
      <c r="C314" s="13">
        <v>1</v>
      </c>
      <c r="D314" s="18">
        <v>7497</v>
      </c>
      <c r="E314" s="15">
        <v>1.4119999999999999</v>
      </c>
      <c r="F314" s="33">
        <f t="shared" si="4"/>
        <v>0.18834200346805388</v>
      </c>
    </row>
    <row r="315" spans="1:6" x14ac:dyDescent="0.3">
      <c r="A315" s="12">
        <v>46346</v>
      </c>
      <c r="B315" s="10" t="s">
        <v>590</v>
      </c>
      <c r="C315" s="13">
        <v>2</v>
      </c>
      <c r="D315" s="18">
        <v>6676</v>
      </c>
      <c r="E315" s="15">
        <v>1.3380000000000001</v>
      </c>
      <c r="F315" s="33">
        <f t="shared" si="4"/>
        <v>0.20041941282204914</v>
      </c>
    </row>
    <row r="316" spans="1:6" x14ac:dyDescent="0.3">
      <c r="A316" s="12">
        <v>46346</v>
      </c>
      <c r="B316" s="10" t="s">
        <v>590</v>
      </c>
      <c r="C316" s="13">
        <v>3</v>
      </c>
      <c r="D316" s="18">
        <v>5678</v>
      </c>
      <c r="E316" s="15">
        <v>1.0780000000000001</v>
      </c>
      <c r="F316" s="33">
        <f t="shared" si="4"/>
        <v>0.18985558295174357</v>
      </c>
    </row>
    <row r="317" spans="1:6" x14ac:dyDescent="0.3">
      <c r="A317" s="12">
        <v>46346</v>
      </c>
      <c r="B317" s="10" t="s">
        <v>595</v>
      </c>
      <c r="C317" s="13">
        <v>1</v>
      </c>
      <c r="D317" s="18">
        <v>5830</v>
      </c>
      <c r="E317" s="15">
        <v>0.81100000000000005</v>
      </c>
      <c r="F317" s="33">
        <f t="shared" si="4"/>
        <v>0.13910806174957122</v>
      </c>
    </row>
    <row r="318" spans="1:6" x14ac:dyDescent="0.3">
      <c r="A318" s="12">
        <v>46346</v>
      </c>
      <c r="B318" s="10" t="s">
        <v>595</v>
      </c>
      <c r="C318" s="13">
        <v>2</v>
      </c>
      <c r="D318" s="18">
        <v>5473</v>
      </c>
      <c r="E318" s="15">
        <v>0.77100000000000002</v>
      </c>
      <c r="F318" s="33">
        <f t="shared" si="4"/>
        <v>0.1408733784030696</v>
      </c>
    </row>
    <row r="319" spans="1:6" x14ac:dyDescent="0.3">
      <c r="A319" s="12">
        <v>46346</v>
      </c>
      <c r="B319" s="10" t="s">
        <v>595</v>
      </c>
      <c r="C319" s="13">
        <v>3</v>
      </c>
      <c r="D319" s="18">
        <v>6798</v>
      </c>
      <c r="E319" s="15">
        <v>0.996</v>
      </c>
      <c r="F319" s="33">
        <f t="shared" si="4"/>
        <v>0.14651368049426303</v>
      </c>
    </row>
    <row r="320" spans="1:6" x14ac:dyDescent="0.3">
      <c r="A320" s="12">
        <v>46349</v>
      </c>
      <c r="B320" s="10" t="s">
        <v>590</v>
      </c>
      <c r="C320" s="13">
        <v>1</v>
      </c>
      <c r="D320" s="18">
        <v>5539</v>
      </c>
      <c r="E320" s="15">
        <v>1.044</v>
      </c>
      <c r="F320" s="33">
        <f t="shared" si="4"/>
        <v>0.18848167539267019</v>
      </c>
    </row>
    <row r="321" spans="1:6" x14ac:dyDescent="0.3">
      <c r="A321" s="12">
        <v>46349</v>
      </c>
      <c r="B321" s="10" t="s">
        <v>590</v>
      </c>
      <c r="C321" s="13">
        <v>2</v>
      </c>
      <c r="D321" s="18">
        <v>6049</v>
      </c>
      <c r="E321" s="15">
        <v>1.2230000000000001</v>
      </c>
      <c r="F321" s="33">
        <f t="shared" si="4"/>
        <v>0.20218217887254095</v>
      </c>
    </row>
    <row r="322" spans="1:6" x14ac:dyDescent="0.3">
      <c r="A322" s="12">
        <v>46349</v>
      </c>
      <c r="B322" s="10" t="s">
        <v>590</v>
      </c>
      <c r="C322" s="13">
        <v>3</v>
      </c>
      <c r="D322" s="18">
        <v>7211</v>
      </c>
      <c r="E322" s="15">
        <v>1.304</v>
      </c>
      <c r="F322" s="33">
        <f t="shared" ref="F322:F385" si="5">E322/D322*1000</f>
        <v>0.18083483566772987</v>
      </c>
    </row>
    <row r="323" spans="1:6" x14ac:dyDescent="0.3">
      <c r="A323" s="12">
        <v>46349</v>
      </c>
      <c r="B323" s="10" t="s">
        <v>595</v>
      </c>
      <c r="C323" s="13">
        <v>1</v>
      </c>
      <c r="D323" s="18">
        <v>6247</v>
      </c>
      <c r="E323" s="15">
        <v>0.90500000000000003</v>
      </c>
      <c r="F323" s="33">
        <f t="shared" si="5"/>
        <v>0.14486953737794139</v>
      </c>
    </row>
    <row r="324" spans="1:6" x14ac:dyDescent="0.3">
      <c r="A324" s="12">
        <v>46349</v>
      </c>
      <c r="B324" s="10" t="s">
        <v>595</v>
      </c>
      <c r="C324" s="13">
        <v>2</v>
      </c>
      <c r="D324" s="18">
        <v>6020</v>
      </c>
      <c r="E324" s="15">
        <v>0.98799999999999999</v>
      </c>
      <c r="F324" s="33">
        <f t="shared" si="5"/>
        <v>0.16411960132890363</v>
      </c>
    </row>
    <row r="325" spans="1:6" x14ac:dyDescent="0.3">
      <c r="A325" s="12">
        <v>46349</v>
      </c>
      <c r="B325" s="10" t="s">
        <v>595</v>
      </c>
      <c r="C325" s="13">
        <v>3</v>
      </c>
      <c r="D325" s="18">
        <v>5712</v>
      </c>
      <c r="E325" s="15">
        <v>0.76</v>
      </c>
      <c r="F325" s="33">
        <f t="shared" si="5"/>
        <v>0.13305322128851541</v>
      </c>
    </row>
    <row r="326" spans="1:6" x14ac:dyDescent="0.3">
      <c r="A326" s="12">
        <v>46350</v>
      </c>
      <c r="B326" s="10" t="s">
        <v>590</v>
      </c>
      <c r="C326" s="13">
        <v>1</v>
      </c>
      <c r="D326" s="18">
        <v>5812</v>
      </c>
      <c r="E326" s="15">
        <v>1.0629999999999999</v>
      </c>
      <c r="F326" s="33">
        <f t="shared" si="5"/>
        <v>0.18289745354439091</v>
      </c>
    </row>
    <row r="327" spans="1:6" x14ac:dyDescent="0.3">
      <c r="A327" s="12">
        <v>46350</v>
      </c>
      <c r="B327" s="10" t="s">
        <v>590</v>
      </c>
      <c r="C327" s="13">
        <v>2</v>
      </c>
      <c r="D327" s="18">
        <v>7542</v>
      </c>
      <c r="E327" s="15">
        <v>1.4490000000000001</v>
      </c>
      <c r="F327" s="33">
        <f t="shared" si="5"/>
        <v>0.19212410501193319</v>
      </c>
    </row>
    <row r="328" spans="1:6" x14ac:dyDescent="0.3">
      <c r="A328" s="12">
        <v>46350</v>
      </c>
      <c r="B328" s="10" t="s">
        <v>590</v>
      </c>
      <c r="C328" s="13">
        <v>3</v>
      </c>
      <c r="D328" s="18">
        <v>5988</v>
      </c>
      <c r="E328" s="15">
        <v>1.1459999999999999</v>
      </c>
      <c r="F328" s="33">
        <f t="shared" si="5"/>
        <v>0.19138276553106209</v>
      </c>
    </row>
    <row r="329" spans="1:6" x14ac:dyDescent="0.3">
      <c r="A329" s="12">
        <v>46350</v>
      </c>
      <c r="B329" s="10" t="s">
        <v>595</v>
      </c>
      <c r="C329" s="13">
        <v>1</v>
      </c>
      <c r="D329" s="18">
        <v>5908</v>
      </c>
      <c r="E329" s="15">
        <v>0.80500000000000005</v>
      </c>
      <c r="F329" s="33">
        <f t="shared" si="5"/>
        <v>0.13625592417061613</v>
      </c>
    </row>
    <row r="330" spans="1:6" x14ac:dyDescent="0.3">
      <c r="A330" s="12">
        <v>46350</v>
      </c>
      <c r="B330" s="10" t="s">
        <v>595</v>
      </c>
      <c r="C330" s="13">
        <v>2</v>
      </c>
      <c r="D330" s="18">
        <v>6211</v>
      </c>
      <c r="E330" s="15">
        <v>0.86499999999999999</v>
      </c>
      <c r="F330" s="33">
        <f t="shared" si="5"/>
        <v>0.13926903880212524</v>
      </c>
    </row>
    <row r="331" spans="1:6" x14ac:dyDescent="0.3">
      <c r="A331" s="12">
        <v>46350</v>
      </c>
      <c r="B331" s="10" t="s">
        <v>595</v>
      </c>
      <c r="C331" s="13">
        <v>3</v>
      </c>
      <c r="D331" s="18">
        <v>6161</v>
      </c>
      <c r="E331" s="15">
        <v>0.88</v>
      </c>
      <c r="F331" s="33">
        <f t="shared" si="5"/>
        <v>0.14283395552670022</v>
      </c>
    </row>
    <row r="332" spans="1:6" x14ac:dyDescent="0.3">
      <c r="A332" s="12">
        <v>46351</v>
      </c>
      <c r="B332" s="10" t="s">
        <v>590</v>
      </c>
      <c r="C332" s="13">
        <v>1</v>
      </c>
      <c r="D332" s="18">
        <v>6406</v>
      </c>
      <c r="E332" s="15">
        <v>1.095</v>
      </c>
      <c r="F332" s="33">
        <f t="shared" si="5"/>
        <v>0.17093349984389636</v>
      </c>
    </row>
    <row r="333" spans="1:6" x14ac:dyDescent="0.3">
      <c r="A333" s="12">
        <v>46351</v>
      </c>
      <c r="B333" s="10" t="s">
        <v>590</v>
      </c>
      <c r="C333" s="13">
        <v>2</v>
      </c>
      <c r="D333" s="18">
        <v>7356</v>
      </c>
      <c r="E333" s="15">
        <v>1.323</v>
      </c>
      <c r="F333" s="33">
        <f t="shared" si="5"/>
        <v>0.17985318107667211</v>
      </c>
    </row>
    <row r="334" spans="1:6" x14ac:dyDescent="0.3">
      <c r="A334" s="12">
        <v>46351</v>
      </c>
      <c r="B334" s="10" t="s">
        <v>590</v>
      </c>
      <c r="C334" s="13">
        <v>3</v>
      </c>
      <c r="D334" s="18">
        <v>5630</v>
      </c>
      <c r="E334" s="15">
        <v>0.93400000000000005</v>
      </c>
      <c r="F334" s="33">
        <f t="shared" si="5"/>
        <v>0.16589698046181173</v>
      </c>
    </row>
    <row r="335" spans="1:6" x14ac:dyDescent="0.3">
      <c r="A335" s="12">
        <v>46351</v>
      </c>
      <c r="B335" s="10" t="s">
        <v>595</v>
      </c>
      <c r="C335" s="13">
        <v>1</v>
      </c>
      <c r="D335" s="18">
        <v>5354</v>
      </c>
      <c r="E335" s="15">
        <v>0.72099999999999997</v>
      </c>
      <c r="F335" s="33">
        <f t="shared" si="5"/>
        <v>0.134665670526709</v>
      </c>
    </row>
    <row r="336" spans="1:6" x14ac:dyDescent="0.3">
      <c r="A336" s="12">
        <v>46351</v>
      </c>
      <c r="B336" s="10" t="s">
        <v>595</v>
      </c>
      <c r="C336" s="13">
        <v>2</v>
      </c>
      <c r="D336" s="18">
        <v>5436</v>
      </c>
      <c r="E336" s="15">
        <v>0.86099999999999999</v>
      </c>
      <c r="F336" s="33">
        <f t="shared" si="5"/>
        <v>0.15838852097130243</v>
      </c>
    </row>
    <row r="337" spans="1:6" x14ac:dyDescent="0.3">
      <c r="A337" s="12">
        <v>46351</v>
      </c>
      <c r="B337" s="10" t="s">
        <v>595</v>
      </c>
      <c r="C337" s="13">
        <v>3</v>
      </c>
      <c r="D337" s="18">
        <v>6023</v>
      </c>
      <c r="E337" s="15">
        <v>0.88600000000000001</v>
      </c>
      <c r="F337" s="33">
        <f t="shared" si="5"/>
        <v>0.14710277270463223</v>
      </c>
    </row>
    <row r="338" spans="1:6" x14ac:dyDescent="0.3">
      <c r="A338" s="12">
        <v>46352</v>
      </c>
      <c r="B338" s="10" t="s">
        <v>590</v>
      </c>
      <c r="C338" s="13">
        <v>1</v>
      </c>
      <c r="D338" s="18">
        <v>5991</v>
      </c>
      <c r="E338" s="15">
        <v>1.0680000000000001</v>
      </c>
      <c r="F338" s="33">
        <f t="shared" si="5"/>
        <v>0.17826740110165248</v>
      </c>
    </row>
    <row r="339" spans="1:6" x14ac:dyDescent="0.3">
      <c r="A339" s="12">
        <v>46352</v>
      </c>
      <c r="B339" s="10" t="s">
        <v>590</v>
      </c>
      <c r="C339" s="13">
        <v>2</v>
      </c>
      <c r="D339" s="18">
        <v>6286</v>
      </c>
      <c r="E339" s="15">
        <v>1.2929999999999999</v>
      </c>
      <c r="F339" s="33">
        <f t="shared" si="5"/>
        <v>0.20569519567292396</v>
      </c>
    </row>
    <row r="340" spans="1:6" x14ac:dyDescent="0.3">
      <c r="A340" s="12">
        <v>46352</v>
      </c>
      <c r="B340" s="10" t="s">
        <v>590</v>
      </c>
      <c r="C340" s="13">
        <v>3</v>
      </c>
      <c r="D340" s="18">
        <v>5964</v>
      </c>
      <c r="E340" s="15">
        <v>1.0920000000000001</v>
      </c>
      <c r="F340" s="33">
        <f t="shared" si="5"/>
        <v>0.18309859154929581</v>
      </c>
    </row>
    <row r="341" spans="1:6" x14ac:dyDescent="0.3">
      <c r="A341" s="12">
        <v>46352</v>
      </c>
      <c r="B341" s="10" t="s">
        <v>595</v>
      </c>
      <c r="C341" s="13">
        <v>1</v>
      </c>
      <c r="D341" s="18">
        <v>6507</v>
      </c>
      <c r="E341" s="15">
        <v>0.84699999999999998</v>
      </c>
      <c r="F341" s="33">
        <f t="shared" si="5"/>
        <v>0.1301675119102505</v>
      </c>
    </row>
    <row r="342" spans="1:6" x14ac:dyDescent="0.3">
      <c r="A342" s="12">
        <v>46352</v>
      </c>
      <c r="B342" s="10" t="s">
        <v>595</v>
      </c>
      <c r="C342" s="13">
        <v>2</v>
      </c>
      <c r="D342" s="18">
        <v>5921</v>
      </c>
      <c r="E342" s="15">
        <v>0.91700000000000004</v>
      </c>
      <c r="F342" s="33">
        <f t="shared" si="5"/>
        <v>0.15487248775544674</v>
      </c>
    </row>
    <row r="343" spans="1:6" x14ac:dyDescent="0.3">
      <c r="A343" s="12">
        <v>46352</v>
      </c>
      <c r="B343" s="10" t="s">
        <v>595</v>
      </c>
      <c r="C343" s="13">
        <v>3</v>
      </c>
      <c r="D343" s="18">
        <v>6263</v>
      </c>
      <c r="E343" s="15">
        <v>0.88</v>
      </c>
      <c r="F343" s="33">
        <f t="shared" si="5"/>
        <v>0.14050774389270318</v>
      </c>
    </row>
    <row r="344" spans="1:6" x14ac:dyDescent="0.3">
      <c r="A344" s="12">
        <v>46353</v>
      </c>
      <c r="B344" s="10" t="s">
        <v>590</v>
      </c>
      <c r="C344" s="13">
        <v>1</v>
      </c>
      <c r="D344" s="18">
        <v>6472</v>
      </c>
      <c r="E344" s="15">
        <v>1.175</v>
      </c>
      <c r="F344" s="33">
        <f t="shared" si="5"/>
        <v>0.1815512978986403</v>
      </c>
    </row>
    <row r="345" spans="1:6" x14ac:dyDescent="0.3">
      <c r="A345" s="12">
        <v>46353</v>
      </c>
      <c r="B345" s="10" t="s">
        <v>590</v>
      </c>
      <c r="C345" s="13">
        <v>2</v>
      </c>
      <c r="D345" s="18">
        <v>6909</v>
      </c>
      <c r="E345" s="15">
        <v>1.446</v>
      </c>
      <c r="F345" s="33">
        <f t="shared" si="5"/>
        <v>0.20929222752930957</v>
      </c>
    </row>
    <row r="346" spans="1:6" x14ac:dyDescent="0.3">
      <c r="A346" s="12">
        <v>46353</v>
      </c>
      <c r="B346" s="10" t="s">
        <v>590</v>
      </c>
      <c r="C346" s="13">
        <v>3</v>
      </c>
      <c r="D346" s="18">
        <v>6081</v>
      </c>
      <c r="E346" s="15">
        <v>1.1220000000000001</v>
      </c>
      <c r="F346" s="33">
        <f t="shared" si="5"/>
        <v>0.18450912678835721</v>
      </c>
    </row>
    <row r="347" spans="1:6" x14ac:dyDescent="0.3">
      <c r="A347" s="12">
        <v>46353</v>
      </c>
      <c r="B347" s="10" t="s">
        <v>595</v>
      </c>
      <c r="C347" s="13">
        <v>1</v>
      </c>
      <c r="D347" s="18">
        <v>6682</v>
      </c>
      <c r="E347" s="15">
        <v>0.92800000000000005</v>
      </c>
      <c r="F347" s="33">
        <f t="shared" si="5"/>
        <v>0.13888057467824005</v>
      </c>
    </row>
    <row r="348" spans="1:6" x14ac:dyDescent="0.3">
      <c r="A348" s="12">
        <v>46353</v>
      </c>
      <c r="B348" s="10" t="s">
        <v>595</v>
      </c>
      <c r="C348" s="13">
        <v>2</v>
      </c>
      <c r="D348" s="18">
        <v>6004</v>
      </c>
      <c r="E348" s="15">
        <v>0.877</v>
      </c>
      <c r="F348" s="33">
        <f t="shared" si="5"/>
        <v>0.1460692871419054</v>
      </c>
    </row>
    <row r="349" spans="1:6" x14ac:dyDescent="0.3">
      <c r="A349" s="12">
        <v>46353</v>
      </c>
      <c r="B349" s="10" t="s">
        <v>595</v>
      </c>
      <c r="C349" s="13">
        <v>3</v>
      </c>
      <c r="D349" s="18">
        <v>5272</v>
      </c>
      <c r="E349" s="15">
        <v>0.747</v>
      </c>
      <c r="F349" s="33">
        <f t="shared" si="5"/>
        <v>0.14169195751138089</v>
      </c>
    </row>
    <row r="350" spans="1:6" x14ac:dyDescent="0.3">
      <c r="A350" s="12">
        <v>46356</v>
      </c>
      <c r="B350" s="10" t="s">
        <v>590</v>
      </c>
      <c r="C350" s="13">
        <v>1</v>
      </c>
      <c r="D350" s="18">
        <v>6687</v>
      </c>
      <c r="E350" s="15">
        <v>1.208</v>
      </c>
      <c r="F350" s="33">
        <f t="shared" si="5"/>
        <v>0.18064902048751308</v>
      </c>
    </row>
    <row r="351" spans="1:6" x14ac:dyDescent="0.3">
      <c r="A351" s="12">
        <v>46356</v>
      </c>
      <c r="B351" s="10" t="s">
        <v>590</v>
      </c>
      <c r="C351" s="13">
        <v>2</v>
      </c>
      <c r="D351" s="18">
        <v>5103</v>
      </c>
      <c r="E351" s="15">
        <v>1.0289999999999999</v>
      </c>
      <c r="F351" s="33">
        <f t="shared" si="5"/>
        <v>0.20164609053497939</v>
      </c>
    </row>
    <row r="352" spans="1:6" x14ac:dyDescent="0.3">
      <c r="A352" s="12">
        <v>46356</v>
      </c>
      <c r="B352" s="10" t="s">
        <v>590</v>
      </c>
      <c r="C352" s="13">
        <v>3</v>
      </c>
      <c r="D352" s="18">
        <v>6248</v>
      </c>
      <c r="E352" s="15">
        <v>0.98299999999999998</v>
      </c>
      <c r="F352" s="33">
        <f t="shared" si="5"/>
        <v>0.1573303457106274</v>
      </c>
    </row>
    <row r="353" spans="1:6" x14ac:dyDescent="0.3">
      <c r="A353" s="12">
        <v>46356</v>
      </c>
      <c r="B353" s="10" t="s">
        <v>595</v>
      </c>
      <c r="C353" s="13">
        <v>1</v>
      </c>
      <c r="D353" s="18">
        <v>5851</v>
      </c>
      <c r="E353" s="15">
        <v>0.77300000000000002</v>
      </c>
      <c r="F353" s="33">
        <f t="shared" si="5"/>
        <v>0.13211416851820201</v>
      </c>
    </row>
    <row r="354" spans="1:6" x14ac:dyDescent="0.3">
      <c r="A354" s="12">
        <v>46356</v>
      </c>
      <c r="B354" s="10" t="s">
        <v>595</v>
      </c>
      <c r="C354" s="13">
        <v>2</v>
      </c>
      <c r="D354" s="18">
        <v>6398</v>
      </c>
      <c r="E354" s="15">
        <v>1.0049999999999999</v>
      </c>
      <c r="F354" s="33">
        <f t="shared" si="5"/>
        <v>0.15708033760550169</v>
      </c>
    </row>
    <row r="355" spans="1:6" x14ac:dyDescent="0.3">
      <c r="A355" s="12">
        <v>46356</v>
      </c>
      <c r="B355" s="10" t="s">
        <v>595</v>
      </c>
      <c r="C355" s="13">
        <v>3</v>
      </c>
      <c r="D355" s="18">
        <v>6885</v>
      </c>
      <c r="E355" s="15">
        <v>0.97899999999999998</v>
      </c>
      <c r="F355" s="33">
        <f t="shared" si="5"/>
        <v>0.14219317356572256</v>
      </c>
    </row>
    <row r="356" spans="1:6" x14ac:dyDescent="0.3">
      <c r="A356" s="12">
        <v>46358</v>
      </c>
      <c r="B356" s="10" t="s">
        <v>590</v>
      </c>
      <c r="C356" s="13">
        <v>1</v>
      </c>
      <c r="D356" s="18">
        <v>7038</v>
      </c>
      <c r="E356" s="15">
        <v>1.2330000000000001</v>
      </c>
      <c r="F356" s="33">
        <f t="shared" si="5"/>
        <v>0.17519181585677751</v>
      </c>
    </row>
    <row r="357" spans="1:6" x14ac:dyDescent="0.3">
      <c r="A357" s="12">
        <v>46358</v>
      </c>
      <c r="B357" s="10" t="s">
        <v>590</v>
      </c>
      <c r="C357" s="13">
        <v>2</v>
      </c>
      <c r="D357" s="18">
        <v>6219</v>
      </c>
      <c r="E357" s="15">
        <v>1.234</v>
      </c>
      <c r="F357" s="33">
        <f t="shared" si="5"/>
        <v>0.19842418395240394</v>
      </c>
    </row>
    <row r="358" spans="1:6" x14ac:dyDescent="0.3">
      <c r="A358" s="12">
        <v>46358</v>
      </c>
      <c r="B358" s="10" t="s">
        <v>590</v>
      </c>
      <c r="C358" s="13">
        <v>3</v>
      </c>
      <c r="D358" s="18">
        <v>6292</v>
      </c>
      <c r="E358" s="15">
        <v>1.075</v>
      </c>
      <c r="F358" s="33">
        <f t="shared" si="5"/>
        <v>0.17085187539732993</v>
      </c>
    </row>
    <row r="359" spans="1:6" x14ac:dyDescent="0.3">
      <c r="A359" s="12">
        <v>46358</v>
      </c>
      <c r="B359" s="10" t="s">
        <v>595</v>
      </c>
      <c r="C359" s="13">
        <v>1</v>
      </c>
      <c r="D359" s="18">
        <v>6024</v>
      </c>
      <c r="E359" s="15">
        <v>0.88300000000000001</v>
      </c>
      <c r="F359" s="33">
        <f t="shared" si="5"/>
        <v>0.14658034528552455</v>
      </c>
    </row>
    <row r="360" spans="1:6" x14ac:dyDescent="0.3">
      <c r="A360" s="12">
        <v>46358</v>
      </c>
      <c r="B360" s="10" t="s">
        <v>595</v>
      </c>
      <c r="C360" s="13">
        <v>2</v>
      </c>
      <c r="D360" s="18">
        <v>5949</v>
      </c>
      <c r="E360" s="15">
        <v>0.84799999999999998</v>
      </c>
      <c r="F360" s="33">
        <f t="shared" si="5"/>
        <v>0.14254496554042695</v>
      </c>
    </row>
    <row r="361" spans="1:6" x14ac:dyDescent="0.3">
      <c r="A361" s="12">
        <v>46358</v>
      </c>
      <c r="B361" s="10" t="s">
        <v>595</v>
      </c>
      <c r="C361" s="13">
        <v>3</v>
      </c>
      <c r="D361" s="18">
        <v>5718</v>
      </c>
      <c r="E361" s="15">
        <v>0.874</v>
      </c>
      <c r="F361" s="33">
        <f t="shared" si="5"/>
        <v>0.15285064707939838</v>
      </c>
    </row>
    <row r="362" spans="1:6" x14ac:dyDescent="0.3">
      <c r="A362" s="12">
        <v>46359</v>
      </c>
      <c r="B362" s="10" t="s">
        <v>590</v>
      </c>
      <c r="C362" s="13">
        <v>1</v>
      </c>
      <c r="D362" s="18">
        <v>6187</v>
      </c>
      <c r="E362" s="15">
        <v>1.0660000000000001</v>
      </c>
      <c r="F362" s="33">
        <f t="shared" si="5"/>
        <v>0.1722967512526265</v>
      </c>
    </row>
    <row r="363" spans="1:6" x14ac:dyDescent="0.3">
      <c r="A363" s="12">
        <v>46359</v>
      </c>
      <c r="B363" s="10" t="s">
        <v>590</v>
      </c>
      <c r="C363" s="13">
        <v>2</v>
      </c>
      <c r="D363" s="18">
        <v>6620</v>
      </c>
      <c r="E363" s="15">
        <v>1.2909999999999999</v>
      </c>
      <c r="F363" s="33">
        <f t="shared" si="5"/>
        <v>0.19501510574018124</v>
      </c>
    </row>
    <row r="364" spans="1:6" x14ac:dyDescent="0.3">
      <c r="A364" s="12">
        <v>46359</v>
      </c>
      <c r="B364" s="10" t="s">
        <v>590</v>
      </c>
      <c r="C364" s="13">
        <v>3</v>
      </c>
      <c r="D364" s="18">
        <v>6879</v>
      </c>
      <c r="E364" s="15">
        <v>1.202</v>
      </c>
      <c r="F364" s="33">
        <f t="shared" si="5"/>
        <v>0.17473469981101905</v>
      </c>
    </row>
    <row r="365" spans="1:6" x14ac:dyDescent="0.3">
      <c r="A365" s="12">
        <v>46359</v>
      </c>
      <c r="B365" s="10" t="s">
        <v>595</v>
      </c>
      <c r="C365" s="13">
        <v>1</v>
      </c>
      <c r="D365" s="18">
        <v>6076</v>
      </c>
      <c r="E365" s="15">
        <v>0.82499999999999996</v>
      </c>
      <c r="F365" s="33">
        <f t="shared" si="5"/>
        <v>0.1357801184990125</v>
      </c>
    </row>
    <row r="366" spans="1:6" x14ac:dyDescent="0.3">
      <c r="A366" s="12">
        <v>46359</v>
      </c>
      <c r="B366" s="10" t="s">
        <v>595</v>
      </c>
      <c r="C366" s="13">
        <v>2</v>
      </c>
      <c r="D366" s="18">
        <v>6335</v>
      </c>
      <c r="E366" s="15">
        <v>0.85</v>
      </c>
      <c r="F366" s="33">
        <f t="shared" si="5"/>
        <v>0.13417521704814522</v>
      </c>
    </row>
    <row r="367" spans="1:6" x14ac:dyDescent="0.3">
      <c r="A367" s="12">
        <v>46359</v>
      </c>
      <c r="B367" s="10" t="s">
        <v>595</v>
      </c>
      <c r="C367" s="13">
        <v>3</v>
      </c>
      <c r="D367" s="18">
        <v>6830</v>
      </c>
      <c r="E367" s="15">
        <v>1.0940000000000001</v>
      </c>
      <c r="F367" s="33">
        <f t="shared" si="5"/>
        <v>0.16017569546120058</v>
      </c>
    </row>
    <row r="368" spans="1:6" x14ac:dyDescent="0.3">
      <c r="A368" s="12">
        <v>46360</v>
      </c>
      <c r="B368" s="10" t="s">
        <v>590</v>
      </c>
      <c r="C368" s="13">
        <v>1</v>
      </c>
      <c r="D368" s="18">
        <v>6281</v>
      </c>
      <c r="E368" s="15">
        <v>1.161</v>
      </c>
      <c r="F368" s="33">
        <f t="shared" si="5"/>
        <v>0.18484317783792389</v>
      </c>
    </row>
    <row r="369" spans="1:6" x14ac:dyDescent="0.3">
      <c r="A369" s="12">
        <v>46360</v>
      </c>
      <c r="B369" s="10" t="s">
        <v>590</v>
      </c>
      <c r="C369" s="13">
        <v>2</v>
      </c>
      <c r="D369" s="18">
        <v>5528</v>
      </c>
      <c r="E369" s="15">
        <v>1.157</v>
      </c>
      <c r="F369" s="33">
        <f t="shared" si="5"/>
        <v>0.20929811866859624</v>
      </c>
    </row>
    <row r="370" spans="1:6" x14ac:dyDescent="0.3">
      <c r="A370" s="12">
        <v>46360</v>
      </c>
      <c r="B370" s="10" t="s">
        <v>590</v>
      </c>
      <c r="C370" s="13">
        <v>3</v>
      </c>
      <c r="D370" s="18">
        <v>5476</v>
      </c>
      <c r="E370" s="15">
        <v>1.0049999999999999</v>
      </c>
      <c r="F370" s="33">
        <f t="shared" si="5"/>
        <v>0.18352812271731189</v>
      </c>
    </row>
    <row r="371" spans="1:6" x14ac:dyDescent="0.3">
      <c r="A371" s="12">
        <v>46360</v>
      </c>
      <c r="B371" s="10" t="s">
        <v>595</v>
      </c>
      <c r="C371" s="13">
        <v>1</v>
      </c>
      <c r="D371" s="18">
        <v>6622</v>
      </c>
      <c r="E371" s="15">
        <v>0.876</v>
      </c>
      <c r="F371" s="33">
        <f t="shared" si="5"/>
        <v>0.13228631833282997</v>
      </c>
    </row>
    <row r="372" spans="1:6" x14ac:dyDescent="0.3">
      <c r="A372" s="12">
        <v>46360</v>
      </c>
      <c r="B372" s="10" t="s">
        <v>595</v>
      </c>
      <c r="C372" s="13">
        <v>2</v>
      </c>
      <c r="D372" s="18">
        <v>5548</v>
      </c>
      <c r="E372" s="15">
        <v>0.86099999999999999</v>
      </c>
      <c r="F372" s="33">
        <f t="shared" si="5"/>
        <v>0.15519105984138429</v>
      </c>
    </row>
    <row r="373" spans="1:6" x14ac:dyDescent="0.3">
      <c r="A373" s="12">
        <v>46360</v>
      </c>
      <c r="B373" s="10" t="s">
        <v>595</v>
      </c>
      <c r="C373" s="13">
        <v>3</v>
      </c>
      <c r="D373" s="18">
        <v>6378</v>
      </c>
      <c r="E373" s="15">
        <v>0.89200000000000002</v>
      </c>
      <c r="F373" s="33">
        <f t="shared" si="5"/>
        <v>0.1398557541549075</v>
      </c>
    </row>
    <row r="374" spans="1:6" x14ac:dyDescent="0.3">
      <c r="A374" s="12">
        <v>46363</v>
      </c>
      <c r="B374" s="10" t="s">
        <v>590</v>
      </c>
      <c r="C374" s="13">
        <v>1</v>
      </c>
      <c r="D374" s="18">
        <v>6606</v>
      </c>
      <c r="E374" s="15">
        <v>1.27</v>
      </c>
      <c r="F374" s="33">
        <f t="shared" si="5"/>
        <v>0.19224947017862548</v>
      </c>
    </row>
    <row r="375" spans="1:6" x14ac:dyDescent="0.3">
      <c r="A375" s="12">
        <v>46363</v>
      </c>
      <c r="B375" s="10" t="s">
        <v>590</v>
      </c>
      <c r="C375" s="13">
        <v>2</v>
      </c>
      <c r="D375" s="18">
        <v>6067</v>
      </c>
      <c r="E375" s="15">
        <v>1.204</v>
      </c>
      <c r="F375" s="33">
        <f t="shared" si="5"/>
        <v>0.19845063458051757</v>
      </c>
    </row>
    <row r="376" spans="1:6" x14ac:dyDescent="0.3">
      <c r="A376" s="12">
        <v>46363</v>
      </c>
      <c r="B376" s="10" t="s">
        <v>590</v>
      </c>
      <c r="C376" s="13">
        <v>3</v>
      </c>
      <c r="D376" s="18">
        <v>6991</v>
      </c>
      <c r="E376" s="15">
        <v>1.2909999999999999</v>
      </c>
      <c r="F376" s="33">
        <f t="shared" si="5"/>
        <v>0.18466599914175366</v>
      </c>
    </row>
    <row r="377" spans="1:6" x14ac:dyDescent="0.3">
      <c r="A377" s="12">
        <v>46363</v>
      </c>
      <c r="B377" s="10" t="s">
        <v>595</v>
      </c>
      <c r="C377" s="13">
        <v>1</v>
      </c>
      <c r="D377" s="18">
        <v>6148</v>
      </c>
      <c r="E377" s="15">
        <v>0.84</v>
      </c>
      <c r="F377" s="33">
        <f t="shared" si="5"/>
        <v>0.13662979830839297</v>
      </c>
    </row>
    <row r="378" spans="1:6" x14ac:dyDescent="0.3">
      <c r="A378" s="12">
        <v>46363</v>
      </c>
      <c r="B378" s="10" t="s">
        <v>595</v>
      </c>
      <c r="C378" s="13">
        <v>2</v>
      </c>
      <c r="D378" s="18">
        <v>6043</v>
      </c>
      <c r="E378" s="15">
        <v>0.89200000000000002</v>
      </c>
      <c r="F378" s="33">
        <f t="shared" si="5"/>
        <v>0.14760880357438358</v>
      </c>
    </row>
    <row r="379" spans="1:6" x14ac:dyDescent="0.3">
      <c r="A379" s="12">
        <v>46363</v>
      </c>
      <c r="B379" s="10" t="s">
        <v>595</v>
      </c>
      <c r="C379" s="13">
        <v>3</v>
      </c>
      <c r="D379" s="18">
        <v>6150</v>
      </c>
      <c r="E379" s="15">
        <v>0.85099999999999998</v>
      </c>
      <c r="F379" s="33">
        <f t="shared" si="5"/>
        <v>0.13837398373983739</v>
      </c>
    </row>
    <row r="380" spans="1:6" x14ac:dyDescent="0.3">
      <c r="A380" s="12">
        <v>46365</v>
      </c>
      <c r="B380" s="10" t="s">
        <v>590</v>
      </c>
      <c r="C380" s="13">
        <v>1</v>
      </c>
      <c r="D380" s="18">
        <v>6680</v>
      </c>
      <c r="E380" s="15">
        <v>1.159</v>
      </c>
      <c r="F380" s="33">
        <f t="shared" si="5"/>
        <v>0.17350299401197605</v>
      </c>
    </row>
    <row r="381" spans="1:6" x14ac:dyDescent="0.3">
      <c r="A381" s="12">
        <v>46365</v>
      </c>
      <c r="B381" s="10" t="s">
        <v>590</v>
      </c>
      <c r="C381" s="13">
        <v>2</v>
      </c>
      <c r="D381" s="18">
        <v>5860</v>
      </c>
      <c r="E381" s="15">
        <v>1.1160000000000001</v>
      </c>
      <c r="F381" s="33">
        <f t="shared" si="5"/>
        <v>0.19044368600682596</v>
      </c>
    </row>
    <row r="382" spans="1:6" x14ac:dyDescent="0.3">
      <c r="A382" s="12">
        <v>46365</v>
      </c>
      <c r="B382" s="10" t="s">
        <v>590</v>
      </c>
      <c r="C382" s="13">
        <v>3</v>
      </c>
      <c r="D382" s="18">
        <v>6441</v>
      </c>
      <c r="E382" s="15">
        <v>1.1659999999999999</v>
      </c>
      <c r="F382" s="33">
        <f t="shared" si="5"/>
        <v>0.18102779071572736</v>
      </c>
    </row>
    <row r="383" spans="1:6" x14ac:dyDescent="0.3">
      <c r="A383" s="12">
        <v>46365</v>
      </c>
      <c r="B383" s="10" t="s">
        <v>595</v>
      </c>
      <c r="C383" s="13">
        <v>1</v>
      </c>
      <c r="D383" s="18">
        <v>5920</v>
      </c>
      <c r="E383" s="15">
        <v>0.80800000000000005</v>
      </c>
      <c r="F383" s="33">
        <f t="shared" si="5"/>
        <v>0.13648648648648648</v>
      </c>
    </row>
    <row r="384" spans="1:6" x14ac:dyDescent="0.3">
      <c r="A384" s="12">
        <v>46365</v>
      </c>
      <c r="B384" s="10" t="s">
        <v>595</v>
      </c>
      <c r="C384" s="13">
        <v>2</v>
      </c>
      <c r="D384" s="18">
        <v>5986</v>
      </c>
      <c r="E384" s="15">
        <v>0.93100000000000005</v>
      </c>
      <c r="F384" s="33">
        <f t="shared" si="5"/>
        <v>0.15552956899432011</v>
      </c>
    </row>
    <row r="385" spans="1:6" x14ac:dyDescent="0.3">
      <c r="A385" s="12">
        <v>46365</v>
      </c>
      <c r="B385" s="10" t="s">
        <v>595</v>
      </c>
      <c r="C385" s="13">
        <v>3</v>
      </c>
      <c r="D385" s="18">
        <v>5821</v>
      </c>
      <c r="E385" s="15">
        <v>0.86599999999999999</v>
      </c>
      <c r="F385" s="33">
        <f t="shared" si="5"/>
        <v>0.1487716887132795</v>
      </c>
    </row>
    <row r="386" spans="1:6" x14ac:dyDescent="0.3">
      <c r="A386" s="12">
        <v>46366</v>
      </c>
      <c r="B386" s="10" t="s">
        <v>590</v>
      </c>
      <c r="C386" s="13">
        <v>1</v>
      </c>
      <c r="D386" s="18">
        <v>6411</v>
      </c>
      <c r="E386" s="15">
        <v>1.1639999999999999</v>
      </c>
      <c r="F386" s="33">
        <f t="shared" ref="F386:F449" si="6">E386/D386*1000</f>
        <v>0.18156293869911089</v>
      </c>
    </row>
    <row r="387" spans="1:6" x14ac:dyDescent="0.3">
      <c r="A387" s="12">
        <v>46366</v>
      </c>
      <c r="B387" s="10" t="s">
        <v>590</v>
      </c>
      <c r="C387" s="13">
        <v>2</v>
      </c>
      <c r="D387" s="18">
        <v>5949</v>
      </c>
      <c r="E387" s="15">
        <v>1.2729999999999999</v>
      </c>
      <c r="F387" s="33">
        <f t="shared" si="6"/>
        <v>0.21398554378887205</v>
      </c>
    </row>
    <row r="388" spans="1:6" x14ac:dyDescent="0.3">
      <c r="A388" s="12">
        <v>46366</v>
      </c>
      <c r="B388" s="10" t="s">
        <v>590</v>
      </c>
      <c r="C388" s="13">
        <v>3</v>
      </c>
      <c r="D388" s="18">
        <v>6537</v>
      </c>
      <c r="E388" s="15">
        <v>1.0960000000000001</v>
      </c>
      <c r="F388" s="33">
        <f t="shared" si="6"/>
        <v>0.16766100657794095</v>
      </c>
    </row>
    <row r="389" spans="1:6" x14ac:dyDescent="0.3">
      <c r="A389" s="12">
        <v>46366</v>
      </c>
      <c r="B389" s="10" t="s">
        <v>595</v>
      </c>
      <c r="C389" s="13">
        <v>1</v>
      </c>
      <c r="D389" s="18">
        <v>5532</v>
      </c>
      <c r="E389" s="15">
        <v>0.82299999999999995</v>
      </c>
      <c r="F389" s="33">
        <f t="shared" si="6"/>
        <v>0.1487707881417209</v>
      </c>
    </row>
    <row r="390" spans="1:6" x14ac:dyDescent="0.3">
      <c r="A390" s="12">
        <v>46366</v>
      </c>
      <c r="B390" s="10" t="s">
        <v>595</v>
      </c>
      <c r="C390" s="13">
        <v>2</v>
      </c>
      <c r="D390" s="18">
        <v>6022</v>
      </c>
      <c r="E390" s="15">
        <v>0.996</v>
      </c>
      <c r="F390" s="33">
        <f t="shared" si="6"/>
        <v>0.16539355695782132</v>
      </c>
    </row>
    <row r="391" spans="1:6" x14ac:dyDescent="0.3">
      <c r="A391" s="12">
        <v>46366</v>
      </c>
      <c r="B391" s="10" t="s">
        <v>595</v>
      </c>
      <c r="C391" s="13">
        <v>3</v>
      </c>
      <c r="D391" s="18">
        <v>7120</v>
      </c>
      <c r="E391" s="15">
        <v>0.98699999999999999</v>
      </c>
      <c r="F391" s="33">
        <f t="shared" si="6"/>
        <v>0.13862359550561798</v>
      </c>
    </row>
    <row r="392" spans="1:6" x14ac:dyDescent="0.3">
      <c r="A392" s="12">
        <v>46367</v>
      </c>
      <c r="B392" s="10" t="s">
        <v>590</v>
      </c>
      <c r="C392" s="13">
        <v>1</v>
      </c>
      <c r="D392" s="18">
        <v>5521</v>
      </c>
      <c r="E392" s="15">
        <v>1.1299999999999999</v>
      </c>
      <c r="F392" s="33">
        <f t="shared" si="6"/>
        <v>0.20467306647346495</v>
      </c>
    </row>
    <row r="393" spans="1:6" x14ac:dyDescent="0.3">
      <c r="A393" s="12">
        <v>46367</v>
      </c>
      <c r="B393" s="10" t="s">
        <v>590</v>
      </c>
      <c r="C393" s="13">
        <v>2</v>
      </c>
      <c r="D393" s="18">
        <v>5405</v>
      </c>
      <c r="E393" s="15">
        <v>1.018</v>
      </c>
      <c r="F393" s="33">
        <f t="shared" si="6"/>
        <v>0.18834412580943571</v>
      </c>
    </row>
    <row r="394" spans="1:6" x14ac:dyDescent="0.3">
      <c r="A394" s="12">
        <v>46367</v>
      </c>
      <c r="B394" s="10" t="s">
        <v>590</v>
      </c>
      <c r="C394" s="13">
        <v>3</v>
      </c>
      <c r="D394" s="18">
        <v>6453</v>
      </c>
      <c r="E394" s="15">
        <v>1.145</v>
      </c>
      <c r="F394" s="33">
        <f t="shared" si="6"/>
        <v>0.17743685107701843</v>
      </c>
    </row>
    <row r="395" spans="1:6" x14ac:dyDescent="0.3">
      <c r="A395" s="12">
        <v>46367</v>
      </c>
      <c r="B395" s="10" t="s">
        <v>595</v>
      </c>
      <c r="C395" s="13">
        <v>1</v>
      </c>
      <c r="D395" s="18">
        <v>4804</v>
      </c>
      <c r="E395" s="15">
        <v>0.64500000000000002</v>
      </c>
      <c r="F395" s="33">
        <f t="shared" si="6"/>
        <v>0.13426311407160701</v>
      </c>
    </row>
    <row r="396" spans="1:6" x14ac:dyDescent="0.3">
      <c r="A396" s="12">
        <v>46367</v>
      </c>
      <c r="B396" s="10" t="s">
        <v>595</v>
      </c>
      <c r="C396" s="13">
        <v>2</v>
      </c>
      <c r="D396" s="18">
        <v>6249</v>
      </c>
      <c r="E396" s="15">
        <v>0.999</v>
      </c>
      <c r="F396" s="33">
        <f t="shared" si="6"/>
        <v>0.15986557849255881</v>
      </c>
    </row>
    <row r="397" spans="1:6" x14ac:dyDescent="0.3">
      <c r="A397" s="12">
        <v>46367</v>
      </c>
      <c r="B397" s="10" t="s">
        <v>595</v>
      </c>
      <c r="C397" s="13">
        <v>3</v>
      </c>
      <c r="D397" s="18">
        <v>6578</v>
      </c>
      <c r="E397" s="15">
        <v>0.92400000000000004</v>
      </c>
      <c r="F397" s="33">
        <f t="shared" si="6"/>
        <v>0.14046822742474918</v>
      </c>
    </row>
    <row r="398" spans="1:6" x14ac:dyDescent="0.3">
      <c r="A398" s="12">
        <v>46370</v>
      </c>
      <c r="B398" s="10" t="s">
        <v>590</v>
      </c>
      <c r="C398" s="13">
        <v>1</v>
      </c>
      <c r="D398" s="18">
        <v>5680</v>
      </c>
      <c r="E398" s="15">
        <v>0.94499999999999995</v>
      </c>
      <c r="F398" s="33">
        <f t="shared" si="6"/>
        <v>0.16637323943661972</v>
      </c>
    </row>
    <row r="399" spans="1:6" x14ac:dyDescent="0.3">
      <c r="A399" s="12">
        <v>46370</v>
      </c>
      <c r="B399" s="10" t="s">
        <v>590</v>
      </c>
      <c r="C399" s="13">
        <v>2</v>
      </c>
      <c r="D399" s="18">
        <v>7099</v>
      </c>
      <c r="E399" s="15">
        <v>1.421</v>
      </c>
      <c r="F399" s="33">
        <f t="shared" si="6"/>
        <v>0.20016903789266094</v>
      </c>
    </row>
    <row r="400" spans="1:6" x14ac:dyDescent="0.3">
      <c r="A400" s="12">
        <v>46370</v>
      </c>
      <c r="B400" s="10" t="s">
        <v>590</v>
      </c>
      <c r="C400" s="13">
        <v>3</v>
      </c>
      <c r="D400" s="18">
        <v>6706</v>
      </c>
      <c r="E400" s="15">
        <v>1.1639999999999999</v>
      </c>
      <c r="F400" s="33">
        <f t="shared" si="6"/>
        <v>0.17357590217715477</v>
      </c>
    </row>
    <row r="401" spans="1:6" x14ac:dyDescent="0.3">
      <c r="A401" s="12">
        <v>46370</v>
      </c>
      <c r="B401" s="10" t="s">
        <v>595</v>
      </c>
      <c r="C401" s="13">
        <v>1</v>
      </c>
      <c r="D401" s="18">
        <v>5779</v>
      </c>
      <c r="E401" s="15">
        <v>0.86599999999999999</v>
      </c>
      <c r="F401" s="33">
        <f t="shared" si="6"/>
        <v>0.14985291572936493</v>
      </c>
    </row>
    <row r="402" spans="1:6" x14ac:dyDescent="0.3">
      <c r="A402" s="12">
        <v>46370</v>
      </c>
      <c r="B402" s="10" t="s">
        <v>595</v>
      </c>
      <c r="C402" s="13">
        <v>2</v>
      </c>
      <c r="D402" s="18">
        <v>5805</v>
      </c>
      <c r="E402" s="15">
        <v>0.83099999999999996</v>
      </c>
      <c r="F402" s="33">
        <f t="shared" si="6"/>
        <v>0.14315245478036173</v>
      </c>
    </row>
    <row r="403" spans="1:6" x14ac:dyDescent="0.3">
      <c r="A403" s="12">
        <v>46370</v>
      </c>
      <c r="B403" s="10" t="s">
        <v>595</v>
      </c>
      <c r="C403" s="13">
        <v>3</v>
      </c>
      <c r="D403" s="18">
        <v>6408</v>
      </c>
      <c r="E403" s="15">
        <v>0.80200000000000005</v>
      </c>
      <c r="F403" s="33">
        <f t="shared" si="6"/>
        <v>0.12515605493133583</v>
      </c>
    </row>
    <row r="404" spans="1:6" x14ac:dyDescent="0.3">
      <c r="A404" s="12">
        <v>46371</v>
      </c>
      <c r="B404" s="10" t="s">
        <v>590</v>
      </c>
      <c r="C404" s="13">
        <v>1</v>
      </c>
      <c r="D404" s="18">
        <v>5484</v>
      </c>
      <c r="E404" s="15">
        <v>0.98499999999999999</v>
      </c>
      <c r="F404" s="33">
        <f t="shared" si="6"/>
        <v>0.17961342086068563</v>
      </c>
    </row>
    <row r="405" spans="1:6" x14ac:dyDescent="0.3">
      <c r="A405" s="12">
        <v>46371</v>
      </c>
      <c r="B405" s="10" t="s">
        <v>590</v>
      </c>
      <c r="C405" s="13">
        <v>2</v>
      </c>
      <c r="D405" s="18">
        <v>6474</v>
      </c>
      <c r="E405" s="15">
        <v>1.498</v>
      </c>
      <c r="F405" s="33">
        <f t="shared" si="6"/>
        <v>0.23138708680877354</v>
      </c>
    </row>
    <row r="406" spans="1:6" x14ac:dyDescent="0.3">
      <c r="A406" s="12">
        <v>46371</v>
      </c>
      <c r="B406" s="10" t="s">
        <v>590</v>
      </c>
      <c r="C406" s="13">
        <v>3</v>
      </c>
      <c r="D406" s="18">
        <v>6151</v>
      </c>
      <c r="E406" s="15">
        <v>1.1180000000000001</v>
      </c>
      <c r="F406" s="33">
        <f t="shared" si="6"/>
        <v>0.18175906356689972</v>
      </c>
    </row>
    <row r="407" spans="1:6" x14ac:dyDescent="0.3">
      <c r="A407" s="12">
        <v>46371</v>
      </c>
      <c r="B407" s="10" t="s">
        <v>595</v>
      </c>
      <c r="C407" s="13">
        <v>1</v>
      </c>
      <c r="D407" s="18">
        <v>5904</v>
      </c>
      <c r="E407" s="15">
        <v>0.80400000000000005</v>
      </c>
      <c r="F407" s="33">
        <f t="shared" si="6"/>
        <v>0.13617886178861791</v>
      </c>
    </row>
    <row r="408" spans="1:6" x14ac:dyDescent="0.3">
      <c r="A408" s="12">
        <v>46371</v>
      </c>
      <c r="B408" s="10" t="s">
        <v>595</v>
      </c>
      <c r="C408" s="13">
        <v>2</v>
      </c>
      <c r="D408" s="18">
        <v>5605</v>
      </c>
      <c r="E408" s="15">
        <v>0.85699999999999998</v>
      </c>
      <c r="F408" s="33">
        <f t="shared" si="6"/>
        <v>0.1528991971454059</v>
      </c>
    </row>
    <row r="409" spans="1:6" x14ac:dyDescent="0.3">
      <c r="A409" s="12">
        <v>46371</v>
      </c>
      <c r="B409" s="10" t="s">
        <v>595</v>
      </c>
      <c r="C409" s="13">
        <v>3</v>
      </c>
      <c r="D409" s="18">
        <v>6738</v>
      </c>
      <c r="E409" s="15">
        <v>0.92100000000000004</v>
      </c>
      <c r="F409" s="33">
        <f t="shared" si="6"/>
        <v>0.13668744434550312</v>
      </c>
    </row>
    <row r="410" spans="1:6" x14ac:dyDescent="0.3">
      <c r="A410" s="12">
        <v>46372</v>
      </c>
      <c r="B410" s="10" t="s">
        <v>590</v>
      </c>
      <c r="C410" s="13">
        <v>1</v>
      </c>
      <c r="D410" s="18">
        <v>7182</v>
      </c>
      <c r="E410" s="15">
        <v>1.325</v>
      </c>
      <c r="F410" s="33">
        <f t="shared" si="6"/>
        <v>0.18448900027847398</v>
      </c>
    </row>
    <row r="411" spans="1:6" x14ac:dyDescent="0.3">
      <c r="A411" s="12">
        <v>46372</v>
      </c>
      <c r="B411" s="10" t="s">
        <v>590</v>
      </c>
      <c r="C411" s="13">
        <v>2</v>
      </c>
      <c r="D411" s="18">
        <v>6018</v>
      </c>
      <c r="E411" s="15">
        <v>1.1739999999999999</v>
      </c>
      <c r="F411" s="33">
        <f t="shared" si="6"/>
        <v>0.19508142239946824</v>
      </c>
    </row>
    <row r="412" spans="1:6" x14ac:dyDescent="0.3">
      <c r="A412" s="12">
        <v>46372</v>
      </c>
      <c r="B412" s="10" t="s">
        <v>590</v>
      </c>
      <c r="C412" s="13">
        <v>3</v>
      </c>
      <c r="D412" s="18">
        <v>5571</v>
      </c>
      <c r="E412" s="15">
        <v>1.0369999999999999</v>
      </c>
      <c r="F412" s="33">
        <f t="shared" si="6"/>
        <v>0.1861425237838808</v>
      </c>
    </row>
    <row r="413" spans="1:6" x14ac:dyDescent="0.3">
      <c r="A413" s="12">
        <v>46372</v>
      </c>
      <c r="B413" s="10" t="s">
        <v>595</v>
      </c>
      <c r="C413" s="13">
        <v>1</v>
      </c>
      <c r="D413" s="18">
        <v>5726</v>
      </c>
      <c r="E413" s="15">
        <v>0.77600000000000002</v>
      </c>
      <c r="F413" s="33">
        <f t="shared" si="6"/>
        <v>0.1355221795319595</v>
      </c>
    </row>
    <row r="414" spans="1:6" x14ac:dyDescent="0.3">
      <c r="A414" s="12">
        <v>46372</v>
      </c>
      <c r="B414" s="10" t="s">
        <v>595</v>
      </c>
      <c r="C414" s="13">
        <v>2</v>
      </c>
      <c r="D414" s="18">
        <v>6705</v>
      </c>
      <c r="E414" s="15">
        <v>1.0780000000000001</v>
      </c>
      <c r="F414" s="33">
        <f t="shared" si="6"/>
        <v>0.16077554064131247</v>
      </c>
    </row>
    <row r="415" spans="1:6" x14ac:dyDescent="0.3">
      <c r="A415" s="12">
        <v>46372</v>
      </c>
      <c r="B415" s="10" t="s">
        <v>595</v>
      </c>
      <c r="C415" s="13">
        <v>3</v>
      </c>
      <c r="D415" s="18">
        <v>6443</v>
      </c>
      <c r="E415" s="15">
        <v>0.79600000000000004</v>
      </c>
      <c r="F415" s="33">
        <f t="shared" si="6"/>
        <v>0.1235449324848673</v>
      </c>
    </row>
    <row r="416" spans="1:6" x14ac:dyDescent="0.3">
      <c r="A416" s="12">
        <v>46373</v>
      </c>
      <c r="B416" s="10" t="s">
        <v>590</v>
      </c>
      <c r="C416" s="13">
        <v>1</v>
      </c>
      <c r="D416" s="18">
        <v>6086</v>
      </c>
      <c r="E416" s="15">
        <v>1.01</v>
      </c>
      <c r="F416" s="33">
        <f t="shared" si="6"/>
        <v>0.16595465001643114</v>
      </c>
    </row>
    <row r="417" spans="1:6" x14ac:dyDescent="0.3">
      <c r="A417" s="12">
        <v>46373</v>
      </c>
      <c r="B417" s="10" t="s">
        <v>590</v>
      </c>
      <c r="C417" s="13">
        <v>2</v>
      </c>
      <c r="D417" s="18">
        <v>6620</v>
      </c>
      <c r="E417" s="15">
        <v>1.177</v>
      </c>
      <c r="F417" s="33">
        <f t="shared" si="6"/>
        <v>0.17779456193353474</v>
      </c>
    </row>
    <row r="418" spans="1:6" x14ac:dyDescent="0.3">
      <c r="A418" s="12">
        <v>46373</v>
      </c>
      <c r="B418" s="10" t="s">
        <v>590</v>
      </c>
      <c r="C418" s="13">
        <v>3</v>
      </c>
      <c r="D418" s="18">
        <v>6352</v>
      </c>
      <c r="E418" s="15">
        <v>0.93500000000000005</v>
      </c>
      <c r="F418" s="33">
        <f t="shared" si="6"/>
        <v>0.1471977329974811</v>
      </c>
    </row>
    <row r="419" spans="1:6" x14ac:dyDescent="0.3">
      <c r="A419" s="12">
        <v>46373</v>
      </c>
      <c r="B419" s="10" t="s">
        <v>595</v>
      </c>
      <c r="C419" s="13">
        <v>1</v>
      </c>
      <c r="D419" s="18">
        <v>5243</v>
      </c>
      <c r="E419" s="15">
        <v>0.73199999999999998</v>
      </c>
      <c r="F419" s="33">
        <f t="shared" si="6"/>
        <v>0.13961472439443068</v>
      </c>
    </row>
    <row r="420" spans="1:6" x14ac:dyDescent="0.3">
      <c r="A420" s="12">
        <v>46373</v>
      </c>
      <c r="B420" s="10" t="s">
        <v>595</v>
      </c>
      <c r="C420" s="13">
        <v>2</v>
      </c>
      <c r="D420" s="18">
        <v>6922</v>
      </c>
      <c r="E420" s="15">
        <v>1.0580000000000001</v>
      </c>
      <c r="F420" s="33">
        <f t="shared" si="6"/>
        <v>0.15284599826639703</v>
      </c>
    </row>
    <row r="421" spans="1:6" x14ac:dyDescent="0.3">
      <c r="A421" s="12">
        <v>46373</v>
      </c>
      <c r="B421" s="10" t="s">
        <v>595</v>
      </c>
      <c r="C421" s="13">
        <v>3</v>
      </c>
      <c r="D421" s="18">
        <v>5627</v>
      </c>
      <c r="E421" s="15">
        <v>0.81299999999999994</v>
      </c>
      <c r="F421" s="33">
        <f t="shared" si="6"/>
        <v>0.14448196196907764</v>
      </c>
    </row>
    <row r="422" spans="1:6" x14ac:dyDescent="0.3">
      <c r="A422" s="12">
        <v>46374</v>
      </c>
      <c r="B422" s="10" t="s">
        <v>590</v>
      </c>
      <c r="C422" s="13">
        <v>1</v>
      </c>
      <c r="D422" s="18">
        <v>5253</v>
      </c>
      <c r="E422" s="15">
        <v>0.94</v>
      </c>
      <c r="F422" s="33">
        <f t="shared" si="6"/>
        <v>0.17894536455358842</v>
      </c>
    </row>
    <row r="423" spans="1:6" x14ac:dyDescent="0.3">
      <c r="A423" s="12">
        <v>46374</v>
      </c>
      <c r="B423" s="10" t="s">
        <v>590</v>
      </c>
      <c r="C423" s="13">
        <v>2</v>
      </c>
      <c r="D423" s="18">
        <v>6976</v>
      </c>
      <c r="E423" s="15">
        <v>1.3169999999999999</v>
      </c>
      <c r="F423" s="33">
        <f t="shared" si="6"/>
        <v>0.18879013761467889</v>
      </c>
    </row>
    <row r="424" spans="1:6" x14ac:dyDescent="0.3">
      <c r="A424" s="12">
        <v>46374</v>
      </c>
      <c r="B424" s="10" t="s">
        <v>590</v>
      </c>
      <c r="C424" s="13">
        <v>3</v>
      </c>
      <c r="D424" s="18">
        <v>5984</v>
      </c>
      <c r="E424" s="15">
        <v>0.877</v>
      </c>
      <c r="F424" s="33">
        <f t="shared" si="6"/>
        <v>0.14655748663101603</v>
      </c>
    </row>
    <row r="425" spans="1:6" x14ac:dyDescent="0.3">
      <c r="A425" s="12">
        <v>46374</v>
      </c>
      <c r="B425" s="10" t="s">
        <v>595</v>
      </c>
      <c r="C425" s="13">
        <v>1</v>
      </c>
      <c r="D425" s="18">
        <v>6836</v>
      </c>
      <c r="E425" s="15">
        <v>0.96699999999999997</v>
      </c>
      <c r="F425" s="33">
        <f t="shared" si="6"/>
        <v>0.14145699239321241</v>
      </c>
    </row>
    <row r="426" spans="1:6" x14ac:dyDescent="0.3">
      <c r="A426" s="12">
        <v>46374</v>
      </c>
      <c r="B426" s="10" t="s">
        <v>595</v>
      </c>
      <c r="C426" s="13">
        <v>2</v>
      </c>
      <c r="D426" s="18">
        <v>6467</v>
      </c>
      <c r="E426" s="15">
        <v>0.98899999999999999</v>
      </c>
      <c r="F426" s="33">
        <f t="shared" si="6"/>
        <v>0.15293026132673573</v>
      </c>
    </row>
    <row r="427" spans="1:6" x14ac:dyDescent="0.3">
      <c r="A427" s="12">
        <v>46374</v>
      </c>
      <c r="B427" s="10" t="s">
        <v>595</v>
      </c>
      <c r="C427" s="13">
        <v>3</v>
      </c>
      <c r="D427" s="18">
        <v>5853</v>
      </c>
      <c r="E427" s="15">
        <v>0.81</v>
      </c>
      <c r="F427" s="33">
        <f t="shared" si="6"/>
        <v>0.13839056893900564</v>
      </c>
    </row>
    <row r="428" spans="1:6" x14ac:dyDescent="0.3">
      <c r="A428" s="12">
        <v>46377</v>
      </c>
      <c r="B428" s="10" t="s">
        <v>590</v>
      </c>
      <c r="C428" s="13">
        <v>1</v>
      </c>
      <c r="D428" s="18">
        <v>5911</v>
      </c>
      <c r="E428" s="15">
        <v>0.95199999999999996</v>
      </c>
      <c r="F428" s="33">
        <f t="shared" si="6"/>
        <v>0.16105565894095752</v>
      </c>
    </row>
    <row r="429" spans="1:6" x14ac:dyDescent="0.3">
      <c r="A429" s="12">
        <v>46377</v>
      </c>
      <c r="B429" s="10" t="s">
        <v>590</v>
      </c>
      <c r="C429" s="13">
        <v>2</v>
      </c>
      <c r="D429" s="18">
        <v>5382</v>
      </c>
      <c r="E429" s="15">
        <v>0.94</v>
      </c>
      <c r="F429" s="33">
        <f t="shared" si="6"/>
        <v>0.17465626161278333</v>
      </c>
    </row>
    <row r="430" spans="1:6" x14ac:dyDescent="0.3">
      <c r="A430" s="12">
        <v>46377</v>
      </c>
      <c r="B430" s="10" t="s">
        <v>590</v>
      </c>
      <c r="C430" s="13">
        <v>3</v>
      </c>
      <c r="D430" s="18">
        <v>6869</v>
      </c>
      <c r="E430" s="15">
        <v>1.0489999999999999</v>
      </c>
      <c r="F430" s="33">
        <f t="shared" si="6"/>
        <v>0.15271509681176298</v>
      </c>
    </row>
    <row r="431" spans="1:6" x14ac:dyDescent="0.3">
      <c r="A431" s="12">
        <v>46377</v>
      </c>
      <c r="B431" s="10" t="s">
        <v>595</v>
      </c>
      <c r="C431" s="13">
        <v>1</v>
      </c>
      <c r="D431" s="18">
        <v>5201</v>
      </c>
      <c r="E431" s="15">
        <v>0.72199999999999998</v>
      </c>
      <c r="F431" s="33">
        <f t="shared" si="6"/>
        <v>0.13881945779657756</v>
      </c>
    </row>
    <row r="432" spans="1:6" x14ac:dyDescent="0.3">
      <c r="A432" s="12">
        <v>46377</v>
      </c>
      <c r="B432" s="10" t="s">
        <v>595</v>
      </c>
      <c r="C432" s="13">
        <v>2</v>
      </c>
      <c r="D432" s="18">
        <v>6079</v>
      </c>
      <c r="E432" s="15">
        <v>0.95499999999999996</v>
      </c>
      <c r="F432" s="33">
        <f t="shared" si="6"/>
        <v>0.15709820694193122</v>
      </c>
    </row>
    <row r="433" spans="1:6" x14ac:dyDescent="0.3">
      <c r="A433" s="12">
        <v>46377</v>
      </c>
      <c r="B433" s="10" t="s">
        <v>595</v>
      </c>
      <c r="C433" s="13">
        <v>3</v>
      </c>
      <c r="D433" s="18">
        <v>4968</v>
      </c>
      <c r="E433" s="15">
        <v>0.65500000000000003</v>
      </c>
      <c r="F433" s="33">
        <f t="shared" si="6"/>
        <v>0.13184380032206119</v>
      </c>
    </row>
    <row r="434" spans="1:6" x14ac:dyDescent="0.3">
      <c r="A434" s="12">
        <v>46378</v>
      </c>
      <c r="B434" s="10" t="s">
        <v>590</v>
      </c>
      <c r="C434" s="13">
        <v>1</v>
      </c>
      <c r="D434" s="18">
        <v>5582</v>
      </c>
      <c r="E434" s="15">
        <v>0.96899999999999997</v>
      </c>
      <c r="F434" s="33">
        <f t="shared" si="6"/>
        <v>0.17359369401648153</v>
      </c>
    </row>
    <row r="435" spans="1:6" x14ac:dyDescent="0.3">
      <c r="A435" s="12">
        <v>46378</v>
      </c>
      <c r="B435" s="10" t="s">
        <v>590</v>
      </c>
      <c r="C435" s="13">
        <v>2</v>
      </c>
      <c r="D435" s="18">
        <v>5689</v>
      </c>
      <c r="E435" s="15">
        <v>1.0649999999999999</v>
      </c>
      <c r="F435" s="33">
        <f t="shared" si="6"/>
        <v>0.18720337493408332</v>
      </c>
    </row>
    <row r="436" spans="1:6" x14ac:dyDescent="0.3">
      <c r="A436" s="12">
        <v>46378</v>
      </c>
      <c r="B436" s="10" t="s">
        <v>590</v>
      </c>
      <c r="C436" s="13">
        <v>3</v>
      </c>
      <c r="D436" s="18">
        <v>6118</v>
      </c>
      <c r="E436" s="15">
        <v>0.98299999999999998</v>
      </c>
      <c r="F436" s="33">
        <f t="shared" si="6"/>
        <v>0.16067342268715265</v>
      </c>
    </row>
    <row r="437" spans="1:6" x14ac:dyDescent="0.3">
      <c r="A437" s="12">
        <v>46378</v>
      </c>
      <c r="B437" s="10" t="s">
        <v>595</v>
      </c>
      <c r="C437" s="13">
        <v>1</v>
      </c>
      <c r="D437" s="18">
        <v>6288</v>
      </c>
      <c r="E437" s="15">
        <v>0.85</v>
      </c>
      <c r="F437" s="33">
        <f t="shared" si="6"/>
        <v>0.13517811704834604</v>
      </c>
    </row>
    <row r="438" spans="1:6" x14ac:dyDescent="0.3">
      <c r="A438" s="12">
        <v>46378</v>
      </c>
      <c r="B438" s="10" t="s">
        <v>595</v>
      </c>
      <c r="C438" s="13">
        <v>2</v>
      </c>
      <c r="D438" s="18">
        <v>5751</v>
      </c>
      <c r="E438" s="15">
        <v>0.85199999999999998</v>
      </c>
      <c r="F438" s="33">
        <f t="shared" si="6"/>
        <v>0.14814814814814814</v>
      </c>
    </row>
    <row r="439" spans="1:6" x14ac:dyDescent="0.3">
      <c r="A439" s="12">
        <v>46378</v>
      </c>
      <c r="B439" s="10" t="s">
        <v>595</v>
      </c>
      <c r="C439" s="13">
        <v>3</v>
      </c>
      <c r="D439" s="18">
        <v>5971</v>
      </c>
      <c r="E439" s="15">
        <v>0.87</v>
      </c>
      <c r="F439" s="33">
        <f t="shared" si="6"/>
        <v>0.14570423714620667</v>
      </c>
    </row>
    <row r="440" spans="1:6" x14ac:dyDescent="0.3">
      <c r="A440" s="12">
        <v>46379</v>
      </c>
      <c r="B440" s="10" t="s">
        <v>590</v>
      </c>
      <c r="C440" s="13">
        <v>1</v>
      </c>
      <c r="D440" s="18">
        <v>5784</v>
      </c>
      <c r="E440" s="15">
        <v>0.94499999999999995</v>
      </c>
      <c r="F440" s="33">
        <f t="shared" si="6"/>
        <v>0.16338174273858921</v>
      </c>
    </row>
    <row r="441" spans="1:6" x14ac:dyDescent="0.3">
      <c r="A441" s="12">
        <v>46379</v>
      </c>
      <c r="B441" s="10" t="s">
        <v>590</v>
      </c>
      <c r="C441" s="13">
        <v>2</v>
      </c>
      <c r="D441" s="18">
        <v>6183</v>
      </c>
      <c r="E441" s="15">
        <v>1.121</v>
      </c>
      <c r="F441" s="33">
        <f t="shared" si="6"/>
        <v>0.18130357431667476</v>
      </c>
    </row>
    <row r="442" spans="1:6" x14ac:dyDescent="0.3">
      <c r="A442" s="12">
        <v>46379</v>
      </c>
      <c r="B442" s="10" t="s">
        <v>590</v>
      </c>
      <c r="C442" s="13">
        <v>3</v>
      </c>
      <c r="D442" s="18">
        <v>6823</v>
      </c>
      <c r="E442" s="15">
        <v>1.0149999999999999</v>
      </c>
      <c r="F442" s="33">
        <f t="shared" si="6"/>
        <v>0.14876154184376372</v>
      </c>
    </row>
    <row r="443" spans="1:6" x14ac:dyDescent="0.3">
      <c r="A443" s="12">
        <v>46379</v>
      </c>
      <c r="B443" s="10" t="s">
        <v>595</v>
      </c>
      <c r="C443" s="13">
        <v>1</v>
      </c>
      <c r="D443" s="18">
        <v>7229</v>
      </c>
      <c r="E443" s="15">
        <v>1.123</v>
      </c>
      <c r="F443" s="33">
        <f t="shared" si="6"/>
        <v>0.15534652095725549</v>
      </c>
    </row>
    <row r="444" spans="1:6" x14ac:dyDescent="0.3">
      <c r="A444" s="12">
        <v>46379</v>
      </c>
      <c r="B444" s="10" t="s">
        <v>595</v>
      </c>
      <c r="C444" s="13">
        <v>2</v>
      </c>
      <c r="D444" s="18">
        <v>5445</v>
      </c>
      <c r="E444" s="15">
        <v>0.77800000000000002</v>
      </c>
      <c r="F444" s="33">
        <f t="shared" si="6"/>
        <v>0.14288337924701561</v>
      </c>
    </row>
    <row r="445" spans="1:6" x14ac:dyDescent="0.3">
      <c r="A445" s="12">
        <v>46379</v>
      </c>
      <c r="B445" s="10" t="s">
        <v>595</v>
      </c>
      <c r="C445" s="13">
        <v>3</v>
      </c>
      <c r="D445" s="18">
        <v>6161</v>
      </c>
      <c r="E445" s="15">
        <v>0.91700000000000004</v>
      </c>
      <c r="F445" s="33">
        <f t="shared" si="6"/>
        <v>0.14883947411134557</v>
      </c>
    </row>
    <row r="446" spans="1:6" x14ac:dyDescent="0.3">
      <c r="A446" s="12">
        <v>46380</v>
      </c>
      <c r="B446" s="10" t="s">
        <v>590</v>
      </c>
      <c r="C446" s="13">
        <v>1</v>
      </c>
      <c r="D446" s="18">
        <v>7024</v>
      </c>
      <c r="E446" s="15">
        <v>1.1359999999999999</v>
      </c>
      <c r="F446" s="33">
        <f t="shared" si="6"/>
        <v>0.16173120728929383</v>
      </c>
    </row>
    <row r="447" spans="1:6" x14ac:dyDescent="0.3">
      <c r="A447" s="12">
        <v>46380</v>
      </c>
      <c r="B447" s="10" t="s">
        <v>590</v>
      </c>
      <c r="C447" s="13">
        <v>2</v>
      </c>
      <c r="D447" s="18">
        <v>5721</v>
      </c>
      <c r="E447" s="15">
        <v>1.101</v>
      </c>
      <c r="F447" s="33">
        <f t="shared" si="6"/>
        <v>0.19244887257472471</v>
      </c>
    </row>
    <row r="448" spans="1:6" x14ac:dyDescent="0.3">
      <c r="A448" s="12">
        <v>46380</v>
      </c>
      <c r="B448" s="10" t="s">
        <v>590</v>
      </c>
      <c r="C448" s="13">
        <v>3</v>
      </c>
      <c r="D448" s="18">
        <v>6104</v>
      </c>
      <c r="E448" s="15">
        <v>0.94899999999999995</v>
      </c>
      <c r="F448" s="33">
        <f t="shared" si="6"/>
        <v>0.15547182175622543</v>
      </c>
    </row>
    <row r="449" spans="1:6" x14ac:dyDescent="0.3">
      <c r="A449" s="12">
        <v>46380</v>
      </c>
      <c r="B449" s="10" t="s">
        <v>595</v>
      </c>
      <c r="C449" s="13">
        <v>1</v>
      </c>
      <c r="D449" s="18">
        <v>4690</v>
      </c>
      <c r="E449" s="15">
        <v>0.58799999999999997</v>
      </c>
      <c r="F449" s="33">
        <f t="shared" si="6"/>
        <v>0.1253731343283582</v>
      </c>
    </row>
    <row r="450" spans="1:6" x14ac:dyDescent="0.3">
      <c r="A450" s="12">
        <v>46380</v>
      </c>
      <c r="B450" s="10" t="s">
        <v>595</v>
      </c>
      <c r="C450" s="13">
        <v>2</v>
      </c>
      <c r="D450" s="18">
        <v>5400</v>
      </c>
      <c r="E450" s="15">
        <v>0.78500000000000003</v>
      </c>
      <c r="F450" s="33">
        <f t="shared" ref="F450:F513" si="7">E450/D450*1000</f>
        <v>0.14537037037037037</v>
      </c>
    </row>
    <row r="451" spans="1:6" x14ac:dyDescent="0.3">
      <c r="A451" s="12">
        <v>46380</v>
      </c>
      <c r="B451" s="10" t="s">
        <v>595</v>
      </c>
      <c r="C451" s="13">
        <v>3</v>
      </c>
      <c r="D451" s="18">
        <v>6393</v>
      </c>
      <c r="E451" s="15">
        <v>0.83799999999999997</v>
      </c>
      <c r="F451" s="33">
        <f t="shared" si="7"/>
        <v>0.13108086970123572</v>
      </c>
    </row>
    <row r="452" spans="1:6" x14ac:dyDescent="0.3">
      <c r="A452" s="12">
        <v>46384</v>
      </c>
      <c r="B452" s="10" t="s">
        <v>590</v>
      </c>
      <c r="C452" s="13">
        <v>1</v>
      </c>
      <c r="D452" s="18">
        <v>5671</v>
      </c>
      <c r="E452" s="15">
        <v>0.996</v>
      </c>
      <c r="F452" s="33">
        <f t="shared" si="7"/>
        <v>0.17563040028213719</v>
      </c>
    </row>
    <row r="453" spans="1:6" x14ac:dyDescent="0.3">
      <c r="A453" s="12">
        <v>46384</v>
      </c>
      <c r="B453" s="10" t="s">
        <v>590</v>
      </c>
      <c r="C453" s="13">
        <v>2</v>
      </c>
      <c r="D453" s="18">
        <v>6713</v>
      </c>
      <c r="E453" s="15">
        <v>1.1990000000000001</v>
      </c>
      <c r="F453" s="33">
        <f t="shared" si="7"/>
        <v>0.1786086697452704</v>
      </c>
    </row>
    <row r="454" spans="1:6" x14ac:dyDescent="0.3">
      <c r="A454" s="12">
        <v>46384</v>
      </c>
      <c r="B454" s="10" t="s">
        <v>590</v>
      </c>
      <c r="C454" s="13">
        <v>3</v>
      </c>
      <c r="D454" s="18">
        <v>6809</v>
      </c>
      <c r="E454" s="15">
        <v>1.2250000000000001</v>
      </c>
      <c r="F454" s="33">
        <f t="shared" si="7"/>
        <v>0.17990894404464683</v>
      </c>
    </row>
    <row r="455" spans="1:6" x14ac:dyDescent="0.3">
      <c r="A455" s="12">
        <v>46384</v>
      </c>
      <c r="B455" s="10" t="s">
        <v>595</v>
      </c>
      <c r="C455" s="13">
        <v>1</v>
      </c>
      <c r="D455" s="18">
        <v>6595</v>
      </c>
      <c r="E455" s="15">
        <v>0.97199999999999998</v>
      </c>
      <c r="F455" s="33">
        <f t="shared" si="7"/>
        <v>0.14738438210765731</v>
      </c>
    </row>
    <row r="456" spans="1:6" x14ac:dyDescent="0.3">
      <c r="A456" s="12">
        <v>46384</v>
      </c>
      <c r="B456" s="10" t="s">
        <v>595</v>
      </c>
      <c r="C456" s="13">
        <v>2</v>
      </c>
      <c r="D456" s="18">
        <v>6231</v>
      </c>
      <c r="E456" s="15">
        <v>0.876</v>
      </c>
      <c r="F456" s="33">
        <f t="shared" si="7"/>
        <v>0.14058738565238324</v>
      </c>
    </row>
    <row r="457" spans="1:6" x14ac:dyDescent="0.3">
      <c r="A457" s="12">
        <v>46384</v>
      </c>
      <c r="B457" s="10" t="s">
        <v>595</v>
      </c>
      <c r="C457" s="13">
        <v>3</v>
      </c>
      <c r="D457" s="18">
        <v>5841</v>
      </c>
      <c r="E457" s="15">
        <v>0.79600000000000004</v>
      </c>
      <c r="F457" s="33">
        <f t="shared" si="7"/>
        <v>0.13627803458311935</v>
      </c>
    </row>
    <row r="458" spans="1:6" x14ac:dyDescent="0.3">
      <c r="A458" s="12">
        <v>46385</v>
      </c>
      <c r="B458" s="10" t="s">
        <v>590</v>
      </c>
      <c r="C458" s="13">
        <v>1</v>
      </c>
      <c r="D458" s="18">
        <v>5048</v>
      </c>
      <c r="E458" s="15">
        <v>0.83299999999999996</v>
      </c>
      <c r="F458" s="33">
        <f t="shared" si="7"/>
        <v>0.16501584786053883</v>
      </c>
    </row>
    <row r="459" spans="1:6" x14ac:dyDescent="0.3">
      <c r="A459" s="12">
        <v>46385</v>
      </c>
      <c r="B459" s="10" t="s">
        <v>590</v>
      </c>
      <c r="C459" s="13">
        <v>2</v>
      </c>
      <c r="D459" s="18">
        <v>5990</v>
      </c>
      <c r="E459" s="15">
        <v>1.08</v>
      </c>
      <c r="F459" s="33">
        <f t="shared" si="7"/>
        <v>0.18030050083472454</v>
      </c>
    </row>
    <row r="460" spans="1:6" x14ac:dyDescent="0.3">
      <c r="A460" s="12">
        <v>46385</v>
      </c>
      <c r="B460" s="10" t="s">
        <v>590</v>
      </c>
      <c r="C460" s="13">
        <v>3</v>
      </c>
      <c r="D460" s="18">
        <v>6015</v>
      </c>
      <c r="E460" s="15">
        <v>0.96499999999999997</v>
      </c>
      <c r="F460" s="33">
        <f t="shared" si="7"/>
        <v>0.16043225270157938</v>
      </c>
    </row>
    <row r="461" spans="1:6" x14ac:dyDescent="0.3">
      <c r="A461" s="12">
        <v>46385</v>
      </c>
      <c r="B461" s="10" t="s">
        <v>595</v>
      </c>
      <c r="C461" s="13">
        <v>1</v>
      </c>
      <c r="D461" s="18">
        <v>6086</v>
      </c>
      <c r="E461" s="15">
        <v>0.75</v>
      </c>
      <c r="F461" s="33">
        <f t="shared" si="7"/>
        <v>0.12323365100230037</v>
      </c>
    </row>
    <row r="462" spans="1:6" x14ac:dyDescent="0.3">
      <c r="A462" s="12">
        <v>46385</v>
      </c>
      <c r="B462" s="10" t="s">
        <v>595</v>
      </c>
      <c r="C462" s="13">
        <v>2</v>
      </c>
      <c r="D462" s="18">
        <v>5737</v>
      </c>
      <c r="E462" s="15">
        <v>0.88</v>
      </c>
      <c r="F462" s="33">
        <f t="shared" si="7"/>
        <v>0.15339027366219279</v>
      </c>
    </row>
    <row r="463" spans="1:6" x14ac:dyDescent="0.3">
      <c r="A463" s="12">
        <v>46385</v>
      </c>
      <c r="B463" s="10" t="s">
        <v>595</v>
      </c>
      <c r="C463" s="13">
        <v>3</v>
      </c>
      <c r="D463" s="18">
        <v>6155</v>
      </c>
      <c r="E463" s="15">
        <v>0.89700000000000002</v>
      </c>
      <c r="F463" s="33">
        <f t="shared" si="7"/>
        <v>0.14573517465475225</v>
      </c>
    </row>
    <row r="464" spans="1:6" x14ac:dyDescent="0.3">
      <c r="A464" s="12">
        <v>46386</v>
      </c>
      <c r="B464" s="10" t="s">
        <v>590</v>
      </c>
      <c r="C464" s="13">
        <v>1</v>
      </c>
      <c r="D464" s="18">
        <v>6342</v>
      </c>
      <c r="E464" s="15">
        <v>1.0660000000000001</v>
      </c>
      <c r="F464" s="33">
        <f t="shared" si="7"/>
        <v>0.16808577735730054</v>
      </c>
    </row>
    <row r="465" spans="1:6" x14ac:dyDescent="0.3">
      <c r="A465" s="12">
        <v>46386</v>
      </c>
      <c r="B465" s="10" t="s">
        <v>590</v>
      </c>
      <c r="C465" s="13">
        <v>2</v>
      </c>
      <c r="D465" s="18">
        <v>6359</v>
      </c>
      <c r="E465" s="15">
        <v>1.167</v>
      </c>
      <c r="F465" s="33">
        <f t="shared" si="7"/>
        <v>0.18351942129265608</v>
      </c>
    </row>
    <row r="466" spans="1:6" x14ac:dyDescent="0.3">
      <c r="A466" s="12">
        <v>46386</v>
      </c>
      <c r="B466" s="10" t="s">
        <v>590</v>
      </c>
      <c r="C466" s="13">
        <v>3</v>
      </c>
      <c r="D466" s="18">
        <v>6236</v>
      </c>
      <c r="E466" s="15">
        <v>0.96899999999999997</v>
      </c>
      <c r="F466" s="33">
        <f t="shared" si="7"/>
        <v>0.1553880692751764</v>
      </c>
    </row>
    <row r="467" spans="1:6" x14ac:dyDescent="0.3">
      <c r="A467" s="12">
        <v>46386</v>
      </c>
      <c r="B467" s="10" t="s">
        <v>595</v>
      </c>
      <c r="C467" s="13">
        <v>1</v>
      </c>
      <c r="D467" s="18">
        <v>6146</v>
      </c>
      <c r="E467" s="15">
        <v>0.83199999999999996</v>
      </c>
      <c r="F467" s="33">
        <f t="shared" si="7"/>
        <v>0.13537260006508298</v>
      </c>
    </row>
    <row r="468" spans="1:6" x14ac:dyDescent="0.3">
      <c r="A468" s="12">
        <v>46386</v>
      </c>
      <c r="B468" s="10" t="s">
        <v>595</v>
      </c>
      <c r="C468" s="13">
        <v>2</v>
      </c>
      <c r="D468" s="18">
        <v>6403</v>
      </c>
      <c r="E468" s="15">
        <v>0.93300000000000005</v>
      </c>
      <c r="F468" s="33">
        <f t="shared" si="7"/>
        <v>0.14571294705606749</v>
      </c>
    </row>
    <row r="469" spans="1:6" x14ac:dyDescent="0.3">
      <c r="A469" s="12">
        <v>46386</v>
      </c>
      <c r="B469" s="10" t="s">
        <v>595</v>
      </c>
      <c r="C469" s="13">
        <v>3</v>
      </c>
      <c r="D469" s="18">
        <v>5852</v>
      </c>
      <c r="E469" s="15">
        <v>0.84799999999999998</v>
      </c>
      <c r="F469" s="33">
        <f t="shared" si="7"/>
        <v>0.14490772385509226</v>
      </c>
    </row>
    <row r="470" spans="1:6" x14ac:dyDescent="0.3">
      <c r="A470" s="12">
        <v>46387</v>
      </c>
      <c r="B470" s="10" t="s">
        <v>590</v>
      </c>
      <c r="C470" s="13">
        <v>1</v>
      </c>
      <c r="D470" s="18">
        <v>5672</v>
      </c>
      <c r="E470" s="15">
        <v>0.93799999999999994</v>
      </c>
      <c r="F470" s="33">
        <f t="shared" si="7"/>
        <v>0.16537376586741889</v>
      </c>
    </row>
    <row r="471" spans="1:6" x14ac:dyDescent="0.3">
      <c r="A471" s="12">
        <v>46387</v>
      </c>
      <c r="B471" s="10" t="s">
        <v>590</v>
      </c>
      <c r="C471" s="13">
        <v>2</v>
      </c>
      <c r="D471" s="18">
        <v>5631</v>
      </c>
      <c r="E471" s="15">
        <v>1.034</v>
      </c>
      <c r="F471" s="33">
        <f t="shared" si="7"/>
        <v>0.18362635411117031</v>
      </c>
    </row>
    <row r="472" spans="1:6" x14ac:dyDescent="0.3">
      <c r="A472" s="12">
        <v>46387</v>
      </c>
      <c r="B472" s="10" t="s">
        <v>590</v>
      </c>
      <c r="C472" s="13">
        <v>3</v>
      </c>
      <c r="D472" s="18">
        <v>6254</v>
      </c>
      <c r="E472" s="15">
        <v>1.0109999999999999</v>
      </c>
      <c r="F472" s="33">
        <f t="shared" si="7"/>
        <v>0.16165653981451869</v>
      </c>
    </row>
    <row r="473" spans="1:6" x14ac:dyDescent="0.3">
      <c r="A473" s="12">
        <v>46387</v>
      </c>
      <c r="B473" s="10" t="s">
        <v>595</v>
      </c>
      <c r="C473" s="13">
        <v>1</v>
      </c>
      <c r="D473" s="18">
        <v>5951</v>
      </c>
      <c r="E473" s="15">
        <v>0.84</v>
      </c>
      <c r="F473" s="33">
        <f t="shared" si="7"/>
        <v>0.14115274743740547</v>
      </c>
    </row>
    <row r="474" spans="1:6" x14ac:dyDescent="0.3">
      <c r="A474" s="12">
        <v>46387</v>
      </c>
      <c r="B474" s="10" t="s">
        <v>595</v>
      </c>
      <c r="C474" s="13">
        <v>2</v>
      </c>
      <c r="D474" s="18">
        <v>5791</v>
      </c>
      <c r="E474" s="15">
        <v>0.80300000000000005</v>
      </c>
      <c r="F474" s="33">
        <f t="shared" si="7"/>
        <v>0.13866344327404595</v>
      </c>
    </row>
    <row r="475" spans="1:6" x14ac:dyDescent="0.3">
      <c r="A475" s="12">
        <v>46387</v>
      </c>
      <c r="B475" s="10" t="s">
        <v>595</v>
      </c>
      <c r="C475" s="13">
        <v>3</v>
      </c>
      <c r="D475" s="18">
        <v>6679</v>
      </c>
      <c r="E475" s="15">
        <v>0.93899999999999995</v>
      </c>
      <c r="F475" s="33">
        <f t="shared" si="7"/>
        <v>0.1405899086689624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P110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24" customWidth="1"/>
    <col min="4" max="4" width="30" customWidth="1"/>
    <col min="5" max="5" width="26" customWidth="1"/>
    <col min="6" max="6" width="10" customWidth="1"/>
    <col min="7" max="7" width="12" customWidth="1"/>
    <col min="8" max="9" width="9" customWidth="1"/>
    <col min="10" max="10" width="20" customWidth="1"/>
    <col min="11" max="11" width="30" customWidth="1"/>
    <col min="12" max="12" width="8" customWidth="1"/>
    <col min="13" max="13" width="12" customWidth="1"/>
    <col min="14" max="14" width="8" customWidth="1"/>
    <col min="15" max="15" width="9" customWidth="1"/>
    <col min="16" max="16" width="12" customWidth="1"/>
  </cols>
  <sheetData>
    <row r="1" spans="1:16" ht="17.399999999999999" x14ac:dyDescent="0.3">
      <c r="A1" s="1" t="s">
        <v>596</v>
      </c>
    </row>
    <row r="2" spans="1:16" x14ac:dyDescent="0.3">
      <c r="A2" s="2" t="s">
        <v>597</v>
      </c>
    </row>
    <row r="4" spans="1:16" ht="26.4" x14ac:dyDescent="0.3">
      <c r="A4" s="8" t="s">
        <v>598</v>
      </c>
      <c r="B4" s="8" t="s">
        <v>583</v>
      </c>
      <c r="C4" s="8" t="s">
        <v>599</v>
      </c>
      <c r="D4" s="8" t="s">
        <v>600</v>
      </c>
      <c r="E4" s="8" t="s">
        <v>601</v>
      </c>
      <c r="F4" s="8" t="s">
        <v>257</v>
      </c>
      <c r="G4" s="8" t="s">
        <v>80</v>
      </c>
      <c r="H4" s="8" t="s">
        <v>602</v>
      </c>
      <c r="I4" s="8" t="s">
        <v>603</v>
      </c>
      <c r="J4" s="8" t="s">
        <v>604</v>
      </c>
      <c r="K4" s="8" t="s">
        <v>605</v>
      </c>
      <c r="L4" s="8" t="s">
        <v>606</v>
      </c>
      <c r="M4" s="8" t="s">
        <v>607</v>
      </c>
      <c r="N4" s="8" t="s">
        <v>608</v>
      </c>
      <c r="O4" s="9" t="s">
        <v>609</v>
      </c>
      <c r="P4" s="9" t="s">
        <v>610</v>
      </c>
    </row>
    <row r="5" spans="1:16" ht="18" customHeight="1" x14ac:dyDescent="0.3">
      <c r="A5" s="10" t="s">
        <v>611</v>
      </c>
      <c r="B5" s="12">
        <v>45006</v>
      </c>
      <c r="C5" s="10" t="s">
        <v>612</v>
      </c>
      <c r="D5" s="10" t="s">
        <v>613</v>
      </c>
      <c r="E5" s="10" t="s">
        <v>614</v>
      </c>
      <c r="F5" s="20">
        <v>27</v>
      </c>
      <c r="G5" s="10" t="s">
        <v>615</v>
      </c>
      <c r="H5" s="20"/>
      <c r="I5" s="20">
        <v>200</v>
      </c>
      <c r="J5" s="10" t="s">
        <v>616</v>
      </c>
      <c r="K5" s="10" t="s">
        <v>617</v>
      </c>
      <c r="L5" s="10" t="s">
        <v>488</v>
      </c>
      <c r="M5" s="10" t="s">
        <v>618</v>
      </c>
      <c r="N5" s="10" t="s">
        <v>619</v>
      </c>
      <c r="O5" s="36">
        <f t="shared" ref="O5:O36" si="0">IF(OR(F5="",I5=""),"",F5/I5)</f>
        <v>0.13500000000000001</v>
      </c>
      <c r="P5" s="11" t="str">
        <f t="shared" ref="P5:P36" si="1">IF(F5="","",IF(OR(AND(H5&lt;&gt;"",F5&lt;H5),F5&gt;I5),"Não conforme","Conforme"))</f>
        <v>Conforme</v>
      </c>
    </row>
    <row r="6" spans="1:16" ht="18" customHeight="1" x14ac:dyDescent="0.3">
      <c r="A6" s="10" t="s">
        <v>620</v>
      </c>
      <c r="B6" s="12">
        <v>45006</v>
      </c>
      <c r="C6" s="10" t="s">
        <v>612</v>
      </c>
      <c r="D6" s="10" t="s">
        <v>613</v>
      </c>
      <c r="E6" s="10" t="s">
        <v>621</v>
      </c>
      <c r="F6" s="20">
        <v>0.05</v>
      </c>
      <c r="G6" s="10" t="s">
        <v>622</v>
      </c>
      <c r="H6" s="20"/>
      <c r="I6" s="20">
        <v>2</v>
      </c>
      <c r="J6" s="10" t="s">
        <v>623</v>
      </c>
      <c r="K6" s="10" t="s">
        <v>617</v>
      </c>
      <c r="L6" s="10" t="s">
        <v>488</v>
      </c>
      <c r="M6" s="10" t="s">
        <v>618</v>
      </c>
      <c r="N6" s="10" t="s">
        <v>619</v>
      </c>
      <c r="O6" s="36">
        <f t="shared" si="0"/>
        <v>2.5000000000000001E-2</v>
      </c>
      <c r="P6" s="11" t="str">
        <f t="shared" si="1"/>
        <v>Conforme</v>
      </c>
    </row>
    <row r="7" spans="1:16" ht="18" customHeight="1" x14ac:dyDescent="0.3">
      <c r="A7" s="10" t="s">
        <v>624</v>
      </c>
      <c r="B7" s="12">
        <v>45183</v>
      </c>
      <c r="C7" s="10" t="s">
        <v>625</v>
      </c>
      <c r="D7" s="10" t="s">
        <v>626</v>
      </c>
      <c r="E7" s="10" t="s">
        <v>627</v>
      </c>
      <c r="F7" s="20">
        <v>47</v>
      </c>
      <c r="G7" s="10" t="s">
        <v>628</v>
      </c>
      <c r="H7" s="20"/>
      <c r="I7" s="20">
        <v>55</v>
      </c>
      <c r="J7" s="10" t="s">
        <v>616</v>
      </c>
      <c r="K7" s="10" t="s">
        <v>617</v>
      </c>
      <c r="L7" s="10" t="s">
        <v>488</v>
      </c>
      <c r="M7" s="10" t="s">
        <v>629</v>
      </c>
      <c r="N7" s="10" t="s">
        <v>630</v>
      </c>
      <c r="O7" s="36">
        <f t="shared" si="0"/>
        <v>0.8545454545454545</v>
      </c>
      <c r="P7" s="11" t="str">
        <f t="shared" si="1"/>
        <v>Conforme</v>
      </c>
    </row>
    <row r="8" spans="1:16" ht="18" customHeight="1" x14ac:dyDescent="0.3">
      <c r="A8" s="10" t="s">
        <v>631</v>
      </c>
      <c r="B8" s="12">
        <v>45183</v>
      </c>
      <c r="C8" s="10" t="s">
        <v>625</v>
      </c>
      <c r="D8" s="10" t="s">
        <v>626</v>
      </c>
      <c r="E8" s="10" t="s">
        <v>632</v>
      </c>
      <c r="F8" s="20">
        <v>2</v>
      </c>
      <c r="G8" s="10" t="s">
        <v>628</v>
      </c>
      <c r="H8" s="20"/>
      <c r="I8" s="20">
        <v>3</v>
      </c>
      <c r="J8" s="10" t="s">
        <v>616</v>
      </c>
      <c r="K8" s="10" t="s">
        <v>617</v>
      </c>
      <c r="L8" s="10" t="s">
        <v>488</v>
      </c>
      <c r="M8" s="10" t="s">
        <v>629</v>
      </c>
      <c r="N8" s="10" t="s">
        <v>630</v>
      </c>
      <c r="O8" s="36">
        <f t="shared" si="0"/>
        <v>0.66666666666666663</v>
      </c>
      <c r="P8" s="11" t="str">
        <f t="shared" si="1"/>
        <v>Conforme</v>
      </c>
    </row>
    <row r="9" spans="1:16" ht="18" customHeight="1" x14ac:dyDescent="0.3">
      <c r="A9" s="10" t="s">
        <v>633</v>
      </c>
      <c r="B9" s="12">
        <v>45728</v>
      </c>
      <c r="C9" s="10" t="s">
        <v>634</v>
      </c>
      <c r="D9" s="10" t="s">
        <v>635</v>
      </c>
      <c r="E9" s="10" t="s">
        <v>636</v>
      </c>
      <c r="F9" s="20">
        <v>50</v>
      </c>
      <c r="G9" s="10" t="s">
        <v>637</v>
      </c>
      <c r="H9" s="20"/>
      <c r="I9" s="20">
        <v>1000</v>
      </c>
      <c r="J9" s="10" t="s">
        <v>623</v>
      </c>
      <c r="K9" s="10" t="s">
        <v>617</v>
      </c>
      <c r="L9" s="10" t="s">
        <v>488</v>
      </c>
      <c r="M9" s="10" t="s">
        <v>638</v>
      </c>
      <c r="N9" s="10" t="s">
        <v>639</v>
      </c>
      <c r="O9" s="36">
        <f t="shared" si="0"/>
        <v>0.05</v>
      </c>
      <c r="P9" s="11" t="str">
        <f t="shared" si="1"/>
        <v>Conforme</v>
      </c>
    </row>
    <row r="10" spans="1:16" ht="18" customHeight="1" x14ac:dyDescent="0.3">
      <c r="A10" s="10" t="s">
        <v>640</v>
      </c>
      <c r="B10" s="12">
        <v>45818</v>
      </c>
      <c r="C10" s="10" t="s">
        <v>634</v>
      </c>
      <c r="D10" s="10" t="s">
        <v>635</v>
      </c>
      <c r="E10" s="10" t="s">
        <v>636</v>
      </c>
      <c r="F10" s="20">
        <v>100</v>
      </c>
      <c r="G10" s="10" t="s">
        <v>637</v>
      </c>
      <c r="H10" s="20"/>
      <c r="I10" s="20">
        <v>1000</v>
      </c>
      <c r="J10" s="10" t="s">
        <v>623</v>
      </c>
      <c r="K10" s="10" t="s">
        <v>617</v>
      </c>
      <c r="L10" s="10" t="s">
        <v>488</v>
      </c>
      <c r="M10" s="10" t="s">
        <v>641</v>
      </c>
      <c r="N10" s="10" t="s">
        <v>639</v>
      </c>
      <c r="O10" s="36">
        <f t="shared" si="0"/>
        <v>0.1</v>
      </c>
      <c r="P10" s="11" t="str">
        <f t="shared" si="1"/>
        <v>Conforme</v>
      </c>
    </row>
    <row r="11" spans="1:16" ht="18" customHeight="1" x14ac:dyDescent="0.3">
      <c r="A11" s="10" t="s">
        <v>642</v>
      </c>
      <c r="B11" s="12">
        <v>45819</v>
      </c>
      <c r="C11" s="10" t="s">
        <v>643</v>
      </c>
      <c r="D11" s="10" t="s">
        <v>644</v>
      </c>
      <c r="E11" s="10" t="s">
        <v>645</v>
      </c>
      <c r="F11" s="20">
        <v>7.6</v>
      </c>
      <c r="G11" s="10" t="s">
        <v>646</v>
      </c>
      <c r="H11" s="20">
        <v>5.5</v>
      </c>
      <c r="I11" s="20">
        <v>9.5</v>
      </c>
      <c r="J11" s="10" t="s">
        <v>616</v>
      </c>
      <c r="K11" s="10" t="s">
        <v>617</v>
      </c>
      <c r="L11" s="10" t="s">
        <v>488</v>
      </c>
      <c r="M11" s="10" t="s">
        <v>647</v>
      </c>
      <c r="N11" s="10" t="s">
        <v>648</v>
      </c>
      <c r="O11" s="36">
        <f t="shared" si="0"/>
        <v>0.79999999999999993</v>
      </c>
      <c r="P11" s="11" t="str">
        <f t="shared" si="1"/>
        <v>Conforme</v>
      </c>
    </row>
    <row r="12" spans="1:16" ht="18" customHeight="1" x14ac:dyDescent="0.3">
      <c r="A12" s="10" t="s">
        <v>649</v>
      </c>
      <c r="B12" s="12">
        <v>45819</v>
      </c>
      <c r="C12" s="10" t="s">
        <v>643</v>
      </c>
      <c r="D12" s="10" t="s">
        <v>644</v>
      </c>
      <c r="E12" s="10" t="s">
        <v>650</v>
      </c>
      <c r="F12" s="20">
        <v>162</v>
      </c>
      <c r="G12" s="10" t="s">
        <v>651</v>
      </c>
      <c r="H12" s="20"/>
      <c r="I12" s="20">
        <v>1000</v>
      </c>
      <c r="J12" s="10" t="s">
        <v>616</v>
      </c>
      <c r="K12" s="10" t="s">
        <v>617</v>
      </c>
      <c r="L12" s="10" t="s">
        <v>488</v>
      </c>
      <c r="M12" s="10" t="s">
        <v>647</v>
      </c>
      <c r="N12" s="10" t="s">
        <v>648</v>
      </c>
      <c r="O12" s="36">
        <f t="shared" si="0"/>
        <v>0.16200000000000001</v>
      </c>
      <c r="P12" s="11" t="str">
        <f t="shared" si="1"/>
        <v>Conforme</v>
      </c>
    </row>
    <row r="13" spans="1:16" ht="18" customHeight="1" x14ac:dyDescent="0.3">
      <c r="A13" s="10" t="s">
        <v>652</v>
      </c>
      <c r="B13" s="12">
        <v>45819</v>
      </c>
      <c r="C13" s="10" t="s">
        <v>643</v>
      </c>
      <c r="D13" s="10" t="s">
        <v>644</v>
      </c>
      <c r="E13" s="10" t="s">
        <v>653</v>
      </c>
      <c r="F13" s="20">
        <v>44</v>
      </c>
      <c r="G13" s="10" t="s">
        <v>654</v>
      </c>
      <c r="H13" s="20"/>
      <c r="I13" s="20">
        <v>1000</v>
      </c>
      <c r="J13" s="10" t="s">
        <v>616</v>
      </c>
      <c r="K13" s="10" t="s">
        <v>617</v>
      </c>
      <c r="L13" s="10" t="s">
        <v>488</v>
      </c>
      <c r="M13" s="10" t="s">
        <v>647</v>
      </c>
      <c r="N13" s="10" t="s">
        <v>648</v>
      </c>
      <c r="O13" s="36">
        <f t="shared" si="0"/>
        <v>4.3999999999999997E-2</v>
      </c>
      <c r="P13" s="11" t="str">
        <f t="shared" si="1"/>
        <v>Conforme</v>
      </c>
    </row>
    <row r="14" spans="1:16" ht="18" customHeight="1" x14ac:dyDescent="0.3">
      <c r="A14" s="10" t="s">
        <v>655</v>
      </c>
      <c r="B14" s="12">
        <v>45819</v>
      </c>
      <c r="C14" s="10" t="s">
        <v>643</v>
      </c>
      <c r="D14" s="10" t="s">
        <v>644</v>
      </c>
      <c r="E14" s="10" t="s">
        <v>656</v>
      </c>
      <c r="F14" s="20">
        <v>61</v>
      </c>
      <c r="G14" s="10" t="s">
        <v>651</v>
      </c>
      <c r="H14" s="20"/>
      <c r="I14" s="20">
        <v>500</v>
      </c>
      <c r="J14" s="10" t="s">
        <v>616</v>
      </c>
      <c r="K14" s="10" t="s">
        <v>617</v>
      </c>
      <c r="L14" s="10" t="s">
        <v>488</v>
      </c>
      <c r="M14" s="10" t="s">
        <v>647</v>
      </c>
      <c r="N14" s="10" t="s">
        <v>648</v>
      </c>
      <c r="O14" s="36">
        <f t="shared" si="0"/>
        <v>0.122</v>
      </c>
      <c r="P14" s="11" t="str">
        <f t="shared" si="1"/>
        <v>Conforme</v>
      </c>
    </row>
    <row r="15" spans="1:16" ht="18" customHeight="1" x14ac:dyDescent="0.3">
      <c r="A15" s="10" t="s">
        <v>657</v>
      </c>
      <c r="B15" s="12">
        <v>45819</v>
      </c>
      <c r="C15" s="10" t="s">
        <v>643</v>
      </c>
      <c r="D15" s="10" t="s">
        <v>644</v>
      </c>
      <c r="E15" s="10" t="s">
        <v>658</v>
      </c>
      <c r="F15" s="20">
        <v>12</v>
      </c>
      <c r="G15" s="10" t="s">
        <v>654</v>
      </c>
      <c r="H15" s="20"/>
      <c r="I15" s="20">
        <v>100</v>
      </c>
      <c r="J15" s="10" t="s">
        <v>616</v>
      </c>
      <c r="K15" s="10" t="s">
        <v>617</v>
      </c>
      <c r="L15" s="10" t="s">
        <v>488</v>
      </c>
      <c r="M15" s="10" t="s">
        <v>647</v>
      </c>
      <c r="N15" s="10" t="s">
        <v>648</v>
      </c>
      <c r="O15" s="36">
        <f t="shared" si="0"/>
        <v>0.12</v>
      </c>
      <c r="P15" s="11" t="str">
        <f t="shared" si="1"/>
        <v>Conforme</v>
      </c>
    </row>
    <row r="16" spans="1:16" ht="18" customHeight="1" x14ac:dyDescent="0.3">
      <c r="A16" s="10" t="s">
        <v>659</v>
      </c>
      <c r="B16" s="12">
        <v>45882</v>
      </c>
      <c r="C16" s="10" t="s">
        <v>643</v>
      </c>
      <c r="D16" s="10" t="s">
        <v>644</v>
      </c>
      <c r="E16" s="10" t="s">
        <v>660</v>
      </c>
      <c r="F16" s="20">
        <v>2.8</v>
      </c>
      <c r="G16" s="10" t="s">
        <v>654</v>
      </c>
      <c r="H16" s="20"/>
      <c r="I16" s="20">
        <v>1</v>
      </c>
      <c r="J16" s="10" t="s">
        <v>661</v>
      </c>
      <c r="K16" s="10" t="s">
        <v>617</v>
      </c>
      <c r="L16" s="10" t="s">
        <v>488</v>
      </c>
      <c r="M16" s="10" t="s">
        <v>662</v>
      </c>
      <c r="N16" s="10" t="s">
        <v>648</v>
      </c>
      <c r="O16" s="36">
        <f t="shared" si="0"/>
        <v>2.8</v>
      </c>
      <c r="P16" s="11" t="str">
        <f t="shared" si="1"/>
        <v>Não conforme</v>
      </c>
    </row>
    <row r="17" spans="1:16" ht="18" customHeight="1" x14ac:dyDescent="0.3">
      <c r="A17" s="10" t="s">
        <v>663</v>
      </c>
      <c r="B17" s="12">
        <v>45883</v>
      </c>
      <c r="C17" s="10" t="s">
        <v>634</v>
      </c>
      <c r="D17" s="10" t="s">
        <v>635</v>
      </c>
      <c r="E17" s="10" t="s">
        <v>636</v>
      </c>
      <c r="F17" s="20">
        <v>1200</v>
      </c>
      <c r="G17" s="10" t="s">
        <v>637</v>
      </c>
      <c r="H17" s="20"/>
      <c r="I17" s="20">
        <v>1000</v>
      </c>
      <c r="J17" s="10" t="s">
        <v>623</v>
      </c>
      <c r="K17" s="10" t="s">
        <v>617</v>
      </c>
      <c r="L17" s="10" t="s">
        <v>488</v>
      </c>
      <c r="M17" s="10" t="s">
        <v>664</v>
      </c>
      <c r="N17" s="10" t="s">
        <v>639</v>
      </c>
      <c r="O17" s="36">
        <f t="shared" si="0"/>
        <v>1.2</v>
      </c>
      <c r="P17" s="11" t="str">
        <f t="shared" si="1"/>
        <v>Não conforme</v>
      </c>
    </row>
    <row r="18" spans="1:16" ht="18" customHeight="1" x14ac:dyDescent="0.3">
      <c r="A18" s="10" t="s">
        <v>665</v>
      </c>
      <c r="B18" s="12">
        <v>45909</v>
      </c>
      <c r="C18" s="10" t="s">
        <v>634</v>
      </c>
      <c r="D18" s="10" t="s">
        <v>635</v>
      </c>
      <c r="E18" s="10" t="s">
        <v>636</v>
      </c>
      <c r="F18" s="20">
        <v>50</v>
      </c>
      <c r="G18" s="10" t="s">
        <v>637</v>
      </c>
      <c r="H18" s="20"/>
      <c r="I18" s="20">
        <v>1000</v>
      </c>
      <c r="J18" s="10" t="s">
        <v>623</v>
      </c>
      <c r="K18" s="10" t="s">
        <v>617</v>
      </c>
      <c r="L18" s="10" t="s">
        <v>488</v>
      </c>
      <c r="M18" s="10" t="s">
        <v>666</v>
      </c>
      <c r="N18" s="10" t="s">
        <v>639</v>
      </c>
      <c r="O18" s="36">
        <f t="shared" si="0"/>
        <v>0.05</v>
      </c>
      <c r="P18" s="11" t="str">
        <f t="shared" si="1"/>
        <v>Conforme</v>
      </c>
    </row>
    <row r="19" spans="1:16" ht="18" customHeight="1" x14ac:dyDescent="0.3">
      <c r="A19" s="10" t="s">
        <v>667</v>
      </c>
      <c r="B19" s="12">
        <v>45981</v>
      </c>
      <c r="C19" s="10" t="s">
        <v>668</v>
      </c>
      <c r="D19" s="10" t="s">
        <v>669</v>
      </c>
      <c r="E19" s="10" t="s">
        <v>653</v>
      </c>
      <c r="F19" s="20">
        <v>48</v>
      </c>
      <c r="G19" s="10" t="s">
        <v>654</v>
      </c>
      <c r="H19" s="20"/>
      <c r="I19" s="20">
        <v>60</v>
      </c>
      <c r="J19" s="10" t="s">
        <v>661</v>
      </c>
      <c r="K19" s="10" t="s">
        <v>617</v>
      </c>
      <c r="L19" s="10" t="s">
        <v>488</v>
      </c>
      <c r="M19" s="10" t="s">
        <v>670</v>
      </c>
      <c r="N19" s="10" t="s">
        <v>648</v>
      </c>
      <c r="O19" s="36">
        <f t="shared" si="0"/>
        <v>0.8</v>
      </c>
      <c r="P19" s="11" t="str">
        <f t="shared" si="1"/>
        <v>Conforme</v>
      </c>
    </row>
    <row r="20" spans="1:16" ht="18" customHeight="1" x14ac:dyDescent="0.3">
      <c r="A20" s="10" t="s">
        <v>671</v>
      </c>
      <c r="B20" s="12">
        <v>45981</v>
      </c>
      <c r="C20" s="10" t="s">
        <v>668</v>
      </c>
      <c r="D20" s="10" t="s">
        <v>669</v>
      </c>
      <c r="E20" s="10" t="s">
        <v>672</v>
      </c>
      <c r="F20" s="20">
        <v>0.6</v>
      </c>
      <c r="G20" s="10" t="s">
        <v>654</v>
      </c>
      <c r="H20" s="20"/>
      <c r="I20" s="20">
        <v>10</v>
      </c>
      <c r="J20" s="10" t="s">
        <v>661</v>
      </c>
      <c r="K20" s="10" t="s">
        <v>617</v>
      </c>
      <c r="L20" s="10" t="s">
        <v>488</v>
      </c>
      <c r="M20" s="10" t="s">
        <v>670</v>
      </c>
      <c r="N20" s="10" t="s">
        <v>648</v>
      </c>
      <c r="O20" s="36">
        <f t="shared" si="0"/>
        <v>0.06</v>
      </c>
      <c r="P20" s="11" t="str">
        <f t="shared" si="1"/>
        <v>Conforme</v>
      </c>
    </row>
    <row r="21" spans="1:16" ht="18" customHeight="1" x14ac:dyDescent="0.3">
      <c r="A21" s="10" t="s">
        <v>673</v>
      </c>
      <c r="B21" s="12">
        <v>46001</v>
      </c>
      <c r="C21" s="10" t="s">
        <v>643</v>
      </c>
      <c r="D21" s="10" t="s">
        <v>644</v>
      </c>
      <c r="E21" s="10" t="s">
        <v>645</v>
      </c>
      <c r="F21" s="20">
        <v>7.9</v>
      </c>
      <c r="G21" s="10" t="s">
        <v>646</v>
      </c>
      <c r="H21" s="20">
        <v>5.5</v>
      </c>
      <c r="I21" s="20">
        <v>9.5</v>
      </c>
      <c r="J21" s="10" t="s">
        <v>616</v>
      </c>
      <c r="K21" s="10" t="s">
        <v>617</v>
      </c>
      <c r="L21" s="10" t="s">
        <v>488</v>
      </c>
      <c r="M21" s="10" t="s">
        <v>674</v>
      </c>
      <c r="N21" s="10" t="s">
        <v>648</v>
      </c>
      <c r="O21" s="36">
        <f t="shared" si="0"/>
        <v>0.83157894736842108</v>
      </c>
      <c r="P21" s="11" t="str">
        <f t="shared" si="1"/>
        <v>Conforme</v>
      </c>
    </row>
    <row r="22" spans="1:16" ht="18" customHeight="1" x14ac:dyDescent="0.3">
      <c r="A22" s="10" t="s">
        <v>675</v>
      </c>
      <c r="B22" s="12">
        <v>46001</v>
      </c>
      <c r="C22" s="10" t="s">
        <v>643</v>
      </c>
      <c r="D22" s="10" t="s">
        <v>644</v>
      </c>
      <c r="E22" s="10" t="s">
        <v>650</v>
      </c>
      <c r="F22" s="20">
        <v>131</v>
      </c>
      <c r="G22" s="10" t="s">
        <v>651</v>
      </c>
      <c r="H22" s="20"/>
      <c r="I22" s="20">
        <v>1000</v>
      </c>
      <c r="J22" s="10" t="s">
        <v>616</v>
      </c>
      <c r="K22" s="10" t="s">
        <v>617</v>
      </c>
      <c r="L22" s="10" t="s">
        <v>488</v>
      </c>
      <c r="M22" s="10" t="s">
        <v>674</v>
      </c>
      <c r="N22" s="10" t="s">
        <v>648</v>
      </c>
      <c r="O22" s="36">
        <f t="shared" si="0"/>
        <v>0.13100000000000001</v>
      </c>
      <c r="P22" s="11" t="str">
        <f t="shared" si="1"/>
        <v>Conforme</v>
      </c>
    </row>
    <row r="23" spans="1:16" ht="18" customHeight="1" x14ac:dyDescent="0.3">
      <c r="A23" s="10" t="s">
        <v>676</v>
      </c>
      <c r="B23" s="12">
        <v>46001</v>
      </c>
      <c r="C23" s="10" t="s">
        <v>643</v>
      </c>
      <c r="D23" s="10" t="s">
        <v>644</v>
      </c>
      <c r="E23" s="10" t="s">
        <v>653</v>
      </c>
      <c r="F23" s="20">
        <v>35</v>
      </c>
      <c r="G23" s="10" t="s">
        <v>654</v>
      </c>
      <c r="H23" s="20"/>
      <c r="I23" s="20">
        <v>1000</v>
      </c>
      <c r="J23" s="10" t="s">
        <v>616</v>
      </c>
      <c r="K23" s="10" t="s">
        <v>617</v>
      </c>
      <c r="L23" s="10" t="s">
        <v>488</v>
      </c>
      <c r="M23" s="10" t="s">
        <v>674</v>
      </c>
      <c r="N23" s="10" t="s">
        <v>648</v>
      </c>
      <c r="O23" s="36">
        <f t="shared" si="0"/>
        <v>3.5000000000000003E-2</v>
      </c>
      <c r="P23" s="11" t="str">
        <f t="shared" si="1"/>
        <v>Conforme</v>
      </c>
    </row>
    <row r="24" spans="1:16" ht="18" customHeight="1" x14ac:dyDescent="0.3">
      <c r="A24" s="10" t="s">
        <v>677</v>
      </c>
      <c r="B24" s="12">
        <v>46001</v>
      </c>
      <c r="C24" s="10" t="s">
        <v>643</v>
      </c>
      <c r="D24" s="10" t="s">
        <v>644</v>
      </c>
      <c r="E24" s="10" t="s">
        <v>656</v>
      </c>
      <c r="F24" s="20">
        <v>48</v>
      </c>
      <c r="G24" s="10" t="s">
        <v>651</v>
      </c>
      <c r="H24" s="20"/>
      <c r="I24" s="20">
        <v>500</v>
      </c>
      <c r="J24" s="10" t="s">
        <v>616</v>
      </c>
      <c r="K24" s="10" t="s">
        <v>617</v>
      </c>
      <c r="L24" s="10" t="s">
        <v>488</v>
      </c>
      <c r="M24" s="10" t="s">
        <v>674</v>
      </c>
      <c r="N24" s="10" t="s">
        <v>648</v>
      </c>
      <c r="O24" s="36">
        <f t="shared" si="0"/>
        <v>9.6000000000000002E-2</v>
      </c>
      <c r="P24" s="11" t="str">
        <f t="shared" si="1"/>
        <v>Conforme</v>
      </c>
    </row>
    <row r="25" spans="1:16" ht="18" customHeight="1" x14ac:dyDescent="0.3">
      <c r="A25" s="10" t="s">
        <v>678</v>
      </c>
      <c r="B25" s="12">
        <v>46001</v>
      </c>
      <c r="C25" s="10" t="s">
        <v>643</v>
      </c>
      <c r="D25" s="10" t="s">
        <v>644</v>
      </c>
      <c r="E25" s="10" t="s">
        <v>658</v>
      </c>
      <c r="F25" s="20">
        <v>9</v>
      </c>
      <c r="G25" s="10" t="s">
        <v>654</v>
      </c>
      <c r="H25" s="20"/>
      <c r="I25" s="20">
        <v>100</v>
      </c>
      <c r="J25" s="10" t="s">
        <v>616</v>
      </c>
      <c r="K25" s="10" t="s">
        <v>617</v>
      </c>
      <c r="L25" s="10" t="s">
        <v>488</v>
      </c>
      <c r="M25" s="10" t="s">
        <v>674</v>
      </c>
      <c r="N25" s="10" t="s">
        <v>648</v>
      </c>
      <c r="O25" s="36">
        <f t="shared" si="0"/>
        <v>0.09</v>
      </c>
      <c r="P25" s="11" t="str">
        <f t="shared" si="1"/>
        <v>Conforme</v>
      </c>
    </row>
    <row r="26" spans="1:16" ht="18" customHeight="1" x14ac:dyDescent="0.3">
      <c r="A26" s="10" t="s">
        <v>679</v>
      </c>
      <c r="B26" s="12">
        <v>46001</v>
      </c>
      <c r="C26" s="10" t="s">
        <v>634</v>
      </c>
      <c r="D26" s="10" t="s">
        <v>635</v>
      </c>
      <c r="E26" s="10" t="s">
        <v>636</v>
      </c>
      <c r="F26" s="20">
        <v>50</v>
      </c>
      <c r="G26" s="10" t="s">
        <v>637</v>
      </c>
      <c r="H26" s="20"/>
      <c r="I26" s="20">
        <v>1000</v>
      </c>
      <c r="J26" s="10" t="s">
        <v>623</v>
      </c>
      <c r="K26" s="10" t="s">
        <v>617</v>
      </c>
      <c r="L26" s="10" t="s">
        <v>488</v>
      </c>
      <c r="M26" s="10" t="s">
        <v>680</v>
      </c>
      <c r="N26" s="10" t="s">
        <v>639</v>
      </c>
      <c r="O26" s="36">
        <f t="shared" si="0"/>
        <v>0.05</v>
      </c>
      <c r="P26" s="11" t="str">
        <f t="shared" si="1"/>
        <v>Conforme</v>
      </c>
    </row>
    <row r="27" spans="1:16" ht="18" customHeight="1" x14ac:dyDescent="0.3">
      <c r="A27" s="10" t="s">
        <v>681</v>
      </c>
      <c r="B27" s="12">
        <v>46092</v>
      </c>
      <c r="C27" s="10" t="s">
        <v>634</v>
      </c>
      <c r="D27" s="10" t="s">
        <v>635</v>
      </c>
      <c r="E27" s="10" t="s">
        <v>636</v>
      </c>
      <c r="F27" s="20">
        <v>100</v>
      </c>
      <c r="G27" s="10" t="s">
        <v>637</v>
      </c>
      <c r="H27" s="20"/>
      <c r="I27" s="20">
        <v>1000</v>
      </c>
      <c r="J27" s="10" t="s">
        <v>623</v>
      </c>
      <c r="K27" s="10" t="s">
        <v>617</v>
      </c>
      <c r="L27" s="10" t="s">
        <v>488</v>
      </c>
      <c r="M27" s="10" t="s">
        <v>682</v>
      </c>
      <c r="N27" s="10" t="s">
        <v>639</v>
      </c>
      <c r="O27" s="36">
        <f t="shared" si="0"/>
        <v>0.1</v>
      </c>
      <c r="P27" s="11" t="str">
        <f t="shared" si="1"/>
        <v>Conforme</v>
      </c>
    </row>
    <row r="28" spans="1:16" ht="18" customHeight="1" x14ac:dyDescent="0.3">
      <c r="A28" s="10" t="s">
        <v>683</v>
      </c>
      <c r="B28" s="12">
        <v>46099</v>
      </c>
      <c r="C28" s="10" t="s">
        <v>612</v>
      </c>
      <c r="D28" s="10" t="s">
        <v>613</v>
      </c>
      <c r="E28" s="10" t="s">
        <v>614</v>
      </c>
      <c r="F28" s="20">
        <v>22</v>
      </c>
      <c r="G28" s="10" t="s">
        <v>615</v>
      </c>
      <c r="H28" s="20"/>
      <c r="I28" s="20">
        <v>200</v>
      </c>
      <c r="J28" s="10" t="s">
        <v>616</v>
      </c>
      <c r="K28" s="10" t="s">
        <v>617</v>
      </c>
      <c r="L28" s="10" t="s">
        <v>488</v>
      </c>
      <c r="M28" s="10" t="s">
        <v>684</v>
      </c>
      <c r="N28" s="10" t="s">
        <v>619</v>
      </c>
      <c r="O28" s="36">
        <f t="shared" si="0"/>
        <v>0.11</v>
      </c>
      <c r="P28" s="11" t="str">
        <f t="shared" si="1"/>
        <v>Conforme</v>
      </c>
    </row>
    <row r="29" spans="1:16" ht="18" customHeight="1" x14ac:dyDescent="0.3">
      <c r="A29" s="10" t="s">
        <v>685</v>
      </c>
      <c r="B29" s="12">
        <v>46099</v>
      </c>
      <c r="C29" s="10" t="s">
        <v>612</v>
      </c>
      <c r="D29" s="10" t="s">
        <v>613</v>
      </c>
      <c r="E29" s="10" t="s">
        <v>621</v>
      </c>
      <c r="F29" s="20">
        <v>0.04</v>
      </c>
      <c r="G29" s="10" t="s">
        <v>622</v>
      </c>
      <c r="H29" s="20"/>
      <c r="I29" s="20">
        <v>2</v>
      </c>
      <c r="J29" s="10" t="s">
        <v>623</v>
      </c>
      <c r="K29" s="10" t="s">
        <v>617</v>
      </c>
      <c r="L29" s="10" t="s">
        <v>488</v>
      </c>
      <c r="M29" s="10" t="s">
        <v>684</v>
      </c>
      <c r="N29" s="10" t="s">
        <v>619</v>
      </c>
      <c r="O29" s="36">
        <f t="shared" si="0"/>
        <v>0.02</v>
      </c>
      <c r="P29" s="11" t="str">
        <f t="shared" si="1"/>
        <v>Conforme</v>
      </c>
    </row>
    <row r="30" spans="1:16" ht="18" customHeight="1" x14ac:dyDescent="0.3">
      <c r="A30" s="10" t="s">
        <v>686</v>
      </c>
      <c r="B30" s="12">
        <v>46134</v>
      </c>
      <c r="C30" s="10" t="s">
        <v>668</v>
      </c>
      <c r="D30" s="10" t="s">
        <v>669</v>
      </c>
      <c r="E30" s="10" t="s">
        <v>653</v>
      </c>
      <c r="F30" s="20">
        <v>31</v>
      </c>
      <c r="G30" s="10" t="s">
        <v>654</v>
      </c>
      <c r="H30" s="20"/>
      <c r="I30" s="20">
        <v>60</v>
      </c>
      <c r="J30" s="10" t="s">
        <v>661</v>
      </c>
      <c r="K30" s="10" t="s">
        <v>617</v>
      </c>
      <c r="L30" s="10" t="s">
        <v>488</v>
      </c>
      <c r="M30" s="10" t="s">
        <v>687</v>
      </c>
      <c r="N30" s="10" t="s">
        <v>648</v>
      </c>
      <c r="O30" s="36">
        <f t="shared" si="0"/>
        <v>0.51666666666666672</v>
      </c>
      <c r="P30" s="11" t="str">
        <f t="shared" si="1"/>
        <v>Conforme</v>
      </c>
    </row>
    <row r="31" spans="1:16" ht="18" customHeight="1" x14ac:dyDescent="0.3">
      <c r="A31" s="10" t="s">
        <v>688</v>
      </c>
      <c r="B31" s="12">
        <v>46134</v>
      </c>
      <c r="C31" s="10" t="s">
        <v>668</v>
      </c>
      <c r="D31" s="10" t="s">
        <v>669</v>
      </c>
      <c r="E31" s="10" t="s">
        <v>672</v>
      </c>
      <c r="F31" s="20">
        <v>0.4</v>
      </c>
      <c r="G31" s="10" t="s">
        <v>654</v>
      </c>
      <c r="H31" s="20"/>
      <c r="I31" s="20">
        <v>10</v>
      </c>
      <c r="J31" s="10" t="s">
        <v>661</v>
      </c>
      <c r="K31" s="10" t="s">
        <v>617</v>
      </c>
      <c r="L31" s="10" t="s">
        <v>488</v>
      </c>
      <c r="M31" s="10" t="s">
        <v>687</v>
      </c>
      <c r="N31" s="10" t="s">
        <v>648</v>
      </c>
      <c r="O31" s="36">
        <f t="shared" si="0"/>
        <v>0.04</v>
      </c>
      <c r="P31" s="11" t="str">
        <f t="shared" si="1"/>
        <v>Conforme</v>
      </c>
    </row>
    <row r="32" spans="1:16" ht="18" customHeight="1" x14ac:dyDescent="0.3">
      <c r="A32" s="10" t="s">
        <v>689</v>
      </c>
      <c r="B32" s="12">
        <v>46182</v>
      </c>
      <c r="C32" s="10" t="s">
        <v>634</v>
      </c>
      <c r="D32" s="10" t="s">
        <v>635</v>
      </c>
      <c r="E32" s="10" t="s">
        <v>636</v>
      </c>
      <c r="F32" s="20">
        <v>150</v>
      </c>
      <c r="G32" s="10" t="s">
        <v>637</v>
      </c>
      <c r="H32" s="20"/>
      <c r="I32" s="20">
        <v>1000</v>
      </c>
      <c r="J32" s="10" t="s">
        <v>623</v>
      </c>
      <c r="K32" s="10" t="s">
        <v>617</v>
      </c>
      <c r="L32" s="10" t="s">
        <v>488</v>
      </c>
      <c r="M32" s="10" t="s">
        <v>690</v>
      </c>
      <c r="N32" s="10" t="s">
        <v>639</v>
      </c>
      <c r="O32" s="36">
        <f t="shared" si="0"/>
        <v>0.15</v>
      </c>
      <c r="P32" s="11" t="str">
        <f t="shared" si="1"/>
        <v>Conforme</v>
      </c>
    </row>
    <row r="33" spans="1:16" ht="18" customHeight="1" x14ac:dyDescent="0.3">
      <c r="A33" s="10" t="s">
        <v>691</v>
      </c>
      <c r="B33" s="12">
        <v>46185</v>
      </c>
      <c r="C33" s="10" t="s">
        <v>643</v>
      </c>
      <c r="D33" s="10" t="s">
        <v>644</v>
      </c>
      <c r="E33" s="10" t="s">
        <v>645</v>
      </c>
      <c r="F33" s="20">
        <v>7.8</v>
      </c>
      <c r="G33" s="10" t="s">
        <v>646</v>
      </c>
      <c r="H33" s="20">
        <v>5.5</v>
      </c>
      <c r="I33" s="20">
        <v>9.5</v>
      </c>
      <c r="J33" s="10" t="s">
        <v>616</v>
      </c>
      <c r="K33" s="10" t="s">
        <v>617</v>
      </c>
      <c r="L33" s="10" t="s">
        <v>488</v>
      </c>
      <c r="M33" s="10" t="s">
        <v>692</v>
      </c>
      <c r="N33" s="10" t="s">
        <v>648</v>
      </c>
      <c r="O33" s="36">
        <f t="shared" si="0"/>
        <v>0.82105263157894737</v>
      </c>
      <c r="P33" s="11" t="str">
        <f t="shared" si="1"/>
        <v>Conforme</v>
      </c>
    </row>
    <row r="34" spans="1:16" ht="18" customHeight="1" x14ac:dyDescent="0.3">
      <c r="A34" s="10" t="s">
        <v>693</v>
      </c>
      <c r="B34" s="12">
        <v>46185</v>
      </c>
      <c r="C34" s="10" t="s">
        <v>643</v>
      </c>
      <c r="D34" s="10" t="s">
        <v>644</v>
      </c>
      <c r="E34" s="10" t="s">
        <v>650</v>
      </c>
      <c r="F34" s="20">
        <v>145</v>
      </c>
      <c r="G34" s="10" t="s">
        <v>651</v>
      </c>
      <c r="H34" s="20"/>
      <c r="I34" s="20">
        <v>1000</v>
      </c>
      <c r="J34" s="10" t="s">
        <v>616</v>
      </c>
      <c r="K34" s="10" t="s">
        <v>617</v>
      </c>
      <c r="L34" s="10" t="s">
        <v>488</v>
      </c>
      <c r="M34" s="10" t="s">
        <v>692</v>
      </c>
      <c r="N34" s="10" t="s">
        <v>648</v>
      </c>
      <c r="O34" s="36">
        <f t="shared" si="0"/>
        <v>0.14499999999999999</v>
      </c>
      <c r="P34" s="11" t="str">
        <f t="shared" si="1"/>
        <v>Conforme</v>
      </c>
    </row>
    <row r="35" spans="1:16" ht="18" customHeight="1" x14ac:dyDescent="0.3">
      <c r="A35" s="10" t="s">
        <v>694</v>
      </c>
      <c r="B35" s="12">
        <v>46185</v>
      </c>
      <c r="C35" s="10" t="s">
        <v>643</v>
      </c>
      <c r="D35" s="10" t="s">
        <v>644</v>
      </c>
      <c r="E35" s="10" t="s">
        <v>653</v>
      </c>
      <c r="F35" s="20">
        <v>38</v>
      </c>
      <c r="G35" s="10" t="s">
        <v>654</v>
      </c>
      <c r="H35" s="20"/>
      <c r="I35" s="20">
        <v>1000</v>
      </c>
      <c r="J35" s="10" t="s">
        <v>616</v>
      </c>
      <c r="K35" s="10" t="s">
        <v>617</v>
      </c>
      <c r="L35" s="10" t="s">
        <v>488</v>
      </c>
      <c r="M35" s="10" t="s">
        <v>692</v>
      </c>
      <c r="N35" s="10" t="s">
        <v>648</v>
      </c>
      <c r="O35" s="36">
        <f t="shared" si="0"/>
        <v>3.7999999999999999E-2</v>
      </c>
      <c r="P35" s="11" t="str">
        <f t="shared" si="1"/>
        <v>Conforme</v>
      </c>
    </row>
    <row r="36" spans="1:16" ht="18" customHeight="1" x14ac:dyDescent="0.3">
      <c r="A36" s="10" t="s">
        <v>695</v>
      </c>
      <c r="B36" s="12">
        <v>46185</v>
      </c>
      <c r="C36" s="10" t="s">
        <v>643</v>
      </c>
      <c r="D36" s="10" t="s">
        <v>644</v>
      </c>
      <c r="E36" s="10" t="s">
        <v>656</v>
      </c>
      <c r="F36" s="20">
        <v>55</v>
      </c>
      <c r="G36" s="10" t="s">
        <v>651</v>
      </c>
      <c r="H36" s="20"/>
      <c r="I36" s="20">
        <v>500</v>
      </c>
      <c r="J36" s="10" t="s">
        <v>616</v>
      </c>
      <c r="K36" s="10" t="s">
        <v>617</v>
      </c>
      <c r="L36" s="10" t="s">
        <v>488</v>
      </c>
      <c r="M36" s="10" t="s">
        <v>692</v>
      </c>
      <c r="N36" s="10" t="s">
        <v>648</v>
      </c>
      <c r="O36" s="36">
        <f t="shared" si="0"/>
        <v>0.11</v>
      </c>
      <c r="P36" s="11" t="str">
        <f t="shared" si="1"/>
        <v>Conforme</v>
      </c>
    </row>
    <row r="37" spans="1:16" ht="18" customHeight="1" x14ac:dyDescent="0.3">
      <c r="A37" s="10" t="s">
        <v>696</v>
      </c>
      <c r="B37" s="12">
        <v>46185</v>
      </c>
      <c r="C37" s="10" t="s">
        <v>643</v>
      </c>
      <c r="D37" s="10" t="s">
        <v>644</v>
      </c>
      <c r="E37" s="10" t="s">
        <v>658</v>
      </c>
      <c r="F37" s="20">
        <v>10</v>
      </c>
      <c r="G37" s="10" t="s">
        <v>654</v>
      </c>
      <c r="H37" s="20"/>
      <c r="I37" s="20">
        <v>100</v>
      </c>
      <c r="J37" s="10" t="s">
        <v>616</v>
      </c>
      <c r="K37" s="10" t="s">
        <v>617</v>
      </c>
      <c r="L37" s="10" t="s">
        <v>488</v>
      </c>
      <c r="M37" s="10" t="s">
        <v>692</v>
      </c>
      <c r="N37" s="10" t="s">
        <v>648</v>
      </c>
      <c r="O37" s="36">
        <f t="shared" ref="O37:O68" si="2">IF(OR(F37="",I37=""),"",F37/I37)</f>
        <v>0.1</v>
      </c>
      <c r="P37" s="11" t="str">
        <f t="shared" ref="P37:P68" si="3">IF(F37="","",IF(OR(AND(H37&lt;&gt;"",F37&lt;H37),F37&gt;I37),"Não conforme","Conforme"))</f>
        <v>Conforme</v>
      </c>
    </row>
    <row r="38" spans="1:16" ht="18" customHeight="1" x14ac:dyDescent="0.3">
      <c r="A38" s="10" t="s">
        <v>697</v>
      </c>
      <c r="B38" s="12">
        <v>46213</v>
      </c>
      <c r="C38" s="10" t="s">
        <v>625</v>
      </c>
      <c r="D38" s="10" t="s">
        <v>626</v>
      </c>
      <c r="E38" s="10" t="s">
        <v>627</v>
      </c>
      <c r="F38" s="20">
        <v>51</v>
      </c>
      <c r="G38" s="10" t="s">
        <v>628</v>
      </c>
      <c r="H38" s="20"/>
      <c r="I38" s="20">
        <v>55</v>
      </c>
      <c r="J38" s="10" t="s">
        <v>661</v>
      </c>
      <c r="K38" s="10" t="s">
        <v>698</v>
      </c>
      <c r="L38" s="10" t="s">
        <v>465</v>
      </c>
      <c r="M38" s="10" t="s">
        <v>699</v>
      </c>
      <c r="N38" s="10" t="s">
        <v>630</v>
      </c>
      <c r="O38" s="36">
        <f t="shared" si="2"/>
        <v>0.92727272727272725</v>
      </c>
      <c r="P38" s="11" t="str">
        <f t="shared" si="3"/>
        <v>Conforme</v>
      </c>
    </row>
    <row r="39" spans="1:16" ht="18" customHeight="1" x14ac:dyDescent="0.3">
      <c r="A39" s="10" t="s">
        <v>700</v>
      </c>
      <c r="B39" s="12">
        <v>46213</v>
      </c>
      <c r="C39" s="10" t="s">
        <v>625</v>
      </c>
      <c r="D39" s="10" t="s">
        <v>626</v>
      </c>
      <c r="E39" s="10" t="s">
        <v>632</v>
      </c>
      <c r="F39" s="20">
        <v>5</v>
      </c>
      <c r="G39" s="10" t="s">
        <v>628</v>
      </c>
      <c r="H39" s="20"/>
      <c r="I39" s="20">
        <v>3</v>
      </c>
      <c r="J39" s="10" t="s">
        <v>661</v>
      </c>
      <c r="K39" s="10" t="s">
        <v>698</v>
      </c>
      <c r="L39" s="10" t="s">
        <v>465</v>
      </c>
      <c r="M39" s="10" t="s">
        <v>699</v>
      </c>
      <c r="N39" s="10" t="s">
        <v>630</v>
      </c>
      <c r="O39" s="36">
        <f t="shared" si="2"/>
        <v>1.6666666666666667</v>
      </c>
      <c r="P39" s="11" t="str">
        <f t="shared" si="3"/>
        <v>Não conforme</v>
      </c>
    </row>
    <row r="40" spans="1:16" ht="18" customHeight="1" x14ac:dyDescent="0.3">
      <c r="A40" s="10" t="s">
        <v>701</v>
      </c>
      <c r="B40" s="12">
        <v>46273</v>
      </c>
      <c r="C40" s="10" t="s">
        <v>634</v>
      </c>
      <c r="D40" s="10" t="s">
        <v>635</v>
      </c>
      <c r="E40" s="10" t="s">
        <v>636</v>
      </c>
      <c r="F40" s="20">
        <v>100</v>
      </c>
      <c r="G40" s="10" t="s">
        <v>637</v>
      </c>
      <c r="H40" s="20"/>
      <c r="I40" s="20">
        <v>1000</v>
      </c>
      <c r="J40" s="10" t="s">
        <v>623</v>
      </c>
      <c r="K40" s="10" t="s">
        <v>617</v>
      </c>
      <c r="L40" s="10" t="s">
        <v>488</v>
      </c>
      <c r="M40" s="10" t="s">
        <v>702</v>
      </c>
      <c r="N40" s="10" t="s">
        <v>639</v>
      </c>
      <c r="O40" s="36">
        <f t="shared" si="2"/>
        <v>0.1</v>
      </c>
      <c r="P40" s="11" t="str">
        <f t="shared" si="3"/>
        <v>Conforme</v>
      </c>
    </row>
    <row r="41" spans="1:16" ht="18" customHeight="1" x14ac:dyDescent="0.3">
      <c r="A41" s="10" t="s">
        <v>703</v>
      </c>
      <c r="B41" s="12">
        <v>46323</v>
      </c>
      <c r="C41" s="10" t="s">
        <v>625</v>
      </c>
      <c r="D41" s="10" t="s">
        <v>626</v>
      </c>
      <c r="E41" s="10" t="s">
        <v>627</v>
      </c>
      <c r="F41" s="20">
        <v>48</v>
      </c>
      <c r="G41" s="10" t="s">
        <v>628</v>
      </c>
      <c r="H41" s="20"/>
      <c r="I41" s="20">
        <v>55</v>
      </c>
      <c r="J41" s="10" t="s">
        <v>616</v>
      </c>
      <c r="K41" s="10" t="s">
        <v>617</v>
      </c>
      <c r="L41" s="10" t="s">
        <v>488</v>
      </c>
      <c r="M41" s="10" t="s">
        <v>704</v>
      </c>
      <c r="N41" s="10" t="s">
        <v>630</v>
      </c>
      <c r="O41" s="36">
        <f t="shared" si="2"/>
        <v>0.87272727272727268</v>
      </c>
      <c r="P41" s="11" t="str">
        <f t="shared" si="3"/>
        <v>Conforme</v>
      </c>
    </row>
    <row r="42" spans="1:16" ht="18" customHeight="1" x14ac:dyDescent="0.3">
      <c r="A42" s="10" t="s">
        <v>705</v>
      </c>
      <c r="B42" s="12">
        <v>46323</v>
      </c>
      <c r="C42" s="10" t="s">
        <v>625</v>
      </c>
      <c r="D42" s="10" t="s">
        <v>626</v>
      </c>
      <c r="E42" s="10" t="s">
        <v>632</v>
      </c>
      <c r="F42" s="20">
        <v>2</v>
      </c>
      <c r="G42" s="10" t="s">
        <v>628</v>
      </c>
      <c r="H42" s="20"/>
      <c r="I42" s="20">
        <v>3</v>
      </c>
      <c r="J42" s="10" t="s">
        <v>616</v>
      </c>
      <c r="K42" s="10" t="s">
        <v>617</v>
      </c>
      <c r="L42" s="10" t="s">
        <v>488</v>
      </c>
      <c r="M42" s="10" t="s">
        <v>704</v>
      </c>
      <c r="N42" s="10" t="s">
        <v>630</v>
      </c>
      <c r="O42" s="36">
        <f t="shared" si="2"/>
        <v>0.66666666666666663</v>
      </c>
      <c r="P42" s="11" t="str">
        <f t="shared" si="3"/>
        <v>Conforme</v>
      </c>
    </row>
    <row r="43" spans="1:16" ht="18" customHeight="1" x14ac:dyDescent="0.3">
      <c r="A43" s="10" t="s">
        <v>706</v>
      </c>
      <c r="B43" s="12">
        <v>46345</v>
      </c>
      <c r="C43" s="10" t="s">
        <v>668</v>
      </c>
      <c r="D43" s="10" t="s">
        <v>669</v>
      </c>
      <c r="E43" s="10" t="s">
        <v>653</v>
      </c>
      <c r="F43" s="20">
        <v>29</v>
      </c>
      <c r="G43" s="10" t="s">
        <v>654</v>
      </c>
      <c r="H43" s="20"/>
      <c r="I43" s="20">
        <v>60</v>
      </c>
      <c r="J43" s="10" t="s">
        <v>661</v>
      </c>
      <c r="K43" s="10" t="s">
        <v>617</v>
      </c>
      <c r="L43" s="10" t="s">
        <v>488</v>
      </c>
      <c r="M43" s="10" t="s">
        <v>707</v>
      </c>
      <c r="N43" s="10" t="s">
        <v>648</v>
      </c>
      <c r="O43" s="36">
        <f t="shared" si="2"/>
        <v>0.48333333333333334</v>
      </c>
      <c r="P43" s="11" t="str">
        <f t="shared" si="3"/>
        <v>Conforme</v>
      </c>
    </row>
    <row r="44" spans="1:16" ht="18" customHeight="1" x14ac:dyDescent="0.3">
      <c r="A44" s="10" t="s">
        <v>708</v>
      </c>
      <c r="B44" s="12">
        <v>46345</v>
      </c>
      <c r="C44" s="10" t="s">
        <v>668</v>
      </c>
      <c r="D44" s="10" t="s">
        <v>669</v>
      </c>
      <c r="E44" s="10" t="s">
        <v>672</v>
      </c>
      <c r="F44" s="20">
        <v>0.3</v>
      </c>
      <c r="G44" s="10" t="s">
        <v>654</v>
      </c>
      <c r="H44" s="20"/>
      <c r="I44" s="20">
        <v>10</v>
      </c>
      <c r="J44" s="10" t="s">
        <v>661</v>
      </c>
      <c r="K44" s="10" t="s">
        <v>617</v>
      </c>
      <c r="L44" s="10" t="s">
        <v>488</v>
      </c>
      <c r="M44" s="10" t="s">
        <v>707</v>
      </c>
      <c r="N44" s="10" t="s">
        <v>648</v>
      </c>
      <c r="O44" s="36">
        <f t="shared" si="2"/>
        <v>0.03</v>
      </c>
      <c r="P44" s="11" t="str">
        <f t="shared" si="3"/>
        <v>Conforme</v>
      </c>
    </row>
    <row r="45" spans="1:16" ht="18" customHeight="1" x14ac:dyDescent="0.3">
      <c r="A45" s="10" t="s">
        <v>709</v>
      </c>
      <c r="B45" s="12">
        <v>46363</v>
      </c>
      <c r="C45" s="10" t="s">
        <v>634</v>
      </c>
      <c r="D45" s="10" t="s">
        <v>635</v>
      </c>
      <c r="E45" s="10" t="s">
        <v>636</v>
      </c>
      <c r="F45" s="20">
        <v>50</v>
      </c>
      <c r="G45" s="10" t="s">
        <v>637</v>
      </c>
      <c r="H45" s="20"/>
      <c r="I45" s="20">
        <v>1000</v>
      </c>
      <c r="J45" s="10" t="s">
        <v>623</v>
      </c>
      <c r="K45" s="10" t="s">
        <v>617</v>
      </c>
      <c r="L45" s="10" t="s">
        <v>488</v>
      </c>
      <c r="M45" s="10" t="s">
        <v>710</v>
      </c>
      <c r="N45" s="10" t="s">
        <v>639</v>
      </c>
      <c r="O45" s="36">
        <f t="shared" si="2"/>
        <v>0.05</v>
      </c>
      <c r="P45" s="11" t="str">
        <f t="shared" si="3"/>
        <v>Conforme</v>
      </c>
    </row>
    <row r="46" spans="1:16" ht="18" customHeight="1" x14ac:dyDescent="0.3">
      <c r="A46" s="10" t="s">
        <v>711</v>
      </c>
      <c r="B46" s="12">
        <v>46366</v>
      </c>
      <c r="C46" s="10" t="s">
        <v>643</v>
      </c>
      <c r="D46" s="10" t="s">
        <v>644</v>
      </c>
      <c r="E46" s="10" t="s">
        <v>645</v>
      </c>
      <c r="F46" s="20">
        <v>7.6</v>
      </c>
      <c r="G46" s="10" t="s">
        <v>646</v>
      </c>
      <c r="H46" s="20">
        <v>5.5</v>
      </c>
      <c r="I46" s="20">
        <v>9.5</v>
      </c>
      <c r="J46" s="10" t="s">
        <v>616</v>
      </c>
      <c r="K46" s="10" t="s">
        <v>617</v>
      </c>
      <c r="L46" s="10" t="s">
        <v>488</v>
      </c>
      <c r="M46" s="10" t="s">
        <v>712</v>
      </c>
      <c r="N46" s="10" t="s">
        <v>648</v>
      </c>
      <c r="O46" s="36">
        <f t="shared" si="2"/>
        <v>0.79999999999999993</v>
      </c>
      <c r="P46" s="11" t="str">
        <f t="shared" si="3"/>
        <v>Conforme</v>
      </c>
    </row>
    <row r="47" spans="1:16" ht="18" customHeight="1" x14ac:dyDescent="0.3">
      <c r="A47" s="10" t="s">
        <v>713</v>
      </c>
      <c r="B47" s="12">
        <v>46366</v>
      </c>
      <c r="C47" s="10" t="s">
        <v>643</v>
      </c>
      <c r="D47" s="10" t="s">
        <v>644</v>
      </c>
      <c r="E47" s="10" t="s">
        <v>650</v>
      </c>
      <c r="F47" s="20">
        <v>132</v>
      </c>
      <c r="G47" s="10" t="s">
        <v>651</v>
      </c>
      <c r="H47" s="20"/>
      <c r="I47" s="20">
        <v>1000</v>
      </c>
      <c r="J47" s="10" t="s">
        <v>616</v>
      </c>
      <c r="K47" s="10" t="s">
        <v>617</v>
      </c>
      <c r="L47" s="10" t="s">
        <v>488</v>
      </c>
      <c r="M47" s="10" t="s">
        <v>712</v>
      </c>
      <c r="N47" s="10" t="s">
        <v>648</v>
      </c>
      <c r="O47" s="36">
        <f t="shared" si="2"/>
        <v>0.13200000000000001</v>
      </c>
      <c r="P47" s="11" t="str">
        <f t="shared" si="3"/>
        <v>Conforme</v>
      </c>
    </row>
    <row r="48" spans="1:16" ht="18" customHeight="1" x14ac:dyDescent="0.3">
      <c r="A48" s="10" t="s">
        <v>714</v>
      </c>
      <c r="B48" s="12">
        <v>46366</v>
      </c>
      <c r="C48" s="10" t="s">
        <v>643</v>
      </c>
      <c r="D48" s="10" t="s">
        <v>644</v>
      </c>
      <c r="E48" s="10" t="s">
        <v>653</v>
      </c>
      <c r="F48" s="20">
        <v>31</v>
      </c>
      <c r="G48" s="10" t="s">
        <v>654</v>
      </c>
      <c r="H48" s="20"/>
      <c r="I48" s="20">
        <v>1000</v>
      </c>
      <c r="J48" s="10" t="s">
        <v>616</v>
      </c>
      <c r="K48" s="10" t="s">
        <v>617</v>
      </c>
      <c r="L48" s="10" t="s">
        <v>488</v>
      </c>
      <c r="M48" s="10" t="s">
        <v>712</v>
      </c>
      <c r="N48" s="10" t="s">
        <v>648</v>
      </c>
      <c r="O48" s="36">
        <f t="shared" si="2"/>
        <v>3.1E-2</v>
      </c>
      <c r="P48" s="11" t="str">
        <f t="shared" si="3"/>
        <v>Conforme</v>
      </c>
    </row>
    <row r="49" spans="1:16" ht="18" customHeight="1" x14ac:dyDescent="0.3">
      <c r="A49" s="10" t="s">
        <v>715</v>
      </c>
      <c r="B49" s="12">
        <v>46366</v>
      </c>
      <c r="C49" s="10" t="s">
        <v>643</v>
      </c>
      <c r="D49" s="10" t="s">
        <v>644</v>
      </c>
      <c r="E49" s="10" t="s">
        <v>656</v>
      </c>
      <c r="F49" s="20">
        <v>45</v>
      </c>
      <c r="G49" s="10" t="s">
        <v>651</v>
      </c>
      <c r="H49" s="20"/>
      <c r="I49" s="20">
        <v>500</v>
      </c>
      <c r="J49" s="10" t="s">
        <v>616</v>
      </c>
      <c r="K49" s="10" t="s">
        <v>617</v>
      </c>
      <c r="L49" s="10" t="s">
        <v>488</v>
      </c>
      <c r="M49" s="10" t="s">
        <v>712</v>
      </c>
      <c r="N49" s="10" t="s">
        <v>648</v>
      </c>
      <c r="O49" s="36">
        <f t="shared" si="2"/>
        <v>0.09</v>
      </c>
      <c r="P49" s="11" t="str">
        <f t="shared" si="3"/>
        <v>Conforme</v>
      </c>
    </row>
    <row r="50" spans="1:16" ht="18" customHeight="1" x14ac:dyDescent="0.3">
      <c r="A50" s="10" t="s">
        <v>716</v>
      </c>
      <c r="B50" s="12">
        <v>46366</v>
      </c>
      <c r="C50" s="10" t="s">
        <v>643</v>
      </c>
      <c r="D50" s="10" t="s">
        <v>644</v>
      </c>
      <c r="E50" s="10" t="s">
        <v>658</v>
      </c>
      <c r="F50" s="20">
        <v>8</v>
      </c>
      <c r="G50" s="10" t="s">
        <v>654</v>
      </c>
      <c r="H50" s="20"/>
      <c r="I50" s="20">
        <v>100</v>
      </c>
      <c r="J50" s="10" t="s">
        <v>616</v>
      </c>
      <c r="K50" s="10" t="s">
        <v>617</v>
      </c>
      <c r="L50" s="10" t="s">
        <v>488</v>
      </c>
      <c r="M50" s="10" t="s">
        <v>712</v>
      </c>
      <c r="N50" s="10" t="s">
        <v>648</v>
      </c>
      <c r="O50" s="36">
        <f t="shared" si="2"/>
        <v>0.08</v>
      </c>
      <c r="P50" s="11" t="str">
        <f t="shared" si="3"/>
        <v>Conforme</v>
      </c>
    </row>
    <row r="51" spans="1:16" ht="18" customHeight="1" x14ac:dyDescent="0.3">
      <c r="A51" s="10"/>
      <c r="B51" s="12"/>
      <c r="C51" s="10"/>
      <c r="D51" s="10"/>
      <c r="E51" s="10"/>
      <c r="F51" s="20"/>
      <c r="G51" s="10"/>
      <c r="H51" s="20"/>
      <c r="I51" s="20"/>
      <c r="J51" s="10"/>
      <c r="K51" s="10"/>
      <c r="L51" s="10"/>
      <c r="M51" s="10"/>
      <c r="N51" s="10"/>
      <c r="O51" s="36" t="str">
        <f t="shared" si="2"/>
        <v/>
      </c>
      <c r="P51" s="11" t="str">
        <f t="shared" si="3"/>
        <v/>
      </c>
    </row>
    <row r="52" spans="1:16" ht="18" customHeight="1" x14ac:dyDescent="0.3">
      <c r="A52" s="10"/>
      <c r="B52" s="12"/>
      <c r="C52" s="10"/>
      <c r="D52" s="10"/>
      <c r="E52" s="10"/>
      <c r="F52" s="20"/>
      <c r="G52" s="10"/>
      <c r="H52" s="20"/>
      <c r="I52" s="20"/>
      <c r="J52" s="10"/>
      <c r="K52" s="10"/>
      <c r="L52" s="10"/>
      <c r="M52" s="10"/>
      <c r="N52" s="10"/>
      <c r="O52" s="36" t="str">
        <f t="shared" si="2"/>
        <v/>
      </c>
      <c r="P52" s="11" t="str">
        <f t="shared" si="3"/>
        <v/>
      </c>
    </row>
    <row r="53" spans="1:16" ht="18" customHeight="1" x14ac:dyDescent="0.3">
      <c r="A53" s="10"/>
      <c r="B53" s="12"/>
      <c r="C53" s="10"/>
      <c r="D53" s="10"/>
      <c r="E53" s="10"/>
      <c r="F53" s="20"/>
      <c r="G53" s="10"/>
      <c r="H53" s="20"/>
      <c r="I53" s="20"/>
      <c r="J53" s="10"/>
      <c r="K53" s="10"/>
      <c r="L53" s="10"/>
      <c r="M53" s="10"/>
      <c r="N53" s="10"/>
      <c r="O53" s="36" t="str">
        <f t="shared" si="2"/>
        <v/>
      </c>
      <c r="P53" s="11" t="str">
        <f t="shared" si="3"/>
        <v/>
      </c>
    </row>
    <row r="54" spans="1:16" ht="18" customHeight="1" x14ac:dyDescent="0.3">
      <c r="A54" s="10"/>
      <c r="B54" s="12"/>
      <c r="C54" s="10"/>
      <c r="D54" s="10"/>
      <c r="E54" s="10"/>
      <c r="F54" s="20"/>
      <c r="G54" s="10"/>
      <c r="H54" s="20"/>
      <c r="I54" s="20"/>
      <c r="J54" s="10"/>
      <c r="K54" s="10"/>
      <c r="L54" s="10"/>
      <c r="M54" s="10"/>
      <c r="N54" s="10"/>
      <c r="O54" s="36" t="str">
        <f t="shared" si="2"/>
        <v/>
      </c>
      <c r="P54" s="11" t="str">
        <f t="shared" si="3"/>
        <v/>
      </c>
    </row>
    <row r="55" spans="1:16" ht="18" customHeight="1" x14ac:dyDescent="0.3">
      <c r="A55" s="10"/>
      <c r="B55" s="12"/>
      <c r="C55" s="10"/>
      <c r="D55" s="10"/>
      <c r="E55" s="10"/>
      <c r="F55" s="20"/>
      <c r="G55" s="10"/>
      <c r="H55" s="20"/>
      <c r="I55" s="20"/>
      <c r="J55" s="10"/>
      <c r="K55" s="10"/>
      <c r="L55" s="10"/>
      <c r="M55" s="10"/>
      <c r="N55" s="10"/>
      <c r="O55" s="36" t="str">
        <f t="shared" si="2"/>
        <v/>
      </c>
      <c r="P55" s="11" t="str">
        <f t="shared" si="3"/>
        <v/>
      </c>
    </row>
    <row r="56" spans="1:16" ht="18" customHeight="1" x14ac:dyDescent="0.3">
      <c r="A56" s="10"/>
      <c r="B56" s="12"/>
      <c r="C56" s="10"/>
      <c r="D56" s="10"/>
      <c r="E56" s="10"/>
      <c r="F56" s="20"/>
      <c r="G56" s="10"/>
      <c r="H56" s="20"/>
      <c r="I56" s="20"/>
      <c r="J56" s="10"/>
      <c r="K56" s="10"/>
      <c r="L56" s="10"/>
      <c r="M56" s="10"/>
      <c r="N56" s="10"/>
      <c r="O56" s="36" t="str">
        <f t="shared" si="2"/>
        <v/>
      </c>
      <c r="P56" s="11" t="str">
        <f t="shared" si="3"/>
        <v/>
      </c>
    </row>
    <row r="57" spans="1:16" ht="18" customHeight="1" x14ac:dyDescent="0.3">
      <c r="A57" s="10"/>
      <c r="B57" s="12"/>
      <c r="C57" s="10"/>
      <c r="D57" s="10"/>
      <c r="E57" s="10"/>
      <c r="F57" s="20"/>
      <c r="G57" s="10"/>
      <c r="H57" s="20"/>
      <c r="I57" s="20"/>
      <c r="J57" s="10"/>
      <c r="K57" s="10"/>
      <c r="L57" s="10"/>
      <c r="M57" s="10"/>
      <c r="N57" s="10"/>
      <c r="O57" s="36" t="str">
        <f t="shared" si="2"/>
        <v/>
      </c>
      <c r="P57" s="11" t="str">
        <f t="shared" si="3"/>
        <v/>
      </c>
    </row>
    <row r="58" spans="1:16" ht="18" customHeight="1" x14ac:dyDescent="0.3">
      <c r="A58" s="10"/>
      <c r="B58" s="12"/>
      <c r="C58" s="10"/>
      <c r="D58" s="10"/>
      <c r="E58" s="10"/>
      <c r="F58" s="20"/>
      <c r="G58" s="10"/>
      <c r="H58" s="20"/>
      <c r="I58" s="20"/>
      <c r="J58" s="10"/>
      <c r="K58" s="10"/>
      <c r="L58" s="10"/>
      <c r="M58" s="10"/>
      <c r="N58" s="10"/>
      <c r="O58" s="36" t="str">
        <f t="shared" si="2"/>
        <v/>
      </c>
      <c r="P58" s="11" t="str">
        <f t="shared" si="3"/>
        <v/>
      </c>
    </row>
    <row r="59" spans="1:16" ht="18" customHeight="1" x14ac:dyDescent="0.3">
      <c r="A59" s="10"/>
      <c r="B59" s="12"/>
      <c r="C59" s="10"/>
      <c r="D59" s="10"/>
      <c r="E59" s="10"/>
      <c r="F59" s="20"/>
      <c r="G59" s="10"/>
      <c r="H59" s="20"/>
      <c r="I59" s="20"/>
      <c r="J59" s="10"/>
      <c r="K59" s="10"/>
      <c r="L59" s="10"/>
      <c r="M59" s="10"/>
      <c r="N59" s="10"/>
      <c r="O59" s="36" t="str">
        <f t="shared" si="2"/>
        <v/>
      </c>
      <c r="P59" s="11" t="str">
        <f t="shared" si="3"/>
        <v/>
      </c>
    </row>
    <row r="60" spans="1:16" ht="18" customHeight="1" x14ac:dyDescent="0.3">
      <c r="A60" s="10"/>
      <c r="B60" s="12"/>
      <c r="C60" s="10"/>
      <c r="D60" s="10"/>
      <c r="E60" s="10"/>
      <c r="F60" s="20"/>
      <c r="G60" s="10"/>
      <c r="H60" s="20"/>
      <c r="I60" s="20"/>
      <c r="J60" s="10"/>
      <c r="K60" s="10"/>
      <c r="L60" s="10"/>
      <c r="M60" s="10"/>
      <c r="N60" s="10"/>
      <c r="O60" s="36" t="str">
        <f t="shared" si="2"/>
        <v/>
      </c>
      <c r="P60" s="11" t="str">
        <f t="shared" si="3"/>
        <v/>
      </c>
    </row>
    <row r="61" spans="1:16" ht="18" customHeight="1" x14ac:dyDescent="0.3">
      <c r="A61" s="10"/>
      <c r="B61" s="12"/>
      <c r="C61" s="10"/>
      <c r="D61" s="10"/>
      <c r="E61" s="10"/>
      <c r="F61" s="20"/>
      <c r="G61" s="10"/>
      <c r="H61" s="20"/>
      <c r="I61" s="20"/>
      <c r="J61" s="10"/>
      <c r="K61" s="10"/>
      <c r="L61" s="10"/>
      <c r="M61" s="10"/>
      <c r="N61" s="10"/>
      <c r="O61" s="36" t="str">
        <f t="shared" si="2"/>
        <v/>
      </c>
      <c r="P61" s="11" t="str">
        <f t="shared" si="3"/>
        <v/>
      </c>
    </row>
    <row r="62" spans="1:16" ht="18" customHeight="1" x14ac:dyDescent="0.3">
      <c r="A62" s="10"/>
      <c r="B62" s="12"/>
      <c r="C62" s="10"/>
      <c r="D62" s="10"/>
      <c r="E62" s="10"/>
      <c r="F62" s="20"/>
      <c r="G62" s="10"/>
      <c r="H62" s="20"/>
      <c r="I62" s="20"/>
      <c r="J62" s="10"/>
      <c r="K62" s="10"/>
      <c r="L62" s="10"/>
      <c r="M62" s="10"/>
      <c r="N62" s="10"/>
      <c r="O62" s="36" t="str">
        <f t="shared" si="2"/>
        <v/>
      </c>
      <c r="P62" s="11" t="str">
        <f t="shared" si="3"/>
        <v/>
      </c>
    </row>
    <row r="63" spans="1:16" ht="18" customHeight="1" x14ac:dyDescent="0.3">
      <c r="A63" s="10"/>
      <c r="B63" s="12"/>
      <c r="C63" s="10"/>
      <c r="D63" s="10"/>
      <c r="E63" s="10"/>
      <c r="F63" s="20"/>
      <c r="G63" s="10"/>
      <c r="H63" s="20"/>
      <c r="I63" s="20"/>
      <c r="J63" s="10"/>
      <c r="K63" s="10"/>
      <c r="L63" s="10"/>
      <c r="M63" s="10"/>
      <c r="N63" s="10"/>
      <c r="O63" s="36" t="str">
        <f t="shared" si="2"/>
        <v/>
      </c>
      <c r="P63" s="11" t="str">
        <f t="shared" si="3"/>
        <v/>
      </c>
    </row>
    <row r="64" spans="1:16" ht="18" customHeight="1" x14ac:dyDescent="0.3">
      <c r="A64" s="10"/>
      <c r="B64" s="12"/>
      <c r="C64" s="10"/>
      <c r="D64" s="10"/>
      <c r="E64" s="10"/>
      <c r="F64" s="20"/>
      <c r="G64" s="10"/>
      <c r="H64" s="20"/>
      <c r="I64" s="20"/>
      <c r="J64" s="10"/>
      <c r="K64" s="10"/>
      <c r="L64" s="10"/>
      <c r="M64" s="10"/>
      <c r="N64" s="10"/>
      <c r="O64" s="36" t="str">
        <f t="shared" si="2"/>
        <v/>
      </c>
      <c r="P64" s="11" t="str">
        <f t="shared" si="3"/>
        <v/>
      </c>
    </row>
    <row r="65" spans="1:16" ht="18" customHeight="1" x14ac:dyDescent="0.3">
      <c r="A65" s="10"/>
      <c r="B65" s="12"/>
      <c r="C65" s="10"/>
      <c r="D65" s="10"/>
      <c r="E65" s="10"/>
      <c r="F65" s="20"/>
      <c r="G65" s="10"/>
      <c r="H65" s="20"/>
      <c r="I65" s="20"/>
      <c r="J65" s="10"/>
      <c r="K65" s="10"/>
      <c r="L65" s="10"/>
      <c r="M65" s="10"/>
      <c r="N65" s="10"/>
      <c r="O65" s="36" t="str">
        <f t="shared" si="2"/>
        <v/>
      </c>
      <c r="P65" s="11" t="str">
        <f t="shared" si="3"/>
        <v/>
      </c>
    </row>
    <row r="66" spans="1:16" ht="18" customHeight="1" x14ac:dyDescent="0.3">
      <c r="A66" s="10"/>
      <c r="B66" s="12"/>
      <c r="C66" s="10"/>
      <c r="D66" s="10"/>
      <c r="E66" s="10"/>
      <c r="F66" s="20"/>
      <c r="G66" s="10"/>
      <c r="H66" s="20"/>
      <c r="I66" s="20"/>
      <c r="J66" s="10"/>
      <c r="K66" s="10"/>
      <c r="L66" s="10"/>
      <c r="M66" s="10"/>
      <c r="N66" s="10"/>
      <c r="O66" s="36" t="str">
        <f t="shared" si="2"/>
        <v/>
      </c>
      <c r="P66" s="11" t="str">
        <f t="shared" si="3"/>
        <v/>
      </c>
    </row>
    <row r="67" spans="1:16" ht="18" customHeight="1" x14ac:dyDescent="0.3">
      <c r="A67" s="10"/>
      <c r="B67" s="12"/>
      <c r="C67" s="10"/>
      <c r="D67" s="10"/>
      <c r="E67" s="10"/>
      <c r="F67" s="20"/>
      <c r="G67" s="10"/>
      <c r="H67" s="20"/>
      <c r="I67" s="20"/>
      <c r="J67" s="10"/>
      <c r="K67" s="10"/>
      <c r="L67" s="10"/>
      <c r="M67" s="10"/>
      <c r="N67" s="10"/>
      <c r="O67" s="36" t="str">
        <f t="shared" si="2"/>
        <v/>
      </c>
      <c r="P67" s="11" t="str">
        <f t="shared" si="3"/>
        <v/>
      </c>
    </row>
    <row r="68" spans="1:16" ht="18" customHeight="1" x14ac:dyDescent="0.3">
      <c r="A68" s="10"/>
      <c r="B68" s="12"/>
      <c r="C68" s="10"/>
      <c r="D68" s="10"/>
      <c r="E68" s="10"/>
      <c r="F68" s="20"/>
      <c r="G68" s="10"/>
      <c r="H68" s="20"/>
      <c r="I68" s="20"/>
      <c r="J68" s="10"/>
      <c r="K68" s="10"/>
      <c r="L68" s="10"/>
      <c r="M68" s="10"/>
      <c r="N68" s="10"/>
      <c r="O68" s="36" t="str">
        <f t="shared" si="2"/>
        <v/>
      </c>
      <c r="P68" s="11" t="str">
        <f t="shared" si="3"/>
        <v/>
      </c>
    </row>
    <row r="69" spans="1:16" ht="18" customHeight="1" x14ac:dyDescent="0.3">
      <c r="A69" s="10"/>
      <c r="B69" s="12"/>
      <c r="C69" s="10"/>
      <c r="D69" s="10"/>
      <c r="E69" s="10"/>
      <c r="F69" s="20"/>
      <c r="G69" s="10"/>
      <c r="H69" s="20"/>
      <c r="I69" s="20"/>
      <c r="J69" s="10"/>
      <c r="K69" s="10"/>
      <c r="L69" s="10"/>
      <c r="M69" s="10"/>
      <c r="N69" s="10"/>
      <c r="O69" s="36" t="str">
        <f t="shared" ref="O69:O100" si="4">IF(OR(F69="",I69=""),"",F69/I69)</f>
        <v/>
      </c>
      <c r="P69" s="11" t="str">
        <f t="shared" ref="P69:P100" si="5">IF(F69="","",IF(OR(AND(H69&lt;&gt;"",F69&lt;H69),F69&gt;I69),"Não conforme","Conforme"))</f>
        <v/>
      </c>
    </row>
    <row r="70" spans="1:16" ht="18" customHeight="1" x14ac:dyDescent="0.3">
      <c r="A70" s="10"/>
      <c r="B70" s="12"/>
      <c r="C70" s="10"/>
      <c r="D70" s="10"/>
      <c r="E70" s="10"/>
      <c r="F70" s="20"/>
      <c r="G70" s="10"/>
      <c r="H70" s="20"/>
      <c r="I70" s="20"/>
      <c r="J70" s="10"/>
      <c r="K70" s="10"/>
      <c r="L70" s="10"/>
      <c r="M70" s="10"/>
      <c r="N70" s="10"/>
      <c r="O70" s="36" t="str">
        <f t="shared" si="4"/>
        <v/>
      </c>
      <c r="P70" s="11" t="str">
        <f t="shared" si="5"/>
        <v/>
      </c>
    </row>
    <row r="71" spans="1:16" ht="18" customHeight="1" x14ac:dyDescent="0.3">
      <c r="A71" s="10"/>
      <c r="B71" s="12"/>
      <c r="C71" s="10"/>
      <c r="D71" s="10"/>
      <c r="E71" s="10"/>
      <c r="F71" s="20"/>
      <c r="G71" s="10"/>
      <c r="H71" s="20"/>
      <c r="I71" s="20"/>
      <c r="J71" s="10"/>
      <c r="K71" s="10"/>
      <c r="L71" s="10"/>
      <c r="M71" s="10"/>
      <c r="N71" s="10"/>
      <c r="O71" s="36" t="str">
        <f t="shared" si="4"/>
        <v/>
      </c>
      <c r="P71" s="11" t="str">
        <f t="shared" si="5"/>
        <v/>
      </c>
    </row>
    <row r="72" spans="1:16" ht="18" customHeight="1" x14ac:dyDescent="0.3">
      <c r="A72" s="10"/>
      <c r="B72" s="12"/>
      <c r="C72" s="10"/>
      <c r="D72" s="10"/>
      <c r="E72" s="10"/>
      <c r="F72" s="20"/>
      <c r="G72" s="10"/>
      <c r="H72" s="20"/>
      <c r="I72" s="20"/>
      <c r="J72" s="10"/>
      <c r="K72" s="10"/>
      <c r="L72" s="10"/>
      <c r="M72" s="10"/>
      <c r="N72" s="10"/>
      <c r="O72" s="36" t="str">
        <f t="shared" si="4"/>
        <v/>
      </c>
      <c r="P72" s="11" t="str">
        <f t="shared" si="5"/>
        <v/>
      </c>
    </row>
    <row r="73" spans="1:16" ht="18" customHeight="1" x14ac:dyDescent="0.3">
      <c r="A73" s="10"/>
      <c r="B73" s="12"/>
      <c r="C73" s="10"/>
      <c r="D73" s="10"/>
      <c r="E73" s="10"/>
      <c r="F73" s="20"/>
      <c r="G73" s="10"/>
      <c r="H73" s="20"/>
      <c r="I73" s="20"/>
      <c r="J73" s="10"/>
      <c r="K73" s="10"/>
      <c r="L73" s="10"/>
      <c r="M73" s="10"/>
      <c r="N73" s="10"/>
      <c r="O73" s="36" t="str">
        <f t="shared" si="4"/>
        <v/>
      </c>
      <c r="P73" s="11" t="str">
        <f t="shared" si="5"/>
        <v/>
      </c>
    </row>
    <row r="74" spans="1:16" ht="18" customHeight="1" x14ac:dyDescent="0.3">
      <c r="A74" s="10"/>
      <c r="B74" s="12"/>
      <c r="C74" s="10"/>
      <c r="D74" s="10"/>
      <c r="E74" s="10"/>
      <c r="F74" s="20"/>
      <c r="G74" s="10"/>
      <c r="H74" s="20"/>
      <c r="I74" s="20"/>
      <c r="J74" s="10"/>
      <c r="K74" s="10"/>
      <c r="L74" s="10"/>
      <c r="M74" s="10"/>
      <c r="N74" s="10"/>
      <c r="O74" s="36" t="str">
        <f t="shared" si="4"/>
        <v/>
      </c>
      <c r="P74" s="11" t="str">
        <f t="shared" si="5"/>
        <v/>
      </c>
    </row>
    <row r="75" spans="1:16" ht="18" customHeight="1" x14ac:dyDescent="0.3">
      <c r="A75" s="10"/>
      <c r="B75" s="12"/>
      <c r="C75" s="10"/>
      <c r="D75" s="10"/>
      <c r="E75" s="10"/>
      <c r="F75" s="20"/>
      <c r="G75" s="10"/>
      <c r="H75" s="20"/>
      <c r="I75" s="20"/>
      <c r="J75" s="10"/>
      <c r="K75" s="10"/>
      <c r="L75" s="10"/>
      <c r="M75" s="10"/>
      <c r="N75" s="10"/>
      <c r="O75" s="36" t="str">
        <f t="shared" si="4"/>
        <v/>
      </c>
      <c r="P75" s="11" t="str">
        <f t="shared" si="5"/>
        <v/>
      </c>
    </row>
    <row r="76" spans="1:16" ht="18" customHeight="1" x14ac:dyDescent="0.3">
      <c r="A76" s="10"/>
      <c r="B76" s="12"/>
      <c r="C76" s="10"/>
      <c r="D76" s="10"/>
      <c r="E76" s="10"/>
      <c r="F76" s="20"/>
      <c r="G76" s="10"/>
      <c r="H76" s="20"/>
      <c r="I76" s="20"/>
      <c r="J76" s="10"/>
      <c r="K76" s="10"/>
      <c r="L76" s="10"/>
      <c r="M76" s="10"/>
      <c r="N76" s="10"/>
      <c r="O76" s="36" t="str">
        <f t="shared" si="4"/>
        <v/>
      </c>
      <c r="P76" s="11" t="str">
        <f t="shared" si="5"/>
        <v/>
      </c>
    </row>
    <row r="77" spans="1:16" ht="18" customHeight="1" x14ac:dyDescent="0.3">
      <c r="A77" s="10"/>
      <c r="B77" s="12"/>
      <c r="C77" s="10"/>
      <c r="D77" s="10"/>
      <c r="E77" s="10"/>
      <c r="F77" s="20"/>
      <c r="G77" s="10"/>
      <c r="H77" s="20"/>
      <c r="I77" s="20"/>
      <c r="J77" s="10"/>
      <c r="K77" s="10"/>
      <c r="L77" s="10"/>
      <c r="M77" s="10"/>
      <c r="N77" s="10"/>
      <c r="O77" s="36" t="str">
        <f t="shared" si="4"/>
        <v/>
      </c>
      <c r="P77" s="11" t="str">
        <f t="shared" si="5"/>
        <v/>
      </c>
    </row>
    <row r="78" spans="1:16" ht="18" customHeight="1" x14ac:dyDescent="0.3">
      <c r="A78" s="10"/>
      <c r="B78" s="12"/>
      <c r="C78" s="10"/>
      <c r="D78" s="10"/>
      <c r="E78" s="10"/>
      <c r="F78" s="20"/>
      <c r="G78" s="10"/>
      <c r="H78" s="20"/>
      <c r="I78" s="20"/>
      <c r="J78" s="10"/>
      <c r="K78" s="10"/>
      <c r="L78" s="10"/>
      <c r="M78" s="10"/>
      <c r="N78" s="10"/>
      <c r="O78" s="36" t="str">
        <f t="shared" si="4"/>
        <v/>
      </c>
      <c r="P78" s="11" t="str">
        <f t="shared" si="5"/>
        <v/>
      </c>
    </row>
    <row r="79" spans="1:16" ht="18" customHeight="1" x14ac:dyDescent="0.3">
      <c r="A79" s="10"/>
      <c r="B79" s="12"/>
      <c r="C79" s="10"/>
      <c r="D79" s="10"/>
      <c r="E79" s="10"/>
      <c r="F79" s="20"/>
      <c r="G79" s="10"/>
      <c r="H79" s="20"/>
      <c r="I79" s="20"/>
      <c r="J79" s="10"/>
      <c r="K79" s="10"/>
      <c r="L79" s="10"/>
      <c r="M79" s="10"/>
      <c r="N79" s="10"/>
      <c r="O79" s="36" t="str">
        <f t="shared" si="4"/>
        <v/>
      </c>
      <c r="P79" s="11" t="str">
        <f t="shared" si="5"/>
        <v/>
      </c>
    </row>
    <row r="80" spans="1:16" ht="18" customHeight="1" x14ac:dyDescent="0.3">
      <c r="A80" s="10"/>
      <c r="B80" s="12"/>
      <c r="C80" s="10"/>
      <c r="D80" s="10"/>
      <c r="E80" s="10"/>
      <c r="F80" s="20"/>
      <c r="G80" s="10"/>
      <c r="H80" s="20"/>
      <c r="I80" s="20"/>
      <c r="J80" s="10"/>
      <c r="K80" s="10"/>
      <c r="L80" s="10"/>
      <c r="M80" s="10"/>
      <c r="N80" s="10"/>
      <c r="O80" s="36" t="str">
        <f t="shared" si="4"/>
        <v/>
      </c>
      <c r="P80" s="11" t="str">
        <f t="shared" si="5"/>
        <v/>
      </c>
    </row>
    <row r="81" spans="1:16" ht="18" customHeight="1" x14ac:dyDescent="0.3">
      <c r="A81" s="10"/>
      <c r="B81" s="12"/>
      <c r="C81" s="10"/>
      <c r="D81" s="10"/>
      <c r="E81" s="10"/>
      <c r="F81" s="20"/>
      <c r="G81" s="10"/>
      <c r="H81" s="20"/>
      <c r="I81" s="20"/>
      <c r="J81" s="10"/>
      <c r="K81" s="10"/>
      <c r="L81" s="10"/>
      <c r="M81" s="10"/>
      <c r="N81" s="10"/>
      <c r="O81" s="36" t="str">
        <f t="shared" si="4"/>
        <v/>
      </c>
      <c r="P81" s="11" t="str">
        <f t="shared" si="5"/>
        <v/>
      </c>
    </row>
    <row r="82" spans="1:16" ht="18" customHeight="1" x14ac:dyDescent="0.3">
      <c r="A82" s="10"/>
      <c r="B82" s="12"/>
      <c r="C82" s="10"/>
      <c r="D82" s="10"/>
      <c r="E82" s="10"/>
      <c r="F82" s="20"/>
      <c r="G82" s="10"/>
      <c r="H82" s="20"/>
      <c r="I82" s="20"/>
      <c r="J82" s="10"/>
      <c r="K82" s="10"/>
      <c r="L82" s="10"/>
      <c r="M82" s="10"/>
      <c r="N82" s="10"/>
      <c r="O82" s="36" t="str">
        <f t="shared" si="4"/>
        <v/>
      </c>
      <c r="P82" s="11" t="str">
        <f t="shared" si="5"/>
        <v/>
      </c>
    </row>
    <row r="83" spans="1:16" ht="18" customHeight="1" x14ac:dyDescent="0.3">
      <c r="A83" s="10"/>
      <c r="B83" s="12"/>
      <c r="C83" s="10"/>
      <c r="D83" s="10"/>
      <c r="E83" s="10"/>
      <c r="F83" s="20"/>
      <c r="G83" s="10"/>
      <c r="H83" s="20"/>
      <c r="I83" s="20"/>
      <c r="J83" s="10"/>
      <c r="K83" s="10"/>
      <c r="L83" s="10"/>
      <c r="M83" s="10"/>
      <c r="N83" s="10"/>
      <c r="O83" s="36" t="str">
        <f t="shared" si="4"/>
        <v/>
      </c>
      <c r="P83" s="11" t="str">
        <f t="shared" si="5"/>
        <v/>
      </c>
    </row>
    <row r="84" spans="1:16" ht="18" customHeight="1" x14ac:dyDescent="0.3">
      <c r="A84" s="10"/>
      <c r="B84" s="12"/>
      <c r="C84" s="10"/>
      <c r="D84" s="10"/>
      <c r="E84" s="10"/>
      <c r="F84" s="20"/>
      <c r="G84" s="10"/>
      <c r="H84" s="20"/>
      <c r="I84" s="20"/>
      <c r="J84" s="10"/>
      <c r="K84" s="10"/>
      <c r="L84" s="10"/>
      <c r="M84" s="10"/>
      <c r="N84" s="10"/>
      <c r="O84" s="36" t="str">
        <f t="shared" si="4"/>
        <v/>
      </c>
      <c r="P84" s="11" t="str">
        <f t="shared" si="5"/>
        <v/>
      </c>
    </row>
    <row r="85" spans="1:16" ht="18" customHeight="1" x14ac:dyDescent="0.3">
      <c r="A85" s="10"/>
      <c r="B85" s="12"/>
      <c r="C85" s="10"/>
      <c r="D85" s="10"/>
      <c r="E85" s="10"/>
      <c r="F85" s="20"/>
      <c r="G85" s="10"/>
      <c r="H85" s="20"/>
      <c r="I85" s="20"/>
      <c r="J85" s="10"/>
      <c r="K85" s="10"/>
      <c r="L85" s="10"/>
      <c r="M85" s="10"/>
      <c r="N85" s="10"/>
      <c r="O85" s="36" t="str">
        <f t="shared" si="4"/>
        <v/>
      </c>
      <c r="P85" s="11" t="str">
        <f t="shared" si="5"/>
        <v/>
      </c>
    </row>
    <row r="86" spans="1:16" ht="18" customHeight="1" x14ac:dyDescent="0.3">
      <c r="A86" s="10"/>
      <c r="B86" s="12"/>
      <c r="C86" s="10"/>
      <c r="D86" s="10"/>
      <c r="E86" s="10"/>
      <c r="F86" s="20"/>
      <c r="G86" s="10"/>
      <c r="H86" s="20"/>
      <c r="I86" s="20"/>
      <c r="J86" s="10"/>
      <c r="K86" s="10"/>
      <c r="L86" s="10"/>
      <c r="M86" s="10"/>
      <c r="N86" s="10"/>
      <c r="O86" s="36" t="str">
        <f t="shared" si="4"/>
        <v/>
      </c>
      <c r="P86" s="11" t="str">
        <f t="shared" si="5"/>
        <v/>
      </c>
    </row>
    <row r="87" spans="1:16" ht="18" customHeight="1" x14ac:dyDescent="0.3">
      <c r="A87" s="10"/>
      <c r="B87" s="12"/>
      <c r="C87" s="10"/>
      <c r="D87" s="10"/>
      <c r="E87" s="10"/>
      <c r="F87" s="20"/>
      <c r="G87" s="10"/>
      <c r="H87" s="20"/>
      <c r="I87" s="20"/>
      <c r="J87" s="10"/>
      <c r="K87" s="10"/>
      <c r="L87" s="10"/>
      <c r="M87" s="10"/>
      <c r="N87" s="10"/>
      <c r="O87" s="36" t="str">
        <f t="shared" si="4"/>
        <v/>
      </c>
      <c r="P87" s="11" t="str">
        <f t="shared" si="5"/>
        <v/>
      </c>
    </row>
    <row r="88" spans="1:16" ht="18" customHeight="1" x14ac:dyDescent="0.3">
      <c r="A88" s="10"/>
      <c r="B88" s="12"/>
      <c r="C88" s="10"/>
      <c r="D88" s="10"/>
      <c r="E88" s="10"/>
      <c r="F88" s="20"/>
      <c r="G88" s="10"/>
      <c r="H88" s="20"/>
      <c r="I88" s="20"/>
      <c r="J88" s="10"/>
      <c r="K88" s="10"/>
      <c r="L88" s="10"/>
      <c r="M88" s="10"/>
      <c r="N88" s="10"/>
      <c r="O88" s="36" t="str">
        <f t="shared" si="4"/>
        <v/>
      </c>
      <c r="P88" s="11" t="str">
        <f t="shared" si="5"/>
        <v/>
      </c>
    </row>
    <row r="89" spans="1:16" ht="18" customHeight="1" x14ac:dyDescent="0.3">
      <c r="A89" s="10"/>
      <c r="B89" s="12"/>
      <c r="C89" s="10"/>
      <c r="D89" s="10"/>
      <c r="E89" s="10"/>
      <c r="F89" s="20"/>
      <c r="G89" s="10"/>
      <c r="H89" s="20"/>
      <c r="I89" s="20"/>
      <c r="J89" s="10"/>
      <c r="K89" s="10"/>
      <c r="L89" s="10"/>
      <c r="M89" s="10"/>
      <c r="N89" s="10"/>
      <c r="O89" s="36" t="str">
        <f t="shared" si="4"/>
        <v/>
      </c>
      <c r="P89" s="11" t="str">
        <f t="shared" si="5"/>
        <v/>
      </c>
    </row>
    <row r="90" spans="1:16" ht="18" customHeight="1" x14ac:dyDescent="0.3">
      <c r="A90" s="10"/>
      <c r="B90" s="12"/>
      <c r="C90" s="10"/>
      <c r="D90" s="10"/>
      <c r="E90" s="10"/>
      <c r="F90" s="20"/>
      <c r="G90" s="10"/>
      <c r="H90" s="20"/>
      <c r="I90" s="20"/>
      <c r="J90" s="10"/>
      <c r="K90" s="10"/>
      <c r="L90" s="10"/>
      <c r="M90" s="10"/>
      <c r="N90" s="10"/>
      <c r="O90" s="36" t="str">
        <f t="shared" si="4"/>
        <v/>
      </c>
      <c r="P90" s="11" t="str">
        <f t="shared" si="5"/>
        <v/>
      </c>
    </row>
    <row r="91" spans="1:16" ht="18" customHeight="1" x14ac:dyDescent="0.3">
      <c r="A91" s="10"/>
      <c r="B91" s="12"/>
      <c r="C91" s="10"/>
      <c r="D91" s="10"/>
      <c r="E91" s="10"/>
      <c r="F91" s="20"/>
      <c r="G91" s="10"/>
      <c r="H91" s="20"/>
      <c r="I91" s="20"/>
      <c r="J91" s="10"/>
      <c r="K91" s="10"/>
      <c r="L91" s="10"/>
      <c r="M91" s="10"/>
      <c r="N91" s="10"/>
      <c r="O91" s="36" t="str">
        <f t="shared" si="4"/>
        <v/>
      </c>
      <c r="P91" s="11" t="str">
        <f t="shared" si="5"/>
        <v/>
      </c>
    </row>
    <row r="92" spans="1:16" ht="18" customHeight="1" x14ac:dyDescent="0.3">
      <c r="A92" s="10"/>
      <c r="B92" s="12"/>
      <c r="C92" s="10"/>
      <c r="D92" s="10"/>
      <c r="E92" s="10"/>
      <c r="F92" s="20"/>
      <c r="G92" s="10"/>
      <c r="H92" s="20"/>
      <c r="I92" s="20"/>
      <c r="J92" s="10"/>
      <c r="K92" s="10"/>
      <c r="L92" s="10"/>
      <c r="M92" s="10"/>
      <c r="N92" s="10"/>
      <c r="O92" s="36" t="str">
        <f t="shared" si="4"/>
        <v/>
      </c>
      <c r="P92" s="11" t="str">
        <f t="shared" si="5"/>
        <v/>
      </c>
    </row>
    <row r="93" spans="1:16" ht="18" customHeight="1" x14ac:dyDescent="0.3">
      <c r="A93" s="10"/>
      <c r="B93" s="12"/>
      <c r="C93" s="10"/>
      <c r="D93" s="10"/>
      <c r="E93" s="10"/>
      <c r="F93" s="20"/>
      <c r="G93" s="10"/>
      <c r="H93" s="20"/>
      <c r="I93" s="20"/>
      <c r="J93" s="10"/>
      <c r="K93" s="10"/>
      <c r="L93" s="10"/>
      <c r="M93" s="10"/>
      <c r="N93" s="10"/>
      <c r="O93" s="36" t="str">
        <f t="shared" si="4"/>
        <v/>
      </c>
      <c r="P93" s="11" t="str">
        <f t="shared" si="5"/>
        <v/>
      </c>
    </row>
    <row r="94" spans="1:16" ht="18" customHeight="1" x14ac:dyDescent="0.3">
      <c r="A94" s="10"/>
      <c r="B94" s="12"/>
      <c r="C94" s="10"/>
      <c r="D94" s="10"/>
      <c r="E94" s="10"/>
      <c r="F94" s="20"/>
      <c r="G94" s="10"/>
      <c r="H94" s="20"/>
      <c r="I94" s="20"/>
      <c r="J94" s="10"/>
      <c r="K94" s="10"/>
      <c r="L94" s="10"/>
      <c r="M94" s="10"/>
      <c r="N94" s="10"/>
      <c r="O94" s="36" t="str">
        <f t="shared" si="4"/>
        <v/>
      </c>
      <c r="P94" s="11" t="str">
        <f t="shared" si="5"/>
        <v/>
      </c>
    </row>
    <row r="95" spans="1:16" ht="18" customHeight="1" x14ac:dyDescent="0.3">
      <c r="A95" s="10"/>
      <c r="B95" s="12"/>
      <c r="C95" s="10"/>
      <c r="D95" s="10"/>
      <c r="E95" s="10"/>
      <c r="F95" s="20"/>
      <c r="G95" s="10"/>
      <c r="H95" s="20"/>
      <c r="I95" s="20"/>
      <c r="J95" s="10"/>
      <c r="K95" s="10"/>
      <c r="L95" s="10"/>
      <c r="M95" s="10"/>
      <c r="N95" s="10"/>
      <c r="O95" s="36" t="str">
        <f t="shared" si="4"/>
        <v/>
      </c>
      <c r="P95" s="11" t="str">
        <f t="shared" si="5"/>
        <v/>
      </c>
    </row>
    <row r="96" spans="1:16" ht="18" customHeight="1" x14ac:dyDescent="0.3">
      <c r="A96" s="10"/>
      <c r="B96" s="12"/>
      <c r="C96" s="10"/>
      <c r="D96" s="10"/>
      <c r="E96" s="10"/>
      <c r="F96" s="20"/>
      <c r="G96" s="10"/>
      <c r="H96" s="20"/>
      <c r="I96" s="20"/>
      <c r="J96" s="10"/>
      <c r="K96" s="10"/>
      <c r="L96" s="10"/>
      <c r="M96" s="10"/>
      <c r="N96" s="10"/>
      <c r="O96" s="36" t="str">
        <f t="shared" si="4"/>
        <v/>
      </c>
      <c r="P96" s="11" t="str">
        <f t="shared" si="5"/>
        <v/>
      </c>
    </row>
    <row r="97" spans="1:16" ht="18" customHeight="1" x14ac:dyDescent="0.3">
      <c r="A97" s="10"/>
      <c r="B97" s="12"/>
      <c r="C97" s="10"/>
      <c r="D97" s="10"/>
      <c r="E97" s="10"/>
      <c r="F97" s="20"/>
      <c r="G97" s="10"/>
      <c r="H97" s="20"/>
      <c r="I97" s="20"/>
      <c r="J97" s="10"/>
      <c r="K97" s="10"/>
      <c r="L97" s="10"/>
      <c r="M97" s="10"/>
      <c r="N97" s="10"/>
      <c r="O97" s="36" t="str">
        <f t="shared" si="4"/>
        <v/>
      </c>
      <c r="P97" s="11" t="str">
        <f t="shared" si="5"/>
        <v/>
      </c>
    </row>
    <row r="98" spans="1:16" ht="18" customHeight="1" x14ac:dyDescent="0.3">
      <c r="A98" s="10"/>
      <c r="B98" s="12"/>
      <c r="C98" s="10"/>
      <c r="D98" s="10"/>
      <c r="E98" s="10"/>
      <c r="F98" s="20"/>
      <c r="G98" s="10"/>
      <c r="H98" s="20"/>
      <c r="I98" s="20"/>
      <c r="J98" s="10"/>
      <c r="K98" s="10"/>
      <c r="L98" s="10"/>
      <c r="M98" s="10"/>
      <c r="N98" s="10"/>
      <c r="O98" s="36" t="str">
        <f t="shared" si="4"/>
        <v/>
      </c>
      <c r="P98" s="11" t="str">
        <f t="shared" si="5"/>
        <v/>
      </c>
    </row>
    <row r="99" spans="1:16" ht="18" customHeight="1" x14ac:dyDescent="0.3">
      <c r="A99" s="10"/>
      <c r="B99" s="12"/>
      <c r="C99" s="10"/>
      <c r="D99" s="10"/>
      <c r="E99" s="10"/>
      <c r="F99" s="20"/>
      <c r="G99" s="10"/>
      <c r="H99" s="20"/>
      <c r="I99" s="20"/>
      <c r="J99" s="10"/>
      <c r="K99" s="10"/>
      <c r="L99" s="10"/>
      <c r="M99" s="10"/>
      <c r="N99" s="10"/>
      <c r="O99" s="36" t="str">
        <f t="shared" si="4"/>
        <v/>
      </c>
      <c r="P99" s="11" t="str">
        <f t="shared" si="5"/>
        <v/>
      </c>
    </row>
    <row r="100" spans="1:16" ht="18" customHeight="1" x14ac:dyDescent="0.3">
      <c r="A100" s="10"/>
      <c r="B100" s="12"/>
      <c r="C100" s="10"/>
      <c r="D100" s="10"/>
      <c r="E100" s="10"/>
      <c r="F100" s="20"/>
      <c r="G100" s="10"/>
      <c r="H100" s="20"/>
      <c r="I100" s="20"/>
      <c r="J100" s="10"/>
      <c r="K100" s="10"/>
      <c r="L100" s="10"/>
      <c r="M100" s="10"/>
      <c r="N100" s="10"/>
      <c r="O100" s="36" t="str">
        <f t="shared" si="4"/>
        <v/>
      </c>
      <c r="P100" s="11" t="str">
        <f t="shared" si="5"/>
        <v/>
      </c>
    </row>
    <row r="101" spans="1:16" ht="18" customHeight="1" x14ac:dyDescent="0.3">
      <c r="A101" s="10"/>
      <c r="B101" s="12"/>
      <c r="C101" s="10"/>
      <c r="D101" s="10"/>
      <c r="E101" s="10"/>
      <c r="F101" s="20"/>
      <c r="G101" s="10"/>
      <c r="H101" s="20"/>
      <c r="I101" s="20"/>
      <c r="J101" s="10"/>
      <c r="K101" s="10"/>
      <c r="L101" s="10"/>
      <c r="M101" s="10"/>
      <c r="N101" s="10"/>
      <c r="O101" s="36" t="str">
        <f t="shared" ref="O101:O110" si="6">IF(OR(F101="",I101=""),"",F101/I101)</f>
        <v/>
      </c>
      <c r="P101" s="11" t="str">
        <f t="shared" ref="P101:P110" si="7">IF(F101="","",IF(OR(AND(H101&lt;&gt;"",F101&lt;H101),F101&gt;I101),"Não conforme","Conforme"))</f>
        <v/>
      </c>
    </row>
    <row r="102" spans="1:16" ht="18" customHeight="1" x14ac:dyDescent="0.3">
      <c r="A102" s="10"/>
      <c r="B102" s="12"/>
      <c r="C102" s="10"/>
      <c r="D102" s="10"/>
      <c r="E102" s="10"/>
      <c r="F102" s="20"/>
      <c r="G102" s="10"/>
      <c r="H102" s="20"/>
      <c r="I102" s="20"/>
      <c r="J102" s="10"/>
      <c r="K102" s="10"/>
      <c r="L102" s="10"/>
      <c r="M102" s="10"/>
      <c r="N102" s="10"/>
      <c r="O102" s="36" t="str">
        <f t="shared" si="6"/>
        <v/>
      </c>
      <c r="P102" s="11" t="str">
        <f t="shared" si="7"/>
        <v/>
      </c>
    </row>
    <row r="103" spans="1:16" ht="18" customHeight="1" x14ac:dyDescent="0.3">
      <c r="A103" s="10"/>
      <c r="B103" s="12"/>
      <c r="C103" s="10"/>
      <c r="D103" s="10"/>
      <c r="E103" s="10"/>
      <c r="F103" s="20"/>
      <c r="G103" s="10"/>
      <c r="H103" s="20"/>
      <c r="I103" s="20"/>
      <c r="J103" s="10"/>
      <c r="K103" s="10"/>
      <c r="L103" s="10"/>
      <c r="M103" s="10"/>
      <c r="N103" s="10"/>
      <c r="O103" s="36" t="str">
        <f t="shared" si="6"/>
        <v/>
      </c>
      <c r="P103" s="11" t="str">
        <f t="shared" si="7"/>
        <v/>
      </c>
    </row>
    <row r="104" spans="1:16" ht="18" customHeight="1" x14ac:dyDescent="0.3">
      <c r="A104" s="10"/>
      <c r="B104" s="12"/>
      <c r="C104" s="10"/>
      <c r="D104" s="10"/>
      <c r="E104" s="10"/>
      <c r="F104" s="20"/>
      <c r="G104" s="10"/>
      <c r="H104" s="20"/>
      <c r="I104" s="20"/>
      <c r="J104" s="10"/>
      <c r="K104" s="10"/>
      <c r="L104" s="10"/>
      <c r="M104" s="10"/>
      <c r="N104" s="10"/>
      <c r="O104" s="36" t="str">
        <f t="shared" si="6"/>
        <v/>
      </c>
      <c r="P104" s="11" t="str">
        <f t="shared" si="7"/>
        <v/>
      </c>
    </row>
    <row r="105" spans="1:16" ht="18" customHeight="1" x14ac:dyDescent="0.3">
      <c r="A105" s="10"/>
      <c r="B105" s="12"/>
      <c r="C105" s="10"/>
      <c r="D105" s="10"/>
      <c r="E105" s="10"/>
      <c r="F105" s="20"/>
      <c r="G105" s="10"/>
      <c r="H105" s="20"/>
      <c r="I105" s="20"/>
      <c r="J105" s="10"/>
      <c r="K105" s="10"/>
      <c r="L105" s="10"/>
      <c r="M105" s="10"/>
      <c r="N105" s="10"/>
      <c r="O105" s="36" t="str">
        <f t="shared" si="6"/>
        <v/>
      </c>
      <c r="P105" s="11" t="str">
        <f t="shared" si="7"/>
        <v/>
      </c>
    </row>
    <row r="106" spans="1:16" ht="18" customHeight="1" x14ac:dyDescent="0.3">
      <c r="A106" s="10"/>
      <c r="B106" s="12"/>
      <c r="C106" s="10"/>
      <c r="D106" s="10"/>
      <c r="E106" s="10"/>
      <c r="F106" s="20"/>
      <c r="G106" s="10"/>
      <c r="H106" s="20"/>
      <c r="I106" s="20"/>
      <c r="J106" s="10"/>
      <c r="K106" s="10"/>
      <c r="L106" s="10"/>
      <c r="M106" s="10"/>
      <c r="N106" s="10"/>
      <c r="O106" s="36" t="str">
        <f t="shared" si="6"/>
        <v/>
      </c>
      <c r="P106" s="11" t="str">
        <f t="shared" si="7"/>
        <v/>
      </c>
    </row>
    <row r="107" spans="1:16" ht="18" customHeight="1" x14ac:dyDescent="0.3">
      <c r="A107" s="10"/>
      <c r="B107" s="12"/>
      <c r="C107" s="10"/>
      <c r="D107" s="10"/>
      <c r="E107" s="10"/>
      <c r="F107" s="20"/>
      <c r="G107" s="10"/>
      <c r="H107" s="20"/>
      <c r="I107" s="20"/>
      <c r="J107" s="10"/>
      <c r="K107" s="10"/>
      <c r="L107" s="10"/>
      <c r="M107" s="10"/>
      <c r="N107" s="10"/>
      <c r="O107" s="36" t="str">
        <f t="shared" si="6"/>
        <v/>
      </c>
      <c r="P107" s="11" t="str">
        <f t="shared" si="7"/>
        <v/>
      </c>
    </row>
    <row r="108" spans="1:16" ht="18" customHeight="1" x14ac:dyDescent="0.3">
      <c r="A108" s="10"/>
      <c r="B108" s="12"/>
      <c r="C108" s="10"/>
      <c r="D108" s="10"/>
      <c r="E108" s="10"/>
      <c r="F108" s="20"/>
      <c r="G108" s="10"/>
      <c r="H108" s="20"/>
      <c r="I108" s="20"/>
      <c r="J108" s="10"/>
      <c r="K108" s="10"/>
      <c r="L108" s="10"/>
      <c r="M108" s="10"/>
      <c r="N108" s="10"/>
      <c r="O108" s="36" t="str">
        <f t="shared" si="6"/>
        <v/>
      </c>
      <c r="P108" s="11" t="str">
        <f t="shared" si="7"/>
        <v/>
      </c>
    </row>
    <row r="109" spans="1:16" ht="18" customHeight="1" x14ac:dyDescent="0.3">
      <c r="A109" s="10"/>
      <c r="B109" s="12"/>
      <c r="C109" s="10"/>
      <c r="D109" s="10"/>
      <c r="E109" s="10"/>
      <c r="F109" s="20"/>
      <c r="G109" s="10"/>
      <c r="H109" s="20"/>
      <c r="I109" s="20"/>
      <c r="J109" s="10"/>
      <c r="K109" s="10"/>
      <c r="L109" s="10"/>
      <c r="M109" s="10"/>
      <c r="N109" s="10"/>
      <c r="O109" s="36" t="str">
        <f t="shared" si="6"/>
        <v/>
      </c>
      <c r="P109" s="11" t="str">
        <f t="shared" si="7"/>
        <v/>
      </c>
    </row>
    <row r="110" spans="1:16" ht="18" customHeight="1" x14ac:dyDescent="0.3">
      <c r="A110" s="10"/>
      <c r="B110" s="12"/>
      <c r="C110" s="10"/>
      <c r="D110" s="10"/>
      <c r="E110" s="10"/>
      <c r="F110" s="20"/>
      <c r="G110" s="10"/>
      <c r="H110" s="20"/>
      <c r="I110" s="20"/>
      <c r="J110" s="10"/>
      <c r="K110" s="10"/>
      <c r="L110" s="10"/>
      <c r="M110" s="10"/>
      <c r="N110" s="10"/>
      <c r="O110" s="36" t="str">
        <f t="shared" si="6"/>
        <v/>
      </c>
      <c r="P110" s="11" t="str">
        <f t="shared" si="7"/>
        <v/>
      </c>
    </row>
  </sheetData>
  <conditionalFormatting sqref="L5:L310">
    <cfRule type="expression" dxfId="2" priority="3">
      <formula>ISNUMBER(SEARCH("Não",L5))</formula>
    </cfRule>
  </conditionalFormatting>
  <conditionalFormatting sqref="P5:P310">
    <cfRule type="expression" dxfId="1" priority="1">
      <formula>ISNUMBER(SEARCH("Não conforme",P5))</formula>
    </cfRule>
    <cfRule type="expression" dxfId="0" priority="2">
      <formula>ISNUMBER(SEARCH("Conforme",P5))</formula>
    </cfRule>
  </conditionalFormatting>
  <dataValidations count="3">
    <dataValidation type="list" allowBlank="1" showErrorMessage="1" errorTitle="Valor inválido" error="Valor fora da lista controlada (ver folha Listas)." sqref="C5:C310" xr:uid="{00000000-0002-0000-0C00-000000000000}">
      <formula1>lst_AN_Matriz</formula1>
    </dataValidation>
    <dataValidation type="list" allowBlank="1" showErrorMessage="1" errorTitle="Valor inválido" error="Valor fora da lista controlada (ver folha Listas)." sqref="J5:J310" xr:uid="{00000000-0002-0000-0C00-000001000000}">
      <formula1>lst_AN_Limite</formula1>
    </dataValidation>
    <dataValidation type="list" allowBlank="1" showErrorMessage="1" errorTitle="Valor inválido" error="Valor fora da lista controlada (ver folha Listas)." sqref="L5:L310" xr:uid="{00000000-0002-0000-0C00-000002000000}">
      <formula1>lst_AN_SimNao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48" customWidth="1"/>
    <col min="4" max="7" width="16" customWidth="1"/>
    <col min="8" max="8" width="30" customWidth="1"/>
    <col min="9" max="9" width="29" customWidth="1"/>
    <col min="10" max="10" width="16" customWidth="1"/>
  </cols>
  <sheetData>
    <row r="1" spans="1:10" x14ac:dyDescent="0.3">
      <c r="A1" s="28" t="s">
        <v>717</v>
      </c>
    </row>
    <row r="2" spans="1:10" x14ac:dyDescent="0.3">
      <c r="A2" s="37" t="s">
        <v>718</v>
      </c>
      <c r="B2" s="37" t="s">
        <v>81</v>
      </c>
      <c r="C2" s="37" t="s">
        <v>719</v>
      </c>
      <c r="D2" s="37" t="s">
        <v>720</v>
      </c>
      <c r="E2" s="37" t="s">
        <v>721</v>
      </c>
      <c r="F2" s="37" t="s">
        <v>393</v>
      </c>
      <c r="G2" s="37" t="s">
        <v>722</v>
      </c>
      <c r="H2" s="37" t="s">
        <v>723</v>
      </c>
      <c r="I2" s="37" t="s">
        <v>724</v>
      </c>
      <c r="J2" s="37" t="s">
        <v>725</v>
      </c>
    </row>
    <row r="3" spans="1:10" x14ac:dyDescent="0.3">
      <c r="A3" s="38">
        <v>46387</v>
      </c>
      <c r="B3" s="6" t="s">
        <v>93</v>
      </c>
      <c r="C3" s="6" t="s">
        <v>726</v>
      </c>
      <c r="D3" s="6" t="s">
        <v>550</v>
      </c>
      <c r="E3" s="6" t="s">
        <v>546</v>
      </c>
      <c r="F3" s="6" t="s">
        <v>437</v>
      </c>
      <c r="G3" s="6" t="s">
        <v>413</v>
      </c>
      <c r="H3" s="6" t="s">
        <v>643</v>
      </c>
      <c r="I3" s="6" t="s">
        <v>616</v>
      </c>
      <c r="J3" s="6" t="s">
        <v>488</v>
      </c>
    </row>
    <row r="4" spans="1:10" x14ac:dyDescent="0.3">
      <c r="B4" s="6" t="s">
        <v>171</v>
      </c>
      <c r="C4" s="6" t="s">
        <v>727</v>
      </c>
      <c r="D4" s="6" t="s">
        <v>578</v>
      </c>
      <c r="E4" s="6" t="s">
        <v>553</v>
      </c>
      <c r="F4" s="6" t="s">
        <v>728</v>
      </c>
      <c r="G4" s="6" t="s">
        <v>417</v>
      </c>
      <c r="H4" s="6" t="s">
        <v>634</v>
      </c>
      <c r="I4" s="6" t="s">
        <v>623</v>
      </c>
      <c r="J4" s="6" t="s">
        <v>465</v>
      </c>
    </row>
    <row r="5" spans="1:10" x14ac:dyDescent="0.3">
      <c r="C5" s="6" t="s">
        <v>146</v>
      </c>
      <c r="D5" s="6" t="s">
        <v>567</v>
      </c>
      <c r="E5" s="6" t="s">
        <v>563</v>
      </c>
      <c r="F5" s="6" t="s">
        <v>402</v>
      </c>
      <c r="G5" s="6" t="s">
        <v>729</v>
      </c>
      <c r="H5" s="6" t="s">
        <v>668</v>
      </c>
      <c r="I5" s="6" t="s">
        <v>661</v>
      </c>
    </row>
    <row r="6" spans="1:10" x14ac:dyDescent="0.3">
      <c r="C6" s="6" t="s">
        <v>117</v>
      </c>
      <c r="D6" s="6" t="s">
        <v>730</v>
      </c>
      <c r="E6" s="6" t="s">
        <v>558</v>
      </c>
      <c r="F6" s="6" t="s">
        <v>404</v>
      </c>
      <c r="H6" s="6" t="s">
        <v>625</v>
      </c>
    </row>
    <row r="7" spans="1:10" x14ac:dyDescent="0.3">
      <c r="C7" s="6" t="s">
        <v>97</v>
      </c>
      <c r="E7" s="6" t="s">
        <v>569</v>
      </c>
      <c r="F7" s="6" t="s">
        <v>403</v>
      </c>
      <c r="H7" s="6" t="s">
        <v>612</v>
      </c>
    </row>
    <row r="8" spans="1:10" x14ac:dyDescent="0.3">
      <c r="C8" s="6" t="s">
        <v>731</v>
      </c>
      <c r="E8" s="6" t="s">
        <v>574</v>
      </c>
      <c r="F8" s="6" t="s">
        <v>400</v>
      </c>
    </row>
    <row r="9" spans="1:10" x14ac:dyDescent="0.3">
      <c r="C9" s="6" t="s">
        <v>127</v>
      </c>
      <c r="F9" s="6" t="s">
        <v>433</v>
      </c>
    </row>
    <row r="10" spans="1:10" x14ac:dyDescent="0.3">
      <c r="C10" s="6" t="s">
        <v>136</v>
      </c>
      <c r="F10" s="6" t="s">
        <v>732</v>
      </c>
    </row>
    <row r="11" spans="1:10" x14ac:dyDescent="0.3">
      <c r="C11" s="6" t="s">
        <v>196</v>
      </c>
      <c r="F11" s="6" t="s">
        <v>733</v>
      </c>
    </row>
    <row r="12" spans="1:10" x14ac:dyDescent="0.3">
      <c r="C12" s="6" t="s">
        <v>734</v>
      </c>
      <c r="F12" s="6" t="s">
        <v>735</v>
      </c>
    </row>
    <row r="13" spans="1:10" x14ac:dyDescent="0.3">
      <c r="C13" s="6" t="s">
        <v>736</v>
      </c>
      <c r="F13" s="6" t="s">
        <v>737</v>
      </c>
    </row>
    <row r="14" spans="1:10" x14ac:dyDescent="0.3">
      <c r="C14" s="6" t="s">
        <v>738</v>
      </c>
      <c r="F14" s="6" t="s">
        <v>739</v>
      </c>
    </row>
    <row r="15" spans="1:10" x14ac:dyDescent="0.3">
      <c r="C15" s="6" t="s">
        <v>740</v>
      </c>
      <c r="F15" s="6" t="s">
        <v>741</v>
      </c>
    </row>
    <row r="16" spans="1:10" x14ac:dyDescent="0.3">
      <c r="C16" s="6" t="s">
        <v>742</v>
      </c>
      <c r="F16" s="6" t="s">
        <v>743</v>
      </c>
    </row>
    <row r="17" spans="3:6" x14ac:dyDescent="0.3">
      <c r="C17" s="6" t="s">
        <v>744</v>
      </c>
      <c r="F17" s="6" t="s">
        <v>745</v>
      </c>
    </row>
    <row r="18" spans="3:6" x14ac:dyDescent="0.3">
      <c r="C18" s="6" t="s">
        <v>107</v>
      </c>
      <c r="F18" s="6" t="s">
        <v>408</v>
      </c>
    </row>
    <row r="19" spans="3:6" x14ac:dyDescent="0.3">
      <c r="C19" s="6" t="s">
        <v>164</v>
      </c>
      <c r="F19" s="6" t="s">
        <v>418</v>
      </c>
    </row>
    <row r="20" spans="3:6" x14ac:dyDescent="0.3">
      <c r="C20" s="6" t="s">
        <v>746</v>
      </c>
      <c r="F20" s="6" t="s">
        <v>419</v>
      </c>
    </row>
    <row r="21" spans="3:6" x14ac:dyDescent="0.3">
      <c r="C21" s="6" t="s">
        <v>747</v>
      </c>
    </row>
    <row r="22" spans="3:6" x14ac:dyDescent="0.3">
      <c r="C22" s="6" t="s">
        <v>748</v>
      </c>
    </row>
    <row r="23" spans="3:6" x14ac:dyDescent="0.3">
      <c r="C23" s="6" t="s">
        <v>749</v>
      </c>
    </row>
    <row r="24" spans="3:6" x14ac:dyDescent="0.3">
      <c r="C24" s="6" t="s">
        <v>750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751</v>
      </c>
      <c r="B1" s="8" t="s">
        <v>752</v>
      </c>
      <c r="C1" s="8" t="s">
        <v>753</v>
      </c>
      <c r="D1" s="8" t="s">
        <v>81</v>
      </c>
      <c r="E1" s="8" t="s">
        <v>754</v>
      </c>
      <c r="F1" s="8" t="s">
        <v>258</v>
      </c>
      <c r="G1" s="8" t="s">
        <v>755</v>
      </c>
      <c r="H1" s="8" t="s">
        <v>756</v>
      </c>
      <c r="I1" s="8" t="s">
        <v>757</v>
      </c>
    </row>
    <row r="2" spans="1:9" x14ac:dyDescent="0.3">
      <c r="A2" s="39" t="s">
        <v>28</v>
      </c>
      <c r="B2" s="39" t="s">
        <v>758</v>
      </c>
      <c r="C2" s="39" t="s">
        <v>78</v>
      </c>
      <c r="D2" s="39" t="s">
        <v>759</v>
      </c>
      <c r="E2" s="39" t="s">
        <v>760</v>
      </c>
      <c r="F2" s="39" t="s">
        <v>761</v>
      </c>
      <c r="G2" s="39"/>
      <c r="H2" s="39" t="s">
        <v>488</v>
      </c>
      <c r="I2" s="39" t="s">
        <v>762</v>
      </c>
    </row>
    <row r="3" spans="1:9" x14ac:dyDescent="0.3">
      <c r="A3" s="39" t="s">
        <v>28</v>
      </c>
      <c r="B3" s="39" t="s">
        <v>758</v>
      </c>
      <c r="C3" s="39" t="s">
        <v>79</v>
      </c>
      <c r="D3" s="39" t="s">
        <v>759</v>
      </c>
      <c r="E3" s="39" t="s">
        <v>760</v>
      </c>
      <c r="F3" s="39" t="s">
        <v>763</v>
      </c>
      <c r="G3" s="39"/>
      <c r="H3" s="39" t="s">
        <v>488</v>
      </c>
      <c r="I3" s="39"/>
    </row>
    <row r="4" spans="1:9" x14ac:dyDescent="0.3">
      <c r="A4" s="39" t="s">
        <v>28</v>
      </c>
      <c r="B4" s="39" t="s">
        <v>758</v>
      </c>
      <c r="C4" s="39" t="s">
        <v>80</v>
      </c>
      <c r="D4" s="39" t="s">
        <v>759</v>
      </c>
      <c r="E4" s="39" t="s">
        <v>760</v>
      </c>
      <c r="F4" s="39" t="s">
        <v>764</v>
      </c>
      <c r="G4" s="39"/>
      <c r="H4" s="39" t="s">
        <v>488</v>
      </c>
      <c r="I4" s="39"/>
    </row>
    <row r="5" spans="1:9" x14ac:dyDescent="0.3">
      <c r="A5" s="39" t="s">
        <v>28</v>
      </c>
      <c r="B5" s="39" t="s">
        <v>758</v>
      </c>
      <c r="C5" s="39" t="s">
        <v>81</v>
      </c>
      <c r="D5" s="39" t="s">
        <v>759</v>
      </c>
      <c r="E5" s="39" t="s">
        <v>760</v>
      </c>
      <c r="F5" s="39" t="s">
        <v>765</v>
      </c>
      <c r="G5" s="39" t="s">
        <v>766</v>
      </c>
      <c r="H5" s="39" t="s">
        <v>488</v>
      </c>
      <c r="I5" s="39"/>
    </row>
    <row r="6" spans="1:9" x14ac:dyDescent="0.3">
      <c r="A6" s="39" t="s">
        <v>28</v>
      </c>
      <c r="B6" s="39" t="s">
        <v>758</v>
      </c>
      <c r="C6" s="39" t="s">
        <v>82</v>
      </c>
      <c r="D6" s="39" t="s">
        <v>759</v>
      </c>
      <c r="E6" s="39" t="s">
        <v>760</v>
      </c>
      <c r="F6" s="39" t="s">
        <v>767</v>
      </c>
      <c r="G6" s="39"/>
      <c r="H6" s="39" t="s">
        <v>488</v>
      </c>
      <c r="I6" s="39"/>
    </row>
    <row r="7" spans="1:9" ht="39.6" x14ac:dyDescent="0.3">
      <c r="A7" s="39" t="s">
        <v>28</v>
      </c>
      <c r="B7" s="39" t="s">
        <v>758</v>
      </c>
      <c r="C7" s="39" t="s">
        <v>83</v>
      </c>
      <c r="D7" s="39" t="s">
        <v>759</v>
      </c>
      <c r="E7" s="39" t="s">
        <v>760</v>
      </c>
      <c r="F7" s="39" t="s">
        <v>768</v>
      </c>
      <c r="G7" s="39"/>
      <c r="H7" s="39" t="s">
        <v>488</v>
      </c>
      <c r="I7" s="39" t="s">
        <v>769</v>
      </c>
    </row>
    <row r="8" spans="1:9" x14ac:dyDescent="0.3">
      <c r="A8" s="39" t="s">
        <v>28</v>
      </c>
      <c r="B8" s="39" t="s">
        <v>758</v>
      </c>
      <c r="C8" s="39" t="s">
        <v>84</v>
      </c>
      <c r="D8" s="39" t="s">
        <v>759</v>
      </c>
      <c r="E8" s="39" t="s">
        <v>760</v>
      </c>
      <c r="F8" s="39" t="s">
        <v>770</v>
      </c>
      <c r="G8" s="39"/>
      <c r="H8" s="39" t="s">
        <v>488</v>
      </c>
      <c r="I8" s="39"/>
    </row>
    <row r="9" spans="1:9" x14ac:dyDescent="0.3">
      <c r="A9" s="39" t="s">
        <v>28</v>
      </c>
      <c r="B9" s="39" t="s">
        <v>758</v>
      </c>
      <c r="C9" s="39" t="s">
        <v>85</v>
      </c>
      <c r="D9" s="39" t="s">
        <v>759</v>
      </c>
      <c r="E9" s="39" t="s">
        <v>760</v>
      </c>
      <c r="F9" s="39" t="s">
        <v>771</v>
      </c>
      <c r="G9" s="39" t="s">
        <v>772</v>
      </c>
      <c r="H9" s="39" t="s">
        <v>488</v>
      </c>
      <c r="I9" s="39"/>
    </row>
    <row r="10" spans="1:9" ht="26.4" x14ac:dyDescent="0.3">
      <c r="A10" s="39" t="s">
        <v>28</v>
      </c>
      <c r="B10" s="39" t="s">
        <v>758</v>
      </c>
      <c r="C10" s="39" t="s">
        <v>86</v>
      </c>
      <c r="D10" s="39" t="s">
        <v>759</v>
      </c>
      <c r="E10" s="39" t="s">
        <v>760</v>
      </c>
      <c r="F10" s="39" t="s">
        <v>773</v>
      </c>
      <c r="G10" s="39"/>
      <c r="H10" s="39" t="s">
        <v>488</v>
      </c>
      <c r="I10" s="39" t="s">
        <v>774</v>
      </c>
    </row>
    <row r="11" spans="1:9" x14ac:dyDescent="0.3">
      <c r="A11" s="39" t="s">
        <v>28</v>
      </c>
      <c r="B11" s="39" t="s">
        <v>758</v>
      </c>
      <c r="C11" s="39" t="s">
        <v>87</v>
      </c>
      <c r="D11" s="39" t="s">
        <v>759</v>
      </c>
      <c r="E11" s="39" t="s">
        <v>760</v>
      </c>
      <c r="F11" s="39" t="s">
        <v>775</v>
      </c>
      <c r="G11" s="39"/>
      <c r="H11" s="39" t="s">
        <v>488</v>
      </c>
      <c r="I11" s="39"/>
    </row>
    <row r="12" spans="1:9" ht="26.4" x14ac:dyDescent="0.3">
      <c r="A12" s="39" t="s">
        <v>28</v>
      </c>
      <c r="B12" s="39" t="s">
        <v>758</v>
      </c>
      <c r="C12" s="39" t="s">
        <v>88</v>
      </c>
      <c r="D12" s="39" t="s">
        <v>759</v>
      </c>
      <c r="E12" s="39" t="s">
        <v>760</v>
      </c>
      <c r="F12" s="39" t="s">
        <v>776</v>
      </c>
      <c r="G12" s="39"/>
      <c r="H12" s="39" t="s">
        <v>488</v>
      </c>
      <c r="I12" s="39" t="s">
        <v>777</v>
      </c>
    </row>
    <row r="13" spans="1:9" x14ac:dyDescent="0.3">
      <c r="A13" s="39" t="s">
        <v>28</v>
      </c>
      <c r="B13" s="39" t="s">
        <v>758</v>
      </c>
      <c r="C13" s="39" t="s">
        <v>89</v>
      </c>
      <c r="D13" s="39" t="s">
        <v>759</v>
      </c>
      <c r="E13" s="39" t="s">
        <v>778</v>
      </c>
      <c r="F13" s="39" t="s">
        <v>779</v>
      </c>
      <c r="G13" s="39"/>
      <c r="H13" s="39" t="s">
        <v>488</v>
      </c>
      <c r="I13" s="39"/>
    </row>
    <row r="14" spans="1:9" ht="26.4" x14ac:dyDescent="0.3">
      <c r="A14" s="39" t="s">
        <v>30</v>
      </c>
      <c r="B14" s="39" t="s">
        <v>780</v>
      </c>
      <c r="C14" s="39" t="s">
        <v>200</v>
      </c>
      <c r="D14" s="39" t="s">
        <v>759</v>
      </c>
      <c r="E14" s="39" t="s">
        <v>760</v>
      </c>
      <c r="F14" s="39" t="s">
        <v>781</v>
      </c>
      <c r="G14" s="39"/>
      <c r="H14" s="39" t="s">
        <v>488</v>
      </c>
      <c r="I14" s="39" t="s">
        <v>762</v>
      </c>
    </row>
    <row r="15" spans="1:9" ht="26.4" x14ac:dyDescent="0.3">
      <c r="A15" s="39" t="s">
        <v>30</v>
      </c>
      <c r="B15" s="39" t="s">
        <v>780</v>
      </c>
      <c r="C15" s="39" t="s">
        <v>201</v>
      </c>
      <c r="D15" s="39" t="s">
        <v>759</v>
      </c>
      <c r="E15" s="39" t="s">
        <v>760</v>
      </c>
      <c r="F15" s="39" t="s">
        <v>782</v>
      </c>
      <c r="G15" s="39"/>
      <c r="H15" s="39" t="s">
        <v>488</v>
      </c>
      <c r="I15" s="39"/>
    </row>
    <row r="16" spans="1:9" ht="26.4" x14ac:dyDescent="0.3">
      <c r="A16" s="39" t="s">
        <v>30</v>
      </c>
      <c r="B16" s="39" t="s">
        <v>780</v>
      </c>
      <c r="C16" s="39" t="s">
        <v>202</v>
      </c>
      <c r="D16" s="39" t="s">
        <v>759</v>
      </c>
      <c r="E16" s="39" t="s">
        <v>760</v>
      </c>
      <c r="F16" s="39" t="s">
        <v>783</v>
      </c>
      <c r="G16" s="39"/>
      <c r="H16" s="39" t="s">
        <v>488</v>
      </c>
      <c r="I16" s="39"/>
    </row>
    <row r="17" spans="1:9" ht="26.4" x14ac:dyDescent="0.3">
      <c r="A17" s="39" t="s">
        <v>30</v>
      </c>
      <c r="B17" s="39" t="s">
        <v>780</v>
      </c>
      <c r="C17" s="39" t="s">
        <v>203</v>
      </c>
      <c r="D17" s="39" t="s">
        <v>759</v>
      </c>
      <c r="E17" s="39" t="s">
        <v>760</v>
      </c>
      <c r="F17" s="39" t="s">
        <v>784</v>
      </c>
      <c r="G17" s="39"/>
      <c r="H17" s="39" t="s">
        <v>488</v>
      </c>
      <c r="I17" s="39"/>
    </row>
    <row r="18" spans="1:9" ht="26.4" x14ac:dyDescent="0.3">
      <c r="A18" s="39" t="s">
        <v>30</v>
      </c>
      <c r="B18" s="39" t="s">
        <v>780</v>
      </c>
      <c r="C18" s="39" t="s">
        <v>204</v>
      </c>
      <c r="D18" s="39" t="s">
        <v>785</v>
      </c>
      <c r="E18" s="39" t="s">
        <v>760</v>
      </c>
      <c r="F18" s="39" t="s">
        <v>786</v>
      </c>
      <c r="G18" s="39"/>
      <c r="H18" s="39" t="s">
        <v>465</v>
      </c>
      <c r="I18" s="39"/>
    </row>
    <row r="19" spans="1:9" ht="26.4" x14ac:dyDescent="0.3">
      <c r="A19" s="39" t="s">
        <v>30</v>
      </c>
      <c r="B19" s="39" t="s">
        <v>780</v>
      </c>
      <c r="C19" s="39" t="s">
        <v>205</v>
      </c>
      <c r="D19" s="39" t="s">
        <v>787</v>
      </c>
      <c r="E19" s="39" t="s">
        <v>760</v>
      </c>
      <c r="F19" s="39" t="s">
        <v>788</v>
      </c>
      <c r="G19" s="39"/>
      <c r="H19" s="39" t="s">
        <v>488</v>
      </c>
      <c r="I19" s="39"/>
    </row>
    <row r="20" spans="1:9" ht="26.4" x14ac:dyDescent="0.3">
      <c r="A20" s="39" t="s">
        <v>30</v>
      </c>
      <c r="B20" s="39" t="s">
        <v>780</v>
      </c>
      <c r="C20" s="39" t="s">
        <v>206</v>
      </c>
      <c r="D20" s="39" t="s">
        <v>759</v>
      </c>
      <c r="E20" s="39" t="s">
        <v>760</v>
      </c>
      <c r="F20" s="39" t="s">
        <v>789</v>
      </c>
      <c r="G20" s="39"/>
      <c r="H20" s="39" t="s">
        <v>488</v>
      </c>
      <c r="I20" s="39"/>
    </row>
    <row r="21" spans="1:9" ht="26.4" x14ac:dyDescent="0.3">
      <c r="A21" s="39" t="s">
        <v>30</v>
      </c>
      <c r="B21" s="39" t="s">
        <v>780</v>
      </c>
      <c r="C21" s="39" t="s">
        <v>207</v>
      </c>
      <c r="D21" s="39" t="s">
        <v>759</v>
      </c>
      <c r="E21" s="39" t="s">
        <v>760</v>
      </c>
      <c r="F21" s="39" t="s">
        <v>790</v>
      </c>
      <c r="G21" s="39"/>
      <c r="H21" s="39" t="s">
        <v>488</v>
      </c>
      <c r="I21" s="39"/>
    </row>
    <row r="22" spans="1:9" ht="26.4" x14ac:dyDescent="0.3">
      <c r="A22" s="39" t="s">
        <v>30</v>
      </c>
      <c r="B22" s="39" t="s">
        <v>780</v>
      </c>
      <c r="C22" s="39" t="s">
        <v>208</v>
      </c>
      <c r="D22" s="39" t="s">
        <v>785</v>
      </c>
      <c r="E22" s="39" t="s">
        <v>778</v>
      </c>
      <c r="F22" s="39" t="s">
        <v>791</v>
      </c>
      <c r="G22" s="39"/>
      <c r="H22" s="39" t="s">
        <v>488</v>
      </c>
      <c r="I22" s="39"/>
    </row>
    <row r="23" spans="1:9" ht="26.4" x14ac:dyDescent="0.3">
      <c r="A23" s="39" t="s">
        <v>30</v>
      </c>
      <c r="B23" s="39" t="s">
        <v>780</v>
      </c>
      <c r="C23" s="39" t="s">
        <v>14</v>
      </c>
      <c r="D23" s="39" t="s">
        <v>759</v>
      </c>
      <c r="E23" s="39" t="s">
        <v>778</v>
      </c>
      <c r="F23" s="39" t="s">
        <v>792</v>
      </c>
      <c r="G23" s="39"/>
      <c r="H23" s="39" t="s">
        <v>488</v>
      </c>
      <c r="I23" s="39"/>
    </row>
    <row r="24" spans="1:9" x14ac:dyDescent="0.3">
      <c r="A24" s="39" t="s">
        <v>32</v>
      </c>
      <c r="B24" s="39" t="s">
        <v>793</v>
      </c>
      <c r="C24" s="39" t="s">
        <v>256</v>
      </c>
      <c r="D24" s="39" t="s">
        <v>759</v>
      </c>
      <c r="E24" s="39" t="s">
        <v>760</v>
      </c>
      <c r="F24" s="39" t="s">
        <v>794</v>
      </c>
      <c r="G24" s="39"/>
      <c r="H24" s="39" t="s">
        <v>488</v>
      </c>
      <c r="I24" s="39" t="s">
        <v>762</v>
      </c>
    </row>
    <row r="25" spans="1:9" x14ac:dyDescent="0.3">
      <c r="A25" s="39" t="s">
        <v>32</v>
      </c>
      <c r="B25" s="39" t="s">
        <v>793</v>
      </c>
      <c r="C25" s="39" t="s">
        <v>257</v>
      </c>
      <c r="D25" s="39" t="s">
        <v>795</v>
      </c>
      <c r="E25" s="39" t="s">
        <v>760</v>
      </c>
      <c r="F25" s="39" t="s">
        <v>796</v>
      </c>
      <c r="G25" s="39"/>
      <c r="H25" s="39" t="s">
        <v>488</v>
      </c>
      <c r="I25" s="39"/>
    </row>
    <row r="26" spans="1:9" x14ac:dyDescent="0.3">
      <c r="A26" s="39" t="s">
        <v>32</v>
      </c>
      <c r="B26" s="39" t="s">
        <v>793</v>
      </c>
      <c r="C26" s="39" t="s">
        <v>80</v>
      </c>
      <c r="D26" s="39" t="s">
        <v>759</v>
      </c>
      <c r="E26" s="39" t="s">
        <v>760</v>
      </c>
      <c r="F26" s="39" t="s">
        <v>764</v>
      </c>
      <c r="G26" s="39"/>
      <c r="H26" s="39" t="s">
        <v>488</v>
      </c>
      <c r="I26" s="39"/>
    </row>
    <row r="27" spans="1:9" x14ac:dyDescent="0.3">
      <c r="A27" s="39" t="s">
        <v>32</v>
      </c>
      <c r="B27" s="39" t="s">
        <v>793</v>
      </c>
      <c r="C27" s="39" t="s">
        <v>258</v>
      </c>
      <c r="D27" s="39" t="s">
        <v>759</v>
      </c>
      <c r="E27" s="39" t="s">
        <v>760</v>
      </c>
      <c r="F27" s="39" t="s">
        <v>797</v>
      </c>
      <c r="G27" s="39"/>
      <c r="H27" s="39" t="s">
        <v>488</v>
      </c>
      <c r="I27" s="39"/>
    </row>
    <row r="28" spans="1:9" ht="26.4" x14ac:dyDescent="0.3">
      <c r="A28" s="39" t="s">
        <v>34</v>
      </c>
      <c r="B28" s="39" t="s">
        <v>798</v>
      </c>
      <c r="C28" s="39" t="s">
        <v>318</v>
      </c>
      <c r="D28" s="39" t="s">
        <v>785</v>
      </c>
      <c r="E28" s="39" t="s">
        <v>760</v>
      </c>
      <c r="F28" s="39" t="s">
        <v>799</v>
      </c>
      <c r="G28" s="39"/>
      <c r="H28" s="39" t="s">
        <v>488</v>
      </c>
      <c r="I28" s="39" t="s">
        <v>762</v>
      </c>
    </row>
    <row r="29" spans="1:9" x14ac:dyDescent="0.3">
      <c r="A29" s="39" t="s">
        <v>34</v>
      </c>
      <c r="B29" s="39" t="s">
        <v>798</v>
      </c>
      <c r="C29" s="39" t="s">
        <v>319</v>
      </c>
      <c r="D29" s="39" t="s">
        <v>787</v>
      </c>
      <c r="E29" s="39" t="s">
        <v>760</v>
      </c>
      <c r="F29" s="39" t="s">
        <v>800</v>
      </c>
      <c r="G29" s="39"/>
      <c r="H29" s="39" t="s">
        <v>488</v>
      </c>
      <c r="I29" s="39"/>
    </row>
    <row r="30" spans="1:9" x14ac:dyDescent="0.3">
      <c r="A30" s="39" t="s">
        <v>34</v>
      </c>
      <c r="B30" s="39" t="s">
        <v>798</v>
      </c>
      <c r="C30" s="39" t="s">
        <v>320</v>
      </c>
      <c r="D30" s="39" t="s">
        <v>787</v>
      </c>
      <c r="E30" s="39" t="s">
        <v>760</v>
      </c>
      <c r="F30" s="39" t="s">
        <v>801</v>
      </c>
      <c r="G30" s="39"/>
      <c r="H30" s="39" t="s">
        <v>488</v>
      </c>
      <c r="I30" s="39"/>
    </row>
    <row r="31" spans="1:9" x14ac:dyDescent="0.3">
      <c r="A31" s="39" t="s">
        <v>34</v>
      </c>
      <c r="B31" s="39" t="s">
        <v>798</v>
      </c>
      <c r="C31" s="39" t="s">
        <v>321</v>
      </c>
      <c r="D31" s="39" t="s">
        <v>759</v>
      </c>
      <c r="E31" s="39" t="s">
        <v>760</v>
      </c>
      <c r="F31" s="39" t="s">
        <v>802</v>
      </c>
      <c r="G31" s="39"/>
      <c r="H31" s="39" t="s">
        <v>488</v>
      </c>
      <c r="I31" s="39"/>
    </row>
    <row r="32" spans="1:9" x14ac:dyDescent="0.3">
      <c r="A32" s="39" t="s">
        <v>34</v>
      </c>
      <c r="B32" s="39" t="s">
        <v>798</v>
      </c>
      <c r="C32" s="39" t="s">
        <v>322</v>
      </c>
      <c r="D32" s="39" t="s">
        <v>795</v>
      </c>
      <c r="E32" s="39" t="s">
        <v>760</v>
      </c>
      <c r="F32" s="39" t="s">
        <v>803</v>
      </c>
      <c r="G32" s="39"/>
      <c r="H32" s="39" t="s">
        <v>488</v>
      </c>
      <c r="I32" s="39"/>
    </row>
    <row r="33" spans="1:9" x14ac:dyDescent="0.3">
      <c r="A33" s="39" t="s">
        <v>34</v>
      </c>
      <c r="B33" s="39" t="s">
        <v>798</v>
      </c>
      <c r="C33" s="39" t="s">
        <v>323</v>
      </c>
      <c r="D33" s="39" t="s">
        <v>787</v>
      </c>
      <c r="E33" s="39" t="s">
        <v>760</v>
      </c>
      <c r="F33" s="39" t="s">
        <v>804</v>
      </c>
      <c r="G33" s="39"/>
      <c r="H33" s="39" t="s">
        <v>488</v>
      </c>
      <c r="I33" s="39"/>
    </row>
    <row r="34" spans="1:9" x14ac:dyDescent="0.3">
      <c r="A34" s="39" t="s">
        <v>34</v>
      </c>
      <c r="B34" s="39" t="s">
        <v>798</v>
      </c>
      <c r="C34" s="39" t="s">
        <v>324</v>
      </c>
      <c r="D34" s="39" t="s">
        <v>759</v>
      </c>
      <c r="E34" s="39" t="s">
        <v>760</v>
      </c>
      <c r="F34" s="39" t="s">
        <v>805</v>
      </c>
      <c r="G34" s="39"/>
      <c r="H34" s="39" t="s">
        <v>488</v>
      </c>
      <c r="I34" s="39"/>
    </row>
    <row r="35" spans="1:9" x14ac:dyDescent="0.3">
      <c r="A35" s="39" t="s">
        <v>34</v>
      </c>
      <c r="B35" s="39" t="s">
        <v>798</v>
      </c>
      <c r="C35" s="39" t="s">
        <v>325</v>
      </c>
      <c r="D35" s="39" t="s">
        <v>759</v>
      </c>
      <c r="E35" s="39" t="s">
        <v>760</v>
      </c>
      <c r="F35" s="39" t="s">
        <v>806</v>
      </c>
      <c r="G35" s="39"/>
      <c r="H35" s="39" t="s">
        <v>488</v>
      </c>
      <c r="I35" s="39"/>
    </row>
    <row r="36" spans="1:9" x14ac:dyDescent="0.3">
      <c r="A36" s="39" t="s">
        <v>34</v>
      </c>
      <c r="B36" s="39" t="s">
        <v>798</v>
      </c>
      <c r="C36" s="39" t="s">
        <v>326</v>
      </c>
      <c r="D36" s="39" t="s">
        <v>795</v>
      </c>
      <c r="E36" s="39" t="s">
        <v>778</v>
      </c>
      <c r="F36" s="39" t="s">
        <v>807</v>
      </c>
      <c r="G36" s="39"/>
      <c r="H36" s="39" t="s">
        <v>488</v>
      </c>
      <c r="I36" s="39"/>
    </row>
    <row r="37" spans="1:9" ht="26.4" x14ac:dyDescent="0.3">
      <c r="A37" s="39" t="s">
        <v>34</v>
      </c>
      <c r="B37" s="39" t="s">
        <v>798</v>
      </c>
      <c r="C37" s="39" t="s">
        <v>327</v>
      </c>
      <c r="D37" s="39" t="s">
        <v>795</v>
      </c>
      <c r="E37" s="39" t="s">
        <v>760</v>
      </c>
      <c r="F37" s="39" t="s">
        <v>808</v>
      </c>
      <c r="G37" s="39"/>
      <c r="H37" s="39" t="s">
        <v>488</v>
      </c>
      <c r="I37" s="39"/>
    </row>
    <row r="38" spans="1:9" x14ac:dyDescent="0.3">
      <c r="A38" s="39" t="s">
        <v>34</v>
      </c>
      <c r="B38" s="39" t="s">
        <v>798</v>
      </c>
      <c r="C38" s="39" t="s">
        <v>328</v>
      </c>
      <c r="D38" s="39" t="s">
        <v>795</v>
      </c>
      <c r="E38" s="39" t="s">
        <v>760</v>
      </c>
      <c r="F38" s="39" t="s">
        <v>809</v>
      </c>
      <c r="G38" s="39"/>
      <c r="H38" s="39" t="s">
        <v>488</v>
      </c>
      <c r="I38" s="39"/>
    </row>
    <row r="39" spans="1:9" x14ac:dyDescent="0.3">
      <c r="A39" s="39" t="s">
        <v>34</v>
      </c>
      <c r="B39" s="39" t="s">
        <v>798</v>
      </c>
      <c r="C39" s="39" t="s">
        <v>329</v>
      </c>
      <c r="D39" s="39" t="s">
        <v>810</v>
      </c>
      <c r="E39" s="39" t="s">
        <v>778</v>
      </c>
      <c r="F39" s="39" t="s">
        <v>811</v>
      </c>
      <c r="G39" s="39"/>
      <c r="H39" s="39" t="s">
        <v>488</v>
      </c>
      <c r="I39" s="39"/>
    </row>
    <row r="40" spans="1:9" x14ac:dyDescent="0.3">
      <c r="A40" s="39" t="s">
        <v>34</v>
      </c>
      <c r="B40" s="39" t="s">
        <v>798</v>
      </c>
      <c r="C40" s="39" t="s">
        <v>330</v>
      </c>
      <c r="D40" s="39" t="s">
        <v>759</v>
      </c>
      <c r="E40" s="39" t="s">
        <v>760</v>
      </c>
      <c r="F40" s="39" t="s">
        <v>812</v>
      </c>
      <c r="G40" s="39"/>
      <c r="H40" s="39" t="s">
        <v>488</v>
      </c>
      <c r="I40" s="39"/>
    </row>
    <row r="41" spans="1:9" x14ac:dyDescent="0.3">
      <c r="A41" s="39" t="s">
        <v>34</v>
      </c>
      <c r="B41" s="39" t="s">
        <v>798</v>
      </c>
      <c r="C41" s="39" t="s">
        <v>331</v>
      </c>
      <c r="D41" s="39" t="s">
        <v>795</v>
      </c>
      <c r="E41" s="39" t="s">
        <v>778</v>
      </c>
      <c r="F41" s="39" t="s">
        <v>813</v>
      </c>
      <c r="G41" s="39"/>
      <c r="H41" s="39" t="s">
        <v>488</v>
      </c>
      <c r="I41" s="39"/>
    </row>
    <row r="42" spans="1:9" x14ac:dyDescent="0.3">
      <c r="A42" s="39" t="s">
        <v>34</v>
      </c>
      <c r="B42" s="39" t="s">
        <v>798</v>
      </c>
      <c r="C42" s="39" t="s">
        <v>332</v>
      </c>
      <c r="D42" s="39" t="s">
        <v>795</v>
      </c>
      <c r="E42" s="39" t="s">
        <v>760</v>
      </c>
      <c r="F42" s="39" t="s">
        <v>814</v>
      </c>
      <c r="G42" s="39"/>
      <c r="H42" s="39" t="s">
        <v>488</v>
      </c>
      <c r="I42" s="39"/>
    </row>
    <row r="43" spans="1:9" x14ac:dyDescent="0.3">
      <c r="A43" s="39" t="s">
        <v>34</v>
      </c>
      <c r="B43" s="39" t="s">
        <v>798</v>
      </c>
      <c r="C43" s="39" t="s">
        <v>333</v>
      </c>
      <c r="D43" s="39" t="s">
        <v>795</v>
      </c>
      <c r="E43" s="39" t="s">
        <v>760</v>
      </c>
      <c r="F43" s="39" t="s">
        <v>815</v>
      </c>
      <c r="G43" s="39"/>
      <c r="H43" s="39" t="s">
        <v>488</v>
      </c>
      <c r="I43" s="39"/>
    </row>
    <row r="44" spans="1:9" x14ac:dyDescent="0.3">
      <c r="A44" s="39" t="s">
        <v>34</v>
      </c>
      <c r="B44" s="39" t="s">
        <v>798</v>
      </c>
      <c r="C44" s="39" t="s">
        <v>334</v>
      </c>
      <c r="D44" s="39" t="s">
        <v>810</v>
      </c>
      <c r="E44" s="39" t="s">
        <v>778</v>
      </c>
      <c r="F44" s="39" t="s">
        <v>816</v>
      </c>
      <c r="G44" s="39"/>
      <c r="H44" s="39" t="s">
        <v>488</v>
      </c>
      <c r="I44" s="39"/>
    </row>
    <row r="45" spans="1:9" x14ac:dyDescent="0.3">
      <c r="A45" s="39" t="s">
        <v>34</v>
      </c>
      <c r="B45" s="39" t="s">
        <v>798</v>
      </c>
      <c r="C45" s="39" t="s">
        <v>335</v>
      </c>
      <c r="D45" s="39" t="s">
        <v>810</v>
      </c>
      <c r="E45" s="39" t="s">
        <v>778</v>
      </c>
      <c r="F45" s="39" t="s">
        <v>817</v>
      </c>
      <c r="G45" s="39"/>
      <c r="H45" s="39" t="s">
        <v>488</v>
      </c>
      <c r="I45" s="39"/>
    </row>
    <row r="46" spans="1:9" x14ac:dyDescent="0.3">
      <c r="A46" s="39" t="s">
        <v>34</v>
      </c>
      <c r="B46" s="39" t="s">
        <v>798</v>
      </c>
      <c r="C46" s="39" t="s">
        <v>336</v>
      </c>
      <c r="D46" s="39" t="s">
        <v>795</v>
      </c>
      <c r="E46" s="39" t="s">
        <v>778</v>
      </c>
      <c r="F46" s="39" t="s">
        <v>818</v>
      </c>
      <c r="G46" s="39"/>
      <c r="H46" s="39" t="s">
        <v>488</v>
      </c>
      <c r="I46" s="39"/>
    </row>
    <row r="47" spans="1:9" ht="26.4" x14ac:dyDescent="0.3">
      <c r="A47" s="39" t="s">
        <v>34</v>
      </c>
      <c r="B47" s="39" t="s">
        <v>798</v>
      </c>
      <c r="C47" s="39" t="s">
        <v>337</v>
      </c>
      <c r="D47" s="39" t="s">
        <v>795</v>
      </c>
      <c r="E47" s="39" t="s">
        <v>778</v>
      </c>
      <c r="F47" s="39" t="s">
        <v>819</v>
      </c>
      <c r="G47" s="39"/>
      <c r="H47" s="39" t="s">
        <v>488</v>
      </c>
      <c r="I47" s="39"/>
    </row>
    <row r="48" spans="1:9" x14ac:dyDescent="0.3">
      <c r="A48" s="39" t="s">
        <v>34</v>
      </c>
      <c r="B48" s="39" t="s">
        <v>798</v>
      </c>
      <c r="C48" s="39" t="s">
        <v>338</v>
      </c>
      <c r="D48" s="39" t="s">
        <v>795</v>
      </c>
      <c r="E48" s="39" t="s">
        <v>778</v>
      </c>
      <c r="F48" s="39" t="s">
        <v>820</v>
      </c>
      <c r="G48" s="39"/>
      <c r="H48" s="39" t="s">
        <v>488</v>
      </c>
      <c r="I48" s="39"/>
    </row>
    <row r="49" spans="1:9" ht="26.4" x14ac:dyDescent="0.3">
      <c r="A49" s="39" t="s">
        <v>36</v>
      </c>
      <c r="B49" s="39" t="s">
        <v>821</v>
      </c>
      <c r="C49" s="39" t="s">
        <v>318</v>
      </c>
      <c r="D49" s="39" t="s">
        <v>785</v>
      </c>
      <c r="E49" s="39" t="s">
        <v>760</v>
      </c>
      <c r="F49" s="39" t="s">
        <v>822</v>
      </c>
      <c r="G49" s="39"/>
      <c r="H49" s="39" t="s">
        <v>488</v>
      </c>
      <c r="I49" s="39" t="s">
        <v>823</v>
      </c>
    </row>
    <row r="50" spans="1:9" x14ac:dyDescent="0.3">
      <c r="A50" s="39" t="s">
        <v>36</v>
      </c>
      <c r="B50" s="39" t="s">
        <v>821</v>
      </c>
      <c r="C50" s="39" t="s">
        <v>393</v>
      </c>
      <c r="D50" s="39" t="s">
        <v>759</v>
      </c>
      <c r="E50" s="39" t="s">
        <v>760</v>
      </c>
      <c r="F50" s="39" t="s">
        <v>824</v>
      </c>
      <c r="G50" s="39" t="s">
        <v>825</v>
      </c>
      <c r="H50" s="39" t="s">
        <v>488</v>
      </c>
      <c r="I50" s="39"/>
    </row>
    <row r="51" spans="1:9" x14ac:dyDescent="0.3">
      <c r="A51" s="39" t="s">
        <v>36</v>
      </c>
      <c r="B51" s="39" t="s">
        <v>821</v>
      </c>
      <c r="C51" s="39" t="s">
        <v>394</v>
      </c>
      <c r="D51" s="39" t="s">
        <v>795</v>
      </c>
      <c r="E51" s="39" t="s">
        <v>760</v>
      </c>
      <c r="F51" s="39" t="s">
        <v>826</v>
      </c>
      <c r="G51" s="39"/>
      <c r="H51" s="39" t="s">
        <v>488</v>
      </c>
      <c r="I51" s="39"/>
    </row>
    <row r="52" spans="1:9" x14ac:dyDescent="0.3">
      <c r="A52" s="39" t="s">
        <v>36</v>
      </c>
      <c r="B52" s="39" t="s">
        <v>821</v>
      </c>
      <c r="C52" s="39" t="s">
        <v>395</v>
      </c>
      <c r="D52" s="39" t="s">
        <v>795</v>
      </c>
      <c r="E52" s="39" t="s">
        <v>760</v>
      </c>
      <c r="F52" s="39" t="s">
        <v>827</v>
      </c>
      <c r="G52" s="39"/>
      <c r="H52" s="39" t="s">
        <v>488</v>
      </c>
      <c r="I52" s="39"/>
    </row>
    <row r="53" spans="1:9" x14ac:dyDescent="0.3">
      <c r="A53" s="39" t="s">
        <v>36</v>
      </c>
      <c r="B53" s="39" t="s">
        <v>821</v>
      </c>
      <c r="C53" s="39" t="s">
        <v>396</v>
      </c>
      <c r="D53" s="39" t="s">
        <v>795</v>
      </c>
      <c r="E53" s="39" t="s">
        <v>760</v>
      </c>
      <c r="F53" s="39" t="s">
        <v>828</v>
      </c>
      <c r="G53" s="39"/>
      <c r="H53" s="39" t="s">
        <v>488</v>
      </c>
      <c r="I53" s="39"/>
    </row>
    <row r="54" spans="1:9" x14ac:dyDescent="0.3">
      <c r="A54" s="39" t="s">
        <v>36</v>
      </c>
      <c r="B54" s="39" t="s">
        <v>821</v>
      </c>
      <c r="C54" s="39" t="s">
        <v>397</v>
      </c>
      <c r="D54" s="39" t="s">
        <v>795</v>
      </c>
      <c r="E54" s="39" t="s">
        <v>760</v>
      </c>
      <c r="F54" s="39" t="s">
        <v>829</v>
      </c>
      <c r="G54" s="39"/>
      <c r="H54" s="39" t="s">
        <v>488</v>
      </c>
      <c r="I54" s="39"/>
    </row>
    <row r="55" spans="1:9" ht="26.4" x14ac:dyDescent="0.3">
      <c r="A55" s="39" t="s">
        <v>36</v>
      </c>
      <c r="B55" s="39" t="s">
        <v>821</v>
      </c>
      <c r="C55" s="39" t="s">
        <v>398</v>
      </c>
      <c r="D55" s="39" t="s">
        <v>830</v>
      </c>
      <c r="E55" s="39" t="s">
        <v>778</v>
      </c>
      <c r="F55" s="39" t="s">
        <v>831</v>
      </c>
      <c r="G55" s="39"/>
      <c r="H55" s="39" t="s">
        <v>488</v>
      </c>
      <c r="I55" s="39"/>
    </row>
    <row r="56" spans="1:9" x14ac:dyDescent="0.3">
      <c r="A56" s="39" t="s">
        <v>36</v>
      </c>
      <c r="B56" s="39" t="s">
        <v>821</v>
      </c>
      <c r="C56" s="39" t="s">
        <v>399</v>
      </c>
      <c r="D56" s="39" t="s">
        <v>759</v>
      </c>
      <c r="E56" s="39" t="s">
        <v>760</v>
      </c>
      <c r="F56" s="39" t="s">
        <v>832</v>
      </c>
      <c r="G56" s="39"/>
      <c r="H56" s="39" t="s">
        <v>488</v>
      </c>
      <c r="I56" s="39"/>
    </row>
    <row r="57" spans="1:9" ht="39.6" x14ac:dyDescent="0.3">
      <c r="A57" s="39" t="s">
        <v>38</v>
      </c>
      <c r="B57" s="39" t="s">
        <v>833</v>
      </c>
      <c r="C57" s="39" t="s">
        <v>318</v>
      </c>
      <c r="D57" s="39" t="s">
        <v>785</v>
      </c>
      <c r="E57" s="39" t="s">
        <v>760</v>
      </c>
      <c r="F57" s="39" t="s">
        <v>822</v>
      </c>
      <c r="G57" s="39"/>
      <c r="H57" s="39" t="s">
        <v>488</v>
      </c>
      <c r="I57" s="39" t="s">
        <v>834</v>
      </c>
    </row>
    <row r="58" spans="1:9" x14ac:dyDescent="0.3">
      <c r="A58" s="39" t="s">
        <v>38</v>
      </c>
      <c r="B58" s="39" t="s">
        <v>833</v>
      </c>
      <c r="C58" s="39" t="s">
        <v>393</v>
      </c>
      <c r="D58" s="39" t="s">
        <v>759</v>
      </c>
      <c r="E58" s="39" t="s">
        <v>760</v>
      </c>
      <c r="F58" s="39" t="s">
        <v>835</v>
      </c>
      <c r="G58" s="39" t="s">
        <v>825</v>
      </c>
      <c r="H58" s="39" t="s">
        <v>488</v>
      </c>
      <c r="I58" s="39"/>
    </row>
    <row r="59" spans="1:9" ht="39.6" x14ac:dyDescent="0.3">
      <c r="A59" s="39" t="s">
        <v>38</v>
      </c>
      <c r="B59" s="39" t="s">
        <v>833</v>
      </c>
      <c r="C59" s="39" t="s">
        <v>406</v>
      </c>
      <c r="D59" s="39" t="s">
        <v>759</v>
      </c>
      <c r="E59" s="39" t="s">
        <v>760</v>
      </c>
      <c r="F59" s="39" t="s">
        <v>836</v>
      </c>
      <c r="G59" s="39"/>
      <c r="H59" s="39" t="s">
        <v>488</v>
      </c>
      <c r="I59" s="39"/>
    </row>
    <row r="60" spans="1:9" x14ac:dyDescent="0.3">
      <c r="A60" s="39" t="s">
        <v>38</v>
      </c>
      <c r="B60" s="39" t="s">
        <v>833</v>
      </c>
      <c r="C60" s="39" t="s">
        <v>258</v>
      </c>
      <c r="D60" s="39" t="s">
        <v>759</v>
      </c>
      <c r="E60" s="39" t="s">
        <v>760</v>
      </c>
      <c r="F60" s="39" t="s">
        <v>782</v>
      </c>
      <c r="G60" s="39"/>
      <c r="H60" s="39" t="s">
        <v>488</v>
      </c>
      <c r="I60" s="39"/>
    </row>
    <row r="61" spans="1:9" x14ac:dyDescent="0.3">
      <c r="A61" s="39" t="s">
        <v>38</v>
      </c>
      <c r="B61" s="39" t="s">
        <v>833</v>
      </c>
      <c r="C61" s="39" t="s">
        <v>257</v>
      </c>
      <c r="D61" s="39" t="s">
        <v>795</v>
      </c>
      <c r="E61" s="39" t="s">
        <v>760</v>
      </c>
      <c r="F61" s="39" t="s">
        <v>796</v>
      </c>
      <c r="G61" s="39"/>
      <c r="H61" s="39" t="s">
        <v>488</v>
      </c>
      <c r="I61" s="39"/>
    </row>
    <row r="62" spans="1:9" x14ac:dyDescent="0.3">
      <c r="A62" s="39" t="s">
        <v>38</v>
      </c>
      <c r="B62" s="39" t="s">
        <v>833</v>
      </c>
      <c r="C62" s="39" t="s">
        <v>80</v>
      </c>
      <c r="D62" s="39" t="s">
        <v>759</v>
      </c>
      <c r="E62" s="39" t="s">
        <v>760</v>
      </c>
      <c r="F62" s="39" t="s">
        <v>764</v>
      </c>
      <c r="G62" s="39"/>
      <c r="H62" s="39" t="s">
        <v>488</v>
      </c>
      <c r="I62" s="39"/>
    </row>
    <row r="63" spans="1:9" x14ac:dyDescent="0.3">
      <c r="A63" s="39" t="s">
        <v>38</v>
      </c>
      <c r="B63" s="39" t="s">
        <v>833</v>
      </c>
      <c r="C63" s="39" t="s">
        <v>399</v>
      </c>
      <c r="D63" s="39" t="s">
        <v>759</v>
      </c>
      <c r="E63" s="39" t="s">
        <v>760</v>
      </c>
      <c r="F63" s="39" t="s">
        <v>837</v>
      </c>
      <c r="G63" s="39"/>
      <c r="H63" s="39" t="s">
        <v>488</v>
      </c>
      <c r="I63" s="39"/>
    </row>
    <row r="64" spans="1:9" x14ac:dyDescent="0.3">
      <c r="A64" s="39" t="s">
        <v>38</v>
      </c>
      <c r="B64" s="39" t="s">
        <v>833</v>
      </c>
      <c r="C64" s="39" t="s">
        <v>407</v>
      </c>
      <c r="D64" s="39" t="s">
        <v>759</v>
      </c>
      <c r="E64" s="39" t="s">
        <v>760</v>
      </c>
      <c r="F64" s="39" t="s">
        <v>838</v>
      </c>
      <c r="G64" s="39" t="s">
        <v>839</v>
      </c>
      <c r="H64" s="39" t="s">
        <v>488</v>
      </c>
      <c r="I64" s="39"/>
    </row>
    <row r="65" spans="1:9" ht="26.4" x14ac:dyDescent="0.3">
      <c r="A65" s="39" t="s">
        <v>40</v>
      </c>
      <c r="B65" s="39" t="s">
        <v>840</v>
      </c>
      <c r="C65" s="39" t="s">
        <v>318</v>
      </c>
      <c r="D65" s="39" t="s">
        <v>785</v>
      </c>
      <c r="E65" s="39" t="s">
        <v>760</v>
      </c>
      <c r="F65" s="39" t="s">
        <v>822</v>
      </c>
      <c r="G65" s="39"/>
      <c r="H65" s="39" t="s">
        <v>488</v>
      </c>
      <c r="I65" s="39"/>
    </row>
    <row r="66" spans="1:9" x14ac:dyDescent="0.3">
      <c r="A66" s="39" t="s">
        <v>40</v>
      </c>
      <c r="B66" s="39" t="s">
        <v>840</v>
      </c>
      <c r="C66" s="39" t="s">
        <v>457</v>
      </c>
      <c r="D66" s="39" t="s">
        <v>759</v>
      </c>
      <c r="E66" s="39" t="s">
        <v>760</v>
      </c>
      <c r="F66" s="39" t="s">
        <v>841</v>
      </c>
      <c r="G66" s="39"/>
      <c r="H66" s="39" t="s">
        <v>488</v>
      </c>
      <c r="I66" s="39"/>
    </row>
    <row r="67" spans="1:9" x14ac:dyDescent="0.3">
      <c r="A67" s="39" t="s">
        <v>40</v>
      </c>
      <c r="B67" s="39" t="s">
        <v>840</v>
      </c>
      <c r="C67" s="39" t="s">
        <v>258</v>
      </c>
      <c r="D67" s="39" t="s">
        <v>759</v>
      </c>
      <c r="E67" s="39" t="s">
        <v>760</v>
      </c>
      <c r="F67" s="39" t="s">
        <v>782</v>
      </c>
      <c r="G67" s="39"/>
      <c r="H67" s="39" t="s">
        <v>488</v>
      </c>
      <c r="I67" s="39"/>
    </row>
    <row r="68" spans="1:9" x14ac:dyDescent="0.3">
      <c r="A68" s="39" t="s">
        <v>40</v>
      </c>
      <c r="B68" s="39" t="s">
        <v>840</v>
      </c>
      <c r="C68" s="39" t="s">
        <v>458</v>
      </c>
      <c r="D68" s="39" t="s">
        <v>759</v>
      </c>
      <c r="E68" s="39" t="s">
        <v>760</v>
      </c>
      <c r="F68" s="39" t="s">
        <v>842</v>
      </c>
      <c r="G68" s="39"/>
      <c r="H68" s="39" t="s">
        <v>488</v>
      </c>
      <c r="I68" s="39"/>
    </row>
    <row r="69" spans="1:9" x14ac:dyDescent="0.3">
      <c r="A69" s="39" t="s">
        <v>40</v>
      </c>
      <c r="B69" s="39" t="s">
        <v>840</v>
      </c>
      <c r="C69" s="39" t="s">
        <v>459</v>
      </c>
      <c r="D69" s="39" t="s">
        <v>795</v>
      </c>
      <c r="E69" s="39" t="s">
        <v>760</v>
      </c>
      <c r="F69" s="39" t="s">
        <v>843</v>
      </c>
      <c r="G69" s="39"/>
      <c r="H69" s="39" t="s">
        <v>488</v>
      </c>
      <c r="I69" s="39"/>
    </row>
    <row r="70" spans="1:9" x14ac:dyDescent="0.3">
      <c r="A70" s="39" t="s">
        <v>40</v>
      </c>
      <c r="B70" s="39" t="s">
        <v>840</v>
      </c>
      <c r="C70" s="39" t="s">
        <v>460</v>
      </c>
      <c r="D70" s="39" t="s">
        <v>759</v>
      </c>
      <c r="E70" s="39" t="s">
        <v>760</v>
      </c>
      <c r="F70" s="39" t="s">
        <v>844</v>
      </c>
      <c r="G70" s="39"/>
      <c r="H70" s="39" t="s">
        <v>488</v>
      </c>
      <c r="I70" s="39"/>
    </row>
    <row r="71" spans="1:9" x14ac:dyDescent="0.3">
      <c r="A71" s="39" t="s">
        <v>40</v>
      </c>
      <c r="B71" s="39" t="s">
        <v>840</v>
      </c>
      <c r="C71" s="39" t="s">
        <v>461</v>
      </c>
      <c r="D71" s="39" t="s">
        <v>759</v>
      </c>
      <c r="E71" s="39" t="s">
        <v>760</v>
      </c>
      <c r="F71" s="39" t="s">
        <v>845</v>
      </c>
      <c r="G71" s="39"/>
      <c r="H71" s="39" t="s">
        <v>488</v>
      </c>
      <c r="I71" s="39"/>
    </row>
    <row r="72" spans="1:9" x14ac:dyDescent="0.3">
      <c r="A72" s="39" t="s">
        <v>40</v>
      </c>
      <c r="B72" s="39" t="s">
        <v>840</v>
      </c>
      <c r="C72" s="39" t="s">
        <v>462</v>
      </c>
      <c r="D72" s="39" t="s">
        <v>759</v>
      </c>
      <c r="E72" s="39" t="s">
        <v>778</v>
      </c>
      <c r="F72" s="39" t="s">
        <v>846</v>
      </c>
      <c r="G72" s="39"/>
      <c r="H72" s="39" t="s">
        <v>488</v>
      </c>
      <c r="I72" s="39"/>
    </row>
    <row r="73" spans="1:9" x14ac:dyDescent="0.3">
      <c r="A73" s="39" t="s">
        <v>46</v>
      </c>
      <c r="B73" s="39" t="s">
        <v>847</v>
      </c>
      <c r="C73" s="39" t="s">
        <v>539</v>
      </c>
      <c r="D73" s="39" t="s">
        <v>759</v>
      </c>
      <c r="E73" s="39" t="s">
        <v>760</v>
      </c>
      <c r="F73" s="39" t="s">
        <v>848</v>
      </c>
      <c r="G73" s="39"/>
      <c r="H73" s="39" t="s">
        <v>488</v>
      </c>
      <c r="I73" s="39" t="s">
        <v>762</v>
      </c>
    </row>
    <row r="74" spans="1:9" x14ac:dyDescent="0.3">
      <c r="A74" s="39" t="s">
        <v>46</v>
      </c>
      <c r="B74" s="39" t="s">
        <v>847</v>
      </c>
      <c r="C74" s="39" t="s">
        <v>540</v>
      </c>
      <c r="D74" s="39" t="s">
        <v>759</v>
      </c>
      <c r="E74" s="39" t="s">
        <v>760</v>
      </c>
      <c r="F74" s="39" t="s">
        <v>849</v>
      </c>
      <c r="G74" s="39" t="s">
        <v>850</v>
      </c>
      <c r="H74" s="39" t="s">
        <v>488</v>
      </c>
      <c r="I74" s="39"/>
    </row>
    <row r="75" spans="1:9" x14ac:dyDescent="0.3">
      <c r="A75" s="39" t="s">
        <v>46</v>
      </c>
      <c r="B75" s="39" t="s">
        <v>847</v>
      </c>
      <c r="C75" s="39" t="s">
        <v>541</v>
      </c>
      <c r="D75" s="39" t="s">
        <v>759</v>
      </c>
      <c r="E75" s="39" t="s">
        <v>760</v>
      </c>
      <c r="F75" s="39" t="s">
        <v>851</v>
      </c>
      <c r="G75" s="39"/>
      <c r="H75" s="39" t="s">
        <v>488</v>
      </c>
      <c r="I75" s="39"/>
    </row>
    <row r="76" spans="1:9" x14ac:dyDescent="0.3">
      <c r="A76" s="39" t="s">
        <v>46</v>
      </c>
      <c r="B76" s="39" t="s">
        <v>847</v>
      </c>
      <c r="C76" s="39" t="s">
        <v>542</v>
      </c>
      <c r="D76" s="39" t="s">
        <v>759</v>
      </c>
      <c r="E76" s="39" t="s">
        <v>760</v>
      </c>
      <c r="F76" s="39" t="s">
        <v>852</v>
      </c>
      <c r="G76" s="39"/>
      <c r="H76" s="39" t="s">
        <v>488</v>
      </c>
      <c r="I76" s="39"/>
    </row>
    <row r="77" spans="1:9" x14ac:dyDescent="0.3">
      <c r="A77" s="39" t="s">
        <v>46</v>
      </c>
      <c r="B77" s="39" t="s">
        <v>847</v>
      </c>
      <c r="C77" s="39" t="s">
        <v>543</v>
      </c>
      <c r="D77" s="39" t="s">
        <v>759</v>
      </c>
      <c r="E77" s="39" t="s">
        <v>760</v>
      </c>
      <c r="F77" s="39" t="s">
        <v>853</v>
      </c>
      <c r="G77" s="39"/>
      <c r="H77" s="39" t="s">
        <v>488</v>
      </c>
      <c r="I77" s="39"/>
    </row>
    <row r="78" spans="1:9" x14ac:dyDescent="0.3">
      <c r="A78" s="39" t="s">
        <v>46</v>
      </c>
      <c r="B78" s="39" t="s">
        <v>847</v>
      </c>
      <c r="C78" s="39" t="s">
        <v>14</v>
      </c>
      <c r="D78" s="39" t="s">
        <v>759</v>
      </c>
      <c r="E78" s="39" t="s">
        <v>760</v>
      </c>
      <c r="F78" s="39" t="s">
        <v>854</v>
      </c>
      <c r="G78" s="39" t="s">
        <v>855</v>
      </c>
      <c r="H78" s="39" t="s">
        <v>488</v>
      </c>
      <c r="I78" s="39"/>
    </row>
    <row r="79" spans="1:9" ht="26.4" x14ac:dyDescent="0.3">
      <c r="A79" s="39" t="s">
        <v>46</v>
      </c>
      <c r="B79" s="39" t="s">
        <v>847</v>
      </c>
      <c r="C79" s="39" t="s">
        <v>544</v>
      </c>
      <c r="D79" s="39" t="s">
        <v>759</v>
      </c>
      <c r="E79" s="39" t="s">
        <v>760</v>
      </c>
      <c r="F79" s="39" t="s">
        <v>856</v>
      </c>
      <c r="G79" s="39"/>
      <c r="H79" s="39" t="s">
        <v>465</v>
      </c>
      <c r="I79" s="39" t="s">
        <v>857</v>
      </c>
    </row>
    <row r="80" spans="1:9" ht="26.4" x14ac:dyDescent="0.3">
      <c r="A80" s="39" t="s">
        <v>48</v>
      </c>
      <c r="B80" s="39" t="s">
        <v>858</v>
      </c>
      <c r="C80" s="39" t="s">
        <v>583</v>
      </c>
      <c r="D80" s="39" t="s">
        <v>785</v>
      </c>
      <c r="E80" s="39" t="s">
        <v>760</v>
      </c>
      <c r="F80" s="39" t="s">
        <v>859</v>
      </c>
      <c r="G80" s="39"/>
      <c r="H80" s="39" t="s">
        <v>488</v>
      </c>
      <c r="I80" s="39"/>
    </row>
    <row r="81" spans="1:9" x14ac:dyDescent="0.3">
      <c r="A81" s="39" t="s">
        <v>48</v>
      </c>
      <c r="B81" s="39" t="s">
        <v>858</v>
      </c>
      <c r="C81" s="39" t="s">
        <v>584</v>
      </c>
      <c r="D81" s="39" t="s">
        <v>759</v>
      </c>
      <c r="E81" s="39" t="s">
        <v>760</v>
      </c>
      <c r="F81" s="39" t="s">
        <v>860</v>
      </c>
      <c r="G81" s="39"/>
      <c r="H81" s="39" t="s">
        <v>488</v>
      </c>
      <c r="I81" s="39"/>
    </row>
    <row r="82" spans="1:9" x14ac:dyDescent="0.3">
      <c r="A82" s="39" t="s">
        <v>48</v>
      </c>
      <c r="B82" s="39" t="s">
        <v>858</v>
      </c>
      <c r="C82" s="39" t="s">
        <v>585</v>
      </c>
      <c r="D82" s="39" t="s">
        <v>787</v>
      </c>
      <c r="E82" s="39" t="s">
        <v>760</v>
      </c>
      <c r="F82" s="39" t="s">
        <v>861</v>
      </c>
      <c r="G82" s="39"/>
      <c r="H82" s="39" t="s">
        <v>488</v>
      </c>
      <c r="I82" s="39"/>
    </row>
    <row r="83" spans="1:9" x14ac:dyDescent="0.3">
      <c r="A83" s="39" t="s">
        <v>48</v>
      </c>
      <c r="B83" s="39" t="s">
        <v>858</v>
      </c>
      <c r="C83" s="39" t="s">
        <v>586</v>
      </c>
      <c r="D83" s="39" t="s">
        <v>795</v>
      </c>
      <c r="E83" s="39" t="s">
        <v>760</v>
      </c>
      <c r="F83" s="39" t="s">
        <v>862</v>
      </c>
      <c r="G83" s="39"/>
      <c r="H83" s="39" t="s">
        <v>488</v>
      </c>
      <c r="I83" s="39"/>
    </row>
    <row r="84" spans="1:9" x14ac:dyDescent="0.3">
      <c r="A84" s="39" t="s">
        <v>48</v>
      </c>
      <c r="B84" s="39" t="s">
        <v>858</v>
      </c>
      <c r="C84" s="39" t="s">
        <v>587</v>
      </c>
      <c r="D84" s="39" t="s">
        <v>795</v>
      </c>
      <c r="E84" s="39" t="s">
        <v>760</v>
      </c>
      <c r="F84" s="39" t="s">
        <v>863</v>
      </c>
      <c r="G84" s="39"/>
      <c r="H84" s="39" t="s">
        <v>488</v>
      </c>
      <c r="I84" s="39"/>
    </row>
    <row r="85" spans="1:9" x14ac:dyDescent="0.3">
      <c r="A85" s="39" t="s">
        <v>48</v>
      </c>
      <c r="B85" s="39" t="s">
        <v>858</v>
      </c>
      <c r="C85" s="39" t="s">
        <v>588</v>
      </c>
      <c r="D85" s="39" t="s">
        <v>795</v>
      </c>
      <c r="E85" s="39" t="s">
        <v>778</v>
      </c>
      <c r="F85" s="39" t="s">
        <v>864</v>
      </c>
      <c r="G85" s="39"/>
      <c r="H85" s="39" t="s">
        <v>488</v>
      </c>
      <c r="I85" s="39"/>
    </row>
    <row r="86" spans="1:9" x14ac:dyDescent="0.3">
      <c r="A86" s="39" t="s">
        <v>50</v>
      </c>
      <c r="B86" s="39" t="s">
        <v>865</v>
      </c>
      <c r="C86" s="39" t="s">
        <v>598</v>
      </c>
      <c r="D86" s="39" t="s">
        <v>759</v>
      </c>
      <c r="E86" s="39" t="s">
        <v>760</v>
      </c>
      <c r="F86" s="39" t="s">
        <v>866</v>
      </c>
      <c r="G86" s="39"/>
      <c r="H86" s="39" t="s">
        <v>488</v>
      </c>
      <c r="I86" s="39" t="s">
        <v>762</v>
      </c>
    </row>
    <row r="87" spans="1:9" ht="26.4" x14ac:dyDescent="0.3">
      <c r="A87" s="39" t="s">
        <v>50</v>
      </c>
      <c r="B87" s="39" t="s">
        <v>865</v>
      </c>
      <c r="C87" s="39" t="s">
        <v>583</v>
      </c>
      <c r="D87" s="39" t="s">
        <v>785</v>
      </c>
      <c r="E87" s="39" t="s">
        <v>760</v>
      </c>
      <c r="F87" s="39" t="s">
        <v>867</v>
      </c>
      <c r="G87" s="39"/>
      <c r="H87" s="39" t="s">
        <v>488</v>
      </c>
      <c r="I87" s="39"/>
    </row>
    <row r="88" spans="1:9" x14ac:dyDescent="0.3">
      <c r="A88" s="39" t="s">
        <v>50</v>
      </c>
      <c r="B88" s="39" t="s">
        <v>865</v>
      </c>
      <c r="C88" s="39" t="s">
        <v>599</v>
      </c>
      <c r="D88" s="39" t="s">
        <v>759</v>
      </c>
      <c r="E88" s="39" t="s">
        <v>760</v>
      </c>
      <c r="F88" s="39" t="s">
        <v>868</v>
      </c>
      <c r="G88" s="39" t="s">
        <v>869</v>
      </c>
      <c r="H88" s="39" t="s">
        <v>488</v>
      </c>
      <c r="I88" s="39"/>
    </row>
    <row r="89" spans="1:9" x14ac:dyDescent="0.3">
      <c r="A89" s="39" t="s">
        <v>50</v>
      </c>
      <c r="B89" s="39" t="s">
        <v>865</v>
      </c>
      <c r="C89" s="39" t="s">
        <v>600</v>
      </c>
      <c r="D89" s="39" t="s">
        <v>759</v>
      </c>
      <c r="E89" s="39" t="s">
        <v>760</v>
      </c>
      <c r="F89" s="39" t="s">
        <v>870</v>
      </c>
      <c r="G89" s="39"/>
      <c r="H89" s="39" t="s">
        <v>488</v>
      </c>
      <c r="I89" s="39"/>
    </row>
    <row r="90" spans="1:9" x14ac:dyDescent="0.3">
      <c r="A90" s="39" t="s">
        <v>50</v>
      </c>
      <c r="B90" s="39" t="s">
        <v>865</v>
      </c>
      <c r="C90" s="39" t="s">
        <v>601</v>
      </c>
      <c r="D90" s="39" t="s">
        <v>759</v>
      </c>
      <c r="E90" s="39" t="s">
        <v>760</v>
      </c>
      <c r="F90" s="39" t="s">
        <v>794</v>
      </c>
      <c r="G90" s="39"/>
      <c r="H90" s="39" t="s">
        <v>488</v>
      </c>
      <c r="I90" s="39"/>
    </row>
    <row r="91" spans="1:9" x14ac:dyDescent="0.3">
      <c r="A91" s="39" t="s">
        <v>50</v>
      </c>
      <c r="B91" s="39" t="s">
        <v>865</v>
      </c>
      <c r="C91" s="39" t="s">
        <v>257</v>
      </c>
      <c r="D91" s="39" t="s">
        <v>795</v>
      </c>
      <c r="E91" s="39" t="s">
        <v>760</v>
      </c>
      <c r="F91" s="39" t="s">
        <v>871</v>
      </c>
      <c r="G91" s="39"/>
      <c r="H91" s="39" t="s">
        <v>488</v>
      </c>
      <c r="I91" s="39"/>
    </row>
    <row r="92" spans="1:9" x14ac:dyDescent="0.3">
      <c r="A92" s="39" t="s">
        <v>50</v>
      </c>
      <c r="B92" s="39" t="s">
        <v>865</v>
      </c>
      <c r="C92" s="39" t="s">
        <v>80</v>
      </c>
      <c r="D92" s="39" t="s">
        <v>759</v>
      </c>
      <c r="E92" s="39" t="s">
        <v>760</v>
      </c>
      <c r="F92" s="39" t="s">
        <v>764</v>
      </c>
      <c r="G92" s="39"/>
      <c r="H92" s="39" t="s">
        <v>488</v>
      </c>
      <c r="I92" s="39"/>
    </row>
    <row r="93" spans="1:9" x14ac:dyDescent="0.3">
      <c r="A93" s="39" t="s">
        <v>50</v>
      </c>
      <c r="B93" s="39" t="s">
        <v>865</v>
      </c>
      <c r="C93" s="39" t="s">
        <v>602</v>
      </c>
      <c r="D93" s="39" t="s">
        <v>795</v>
      </c>
      <c r="E93" s="39" t="s">
        <v>760</v>
      </c>
      <c r="F93" s="39" t="s">
        <v>872</v>
      </c>
      <c r="G93" s="39"/>
      <c r="H93" s="39" t="s">
        <v>465</v>
      </c>
      <c r="I93" s="39"/>
    </row>
    <row r="94" spans="1:9" x14ac:dyDescent="0.3">
      <c r="A94" s="39" t="s">
        <v>50</v>
      </c>
      <c r="B94" s="39" t="s">
        <v>865</v>
      </c>
      <c r="C94" s="39" t="s">
        <v>603</v>
      </c>
      <c r="D94" s="39" t="s">
        <v>795</v>
      </c>
      <c r="E94" s="39" t="s">
        <v>760</v>
      </c>
      <c r="F94" s="39" t="s">
        <v>873</v>
      </c>
      <c r="G94" s="39"/>
      <c r="H94" s="39" t="s">
        <v>488</v>
      </c>
      <c r="I94" s="39"/>
    </row>
    <row r="95" spans="1:9" x14ac:dyDescent="0.3">
      <c r="A95" s="39" t="s">
        <v>50</v>
      </c>
      <c r="B95" s="39" t="s">
        <v>865</v>
      </c>
      <c r="C95" s="39" t="s">
        <v>604</v>
      </c>
      <c r="D95" s="39" t="s">
        <v>759</v>
      </c>
      <c r="E95" s="39" t="s">
        <v>760</v>
      </c>
      <c r="F95" s="39" t="s">
        <v>874</v>
      </c>
      <c r="G95" s="39" t="s">
        <v>875</v>
      </c>
      <c r="H95" s="39" t="s">
        <v>488</v>
      </c>
      <c r="I95" s="39"/>
    </row>
    <row r="96" spans="1:9" x14ac:dyDescent="0.3">
      <c r="A96" s="39" t="s">
        <v>50</v>
      </c>
      <c r="B96" s="39" t="s">
        <v>865</v>
      </c>
      <c r="C96" s="39" t="s">
        <v>605</v>
      </c>
      <c r="D96" s="39" t="s">
        <v>759</v>
      </c>
      <c r="E96" s="39" t="s">
        <v>760</v>
      </c>
      <c r="F96" s="39" t="s">
        <v>876</v>
      </c>
      <c r="G96" s="39"/>
      <c r="H96" s="39" t="s">
        <v>488</v>
      </c>
      <c r="I96" s="39"/>
    </row>
    <row r="97" spans="1:9" x14ac:dyDescent="0.3">
      <c r="A97" s="39" t="s">
        <v>50</v>
      </c>
      <c r="B97" s="39" t="s">
        <v>865</v>
      </c>
      <c r="C97" s="39" t="s">
        <v>606</v>
      </c>
      <c r="D97" s="39" t="s">
        <v>759</v>
      </c>
      <c r="E97" s="39" t="s">
        <v>760</v>
      </c>
      <c r="F97" s="39" t="s">
        <v>877</v>
      </c>
      <c r="G97" s="39" t="s">
        <v>878</v>
      </c>
      <c r="H97" s="39" t="s">
        <v>488</v>
      </c>
      <c r="I97" s="39"/>
    </row>
    <row r="98" spans="1:9" x14ac:dyDescent="0.3">
      <c r="A98" s="39" t="s">
        <v>50</v>
      </c>
      <c r="B98" s="39" t="s">
        <v>865</v>
      </c>
      <c r="C98" s="39" t="s">
        <v>607</v>
      </c>
      <c r="D98" s="39" t="s">
        <v>759</v>
      </c>
      <c r="E98" s="39" t="s">
        <v>760</v>
      </c>
      <c r="F98" s="39" t="s">
        <v>879</v>
      </c>
      <c r="G98" s="39"/>
      <c r="H98" s="39" t="s">
        <v>488</v>
      </c>
      <c r="I98" s="39"/>
    </row>
    <row r="99" spans="1:9" ht="39.6" x14ac:dyDescent="0.3">
      <c r="A99" s="39" t="s">
        <v>50</v>
      </c>
      <c r="B99" s="39" t="s">
        <v>865</v>
      </c>
      <c r="C99" s="39" t="s">
        <v>608</v>
      </c>
      <c r="D99" s="39" t="s">
        <v>759</v>
      </c>
      <c r="E99" s="39" t="s">
        <v>760</v>
      </c>
      <c r="F99" s="39" t="s">
        <v>880</v>
      </c>
      <c r="G99" s="39"/>
      <c r="H99" s="39" t="s">
        <v>488</v>
      </c>
      <c r="I99" s="39" t="s">
        <v>881</v>
      </c>
    </row>
    <row r="100" spans="1:9" ht="26.4" x14ac:dyDescent="0.3">
      <c r="A100" s="39" t="s">
        <v>50</v>
      </c>
      <c r="B100" s="39" t="s">
        <v>865</v>
      </c>
      <c r="C100" s="39" t="s">
        <v>609</v>
      </c>
      <c r="D100" s="39" t="s">
        <v>830</v>
      </c>
      <c r="E100" s="39" t="s">
        <v>778</v>
      </c>
      <c r="F100" s="39" t="s">
        <v>882</v>
      </c>
      <c r="G100" s="39"/>
      <c r="H100" s="39" t="s">
        <v>488</v>
      </c>
      <c r="I100" s="39"/>
    </row>
    <row r="101" spans="1:9" x14ac:dyDescent="0.3">
      <c r="A101" s="39" t="s">
        <v>50</v>
      </c>
      <c r="B101" s="39" t="s">
        <v>865</v>
      </c>
      <c r="C101" s="39" t="s">
        <v>610</v>
      </c>
      <c r="D101" s="39" t="s">
        <v>759</v>
      </c>
      <c r="E101" s="39" t="s">
        <v>778</v>
      </c>
      <c r="F101" s="39" t="s">
        <v>883</v>
      </c>
      <c r="G101" s="39"/>
      <c r="H101" s="39" t="s">
        <v>488</v>
      </c>
      <c r="I101" s="3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21</vt:i4>
      </vt:variant>
    </vt:vector>
  </HeadingPairs>
  <TitlesOfParts>
    <vt:vector size="36" baseType="lpstr">
      <vt:lpstr>00_LEIA-ME</vt:lpstr>
      <vt:lpstr>Plano_Monitorizacao</vt:lpstr>
      <vt:lpstr>Equipamentos_Calibracao</vt:lpstr>
      <vt:lpstr>Parametros</vt:lpstr>
      <vt:lpstr>Dim_Mes</vt:lpstr>
      <vt:lpstr>Producao_Mensal</vt:lpstr>
      <vt:lpstr>Dados_Ambientais</vt:lpstr>
      <vt:lpstr>Residuos_Mensais</vt:lpstr>
      <vt:lpstr>Indicadores_Mensais</vt:lpstr>
      <vt:lpstr>Analise_Desvio_5_2</vt:lpstr>
      <vt:lpstr>Hipoteses_Desvio</vt:lpstr>
      <vt:lpstr>Pesagem_Solvente</vt:lpstr>
      <vt:lpstr>Analises_Laboratoriais</vt:lpstr>
      <vt:lpstr>Listas</vt:lpstr>
      <vt:lpstr>Dicionario_Dados</vt:lpstr>
      <vt:lpstr>DataRef</vt:lpstr>
      <vt:lpstr>lst_AN_Limite</vt:lpstr>
      <vt:lpstr>lst_AN_Matriz</vt:lpstr>
      <vt:lpstr>lst_AN_SimNao</vt:lpstr>
      <vt:lpstr>lst_Cat6M</vt:lpstr>
      <vt:lpstr>lst_DataReferencia</vt:lpstr>
      <vt:lpstr>lst_EstadoHip</vt:lpstr>
      <vt:lpstr>lst_Funcao</vt:lpstr>
      <vt:lpstr>lst_Processo</vt:lpstr>
      <vt:lpstr>lst_Qualidade</vt:lpstr>
      <vt:lpstr>lst_Tipo</vt:lpstr>
      <vt:lpstr>Analises_Laboratoriais!Títulos_de_Impressão</vt:lpstr>
      <vt:lpstr>Dados_Ambientais!Títulos_de_Impressão</vt:lpstr>
      <vt:lpstr>Dim_Mes!Títulos_de_Impressão</vt:lpstr>
      <vt:lpstr>Equipamentos_Calibracao!Títulos_de_Impressão</vt:lpstr>
      <vt:lpstr>Hipoteses_Desvio!Títulos_de_Impressão</vt:lpstr>
      <vt:lpstr>Parametros!Títulos_de_Impressão</vt:lpstr>
      <vt:lpstr>Pesagem_Solvente!Títulos_de_Impressão</vt:lpstr>
      <vt:lpstr>Plano_Monitorizacao!Títulos_de_Impressão</vt:lpstr>
      <vt:lpstr>Producao_Mensal!Títulos_de_Impressão</vt:lpstr>
      <vt:lpstr>Residuos_Mensais!Títulos_de_Impressão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RG-SGA-13 Plano de Monitorização e Medição e Avaliação do Desempenho Ambiental</dc:title>
  <dc:subject>SGA NP EN ISO 14001:2026 — Plasticom</dc:subject>
  <dc:creator>Gestor(a) do SGA / EHS</dc:creator>
  <cp:lastModifiedBy>Aline Meireles</cp:lastModifiedBy>
  <dcterms:created xsi:type="dcterms:W3CDTF">2026-09-30T16:48:44Z</dcterms:created>
  <dcterms:modified xsi:type="dcterms:W3CDTF">2026-09-30T16:48:59Z</dcterms:modified>
</cp:coreProperties>
</file>