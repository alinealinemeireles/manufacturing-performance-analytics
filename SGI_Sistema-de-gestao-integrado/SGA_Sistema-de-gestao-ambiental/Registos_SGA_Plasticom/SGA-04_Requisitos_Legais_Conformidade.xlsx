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CBF241FC-7369-4B51-B9DE-F0121ABC77C3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Requisitos_Legais" sheetId="2" r:id="rId2"/>
    <sheet name="Calendario_Obrigacoes" sheetId="3" r:id="rId3"/>
    <sheet name="Historico_Avaliacoes" sheetId="4" r:id="rId4"/>
    <sheet name="Mod.G.06.02_Vista" sheetId="5" r:id="rId5"/>
    <sheet name="Listas" sheetId="6" r:id="rId6"/>
    <sheet name="Dicionario_Dados" sheetId="7" r:id="rId7"/>
  </sheets>
  <definedNames>
    <definedName name="DataRef">Listas!$A$3</definedName>
    <definedName name="lst_Ambito">Listas!$D$3:$D$8</definedName>
    <definedName name="lst_Aplicabilidade">Listas!$E$3:$E$6</definedName>
    <definedName name="lst_DataReferencia">Listas!$A$3:$A$3</definedName>
    <definedName name="lst_Estado">Listas!$H$3:$H$6</definedName>
    <definedName name="lst_Frequencia">Listas!$J$3:$J$11</definedName>
    <definedName name="lst_Funcao">Listas!$I$3:$I$24</definedName>
    <definedName name="lst_Natureza">Listas!$F$3:$F$7</definedName>
    <definedName name="lst_Tema">Listas!$B$3:$B$22</definedName>
    <definedName name="lst_TipoDiploma">Listas!$C$3:$C$12</definedName>
    <definedName name="lst_TipoEvidencia">Listas!$G$3:$G$12</definedName>
    <definedName name="_xlnm.Print_Titles" localSheetId="2">Calendario_Obrigacoes!$1:$1</definedName>
    <definedName name="_xlnm.Print_Titles" localSheetId="3">Historico_Avaliacoes!$1:$1</definedName>
    <definedName name="_xlnm.Print_Titles" localSheetId="4">'Mod.G.06.02_Vista'!$5:$5</definedName>
    <definedName name="_xlnm.Print_Titles" localSheetId="1">Requisitos_Legais!$4:$4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5" l="1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I31" i="3"/>
  <c r="J31" i="3" s="1"/>
  <c r="J30" i="3"/>
  <c r="I30" i="3"/>
  <c r="I29" i="3"/>
  <c r="J29" i="3" s="1"/>
  <c r="I28" i="3"/>
  <c r="J28" i="3" s="1"/>
  <c r="I27" i="3"/>
  <c r="J27" i="3" s="1"/>
  <c r="I26" i="3"/>
  <c r="J26" i="3" s="1"/>
  <c r="I25" i="3"/>
  <c r="J25" i="3" s="1"/>
  <c r="J24" i="3"/>
  <c r="I24" i="3"/>
  <c r="I23" i="3"/>
  <c r="J23" i="3" s="1"/>
  <c r="J22" i="3"/>
  <c r="I22" i="3"/>
  <c r="I21" i="3"/>
  <c r="J21" i="3" s="1"/>
  <c r="I20" i="3"/>
  <c r="J20" i="3" s="1"/>
  <c r="I19" i="3"/>
  <c r="J19" i="3" s="1"/>
  <c r="I18" i="3"/>
  <c r="J18" i="3" s="1"/>
  <c r="I17" i="3"/>
  <c r="J17" i="3" s="1"/>
  <c r="J16" i="3"/>
  <c r="I16" i="3"/>
  <c r="I15" i="3"/>
  <c r="J15" i="3" s="1"/>
  <c r="J14" i="3"/>
  <c r="I14" i="3"/>
  <c r="I13" i="3"/>
  <c r="J13" i="3" s="1"/>
  <c r="I12" i="3"/>
  <c r="J12" i="3" s="1"/>
  <c r="I11" i="3"/>
  <c r="J11" i="3" s="1"/>
  <c r="I10" i="3"/>
  <c r="J10" i="3" s="1"/>
  <c r="I9" i="3"/>
  <c r="J9" i="3" s="1"/>
  <c r="J8" i="3"/>
  <c r="I8" i="3"/>
  <c r="I7" i="3"/>
  <c r="J7" i="3" s="1"/>
  <c r="J6" i="3"/>
  <c r="I6" i="3"/>
  <c r="I5" i="3"/>
  <c r="J5" i="3" s="1"/>
  <c r="I4" i="3"/>
  <c r="J4" i="3" s="1"/>
  <c r="I3" i="3"/>
  <c r="J3" i="3" s="1"/>
  <c r="I2" i="3"/>
  <c r="J2" i="3" s="1"/>
  <c r="V26" i="2"/>
  <c r="U26" i="2"/>
  <c r="W26" i="2" s="1"/>
  <c r="V25" i="2"/>
  <c r="U25" i="2"/>
  <c r="W25" i="2" s="1"/>
  <c r="W24" i="2"/>
  <c r="V24" i="2"/>
  <c r="U24" i="2"/>
  <c r="V23" i="2"/>
  <c r="U23" i="2"/>
  <c r="W23" i="2" s="1"/>
  <c r="V22" i="2"/>
  <c r="U22" i="2"/>
  <c r="W22" i="2" s="1"/>
  <c r="V21" i="2"/>
  <c r="U21" i="2"/>
  <c r="W21" i="2" s="1"/>
  <c r="V20" i="2"/>
  <c r="U20" i="2"/>
  <c r="W20" i="2" s="1"/>
  <c r="W19" i="2"/>
  <c r="V19" i="2"/>
  <c r="U19" i="2"/>
  <c r="V18" i="2"/>
  <c r="U18" i="2"/>
  <c r="W18" i="2" s="1"/>
  <c r="V17" i="2"/>
  <c r="U17" i="2"/>
  <c r="W17" i="2" s="1"/>
  <c r="W16" i="2"/>
  <c r="V16" i="2"/>
  <c r="U16" i="2"/>
  <c r="V15" i="2"/>
  <c r="U15" i="2"/>
  <c r="W15" i="2" s="1"/>
  <c r="V14" i="2"/>
  <c r="U14" i="2"/>
  <c r="W14" i="2" s="1"/>
  <c r="V13" i="2"/>
  <c r="U13" i="2"/>
  <c r="W13" i="2" s="1"/>
  <c r="V12" i="2"/>
  <c r="U12" i="2"/>
  <c r="W12" i="2" s="1"/>
  <c r="W11" i="2"/>
  <c r="V11" i="2"/>
  <c r="U11" i="2"/>
  <c r="V10" i="2"/>
  <c r="U10" i="2"/>
  <c r="W10" i="2" s="1"/>
  <c r="V9" i="2"/>
  <c r="U9" i="2"/>
  <c r="W9" i="2" s="1"/>
  <c r="W8" i="2"/>
  <c r="V8" i="2"/>
  <c r="U8" i="2"/>
  <c r="V7" i="2"/>
  <c r="U7" i="2"/>
  <c r="W7" i="2" s="1"/>
  <c r="V6" i="2"/>
  <c r="U6" i="2"/>
  <c r="W6" i="2" s="1"/>
  <c r="V5" i="2"/>
  <c r="U5" i="2"/>
  <c r="W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Identificador do requisito.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Código do tema (Mod.G.06.02 'Código / Tema').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Tema ambiental.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N.º do diploma, ano e data.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Tipo de documento legal.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Data de publicação.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Âmbito geográfico.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Entidade competente/fiscalizadora.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O que a lei obriga a fazer.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Sim / Não / Futuro (aplicável a partir de data futura).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Porque é (ou não é) aplicável — limiares, características da instalação.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Processos afetados (códigos).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Aspetos ambientais regulados.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O que está instalado/implementado para cumprir.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Frase técnica com a evidência objetiva (documento, número, data, valor vs limite).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Tipo de evidência.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Data da evidência.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C conforme; NC não conforme; Futuro (ainda não exigível).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Data da avaliação da conformidade.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Periodicidade da avaliação (meses).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Data da próxima avaliação.
[calculado]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Dias desde a evidência até à data de referência (2026-12-31).
[calculado]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Alerta automático de gestão.
[calculado]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Ação no PAM quando NC.</t>
        </r>
      </text>
    </comment>
    <comment ref="Y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Responsável pelo cumprimento.</t>
        </r>
      </text>
    </comment>
    <comment ref="Z4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Fonte oficial (Diário da República, EUR-Lex).</t>
        </r>
      </text>
    </comment>
    <comment ref="AA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Obrigação legal / norma técnica de suporte / requisito contratual / norma voluntária / necessita verificação.</t>
        </r>
      </text>
    </comment>
    <comment ref="AB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Papel jurídico da Plasticom face ao requisito.</t>
        </r>
      </text>
    </comment>
    <comment ref="AC4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Requisitos detalhados na matriz de embalagens (RG-SGA-20 tbl_requisitos_emb).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Identificador da obrigação recorrente.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Requisito de origem.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O que tem de ser feito.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Periodicidade.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Próximo prazo legal.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Data do último cumprimento.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Referência da evidência.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Dias até ao prazo (negativo = vencido).
[calculado]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Estado calculado face à data de referência.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Requisito.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Ano do ciclo de avaliação.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Resultado da avaliação.</t>
        </r>
      </text>
    </comment>
  </commentList>
</comments>
</file>

<file path=xl/sharedStrings.xml><?xml version="1.0" encoding="utf-8"?>
<sst xmlns="http://schemas.openxmlformats.org/spreadsheetml/2006/main" count="1309" uniqueCount="635">
  <si>
    <t>RG-SGA-04 — Tabela de Identificação de Requisitos Legais e Avaliação da Conformidade (Mod.G.06.02)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</si>
  <si>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</si>
  <si>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</si>
  <si>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</si>
  <si>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RG-SGA-04</t>
  </si>
  <si>
    <t>Título</t>
  </si>
  <si>
    <t>Tabela de Identificação de Requisitos Legais e Avaliação da Conformidade (Mod.G.06.02)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</si>
  <si>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</si>
  <si>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</si>
  <si>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</si>
  <si>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</si>
  <si>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</si>
  <si>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</si>
  <si>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</si>
  <si>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</si>
  <si>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</si>
  <si>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</si>
  <si>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</si>
  <si>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</si>
  <si>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</si>
  <si>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</si>
  <si>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</si>
  <si>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Identificar a legislação e outros requisitos aplicáveis por tema ambiental, interpretar as obrigações, registar as disposições internas e avaliar a conformidade com evidência objetiva (documento, número, data, valor medido vs limite). Inclui calendário de obrigações recorrentes e histórico de avaliações para análise de tendência.</t>
  </si>
  <si>
    <t>Atividades do curso</t>
  </si>
  <si>
    <t>Atividade 3.3 — Identificação de Requisitos Legais e Avaliação da Conformidade (tabela completa; vista para print screen no formato Mod.G.06.02).</t>
  </si>
  <si>
    <t>Requisitos ISO 14001:2026</t>
  </si>
  <si>
    <t>6.1.3 Obrigações de conformidade; 9.1.2 Avaliação da conformidade; 5.2 (compromisso de cumprir as obrigações de conformidade — ISO 14001:2026: 'meet')</t>
  </si>
  <si>
    <t>ESTRUTURA DO FICHEIRO</t>
  </si>
  <si>
    <t>Requisitos_Legais</t>
  </si>
  <si>
    <t>Registo de requisitos legais e avaliação da conformidade (1 linha por diploma).</t>
  </si>
  <si>
    <t>Calendario_Obrigacoes</t>
  </si>
  <si>
    <t>Calendário de obrigações legais recorrentes com estado calculado (compliance calendar).</t>
  </si>
  <si>
    <t>Historico_Avaliacoes</t>
  </si>
  <si>
    <t>Histórico das avaliações de conformidade por ciclo (formato longo para análise de tendência).</t>
  </si>
  <si>
    <t>Mod.G.06.02_Vista</t>
  </si>
  <si>
    <t>Tabela no formato do enunciado (7 colunas) para print screen no fórum, calculada a partir de tbl_legal.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</si>
  <si>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</si>
  <si>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</si>
  <si>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</si>
  <si>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</si>
  <si>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</si>
  <si>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</si>
  <si>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</si>
  <si>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</si>
  <si>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</si>
  <si>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</si>
  <si>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</si>
  <si>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</si>
  <si>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</si>
  <si>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</si>
  <si>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</si>
  <si>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</si>
  <si>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</si>
  <si>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</si>
  <si>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RG-SGA-03 Aspetos</t>
  </si>
  <si>
    <t>IDs_Aspetos liga cada diploma aos aspetos ambientais que regula.</t>
  </si>
  <si>
    <t>RG-SGA-06 PAM</t>
  </si>
  <si>
    <t>NC legal → ação no PAM (ID_PAM).</t>
  </si>
  <si>
    <t>RG-SGA-07 NC</t>
  </si>
  <si>
    <t>NC legais são também registadas no registo de não conformidades.</t>
  </si>
  <si>
    <t>TABELA DE IDENTIFICAÇÃO DE REQUISITOS LEGAIS E AVALIAÇÃO DA CONFORMIDADE — PLASTICOM</t>
  </si>
  <si>
    <t>Evidência objetiva obrigatória (nunca apenas 'Cumpre') · Data de referência para alertas: 2026-12-31 (nome DataRef) · Dados de evidência simulados</t>
  </si>
  <si>
    <t>ID_Legal</t>
  </si>
  <si>
    <t>Codigo_Tema</t>
  </si>
  <si>
    <t>Tema</t>
  </si>
  <si>
    <t>Diploma_Documento</t>
  </si>
  <si>
    <t>Tipo_Diploma</t>
  </si>
  <si>
    <t>Data_Publicacao</t>
  </si>
  <si>
    <t>Ambito</t>
  </si>
  <si>
    <t>Entidade_Fiscalizadora</t>
  </si>
  <si>
    <t>Resumo_Obrigacoes</t>
  </si>
  <si>
    <t>Aplicabilidade</t>
  </si>
  <si>
    <t>Justificacao_Aplicabilidade</t>
  </si>
  <si>
    <t>Processos</t>
  </si>
  <si>
    <t>IDs_Aspetos</t>
  </si>
  <si>
    <t>Disposicoes_Internas</t>
  </si>
  <si>
    <t>Avaliacao_Conformidade_Evidencia</t>
  </si>
  <si>
    <t>Tipo_Evidencia</t>
  </si>
  <si>
    <t>Data_Evidencia</t>
  </si>
  <si>
    <t>Data_Avaliacao</t>
  </si>
  <si>
    <t>Periodicidade_Meses</t>
  </si>
  <si>
    <t>Proxima_Avaliacao</t>
  </si>
  <si>
    <t>Idade_Evidencia_Dias</t>
  </si>
  <si>
    <t>Alerta</t>
  </si>
  <si>
    <t>ID_PAM</t>
  </si>
  <si>
    <t>Responsavel</t>
  </si>
  <si>
    <t>Fonte_Oficial</t>
  </si>
  <si>
    <t>Natureza_Obrigacao</t>
  </si>
  <si>
    <t>Papel_Plasticom</t>
  </si>
  <si>
    <t>IDs_Req_Embalagem</t>
  </si>
  <si>
    <t>LEG-01</t>
  </si>
  <si>
    <t>RES</t>
  </si>
  <si>
    <t>Resíduos industriais</t>
  </si>
  <si>
    <t>Decreto-Lei n.º 102-D/2020, de 10 de dezembro (RGGR)</t>
  </si>
  <si>
    <t>Decreto-Lei</t>
  </si>
  <si>
    <t>Nacional</t>
  </si>
  <si>
    <t>APA / IGAMAOT</t>
  </si>
  <si>
    <t>Separar na origem, armazenar em condições adequadas, classificar pela Lista Europeia de Resíduos (LER), encaminhar para operadores licenciados e submeter o MIRR anual no SILiAmb até 31 de março.</t>
  </si>
  <si>
    <t>Sim</t>
  </si>
  <si>
    <t>Produtor de resíduos não urbanos com mais de 10 trabalhadores e resíduos perigosos.</t>
  </si>
  <si>
    <t>PRS; SER; MAN; INJ; SOP</t>
  </si>
  <si>
    <t>AA-004; AA-008; AA-011; AA-016; AA-026; AA-029</t>
  </si>
  <si>
    <t>Parque de resíduos com contentores identificados por código LER; balança de plataforma verificada; contratos com 7 operadores licenciados.</t>
  </si>
  <si>
    <t>Submissão do MIRR 2025 no SILiAmb em 18/03/2026 (comprovativo n.º MIRR-2025-PLA-0417). Amostra de 20 e-GAR de jan–ago/2026: 100% com operador licenciado e código LER coerente com a pesagem interna.</t>
  </si>
  <si>
    <t>Plataforma / comprovativo</t>
  </si>
  <si>
    <t>C</t>
  </si>
  <si>
    <t>Gestor do SGA / EHS (Responsável Ambiental)</t>
  </si>
  <si>
    <t>https://diariodarepublica.pt/dr/legislacao-consolidada/decreto-lei/2020-150908020</t>
  </si>
  <si>
    <t>Obrigação legal</t>
  </si>
  <si>
    <t>Produtor de resíduos</t>
  </si>
  <si>
    <t>EU-ENV-006; PT-002</t>
  </si>
  <si>
    <t>LEG-02</t>
  </si>
  <si>
    <t>LIC</t>
  </si>
  <si>
    <t>Licenciamento industrial</t>
  </si>
  <si>
    <t>Decreto-Lei n.º 169/2012, de 1 de agosto (SIR), republicado pelo DL 73/2015</t>
  </si>
  <si>
    <t>IAPMEI / CCDR Centro</t>
  </si>
  <si>
    <t>Explorar o estabelecimento industrial com título válido e comunicar alterações que modifiquem a tipologia ou as condições de exploração.</t>
  </si>
  <si>
    <t>Estabelecimento industrial do tipo 2 (transformação de matérias plásticas).</t>
  </si>
  <si>
    <t>GER</t>
  </si>
  <si>
    <t>Título Digital de Exploração arquivado; controlo de mudanças avalia alterações de layout e equipamento.</t>
  </si>
  <si>
    <t>Título Digital de Exploração n.º TDE-2019-0588 válido; comunicação da instalação dos novos compressores submetida em 04/02/2026 (sem alteração de tipologia).</t>
  </si>
  <si>
    <t>Licença / título</t>
  </si>
  <si>
    <t>Diretor Industrial</t>
  </si>
  <si>
    <t>Portal ePortugal / SIR</t>
  </si>
  <si>
    <t>Estabelecimento industrial (tipo 2)</t>
  </si>
  <si>
    <t>LEG-03</t>
  </si>
  <si>
    <t>AGU</t>
  </si>
  <si>
    <t>Água e águas residuais</t>
  </si>
  <si>
    <t>Lei n.º 58/2005 (Lei da Água); Regulamento Municipal de Drenagem de Águas Residuais (Marinha Grande)</t>
  </si>
  <si>
    <t>Lei / Regulamento</t>
  </si>
  <si>
    <t>Nacional / Municipal</t>
  </si>
  <si>
    <t>Entidade gestora municipal / APA</t>
  </si>
  <si>
    <t>Descarregar águas residuais industriais no coletor apenas com autorização e dentro dos valores-limite do regulamento municipal; realizar autocontrolo analítico semestral.</t>
  </si>
  <si>
    <t>Descarga da purga da torre de arrefecimento e águas domésticas no coletor municipal.</t>
  </si>
  <si>
    <t>UTL; GER</t>
  </si>
  <si>
    <t>AA-023; AA-024; AA-035</t>
  </si>
  <si>
    <t>Autorização de descarga n.º AD-112/2021; ponto de amostragem na caixa de visita final; dosagem automática de biocida.</t>
  </si>
  <si>
    <t>Boletim de análise n.º 26/2410 (laboratório acreditado, 10/12/2026): pH 7,6; CQO 132 mg/L O2; SST 31 mg/L — todos abaixo do VLE municipal (2.º semestre).</t>
  </si>
  <si>
    <t>Relatório de ensaio</t>
  </si>
  <si>
    <t>Gerente de Manutenção</t>
  </si>
  <si>
    <t>Regulamento municipal / Diário da República</t>
  </si>
  <si>
    <t>Utilizador do coletor municipal</t>
  </si>
  <si>
    <t>LEG-04</t>
  </si>
  <si>
    <t>COV</t>
  </si>
  <si>
    <t>Ar — COV (solventes)</t>
  </si>
  <si>
    <t>Decreto-Lei n.º 127/2013, de 30 de agosto — Capítulo V e Anexo VII (instalações que utilizam solventes orgânicos)</t>
  </si>
  <si>
    <t>APA / CCDR Centro</t>
  </si>
  <si>
    <t>Instalações acima do limiar de consumo de solventes (ex.: 5 t/ano para revestimento de plástico; 15 t/ano para impressão) têm VLE, plano de gestão de solventes e registo. Abaixo do limiar: demonstrar anualmente o consumo.</t>
  </si>
  <si>
    <t>Não</t>
  </si>
  <si>
    <t>Consumo anual de solventes ≈ 1,2 t (limpeza + fração solvente das tintas) &lt; 5 t/ano. Manter o cálculo anual para confirmar a não aplicabilidade.</t>
  </si>
  <si>
    <t>SER</t>
  </si>
  <si>
    <t>AA-014; AA-006</t>
  </si>
  <si>
    <t>Balanço anual de solventes a partir do inventário (compras − stock).</t>
  </si>
  <si>
    <t>Balanço de solventes set/2025–ago/2026: 0,75 t de solvente de limpeza + ≈ 0,43 t na fração solvente das tintas = ≈ 1,2 t/ano (24% do limiar). Registo BAL-SOLV-2026 arquivado.</t>
  </si>
  <si>
    <t>Registo / cálculo</t>
  </si>
  <si>
    <t>Diário da República — DL 127/2013</t>
  </si>
  <si>
    <t>Operador abaixo do limiar de solventes</t>
  </si>
  <si>
    <t>LEG-05</t>
  </si>
  <si>
    <t>RUI</t>
  </si>
  <si>
    <t>Ruído ambiente</t>
  </si>
  <si>
    <t>Decreto-Lei n.º 9/2007, de 17 de janeiro (Regulamento Geral do Ruído)</t>
  </si>
  <si>
    <t>Câmara Municipal / IGAMAOT</t>
  </si>
  <si>
    <t>Cumprir o critério de exposição máxima e o critério de incomodidade junto dos recetores sensíveis; avaliar após alterações que possam aumentar o ruído.</t>
  </si>
  <si>
    <t>Habitações a ≈ 250 m; laboração em 3 turnos (período noturno).</t>
  </si>
  <si>
    <t>UTL</t>
  </si>
  <si>
    <t>AA-022</t>
  </si>
  <si>
    <t>Compressores em sala fechada; última avaliação acústica em 2023, antes da substituição dos compressores (fev/2026).</t>
  </si>
  <si>
    <t>Relatório AC-2026-112 (28/10/2026, laboratório acreditado): critério de incomodidade noturno cumprido nos 3 recetores após barreira acústica e redução de rotação noturna dos compressores (PAM-26-03).</t>
  </si>
  <si>
    <t>PAM-26-03</t>
  </si>
  <si>
    <t>https://diariodarepublica.pt/dr/detalhe/decreto-lei/9-2007-522807</t>
  </si>
  <si>
    <t>Operador (fonte de ruído)</t>
  </si>
  <si>
    <t>LEG-06</t>
  </si>
  <si>
    <t>QUI</t>
  </si>
  <si>
    <t>Produtos químicos</t>
  </si>
  <si>
    <t>Regulamento (CE) n.º 1907/2006 (REACH) e Regulamento (CE) n.º 1272/2008 (CLP)</t>
  </si>
  <si>
    <t>Regulamento UE</t>
  </si>
  <si>
    <t>UE</t>
  </si>
  <si>
    <t>IGAMAOT / ACT</t>
  </si>
  <si>
    <t>Dispor de fichas de dados de segurança (FDS) atualizadas no ponto de uso, recipientes rotulados, e cumprir as condições de utilização segura e de armazenagem.</t>
  </si>
  <si>
    <t>Utilizador a jusante de tintas, solventes, óleos e biocidas.</t>
  </si>
  <si>
    <t>ARQ; SER; UTL; MAN</t>
  </si>
  <si>
    <t>AA-005; AA-006; AA-015; AA-017</t>
  </si>
  <si>
    <t>Registo integrado RG-SGA-21 (inventário de 42 produtos, FDS, cenários de exposição, importação, SVHC, risco químico) e procedimento PR-SGA-16; dossier de FDS no armazém e junto às máquinas; armário de inflamáveis.</t>
  </si>
  <si>
    <t>Avaliação completa de 24/09/2026 (RG-SGA-21): rotulagem CLP 100% conforme (15 recipientes); FDS em vigor 85% conformes (6 a pedir ao fornecedor, 2 de 2021 pedidas em 03/09/2026); 2 cenários de exposição com o prazo de 12 meses do art. 39.º ultrapassado (CE-02, CE-08); 2 fornecedores extra-UE sem representante único (Plasticom = importador sem registo — SUP-004, SUP-005); tinta UV com fotoiniciador Repr. 1B/SVHC; 2 operadores sem formação em diisocianatos (entrada 74).</t>
  </si>
  <si>
    <t>Inspeção / registo</t>
  </si>
  <si>
    <t>NC</t>
  </si>
  <si>
    <t>PAM-26-28</t>
  </si>
  <si>
    <t>Responsável de Armazém e Logística</t>
  </si>
  <si>
    <t>https://eur-lex.europa.eu/eli/reg/2006/1907/oj</t>
  </si>
  <si>
    <t>Utilizador a jusante de misturas; fornecedor de artigos</t>
  </si>
  <si>
    <t>EU-ENV-008; EU-ENV-009</t>
  </si>
  <si>
    <t>LEG-07</t>
  </si>
  <si>
    <t>FGA</t>
  </si>
  <si>
    <t>Gases fluorados</t>
  </si>
  <si>
    <t>Regulamento (UE) 2024/573 (gases fluorados) e Decreto-Lei n.º 145/2017</t>
  </si>
  <si>
    <t>UE / Nacional</t>
  </si>
  <si>
    <t>Controlo de fugas periódico conforme a carga em tCO2e, por técnico certificado; registos do equipamento; reparação e reposição documentadas; comunicação anual quando aplicável.</t>
  </si>
  <si>
    <t>Chiller CH-01 com 30 kg de R410A (≈ 62,6 tCO2e → controlo de fugas semestral).</t>
  </si>
  <si>
    <t>AA-025</t>
  </si>
  <si>
    <t>Contrato de manutenção com empresa certificada; registo do equipamento CH-01.</t>
  </si>
  <si>
    <t>Relatórios de controlo de fugas de 05/2026 e 18/11/2026 (sem fugas), assinados por técnico certificado.</t>
  </si>
  <si>
    <t>Relatório / registo</t>
  </si>
  <si>
    <t>https://eur-lex.europa.eu/eli/reg/2024/573/oj</t>
  </si>
  <si>
    <t>Operador de equipamento com gases fluorados</t>
  </si>
  <si>
    <t>LEG-08</t>
  </si>
  <si>
    <t>ENE</t>
  </si>
  <si>
    <t>Energia</t>
  </si>
  <si>
    <t>Decreto-Lei n.º 71/2008, de 15 de abril (SGCIE — consumidores intensivos de energia)</t>
  </si>
  <si>
    <t>DGEG / ADENE</t>
  </si>
  <si>
    <t>Instalações com consumo ≥ 500 tep/ano: registo, auditoria energética periódica e Plano de Racionalização do Consumo de Energia (PREn) com metas de intensidade energética e relatórios de execução.</t>
  </si>
  <si>
    <t>Consumo ≈ 7,8 GWh em 2026 ≈ 1.680 tep/ano (fator 0,215 tep/MWh).</t>
  </si>
  <si>
    <t>INJ; SOP; UTL; GER</t>
  </si>
  <si>
    <t>AA-007; AA-010; AA-021; AA-030</t>
  </si>
  <si>
    <t>Registo SGCIE; auditoria energética de 2022; ARCE com metas até 2029.</t>
  </si>
  <si>
    <t>Relatório de execução e progresso do ARCE (2024–2025) submetido na plataforma SGCIE em 28/04/2026; auditoria energética de 2022 válida até 2030.</t>
  </si>
  <si>
    <t>Diário da República — DL 71/2008</t>
  </si>
  <si>
    <t>Consumidor intensivo de energia</t>
  </si>
  <si>
    <t>LEG-09</t>
  </si>
  <si>
    <t>EMB</t>
  </si>
  <si>
    <t>Embalagens (produto)</t>
  </si>
  <si>
    <t>Regulamento (UE) 2025/40 (PPWR) — aplicável desde 12/08/2026</t>
  </si>
  <si>
    <t>APA / ASAE</t>
  </si>
  <si>
    <t>Fabricante de embalagens: avaliação da conformidade, documentação técnica e declaração UE de conformidade; limites de chumbo, cádmio, mercúrio e crómio VI; restrições a substâncias preocupantes; preparação para metas de reciclabilidade e conteúdo reciclado.</t>
  </si>
  <si>
    <t>A Plasticom fabrica embalagens colocadas no mercado da UE (cosmética, alimentar, farmacêutica).</t>
  </si>
  <si>
    <t>RD; LAB</t>
  </si>
  <si>
    <t>AA-037; AA-038; AA-043</t>
  </si>
  <si>
    <t>Fichas técnicas de produto; declarações de contacto alimentar (linha alimentar); análise de metais pesados por família.</t>
  </si>
  <si>
    <t>Em 22/12/2026: documentação técnica e declaração UE de conformidade concluídas para 17 de 22 famílias (77%); as 5 restantes (PP-PG e PET-PG farmacêuticas; PETG e PVC em substituição — PAM-26-22) em 2027.</t>
  </si>
  <si>
    <t>Registo / dossier</t>
  </si>
  <si>
    <t>PAM-26-10</t>
  </si>
  <si>
    <t>Responsável de R&amp;D</t>
  </si>
  <si>
    <t>https://eur-lex.europa.eu/eli/reg/2025/40/oj</t>
  </si>
  <si>
    <t>Fabricante de embalagens e fornecedor a fabricantes de produtos embalados</t>
  </si>
  <si>
    <t>EU-ENV-001; EU-ENV-002; EU-ENV-003; EU-ENV-004; EU-ENV-005; EU-ENV-010; EU-ENV-011; EU-ENV-013; EU-ENV-014; EU-ENV-015; PHAR-006; PT-004</t>
  </si>
  <si>
    <t>LEG-10</t>
  </si>
  <si>
    <t>GRA</t>
  </si>
  <si>
    <t>Perdas de granulado</t>
  </si>
  <si>
    <t>Regulamento (UE) 2025/2365 (prevenção de perdas de granulados de plástico) e REACH anexo XVII, entrada 78 (Reg. (UE) 2023/2055 — relatório anual de microplásticos)</t>
  </si>
  <si>
    <t>APA</t>
  </si>
  <si>
    <t>Evitar perdas de granulado com a hierarquia de medidas e notificar cada instalação à autoridade até 17/12/2027; instalações &lt; 1.500 t/ano: declaração de conformidade (certificação por terceiros só ≥ 1.500 t/ano); relatório anual à ECHA das libertações estimadas até 31/05 (entrada 78).</t>
  </si>
  <si>
    <t>Futuro</t>
  </si>
  <si>
    <t>A Plasticom manipula ≈ 865 t/ano de granulado (&lt; 1.500 t): notificação e declaração de conformidade até 17/12/2027; o relatório de microplásticos já é exigível (submetido em 28/05/2026).</t>
  </si>
  <si>
    <t>REC; INJ; SOP; MOA</t>
  </si>
  <si>
    <t>AA-003</t>
  </si>
  <si>
    <t>Varrimento diário; programa OCS em implementação (PAM-26-11).</t>
  </si>
  <si>
    <t>Autoavaliação Operation Clean Sweep de 15/12/2026: 11 de 14 pontos críticos com contenção (79%); filtros em todas as sarjetas.</t>
  </si>
  <si>
    <t>Registo / autoavaliação</t>
  </si>
  <si>
    <t>PAM-26-11</t>
  </si>
  <si>
    <t>https://eur-lex.europa.eu/legal-content/EN/TXT/PDF/?uri=OJ:L_202502365</t>
  </si>
  <si>
    <t>Operador que manipula granulado</t>
  </si>
  <si>
    <t>LEG-11</t>
  </si>
  <si>
    <t>SCI</t>
  </si>
  <si>
    <t>Emergência / segurança contra incêndio</t>
  </si>
  <si>
    <t>Decreto-Lei n.º 220/2008, de 12 de novembro (RJ-SCIE) e Portaria n.º 1532/2008</t>
  </si>
  <si>
    <t>ANEPC</t>
  </si>
  <si>
    <t>Implementar medidas de autoproteção, manter meios de 1.ª intervenção, formação e simulacros com a periodicidade da categoria de risco.</t>
  </si>
  <si>
    <t>Utilização-tipo XII (industrial), 2.ª categoria de risco.</t>
  </si>
  <si>
    <t>GER; REC; ARQ</t>
  </si>
  <si>
    <t>AA-034; AA-005</t>
  </si>
  <si>
    <t>Medidas de autoproteção aprovadas; extintores e RIA com manutenção anual; válvula de corte na rede pluvial.</t>
  </si>
  <si>
    <t>Simulacros de 26/11/2026 (derrame no armazém de químicos) e 11/12/2026 (incêndio com retenção das águas): evacuação em 5 min; VC-01 fechada em 4 min.</t>
  </si>
  <si>
    <t>Registo / relatório</t>
  </si>
  <si>
    <t>Diário da República — DL 220/2008</t>
  </si>
  <si>
    <t>Utilização-tipo XII (industrial)</t>
  </si>
  <si>
    <t>LEG-12</t>
  </si>
  <si>
    <t>EAR</t>
  </si>
  <si>
    <t>Ar — fontes pontuais</t>
  </si>
  <si>
    <t>Decreto-Lei n.º 39/2018, de 11 de junho (prevenção e controlo das emissões para o ar)</t>
  </si>
  <si>
    <t>CCDR Centro</t>
  </si>
  <si>
    <t>Fontes pontuais: chaminé com tomas de amostragem normalizadas, altura adequada e monitorização pontual conforme o caudal mássico; comunicação dos resultados.</t>
  </si>
  <si>
    <t>Chaminé da estufa de cura da serigrafia (FP1).</t>
  </si>
  <si>
    <t>AA-014</t>
  </si>
  <si>
    <t>Chaminé FP1 com tomas de amostragem normalizadas; exaustão localizada nas máquinas de serigrafia.</t>
  </si>
  <si>
    <t>Relatório de ensaio n.º 2026/03-EF (laboratório acreditado, 18/03/2026): COVT 22 mg C/Nm³, caudal mássico 0,04 kg C/h — abaixo do limiar mássico; próxima monitorização em 2029.</t>
  </si>
  <si>
    <t>Diário da República — DL 39/2018</t>
  </si>
  <si>
    <t>Operador de fonte pontual</t>
  </si>
  <si>
    <t>LEG-13</t>
  </si>
  <si>
    <t>Transporte de resíduos</t>
  </si>
  <si>
    <t>Portaria n.º 145/2017, de 26 de abril (guias eletrónicas e-GAR)</t>
  </si>
  <si>
    <t>Portaria</t>
  </si>
  <si>
    <t>APA / GNR-SEPNA</t>
  </si>
  <si>
    <t>Emitir e-GAR antes de cada transporte de resíduos e confirmar a receção pelo destinatário no SILiAmb.</t>
  </si>
  <si>
    <t>Todos os envios de resíduos da Plasticom.</t>
  </si>
  <si>
    <t>PRS</t>
  </si>
  <si>
    <t>AA-016; AA-026; AA-029</t>
  </si>
  <si>
    <t>Emissão de e-GAR pelo Responsável de Armazém; conferência mensal no SILiAmb.</t>
  </si>
  <si>
    <t>Conferência de novembro/2026: 31 e-GAR emitidas, 31 com receção confirmada (100%).</t>
  </si>
  <si>
    <t>Diário da República — Portaria 145/2017</t>
  </si>
  <si>
    <t>Produtor/expedidor de resíduos</t>
  </si>
  <si>
    <t>LEG-14</t>
  </si>
  <si>
    <t>RAM</t>
  </si>
  <si>
    <t>Responsabilidade ambiental</t>
  </si>
  <si>
    <t>Decreto-Lei n.º 147/2008, de 29 de julho (regime de responsabilidade por danos ambientais)</t>
  </si>
  <si>
    <t>Operadores de atividades do Anexo III: garantia financeira obrigatória e prevenção/reparação de danos ambientais.</t>
  </si>
  <si>
    <t>Atividade não incluída no Anexo III (sem licença ambiental IED nem gestão de resíduos). A responsabilidade subjetiva geral mantém-se.</t>
  </si>
  <si>
    <t>Seguro de responsabilidade ambiental voluntário.</t>
  </si>
  <si>
    <t>Análise de aplicabilidade revista em 10/09/2026: a atividade (CAE 22220) não consta do Anexo III. Apólice voluntária RC-Ambiental n.º 55-0931 válida até 12/2026.</t>
  </si>
  <si>
    <t>Análise documental</t>
  </si>
  <si>
    <t>Diretor Financeiro</t>
  </si>
  <si>
    <t>Diário da República — DL 147/2008</t>
  </si>
  <si>
    <t>Operador fora do anexo III</t>
  </si>
  <si>
    <t>LEG-15</t>
  </si>
  <si>
    <t>LEG</t>
  </si>
  <si>
    <t>Legionella (torres de arrefecimento)</t>
  </si>
  <si>
    <t>Lei n.º 52/2018, de 20 de agosto (regime de prevenção e controlo da doença dos legionários)</t>
  </si>
  <si>
    <t>Lei</t>
  </si>
  <si>
    <t>DGS / Autoridade de saúde / IGAMAOT</t>
  </si>
  <si>
    <t>Plano de prevenção e controlo da Legionella para a torre; registo do equipamento; limpeza e desinfeção periódicas; monitorização de Legionella com laboratório acreditado e ação acima do limiar.</t>
  </si>
  <si>
    <t>Torre de arrefecimento TR-01 (sistema de arrefecimento com aerossolização).</t>
  </si>
  <si>
    <t>AA-023; AA-024</t>
  </si>
  <si>
    <t>Plano de prevenção e controlo (AquaHigiene Lda.); limpeza e desinfeção semestral; Legionella trimestral (tbl_analises do RG-SGA-13).</t>
  </si>
  <si>
    <t>Boletim L26-1207 (07/12/2026): Legionella spp. &lt; 100 UFC/L (limiar de ação 1.000); limpeza e desinfeção semestral a 20/10/2026.</t>
  </si>
  <si>
    <t>Diário da República — Lei 52/2018</t>
  </si>
  <si>
    <t>Proprietário de torre de arrefecimento</t>
  </si>
  <si>
    <t>LEG-16</t>
  </si>
  <si>
    <t>RAP</t>
  </si>
  <si>
    <t>Embalagens — RAP (responsabilidade alargada do produtor)</t>
  </si>
  <si>
    <t>Decreto-Lei n.º 152-D/2017, de 11 de dezembro (UNILEX), alterado pelo DL 102-D/2020 — embalagens e resíduos de embalagens</t>
  </si>
  <si>
    <t>Quem coloca embalagens no mercado nacional (embalador) transfere a responsabilidade pela gestão dos resíduos para um sistema integrado (entidade gestora) ou individual, declara as quantidades e paga a prestação financeira.</t>
  </si>
  <si>
    <t>A Plasticom é embaladora das embalagens de expedição (caixas, filme, paletes) enviadas a clientes em Portugal; os clientes são embaladores das embalagens que enchem (a Plasticom fornece-lhes massa e material por SKU).</t>
  </si>
  <si>
    <t>EXP; ADM</t>
  </si>
  <si>
    <t>Adesão ao sistema integrado de embalagens não urbanas (contrato NU-2021-0342); massas de expedição por mês, país e material em tbl_emb_expedicao (RG-SGA-20).</t>
  </si>
  <si>
    <t>Declaração anual de 2025 submetida à entidade gestora em 26/02/2026 e prestação financeira paga; massas de 2026 calculadas a partir das vendas (RG-SGA-20).</t>
  </si>
  <si>
    <t>https://diariodarepublica.pt/dr/legislacao-consolidada/decreto-lei/2017-114337039</t>
  </si>
  <si>
    <t>Embalador (embalagens de expedição)</t>
  </si>
  <si>
    <t>PT-001; PT-003; EU-ENV-016</t>
  </si>
  <si>
    <t>LEG-17</t>
  </si>
  <si>
    <t>FCM</t>
  </si>
  <si>
    <t>Contacto alimentar (FCM)</t>
  </si>
  <si>
    <t>Regulamentos (CE) 1935/2004 e 2023/2006 e (UE) 10/2011 e 2022/1616 — materiais plásticos em contacto com alimentos</t>
  </si>
  <si>
    <t>ASAE / DGAV</t>
  </si>
  <si>
    <t>Materiais inertes nas condições de uso; boas práticas de fabrico; só substâncias da lista da União; limites de migração; declaração de conformidade (anexo IV); reciclado só de processos autorizados.</t>
  </si>
  <si>
    <t>Linha alimentar (frascos FA-030/031 e tampas TA-014) em HDPE-FG e PP-FG, sem plástico reciclado.</t>
  </si>
  <si>
    <t>RD; LAB; INJ; SOP</t>
  </si>
  <si>
    <t>Declarações de conformidade (anexo IV do Reg. 10/2011), ensaios de migração, BPF no sistema de qualidade, declaração PFAS do fornecedor SUP-010.</t>
  </si>
  <si>
    <t>Ensaios de migração global e específica de 03/2026 (laboratório acreditado) conformes; declaração de conformidade emitida para 4 frascos e 2 tampas; declaração PFAS SUP-010 (07/2026). Falta auditoria interna específica de BPF (Reg. 2023/2006).</t>
  </si>
  <si>
    <t>Gerente da Qualidade</t>
  </si>
  <si>
    <t>https://eur-lex.europa.eu/eli/reg/2011/10/oj</t>
  </si>
  <si>
    <t>Fabricante de materiais em contacto com alimentos</t>
  </si>
  <si>
    <t>FCM-001; FCM-002; FCM-003; FCM-004; FCM-005; EU-ENV-012</t>
  </si>
  <si>
    <t>LEG-18</t>
  </si>
  <si>
    <t>ALE</t>
  </si>
  <si>
    <t>Alegações ambientais</t>
  </si>
  <si>
    <t>Diretiva (UE) 2024/825 (capacitação dos consumidores para a transição ecológica) — aplicável a partir de 27/09/2026; confirmar a transposição nacional</t>
  </si>
  <si>
    <t>Diretiva UE</t>
  </si>
  <si>
    <t>DGC / ASAE</t>
  </si>
  <si>
    <t>Proíbe alegações ambientais genéricas sem desempenho reconhecido, alegações de neutralidade baseadas em compensações e alegações sobre o produto inteiro quando só se aplicam a uma parte.</t>
  </si>
  <si>
    <t>A Plasticom comunica alegações (site, catálogo, fichas técnicas) que chegam ao consumidor através dos clientes.</t>
  </si>
  <si>
    <t>ADM; RD</t>
  </si>
  <si>
    <t>PR-SGA-14; registo de alegações tbl_alegacoes (RG-SGA-20) com evidência e estado.</t>
  </si>
  <si>
    <t>Alegações proibidas retiradas do site e do catálogo a 29/09/2026 (PAM-26-27); formação da equipa comercial a 15/10/2026.</t>
  </si>
  <si>
    <t>PAM-26-27</t>
  </si>
  <si>
    <t>Diretor Geral (Gestão de Topo)</t>
  </si>
  <si>
    <t>https://eur-lex.europa.eu/eli/dir/2024/825/oj</t>
  </si>
  <si>
    <t>Autor de comunicações comerciais</t>
  </si>
  <si>
    <t>EU-ENV-018; COS-005</t>
  </si>
  <si>
    <t>LEG-19</t>
  </si>
  <si>
    <t>SUP</t>
  </si>
  <si>
    <t>Plásticos de utilização única</t>
  </si>
  <si>
    <t>Diretiva (UE) 2019/904 (SUP) e Decreto-Lei n.º 78/2021, de 24 de setembro</t>
  </si>
  <si>
    <t>Recipientes para bebidas até 3 L com tampas de plástico têm de ter tampas presas; recipientes para alimentos de consumo imediato com medidas de redução e RAP.</t>
  </si>
  <si>
    <t>Condicional</t>
  </si>
  <si>
    <t>Só se os frascos alimentares FA-030/031 forem usados para bebidas — as tampas TA-014 teriam de ser presas (tethered).</t>
  </si>
  <si>
    <t>RD</t>
  </si>
  <si>
    <t>Pedido de declaração de utilização aos clientes CUST-015 e CUST-016.</t>
  </si>
  <si>
    <t>Declarações de utilização recebidas a 04/12/2026 (PAM-26-26): CUST-015/016 não usam os frascos para bebidas — requisito não aplicável aos SKUs atuais.</t>
  </si>
  <si>
    <t>PAM-26-26</t>
  </si>
  <si>
    <t>https://eur-lex.europa.eu/eli/dir/2019/904/oj</t>
  </si>
  <si>
    <t>Necessita verificação</t>
  </si>
  <si>
    <t>Fabricante de tampas (condicional)</t>
  </si>
  <si>
    <t>EU-ENV-007; PT-006</t>
  </si>
  <si>
    <t>LEG-20</t>
  </si>
  <si>
    <t>CLI</t>
  </si>
  <si>
    <t>Outros requisitos (clientes / voluntários)</t>
  </si>
  <si>
    <t>Requisitos de clientes: acordos de qualidade farmacêuticos (Diretiva 2001/83/CE, EudraLex vol. 4, guideline EMA de materiais plásticos) e cosméticos (Reg. (CE) 1223/2009)</t>
  </si>
  <si>
    <t>Requisito de cliente</t>
  </si>
  <si>
    <t>Contratual</t>
  </si>
  <si>
    <t>Clientes (auditorias de fornecedor)</t>
  </si>
  <si>
    <t>Fornecer especificações e composição, notificar alterações de material/processo, permitir auditorias, cumprir a Farmacopeia Europeia (PP-PG, PET-PG) e as especificações de embalagem primária.</t>
  </si>
  <si>
    <t>Fornecedor de acondicionamento primário a CUST-017/018 (farmacêutico) e a clientes de cosmética e higiene.</t>
  </si>
  <si>
    <t>RD; LAB; CMP</t>
  </si>
  <si>
    <t>Acordos de qualidade; controlo de alterações notificado ao cliente (RG-SGA-18); especificações aprovadas.</t>
  </si>
  <si>
    <t>Auditoria de CUST-017 (14/05/2026) sem NC maiores; falta a carta de acesso ao DMF do PET-PG (fornecedor SUP-009).</t>
  </si>
  <si>
    <t>Contratos e acordos de qualidade</t>
  </si>
  <si>
    <t>Requisito contratual</t>
  </si>
  <si>
    <t>Fornecedor de acondicionamento primário</t>
  </si>
  <si>
    <t>COS-001; COS-002; COS-003; COS-004; PHAR-001; PHAR-003; PHAR-004; PHAR-005</t>
  </si>
  <si>
    <t>LEG-21</t>
  </si>
  <si>
    <t>VOL</t>
  </si>
  <si>
    <t>Compromissos voluntários de produto: diretrizes RecyClass (DfR), EN 15343, ISO 14021, ISO 14067, ISO 11469 (política POL-04)</t>
  </si>
  <si>
    <t>Norma voluntária</t>
  </si>
  <si>
    <t>Organismos de certificação / clientes</t>
  </si>
  <si>
    <t>Avaliar a reciclabilidade de todos os SKUs, comprovar o conteúdo reciclado com certificados EN 15343 e só fazer alegações comprovadas.</t>
  </si>
  <si>
    <t>Compromisso da política ambiental (POL-04) e pedidos de 7 de 9 grandes clientes.</t>
  </si>
  <si>
    <t>RD; CMP; ADM</t>
  </si>
  <si>
    <t>Autoavaliação RecyClass por SKU (RG-SGA-20 tbl_recyclass); certificados dos fornecedores de PCR (tbl_certificados_pcr).</t>
  </si>
  <si>
    <t>Controlo de 18/12/2026 (PAM-26-25): certificados EN 15343 válidos para 100% dos lotes de PCR em uso; CERT-03 substituído.</t>
  </si>
  <si>
    <t>PAM-26-25</t>
  </si>
  <si>
    <t>https://recyclass.eu</t>
  </si>
  <si>
    <t>Organização (compromisso voluntário)</t>
  </si>
  <si>
    <t>ISO-001; ISO-002; ISO-003; ISO-004; ISO-007; ISO-008; ISO-009; ISO-010; ISO-011; ISO-012; ISO-013; ISO-014</t>
  </si>
  <si>
    <t>LEG-22</t>
  </si>
  <si>
    <t>Decreto-Lei n.º 24/2012 (agentes químicos) e Decreto-Lei n.º 301/2000 na redação do DL 102/2024 (cancerígenos, mutagénicos e reprotóxicos) — SST integrada na gestão de químicos</t>
  </si>
  <si>
    <t>ACT</t>
  </si>
  <si>
    <t>Avaliar e registar o risco de todos os agentes químicos (incl. gerados no processo); cumprir VLE e medir quando necessário; substituir CMR/reprotóxicos 1A/1B; lista de trabalhadores expostos; vigilância da saúde; informação e formação.</t>
  </si>
  <si>
    <t>Empregador com agentes químicos perigosos (tintas, solventes, aerossóis, biocidas) e uma tinta UV reprotóxica (Repr. 1B).</t>
  </si>
  <si>
    <t>SER; MAN; UTL; LAB; SOP</t>
  </si>
  <si>
    <t>AA-014; AA-015</t>
  </si>
  <si>
    <t>Avaliação de risco químico por tarefa e medições NP EN 689 no RG-SGA-21 (tbl_risco_quimico, tbl_medicoes_vle); procedimento PR-SGA-16.</t>
  </si>
  <si>
    <t>Avaliação de 24/09/2026 (RG-SGA-21): 21 tarefas avaliadas, 5 de prioridade P1; 5 produtos perigosos sem avaliação; lista de trabalhadores expostos a reprotóxicos inexistente (tinta UV QUI-002); medições de 11/2025 conformes na SS-002 e inconclusivas na SS-001.</t>
  </si>
  <si>
    <t>Registo / avaliação</t>
  </si>
  <si>
    <t>PAM-26-29</t>
  </si>
  <si>
    <t>https://diariodarepublica.pt/dr/detalhe/decreto-lei/102-2024-898867718</t>
  </si>
  <si>
    <t>Obrigação legal (SST — gestão integrada de químicos)</t>
  </si>
  <si>
    <t>Empregador (agentes químicos e CMR)</t>
  </si>
  <si>
    <t>ID_Obrigacao</t>
  </si>
  <si>
    <t>Obrigacao</t>
  </si>
  <si>
    <t>Frequencia</t>
  </si>
  <si>
    <t>Prazo_Proximo</t>
  </si>
  <si>
    <t>Ultimo_Cumprimento</t>
  </si>
  <si>
    <t>Evidencia</t>
  </si>
  <si>
    <t>Dias_ate_Prazo</t>
  </si>
  <si>
    <t>OBR-01</t>
  </si>
  <si>
    <t>Submeter o MIRR do ano anterior no SILiAmb</t>
  </si>
  <si>
    <t>Anual</t>
  </si>
  <si>
    <t>Comprovativo MIRR-2025-PLA-0417</t>
  </si>
  <si>
    <t>OBR-02</t>
  </si>
  <si>
    <t>Emitir e-GAR antes de cada transporte e confirmar receção</t>
  </si>
  <si>
    <t>Por ocorrência</t>
  </si>
  <si>
    <t>e-GAR de dezembro (conferência mensal)</t>
  </si>
  <si>
    <t>OBR-03</t>
  </si>
  <si>
    <t>Autocontrolo analítico semestral do efluente</t>
  </si>
  <si>
    <t>Semestral</t>
  </si>
  <si>
    <t>Boletim 26/2410</t>
  </si>
  <si>
    <t>OBR-04</t>
  </si>
  <si>
    <t>Controlo de fugas do chiller CH-01 (≥ 50 tCO2e)</t>
  </si>
  <si>
    <t>Relatório de controlo de fugas 11/2026 (sem fugas)</t>
  </si>
  <si>
    <t>OBR-05</t>
  </si>
  <si>
    <t>Relatório de execução e progresso do ARCE (SGCIE)</t>
  </si>
  <si>
    <t>Bienal</t>
  </si>
  <si>
    <t>Submissão SGCIE 28/04/2026</t>
  </si>
  <si>
    <t>OBR-06</t>
  </si>
  <si>
    <t>Auditoria energética SGCIE</t>
  </si>
  <si>
    <t>Octenal</t>
  </si>
  <si>
    <t>Relatório de auditoria energética 2022</t>
  </si>
  <si>
    <t>OBR-07</t>
  </si>
  <si>
    <t>Monitorização pontual da chaminé FP1</t>
  </si>
  <si>
    <t>Trienal</t>
  </si>
  <si>
    <t>Relatório 2026/03-EF</t>
  </si>
  <si>
    <t>OBR-08</t>
  </si>
  <si>
    <t>Avaliação acústica após alteração dos compressores</t>
  </si>
  <si>
    <t>Relatório AC-2026-112 (conforme)</t>
  </si>
  <si>
    <t>OBR-09</t>
  </si>
  <si>
    <t>Simulacro de emergência (medidas de autoproteção)</t>
  </si>
  <si>
    <t>Relatórios de simulacro 26/11 e 11/12/2026</t>
  </si>
  <si>
    <t>OBR-10</t>
  </si>
  <si>
    <t>Análise trimestral de Legionella na torre TR-01</t>
  </si>
  <si>
    <t>Trimestral</t>
  </si>
  <si>
    <t>Boletim L26-1207</t>
  </si>
  <si>
    <t>OBR-14</t>
  </si>
  <si>
    <t>Manutenção anual de extintores e RIA</t>
  </si>
  <si>
    <t>Relatório da empresa de manutenção</t>
  </si>
  <si>
    <t>OBR-11</t>
  </si>
  <si>
    <t>Revisão do inventário de químicos e das FDS (e pedido de confirmação das FDS com mais de 36 meses)</t>
  </si>
  <si>
    <t>RG-SGA-21 Inventario e FDS_Verificacao</t>
  </si>
  <si>
    <t>OBR-12</t>
  </si>
  <si>
    <t>Declaração UE de conformidade PPWR por família de embalagem</t>
  </si>
  <si>
    <t>Em curso: 17/22 famílias concluídas (PAM-26-10 concluída; 5 famílias em 2027)</t>
  </si>
  <si>
    <t>OBR-13</t>
  </si>
  <si>
    <t>Balanço anual de solventes (confirmar não aplicabilidade)</t>
  </si>
  <si>
    <t>BAL-SOLV-2026</t>
  </si>
  <si>
    <t>OBR-15</t>
  </si>
  <si>
    <t>Declaração anual das embalagens de expedição à entidade gestora (SIGRE)</t>
  </si>
  <si>
    <t>Declaração 2025 (26/02/2026)</t>
  </si>
  <si>
    <t>OBR-16</t>
  </si>
  <si>
    <t>Reavaliação anual da reciclabilidade por SKU (RecyClass / graus PPWR)</t>
  </si>
  <si>
    <t>RG-SGA-20 tbl_recyclass</t>
  </si>
  <si>
    <t>OBR-17</t>
  </si>
  <si>
    <t>Rever declarações de conformidade FCM (alteração de material ou legislação)</t>
  </si>
  <si>
    <t>DoC anexo IV + ensaios de migração 03/2026</t>
  </si>
  <si>
    <t>OBR-18</t>
  </si>
  <si>
    <t>Retirar alegações proibidas antes da aplicação da Diretiva 2024/825</t>
  </si>
  <si>
    <t>Alegações retiradas a 29/09/2026 (PAM-26-27)</t>
  </si>
  <si>
    <t>OBR-19</t>
  </si>
  <si>
    <t>Verificar a atualização da lista candidata SVHC (ECHA: janeiro e junho), atualizar o parâmetro P-01 e rever SVHC nas embalagens (art. 33.º / SCIP)</t>
  </si>
  <si>
    <t>Lista candidata de junho/2026 verificada; P-01 atualizado</t>
  </si>
  <si>
    <t>OBR-20</t>
  </si>
  <si>
    <t>Relatório anual à ECHA das libertações estimadas de granulado (REACH anexo XVII, entrada 78)</t>
  </si>
  <si>
    <t>Submissão REACH-IT (dados de 2025)</t>
  </si>
  <si>
    <t>OBR-21</t>
  </si>
  <si>
    <t>Renovar as declarações SVHC/PFAS/metais/BPA/FCM dos fornecedores</t>
  </si>
  <si>
    <t>RG-SGA-21 tbl_declaracoes</t>
  </si>
  <si>
    <t>Responsável de Compras</t>
  </si>
  <si>
    <t>OBR-22</t>
  </si>
  <si>
    <t>Rever a avaliação de riscos químicos (e sempre que houver alteração)</t>
  </si>
  <si>
    <t>RG-SGA-21 tbl_risco_quimico</t>
  </si>
  <si>
    <t>OBR-23</t>
  </si>
  <si>
    <t>Medição da exposição a COV na serigrafia (NP EN 689)</t>
  </si>
  <si>
    <t>Relatório de medição NP EN 689 (19/11/2026)</t>
  </si>
  <si>
    <t>OBR-24</t>
  </si>
  <si>
    <t>Verificação Seveso — regra da soma com o stock máximo do inventário (DL 150/2015)</t>
  </si>
  <si>
    <t>RG-SGA-21 Seveso</t>
  </si>
  <si>
    <t>OBR-25</t>
  </si>
  <si>
    <t>Renovar a formação em diisocianatos (5 anos — anexo XVII, entrada 74)</t>
  </si>
  <si>
    <t>Quinquenal</t>
  </si>
  <si>
    <t>RG-SGA-08 FOR-13</t>
  </si>
  <si>
    <t>Responsável de Recursos Humanos</t>
  </si>
  <si>
    <t>OBR-26</t>
  </si>
  <si>
    <t>Notificar as instalações e emitir a declaração de conformidade (&lt; 1.500 t/ano) — Reg. (UE) 2025/2365</t>
  </si>
  <si>
    <t>OBR-27</t>
  </si>
  <si>
    <t>Vigilância da saúde dos trabalhadores expostos a sensibilizantes e CMR</t>
  </si>
  <si>
    <t>Fichas de aptidão (medicina do trabalho)</t>
  </si>
  <si>
    <t>OBR-28</t>
  </si>
  <si>
    <t>Criar e rever a lista de trabalhadores expostos a CMR/reprotóxicos (DL 301/2000)</t>
  </si>
  <si>
    <t>Lista de expostos a CMR criada (12/11/2026)</t>
  </si>
  <si>
    <t>OBR-29</t>
  </si>
  <si>
    <t>Acompanhar prazos CLP (Reg. 2023/707 — novas classes; Reg. 2025/2439 — rótulos) e alterações aos anexos do REACH</t>
  </si>
  <si>
    <t>Revisão CLP/REACH de 14/10/2026</t>
  </si>
  <si>
    <t>OBR-30</t>
  </si>
  <si>
    <t>Confirmar a validade da autorização do biocida da torre (Reg. (UE) 528/2012)</t>
  </si>
  <si>
    <t>RG-SGA-21 FDS-036; rótulo com n.º de autorização</t>
  </si>
  <si>
    <t>Ciclo</t>
  </si>
  <si>
    <t>2025</t>
  </si>
  <si>
    <t>2026</t>
  </si>
  <si>
    <t>Em avaliação</t>
  </si>
  <si>
    <t>PLASTICOM</t>
  </si>
  <si>
    <t>TABELA DE IDENTIFICAÇÃO DE REQUISITOS LEGAIS E AVALIAÇÃO DA CONFORMIDADE</t>
  </si>
  <si>
    <t>Mod. G.06.02</t>
  </si>
  <si>
    <t>Plasticom — Unidade 1 (Marinha Grande, Portugal) · NP EN ISO 14001:2026</t>
  </si>
  <si>
    <t>Rev. 01 · 31/12/2026</t>
  </si>
  <si>
    <t>Código / Tema</t>
  </si>
  <si>
    <t>Diploma / Documento</t>
  </si>
  <si>
    <t>Resumo / Obrigações</t>
  </si>
  <si>
    <t>Disposições Internas</t>
  </si>
  <si>
    <t>Avaliação da Conformidade (EVIDÊNCIA)</t>
  </si>
  <si>
    <t>Estado (C/NC)</t>
  </si>
  <si>
    <t>Síntese</t>
  </si>
  <si>
    <t>LISTAS CONTROLADAS (domínios de validação de dados) — editar aqui para alterar opções</t>
  </si>
  <si>
    <t>DataReferencia</t>
  </si>
  <si>
    <t>TipoDiploma</t>
  </si>
  <si>
    <t>Natureza</t>
  </si>
  <si>
    <t>TipoEvidencia</t>
  </si>
  <si>
    <t>Funcao</t>
  </si>
  <si>
    <t>Norma técnica de suporte</t>
  </si>
  <si>
    <t>Mensal</t>
  </si>
  <si>
    <t>Municipal</t>
  </si>
  <si>
    <t>Gerente de Produção</t>
  </si>
  <si>
    <t>Regulamento municipal</t>
  </si>
  <si>
    <t>Licença / autorização</t>
  </si>
  <si>
    <t>Operador de Serigrafia</t>
  </si>
  <si>
    <t>Operador de Injeção</t>
  </si>
  <si>
    <t>Operador de Sopro (ISBM)</t>
  </si>
  <si>
    <t>Operador de Hot Foil</t>
  </si>
  <si>
    <t>Técnico de Manutenção</t>
  </si>
  <si>
    <t>Técnico de Utilidades</t>
  </si>
  <si>
    <t>Operador de Armazém / Empilhador</t>
  </si>
  <si>
    <t>Chefe de Turno</t>
  </si>
  <si>
    <t>Auditor Interno do SGA</t>
  </si>
  <si>
    <t>Representante dos Trabalhadores (SST/Ambiente)</t>
  </si>
  <si>
    <t>Técnico de Qualidade/Ambiente</t>
  </si>
  <si>
    <t>Folha</t>
  </si>
  <si>
    <t>Tabela</t>
  </si>
  <si>
    <t>Coluna</t>
  </si>
  <si>
    <t>Tipo</t>
  </si>
  <si>
    <t>Origem</t>
  </si>
  <si>
    <t>Descricao</t>
  </si>
  <si>
    <t>Dominio_Unidade</t>
  </si>
  <si>
    <t>Obrigatorio</t>
  </si>
  <si>
    <t>Chave</t>
  </si>
  <si>
    <t>tbl_legal</t>
  </si>
  <si>
    <t>Texto</t>
  </si>
  <si>
    <t>Entrada</t>
  </si>
  <si>
    <t>Identificador do requisito.</t>
  </si>
  <si>
    <t>LEG-nn</t>
  </si>
  <si>
    <t>PK</t>
  </si>
  <si>
    <t>Código do tema (Mod.G.06.02 'Código / Tema').</t>
  </si>
  <si>
    <t>Tema ambiental.</t>
  </si>
  <si>
    <t>Lista lst_Tema</t>
  </si>
  <si>
    <t>N.º do diploma, ano e data.</t>
  </si>
  <si>
    <t>Tipo de documento legal.</t>
  </si>
  <si>
    <t>Lista lst_TipoDiploma</t>
  </si>
  <si>
    <t>Data (aaaa-mm-dd)</t>
  </si>
  <si>
    <t>Data de publicação.</t>
  </si>
  <si>
    <t>Âmbito geográfico.</t>
  </si>
  <si>
    <t>Lista lst_Ambito</t>
  </si>
  <si>
    <t>Entidade competente/fiscalizadora.</t>
  </si>
  <si>
    <t>O que a lei obriga a fazer.</t>
  </si>
  <si>
    <t>Sim / Não / Futuro (aplicável a partir de data futura).</t>
  </si>
  <si>
    <t>Lista lst_Aplicabilidade</t>
  </si>
  <si>
    <t>Porque é (ou não é) aplicável — limiares, características da instalação.</t>
  </si>
  <si>
    <t>Processos afetados (códigos).</t>
  </si>
  <si>
    <t>Aspetos ambientais regulados.</t>
  </si>
  <si>
    <t>FK → RG-SGA-03</t>
  </si>
  <si>
    <t>O que está instalado/implementado para cumprir.</t>
  </si>
  <si>
    <t>Frase técnica com a evidência objetiva (documento, número, data, valor vs limite).</t>
  </si>
  <si>
    <t>Tipo de evidência.</t>
  </si>
  <si>
    <t>Lista lst_TipoEvidencia</t>
  </si>
  <si>
    <t>Data da evidência.</t>
  </si>
  <si>
    <t>C conforme; NC não conforme; Futuro (ainda não exigível).</t>
  </si>
  <si>
    <t>Lista lst_Estado</t>
  </si>
  <si>
    <t>Data da avaliação da conformidade.</t>
  </si>
  <si>
    <t>Inteiro</t>
  </si>
  <si>
    <t>Periodicidade da avaliação (meses).</t>
  </si>
  <si>
    <t>Calculado (fórmula)</t>
  </si>
  <si>
    <t>Data da próxima avaliação.</t>
  </si>
  <si>
    <t>Dias desde a evidência até à data de referência (2026-12-31).</t>
  </si>
  <si>
    <t>Alerta automático de gestão.</t>
  </si>
  <si>
    <t>Ação no PAM quando NC.</t>
  </si>
  <si>
    <t>FK → RG-SGA-06</t>
  </si>
  <si>
    <t>Responsável pelo cumprimento.</t>
  </si>
  <si>
    <t>Lista lst_Funcao</t>
  </si>
  <si>
    <t>Fonte oficial (Diário da República, EUR-Lex).</t>
  </si>
  <si>
    <t>Obrigação legal / norma técnica de suporte / requisito contratual / norma voluntária / necessita verificação.</t>
  </si>
  <si>
    <t>Lista lst_Natureza</t>
  </si>
  <si>
    <t>Papel jurídico da Plasticom face ao requisito.</t>
  </si>
  <si>
    <t>Requisitos detalhados na matriz de embalagens (RG-SGA-20 tbl_requisitos_emb).</t>
  </si>
  <si>
    <t>FK → RG-SGA-20</t>
  </si>
  <si>
    <t>tbl_obrigacoes</t>
  </si>
  <si>
    <t>Identificador da obrigação recorrente.</t>
  </si>
  <si>
    <t>Requisito de origem.</t>
  </si>
  <si>
    <t>FK → tbl_legal</t>
  </si>
  <si>
    <t>O que tem de ser feito.</t>
  </si>
  <si>
    <t>Periodicidade.</t>
  </si>
  <si>
    <t>Lista lst_Frequencia</t>
  </si>
  <si>
    <t>Próximo prazo legal.</t>
  </si>
  <si>
    <t>Data do último cumprimento.</t>
  </si>
  <si>
    <t>Referência da evidência.</t>
  </si>
  <si>
    <t>Responsável.</t>
  </si>
  <si>
    <t>Dias até ao prazo (negativo = vencido).</t>
  </si>
  <si>
    <t>Estado calculado face à data de referência.</t>
  </si>
  <si>
    <t>tbl_hist_conformidade</t>
  </si>
  <si>
    <t>Requisito.</t>
  </si>
  <si>
    <t>Ano do ciclo de avaliação.</t>
  </si>
  <si>
    <t>Data.</t>
  </si>
  <si>
    <t>Resultado da avaliação.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</si>
</sst>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6"/>
      <color rgb="FF1F4E5F"/>
      <name val="Arial"/>
    </font>
    <font>
      <b/>
      <sz val="13"/>
      <color rgb="FF0F2F3A"/>
      <name val="Arial"/>
    </font>
    <font>
      <b/>
      <sz val="10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3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  <border>
      <left/>
      <right/>
      <top/>
      <bottom style="medium">
        <color rgb="FF1F4E5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7" fillId="5" borderId="0" xfId="0" applyFont="1" applyFill="1"/>
    <xf numFmtId="0" fontId="0" fillId="5" borderId="0" xfId="0" applyFill="1"/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0" fillId="0" borderId="2" xfId="0" applyBorder="1"/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22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egal" displayName="tbl_legal" ref="A4:AC26">
  <autoFilter ref="A4:AC26" xr:uid="{00000000-0009-0000-0100-000001000000}"/>
  <tableColumns count="29">
    <tableColumn id="1" xr3:uid="{00000000-0010-0000-0000-000001000000}" name="ID_Legal"/>
    <tableColumn id="2" xr3:uid="{00000000-0010-0000-0000-000002000000}" name="Codigo_Tema"/>
    <tableColumn id="3" xr3:uid="{00000000-0010-0000-0000-000003000000}" name="Tema"/>
    <tableColumn id="4" xr3:uid="{00000000-0010-0000-0000-000004000000}" name="Diploma_Documento"/>
    <tableColumn id="5" xr3:uid="{00000000-0010-0000-0000-000005000000}" name="Tipo_Diploma"/>
    <tableColumn id="6" xr3:uid="{00000000-0010-0000-0000-000006000000}" name="Data_Publicacao"/>
    <tableColumn id="7" xr3:uid="{00000000-0010-0000-0000-000007000000}" name="Ambito"/>
    <tableColumn id="8" xr3:uid="{00000000-0010-0000-0000-000008000000}" name="Entidade_Fiscalizadora"/>
    <tableColumn id="9" xr3:uid="{00000000-0010-0000-0000-000009000000}" name="Resumo_Obrigacoes"/>
    <tableColumn id="10" xr3:uid="{00000000-0010-0000-0000-00000A000000}" name="Aplicabilidade"/>
    <tableColumn id="11" xr3:uid="{00000000-0010-0000-0000-00000B000000}" name="Justificacao_Aplicabilidade"/>
    <tableColumn id="12" xr3:uid="{00000000-0010-0000-0000-00000C000000}" name="Processos"/>
    <tableColumn id="13" xr3:uid="{00000000-0010-0000-0000-00000D000000}" name="IDs_Aspetos"/>
    <tableColumn id="14" xr3:uid="{00000000-0010-0000-0000-00000E000000}" name="Disposicoes_Internas"/>
    <tableColumn id="15" xr3:uid="{00000000-0010-0000-0000-00000F000000}" name="Avaliacao_Conformidade_Evidencia"/>
    <tableColumn id="16" xr3:uid="{00000000-0010-0000-0000-000010000000}" name="Tipo_Evidencia"/>
    <tableColumn id="17" xr3:uid="{00000000-0010-0000-0000-000011000000}" name="Data_Evidencia"/>
    <tableColumn id="18" xr3:uid="{00000000-0010-0000-0000-000012000000}" name="Estado"/>
    <tableColumn id="19" xr3:uid="{00000000-0010-0000-0000-000013000000}" name="Data_Avaliacao"/>
    <tableColumn id="20" xr3:uid="{00000000-0010-0000-0000-000014000000}" name="Periodicidade_Meses"/>
    <tableColumn id="21" xr3:uid="{00000000-0010-0000-0000-000015000000}" name="Proxima_Avaliacao"/>
    <tableColumn id="22" xr3:uid="{00000000-0010-0000-0000-000016000000}" name="Idade_Evidencia_Dias"/>
    <tableColumn id="23" xr3:uid="{00000000-0010-0000-0000-000017000000}" name="Alerta"/>
    <tableColumn id="24" xr3:uid="{00000000-0010-0000-0000-000018000000}" name="ID_PAM"/>
    <tableColumn id="25" xr3:uid="{00000000-0010-0000-0000-000019000000}" name="Responsavel"/>
    <tableColumn id="26" xr3:uid="{00000000-0010-0000-0000-00001A000000}" name="Fonte_Oficial"/>
    <tableColumn id="27" xr3:uid="{00000000-0010-0000-0000-00001B000000}" name="Natureza_Obrigacao"/>
    <tableColumn id="28" xr3:uid="{00000000-0010-0000-0000-00001C000000}" name="Papel_Plasticom"/>
    <tableColumn id="29" xr3:uid="{00000000-0010-0000-0000-00001D000000}" name="IDs_Req_Embalage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obrigacoes" displayName="tbl_obrigacoes" ref="A1:J31">
  <autoFilter ref="A1:J31" xr:uid="{00000000-0009-0000-0100-000002000000}"/>
  <tableColumns count="10">
    <tableColumn id="1" xr3:uid="{00000000-0010-0000-0100-000001000000}" name="ID_Obrigacao"/>
    <tableColumn id="2" xr3:uid="{00000000-0010-0000-0100-000002000000}" name="ID_Legal"/>
    <tableColumn id="3" xr3:uid="{00000000-0010-0000-0100-000003000000}" name="Obrigacao"/>
    <tableColumn id="4" xr3:uid="{00000000-0010-0000-0100-000004000000}" name="Frequencia"/>
    <tableColumn id="5" xr3:uid="{00000000-0010-0000-0100-000005000000}" name="Prazo_Proximo"/>
    <tableColumn id="6" xr3:uid="{00000000-0010-0000-0100-000006000000}" name="Ultimo_Cumprimento"/>
    <tableColumn id="7" xr3:uid="{00000000-0010-0000-0100-000007000000}" name="Evidencia"/>
    <tableColumn id="8" xr3:uid="{00000000-0010-0000-0100-000008000000}" name="Responsavel"/>
    <tableColumn id="9" xr3:uid="{00000000-0010-0000-0100-000009000000}" name="Dias_ate_Prazo"/>
    <tableColumn id="10" xr3:uid="{00000000-0010-0000-0100-00000A000000}" name="Estad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hist_conformidade" displayName="tbl_hist_conformidade" ref="A1:D45">
  <autoFilter ref="A1:D45" xr:uid="{00000000-0009-0000-0100-000003000000}"/>
  <tableColumns count="4">
    <tableColumn id="1" xr3:uid="{00000000-0010-0000-0200-000001000000}" name="ID_Legal"/>
    <tableColumn id="2" xr3:uid="{00000000-0010-0000-0200-000002000000}" name="Ciclo"/>
    <tableColumn id="3" xr3:uid="{00000000-0010-0000-0200-000003000000}" name="Data_Avaliacao"/>
    <tableColumn id="4" xr3:uid="{00000000-0010-0000-0200-000004000000}" name="Estad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cionario" displayName="tbl_dicionario" ref="A1:I44">
  <autoFilter ref="A1:I44" xr:uid="{00000000-0009-0000-0100-000004000000}"/>
  <tableColumns count="9">
    <tableColumn id="1" xr3:uid="{00000000-0010-0000-0300-000001000000}" name="Folha"/>
    <tableColumn id="2" xr3:uid="{00000000-0010-0000-0300-000002000000}" name="Tabela"/>
    <tableColumn id="3" xr3:uid="{00000000-0010-0000-0300-000003000000}" name="Coluna"/>
    <tableColumn id="4" xr3:uid="{00000000-0010-0000-0300-000004000000}" name="Tipo"/>
    <tableColumn id="5" xr3:uid="{00000000-0010-0000-0300-000005000000}" name="Origem"/>
    <tableColumn id="6" xr3:uid="{00000000-0010-0000-0300-000006000000}" name="Descricao"/>
    <tableColumn id="7" xr3:uid="{00000000-0010-0000-0300-000007000000}" name="Dominio_Unidade"/>
    <tableColumn id="8" xr3:uid="{00000000-0010-0000-0300-000008000000}" name="Obrigatorio"/>
    <tableColumn id="9" xr3:uid="{00000000-0010-0000-03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39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8" spans="1:2" x14ac:dyDescent="0.3">
      <c r="A28" s="3" t="s">
        <v>40</v>
      </c>
      <c r="B28" s="4"/>
    </row>
    <row r="29" spans="1:2" ht="26.4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ht="26.4" x14ac:dyDescent="0.3">
      <c r="A32" s="5" t="s">
        <v>47</v>
      </c>
      <c r="B32" s="6" t="s">
        <v>48</v>
      </c>
    </row>
    <row r="33" spans="1:2" ht="26.4" x14ac:dyDescent="0.3">
      <c r="A33" s="5" t="s">
        <v>49</v>
      </c>
      <c r="B33" s="6" t="s">
        <v>50</v>
      </c>
    </row>
    <row r="34" spans="1:2" ht="26.4" x14ac:dyDescent="0.3">
      <c r="A34" s="5" t="s">
        <v>51</v>
      </c>
      <c r="B34" s="6" t="s">
        <v>52</v>
      </c>
    </row>
    <row r="36" spans="1:2" x14ac:dyDescent="0.3">
      <c r="A36" s="3" t="s">
        <v>53</v>
      </c>
      <c r="B36" s="4"/>
    </row>
    <row r="37" spans="1:2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26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8" customWidth="1"/>
    <col min="3" max="3" width="22" customWidth="1"/>
    <col min="4" max="4" width="42" customWidth="1"/>
    <col min="5" max="5" width="14" customWidth="1"/>
    <col min="6" max="6" width="11" customWidth="1"/>
    <col min="7" max="7" width="12" customWidth="1"/>
    <col min="8" max="8" width="18" customWidth="1"/>
    <col min="9" max="9" width="55" customWidth="1"/>
    <col min="10" max="10" width="10" customWidth="1"/>
    <col min="11" max="11" width="38" customWidth="1"/>
    <col min="12" max="12" width="14" customWidth="1"/>
    <col min="13" max="13" width="18" customWidth="1"/>
    <col min="14" max="14" width="44" customWidth="1"/>
    <col min="15" max="15" width="60" customWidth="1"/>
    <col min="16" max="16" width="16" customWidth="1"/>
    <col min="17" max="17" width="11" customWidth="1"/>
    <col min="18" max="18" width="7" customWidth="1"/>
    <col min="19" max="19" width="11" customWidth="1"/>
    <col min="20" max="20" width="9" customWidth="1"/>
    <col min="21" max="21" width="11" customWidth="1"/>
    <col min="22" max="22" width="10" customWidth="1"/>
    <col min="23" max="23" width="22" customWidth="1"/>
    <col min="24" max="24" width="10" customWidth="1"/>
    <col min="25" max="25" width="26" customWidth="1"/>
    <col min="26" max="26" width="30" customWidth="1"/>
    <col min="27" max="27" width="18" customWidth="1"/>
    <col min="28" max="28" width="30" customWidth="1"/>
    <col min="29" max="29" width="34" customWidth="1"/>
  </cols>
  <sheetData>
    <row r="1" spans="1:29" ht="17.399999999999999" x14ac:dyDescent="0.3">
      <c r="A1" s="1" t="s">
        <v>60</v>
      </c>
    </row>
    <row r="2" spans="1:29" x14ac:dyDescent="0.3">
      <c r="A2" s="2" t="s">
        <v>61</v>
      </c>
    </row>
    <row r="4" spans="1:29" ht="39.6" x14ac:dyDescent="0.3">
      <c r="A4" s="8" t="s">
        <v>62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8" t="s">
        <v>77</v>
      </c>
      <c r="Q4" s="8" t="s">
        <v>78</v>
      </c>
      <c r="R4" s="8" t="s">
        <v>14</v>
      </c>
      <c r="S4" s="8" t="s">
        <v>79</v>
      </c>
      <c r="T4" s="8" t="s">
        <v>80</v>
      </c>
      <c r="U4" s="9" t="s">
        <v>81</v>
      </c>
      <c r="V4" s="9" t="s">
        <v>82</v>
      </c>
      <c r="W4" s="9" t="s">
        <v>83</v>
      </c>
      <c r="X4" s="8" t="s">
        <v>84</v>
      </c>
      <c r="Y4" s="8" t="s">
        <v>85</v>
      </c>
      <c r="Z4" s="8" t="s">
        <v>86</v>
      </c>
      <c r="AA4" s="8" t="s">
        <v>87</v>
      </c>
      <c r="AB4" s="8" t="s">
        <v>88</v>
      </c>
      <c r="AC4" s="8" t="s">
        <v>89</v>
      </c>
    </row>
    <row r="5" spans="1:29" ht="109.95" customHeight="1" x14ac:dyDescent="0.3">
      <c r="A5" s="10" t="s">
        <v>90</v>
      </c>
      <c r="B5" s="10" t="s">
        <v>91</v>
      </c>
      <c r="C5" s="10" t="s">
        <v>92</v>
      </c>
      <c r="D5" s="10" t="s">
        <v>93</v>
      </c>
      <c r="E5" s="10" t="s">
        <v>94</v>
      </c>
      <c r="F5" s="11">
        <v>44175</v>
      </c>
      <c r="G5" s="10" t="s">
        <v>95</v>
      </c>
      <c r="H5" s="10" t="s">
        <v>96</v>
      </c>
      <c r="I5" s="10" t="s">
        <v>97</v>
      </c>
      <c r="J5" s="10" t="s">
        <v>98</v>
      </c>
      <c r="K5" s="10" t="s">
        <v>99</v>
      </c>
      <c r="L5" s="10" t="s">
        <v>100</v>
      </c>
      <c r="M5" s="10" t="s">
        <v>101</v>
      </c>
      <c r="N5" s="10" t="s">
        <v>102</v>
      </c>
      <c r="O5" s="10" t="s">
        <v>103</v>
      </c>
      <c r="P5" s="10" t="s">
        <v>104</v>
      </c>
      <c r="Q5" s="11">
        <v>46099</v>
      </c>
      <c r="R5" s="10" t="s">
        <v>105</v>
      </c>
      <c r="S5" s="11">
        <v>46275</v>
      </c>
      <c r="T5" s="12">
        <v>12</v>
      </c>
      <c r="U5" s="13">
        <f t="shared" ref="U5:U26" si="0">IF(S5="","",EDATE(S5,T5))</f>
        <v>46640</v>
      </c>
      <c r="V5" s="14">
        <f t="shared" ref="V5:V26" si="1">IF(Q5="","",DataRef-Q5)</f>
        <v>288</v>
      </c>
      <c r="W5" s="15" t="str">
        <f t="shared" ref="W5:W26" si="2">IF(AND(R5="NC",X5=""),"NC sem ação no PAM",IF(U5&lt;DataRef,"Avaliação vencida",IF(U5-DataRef&lt;=60,"Avaliar nos próximos 60 dias",IF(R5="NC","NC com ação em curso","OK"))))</f>
        <v>OK</v>
      </c>
      <c r="X5" s="10"/>
      <c r="Y5" s="10" t="s">
        <v>106</v>
      </c>
      <c r="Z5" s="10" t="s">
        <v>107</v>
      </c>
      <c r="AA5" s="10" t="s">
        <v>108</v>
      </c>
      <c r="AB5" s="10" t="s">
        <v>109</v>
      </c>
      <c r="AC5" s="10" t="s">
        <v>110</v>
      </c>
    </row>
    <row r="6" spans="1:29" ht="109.95" customHeight="1" x14ac:dyDescent="0.3">
      <c r="A6" s="10" t="s">
        <v>111</v>
      </c>
      <c r="B6" s="10" t="s">
        <v>112</v>
      </c>
      <c r="C6" s="10" t="s">
        <v>113</v>
      </c>
      <c r="D6" s="10" t="s">
        <v>114</v>
      </c>
      <c r="E6" s="10" t="s">
        <v>94</v>
      </c>
      <c r="F6" s="11">
        <v>41122</v>
      </c>
      <c r="G6" s="10" t="s">
        <v>95</v>
      </c>
      <c r="H6" s="10" t="s">
        <v>115</v>
      </c>
      <c r="I6" s="10" t="s">
        <v>116</v>
      </c>
      <c r="J6" s="10" t="s">
        <v>98</v>
      </c>
      <c r="K6" s="10" t="s">
        <v>117</v>
      </c>
      <c r="L6" s="10" t="s">
        <v>118</v>
      </c>
      <c r="M6" s="10"/>
      <c r="N6" s="10" t="s">
        <v>119</v>
      </c>
      <c r="O6" s="10" t="s">
        <v>120</v>
      </c>
      <c r="P6" s="10" t="s">
        <v>121</v>
      </c>
      <c r="Q6" s="11">
        <v>46057</v>
      </c>
      <c r="R6" s="10" t="s">
        <v>105</v>
      </c>
      <c r="S6" s="11">
        <v>46275</v>
      </c>
      <c r="T6" s="12">
        <v>12</v>
      </c>
      <c r="U6" s="13">
        <f t="shared" si="0"/>
        <v>46640</v>
      </c>
      <c r="V6" s="14">
        <f t="shared" si="1"/>
        <v>330</v>
      </c>
      <c r="W6" s="15" t="str">
        <f t="shared" si="2"/>
        <v>OK</v>
      </c>
      <c r="X6" s="10"/>
      <c r="Y6" s="10" t="s">
        <v>122</v>
      </c>
      <c r="Z6" s="10" t="s">
        <v>123</v>
      </c>
      <c r="AA6" s="10" t="s">
        <v>108</v>
      </c>
      <c r="AB6" s="10" t="s">
        <v>124</v>
      </c>
      <c r="AC6" s="10"/>
    </row>
    <row r="7" spans="1:29" ht="109.95" customHeight="1" x14ac:dyDescent="0.3">
      <c r="A7" s="10" t="s">
        <v>125</v>
      </c>
      <c r="B7" s="10" t="s">
        <v>126</v>
      </c>
      <c r="C7" s="10" t="s">
        <v>127</v>
      </c>
      <c r="D7" s="10" t="s">
        <v>128</v>
      </c>
      <c r="E7" s="10" t="s">
        <v>129</v>
      </c>
      <c r="F7" s="11">
        <v>38715</v>
      </c>
      <c r="G7" s="10" t="s">
        <v>130</v>
      </c>
      <c r="H7" s="10" t="s">
        <v>131</v>
      </c>
      <c r="I7" s="10" t="s">
        <v>132</v>
      </c>
      <c r="J7" s="10" t="s">
        <v>98</v>
      </c>
      <c r="K7" s="10" t="s">
        <v>133</v>
      </c>
      <c r="L7" s="10" t="s">
        <v>134</v>
      </c>
      <c r="M7" s="10" t="s">
        <v>135</v>
      </c>
      <c r="N7" s="10" t="s">
        <v>136</v>
      </c>
      <c r="O7" s="10" t="s">
        <v>137</v>
      </c>
      <c r="P7" s="10" t="s">
        <v>138</v>
      </c>
      <c r="Q7" s="11">
        <v>46366</v>
      </c>
      <c r="R7" s="10" t="s">
        <v>105</v>
      </c>
      <c r="S7" s="11">
        <v>46370</v>
      </c>
      <c r="T7" s="12">
        <v>6</v>
      </c>
      <c r="U7" s="13">
        <f t="shared" si="0"/>
        <v>46552</v>
      </c>
      <c r="V7" s="14">
        <f t="shared" si="1"/>
        <v>21</v>
      </c>
      <c r="W7" s="15" t="str">
        <f t="shared" si="2"/>
        <v>OK</v>
      </c>
      <c r="X7" s="10"/>
      <c r="Y7" s="10" t="s">
        <v>139</v>
      </c>
      <c r="Z7" s="10" t="s">
        <v>140</v>
      </c>
      <c r="AA7" s="10" t="s">
        <v>108</v>
      </c>
      <c r="AB7" s="10" t="s">
        <v>141</v>
      </c>
      <c r="AC7" s="10"/>
    </row>
    <row r="8" spans="1:29" ht="109.95" customHeight="1" x14ac:dyDescent="0.3">
      <c r="A8" s="10" t="s">
        <v>142</v>
      </c>
      <c r="B8" s="10" t="s">
        <v>143</v>
      </c>
      <c r="C8" s="10" t="s">
        <v>144</v>
      </c>
      <c r="D8" s="10" t="s">
        <v>145</v>
      </c>
      <c r="E8" s="10" t="s">
        <v>94</v>
      </c>
      <c r="F8" s="11">
        <v>41516</v>
      </c>
      <c r="G8" s="10" t="s">
        <v>95</v>
      </c>
      <c r="H8" s="10" t="s">
        <v>146</v>
      </c>
      <c r="I8" s="10" t="s">
        <v>147</v>
      </c>
      <c r="J8" s="10" t="s">
        <v>148</v>
      </c>
      <c r="K8" s="10" t="s">
        <v>149</v>
      </c>
      <c r="L8" s="10" t="s">
        <v>150</v>
      </c>
      <c r="M8" s="10" t="s">
        <v>151</v>
      </c>
      <c r="N8" s="10" t="s">
        <v>152</v>
      </c>
      <c r="O8" s="10" t="s">
        <v>153</v>
      </c>
      <c r="P8" s="10" t="s">
        <v>154</v>
      </c>
      <c r="Q8" s="11">
        <v>46270</v>
      </c>
      <c r="R8" s="10" t="s">
        <v>105</v>
      </c>
      <c r="S8" s="11">
        <v>46275</v>
      </c>
      <c r="T8" s="12">
        <v>12</v>
      </c>
      <c r="U8" s="13">
        <f t="shared" si="0"/>
        <v>46640</v>
      </c>
      <c r="V8" s="14">
        <f t="shared" si="1"/>
        <v>117</v>
      </c>
      <c r="W8" s="15" t="str">
        <f t="shared" si="2"/>
        <v>OK</v>
      </c>
      <c r="X8" s="10"/>
      <c r="Y8" s="10" t="s">
        <v>106</v>
      </c>
      <c r="Z8" s="10" t="s">
        <v>155</v>
      </c>
      <c r="AA8" s="10" t="s">
        <v>108</v>
      </c>
      <c r="AB8" s="10" t="s">
        <v>156</v>
      </c>
      <c r="AC8" s="10"/>
    </row>
    <row r="9" spans="1:29" ht="109.95" customHeight="1" x14ac:dyDescent="0.3">
      <c r="A9" s="10" t="s">
        <v>157</v>
      </c>
      <c r="B9" s="10" t="s">
        <v>158</v>
      </c>
      <c r="C9" s="10" t="s">
        <v>159</v>
      </c>
      <c r="D9" s="10" t="s">
        <v>160</v>
      </c>
      <c r="E9" s="10" t="s">
        <v>94</v>
      </c>
      <c r="F9" s="11">
        <v>39099</v>
      </c>
      <c r="G9" s="10" t="s">
        <v>95</v>
      </c>
      <c r="H9" s="10" t="s">
        <v>161</v>
      </c>
      <c r="I9" s="10" t="s">
        <v>162</v>
      </c>
      <c r="J9" s="10" t="s">
        <v>98</v>
      </c>
      <c r="K9" s="10" t="s">
        <v>163</v>
      </c>
      <c r="L9" s="10" t="s">
        <v>164</v>
      </c>
      <c r="M9" s="10" t="s">
        <v>165</v>
      </c>
      <c r="N9" s="10" t="s">
        <v>166</v>
      </c>
      <c r="O9" s="10" t="s">
        <v>167</v>
      </c>
      <c r="P9" s="10" t="s">
        <v>138</v>
      </c>
      <c r="Q9" s="11">
        <v>46323</v>
      </c>
      <c r="R9" s="10" t="s">
        <v>105</v>
      </c>
      <c r="S9" s="11">
        <v>46331</v>
      </c>
      <c r="T9" s="12">
        <v>36</v>
      </c>
      <c r="U9" s="13">
        <f t="shared" si="0"/>
        <v>47427</v>
      </c>
      <c r="V9" s="14">
        <f t="shared" si="1"/>
        <v>64</v>
      </c>
      <c r="W9" s="15" t="str">
        <f t="shared" si="2"/>
        <v>OK</v>
      </c>
      <c r="X9" s="10" t="s">
        <v>168</v>
      </c>
      <c r="Y9" s="10" t="s">
        <v>106</v>
      </c>
      <c r="Z9" s="10" t="s">
        <v>169</v>
      </c>
      <c r="AA9" s="10" t="s">
        <v>108</v>
      </c>
      <c r="AB9" s="10" t="s">
        <v>170</v>
      </c>
      <c r="AC9" s="10"/>
    </row>
    <row r="10" spans="1:29" ht="109.95" customHeight="1" x14ac:dyDescent="0.3">
      <c r="A10" s="10" t="s">
        <v>171</v>
      </c>
      <c r="B10" s="10" t="s">
        <v>172</v>
      </c>
      <c r="C10" s="10" t="s">
        <v>173</v>
      </c>
      <c r="D10" s="10" t="s">
        <v>174</v>
      </c>
      <c r="E10" s="10" t="s">
        <v>175</v>
      </c>
      <c r="F10" s="11">
        <v>39069</v>
      </c>
      <c r="G10" s="10" t="s">
        <v>176</v>
      </c>
      <c r="H10" s="10" t="s">
        <v>177</v>
      </c>
      <c r="I10" s="10" t="s">
        <v>178</v>
      </c>
      <c r="J10" s="10" t="s">
        <v>98</v>
      </c>
      <c r="K10" s="10" t="s">
        <v>179</v>
      </c>
      <c r="L10" s="10" t="s">
        <v>180</v>
      </c>
      <c r="M10" s="10" t="s">
        <v>181</v>
      </c>
      <c r="N10" s="10" t="s">
        <v>182</v>
      </c>
      <c r="O10" s="10" t="s">
        <v>183</v>
      </c>
      <c r="P10" s="10" t="s">
        <v>184</v>
      </c>
      <c r="Q10" s="11">
        <v>46289</v>
      </c>
      <c r="R10" s="10" t="s">
        <v>185</v>
      </c>
      <c r="S10" s="11">
        <v>46275</v>
      </c>
      <c r="T10" s="12">
        <v>12</v>
      </c>
      <c r="U10" s="13">
        <f t="shared" si="0"/>
        <v>46640</v>
      </c>
      <c r="V10" s="14">
        <f t="shared" si="1"/>
        <v>98</v>
      </c>
      <c r="W10" s="15" t="str">
        <f t="shared" si="2"/>
        <v>NC com ação em curso</v>
      </c>
      <c r="X10" s="10" t="s">
        <v>186</v>
      </c>
      <c r="Y10" s="10" t="s">
        <v>187</v>
      </c>
      <c r="Z10" s="10" t="s">
        <v>188</v>
      </c>
      <c r="AA10" s="10" t="s">
        <v>108</v>
      </c>
      <c r="AB10" s="10" t="s">
        <v>189</v>
      </c>
      <c r="AC10" s="10" t="s">
        <v>190</v>
      </c>
    </row>
    <row r="11" spans="1:29" ht="109.95" customHeight="1" x14ac:dyDescent="0.3">
      <c r="A11" s="10" t="s">
        <v>191</v>
      </c>
      <c r="B11" s="10" t="s">
        <v>192</v>
      </c>
      <c r="C11" s="10" t="s">
        <v>193</v>
      </c>
      <c r="D11" s="10" t="s">
        <v>194</v>
      </c>
      <c r="E11" s="10" t="s">
        <v>175</v>
      </c>
      <c r="F11" s="11">
        <v>45329</v>
      </c>
      <c r="G11" s="10" t="s">
        <v>195</v>
      </c>
      <c r="H11" s="10" t="s">
        <v>96</v>
      </c>
      <c r="I11" s="10" t="s">
        <v>196</v>
      </c>
      <c r="J11" s="10" t="s">
        <v>98</v>
      </c>
      <c r="K11" s="10" t="s">
        <v>197</v>
      </c>
      <c r="L11" s="10" t="s">
        <v>164</v>
      </c>
      <c r="M11" s="10" t="s">
        <v>198</v>
      </c>
      <c r="N11" s="10" t="s">
        <v>199</v>
      </c>
      <c r="O11" s="10" t="s">
        <v>200</v>
      </c>
      <c r="P11" s="10" t="s">
        <v>201</v>
      </c>
      <c r="Q11" s="11">
        <v>46344</v>
      </c>
      <c r="R11" s="10" t="s">
        <v>105</v>
      </c>
      <c r="S11" s="11">
        <v>46346</v>
      </c>
      <c r="T11" s="12">
        <v>6</v>
      </c>
      <c r="U11" s="13">
        <f t="shared" si="0"/>
        <v>46527</v>
      </c>
      <c r="V11" s="14">
        <f t="shared" si="1"/>
        <v>43</v>
      </c>
      <c r="W11" s="15" t="str">
        <f t="shared" si="2"/>
        <v>OK</v>
      </c>
      <c r="X11" s="10"/>
      <c r="Y11" s="10" t="s">
        <v>139</v>
      </c>
      <c r="Z11" s="10" t="s">
        <v>202</v>
      </c>
      <c r="AA11" s="10" t="s">
        <v>108</v>
      </c>
      <c r="AB11" s="10" t="s">
        <v>203</v>
      </c>
      <c r="AC11" s="10"/>
    </row>
    <row r="12" spans="1:29" ht="109.95" customHeight="1" x14ac:dyDescent="0.3">
      <c r="A12" s="10" t="s">
        <v>204</v>
      </c>
      <c r="B12" s="10" t="s">
        <v>205</v>
      </c>
      <c r="C12" s="10" t="s">
        <v>206</v>
      </c>
      <c r="D12" s="10" t="s">
        <v>207</v>
      </c>
      <c r="E12" s="10" t="s">
        <v>94</v>
      </c>
      <c r="F12" s="11">
        <v>39553</v>
      </c>
      <c r="G12" s="10" t="s">
        <v>95</v>
      </c>
      <c r="H12" s="10" t="s">
        <v>208</v>
      </c>
      <c r="I12" s="10" t="s">
        <v>209</v>
      </c>
      <c r="J12" s="10" t="s">
        <v>98</v>
      </c>
      <c r="K12" s="10" t="s">
        <v>210</v>
      </c>
      <c r="L12" s="10" t="s">
        <v>211</v>
      </c>
      <c r="M12" s="10" t="s">
        <v>212</v>
      </c>
      <c r="N12" s="10" t="s">
        <v>213</v>
      </c>
      <c r="O12" s="10" t="s">
        <v>214</v>
      </c>
      <c r="P12" s="10" t="s">
        <v>104</v>
      </c>
      <c r="Q12" s="11">
        <v>46140</v>
      </c>
      <c r="R12" s="10" t="s">
        <v>105</v>
      </c>
      <c r="S12" s="11">
        <v>46275</v>
      </c>
      <c r="T12" s="12">
        <v>24</v>
      </c>
      <c r="U12" s="13">
        <f t="shared" si="0"/>
        <v>47006</v>
      </c>
      <c r="V12" s="14">
        <f t="shared" si="1"/>
        <v>247</v>
      </c>
      <c r="W12" s="15" t="str">
        <f t="shared" si="2"/>
        <v>OK</v>
      </c>
      <c r="X12" s="10"/>
      <c r="Y12" s="10" t="s">
        <v>139</v>
      </c>
      <c r="Z12" s="10" t="s">
        <v>215</v>
      </c>
      <c r="AA12" s="10" t="s">
        <v>108</v>
      </c>
      <c r="AB12" s="10" t="s">
        <v>216</v>
      </c>
      <c r="AC12" s="10"/>
    </row>
    <row r="13" spans="1:29" ht="109.95" customHeight="1" x14ac:dyDescent="0.3">
      <c r="A13" s="10" t="s">
        <v>217</v>
      </c>
      <c r="B13" s="10" t="s">
        <v>218</v>
      </c>
      <c r="C13" s="10" t="s">
        <v>219</v>
      </c>
      <c r="D13" s="10" t="s">
        <v>220</v>
      </c>
      <c r="E13" s="10" t="s">
        <v>175</v>
      </c>
      <c r="F13" s="11">
        <v>45679</v>
      </c>
      <c r="G13" s="10" t="s">
        <v>176</v>
      </c>
      <c r="H13" s="10" t="s">
        <v>221</v>
      </c>
      <c r="I13" s="10" t="s">
        <v>222</v>
      </c>
      <c r="J13" s="10" t="s">
        <v>98</v>
      </c>
      <c r="K13" s="10" t="s">
        <v>223</v>
      </c>
      <c r="L13" s="10" t="s">
        <v>224</v>
      </c>
      <c r="M13" s="10" t="s">
        <v>225</v>
      </c>
      <c r="N13" s="10" t="s">
        <v>226</v>
      </c>
      <c r="O13" s="10" t="s">
        <v>227</v>
      </c>
      <c r="P13" s="10" t="s">
        <v>228</v>
      </c>
      <c r="Q13" s="11">
        <v>46378</v>
      </c>
      <c r="R13" s="10" t="s">
        <v>185</v>
      </c>
      <c r="S13" s="11">
        <v>46378</v>
      </c>
      <c r="T13" s="12">
        <v>6</v>
      </c>
      <c r="U13" s="13">
        <f t="shared" si="0"/>
        <v>46560</v>
      </c>
      <c r="V13" s="14">
        <f t="shared" si="1"/>
        <v>9</v>
      </c>
      <c r="W13" s="15" t="str">
        <f t="shared" si="2"/>
        <v>NC com ação em curso</v>
      </c>
      <c r="X13" s="10" t="s">
        <v>229</v>
      </c>
      <c r="Y13" s="10" t="s">
        <v>230</v>
      </c>
      <c r="Z13" s="10" t="s">
        <v>231</v>
      </c>
      <c r="AA13" s="10" t="s">
        <v>108</v>
      </c>
      <c r="AB13" s="10" t="s">
        <v>232</v>
      </c>
      <c r="AC13" s="10" t="s">
        <v>233</v>
      </c>
    </row>
    <row r="14" spans="1:29" ht="109.95" customHeight="1" x14ac:dyDescent="0.3">
      <c r="A14" s="10" t="s">
        <v>234</v>
      </c>
      <c r="B14" s="10" t="s">
        <v>235</v>
      </c>
      <c r="C14" s="10" t="s">
        <v>236</v>
      </c>
      <c r="D14" s="10" t="s">
        <v>237</v>
      </c>
      <c r="E14" s="10" t="s">
        <v>175</v>
      </c>
      <c r="F14" s="11"/>
      <c r="G14" s="10" t="s">
        <v>176</v>
      </c>
      <c r="H14" s="10" t="s">
        <v>238</v>
      </c>
      <c r="I14" s="10" t="s">
        <v>239</v>
      </c>
      <c r="J14" s="10" t="s">
        <v>240</v>
      </c>
      <c r="K14" s="10" t="s">
        <v>241</v>
      </c>
      <c r="L14" s="10" t="s">
        <v>242</v>
      </c>
      <c r="M14" s="10" t="s">
        <v>243</v>
      </c>
      <c r="N14" s="10" t="s">
        <v>244</v>
      </c>
      <c r="O14" s="10" t="s">
        <v>245</v>
      </c>
      <c r="P14" s="10" t="s">
        <v>246</v>
      </c>
      <c r="Q14" s="11">
        <v>46371</v>
      </c>
      <c r="R14" s="10" t="s">
        <v>240</v>
      </c>
      <c r="S14" s="11">
        <v>46371</v>
      </c>
      <c r="T14" s="12">
        <v>6</v>
      </c>
      <c r="U14" s="13">
        <f t="shared" si="0"/>
        <v>46553</v>
      </c>
      <c r="V14" s="14">
        <f t="shared" si="1"/>
        <v>16</v>
      </c>
      <c r="W14" s="15" t="str">
        <f t="shared" si="2"/>
        <v>OK</v>
      </c>
      <c r="X14" s="10" t="s">
        <v>247</v>
      </c>
      <c r="Y14" s="10" t="s">
        <v>106</v>
      </c>
      <c r="Z14" s="10" t="s">
        <v>248</v>
      </c>
      <c r="AA14" s="10" t="s">
        <v>108</v>
      </c>
      <c r="AB14" s="10" t="s">
        <v>249</v>
      </c>
      <c r="AC14" s="10"/>
    </row>
    <row r="15" spans="1:29" ht="109.95" customHeight="1" x14ac:dyDescent="0.3">
      <c r="A15" s="10" t="s">
        <v>250</v>
      </c>
      <c r="B15" s="10" t="s">
        <v>251</v>
      </c>
      <c r="C15" s="10" t="s">
        <v>252</v>
      </c>
      <c r="D15" s="10" t="s">
        <v>253</v>
      </c>
      <c r="E15" s="10" t="s">
        <v>94</v>
      </c>
      <c r="F15" s="11">
        <v>39764</v>
      </c>
      <c r="G15" s="10" t="s">
        <v>95</v>
      </c>
      <c r="H15" s="10" t="s">
        <v>254</v>
      </c>
      <c r="I15" s="10" t="s">
        <v>255</v>
      </c>
      <c r="J15" s="10" t="s">
        <v>98</v>
      </c>
      <c r="K15" s="10" t="s">
        <v>256</v>
      </c>
      <c r="L15" s="10" t="s">
        <v>257</v>
      </c>
      <c r="M15" s="10" t="s">
        <v>258</v>
      </c>
      <c r="N15" s="10" t="s">
        <v>259</v>
      </c>
      <c r="O15" s="10" t="s">
        <v>260</v>
      </c>
      <c r="P15" s="10" t="s">
        <v>261</v>
      </c>
      <c r="Q15" s="11">
        <v>46367</v>
      </c>
      <c r="R15" s="10" t="s">
        <v>105</v>
      </c>
      <c r="S15" s="11">
        <v>46367</v>
      </c>
      <c r="T15" s="12">
        <v>12</v>
      </c>
      <c r="U15" s="13">
        <f t="shared" si="0"/>
        <v>46732</v>
      </c>
      <c r="V15" s="14">
        <f t="shared" si="1"/>
        <v>20</v>
      </c>
      <c r="W15" s="15" t="str">
        <f t="shared" si="2"/>
        <v>OK</v>
      </c>
      <c r="X15" s="10"/>
      <c r="Y15" s="10" t="s">
        <v>122</v>
      </c>
      <c r="Z15" s="10" t="s">
        <v>262</v>
      </c>
      <c r="AA15" s="10" t="s">
        <v>108</v>
      </c>
      <c r="AB15" s="10" t="s">
        <v>263</v>
      </c>
      <c r="AC15" s="10"/>
    </row>
    <row r="16" spans="1:29" ht="109.95" customHeight="1" x14ac:dyDescent="0.3">
      <c r="A16" s="10" t="s">
        <v>264</v>
      </c>
      <c r="B16" s="10" t="s">
        <v>265</v>
      </c>
      <c r="C16" s="10" t="s">
        <v>266</v>
      </c>
      <c r="D16" s="10" t="s">
        <v>267</v>
      </c>
      <c r="E16" s="10" t="s">
        <v>94</v>
      </c>
      <c r="F16" s="11">
        <v>43262</v>
      </c>
      <c r="G16" s="10" t="s">
        <v>95</v>
      </c>
      <c r="H16" s="10" t="s">
        <v>268</v>
      </c>
      <c r="I16" s="10" t="s">
        <v>269</v>
      </c>
      <c r="J16" s="10" t="s">
        <v>98</v>
      </c>
      <c r="K16" s="10" t="s">
        <v>270</v>
      </c>
      <c r="L16" s="10" t="s">
        <v>150</v>
      </c>
      <c r="M16" s="10" t="s">
        <v>271</v>
      </c>
      <c r="N16" s="10" t="s">
        <v>272</v>
      </c>
      <c r="O16" s="10" t="s">
        <v>273</v>
      </c>
      <c r="P16" s="10" t="s">
        <v>138</v>
      </c>
      <c r="Q16" s="11">
        <v>46099</v>
      </c>
      <c r="R16" s="10" t="s">
        <v>105</v>
      </c>
      <c r="S16" s="11">
        <v>46275</v>
      </c>
      <c r="T16" s="12">
        <v>36</v>
      </c>
      <c r="U16" s="13">
        <f t="shared" si="0"/>
        <v>47371</v>
      </c>
      <c r="V16" s="14">
        <f t="shared" si="1"/>
        <v>288</v>
      </c>
      <c r="W16" s="15" t="str">
        <f t="shared" si="2"/>
        <v>OK</v>
      </c>
      <c r="X16" s="10"/>
      <c r="Y16" s="10" t="s">
        <v>106</v>
      </c>
      <c r="Z16" s="10" t="s">
        <v>274</v>
      </c>
      <c r="AA16" s="10" t="s">
        <v>108</v>
      </c>
      <c r="AB16" s="10" t="s">
        <v>275</v>
      </c>
      <c r="AC16" s="10"/>
    </row>
    <row r="17" spans="1:29" ht="109.95" customHeight="1" x14ac:dyDescent="0.3">
      <c r="A17" s="10" t="s">
        <v>276</v>
      </c>
      <c r="B17" s="10" t="s">
        <v>91</v>
      </c>
      <c r="C17" s="10" t="s">
        <v>277</v>
      </c>
      <c r="D17" s="10" t="s">
        <v>278</v>
      </c>
      <c r="E17" s="10" t="s">
        <v>279</v>
      </c>
      <c r="F17" s="11">
        <v>42851</v>
      </c>
      <c r="G17" s="10" t="s">
        <v>95</v>
      </c>
      <c r="H17" s="10" t="s">
        <v>280</v>
      </c>
      <c r="I17" s="10" t="s">
        <v>281</v>
      </c>
      <c r="J17" s="10" t="s">
        <v>98</v>
      </c>
      <c r="K17" s="10" t="s">
        <v>282</v>
      </c>
      <c r="L17" s="10" t="s">
        <v>283</v>
      </c>
      <c r="M17" s="10" t="s">
        <v>284</v>
      </c>
      <c r="N17" s="10" t="s">
        <v>285</v>
      </c>
      <c r="O17" s="10" t="s">
        <v>286</v>
      </c>
      <c r="P17" s="10" t="s">
        <v>104</v>
      </c>
      <c r="Q17" s="11">
        <v>46359</v>
      </c>
      <c r="R17" s="10" t="s">
        <v>105</v>
      </c>
      <c r="S17" s="11">
        <v>46359</v>
      </c>
      <c r="T17" s="12">
        <v>12</v>
      </c>
      <c r="U17" s="13">
        <f t="shared" si="0"/>
        <v>46724</v>
      </c>
      <c r="V17" s="14">
        <f t="shared" si="1"/>
        <v>28</v>
      </c>
      <c r="W17" s="15" t="str">
        <f t="shared" si="2"/>
        <v>OK</v>
      </c>
      <c r="X17" s="10"/>
      <c r="Y17" s="10" t="s">
        <v>187</v>
      </c>
      <c r="Z17" s="10" t="s">
        <v>287</v>
      </c>
      <c r="AA17" s="10" t="s">
        <v>108</v>
      </c>
      <c r="AB17" s="10" t="s">
        <v>288</v>
      </c>
      <c r="AC17" s="10"/>
    </row>
    <row r="18" spans="1:29" ht="109.95" customHeight="1" x14ac:dyDescent="0.3">
      <c r="A18" s="10" t="s">
        <v>289</v>
      </c>
      <c r="B18" s="10" t="s">
        <v>290</v>
      </c>
      <c r="C18" s="10" t="s">
        <v>291</v>
      </c>
      <c r="D18" s="10" t="s">
        <v>292</v>
      </c>
      <c r="E18" s="10" t="s">
        <v>94</v>
      </c>
      <c r="F18" s="11">
        <v>39658</v>
      </c>
      <c r="G18" s="10" t="s">
        <v>95</v>
      </c>
      <c r="H18" s="10" t="s">
        <v>238</v>
      </c>
      <c r="I18" s="10" t="s">
        <v>293</v>
      </c>
      <c r="J18" s="10" t="s">
        <v>148</v>
      </c>
      <c r="K18" s="10" t="s">
        <v>294</v>
      </c>
      <c r="L18" s="10" t="s">
        <v>118</v>
      </c>
      <c r="M18" s="10"/>
      <c r="N18" s="10" t="s">
        <v>295</v>
      </c>
      <c r="O18" s="10" t="s">
        <v>296</v>
      </c>
      <c r="P18" s="10" t="s">
        <v>297</v>
      </c>
      <c r="Q18" s="11">
        <v>46275</v>
      </c>
      <c r="R18" s="10" t="s">
        <v>105</v>
      </c>
      <c r="S18" s="11">
        <v>46275</v>
      </c>
      <c r="T18" s="12">
        <v>12</v>
      </c>
      <c r="U18" s="13">
        <f t="shared" si="0"/>
        <v>46640</v>
      </c>
      <c r="V18" s="14">
        <f t="shared" si="1"/>
        <v>112</v>
      </c>
      <c r="W18" s="15" t="str">
        <f t="shared" si="2"/>
        <v>OK</v>
      </c>
      <c r="X18" s="10"/>
      <c r="Y18" s="10" t="s">
        <v>298</v>
      </c>
      <c r="Z18" s="10" t="s">
        <v>299</v>
      </c>
      <c r="AA18" s="10" t="s">
        <v>108</v>
      </c>
      <c r="AB18" s="10" t="s">
        <v>300</v>
      </c>
      <c r="AC18" s="10"/>
    </row>
    <row r="19" spans="1:29" ht="109.95" customHeight="1" x14ac:dyDescent="0.3">
      <c r="A19" s="10" t="s">
        <v>301</v>
      </c>
      <c r="B19" s="10" t="s">
        <v>302</v>
      </c>
      <c r="C19" s="10" t="s">
        <v>303</v>
      </c>
      <c r="D19" s="10" t="s">
        <v>304</v>
      </c>
      <c r="E19" s="10" t="s">
        <v>305</v>
      </c>
      <c r="F19" s="11">
        <v>43332</v>
      </c>
      <c r="G19" s="10" t="s">
        <v>95</v>
      </c>
      <c r="H19" s="10" t="s">
        <v>306</v>
      </c>
      <c r="I19" s="10" t="s">
        <v>307</v>
      </c>
      <c r="J19" s="10" t="s">
        <v>98</v>
      </c>
      <c r="K19" s="10" t="s">
        <v>308</v>
      </c>
      <c r="L19" s="10" t="s">
        <v>164</v>
      </c>
      <c r="M19" s="10" t="s">
        <v>309</v>
      </c>
      <c r="N19" s="10" t="s">
        <v>310</v>
      </c>
      <c r="O19" s="10" t="s">
        <v>311</v>
      </c>
      <c r="P19" s="10" t="s">
        <v>138</v>
      </c>
      <c r="Q19" s="11">
        <v>46363</v>
      </c>
      <c r="R19" s="10" t="s">
        <v>105</v>
      </c>
      <c r="S19" s="11">
        <v>46364</v>
      </c>
      <c r="T19" s="12">
        <v>3</v>
      </c>
      <c r="U19" s="13">
        <f t="shared" si="0"/>
        <v>46454</v>
      </c>
      <c r="V19" s="14">
        <f t="shared" si="1"/>
        <v>24</v>
      </c>
      <c r="W19" s="15" t="str">
        <f t="shared" si="2"/>
        <v>OK</v>
      </c>
      <c r="X19" s="10"/>
      <c r="Y19" s="10" t="s">
        <v>139</v>
      </c>
      <c r="Z19" s="10" t="s">
        <v>312</v>
      </c>
      <c r="AA19" s="10" t="s">
        <v>108</v>
      </c>
      <c r="AB19" s="10" t="s">
        <v>313</v>
      </c>
      <c r="AC19" s="10"/>
    </row>
    <row r="20" spans="1:29" ht="109.95" customHeight="1" x14ac:dyDescent="0.3">
      <c r="A20" s="10" t="s">
        <v>314</v>
      </c>
      <c r="B20" s="10" t="s">
        <v>315</v>
      </c>
      <c r="C20" s="10" t="s">
        <v>316</v>
      </c>
      <c r="D20" s="10" t="s">
        <v>317</v>
      </c>
      <c r="E20" s="10" t="s">
        <v>94</v>
      </c>
      <c r="F20" s="11">
        <v>43080</v>
      </c>
      <c r="G20" s="10" t="s">
        <v>95</v>
      </c>
      <c r="H20" s="10" t="s">
        <v>96</v>
      </c>
      <c r="I20" s="10" t="s">
        <v>318</v>
      </c>
      <c r="J20" s="10" t="s">
        <v>98</v>
      </c>
      <c r="K20" s="10" t="s">
        <v>319</v>
      </c>
      <c r="L20" s="10" t="s">
        <v>320</v>
      </c>
      <c r="M20" s="10"/>
      <c r="N20" s="10" t="s">
        <v>321</v>
      </c>
      <c r="O20" s="10" t="s">
        <v>322</v>
      </c>
      <c r="P20" s="10" t="s">
        <v>104</v>
      </c>
      <c r="Q20" s="11">
        <v>46079</v>
      </c>
      <c r="R20" s="10" t="s">
        <v>105</v>
      </c>
      <c r="S20" s="11">
        <v>46275</v>
      </c>
      <c r="T20" s="12">
        <v>12</v>
      </c>
      <c r="U20" s="13">
        <f t="shared" si="0"/>
        <v>46640</v>
      </c>
      <c r="V20" s="14">
        <f t="shared" si="1"/>
        <v>308</v>
      </c>
      <c r="W20" s="15" t="str">
        <f t="shared" si="2"/>
        <v>OK</v>
      </c>
      <c r="X20" s="10"/>
      <c r="Y20" s="10" t="s">
        <v>298</v>
      </c>
      <c r="Z20" s="10" t="s">
        <v>323</v>
      </c>
      <c r="AA20" s="10" t="s">
        <v>108</v>
      </c>
      <c r="AB20" s="10" t="s">
        <v>324</v>
      </c>
      <c r="AC20" s="10" t="s">
        <v>325</v>
      </c>
    </row>
    <row r="21" spans="1:29" ht="109.95" customHeight="1" x14ac:dyDescent="0.3">
      <c r="A21" s="10" t="s">
        <v>326</v>
      </c>
      <c r="B21" s="10" t="s">
        <v>327</v>
      </c>
      <c r="C21" s="10" t="s">
        <v>328</v>
      </c>
      <c r="D21" s="10" t="s">
        <v>329</v>
      </c>
      <c r="E21" s="10" t="s">
        <v>175</v>
      </c>
      <c r="F21" s="11">
        <v>38287</v>
      </c>
      <c r="G21" s="10" t="s">
        <v>176</v>
      </c>
      <c r="H21" s="10" t="s">
        <v>330</v>
      </c>
      <c r="I21" s="10" t="s">
        <v>331</v>
      </c>
      <c r="J21" s="10" t="s">
        <v>98</v>
      </c>
      <c r="K21" s="10" t="s">
        <v>332</v>
      </c>
      <c r="L21" s="10" t="s">
        <v>333</v>
      </c>
      <c r="M21" s="10"/>
      <c r="N21" s="10" t="s">
        <v>334</v>
      </c>
      <c r="O21" s="10" t="s">
        <v>335</v>
      </c>
      <c r="P21" s="10" t="s">
        <v>138</v>
      </c>
      <c r="Q21" s="11">
        <v>46101</v>
      </c>
      <c r="R21" s="10" t="s">
        <v>105</v>
      </c>
      <c r="S21" s="11">
        <v>46275</v>
      </c>
      <c r="T21" s="12">
        <v>12</v>
      </c>
      <c r="U21" s="13">
        <f t="shared" si="0"/>
        <v>46640</v>
      </c>
      <c r="V21" s="14">
        <f t="shared" si="1"/>
        <v>286</v>
      </c>
      <c r="W21" s="15" t="str">
        <f t="shared" si="2"/>
        <v>OK</v>
      </c>
      <c r="X21" s="10"/>
      <c r="Y21" s="10" t="s">
        <v>336</v>
      </c>
      <c r="Z21" s="10" t="s">
        <v>337</v>
      </c>
      <c r="AA21" s="10" t="s">
        <v>108</v>
      </c>
      <c r="AB21" s="10" t="s">
        <v>338</v>
      </c>
      <c r="AC21" s="10" t="s">
        <v>339</v>
      </c>
    </row>
    <row r="22" spans="1:29" ht="109.95" customHeight="1" x14ac:dyDescent="0.3">
      <c r="A22" s="10" t="s">
        <v>340</v>
      </c>
      <c r="B22" s="10" t="s">
        <v>341</v>
      </c>
      <c r="C22" s="10" t="s">
        <v>342</v>
      </c>
      <c r="D22" s="10" t="s">
        <v>343</v>
      </c>
      <c r="E22" s="10" t="s">
        <v>344</v>
      </c>
      <c r="F22" s="11">
        <v>45357</v>
      </c>
      <c r="G22" s="10" t="s">
        <v>195</v>
      </c>
      <c r="H22" s="10" t="s">
        <v>345</v>
      </c>
      <c r="I22" s="10" t="s">
        <v>346</v>
      </c>
      <c r="J22" s="10" t="s">
        <v>240</v>
      </c>
      <c r="K22" s="10" t="s">
        <v>347</v>
      </c>
      <c r="L22" s="10" t="s">
        <v>348</v>
      </c>
      <c r="M22" s="10"/>
      <c r="N22" s="10" t="s">
        <v>349</v>
      </c>
      <c r="O22" s="10" t="s">
        <v>350</v>
      </c>
      <c r="P22" s="10" t="s">
        <v>261</v>
      </c>
      <c r="Q22" s="11">
        <v>46310</v>
      </c>
      <c r="R22" s="10" t="s">
        <v>240</v>
      </c>
      <c r="S22" s="11">
        <v>46310</v>
      </c>
      <c r="T22" s="12">
        <v>6</v>
      </c>
      <c r="U22" s="13">
        <f t="shared" si="0"/>
        <v>46492</v>
      </c>
      <c r="V22" s="14">
        <f t="shared" si="1"/>
        <v>77</v>
      </c>
      <c r="W22" s="15" t="str">
        <f t="shared" si="2"/>
        <v>OK</v>
      </c>
      <c r="X22" s="10" t="s">
        <v>351</v>
      </c>
      <c r="Y22" s="10" t="s">
        <v>352</v>
      </c>
      <c r="Z22" s="10" t="s">
        <v>353</v>
      </c>
      <c r="AA22" s="10" t="s">
        <v>108</v>
      </c>
      <c r="AB22" s="10" t="s">
        <v>354</v>
      </c>
      <c r="AC22" s="10" t="s">
        <v>355</v>
      </c>
    </row>
    <row r="23" spans="1:29" ht="109.95" customHeight="1" x14ac:dyDescent="0.3">
      <c r="A23" s="10" t="s">
        <v>356</v>
      </c>
      <c r="B23" s="10" t="s">
        <v>357</v>
      </c>
      <c r="C23" s="10" t="s">
        <v>358</v>
      </c>
      <c r="D23" s="10" t="s">
        <v>359</v>
      </c>
      <c r="E23" s="10" t="s">
        <v>94</v>
      </c>
      <c r="F23" s="11">
        <v>44463</v>
      </c>
      <c r="G23" s="10" t="s">
        <v>195</v>
      </c>
      <c r="H23" s="10" t="s">
        <v>221</v>
      </c>
      <c r="I23" s="10" t="s">
        <v>360</v>
      </c>
      <c r="J23" s="10" t="s">
        <v>361</v>
      </c>
      <c r="K23" s="10" t="s">
        <v>362</v>
      </c>
      <c r="L23" s="10" t="s">
        <v>363</v>
      </c>
      <c r="M23" s="10"/>
      <c r="N23" s="10" t="s">
        <v>364</v>
      </c>
      <c r="O23" s="10" t="s">
        <v>365</v>
      </c>
      <c r="P23" s="10" t="s">
        <v>297</v>
      </c>
      <c r="Q23" s="11">
        <v>46360</v>
      </c>
      <c r="R23" s="10" t="s">
        <v>105</v>
      </c>
      <c r="S23" s="11">
        <v>46360</v>
      </c>
      <c r="T23" s="12">
        <v>6</v>
      </c>
      <c r="U23" s="13">
        <f t="shared" si="0"/>
        <v>46542</v>
      </c>
      <c r="V23" s="14">
        <f t="shared" si="1"/>
        <v>27</v>
      </c>
      <c r="W23" s="15" t="str">
        <f t="shared" si="2"/>
        <v>OK</v>
      </c>
      <c r="X23" s="10" t="s">
        <v>366</v>
      </c>
      <c r="Y23" s="10" t="s">
        <v>230</v>
      </c>
      <c r="Z23" s="10" t="s">
        <v>367</v>
      </c>
      <c r="AA23" s="10" t="s">
        <v>368</v>
      </c>
      <c r="AB23" s="10" t="s">
        <v>369</v>
      </c>
      <c r="AC23" s="10" t="s">
        <v>370</v>
      </c>
    </row>
    <row r="24" spans="1:29" ht="109.95" customHeight="1" x14ac:dyDescent="0.3">
      <c r="A24" s="10" t="s">
        <v>371</v>
      </c>
      <c r="B24" s="10" t="s">
        <v>372</v>
      </c>
      <c r="C24" s="10" t="s">
        <v>373</v>
      </c>
      <c r="D24" s="10" t="s">
        <v>374</v>
      </c>
      <c r="E24" s="10" t="s">
        <v>375</v>
      </c>
      <c r="F24" s="11"/>
      <c r="G24" s="10" t="s">
        <v>376</v>
      </c>
      <c r="H24" s="10" t="s">
        <v>377</v>
      </c>
      <c r="I24" s="10" t="s">
        <v>378</v>
      </c>
      <c r="J24" s="10" t="s">
        <v>98</v>
      </c>
      <c r="K24" s="10" t="s">
        <v>379</v>
      </c>
      <c r="L24" s="10" t="s">
        <v>380</v>
      </c>
      <c r="M24" s="10"/>
      <c r="N24" s="10" t="s">
        <v>381</v>
      </c>
      <c r="O24" s="10" t="s">
        <v>382</v>
      </c>
      <c r="P24" s="10" t="s">
        <v>201</v>
      </c>
      <c r="Q24" s="11">
        <v>46156</v>
      </c>
      <c r="R24" s="10" t="s">
        <v>105</v>
      </c>
      <c r="S24" s="11">
        <v>46275</v>
      </c>
      <c r="T24" s="12">
        <v>12</v>
      </c>
      <c r="U24" s="13">
        <f t="shared" si="0"/>
        <v>46640</v>
      </c>
      <c r="V24" s="14">
        <f t="shared" si="1"/>
        <v>231</v>
      </c>
      <c r="W24" s="15" t="str">
        <f t="shared" si="2"/>
        <v>OK</v>
      </c>
      <c r="X24" s="10"/>
      <c r="Y24" s="10" t="s">
        <v>336</v>
      </c>
      <c r="Z24" s="10" t="s">
        <v>383</v>
      </c>
      <c r="AA24" s="10" t="s">
        <v>384</v>
      </c>
      <c r="AB24" s="10" t="s">
        <v>385</v>
      </c>
      <c r="AC24" s="10" t="s">
        <v>386</v>
      </c>
    </row>
    <row r="25" spans="1:29" ht="109.95" customHeight="1" x14ac:dyDescent="0.3">
      <c r="A25" s="10" t="s">
        <v>387</v>
      </c>
      <c r="B25" s="10" t="s">
        <v>388</v>
      </c>
      <c r="C25" s="10" t="s">
        <v>373</v>
      </c>
      <c r="D25" s="10" t="s">
        <v>389</v>
      </c>
      <c r="E25" s="10" t="s">
        <v>390</v>
      </c>
      <c r="F25" s="11"/>
      <c r="G25" s="10" t="s">
        <v>376</v>
      </c>
      <c r="H25" s="10" t="s">
        <v>391</v>
      </c>
      <c r="I25" s="10" t="s">
        <v>392</v>
      </c>
      <c r="J25" s="10" t="s">
        <v>98</v>
      </c>
      <c r="K25" s="10" t="s">
        <v>393</v>
      </c>
      <c r="L25" s="10" t="s">
        <v>394</v>
      </c>
      <c r="M25" s="10"/>
      <c r="N25" s="10" t="s">
        <v>395</v>
      </c>
      <c r="O25" s="10" t="s">
        <v>396</v>
      </c>
      <c r="P25" s="10" t="s">
        <v>228</v>
      </c>
      <c r="Q25" s="11">
        <v>46374</v>
      </c>
      <c r="R25" s="10" t="s">
        <v>105</v>
      </c>
      <c r="S25" s="11">
        <v>46374</v>
      </c>
      <c r="T25" s="12">
        <v>12</v>
      </c>
      <c r="U25" s="13">
        <f t="shared" si="0"/>
        <v>46739</v>
      </c>
      <c r="V25" s="14">
        <f t="shared" si="1"/>
        <v>13</v>
      </c>
      <c r="W25" s="15" t="str">
        <f t="shared" si="2"/>
        <v>OK</v>
      </c>
      <c r="X25" s="10" t="s">
        <v>397</v>
      </c>
      <c r="Y25" s="10" t="s">
        <v>230</v>
      </c>
      <c r="Z25" s="10" t="s">
        <v>398</v>
      </c>
      <c r="AA25" s="10" t="s">
        <v>390</v>
      </c>
      <c r="AB25" s="10" t="s">
        <v>399</v>
      </c>
      <c r="AC25" s="10" t="s">
        <v>400</v>
      </c>
    </row>
    <row r="26" spans="1:29" ht="109.95" customHeight="1" x14ac:dyDescent="0.3">
      <c r="A26" s="10" t="s">
        <v>401</v>
      </c>
      <c r="B26" s="10" t="s">
        <v>172</v>
      </c>
      <c r="C26" s="10" t="s">
        <v>173</v>
      </c>
      <c r="D26" s="10" t="s">
        <v>402</v>
      </c>
      <c r="E26" s="10" t="s">
        <v>94</v>
      </c>
      <c r="F26" s="11">
        <v>40945</v>
      </c>
      <c r="G26" s="10" t="s">
        <v>95</v>
      </c>
      <c r="H26" s="10" t="s">
        <v>403</v>
      </c>
      <c r="I26" s="10" t="s">
        <v>404</v>
      </c>
      <c r="J26" s="10" t="s">
        <v>98</v>
      </c>
      <c r="K26" s="10" t="s">
        <v>405</v>
      </c>
      <c r="L26" s="10" t="s">
        <v>406</v>
      </c>
      <c r="M26" s="10" t="s">
        <v>407</v>
      </c>
      <c r="N26" s="10" t="s">
        <v>408</v>
      </c>
      <c r="O26" s="10" t="s">
        <v>409</v>
      </c>
      <c r="P26" s="10" t="s">
        <v>410</v>
      </c>
      <c r="Q26" s="11">
        <v>46289</v>
      </c>
      <c r="R26" s="10" t="s">
        <v>185</v>
      </c>
      <c r="S26" s="11">
        <v>46275</v>
      </c>
      <c r="T26" s="12">
        <v>12</v>
      </c>
      <c r="U26" s="13">
        <f t="shared" si="0"/>
        <v>46640</v>
      </c>
      <c r="V26" s="14">
        <f t="shared" si="1"/>
        <v>98</v>
      </c>
      <c r="W26" s="15" t="str">
        <f t="shared" si="2"/>
        <v>NC com ação em curso</v>
      </c>
      <c r="X26" s="10" t="s">
        <v>411</v>
      </c>
      <c r="Y26" s="10" t="s">
        <v>106</v>
      </c>
      <c r="Z26" s="10" t="s">
        <v>412</v>
      </c>
      <c r="AA26" s="10" t="s">
        <v>413</v>
      </c>
      <c r="AB26" s="10" t="s">
        <v>414</v>
      </c>
      <c r="AC26" s="10"/>
    </row>
  </sheetData>
  <conditionalFormatting sqref="J5:J226">
    <cfRule type="expression" dxfId="21" priority="10">
      <formula>ISNUMBER(SEARCH("Não",J5))</formula>
    </cfRule>
    <cfRule type="expression" dxfId="20" priority="11">
      <formula>ISNUMBER(SEARCH("Futuro",J5))</formula>
    </cfRule>
  </conditionalFormatting>
  <conditionalFormatting sqref="R5:R226">
    <cfRule type="expression" dxfId="19" priority="1">
      <formula>ISNUMBER(SEARCH("NC",R5))</formula>
    </cfRule>
    <cfRule type="expression" dxfId="18" priority="2">
      <formula>ISNUMBER(SEARCH("Futuro",R5))</formula>
    </cfRule>
    <cfRule type="expression" dxfId="17" priority="3">
      <formula>ISNUMBER(SEARCH("Em avaliação",R5))</formula>
    </cfRule>
    <cfRule type="expression" dxfId="16" priority="4">
      <formula>ISNUMBER(SEARCH("C",R5))</formula>
    </cfRule>
  </conditionalFormatting>
  <conditionalFormatting sqref="W5:W226">
    <cfRule type="expression" dxfId="15" priority="5">
      <formula>ISNUMBER(SEARCH("NC sem",W5))</formula>
    </cfRule>
    <cfRule type="expression" dxfId="14" priority="6">
      <formula>ISNUMBER(SEARCH("vencida",W5))</formula>
    </cfRule>
    <cfRule type="expression" dxfId="13" priority="7">
      <formula>ISNUMBER(SEARCH("60 dias",W5))</formula>
    </cfRule>
    <cfRule type="expression" dxfId="12" priority="8">
      <formula>ISNUMBER(SEARCH("em curso",W5))</formula>
    </cfRule>
    <cfRule type="expression" dxfId="11" priority="9">
      <formula>ISNUMBER(SEARCH("OK",W5))</formula>
    </cfRule>
  </conditionalFormatting>
  <dataValidations count="8">
    <dataValidation type="list" allowBlank="1" showErrorMessage="1" errorTitle="Valor inválido" error="Valor fora da lista controlada (ver folha Listas)." sqref="C5:C226" xr:uid="{00000000-0002-0000-0100-000000000000}">
      <formula1>lst_Tema</formula1>
    </dataValidation>
    <dataValidation type="list" allowBlank="1" showErrorMessage="1" errorTitle="Valor inválido" error="Valor fora da lista controlada (ver folha Listas)." sqref="E5:E226" xr:uid="{00000000-0002-0000-0100-000001000000}">
      <formula1>lst_TipoDiploma</formula1>
    </dataValidation>
    <dataValidation type="list" allowBlank="1" showErrorMessage="1" errorTitle="Valor inválido" error="Valor fora da lista controlada (ver folha Listas)." sqref="G5:G226" xr:uid="{00000000-0002-0000-0100-000002000000}">
      <formula1>lst_Ambito</formula1>
    </dataValidation>
    <dataValidation type="list" allowBlank="1" showErrorMessage="1" errorTitle="Valor inválido" error="Valor fora da lista controlada (ver folha Listas)." sqref="J5:J226" xr:uid="{00000000-0002-0000-0100-000003000000}">
      <formula1>lst_Aplicabilidade</formula1>
    </dataValidation>
    <dataValidation type="list" allowBlank="1" showErrorMessage="1" errorTitle="Valor inválido" error="Valor fora da lista controlada (ver folha Listas)." sqref="P5:P226" xr:uid="{00000000-0002-0000-0100-000004000000}">
      <formula1>lst_TipoEvidencia</formula1>
    </dataValidation>
    <dataValidation type="list" allowBlank="1" showErrorMessage="1" errorTitle="Valor inválido" error="Valor fora da lista controlada (ver folha Listas)." sqref="R5:R226" xr:uid="{00000000-0002-0000-0100-000005000000}">
      <formula1>lst_Estado</formula1>
    </dataValidation>
    <dataValidation type="list" allowBlank="1" showErrorMessage="1" errorTitle="Valor inválido" error="Valor fora da lista controlada (ver folha Listas)." sqref="Y5:Y226" xr:uid="{00000000-0002-0000-0100-000006000000}">
      <formula1>lst_Funcao</formula1>
    </dataValidation>
    <dataValidation type="list" allowBlank="1" showErrorMessage="1" errorTitle="Valor inválido" error="Valor fora da lista controlada (ver folha Listas)." sqref="AA5:AA226" xr:uid="{00000000-0002-0000-0100-000007000000}">
      <formula1>lst_Natureza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8" customWidth="1"/>
    <col min="3" max="3" width="48" customWidth="1"/>
    <col min="4" max="4" width="12" customWidth="1"/>
    <col min="5" max="6" width="11" customWidth="1"/>
    <col min="7" max="7" width="34" customWidth="1"/>
    <col min="8" max="8" width="26" customWidth="1"/>
    <col min="9" max="9" width="9" customWidth="1"/>
    <col min="10" max="10" width="14" customWidth="1"/>
  </cols>
  <sheetData>
    <row r="1" spans="1:10" ht="26.4" x14ac:dyDescent="0.3">
      <c r="A1" s="8" t="s">
        <v>415</v>
      </c>
      <c r="B1" s="8" t="s">
        <v>62</v>
      </c>
      <c r="C1" s="8" t="s">
        <v>416</v>
      </c>
      <c r="D1" s="8" t="s">
        <v>417</v>
      </c>
      <c r="E1" s="8" t="s">
        <v>418</v>
      </c>
      <c r="F1" s="8" t="s">
        <v>419</v>
      </c>
      <c r="G1" s="8" t="s">
        <v>420</v>
      </c>
      <c r="H1" s="8" t="s">
        <v>85</v>
      </c>
      <c r="I1" s="9" t="s">
        <v>421</v>
      </c>
      <c r="J1" s="9" t="s">
        <v>14</v>
      </c>
    </row>
    <row r="2" spans="1:10" ht="31.95" customHeight="1" x14ac:dyDescent="0.3">
      <c r="A2" s="10" t="s">
        <v>422</v>
      </c>
      <c r="B2" s="10" t="s">
        <v>90</v>
      </c>
      <c r="C2" s="10" t="s">
        <v>423</v>
      </c>
      <c r="D2" s="10" t="s">
        <v>424</v>
      </c>
      <c r="E2" s="11">
        <v>46477</v>
      </c>
      <c r="F2" s="11">
        <v>46099</v>
      </c>
      <c r="G2" s="10" t="s">
        <v>425</v>
      </c>
      <c r="H2" s="10" t="s">
        <v>106</v>
      </c>
      <c r="I2" s="14">
        <f t="shared" ref="I2:I31" si="0">E2-DataRef</f>
        <v>90</v>
      </c>
      <c r="J2" s="15" t="str">
        <f t="shared" ref="J2:J31" si="1">IF(I2&lt;0,IF(F2&gt;=E2,"Cumprida em atraso","VENCIDA"),IF(I2&lt;=30,"A vencer (≤30 d)","Em dia"))</f>
        <v>Em dia</v>
      </c>
    </row>
    <row r="3" spans="1:10" ht="31.95" customHeight="1" x14ac:dyDescent="0.3">
      <c r="A3" s="10" t="s">
        <v>426</v>
      </c>
      <c r="B3" s="10" t="s">
        <v>276</v>
      </c>
      <c r="C3" s="10" t="s">
        <v>427</v>
      </c>
      <c r="D3" s="10" t="s">
        <v>428</v>
      </c>
      <c r="E3" s="11">
        <v>46418</v>
      </c>
      <c r="F3" s="11">
        <v>46374</v>
      </c>
      <c r="G3" s="10" t="s">
        <v>429</v>
      </c>
      <c r="H3" s="10" t="s">
        <v>187</v>
      </c>
      <c r="I3" s="14">
        <f t="shared" si="0"/>
        <v>31</v>
      </c>
      <c r="J3" s="15" t="str">
        <f t="shared" si="1"/>
        <v>Em dia</v>
      </c>
    </row>
    <row r="4" spans="1:10" ht="31.95" customHeight="1" x14ac:dyDescent="0.3">
      <c r="A4" s="10" t="s">
        <v>430</v>
      </c>
      <c r="B4" s="10" t="s">
        <v>125</v>
      </c>
      <c r="C4" s="10" t="s">
        <v>431</v>
      </c>
      <c r="D4" s="10" t="s">
        <v>432</v>
      </c>
      <c r="E4" s="11">
        <v>46550</v>
      </c>
      <c r="F4" s="11">
        <v>46366</v>
      </c>
      <c r="G4" s="10" t="s">
        <v>433</v>
      </c>
      <c r="H4" s="10" t="s">
        <v>139</v>
      </c>
      <c r="I4" s="14">
        <f t="shared" si="0"/>
        <v>163</v>
      </c>
      <c r="J4" s="15" t="str">
        <f t="shared" si="1"/>
        <v>Em dia</v>
      </c>
    </row>
    <row r="5" spans="1:10" ht="31.95" customHeight="1" x14ac:dyDescent="0.3">
      <c r="A5" s="10" t="s">
        <v>434</v>
      </c>
      <c r="B5" s="10" t="s">
        <v>191</v>
      </c>
      <c r="C5" s="10" t="s">
        <v>435</v>
      </c>
      <c r="D5" s="10" t="s">
        <v>432</v>
      </c>
      <c r="E5" s="11">
        <v>46527</v>
      </c>
      <c r="F5" s="11">
        <v>46344</v>
      </c>
      <c r="G5" s="10" t="s">
        <v>436</v>
      </c>
      <c r="H5" s="10" t="s">
        <v>139</v>
      </c>
      <c r="I5" s="14">
        <f t="shared" si="0"/>
        <v>140</v>
      </c>
      <c r="J5" s="15" t="str">
        <f t="shared" si="1"/>
        <v>Em dia</v>
      </c>
    </row>
    <row r="6" spans="1:10" ht="31.95" customHeight="1" x14ac:dyDescent="0.3">
      <c r="A6" s="10" t="s">
        <v>437</v>
      </c>
      <c r="B6" s="10" t="s">
        <v>204</v>
      </c>
      <c r="C6" s="10" t="s">
        <v>438</v>
      </c>
      <c r="D6" s="10" t="s">
        <v>439</v>
      </c>
      <c r="E6" s="11">
        <v>46873</v>
      </c>
      <c r="F6" s="11">
        <v>46140</v>
      </c>
      <c r="G6" s="10" t="s">
        <v>440</v>
      </c>
      <c r="H6" s="10" t="s">
        <v>139</v>
      </c>
      <c r="I6" s="14">
        <f t="shared" si="0"/>
        <v>486</v>
      </c>
      <c r="J6" s="15" t="str">
        <f t="shared" si="1"/>
        <v>Em dia</v>
      </c>
    </row>
    <row r="7" spans="1:10" ht="31.95" customHeight="1" x14ac:dyDescent="0.3">
      <c r="A7" s="10" t="s">
        <v>441</v>
      </c>
      <c r="B7" s="10" t="s">
        <v>204</v>
      </c>
      <c r="C7" s="10" t="s">
        <v>442</v>
      </c>
      <c r="D7" s="10" t="s">
        <v>443</v>
      </c>
      <c r="E7" s="11">
        <v>47664</v>
      </c>
      <c r="F7" s="11">
        <v>44727</v>
      </c>
      <c r="G7" s="10" t="s">
        <v>444</v>
      </c>
      <c r="H7" s="10" t="s">
        <v>139</v>
      </c>
      <c r="I7" s="14">
        <f t="shared" si="0"/>
        <v>1277</v>
      </c>
      <c r="J7" s="15" t="str">
        <f t="shared" si="1"/>
        <v>Em dia</v>
      </c>
    </row>
    <row r="8" spans="1:10" ht="31.95" customHeight="1" x14ac:dyDescent="0.3">
      <c r="A8" s="10" t="s">
        <v>445</v>
      </c>
      <c r="B8" s="10" t="s">
        <v>264</v>
      </c>
      <c r="C8" s="10" t="s">
        <v>446</v>
      </c>
      <c r="D8" s="10" t="s">
        <v>447</v>
      </c>
      <c r="E8" s="11">
        <v>47195</v>
      </c>
      <c r="F8" s="11">
        <v>46099</v>
      </c>
      <c r="G8" s="10" t="s">
        <v>448</v>
      </c>
      <c r="H8" s="10" t="s">
        <v>106</v>
      </c>
      <c r="I8" s="14">
        <f t="shared" si="0"/>
        <v>808</v>
      </c>
      <c r="J8" s="15" t="str">
        <f t="shared" si="1"/>
        <v>Em dia</v>
      </c>
    </row>
    <row r="9" spans="1:10" ht="31.95" customHeight="1" x14ac:dyDescent="0.3">
      <c r="A9" s="10" t="s">
        <v>449</v>
      </c>
      <c r="B9" s="10" t="s">
        <v>157</v>
      </c>
      <c r="C9" s="10" t="s">
        <v>450</v>
      </c>
      <c r="D9" s="10" t="s">
        <v>428</v>
      </c>
      <c r="E9" s="11">
        <v>47419</v>
      </c>
      <c r="F9" s="11">
        <v>46323</v>
      </c>
      <c r="G9" s="10" t="s">
        <v>451</v>
      </c>
      <c r="H9" s="10" t="s">
        <v>106</v>
      </c>
      <c r="I9" s="14">
        <f t="shared" si="0"/>
        <v>1032</v>
      </c>
      <c r="J9" s="15" t="str">
        <f t="shared" si="1"/>
        <v>Em dia</v>
      </c>
    </row>
    <row r="10" spans="1:10" ht="31.95" customHeight="1" x14ac:dyDescent="0.3">
      <c r="A10" s="10" t="s">
        <v>452</v>
      </c>
      <c r="B10" s="10" t="s">
        <v>250</v>
      </c>
      <c r="C10" s="10" t="s">
        <v>453</v>
      </c>
      <c r="D10" s="10" t="s">
        <v>424</v>
      </c>
      <c r="E10" s="11">
        <v>46717</v>
      </c>
      <c r="F10" s="11">
        <v>46352</v>
      </c>
      <c r="G10" s="10" t="s">
        <v>454</v>
      </c>
      <c r="H10" s="10" t="s">
        <v>122</v>
      </c>
      <c r="I10" s="14">
        <f t="shared" si="0"/>
        <v>330</v>
      </c>
      <c r="J10" s="15" t="str">
        <f t="shared" si="1"/>
        <v>Em dia</v>
      </c>
    </row>
    <row r="11" spans="1:10" ht="31.95" customHeight="1" x14ac:dyDescent="0.3">
      <c r="A11" s="10" t="s">
        <v>455</v>
      </c>
      <c r="B11" s="10" t="s">
        <v>301</v>
      </c>
      <c r="C11" s="10" t="s">
        <v>456</v>
      </c>
      <c r="D11" s="10" t="s">
        <v>457</v>
      </c>
      <c r="E11" s="11">
        <v>46454</v>
      </c>
      <c r="F11" s="11">
        <v>46363</v>
      </c>
      <c r="G11" s="10" t="s">
        <v>458</v>
      </c>
      <c r="H11" s="10" t="s">
        <v>139</v>
      </c>
      <c r="I11" s="14">
        <f t="shared" si="0"/>
        <v>67</v>
      </c>
      <c r="J11" s="15" t="str">
        <f t="shared" si="1"/>
        <v>Em dia</v>
      </c>
    </row>
    <row r="12" spans="1:10" ht="31.95" customHeight="1" x14ac:dyDescent="0.3">
      <c r="A12" s="10" t="s">
        <v>459</v>
      </c>
      <c r="B12" s="10" t="s">
        <v>250</v>
      </c>
      <c r="C12" s="10" t="s">
        <v>460</v>
      </c>
      <c r="D12" s="10" t="s">
        <v>424</v>
      </c>
      <c r="E12" s="11">
        <v>46461</v>
      </c>
      <c r="F12" s="11">
        <v>46096</v>
      </c>
      <c r="G12" s="10" t="s">
        <v>461</v>
      </c>
      <c r="H12" s="10" t="s">
        <v>122</v>
      </c>
      <c r="I12" s="14">
        <f t="shared" si="0"/>
        <v>74</v>
      </c>
      <c r="J12" s="15" t="str">
        <f t="shared" si="1"/>
        <v>Em dia</v>
      </c>
    </row>
    <row r="13" spans="1:10" ht="31.95" customHeight="1" x14ac:dyDescent="0.3">
      <c r="A13" s="10" t="s">
        <v>462</v>
      </c>
      <c r="B13" s="10" t="s">
        <v>171</v>
      </c>
      <c r="C13" s="10" t="s">
        <v>463</v>
      </c>
      <c r="D13" s="10" t="s">
        <v>424</v>
      </c>
      <c r="E13" s="11">
        <v>46632</v>
      </c>
      <c r="F13" s="11">
        <v>46267</v>
      </c>
      <c r="G13" s="10" t="s">
        <v>464</v>
      </c>
      <c r="H13" s="10" t="s">
        <v>187</v>
      </c>
      <c r="I13" s="14">
        <f t="shared" si="0"/>
        <v>245</v>
      </c>
      <c r="J13" s="15" t="str">
        <f t="shared" si="1"/>
        <v>Em dia</v>
      </c>
    </row>
    <row r="14" spans="1:10" ht="31.95" customHeight="1" x14ac:dyDescent="0.3">
      <c r="A14" s="10" t="s">
        <v>465</v>
      </c>
      <c r="B14" s="10" t="s">
        <v>217</v>
      </c>
      <c r="C14" s="10" t="s">
        <v>466</v>
      </c>
      <c r="D14" s="10" t="s">
        <v>428</v>
      </c>
      <c r="E14" s="11">
        <v>46246</v>
      </c>
      <c r="F14" s="11"/>
      <c r="G14" s="10" t="s">
        <v>467</v>
      </c>
      <c r="H14" s="10" t="s">
        <v>230</v>
      </c>
      <c r="I14" s="14">
        <f t="shared" si="0"/>
        <v>-141</v>
      </c>
      <c r="J14" s="15" t="str">
        <f t="shared" si="1"/>
        <v>VENCIDA</v>
      </c>
    </row>
    <row r="15" spans="1:10" ht="31.95" customHeight="1" x14ac:dyDescent="0.3">
      <c r="A15" s="10" t="s">
        <v>468</v>
      </c>
      <c r="B15" s="10" t="s">
        <v>142</v>
      </c>
      <c r="C15" s="10" t="s">
        <v>469</v>
      </c>
      <c r="D15" s="10" t="s">
        <v>424</v>
      </c>
      <c r="E15" s="11">
        <v>46635</v>
      </c>
      <c r="F15" s="11">
        <v>46270</v>
      </c>
      <c r="G15" s="10" t="s">
        <v>470</v>
      </c>
      <c r="H15" s="10" t="s">
        <v>106</v>
      </c>
      <c r="I15" s="14">
        <f t="shared" si="0"/>
        <v>248</v>
      </c>
      <c r="J15" s="15" t="str">
        <f t="shared" si="1"/>
        <v>Em dia</v>
      </c>
    </row>
    <row r="16" spans="1:10" ht="31.95" customHeight="1" x14ac:dyDescent="0.3">
      <c r="A16" s="10" t="s">
        <v>471</v>
      </c>
      <c r="B16" s="10" t="s">
        <v>314</v>
      </c>
      <c r="C16" s="10" t="s">
        <v>472</v>
      </c>
      <c r="D16" s="10" t="s">
        <v>424</v>
      </c>
      <c r="E16" s="11">
        <v>46446</v>
      </c>
      <c r="F16" s="11">
        <v>46079</v>
      </c>
      <c r="G16" s="10" t="s">
        <v>473</v>
      </c>
      <c r="H16" s="10" t="s">
        <v>298</v>
      </c>
      <c r="I16" s="14">
        <f t="shared" si="0"/>
        <v>59</v>
      </c>
      <c r="J16" s="15" t="str">
        <f t="shared" si="1"/>
        <v>Em dia</v>
      </c>
    </row>
    <row r="17" spans="1:10" ht="31.95" customHeight="1" x14ac:dyDescent="0.3">
      <c r="A17" s="10" t="s">
        <v>474</v>
      </c>
      <c r="B17" s="10" t="s">
        <v>387</v>
      </c>
      <c r="C17" s="10" t="s">
        <v>475</v>
      </c>
      <c r="D17" s="10" t="s">
        <v>424</v>
      </c>
      <c r="E17" s="11">
        <v>46652</v>
      </c>
      <c r="F17" s="11">
        <v>46287</v>
      </c>
      <c r="G17" s="10" t="s">
        <v>476</v>
      </c>
      <c r="H17" s="10" t="s">
        <v>230</v>
      </c>
      <c r="I17" s="14">
        <f t="shared" si="0"/>
        <v>265</v>
      </c>
      <c r="J17" s="15" t="str">
        <f t="shared" si="1"/>
        <v>Em dia</v>
      </c>
    </row>
    <row r="18" spans="1:10" ht="31.95" customHeight="1" x14ac:dyDescent="0.3">
      <c r="A18" s="10" t="s">
        <v>477</v>
      </c>
      <c r="B18" s="10" t="s">
        <v>326</v>
      </c>
      <c r="C18" s="10" t="s">
        <v>478</v>
      </c>
      <c r="D18" s="10" t="s">
        <v>424</v>
      </c>
      <c r="E18" s="11">
        <v>46466</v>
      </c>
      <c r="F18" s="11">
        <v>46101</v>
      </c>
      <c r="G18" s="10" t="s">
        <v>479</v>
      </c>
      <c r="H18" s="10" t="s">
        <v>336</v>
      </c>
      <c r="I18" s="14">
        <f t="shared" si="0"/>
        <v>79</v>
      </c>
      <c r="J18" s="15" t="str">
        <f t="shared" si="1"/>
        <v>Em dia</v>
      </c>
    </row>
    <row r="19" spans="1:10" ht="31.95" customHeight="1" x14ac:dyDescent="0.3">
      <c r="A19" s="10" t="s">
        <v>480</v>
      </c>
      <c r="B19" s="10" t="s">
        <v>340</v>
      </c>
      <c r="C19" s="10" t="s">
        <v>481</v>
      </c>
      <c r="D19" s="10" t="s">
        <v>428</v>
      </c>
      <c r="E19" s="11">
        <v>46292</v>
      </c>
      <c r="F19" s="11">
        <v>46294</v>
      </c>
      <c r="G19" s="10" t="s">
        <v>482</v>
      </c>
      <c r="H19" s="10" t="s">
        <v>352</v>
      </c>
      <c r="I19" s="14">
        <f t="shared" si="0"/>
        <v>-95</v>
      </c>
      <c r="J19" s="15" t="str">
        <f t="shared" si="1"/>
        <v>Cumprida em atraso</v>
      </c>
    </row>
    <row r="20" spans="1:10" ht="31.95" customHeight="1" x14ac:dyDescent="0.3">
      <c r="A20" s="10" t="s">
        <v>483</v>
      </c>
      <c r="B20" s="10" t="s">
        <v>171</v>
      </c>
      <c r="C20" s="10" t="s">
        <v>484</v>
      </c>
      <c r="D20" s="10" t="s">
        <v>432</v>
      </c>
      <c r="E20" s="11">
        <v>46428</v>
      </c>
      <c r="F20" s="11">
        <v>46233</v>
      </c>
      <c r="G20" s="10" t="s">
        <v>485</v>
      </c>
      <c r="H20" s="10" t="s">
        <v>106</v>
      </c>
      <c r="I20" s="14">
        <f t="shared" si="0"/>
        <v>41</v>
      </c>
      <c r="J20" s="15" t="str">
        <f t="shared" si="1"/>
        <v>Em dia</v>
      </c>
    </row>
    <row r="21" spans="1:10" ht="31.95" customHeight="1" x14ac:dyDescent="0.3">
      <c r="A21" s="10" t="s">
        <v>486</v>
      </c>
      <c r="B21" s="10" t="s">
        <v>234</v>
      </c>
      <c r="C21" s="10" t="s">
        <v>487</v>
      </c>
      <c r="D21" s="10" t="s">
        <v>424</v>
      </c>
      <c r="E21" s="11">
        <v>46538</v>
      </c>
      <c r="F21" s="11">
        <v>46170</v>
      </c>
      <c r="G21" s="10" t="s">
        <v>488</v>
      </c>
      <c r="H21" s="10" t="s">
        <v>106</v>
      </c>
      <c r="I21" s="14">
        <f t="shared" si="0"/>
        <v>151</v>
      </c>
      <c r="J21" s="15" t="str">
        <f t="shared" si="1"/>
        <v>Em dia</v>
      </c>
    </row>
    <row r="22" spans="1:10" ht="31.95" customHeight="1" x14ac:dyDescent="0.3">
      <c r="A22" s="10" t="s">
        <v>489</v>
      </c>
      <c r="B22" s="10" t="s">
        <v>171</v>
      </c>
      <c r="C22" s="10" t="s">
        <v>490</v>
      </c>
      <c r="D22" s="10" t="s">
        <v>424</v>
      </c>
      <c r="E22" s="11">
        <v>46451</v>
      </c>
      <c r="F22" s="11">
        <v>46086</v>
      </c>
      <c r="G22" s="10" t="s">
        <v>491</v>
      </c>
      <c r="H22" s="10" t="s">
        <v>492</v>
      </c>
      <c r="I22" s="14">
        <f t="shared" si="0"/>
        <v>64</v>
      </c>
      <c r="J22" s="15" t="str">
        <f t="shared" si="1"/>
        <v>Em dia</v>
      </c>
    </row>
    <row r="23" spans="1:10" ht="31.95" customHeight="1" x14ac:dyDescent="0.3">
      <c r="A23" s="10" t="s">
        <v>493</v>
      </c>
      <c r="B23" s="10" t="s">
        <v>401</v>
      </c>
      <c r="C23" s="10" t="s">
        <v>494</v>
      </c>
      <c r="D23" s="10" t="s">
        <v>447</v>
      </c>
      <c r="E23" s="11">
        <v>46461</v>
      </c>
      <c r="F23" s="11">
        <v>45366</v>
      </c>
      <c r="G23" s="10" t="s">
        <v>495</v>
      </c>
      <c r="H23" s="10" t="s">
        <v>106</v>
      </c>
      <c r="I23" s="14">
        <f t="shared" si="0"/>
        <v>74</v>
      </c>
      <c r="J23" s="15" t="str">
        <f t="shared" si="1"/>
        <v>Em dia</v>
      </c>
    </row>
    <row r="24" spans="1:10" ht="31.95" customHeight="1" x14ac:dyDescent="0.3">
      <c r="A24" s="10" t="s">
        <v>496</v>
      </c>
      <c r="B24" s="10" t="s">
        <v>401</v>
      </c>
      <c r="C24" s="10" t="s">
        <v>497</v>
      </c>
      <c r="D24" s="10" t="s">
        <v>424</v>
      </c>
      <c r="E24" s="11">
        <v>46711</v>
      </c>
      <c r="F24" s="11">
        <v>46345</v>
      </c>
      <c r="G24" s="10" t="s">
        <v>498</v>
      </c>
      <c r="H24" s="10" t="s">
        <v>106</v>
      </c>
      <c r="I24" s="14">
        <f t="shared" si="0"/>
        <v>324</v>
      </c>
      <c r="J24" s="15" t="str">
        <f t="shared" si="1"/>
        <v>Em dia</v>
      </c>
    </row>
    <row r="25" spans="1:10" ht="31.95" customHeight="1" x14ac:dyDescent="0.3">
      <c r="A25" s="10" t="s">
        <v>499</v>
      </c>
      <c r="B25" s="10" t="s">
        <v>111</v>
      </c>
      <c r="C25" s="10" t="s">
        <v>500</v>
      </c>
      <c r="D25" s="10" t="s">
        <v>424</v>
      </c>
      <c r="E25" s="11">
        <v>46632</v>
      </c>
      <c r="F25" s="11">
        <v>46267</v>
      </c>
      <c r="G25" s="10" t="s">
        <v>501</v>
      </c>
      <c r="H25" s="10" t="s">
        <v>106</v>
      </c>
      <c r="I25" s="14">
        <f t="shared" si="0"/>
        <v>245</v>
      </c>
      <c r="J25" s="15" t="str">
        <f t="shared" si="1"/>
        <v>Em dia</v>
      </c>
    </row>
    <row r="26" spans="1:10" ht="31.95" customHeight="1" x14ac:dyDescent="0.3">
      <c r="A26" s="10" t="s">
        <v>502</v>
      </c>
      <c r="B26" s="10" t="s">
        <v>171</v>
      </c>
      <c r="C26" s="10" t="s">
        <v>503</v>
      </c>
      <c r="D26" s="10" t="s">
        <v>504</v>
      </c>
      <c r="E26" s="11">
        <v>46975</v>
      </c>
      <c r="F26" s="11">
        <v>45148</v>
      </c>
      <c r="G26" s="10" t="s">
        <v>505</v>
      </c>
      <c r="H26" s="10" t="s">
        <v>506</v>
      </c>
      <c r="I26" s="14">
        <f t="shared" si="0"/>
        <v>588</v>
      </c>
      <c r="J26" s="15" t="str">
        <f t="shared" si="1"/>
        <v>Em dia</v>
      </c>
    </row>
    <row r="27" spans="1:10" ht="31.95" customHeight="1" x14ac:dyDescent="0.3">
      <c r="A27" s="10" t="s">
        <v>507</v>
      </c>
      <c r="B27" s="10" t="s">
        <v>234</v>
      </c>
      <c r="C27" s="10" t="s">
        <v>508</v>
      </c>
      <c r="D27" s="10" t="s">
        <v>428</v>
      </c>
      <c r="E27" s="11">
        <v>46738</v>
      </c>
      <c r="F27" s="11"/>
      <c r="G27" s="10" t="s">
        <v>247</v>
      </c>
      <c r="H27" s="10" t="s">
        <v>106</v>
      </c>
      <c r="I27" s="14">
        <f t="shared" si="0"/>
        <v>351</v>
      </c>
      <c r="J27" s="15" t="str">
        <f t="shared" si="1"/>
        <v>Em dia</v>
      </c>
    </row>
    <row r="28" spans="1:10" ht="31.95" customHeight="1" x14ac:dyDescent="0.3">
      <c r="A28" s="10" t="s">
        <v>509</v>
      </c>
      <c r="B28" s="10" t="s">
        <v>401</v>
      </c>
      <c r="C28" s="10" t="s">
        <v>510</v>
      </c>
      <c r="D28" s="10" t="s">
        <v>424</v>
      </c>
      <c r="E28" s="11">
        <v>46407</v>
      </c>
      <c r="F28" s="11">
        <v>46042</v>
      </c>
      <c r="G28" s="10" t="s">
        <v>511</v>
      </c>
      <c r="H28" s="10" t="s">
        <v>506</v>
      </c>
      <c r="I28" s="14">
        <f t="shared" si="0"/>
        <v>20</v>
      </c>
      <c r="J28" s="15" t="str">
        <f t="shared" si="1"/>
        <v>A vencer (≤30 d)</v>
      </c>
    </row>
    <row r="29" spans="1:10" ht="31.95" customHeight="1" x14ac:dyDescent="0.3">
      <c r="A29" s="10" t="s">
        <v>512</v>
      </c>
      <c r="B29" s="10" t="s">
        <v>401</v>
      </c>
      <c r="C29" s="10" t="s">
        <v>513</v>
      </c>
      <c r="D29" s="10" t="s">
        <v>424</v>
      </c>
      <c r="E29" s="11">
        <v>46703</v>
      </c>
      <c r="F29" s="11">
        <v>46338</v>
      </c>
      <c r="G29" s="10" t="s">
        <v>514</v>
      </c>
      <c r="H29" s="10" t="s">
        <v>106</v>
      </c>
      <c r="I29" s="14">
        <f t="shared" si="0"/>
        <v>316</v>
      </c>
      <c r="J29" s="15" t="str">
        <f t="shared" si="1"/>
        <v>Em dia</v>
      </c>
    </row>
    <row r="30" spans="1:10" ht="31.95" customHeight="1" x14ac:dyDescent="0.3">
      <c r="A30" s="10" t="s">
        <v>515</v>
      </c>
      <c r="B30" s="10" t="s">
        <v>171</v>
      </c>
      <c r="C30" s="10" t="s">
        <v>516</v>
      </c>
      <c r="D30" s="10" t="s">
        <v>432</v>
      </c>
      <c r="E30" s="11">
        <v>46492</v>
      </c>
      <c r="F30" s="11">
        <v>46309</v>
      </c>
      <c r="G30" s="10" t="s">
        <v>517</v>
      </c>
      <c r="H30" s="10" t="s">
        <v>106</v>
      </c>
      <c r="I30" s="14">
        <f t="shared" si="0"/>
        <v>105</v>
      </c>
      <c r="J30" s="15" t="str">
        <f t="shared" si="1"/>
        <v>Em dia</v>
      </c>
    </row>
    <row r="31" spans="1:10" ht="31.95" customHeight="1" x14ac:dyDescent="0.3">
      <c r="A31" s="10" t="s">
        <v>518</v>
      </c>
      <c r="B31" s="10" t="s">
        <v>301</v>
      </c>
      <c r="C31" s="10" t="s">
        <v>519</v>
      </c>
      <c r="D31" s="10" t="s">
        <v>424</v>
      </c>
      <c r="E31" s="11">
        <v>46547</v>
      </c>
      <c r="F31" s="11">
        <v>46182</v>
      </c>
      <c r="G31" s="10" t="s">
        <v>520</v>
      </c>
      <c r="H31" s="10" t="s">
        <v>139</v>
      </c>
      <c r="I31" s="14">
        <f t="shared" si="0"/>
        <v>160</v>
      </c>
      <c r="J31" s="15" t="str">
        <f t="shared" si="1"/>
        <v>Em dia</v>
      </c>
    </row>
  </sheetData>
  <conditionalFormatting sqref="J2:J231">
    <cfRule type="expression" dxfId="10" priority="1">
      <formula>ISNUMBER(SEARCH("VENCIDA",J2))</formula>
    </cfRule>
    <cfRule type="expression" dxfId="9" priority="2">
      <formula>ISNUMBER(SEARCH("atraso",J2))</formula>
    </cfRule>
    <cfRule type="expression" dxfId="8" priority="3">
      <formula>ISNUMBER(SEARCH("A vencer",J2))</formula>
    </cfRule>
    <cfRule type="expression" dxfId="7" priority="4">
      <formula>ISNUMBER(SEARCH("Em dia",J2))</formula>
    </cfRule>
  </conditionalFormatting>
  <dataValidations count="2">
    <dataValidation type="list" allowBlank="1" showErrorMessage="1" errorTitle="Valor inválido" error="Valor fora da lista controlada (ver folha Listas)." sqref="D2:D231" xr:uid="{00000000-0002-0000-0200-000000000000}">
      <formula1>lst_Frequencia</formula1>
    </dataValidation>
    <dataValidation type="list" allowBlank="1" showErrorMessage="1" errorTitle="Valor inválido" error="Valor fora da lista controlada (ver folha Listas)." sqref="H2:H231" xr:uid="{00000000-0002-0000-02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45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7" customWidth="1"/>
    <col min="3" max="3" width="11" customWidth="1"/>
    <col min="4" max="4" width="7" customWidth="1"/>
  </cols>
  <sheetData>
    <row r="1" spans="1:4" ht="26.4" x14ac:dyDescent="0.3">
      <c r="A1" s="8" t="s">
        <v>62</v>
      </c>
      <c r="B1" s="8" t="s">
        <v>521</v>
      </c>
      <c r="C1" s="8" t="s">
        <v>79</v>
      </c>
      <c r="D1" s="8" t="s">
        <v>14</v>
      </c>
    </row>
    <row r="2" spans="1:4" x14ac:dyDescent="0.3">
      <c r="A2" s="10" t="s">
        <v>90</v>
      </c>
      <c r="B2" s="10" t="s">
        <v>522</v>
      </c>
      <c r="C2" s="11">
        <v>45912</v>
      </c>
      <c r="D2" s="10" t="s">
        <v>105</v>
      </c>
    </row>
    <row r="3" spans="1:4" x14ac:dyDescent="0.3">
      <c r="A3" s="10" t="s">
        <v>90</v>
      </c>
      <c r="B3" s="10" t="s">
        <v>523</v>
      </c>
      <c r="C3" s="11">
        <v>46275</v>
      </c>
      <c r="D3" s="10" t="s">
        <v>105</v>
      </c>
    </row>
    <row r="4" spans="1:4" x14ac:dyDescent="0.3">
      <c r="A4" s="10" t="s">
        <v>111</v>
      </c>
      <c r="B4" s="10" t="s">
        <v>522</v>
      </c>
      <c r="C4" s="11">
        <v>45912</v>
      </c>
      <c r="D4" s="10" t="s">
        <v>105</v>
      </c>
    </row>
    <row r="5" spans="1:4" x14ac:dyDescent="0.3">
      <c r="A5" s="10" t="s">
        <v>111</v>
      </c>
      <c r="B5" s="10" t="s">
        <v>523</v>
      </c>
      <c r="C5" s="11">
        <v>46275</v>
      </c>
      <c r="D5" s="10" t="s">
        <v>105</v>
      </c>
    </row>
    <row r="6" spans="1:4" x14ac:dyDescent="0.3">
      <c r="A6" s="10" t="s">
        <v>125</v>
      </c>
      <c r="B6" s="10" t="s">
        <v>522</v>
      </c>
      <c r="C6" s="11">
        <v>45912</v>
      </c>
      <c r="D6" s="10" t="s">
        <v>105</v>
      </c>
    </row>
    <row r="7" spans="1:4" x14ac:dyDescent="0.3">
      <c r="A7" s="10" t="s">
        <v>125</v>
      </c>
      <c r="B7" s="10" t="s">
        <v>523</v>
      </c>
      <c r="C7" s="11">
        <v>46275</v>
      </c>
      <c r="D7" s="10" t="s">
        <v>105</v>
      </c>
    </row>
    <row r="8" spans="1:4" x14ac:dyDescent="0.3">
      <c r="A8" s="10" t="s">
        <v>142</v>
      </c>
      <c r="B8" s="10" t="s">
        <v>522</v>
      </c>
      <c r="C8" s="11">
        <v>45912</v>
      </c>
      <c r="D8" s="10" t="s">
        <v>105</v>
      </c>
    </row>
    <row r="9" spans="1:4" x14ac:dyDescent="0.3">
      <c r="A9" s="10" t="s">
        <v>142</v>
      </c>
      <c r="B9" s="10" t="s">
        <v>523</v>
      </c>
      <c r="C9" s="11">
        <v>46275</v>
      </c>
      <c r="D9" s="10" t="s">
        <v>105</v>
      </c>
    </row>
    <row r="10" spans="1:4" x14ac:dyDescent="0.3">
      <c r="A10" s="10" t="s">
        <v>157</v>
      </c>
      <c r="B10" s="10" t="s">
        <v>522</v>
      </c>
      <c r="C10" s="11">
        <v>45912</v>
      </c>
      <c r="D10" s="10" t="s">
        <v>105</v>
      </c>
    </row>
    <row r="11" spans="1:4" x14ac:dyDescent="0.3">
      <c r="A11" s="10" t="s">
        <v>157</v>
      </c>
      <c r="B11" s="10" t="s">
        <v>523</v>
      </c>
      <c r="C11" s="11">
        <v>46275</v>
      </c>
      <c r="D11" s="10" t="s">
        <v>185</v>
      </c>
    </row>
    <row r="12" spans="1:4" x14ac:dyDescent="0.3">
      <c r="A12" s="10" t="s">
        <v>171</v>
      </c>
      <c r="B12" s="10" t="s">
        <v>522</v>
      </c>
      <c r="C12" s="11">
        <v>45912</v>
      </c>
      <c r="D12" s="10" t="s">
        <v>185</v>
      </c>
    </row>
    <row r="13" spans="1:4" x14ac:dyDescent="0.3">
      <c r="A13" s="10" t="s">
        <v>171</v>
      </c>
      <c r="B13" s="10" t="s">
        <v>523</v>
      </c>
      <c r="C13" s="11">
        <v>46275</v>
      </c>
      <c r="D13" s="10" t="s">
        <v>185</v>
      </c>
    </row>
    <row r="14" spans="1:4" x14ac:dyDescent="0.3">
      <c r="A14" s="10" t="s">
        <v>191</v>
      </c>
      <c r="B14" s="10" t="s">
        <v>522</v>
      </c>
      <c r="C14" s="11">
        <v>45912</v>
      </c>
      <c r="D14" s="10" t="s">
        <v>105</v>
      </c>
    </row>
    <row r="15" spans="1:4" x14ac:dyDescent="0.3">
      <c r="A15" s="10" t="s">
        <v>191</v>
      </c>
      <c r="B15" s="10" t="s">
        <v>523</v>
      </c>
      <c r="C15" s="11">
        <v>46275</v>
      </c>
      <c r="D15" s="10" t="s">
        <v>105</v>
      </c>
    </row>
    <row r="16" spans="1:4" x14ac:dyDescent="0.3">
      <c r="A16" s="10" t="s">
        <v>204</v>
      </c>
      <c r="B16" s="10" t="s">
        <v>522</v>
      </c>
      <c r="C16" s="11">
        <v>45912</v>
      </c>
      <c r="D16" s="10" t="s">
        <v>105</v>
      </c>
    </row>
    <row r="17" spans="1:4" x14ac:dyDescent="0.3">
      <c r="A17" s="10" t="s">
        <v>204</v>
      </c>
      <c r="B17" s="10" t="s">
        <v>523</v>
      </c>
      <c r="C17" s="11">
        <v>46275</v>
      </c>
      <c r="D17" s="10" t="s">
        <v>105</v>
      </c>
    </row>
    <row r="18" spans="1:4" x14ac:dyDescent="0.3">
      <c r="A18" s="10" t="s">
        <v>217</v>
      </c>
      <c r="B18" s="10" t="s">
        <v>522</v>
      </c>
      <c r="C18" s="11">
        <v>45912</v>
      </c>
      <c r="D18" s="10" t="s">
        <v>240</v>
      </c>
    </row>
    <row r="19" spans="1:4" x14ac:dyDescent="0.3">
      <c r="A19" s="10" t="s">
        <v>217</v>
      </c>
      <c r="B19" s="10" t="s">
        <v>523</v>
      </c>
      <c r="C19" s="11">
        <v>46275</v>
      </c>
      <c r="D19" s="10" t="s">
        <v>185</v>
      </c>
    </row>
    <row r="20" spans="1:4" x14ac:dyDescent="0.3">
      <c r="A20" s="10" t="s">
        <v>234</v>
      </c>
      <c r="B20" s="10" t="s">
        <v>522</v>
      </c>
      <c r="C20" s="11">
        <v>45912</v>
      </c>
      <c r="D20" s="10" t="s">
        <v>240</v>
      </c>
    </row>
    <row r="21" spans="1:4" x14ac:dyDescent="0.3">
      <c r="A21" s="10" t="s">
        <v>234</v>
      </c>
      <c r="B21" s="10" t="s">
        <v>523</v>
      </c>
      <c r="C21" s="11">
        <v>46275</v>
      </c>
      <c r="D21" s="10" t="s">
        <v>240</v>
      </c>
    </row>
    <row r="22" spans="1:4" x14ac:dyDescent="0.3">
      <c r="A22" s="10" t="s">
        <v>250</v>
      </c>
      <c r="B22" s="10" t="s">
        <v>522</v>
      </c>
      <c r="C22" s="11">
        <v>45912</v>
      </c>
      <c r="D22" s="10" t="s">
        <v>105</v>
      </c>
    </row>
    <row r="23" spans="1:4" x14ac:dyDescent="0.3">
      <c r="A23" s="10" t="s">
        <v>250</v>
      </c>
      <c r="B23" s="10" t="s">
        <v>523</v>
      </c>
      <c r="C23" s="11">
        <v>46275</v>
      </c>
      <c r="D23" s="10" t="s">
        <v>105</v>
      </c>
    </row>
    <row r="24" spans="1:4" x14ac:dyDescent="0.3">
      <c r="A24" s="10" t="s">
        <v>264</v>
      </c>
      <c r="B24" s="10" t="s">
        <v>522</v>
      </c>
      <c r="C24" s="11">
        <v>45912</v>
      </c>
      <c r="D24" s="10" t="s">
        <v>185</v>
      </c>
    </row>
    <row r="25" spans="1:4" x14ac:dyDescent="0.3">
      <c r="A25" s="10" t="s">
        <v>264</v>
      </c>
      <c r="B25" s="10" t="s">
        <v>523</v>
      </c>
      <c r="C25" s="11">
        <v>46275</v>
      </c>
      <c r="D25" s="10" t="s">
        <v>105</v>
      </c>
    </row>
    <row r="26" spans="1:4" x14ac:dyDescent="0.3">
      <c r="A26" s="10" t="s">
        <v>276</v>
      </c>
      <c r="B26" s="10" t="s">
        <v>522</v>
      </c>
      <c r="C26" s="11">
        <v>45912</v>
      </c>
      <c r="D26" s="10" t="s">
        <v>105</v>
      </c>
    </row>
    <row r="27" spans="1:4" x14ac:dyDescent="0.3">
      <c r="A27" s="10" t="s">
        <v>276</v>
      </c>
      <c r="B27" s="10" t="s">
        <v>523</v>
      </c>
      <c r="C27" s="11">
        <v>46275</v>
      </c>
      <c r="D27" s="10" t="s">
        <v>105</v>
      </c>
    </row>
    <row r="28" spans="1:4" x14ac:dyDescent="0.3">
      <c r="A28" s="10" t="s">
        <v>289</v>
      </c>
      <c r="B28" s="10" t="s">
        <v>522</v>
      </c>
      <c r="C28" s="11">
        <v>45912</v>
      </c>
      <c r="D28" s="10" t="s">
        <v>105</v>
      </c>
    </row>
    <row r="29" spans="1:4" x14ac:dyDescent="0.3">
      <c r="A29" s="10" t="s">
        <v>289</v>
      </c>
      <c r="B29" s="10" t="s">
        <v>523</v>
      </c>
      <c r="C29" s="11">
        <v>46275</v>
      </c>
      <c r="D29" s="10" t="s">
        <v>105</v>
      </c>
    </row>
    <row r="30" spans="1:4" x14ac:dyDescent="0.3">
      <c r="A30" s="10" t="s">
        <v>301</v>
      </c>
      <c r="B30" s="10" t="s">
        <v>522</v>
      </c>
      <c r="C30" s="11">
        <v>45912</v>
      </c>
      <c r="D30" s="10" t="s">
        <v>185</v>
      </c>
    </row>
    <row r="31" spans="1:4" x14ac:dyDescent="0.3">
      <c r="A31" s="10" t="s">
        <v>301</v>
      </c>
      <c r="B31" s="10" t="s">
        <v>523</v>
      </c>
      <c r="C31" s="11">
        <v>46275</v>
      </c>
      <c r="D31" s="10" t="s">
        <v>105</v>
      </c>
    </row>
    <row r="32" spans="1:4" x14ac:dyDescent="0.3">
      <c r="A32" s="10" t="s">
        <v>314</v>
      </c>
      <c r="B32" s="10" t="s">
        <v>522</v>
      </c>
      <c r="C32" s="11">
        <v>45912</v>
      </c>
      <c r="D32" s="10" t="s">
        <v>105</v>
      </c>
    </row>
    <row r="33" spans="1:4" x14ac:dyDescent="0.3">
      <c r="A33" s="10" t="s">
        <v>314</v>
      </c>
      <c r="B33" s="10" t="s">
        <v>523</v>
      </c>
      <c r="C33" s="11">
        <v>46275</v>
      </c>
      <c r="D33" s="10" t="s">
        <v>105</v>
      </c>
    </row>
    <row r="34" spans="1:4" x14ac:dyDescent="0.3">
      <c r="A34" s="10" t="s">
        <v>326</v>
      </c>
      <c r="B34" s="10" t="s">
        <v>522</v>
      </c>
      <c r="C34" s="11">
        <v>45912</v>
      </c>
      <c r="D34" s="10" t="s">
        <v>105</v>
      </c>
    </row>
    <row r="35" spans="1:4" x14ac:dyDescent="0.3">
      <c r="A35" s="10" t="s">
        <v>326</v>
      </c>
      <c r="B35" s="10" t="s">
        <v>523</v>
      </c>
      <c r="C35" s="11">
        <v>46275</v>
      </c>
      <c r="D35" s="10" t="s">
        <v>105</v>
      </c>
    </row>
    <row r="36" spans="1:4" x14ac:dyDescent="0.3">
      <c r="A36" s="10" t="s">
        <v>340</v>
      </c>
      <c r="B36" s="10" t="s">
        <v>522</v>
      </c>
      <c r="C36" s="11">
        <v>45912</v>
      </c>
      <c r="D36" s="10" t="s">
        <v>240</v>
      </c>
    </row>
    <row r="37" spans="1:4" x14ac:dyDescent="0.3">
      <c r="A37" s="10" t="s">
        <v>340</v>
      </c>
      <c r="B37" s="10" t="s">
        <v>523</v>
      </c>
      <c r="C37" s="11">
        <v>46275</v>
      </c>
      <c r="D37" s="10" t="s">
        <v>240</v>
      </c>
    </row>
    <row r="38" spans="1:4" ht="39.6" x14ac:dyDescent="0.3">
      <c r="A38" s="10" t="s">
        <v>356</v>
      </c>
      <c r="B38" s="10" t="s">
        <v>522</v>
      </c>
      <c r="C38" s="11">
        <v>45912</v>
      </c>
      <c r="D38" s="10" t="s">
        <v>524</v>
      </c>
    </row>
    <row r="39" spans="1:4" ht="39.6" x14ac:dyDescent="0.3">
      <c r="A39" s="10" t="s">
        <v>356</v>
      </c>
      <c r="B39" s="10" t="s">
        <v>523</v>
      </c>
      <c r="C39" s="11">
        <v>46275</v>
      </c>
      <c r="D39" s="10" t="s">
        <v>524</v>
      </c>
    </row>
    <row r="40" spans="1:4" x14ac:dyDescent="0.3">
      <c r="A40" s="10" t="s">
        <v>371</v>
      </c>
      <c r="B40" s="10" t="s">
        <v>522</v>
      </c>
      <c r="C40" s="11">
        <v>45912</v>
      </c>
      <c r="D40" s="10" t="s">
        <v>105</v>
      </c>
    </row>
    <row r="41" spans="1:4" x14ac:dyDescent="0.3">
      <c r="A41" s="10" t="s">
        <v>371</v>
      </c>
      <c r="B41" s="10" t="s">
        <v>523</v>
      </c>
      <c r="C41" s="11">
        <v>46275</v>
      </c>
      <c r="D41" s="10" t="s">
        <v>105</v>
      </c>
    </row>
    <row r="42" spans="1:4" x14ac:dyDescent="0.3">
      <c r="A42" s="10" t="s">
        <v>387</v>
      </c>
      <c r="B42" s="10" t="s">
        <v>522</v>
      </c>
      <c r="C42" s="11">
        <v>45912</v>
      </c>
      <c r="D42" s="10" t="s">
        <v>240</v>
      </c>
    </row>
    <row r="43" spans="1:4" x14ac:dyDescent="0.3">
      <c r="A43" s="10" t="s">
        <v>387</v>
      </c>
      <c r="B43" s="10" t="s">
        <v>523</v>
      </c>
      <c r="C43" s="11">
        <v>46275</v>
      </c>
      <c r="D43" s="10" t="s">
        <v>185</v>
      </c>
    </row>
    <row r="44" spans="1:4" ht="39.6" x14ac:dyDescent="0.3">
      <c r="A44" s="10" t="s">
        <v>401</v>
      </c>
      <c r="B44" s="10" t="s">
        <v>522</v>
      </c>
      <c r="C44" s="11">
        <v>45912</v>
      </c>
      <c r="D44" s="10" t="s">
        <v>524</v>
      </c>
    </row>
    <row r="45" spans="1:4" x14ac:dyDescent="0.3">
      <c r="A45" s="10" t="s">
        <v>401</v>
      </c>
      <c r="B45" s="10" t="s">
        <v>523</v>
      </c>
      <c r="C45" s="11">
        <v>46275</v>
      </c>
      <c r="D45" s="10" t="s">
        <v>185</v>
      </c>
    </row>
  </sheetData>
  <conditionalFormatting sqref="D2:D245">
    <cfRule type="expression" dxfId="6" priority="1">
      <formula>ISNUMBER(SEARCH("NC",D2))</formula>
    </cfRule>
    <cfRule type="expression" dxfId="5" priority="2">
      <formula>ISNUMBER(SEARCH("Futuro",D2))</formula>
    </cfRule>
    <cfRule type="expression" dxfId="4" priority="3">
      <formula>ISNUMBER(SEARCH("C",D2))</formula>
    </cfRule>
  </conditionalFormatting>
  <dataValidations count="1">
    <dataValidation type="list" allowBlank="1" showErrorMessage="1" errorTitle="Valor inválido" error="Valor fora da lista controlada (ver folha Listas)." sqref="D2:D245" xr:uid="{00000000-0002-0000-0300-000000000000}">
      <formula1>lst_Estado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G2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34" customWidth="1"/>
    <col min="3" max="3" width="46" customWidth="1"/>
    <col min="4" max="4" width="14" customWidth="1"/>
    <col min="5" max="5" width="40" customWidth="1"/>
    <col min="6" max="6" width="56" customWidth="1"/>
    <col min="7" max="7" width="10" customWidth="1"/>
  </cols>
  <sheetData>
    <row r="1" spans="1:7" ht="21" x14ac:dyDescent="0.4">
      <c r="A1" s="16" t="s">
        <v>525</v>
      </c>
      <c r="B1" s="17" t="s">
        <v>526</v>
      </c>
      <c r="G1" s="18" t="s">
        <v>527</v>
      </c>
    </row>
    <row r="2" spans="1:7" x14ac:dyDescent="0.3">
      <c r="B2" s="2" t="s">
        <v>528</v>
      </c>
      <c r="G2" s="19" t="s">
        <v>529</v>
      </c>
    </row>
    <row r="3" spans="1:7" x14ac:dyDescent="0.3">
      <c r="A3" s="20"/>
      <c r="B3" s="20"/>
      <c r="C3" s="20"/>
      <c r="D3" s="20"/>
      <c r="E3" s="20"/>
      <c r="F3" s="20"/>
      <c r="G3" s="20"/>
    </row>
    <row r="5" spans="1:7" ht="26.4" x14ac:dyDescent="0.3">
      <c r="A5" s="8" t="s">
        <v>530</v>
      </c>
      <c r="B5" s="8" t="s">
        <v>531</v>
      </c>
      <c r="C5" s="8" t="s">
        <v>532</v>
      </c>
      <c r="D5" s="8" t="s">
        <v>71</v>
      </c>
      <c r="E5" s="8" t="s">
        <v>533</v>
      </c>
      <c r="F5" s="8" t="s">
        <v>534</v>
      </c>
      <c r="G5" s="8" t="s">
        <v>535</v>
      </c>
    </row>
    <row r="6" spans="1:7" ht="105" customHeight="1" x14ac:dyDescent="0.3">
      <c r="A6" s="21" t="str">
        <f>INDEX(Requisitos_Legais!$C$5:$C$26,1)</f>
        <v>Resíduos industriais</v>
      </c>
      <c r="B6" s="21" t="str">
        <f>INDEX(Requisitos_Legais!$D$5:$D$26,1)</f>
        <v>Decreto-Lei n.º 102-D/2020, de 10 de dezembro (RGGR)</v>
      </c>
      <c r="C6" s="21" t="str">
        <f>INDEX(Requisitos_Legais!$I$5:$I$26,1)</f>
        <v>Separar na origem, armazenar em condições adequadas, classificar pela Lista Europeia de Resíduos (LER), encaminhar para operadores licenciados e submeter o MIRR anual no SILiAmb até 31 de março.</v>
      </c>
      <c r="D6" s="22" t="str">
        <f>INDEX(Requisitos_Legais!$J$5:$J$26,1)&amp;IF(INDEX(Requisitos_Legais!$J$5:$J$26,1)="Sim",""," — "&amp;INDEX(Requisitos_Legais!$K$5:$K$26,1))</f>
        <v>Sim</v>
      </c>
      <c r="E6" s="21" t="str">
        <f>INDEX(Requisitos_Legais!$N$5:$N$26,1)</f>
        <v>Parque de resíduos com contentores identificados por código LER; balança de plataforma verificada; contratos com 7 operadores licenciados.</v>
      </c>
      <c r="F6" s="21" t="str">
        <f>INDEX(Requisitos_Legais!$O$5:$O$26,1)</f>
        <v>Submissão do MIRR 2025 no SILiAmb em 18/03/2026 (comprovativo n.º MIRR-2025-PLA-0417). Amostra de 20 e-GAR de jan–ago/2026: 100% com operador licenciado e código LER coerente com a pesagem interna.</v>
      </c>
      <c r="G6" s="22" t="str">
        <f>INDEX(Requisitos_Legais!$R$5:$R$26,1)</f>
        <v>C</v>
      </c>
    </row>
    <row r="7" spans="1:7" ht="105" customHeight="1" x14ac:dyDescent="0.3">
      <c r="A7" s="21" t="str">
        <f>INDEX(Requisitos_Legais!$C$5:$C$26,2)</f>
        <v>Licenciamento industrial</v>
      </c>
      <c r="B7" s="21" t="str">
        <f>INDEX(Requisitos_Legais!$D$5:$D$26,2)</f>
        <v>Decreto-Lei n.º 169/2012, de 1 de agosto (SIR), republicado pelo DL 73/2015</v>
      </c>
      <c r="C7" s="21" t="str">
        <f>INDEX(Requisitos_Legais!$I$5:$I$26,2)</f>
        <v>Explorar o estabelecimento industrial com título válido e comunicar alterações que modifiquem a tipologia ou as condições de exploração.</v>
      </c>
      <c r="D7" s="22" t="str">
        <f>INDEX(Requisitos_Legais!$J$5:$J$26,2)&amp;IF(INDEX(Requisitos_Legais!$J$5:$J$26,2)="Sim",""," — "&amp;INDEX(Requisitos_Legais!$K$5:$K$26,2))</f>
        <v>Sim</v>
      </c>
      <c r="E7" s="21" t="str">
        <f>INDEX(Requisitos_Legais!$N$5:$N$26,2)</f>
        <v>Título Digital de Exploração arquivado; controlo de mudanças avalia alterações de layout e equipamento.</v>
      </c>
      <c r="F7" s="21" t="str">
        <f>INDEX(Requisitos_Legais!$O$5:$O$26,2)</f>
        <v>Título Digital de Exploração n.º TDE-2019-0588 válido; comunicação da instalação dos novos compressores submetida em 04/02/2026 (sem alteração de tipologia).</v>
      </c>
      <c r="G7" s="22" t="str">
        <f>INDEX(Requisitos_Legais!$R$5:$R$26,2)</f>
        <v>C</v>
      </c>
    </row>
    <row r="8" spans="1:7" ht="105" customHeight="1" x14ac:dyDescent="0.3">
      <c r="A8" s="21" t="str">
        <f>INDEX(Requisitos_Legais!$C$5:$C$26,3)</f>
        <v>Água e águas residuais</v>
      </c>
      <c r="B8" s="21" t="str">
        <f>INDEX(Requisitos_Legais!$D$5:$D$26,3)</f>
        <v>Lei n.º 58/2005 (Lei da Água); Regulamento Municipal de Drenagem de Águas Residuais (Marinha Grande)</v>
      </c>
      <c r="C8" s="21" t="str">
        <f>INDEX(Requisitos_Legais!$I$5:$I$26,3)</f>
        <v>Descarregar águas residuais industriais no coletor apenas com autorização e dentro dos valores-limite do regulamento municipal; realizar autocontrolo analítico semestral.</v>
      </c>
      <c r="D8" s="22" t="str">
        <f>INDEX(Requisitos_Legais!$J$5:$J$26,3)&amp;IF(INDEX(Requisitos_Legais!$J$5:$J$26,3)="Sim",""," — "&amp;INDEX(Requisitos_Legais!$K$5:$K$26,3))</f>
        <v>Sim</v>
      </c>
      <c r="E8" s="21" t="str">
        <f>INDEX(Requisitos_Legais!$N$5:$N$26,3)</f>
        <v>Autorização de descarga n.º AD-112/2021; ponto de amostragem na caixa de visita final; dosagem automática de biocida.</v>
      </c>
      <c r="F8" s="21" t="str">
        <f>INDEX(Requisitos_Legais!$O$5:$O$26,3)</f>
        <v>Boletim de análise n.º 26/2410 (laboratório acreditado, 10/12/2026): pH 7,6; CQO 132 mg/L O2; SST 31 mg/L — todos abaixo do VLE municipal (2.º semestre).</v>
      </c>
      <c r="G8" s="22" t="str">
        <f>INDEX(Requisitos_Legais!$R$5:$R$26,3)</f>
        <v>C</v>
      </c>
    </row>
    <row r="9" spans="1:7" ht="105" customHeight="1" x14ac:dyDescent="0.3">
      <c r="A9" s="21" t="str">
        <f>INDEX(Requisitos_Legais!$C$5:$C$26,4)</f>
        <v>Ar — COV (solventes)</v>
      </c>
      <c r="B9" s="21" t="str">
        <f>INDEX(Requisitos_Legais!$D$5:$D$26,4)</f>
        <v>Decreto-Lei n.º 127/2013, de 30 de agosto — Capítulo V e Anexo VII (instalações que utilizam solventes orgânicos)</v>
      </c>
      <c r="C9" s="21" t="str">
        <f>INDEX(Requisitos_Legais!$I$5:$I$26,4)</f>
        <v>Instalações acima do limiar de consumo de solventes (ex.: 5 t/ano para revestimento de plástico; 15 t/ano para impressão) têm VLE, plano de gestão de solventes e registo. Abaixo do limiar: demonstrar anualmente o consumo.</v>
      </c>
      <c r="D9" s="22" t="str">
        <f>INDEX(Requisitos_Legais!$J$5:$J$26,4)&amp;IF(INDEX(Requisitos_Legais!$J$5:$J$26,4)="Sim",""," — "&amp;INDEX(Requisitos_Legais!$K$5:$K$26,4))</f>
        <v>Não — Consumo anual de solventes ≈ 1,2 t (limpeza + fração solvente das tintas) &lt; 5 t/ano. Manter o cálculo anual para confirmar a não aplicabilidade.</v>
      </c>
      <c r="E9" s="21" t="str">
        <f>INDEX(Requisitos_Legais!$N$5:$N$26,4)</f>
        <v>Balanço anual de solventes a partir do inventário (compras − stock).</v>
      </c>
      <c r="F9" s="21" t="str">
        <f>INDEX(Requisitos_Legais!$O$5:$O$26,4)</f>
        <v>Balanço de solventes set/2025–ago/2026: 0,75 t de solvente de limpeza + ≈ 0,43 t na fração solvente das tintas = ≈ 1,2 t/ano (24% do limiar). Registo BAL-SOLV-2026 arquivado.</v>
      </c>
      <c r="G9" s="22" t="str">
        <f>INDEX(Requisitos_Legais!$R$5:$R$26,4)</f>
        <v>C</v>
      </c>
    </row>
    <row r="10" spans="1:7" ht="105" customHeight="1" x14ac:dyDescent="0.3">
      <c r="A10" s="21" t="str">
        <f>INDEX(Requisitos_Legais!$C$5:$C$26,5)</f>
        <v>Ruído ambiente</v>
      </c>
      <c r="B10" s="21" t="str">
        <f>INDEX(Requisitos_Legais!$D$5:$D$26,5)</f>
        <v>Decreto-Lei n.º 9/2007, de 17 de janeiro (Regulamento Geral do Ruído)</v>
      </c>
      <c r="C10" s="21" t="str">
        <f>INDEX(Requisitos_Legais!$I$5:$I$26,5)</f>
        <v>Cumprir o critério de exposição máxima e o critério de incomodidade junto dos recetores sensíveis; avaliar após alterações que possam aumentar o ruído.</v>
      </c>
      <c r="D10" s="22" t="str">
        <f>INDEX(Requisitos_Legais!$J$5:$J$26,5)&amp;IF(INDEX(Requisitos_Legais!$J$5:$J$26,5)="Sim",""," — "&amp;INDEX(Requisitos_Legais!$K$5:$K$26,5))</f>
        <v>Sim</v>
      </c>
      <c r="E10" s="21" t="str">
        <f>INDEX(Requisitos_Legais!$N$5:$N$26,5)</f>
        <v>Compressores em sala fechada; última avaliação acústica em 2023, antes da substituição dos compressores (fev/2026).</v>
      </c>
      <c r="F10" s="21" t="str">
        <f>INDEX(Requisitos_Legais!$O$5:$O$26,5)</f>
        <v>Relatório AC-2026-112 (28/10/2026, laboratório acreditado): critério de incomodidade noturno cumprido nos 3 recetores após barreira acústica e redução de rotação noturna dos compressores (PAM-26-03).</v>
      </c>
      <c r="G10" s="22" t="str">
        <f>INDEX(Requisitos_Legais!$R$5:$R$26,5)</f>
        <v>C</v>
      </c>
    </row>
    <row r="11" spans="1:7" ht="105" customHeight="1" x14ac:dyDescent="0.3">
      <c r="A11" s="21" t="str">
        <f>INDEX(Requisitos_Legais!$C$5:$C$26,6)</f>
        <v>Produtos químicos</v>
      </c>
      <c r="B11" s="21" t="str">
        <f>INDEX(Requisitos_Legais!$D$5:$D$26,6)</f>
        <v>Regulamento (CE) n.º 1907/2006 (REACH) e Regulamento (CE) n.º 1272/2008 (CLP)</v>
      </c>
      <c r="C11" s="21" t="str">
        <f>INDEX(Requisitos_Legais!$I$5:$I$26,6)</f>
        <v>Dispor de fichas de dados de segurança (FDS) atualizadas no ponto de uso, recipientes rotulados, e cumprir as condições de utilização segura e de armazenagem.</v>
      </c>
      <c r="D11" s="22" t="str">
        <f>INDEX(Requisitos_Legais!$J$5:$J$26,6)&amp;IF(INDEX(Requisitos_Legais!$J$5:$J$26,6)="Sim",""," — "&amp;INDEX(Requisitos_Legais!$K$5:$K$26,6))</f>
        <v>Sim</v>
      </c>
      <c r="E11" s="21" t="str">
        <f>INDEX(Requisitos_Legais!$N$5:$N$26,6)</f>
        <v>Registo integrado RG-SGA-21 (inventário de 42 produtos, FDS, cenários de exposição, importação, SVHC, risco químico) e procedimento PR-SGA-16; dossier de FDS no armazém e junto às máquinas; armário de inflamáveis.</v>
      </c>
      <c r="F11" s="21" t="str">
        <f>INDEX(Requisitos_Legais!$O$5:$O$26,6)</f>
        <v>Avaliação completa de 24/09/2026 (RG-SGA-21): rotulagem CLP 100% conforme (15 recipientes); FDS em vigor 85% conformes (6 a pedir ao fornecedor, 2 de 2021 pedidas em 03/09/2026); 2 cenários de exposição com o prazo de 12 meses do art. 39.º ultrapassado (CE-02, CE-08); 2 fornecedores extra-UE sem representante único (Plasticom = importador sem registo — SUP-004, SUP-005); tinta UV com fotoiniciador Repr. 1B/SVHC; 2 operadores sem formação em diisocianatos (entrada 74).</v>
      </c>
      <c r="G11" s="22" t="str">
        <f>INDEX(Requisitos_Legais!$R$5:$R$26,6)</f>
        <v>NC</v>
      </c>
    </row>
    <row r="12" spans="1:7" ht="105" customHeight="1" x14ac:dyDescent="0.3">
      <c r="A12" s="21" t="str">
        <f>INDEX(Requisitos_Legais!$C$5:$C$26,7)</f>
        <v>Gases fluorados</v>
      </c>
      <c r="B12" s="21" t="str">
        <f>INDEX(Requisitos_Legais!$D$5:$D$26,7)</f>
        <v>Regulamento (UE) 2024/573 (gases fluorados) e Decreto-Lei n.º 145/2017</v>
      </c>
      <c r="C12" s="21" t="str">
        <f>INDEX(Requisitos_Legais!$I$5:$I$26,7)</f>
        <v>Controlo de fugas periódico conforme a carga em tCO2e, por técnico certificado; registos do equipamento; reparação e reposição documentadas; comunicação anual quando aplicável.</v>
      </c>
      <c r="D12" s="22" t="str">
        <f>INDEX(Requisitos_Legais!$J$5:$J$26,7)&amp;IF(INDEX(Requisitos_Legais!$J$5:$J$26,7)="Sim",""," — "&amp;INDEX(Requisitos_Legais!$K$5:$K$26,7))</f>
        <v>Sim</v>
      </c>
      <c r="E12" s="21" t="str">
        <f>INDEX(Requisitos_Legais!$N$5:$N$26,7)</f>
        <v>Contrato de manutenção com empresa certificada; registo do equipamento CH-01.</v>
      </c>
      <c r="F12" s="21" t="str">
        <f>INDEX(Requisitos_Legais!$O$5:$O$26,7)</f>
        <v>Relatórios de controlo de fugas de 05/2026 e 18/11/2026 (sem fugas), assinados por técnico certificado.</v>
      </c>
      <c r="G12" s="22" t="str">
        <f>INDEX(Requisitos_Legais!$R$5:$R$26,7)</f>
        <v>C</v>
      </c>
    </row>
    <row r="13" spans="1:7" ht="105" customHeight="1" x14ac:dyDescent="0.3">
      <c r="A13" s="21" t="str">
        <f>INDEX(Requisitos_Legais!$C$5:$C$26,8)</f>
        <v>Energia</v>
      </c>
      <c r="B13" s="21" t="str">
        <f>INDEX(Requisitos_Legais!$D$5:$D$26,8)</f>
        <v>Decreto-Lei n.º 71/2008, de 15 de abril (SGCIE — consumidores intensivos de energia)</v>
      </c>
      <c r="C13" s="21" t="str">
        <f>INDEX(Requisitos_Legais!$I$5:$I$26,8)</f>
        <v>Instalações com consumo ≥ 500 tep/ano: registo, auditoria energética periódica e Plano de Racionalização do Consumo de Energia (PREn) com metas de intensidade energética e relatórios de execução.</v>
      </c>
      <c r="D13" s="22" t="str">
        <f>INDEX(Requisitos_Legais!$J$5:$J$26,8)&amp;IF(INDEX(Requisitos_Legais!$J$5:$J$26,8)="Sim",""," — "&amp;INDEX(Requisitos_Legais!$K$5:$K$26,8))</f>
        <v>Sim</v>
      </c>
      <c r="E13" s="21" t="str">
        <f>INDEX(Requisitos_Legais!$N$5:$N$26,8)</f>
        <v>Registo SGCIE; auditoria energética de 2022; ARCE com metas até 2029.</v>
      </c>
      <c r="F13" s="21" t="str">
        <f>INDEX(Requisitos_Legais!$O$5:$O$26,8)</f>
        <v>Relatório de execução e progresso do ARCE (2024–2025) submetido na plataforma SGCIE em 28/04/2026; auditoria energética de 2022 válida até 2030.</v>
      </c>
      <c r="G13" s="22" t="str">
        <f>INDEX(Requisitos_Legais!$R$5:$R$26,8)</f>
        <v>C</v>
      </c>
    </row>
    <row r="14" spans="1:7" ht="105" customHeight="1" x14ac:dyDescent="0.3">
      <c r="A14" s="21" t="str">
        <f>INDEX(Requisitos_Legais!$C$5:$C$26,9)</f>
        <v>Embalagens (produto)</v>
      </c>
      <c r="B14" s="21" t="str">
        <f>INDEX(Requisitos_Legais!$D$5:$D$26,9)</f>
        <v>Regulamento (UE) 2025/40 (PPWR) — aplicável desde 12/08/2026</v>
      </c>
      <c r="C14" s="21" t="str">
        <f>INDEX(Requisitos_Legais!$I$5:$I$26,9)</f>
        <v>Fabricante de embalagens: avaliação da conformidade, documentação técnica e declaração UE de conformidade; limites de chumbo, cádmio, mercúrio e crómio VI; restrições a substâncias preocupantes; preparação para metas de reciclabilidade e conteúdo reciclado.</v>
      </c>
      <c r="D14" s="22" t="str">
        <f>INDEX(Requisitos_Legais!$J$5:$J$26,9)&amp;IF(INDEX(Requisitos_Legais!$J$5:$J$26,9)="Sim",""," — "&amp;INDEX(Requisitos_Legais!$K$5:$K$26,9))</f>
        <v>Sim</v>
      </c>
      <c r="E14" s="21" t="str">
        <f>INDEX(Requisitos_Legais!$N$5:$N$26,9)</f>
        <v>Fichas técnicas de produto; declarações de contacto alimentar (linha alimentar); análise de metais pesados por família.</v>
      </c>
      <c r="F14" s="21" t="str">
        <f>INDEX(Requisitos_Legais!$O$5:$O$26,9)</f>
        <v>Em 22/12/2026: documentação técnica e declaração UE de conformidade concluídas para 17 de 22 famílias (77%); as 5 restantes (PP-PG e PET-PG farmacêuticas; PETG e PVC em substituição — PAM-26-22) em 2027.</v>
      </c>
      <c r="G14" s="22" t="str">
        <f>INDEX(Requisitos_Legais!$R$5:$R$26,9)</f>
        <v>NC</v>
      </c>
    </row>
    <row r="15" spans="1:7" ht="105" customHeight="1" x14ac:dyDescent="0.3">
      <c r="A15" s="21" t="str">
        <f>INDEX(Requisitos_Legais!$C$5:$C$26,10)</f>
        <v>Perdas de granulado</v>
      </c>
      <c r="B15" s="21" t="str">
        <f>INDEX(Requisitos_Legais!$D$5:$D$26,10)</f>
        <v>Regulamento (UE) 2025/2365 (prevenção de perdas de granulados de plástico) e REACH anexo XVII, entrada 78 (Reg. (UE) 2023/2055 — relatório anual de microplásticos)</v>
      </c>
      <c r="C15" s="21" t="str">
        <f>INDEX(Requisitos_Legais!$I$5:$I$26,10)</f>
        <v>Evitar perdas de granulado com a hierarquia de medidas e notificar cada instalação à autoridade até 17/12/2027; instalações &lt; 1.500 t/ano: declaração de conformidade (certificação por terceiros só ≥ 1.500 t/ano); relatório anual à ECHA das libertações estimadas até 31/05 (entrada 78).</v>
      </c>
      <c r="D15" s="22" t="str">
        <f>INDEX(Requisitos_Legais!$J$5:$J$26,10)&amp;IF(INDEX(Requisitos_Legais!$J$5:$J$26,10)="Sim",""," — "&amp;INDEX(Requisitos_Legais!$K$5:$K$26,10))</f>
        <v>Futuro — A Plasticom manipula ≈ 865 t/ano de granulado (&lt; 1.500 t): notificação e declaração de conformidade até 17/12/2027; o relatório de microplásticos já é exigível (submetido em 28/05/2026).</v>
      </c>
      <c r="E15" s="21" t="str">
        <f>INDEX(Requisitos_Legais!$N$5:$N$26,10)</f>
        <v>Varrimento diário; programa OCS em implementação (PAM-26-11).</v>
      </c>
      <c r="F15" s="21" t="str">
        <f>INDEX(Requisitos_Legais!$O$5:$O$26,10)</f>
        <v>Autoavaliação Operation Clean Sweep de 15/12/2026: 11 de 14 pontos críticos com contenção (79%); filtros em todas as sarjetas.</v>
      </c>
      <c r="G15" s="22" t="str">
        <f>INDEX(Requisitos_Legais!$R$5:$R$26,10)</f>
        <v>Futuro</v>
      </c>
    </row>
    <row r="16" spans="1:7" ht="105" customHeight="1" x14ac:dyDescent="0.3">
      <c r="A16" s="21" t="str">
        <f>INDEX(Requisitos_Legais!$C$5:$C$26,11)</f>
        <v>Emergência / segurança contra incêndio</v>
      </c>
      <c r="B16" s="21" t="str">
        <f>INDEX(Requisitos_Legais!$D$5:$D$26,11)</f>
        <v>Decreto-Lei n.º 220/2008, de 12 de novembro (RJ-SCIE) e Portaria n.º 1532/2008</v>
      </c>
      <c r="C16" s="21" t="str">
        <f>INDEX(Requisitos_Legais!$I$5:$I$26,11)</f>
        <v>Implementar medidas de autoproteção, manter meios de 1.ª intervenção, formação e simulacros com a periodicidade da categoria de risco.</v>
      </c>
      <c r="D16" s="22" t="str">
        <f>INDEX(Requisitos_Legais!$J$5:$J$26,11)&amp;IF(INDEX(Requisitos_Legais!$J$5:$J$26,11)="Sim",""," — "&amp;INDEX(Requisitos_Legais!$K$5:$K$26,11))</f>
        <v>Sim</v>
      </c>
      <c r="E16" s="21" t="str">
        <f>INDEX(Requisitos_Legais!$N$5:$N$26,11)</f>
        <v>Medidas de autoproteção aprovadas; extintores e RIA com manutenção anual; válvula de corte na rede pluvial.</v>
      </c>
      <c r="F16" s="21" t="str">
        <f>INDEX(Requisitos_Legais!$O$5:$O$26,11)</f>
        <v>Simulacros de 26/11/2026 (derrame no armazém de químicos) e 11/12/2026 (incêndio com retenção das águas): evacuação em 5 min; VC-01 fechada em 4 min.</v>
      </c>
      <c r="G16" s="22" t="str">
        <f>INDEX(Requisitos_Legais!$R$5:$R$26,11)</f>
        <v>C</v>
      </c>
    </row>
    <row r="17" spans="1:7" ht="105" customHeight="1" x14ac:dyDescent="0.3">
      <c r="A17" s="21" t="str">
        <f>INDEX(Requisitos_Legais!$C$5:$C$26,12)</f>
        <v>Ar — fontes pontuais</v>
      </c>
      <c r="B17" s="21" t="str">
        <f>INDEX(Requisitos_Legais!$D$5:$D$26,12)</f>
        <v>Decreto-Lei n.º 39/2018, de 11 de junho (prevenção e controlo das emissões para o ar)</v>
      </c>
      <c r="C17" s="21" t="str">
        <f>INDEX(Requisitos_Legais!$I$5:$I$26,12)</f>
        <v>Fontes pontuais: chaminé com tomas de amostragem normalizadas, altura adequada e monitorização pontual conforme o caudal mássico; comunicação dos resultados.</v>
      </c>
      <c r="D17" s="22" t="str">
        <f>INDEX(Requisitos_Legais!$J$5:$J$26,12)&amp;IF(INDEX(Requisitos_Legais!$J$5:$J$26,12)="Sim",""," — "&amp;INDEX(Requisitos_Legais!$K$5:$K$26,12))</f>
        <v>Sim</v>
      </c>
      <c r="E17" s="21" t="str">
        <f>INDEX(Requisitos_Legais!$N$5:$N$26,12)</f>
        <v>Chaminé FP1 com tomas de amostragem normalizadas; exaustão localizada nas máquinas de serigrafia.</v>
      </c>
      <c r="F17" s="21" t="str">
        <f>INDEX(Requisitos_Legais!$O$5:$O$26,12)</f>
        <v>Relatório de ensaio n.º 2026/03-EF (laboratório acreditado, 18/03/2026): COVT 22 mg C/Nm³, caudal mássico 0,04 kg C/h — abaixo do limiar mássico; próxima monitorização em 2029.</v>
      </c>
      <c r="G17" s="22" t="str">
        <f>INDEX(Requisitos_Legais!$R$5:$R$26,12)</f>
        <v>C</v>
      </c>
    </row>
    <row r="18" spans="1:7" ht="105" customHeight="1" x14ac:dyDescent="0.3">
      <c r="A18" s="21" t="str">
        <f>INDEX(Requisitos_Legais!$C$5:$C$26,13)</f>
        <v>Transporte de resíduos</v>
      </c>
      <c r="B18" s="21" t="str">
        <f>INDEX(Requisitos_Legais!$D$5:$D$26,13)</f>
        <v>Portaria n.º 145/2017, de 26 de abril (guias eletrónicas e-GAR)</v>
      </c>
      <c r="C18" s="21" t="str">
        <f>INDEX(Requisitos_Legais!$I$5:$I$26,13)</f>
        <v>Emitir e-GAR antes de cada transporte de resíduos e confirmar a receção pelo destinatário no SILiAmb.</v>
      </c>
      <c r="D18" s="22" t="str">
        <f>INDEX(Requisitos_Legais!$J$5:$J$26,13)&amp;IF(INDEX(Requisitos_Legais!$J$5:$J$26,13)="Sim",""," — "&amp;INDEX(Requisitos_Legais!$K$5:$K$26,13))</f>
        <v>Sim</v>
      </c>
      <c r="E18" s="21" t="str">
        <f>INDEX(Requisitos_Legais!$N$5:$N$26,13)</f>
        <v>Emissão de e-GAR pelo Responsável de Armazém; conferência mensal no SILiAmb.</v>
      </c>
      <c r="F18" s="21" t="str">
        <f>INDEX(Requisitos_Legais!$O$5:$O$26,13)</f>
        <v>Conferência de novembro/2026: 31 e-GAR emitidas, 31 com receção confirmada (100%).</v>
      </c>
      <c r="G18" s="22" t="str">
        <f>INDEX(Requisitos_Legais!$R$5:$R$26,13)</f>
        <v>C</v>
      </c>
    </row>
    <row r="19" spans="1:7" ht="105" customHeight="1" x14ac:dyDescent="0.3">
      <c r="A19" s="21" t="str">
        <f>INDEX(Requisitos_Legais!$C$5:$C$26,14)</f>
        <v>Responsabilidade ambiental</v>
      </c>
      <c r="B19" s="21" t="str">
        <f>INDEX(Requisitos_Legais!$D$5:$D$26,14)</f>
        <v>Decreto-Lei n.º 147/2008, de 29 de julho (regime de responsabilidade por danos ambientais)</v>
      </c>
      <c r="C19" s="21" t="str">
        <f>INDEX(Requisitos_Legais!$I$5:$I$26,14)</f>
        <v>Operadores de atividades do Anexo III: garantia financeira obrigatória e prevenção/reparação de danos ambientais.</v>
      </c>
      <c r="D19" s="22" t="str">
        <f>INDEX(Requisitos_Legais!$J$5:$J$26,14)&amp;IF(INDEX(Requisitos_Legais!$J$5:$J$26,14)="Sim",""," — "&amp;INDEX(Requisitos_Legais!$K$5:$K$26,14))</f>
        <v>Não — Atividade não incluída no Anexo III (sem licença ambiental IED nem gestão de resíduos). A responsabilidade subjetiva geral mantém-se.</v>
      </c>
      <c r="E19" s="21" t="str">
        <f>INDEX(Requisitos_Legais!$N$5:$N$26,14)</f>
        <v>Seguro de responsabilidade ambiental voluntário.</v>
      </c>
      <c r="F19" s="21" t="str">
        <f>INDEX(Requisitos_Legais!$O$5:$O$26,14)</f>
        <v>Análise de aplicabilidade revista em 10/09/2026: a atividade (CAE 22220) não consta do Anexo III. Apólice voluntária RC-Ambiental n.º 55-0931 válida até 12/2026.</v>
      </c>
      <c r="G19" s="22" t="str">
        <f>INDEX(Requisitos_Legais!$R$5:$R$26,14)</f>
        <v>C</v>
      </c>
    </row>
    <row r="20" spans="1:7" ht="105" customHeight="1" x14ac:dyDescent="0.3">
      <c r="A20" s="21" t="str">
        <f>INDEX(Requisitos_Legais!$C$5:$C$26,15)</f>
        <v>Legionella (torres de arrefecimento)</v>
      </c>
      <c r="B20" s="21" t="str">
        <f>INDEX(Requisitos_Legais!$D$5:$D$26,15)</f>
        <v>Lei n.º 52/2018, de 20 de agosto (regime de prevenção e controlo da doença dos legionários)</v>
      </c>
      <c r="C20" s="21" t="str">
        <f>INDEX(Requisitos_Legais!$I$5:$I$26,15)</f>
        <v>Plano de prevenção e controlo da Legionella para a torre; registo do equipamento; limpeza e desinfeção periódicas; monitorização de Legionella com laboratório acreditado e ação acima do limiar.</v>
      </c>
      <c r="D20" s="22" t="str">
        <f>INDEX(Requisitos_Legais!$J$5:$J$26,15)&amp;IF(INDEX(Requisitos_Legais!$J$5:$J$26,15)="Sim",""," — "&amp;INDEX(Requisitos_Legais!$K$5:$K$26,15))</f>
        <v>Sim</v>
      </c>
      <c r="E20" s="21" t="str">
        <f>INDEX(Requisitos_Legais!$N$5:$N$26,15)</f>
        <v>Plano de prevenção e controlo (AquaHigiene Lda.); limpeza e desinfeção semestral; Legionella trimestral (tbl_analises do RG-SGA-13).</v>
      </c>
      <c r="F20" s="21" t="str">
        <f>INDEX(Requisitos_Legais!$O$5:$O$26,15)</f>
        <v>Boletim L26-1207 (07/12/2026): Legionella spp. &lt; 100 UFC/L (limiar de ação 1.000); limpeza e desinfeção semestral a 20/10/2026.</v>
      </c>
      <c r="G20" s="22" t="str">
        <f>INDEX(Requisitos_Legais!$R$5:$R$26,15)</f>
        <v>C</v>
      </c>
    </row>
    <row r="21" spans="1:7" ht="105" customHeight="1" x14ac:dyDescent="0.3">
      <c r="A21" s="21" t="str">
        <f>INDEX(Requisitos_Legais!$C$5:$C$26,16)</f>
        <v>Embalagens — RAP (responsabilidade alargada do produtor)</v>
      </c>
      <c r="B21" s="21" t="str">
        <f>INDEX(Requisitos_Legais!$D$5:$D$26,16)</f>
        <v>Decreto-Lei n.º 152-D/2017, de 11 de dezembro (UNILEX), alterado pelo DL 102-D/2020 — embalagens e resíduos de embalagens</v>
      </c>
      <c r="C21" s="21" t="str">
        <f>INDEX(Requisitos_Legais!$I$5:$I$26,16)</f>
        <v>Quem coloca embalagens no mercado nacional (embalador) transfere a responsabilidade pela gestão dos resíduos para um sistema integrado (entidade gestora) ou individual, declara as quantidades e paga a prestação financeira.</v>
      </c>
      <c r="D21" s="22" t="str">
        <f>INDEX(Requisitos_Legais!$J$5:$J$26,16)&amp;IF(INDEX(Requisitos_Legais!$J$5:$J$26,16)="Sim",""," — "&amp;INDEX(Requisitos_Legais!$K$5:$K$26,16))</f>
        <v>Sim</v>
      </c>
      <c r="E21" s="21" t="str">
        <f>INDEX(Requisitos_Legais!$N$5:$N$26,16)</f>
        <v>Adesão ao sistema integrado de embalagens não urbanas (contrato NU-2021-0342); massas de expedição por mês, país e material em tbl_emb_expedicao (RG-SGA-20).</v>
      </c>
      <c r="F21" s="21" t="str">
        <f>INDEX(Requisitos_Legais!$O$5:$O$26,16)</f>
        <v>Declaração anual de 2025 submetida à entidade gestora em 26/02/2026 e prestação financeira paga; massas de 2026 calculadas a partir das vendas (RG-SGA-20).</v>
      </c>
      <c r="G21" s="22" t="str">
        <f>INDEX(Requisitos_Legais!$R$5:$R$26,16)</f>
        <v>C</v>
      </c>
    </row>
    <row r="22" spans="1:7" ht="105" customHeight="1" x14ac:dyDescent="0.3">
      <c r="A22" s="21" t="str">
        <f>INDEX(Requisitos_Legais!$C$5:$C$26,17)</f>
        <v>Contacto alimentar (FCM)</v>
      </c>
      <c r="B22" s="21" t="str">
        <f>INDEX(Requisitos_Legais!$D$5:$D$26,17)</f>
        <v>Regulamentos (CE) 1935/2004 e 2023/2006 e (UE) 10/2011 e 2022/1616 — materiais plásticos em contacto com alimentos</v>
      </c>
      <c r="C22" s="21" t="str">
        <f>INDEX(Requisitos_Legais!$I$5:$I$26,17)</f>
        <v>Materiais inertes nas condições de uso; boas práticas de fabrico; só substâncias da lista da União; limites de migração; declaração de conformidade (anexo IV); reciclado só de processos autorizados.</v>
      </c>
      <c r="D22" s="22" t="str">
        <f>INDEX(Requisitos_Legais!$J$5:$J$26,17)&amp;IF(INDEX(Requisitos_Legais!$J$5:$J$26,17)="Sim",""," — "&amp;INDEX(Requisitos_Legais!$K$5:$K$26,17))</f>
        <v>Sim</v>
      </c>
      <c r="E22" s="21" t="str">
        <f>INDEX(Requisitos_Legais!$N$5:$N$26,17)</f>
        <v>Declarações de conformidade (anexo IV do Reg. 10/2011), ensaios de migração, BPF no sistema de qualidade, declaração PFAS do fornecedor SUP-010.</v>
      </c>
      <c r="F22" s="21" t="str">
        <f>INDEX(Requisitos_Legais!$O$5:$O$26,17)</f>
        <v>Ensaios de migração global e específica de 03/2026 (laboratório acreditado) conformes; declaração de conformidade emitida para 4 frascos e 2 tampas; declaração PFAS SUP-010 (07/2026). Falta auditoria interna específica de BPF (Reg. 2023/2006).</v>
      </c>
      <c r="G22" s="22" t="str">
        <f>INDEX(Requisitos_Legais!$R$5:$R$26,17)</f>
        <v>C</v>
      </c>
    </row>
    <row r="23" spans="1:7" ht="105" customHeight="1" x14ac:dyDescent="0.3">
      <c r="A23" s="21" t="str">
        <f>INDEX(Requisitos_Legais!$C$5:$C$26,18)</f>
        <v>Alegações ambientais</v>
      </c>
      <c r="B23" s="21" t="str">
        <f>INDEX(Requisitos_Legais!$D$5:$D$26,18)</f>
        <v>Diretiva (UE) 2024/825 (capacitação dos consumidores para a transição ecológica) — aplicável a partir de 27/09/2026; confirmar a transposição nacional</v>
      </c>
      <c r="C23" s="21" t="str">
        <f>INDEX(Requisitos_Legais!$I$5:$I$26,18)</f>
        <v>Proíbe alegações ambientais genéricas sem desempenho reconhecido, alegações de neutralidade baseadas em compensações e alegações sobre o produto inteiro quando só se aplicam a uma parte.</v>
      </c>
      <c r="D23" s="22" t="str">
        <f>INDEX(Requisitos_Legais!$J$5:$J$26,18)&amp;IF(INDEX(Requisitos_Legais!$J$5:$J$26,18)="Sim",""," — "&amp;INDEX(Requisitos_Legais!$K$5:$K$26,18))</f>
        <v>Futuro — A Plasticom comunica alegações (site, catálogo, fichas técnicas) que chegam ao consumidor através dos clientes.</v>
      </c>
      <c r="E23" s="21" t="str">
        <f>INDEX(Requisitos_Legais!$N$5:$N$26,18)</f>
        <v>PR-SGA-14; registo de alegações tbl_alegacoes (RG-SGA-20) com evidência e estado.</v>
      </c>
      <c r="F23" s="21" t="str">
        <f>INDEX(Requisitos_Legais!$O$5:$O$26,18)</f>
        <v>Alegações proibidas retiradas do site e do catálogo a 29/09/2026 (PAM-26-27); formação da equipa comercial a 15/10/2026.</v>
      </c>
      <c r="G23" s="22" t="str">
        <f>INDEX(Requisitos_Legais!$R$5:$R$26,18)</f>
        <v>Futuro</v>
      </c>
    </row>
    <row r="24" spans="1:7" ht="105" customHeight="1" x14ac:dyDescent="0.3">
      <c r="A24" s="21" t="str">
        <f>INDEX(Requisitos_Legais!$C$5:$C$26,19)</f>
        <v>Plásticos de utilização única</v>
      </c>
      <c r="B24" s="21" t="str">
        <f>INDEX(Requisitos_Legais!$D$5:$D$26,19)</f>
        <v>Diretiva (UE) 2019/904 (SUP) e Decreto-Lei n.º 78/2021, de 24 de setembro</v>
      </c>
      <c r="C24" s="21" t="str">
        <f>INDEX(Requisitos_Legais!$I$5:$I$26,19)</f>
        <v>Recipientes para bebidas até 3 L com tampas de plástico têm de ter tampas presas; recipientes para alimentos de consumo imediato com medidas de redução e RAP.</v>
      </c>
      <c r="D24" s="22" t="str">
        <f>INDEX(Requisitos_Legais!$J$5:$J$26,19)&amp;IF(INDEX(Requisitos_Legais!$J$5:$J$26,19)="Sim",""," — "&amp;INDEX(Requisitos_Legais!$K$5:$K$26,19))</f>
        <v>Condicional — Só se os frascos alimentares FA-030/031 forem usados para bebidas — as tampas TA-014 teriam de ser presas (tethered).</v>
      </c>
      <c r="E24" s="21" t="str">
        <f>INDEX(Requisitos_Legais!$N$5:$N$26,19)</f>
        <v>Pedido de declaração de utilização aos clientes CUST-015 e CUST-016.</v>
      </c>
      <c r="F24" s="21" t="str">
        <f>INDEX(Requisitos_Legais!$O$5:$O$26,19)</f>
        <v>Declarações de utilização recebidas a 04/12/2026 (PAM-26-26): CUST-015/016 não usam os frascos para bebidas — requisito não aplicável aos SKUs atuais.</v>
      </c>
      <c r="G24" s="22" t="str">
        <f>INDEX(Requisitos_Legais!$R$5:$R$26,19)</f>
        <v>C</v>
      </c>
    </row>
    <row r="25" spans="1:7" ht="105" customHeight="1" x14ac:dyDescent="0.3">
      <c r="A25" s="21" t="str">
        <f>INDEX(Requisitos_Legais!$C$5:$C$26,20)</f>
        <v>Outros requisitos (clientes / voluntários)</v>
      </c>
      <c r="B25" s="21" t="str">
        <f>INDEX(Requisitos_Legais!$D$5:$D$26,20)</f>
        <v>Requisitos de clientes: acordos de qualidade farmacêuticos (Diretiva 2001/83/CE, EudraLex vol. 4, guideline EMA de materiais plásticos) e cosméticos (Reg. (CE) 1223/2009)</v>
      </c>
      <c r="C25" s="21" t="str">
        <f>INDEX(Requisitos_Legais!$I$5:$I$26,20)</f>
        <v>Fornecer especificações e composição, notificar alterações de material/processo, permitir auditorias, cumprir a Farmacopeia Europeia (PP-PG, PET-PG) e as especificações de embalagem primária.</v>
      </c>
      <c r="D25" s="22" t="str">
        <f>INDEX(Requisitos_Legais!$J$5:$J$26,20)&amp;IF(INDEX(Requisitos_Legais!$J$5:$J$26,20)="Sim",""," — "&amp;INDEX(Requisitos_Legais!$K$5:$K$26,20))</f>
        <v>Sim</v>
      </c>
      <c r="E25" s="21" t="str">
        <f>INDEX(Requisitos_Legais!$N$5:$N$26,20)</f>
        <v>Acordos de qualidade; controlo de alterações notificado ao cliente (RG-SGA-18); especificações aprovadas.</v>
      </c>
      <c r="F25" s="21" t="str">
        <f>INDEX(Requisitos_Legais!$O$5:$O$26,20)</f>
        <v>Auditoria de CUST-017 (14/05/2026) sem NC maiores; falta a carta de acesso ao DMF do PET-PG (fornecedor SUP-009).</v>
      </c>
      <c r="G25" s="22" t="str">
        <f>INDEX(Requisitos_Legais!$R$5:$R$26,20)</f>
        <v>C</v>
      </c>
    </row>
    <row r="26" spans="1:7" ht="105" customHeight="1" x14ac:dyDescent="0.3">
      <c r="A26" s="21" t="str">
        <f>INDEX(Requisitos_Legais!$C$5:$C$26,21)</f>
        <v>Outros requisitos (clientes / voluntários)</v>
      </c>
      <c r="B26" s="21" t="str">
        <f>INDEX(Requisitos_Legais!$D$5:$D$26,21)</f>
        <v>Compromissos voluntários de produto: diretrizes RecyClass (DfR), EN 15343, ISO 14021, ISO 14067, ISO 11469 (política POL-04)</v>
      </c>
      <c r="C26" s="21" t="str">
        <f>INDEX(Requisitos_Legais!$I$5:$I$26,21)</f>
        <v>Avaliar a reciclabilidade de todos os SKUs, comprovar o conteúdo reciclado com certificados EN 15343 e só fazer alegações comprovadas.</v>
      </c>
      <c r="D26" s="22" t="str">
        <f>INDEX(Requisitos_Legais!$J$5:$J$26,21)&amp;IF(INDEX(Requisitos_Legais!$J$5:$J$26,21)="Sim",""," — "&amp;INDEX(Requisitos_Legais!$K$5:$K$26,21))</f>
        <v>Sim</v>
      </c>
      <c r="E26" s="21" t="str">
        <f>INDEX(Requisitos_Legais!$N$5:$N$26,21)</f>
        <v>Autoavaliação RecyClass por SKU (RG-SGA-20 tbl_recyclass); certificados dos fornecedores de PCR (tbl_certificados_pcr).</v>
      </c>
      <c r="F26" s="21" t="str">
        <f>INDEX(Requisitos_Legais!$O$5:$O$26,21)</f>
        <v>Controlo de 18/12/2026 (PAM-26-25): certificados EN 15343 válidos para 100% dos lotes de PCR em uso; CERT-03 substituído.</v>
      </c>
      <c r="G26" s="22" t="str">
        <f>INDEX(Requisitos_Legais!$R$5:$R$26,21)</f>
        <v>C</v>
      </c>
    </row>
    <row r="27" spans="1:7" ht="105" customHeight="1" x14ac:dyDescent="0.3">
      <c r="A27" s="21" t="str">
        <f>INDEX(Requisitos_Legais!$C$5:$C$26,22)</f>
        <v>Produtos químicos</v>
      </c>
      <c r="B27" s="21" t="str">
        <f>INDEX(Requisitos_Legais!$D$5:$D$26,22)</f>
        <v>Decreto-Lei n.º 24/2012 (agentes químicos) e Decreto-Lei n.º 301/2000 na redação do DL 102/2024 (cancerígenos, mutagénicos e reprotóxicos) — SST integrada na gestão de químicos</v>
      </c>
      <c r="C27" s="21" t="str">
        <f>INDEX(Requisitos_Legais!$I$5:$I$26,22)</f>
        <v>Avaliar e registar o risco de todos os agentes químicos (incl. gerados no processo); cumprir VLE e medir quando necessário; substituir CMR/reprotóxicos 1A/1B; lista de trabalhadores expostos; vigilância da saúde; informação e formação.</v>
      </c>
      <c r="D27" s="22" t="str">
        <f>INDEX(Requisitos_Legais!$J$5:$J$26,22)&amp;IF(INDEX(Requisitos_Legais!$J$5:$J$26,22)="Sim",""," — "&amp;INDEX(Requisitos_Legais!$K$5:$K$26,22))</f>
        <v>Sim</v>
      </c>
      <c r="E27" s="21" t="str">
        <f>INDEX(Requisitos_Legais!$N$5:$N$26,22)</f>
        <v>Avaliação de risco químico por tarefa e medições NP EN 689 no RG-SGA-21 (tbl_risco_quimico, tbl_medicoes_vle); procedimento PR-SGA-16.</v>
      </c>
      <c r="F27" s="21" t="str">
        <f>INDEX(Requisitos_Legais!$O$5:$O$26,22)</f>
        <v>Avaliação de 24/09/2026 (RG-SGA-21): 21 tarefas avaliadas, 5 de prioridade P1; 5 produtos perigosos sem avaliação; lista de trabalhadores expostos a reprotóxicos inexistente (tinta UV QUI-002); medições de 11/2025 conformes na SS-002 e inconclusivas na SS-001.</v>
      </c>
      <c r="G27" s="22" t="str">
        <f>INDEX(Requisitos_Legais!$R$5:$R$26,22)</f>
        <v>NC</v>
      </c>
    </row>
    <row r="29" spans="1:7" x14ac:dyDescent="0.3">
      <c r="A29" s="18" t="s">
        <v>536</v>
      </c>
      <c r="B29" s="26" t="str">
        <f>"Conformes: "&amp;COUNTIF(Requisitos_Legais!$R$5:$R$26,"C")&amp;" · Não conformes: "&amp;COUNTIF(Requisitos_Legais!$R$5:$R$26,"NC")&amp;" · Futuros: "&amp;COUNTIF(Requisitos_Legais!$R$5:$R$26,"Futuro")&amp;" · Taxa de conformidade (aplicáveis): "&amp;TEXT(COUNTIFS(Requisitos_Legais!$R$5:$R$26,"C",Requisitos_Legais!$J$5:$J$26,"Sim")/COUNTIF(Requisitos_Legais!$J$5:$J$26,"Sim"),"0%")</f>
        <v>Conformes: 17 · Não conformes: 3 · Futuros: 2 · Taxa de conformidade (aplicáveis): 82%</v>
      </c>
      <c r="C29" s="26"/>
      <c r="D29" s="26"/>
      <c r="E29" s="26"/>
      <c r="F29" s="26"/>
      <c r="G29" s="26"/>
    </row>
  </sheetData>
  <mergeCells count="1">
    <mergeCell ref="B29:G29"/>
  </mergeCells>
  <conditionalFormatting sqref="G6:G27">
    <cfRule type="expression" dxfId="3" priority="1">
      <formula>G6="NC"</formula>
    </cfRule>
    <cfRule type="expression" dxfId="2" priority="2">
      <formula>G6="Futuro"</formula>
    </cfRule>
    <cfRule type="expression" dxfId="1" priority="3">
      <formula>G6="Em avaliação"</formula>
    </cfRule>
    <cfRule type="expression" dxfId="0" priority="4">
      <formula>G6="C"</formula>
    </cfRule>
  </conditionalFormatting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3" width="23" customWidth="1"/>
    <col min="4" max="4" width="22" customWidth="1"/>
    <col min="5" max="5" width="16" customWidth="1"/>
    <col min="6" max="6" width="26" customWidth="1"/>
    <col min="7" max="7" width="27" customWidth="1"/>
    <col min="8" max="8" width="16" customWidth="1"/>
    <col min="9" max="9" width="48" customWidth="1"/>
    <col min="10" max="10" width="16" customWidth="1"/>
  </cols>
  <sheetData>
    <row r="1" spans="1:10" x14ac:dyDescent="0.3">
      <c r="A1" s="18" t="s">
        <v>537</v>
      </c>
    </row>
    <row r="2" spans="1:10" x14ac:dyDescent="0.3">
      <c r="A2" s="23" t="s">
        <v>538</v>
      </c>
      <c r="B2" s="23" t="s">
        <v>64</v>
      </c>
      <c r="C2" s="23" t="s">
        <v>539</v>
      </c>
      <c r="D2" s="23" t="s">
        <v>68</v>
      </c>
      <c r="E2" s="23" t="s">
        <v>71</v>
      </c>
      <c r="F2" s="23" t="s">
        <v>540</v>
      </c>
      <c r="G2" s="23" t="s">
        <v>541</v>
      </c>
      <c r="H2" s="23" t="s">
        <v>14</v>
      </c>
      <c r="I2" s="23" t="s">
        <v>542</v>
      </c>
      <c r="J2" s="23" t="s">
        <v>417</v>
      </c>
    </row>
    <row r="3" spans="1:10" x14ac:dyDescent="0.3">
      <c r="A3" s="24">
        <v>46387</v>
      </c>
      <c r="B3" s="6" t="s">
        <v>92</v>
      </c>
      <c r="C3" s="6" t="s">
        <v>94</v>
      </c>
      <c r="D3" s="6" t="s">
        <v>176</v>
      </c>
      <c r="E3" s="6" t="s">
        <v>98</v>
      </c>
      <c r="F3" s="6" t="s">
        <v>108</v>
      </c>
      <c r="G3" s="6" t="s">
        <v>138</v>
      </c>
      <c r="H3" s="6" t="s">
        <v>105</v>
      </c>
      <c r="I3" s="6" t="s">
        <v>352</v>
      </c>
      <c r="J3" s="6" t="s">
        <v>428</v>
      </c>
    </row>
    <row r="4" spans="1:10" x14ac:dyDescent="0.3">
      <c r="B4" s="6" t="s">
        <v>277</v>
      </c>
      <c r="C4" s="6" t="s">
        <v>305</v>
      </c>
      <c r="D4" s="6" t="s">
        <v>95</v>
      </c>
      <c r="E4" s="6" t="s">
        <v>148</v>
      </c>
      <c r="F4" s="6" t="s">
        <v>543</v>
      </c>
      <c r="G4" s="6" t="s">
        <v>104</v>
      </c>
      <c r="H4" s="6" t="s">
        <v>185</v>
      </c>
      <c r="I4" s="6" t="s">
        <v>122</v>
      </c>
      <c r="J4" s="6" t="s">
        <v>544</v>
      </c>
    </row>
    <row r="5" spans="1:10" x14ac:dyDescent="0.3">
      <c r="B5" s="6" t="s">
        <v>113</v>
      </c>
      <c r="C5" s="6" t="s">
        <v>129</v>
      </c>
      <c r="D5" s="6" t="s">
        <v>195</v>
      </c>
      <c r="E5" s="6" t="s">
        <v>240</v>
      </c>
      <c r="F5" s="6" t="s">
        <v>384</v>
      </c>
      <c r="G5" s="6" t="s">
        <v>121</v>
      </c>
      <c r="H5" s="6" t="s">
        <v>240</v>
      </c>
      <c r="I5" s="6" t="s">
        <v>106</v>
      </c>
      <c r="J5" s="6" t="s">
        <v>457</v>
      </c>
    </row>
    <row r="6" spans="1:10" x14ac:dyDescent="0.3">
      <c r="B6" s="6" t="s">
        <v>127</v>
      </c>
      <c r="C6" s="6" t="s">
        <v>279</v>
      </c>
      <c r="D6" s="6" t="s">
        <v>545</v>
      </c>
      <c r="E6" s="6" t="s">
        <v>361</v>
      </c>
      <c r="F6" s="6" t="s">
        <v>390</v>
      </c>
      <c r="G6" s="6" t="s">
        <v>261</v>
      </c>
      <c r="H6" s="6" t="s">
        <v>524</v>
      </c>
      <c r="I6" s="6" t="s">
        <v>546</v>
      </c>
      <c r="J6" s="6" t="s">
        <v>432</v>
      </c>
    </row>
    <row r="7" spans="1:10" x14ac:dyDescent="0.3">
      <c r="B7" s="6" t="s">
        <v>144</v>
      </c>
      <c r="C7" s="6" t="s">
        <v>175</v>
      </c>
      <c r="D7" s="6" t="s">
        <v>130</v>
      </c>
      <c r="F7" s="6" t="s">
        <v>368</v>
      </c>
      <c r="G7" s="6" t="s">
        <v>154</v>
      </c>
      <c r="I7" s="6" t="s">
        <v>139</v>
      </c>
      <c r="J7" s="6" t="s">
        <v>424</v>
      </c>
    </row>
    <row r="8" spans="1:10" x14ac:dyDescent="0.3">
      <c r="B8" s="6" t="s">
        <v>266</v>
      </c>
      <c r="C8" s="6" t="s">
        <v>344</v>
      </c>
      <c r="D8" s="6" t="s">
        <v>376</v>
      </c>
      <c r="G8" s="6" t="s">
        <v>228</v>
      </c>
      <c r="I8" s="6" t="s">
        <v>336</v>
      </c>
      <c r="J8" s="6" t="s">
        <v>439</v>
      </c>
    </row>
    <row r="9" spans="1:10" x14ac:dyDescent="0.3">
      <c r="B9" s="6" t="s">
        <v>159</v>
      </c>
      <c r="C9" s="6" t="s">
        <v>547</v>
      </c>
      <c r="G9" s="6" t="s">
        <v>246</v>
      </c>
      <c r="I9" s="6" t="s">
        <v>187</v>
      </c>
      <c r="J9" s="6" t="s">
        <v>447</v>
      </c>
    </row>
    <row r="10" spans="1:10" x14ac:dyDescent="0.3">
      <c r="B10" s="6" t="s">
        <v>173</v>
      </c>
      <c r="C10" s="6" t="s">
        <v>548</v>
      </c>
      <c r="G10" s="6" t="s">
        <v>184</v>
      </c>
      <c r="I10" s="6" t="s">
        <v>492</v>
      </c>
      <c r="J10" s="6" t="s">
        <v>504</v>
      </c>
    </row>
    <row r="11" spans="1:10" x14ac:dyDescent="0.3">
      <c r="B11" s="6" t="s">
        <v>193</v>
      </c>
      <c r="C11" s="6" t="s">
        <v>375</v>
      </c>
      <c r="G11" s="6" t="s">
        <v>201</v>
      </c>
      <c r="I11" s="6" t="s">
        <v>230</v>
      </c>
      <c r="J11" s="6" t="s">
        <v>443</v>
      </c>
    </row>
    <row r="12" spans="1:10" x14ac:dyDescent="0.3">
      <c r="B12" s="6" t="s">
        <v>206</v>
      </c>
      <c r="C12" s="6" t="s">
        <v>390</v>
      </c>
      <c r="G12" s="6" t="s">
        <v>297</v>
      </c>
      <c r="I12" s="6" t="s">
        <v>506</v>
      </c>
    </row>
    <row r="13" spans="1:10" x14ac:dyDescent="0.3">
      <c r="B13" s="6" t="s">
        <v>219</v>
      </c>
      <c r="I13" s="6" t="s">
        <v>298</v>
      </c>
    </row>
    <row r="14" spans="1:10" x14ac:dyDescent="0.3">
      <c r="B14" s="6" t="s">
        <v>236</v>
      </c>
      <c r="I14" s="6" t="s">
        <v>549</v>
      </c>
    </row>
    <row r="15" spans="1:10" x14ac:dyDescent="0.3">
      <c r="B15" s="6" t="s">
        <v>252</v>
      </c>
      <c r="I15" s="6" t="s">
        <v>550</v>
      </c>
    </row>
    <row r="16" spans="1:10" x14ac:dyDescent="0.3">
      <c r="B16" s="6" t="s">
        <v>291</v>
      </c>
      <c r="I16" s="6" t="s">
        <v>551</v>
      </c>
    </row>
    <row r="17" spans="2:9" x14ac:dyDescent="0.3">
      <c r="B17" s="6" t="s">
        <v>373</v>
      </c>
      <c r="I17" s="6" t="s">
        <v>552</v>
      </c>
    </row>
    <row r="18" spans="2:9" x14ac:dyDescent="0.3">
      <c r="B18" s="6" t="s">
        <v>303</v>
      </c>
      <c r="I18" s="6" t="s">
        <v>553</v>
      </c>
    </row>
    <row r="19" spans="2:9" ht="26.4" x14ac:dyDescent="0.3">
      <c r="B19" s="6" t="s">
        <v>316</v>
      </c>
      <c r="I19" s="6" t="s">
        <v>554</v>
      </c>
    </row>
    <row r="20" spans="2:9" x14ac:dyDescent="0.3">
      <c r="B20" s="6" t="s">
        <v>328</v>
      </c>
      <c r="I20" s="6" t="s">
        <v>555</v>
      </c>
    </row>
    <row r="21" spans="2:9" x14ac:dyDescent="0.3">
      <c r="B21" s="6" t="s">
        <v>342</v>
      </c>
      <c r="I21" s="6" t="s">
        <v>556</v>
      </c>
    </row>
    <row r="22" spans="2:9" x14ac:dyDescent="0.3">
      <c r="B22" s="6" t="s">
        <v>358</v>
      </c>
      <c r="I22" s="6" t="s">
        <v>557</v>
      </c>
    </row>
    <row r="23" spans="2:9" x14ac:dyDescent="0.3">
      <c r="I23" s="6" t="s">
        <v>558</v>
      </c>
    </row>
    <row r="24" spans="2:9" x14ac:dyDescent="0.3">
      <c r="I24" s="6" t="s">
        <v>559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560</v>
      </c>
      <c r="B1" s="8" t="s">
        <v>561</v>
      </c>
      <c r="C1" s="8" t="s">
        <v>562</v>
      </c>
      <c r="D1" s="8" t="s">
        <v>563</v>
      </c>
      <c r="E1" s="8" t="s">
        <v>564</v>
      </c>
      <c r="F1" s="8" t="s">
        <v>565</v>
      </c>
      <c r="G1" s="8" t="s">
        <v>566</v>
      </c>
      <c r="H1" s="8" t="s">
        <v>567</v>
      </c>
      <c r="I1" s="8" t="s">
        <v>568</v>
      </c>
    </row>
    <row r="2" spans="1:9" x14ac:dyDescent="0.3">
      <c r="A2" s="25" t="s">
        <v>28</v>
      </c>
      <c r="B2" s="25" t="s">
        <v>569</v>
      </c>
      <c r="C2" s="25" t="s">
        <v>62</v>
      </c>
      <c r="D2" s="25" t="s">
        <v>570</v>
      </c>
      <c r="E2" s="25" t="s">
        <v>571</v>
      </c>
      <c r="F2" s="25" t="s">
        <v>572</v>
      </c>
      <c r="G2" s="25" t="s">
        <v>573</v>
      </c>
      <c r="H2" s="25" t="s">
        <v>98</v>
      </c>
      <c r="I2" s="25" t="s">
        <v>574</v>
      </c>
    </row>
    <row r="3" spans="1:9" x14ac:dyDescent="0.3">
      <c r="A3" s="25" t="s">
        <v>28</v>
      </c>
      <c r="B3" s="25" t="s">
        <v>569</v>
      </c>
      <c r="C3" s="25" t="s">
        <v>63</v>
      </c>
      <c r="D3" s="25" t="s">
        <v>570</v>
      </c>
      <c r="E3" s="25" t="s">
        <v>571</v>
      </c>
      <c r="F3" s="25" t="s">
        <v>575</v>
      </c>
      <c r="G3" s="25"/>
      <c r="H3" s="25" t="s">
        <v>98</v>
      </c>
      <c r="I3" s="25"/>
    </row>
    <row r="4" spans="1:9" x14ac:dyDescent="0.3">
      <c r="A4" s="25" t="s">
        <v>28</v>
      </c>
      <c r="B4" s="25" t="s">
        <v>569</v>
      </c>
      <c r="C4" s="25" t="s">
        <v>64</v>
      </c>
      <c r="D4" s="25" t="s">
        <v>570</v>
      </c>
      <c r="E4" s="25" t="s">
        <v>571</v>
      </c>
      <c r="F4" s="25" t="s">
        <v>576</v>
      </c>
      <c r="G4" s="25" t="s">
        <v>577</v>
      </c>
      <c r="H4" s="25" t="s">
        <v>98</v>
      </c>
      <c r="I4" s="25"/>
    </row>
    <row r="5" spans="1:9" x14ac:dyDescent="0.3">
      <c r="A5" s="25" t="s">
        <v>28</v>
      </c>
      <c r="B5" s="25" t="s">
        <v>569</v>
      </c>
      <c r="C5" s="25" t="s">
        <v>65</v>
      </c>
      <c r="D5" s="25" t="s">
        <v>570</v>
      </c>
      <c r="E5" s="25" t="s">
        <v>571</v>
      </c>
      <c r="F5" s="25" t="s">
        <v>578</v>
      </c>
      <c r="G5" s="25"/>
      <c r="H5" s="25" t="s">
        <v>98</v>
      </c>
      <c r="I5" s="25"/>
    </row>
    <row r="6" spans="1:9" x14ac:dyDescent="0.3">
      <c r="A6" s="25" t="s">
        <v>28</v>
      </c>
      <c r="B6" s="25" t="s">
        <v>569</v>
      </c>
      <c r="C6" s="25" t="s">
        <v>66</v>
      </c>
      <c r="D6" s="25" t="s">
        <v>570</v>
      </c>
      <c r="E6" s="25" t="s">
        <v>571</v>
      </c>
      <c r="F6" s="25" t="s">
        <v>579</v>
      </c>
      <c r="G6" s="25" t="s">
        <v>580</v>
      </c>
      <c r="H6" s="25" t="s">
        <v>98</v>
      </c>
      <c r="I6" s="25"/>
    </row>
    <row r="7" spans="1:9" ht="26.4" x14ac:dyDescent="0.3">
      <c r="A7" s="25" t="s">
        <v>28</v>
      </c>
      <c r="B7" s="25" t="s">
        <v>569</v>
      </c>
      <c r="C7" s="25" t="s">
        <v>67</v>
      </c>
      <c r="D7" s="25" t="s">
        <v>581</v>
      </c>
      <c r="E7" s="25" t="s">
        <v>571</v>
      </c>
      <c r="F7" s="25" t="s">
        <v>582</v>
      </c>
      <c r="G7" s="25"/>
      <c r="H7" s="25" t="s">
        <v>148</v>
      </c>
      <c r="I7" s="25"/>
    </row>
    <row r="8" spans="1:9" x14ac:dyDescent="0.3">
      <c r="A8" s="25" t="s">
        <v>28</v>
      </c>
      <c r="B8" s="25" t="s">
        <v>569</v>
      </c>
      <c r="C8" s="25" t="s">
        <v>68</v>
      </c>
      <c r="D8" s="25" t="s">
        <v>570</v>
      </c>
      <c r="E8" s="25" t="s">
        <v>571</v>
      </c>
      <c r="F8" s="25" t="s">
        <v>583</v>
      </c>
      <c r="G8" s="25" t="s">
        <v>584</v>
      </c>
      <c r="H8" s="25" t="s">
        <v>98</v>
      </c>
      <c r="I8" s="25"/>
    </row>
    <row r="9" spans="1:9" x14ac:dyDescent="0.3">
      <c r="A9" s="25" t="s">
        <v>28</v>
      </c>
      <c r="B9" s="25" t="s">
        <v>569</v>
      </c>
      <c r="C9" s="25" t="s">
        <v>69</v>
      </c>
      <c r="D9" s="25" t="s">
        <v>570</v>
      </c>
      <c r="E9" s="25" t="s">
        <v>571</v>
      </c>
      <c r="F9" s="25" t="s">
        <v>585</v>
      </c>
      <c r="G9" s="25"/>
      <c r="H9" s="25" t="s">
        <v>98</v>
      </c>
      <c r="I9" s="25"/>
    </row>
    <row r="10" spans="1:9" x14ac:dyDescent="0.3">
      <c r="A10" s="25" t="s">
        <v>28</v>
      </c>
      <c r="B10" s="25" t="s">
        <v>569</v>
      </c>
      <c r="C10" s="25" t="s">
        <v>70</v>
      </c>
      <c r="D10" s="25" t="s">
        <v>570</v>
      </c>
      <c r="E10" s="25" t="s">
        <v>571</v>
      </c>
      <c r="F10" s="25" t="s">
        <v>586</v>
      </c>
      <c r="G10" s="25"/>
      <c r="H10" s="25" t="s">
        <v>98</v>
      </c>
      <c r="I10" s="25"/>
    </row>
    <row r="11" spans="1:9" x14ac:dyDescent="0.3">
      <c r="A11" s="25" t="s">
        <v>28</v>
      </c>
      <c r="B11" s="25" t="s">
        <v>569</v>
      </c>
      <c r="C11" s="25" t="s">
        <v>71</v>
      </c>
      <c r="D11" s="25" t="s">
        <v>570</v>
      </c>
      <c r="E11" s="25" t="s">
        <v>571</v>
      </c>
      <c r="F11" s="25" t="s">
        <v>587</v>
      </c>
      <c r="G11" s="25" t="s">
        <v>588</v>
      </c>
      <c r="H11" s="25" t="s">
        <v>98</v>
      </c>
      <c r="I11" s="25"/>
    </row>
    <row r="12" spans="1:9" x14ac:dyDescent="0.3">
      <c r="A12" s="25" t="s">
        <v>28</v>
      </c>
      <c r="B12" s="25" t="s">
        <v>569</v>
      </c>
      <c r="C12" s="25" t="s">
        <v>72</v>
      </c>
      <c r="D12" s="25" t="s">
        <v>570</v>
      </c>
      <c r="E12" s="25" t="s">
        <v>571</v>
      </c>
      <c r="F12" s="25" t="s">
        <v>589</v>
      </c>
      <c r="G12" s="25"/>
      <c r="H12" s="25" t="s">
        <v>98</v>
      </c>
      <c r="I12" s="25"/>
    </row>
    <row r="13" spans="1:9" x14ac:dyDescent="0.3">
      <c r="A13" s="25" t="s">
        <v>28</v>
      </c>
      <c r="B13" s="25" t="s">
        <v>569</v>
      </c>
      <c r="C13" s="25" t="s">
        <v>73</v>
      </c>
      <c r="D13" s="25" t="s">
        <v>570</v>
      </c>
      <c r="E13" s="25" t="s">
        <v>571</v>
      </c>
      <c r="F13" s="25" t="s">
        <v>590</v>
      </c>
      <c r="G13" s="25"/>
      <c r="H13" s="25" t="s">
        <v>98</v>
      </c>
      <c r="I13" s="25"/>
    </row>
    <row r="14" spans="1:9" ht="26.4" x14ac:dyDescent="0.3">
      <c r="A14" s="25" t="s">
        <v>28</v>
      </c>
      <c r="B14" s="25" t="s">
        <v>569</v>
      </c>
      <c r="C14" s="25" t="s">
        <v>74</v>
      </c>
      <c r="D14" s="25" t="s">
        <v>570</v>
      </c>
      <c r="E14" s="25" t="s">
        <v>571</v>
      </c>
      <c r="F14" s="25" t="s">
        <v>591</v>
      </c>
      <c r="G14" s="25"/>
      <c r="H14" s="25" t="s">
        <v>148</v>
      </c>
      <c r="I14" s="25" t="s">
        <v>592</v>
      </c>
    </row>
    <row r="15" spans="1:9" x14ac:dyDescent="0.3">
      <c r="A15" s="25" t="s">
        <v>28</v>
      </c>
      <c r="B15" s="25" t="s">
        <v>569</v>
      </c>
      <c r="C15" s="25" t="s">
        <v>75</v>
      </c>
      <c r="D15" s="25" t="s">
        <v>570</v>
      </c>
      <c r="E15" s="25" t="s">
        <v>571</v>
      </c>
      <c r="F15" s="25" t="s">
        <v>593</v>
      </c>
      <c r="G15" s="25"/>
      <c r="H15" s="25" t="s">
        <v>98</v>
      </c>
      <c r="I15" s="25"/>
    </row>
    <row r="16" spans="1:9" ht="26.4" x14ac:dyDescent="0.3">
      <c r="A16" s="25" t="s">
        <v>28</v>
      </c>
      <c r="B16" s="25" t="s">
        <v>569</v>
      </c>
      <c r="C16" s="25" t="s">
        <v>76</v>
      </c>
      <c r="D16" s="25" t="s">
        <v>570</v>
      </c>
      <c r="E16" s="25" t="s">
        <v>571</v>
      </c>
      <c r="F16" s="25" t="s">
        <v>594</v>
      </c>
      <c r="G16" s="25"/>
      <c r="H16" s="25" t="s">
        <v>98</v>
      </c>
      <c r="I16" s="25"/>
    </row>
    <row r="17" spans="1:9" x14ac:dyDescent="0.3">
      <c r="A17" s="25" t="s">
        <v>28</v>
      </c>
      <c r="B17" s="25" t="s">
        <v>569</v>
      </c>
      <c r="C17" s="25" t="s">
        <v>77</v>
      </c>
      <c r="D17" s="25" t="s">
        <v>570</v>
      </c>
      <c r="E17" s="25" t="s">
        <v>571</v>
      </c>
      <c r="F17" s="25" t="s">
        <v>595</v>
      </c>
      <c r="G17" s="25" t="s">
        <v>596</v>
      </c>
      <c r="H17" s="25" t="s">
        <v>98</v>
      </c>
      <c r="I17" s="25"/>
    </row>
    <row r="18" spans="1:9" ht="26.4" x14ac:dyDescent="0.3">
      <c r="A18" s="25" t="s">
        <v>28</v>
      </c>
      <c r="B18" s="25" t="s">
        <v>569</v>
      </c>
      <c r="C18" s="25" t="s">
        <v>78</v>
      </c>
      <c r="D18" s="25" t="s">
        <v>581</v>
      </c>
      <c r="E18" s="25" t="s">
        <v>571</v>
      </c>
      <c r="F18" s="25" t="s">
        <v>597</v>
      </c>
      <c r="G18" s="25"/>
      <c r="H18" s="25" t="s">
        <v>98</v>
      </c>
      <c r="I18" s="25"/>
    </row>
    <row r="19" spans="1:9" x14ac:dyDescent="0.3">
      <c r="A19" s="25" t="s">
        <v>28</v>
      </c>
      <c r="B19" s="25" t="s">
        <v>569</v>
      </c>
      <c r="C19" s="25" t="s">
        <v>14</v>
      </c>
      <c r="D19" s="25" t="s">
        <v>570</v>
      </c>
      <c r="E19" s="25" t="s">
        <v>571</v>
      </c>
      <c r="F19" s="25" t="s">
        <v>598</v>
      </c>
      <c r="G19" s="25" t="s">
        <v>599</v>
      </c>
      <c r="H19" s="25" t="s">
        <v>98</v>
      </c>
      <c r="I19" s="25"/>
    </row>
    <row r="20" spans="1:9" ht="26.4" x14ac:dyDescent="0.3">
      <c r="A20" s="25" t="s">
        <v>28</v>
      </c>
      <c r="B20" s="25" t="s">
        <v>569</v>
      </c>
      <c r="C20" s="25" t="s">
        <v>79</v>
      </c>
      <c r="D20" s="25" t="s">
        <v>581</v>
      </c>
      <c r="E20" s="25" t="s">
        <v>571</v>
      </c>
      <c r="F20" s="25" t="s">
        <v>600</v>
      </c>
      <c r="G20" s="25"/>
      <c r="H20" s="25" t="s">
        <v>98</v>
      </c>
      <c r="I20" s="25"/>
    </row>
    <row r="21" spans="1:9" x14ac:dyDescent="0.3">
      <c r="A21" s="25" t="s">
        <v>28</v>
      </c>
      <c r="B21" s="25" t="s">
        <v>569</v>
      </c>
      <c r="C21" s="25" t="s">
        <v>80</v>
      </c>
      <c r="D21" s="25" t="s">
        <v>601</v>
      </c>
      <c r="E21" s="25" t="s">
        <v>571</v>
      </c>
      <c r="F21" s="25" t="s">
        <v>602</v>
      </c>
      <c r="G21" s="25"/>
      <c r="H21" s="25" t="s">
        <v>98</v>
      </c>
      <c r="I21" s="25"/>
    </row>
    <row r="22" spans="1:9" ht="26.4" x14ac:dyDescent="0.3">
      <c r="A22" s="25" t="s">
        <v>28</v>
      </c>
      <c r="B22" s="25" t="s">
        <v>569</v>
      </c>
      <c r="C22" s="25" t="s">
        <v>81</v>
      </c>
      <c r="D22" s="25" t="s">
        <v>581</v>
      </c>
      <c r="E22" s="25" t="s">
        <v>603</v>
      </c>
      <c r="F22" s="25" t="s">
        <v>604</v>
      </c>
      <c r="G22" s="25"/>
      <c r="H22" s="25" t="s">
        <v>98</v>
      </c>
      <c r="I22" s="25"/>
    </row>
    <row r="23" spans="1:9" x14ac:dyDescent="0.3">
      <c r="A23" s="25" t="s">
        <v>28</v>
      </c>
      <c r="B23" s="25" t="s">
        <v>569</v>
      </c>
      <c r="C23" s="25" t="s">
        <v>82</v>
      </c>
      <c r="D23" s="25" t="s">
        <v>601</v>
      </c>
      <c r="E23" s="25" t="s">
        <v>603</v>
      </c>
      <c r="F23" s="25" t="s">
        <v>605</v>
      </c>
      <c r="G23" s="25"/>
      <c r="H23" s="25" t="s">
        <v>98</v>
      </c>
      <c r="I23" s="25"/>
    </row>
    <row r="24" spans="1:9" x14ac:dyDescent="0.3">
      <c r="A24" s="25" t="s">
        <v>28</v>
      </c>
      <c r="B24" s="25" t="s">
        <v>569</v>
      </c>
      <c r="C24" s="25" t="s">
        <v>83</v>
      </c>
      <c r="D24" s="25" t="s">
        <v>570</v>
      </c>
      <c r="E24" s="25" t="s">
        <v>603</v>
      </c>
      <c r="F24" s="25" t="s">
        <v>606</v>
      </c>
      <c r="G24" s="25"/>
      <c r="H24" s="25" t="s">
        <v>98</v>
      </c>
      <c r="I24" s="25"/>
    </row>
    <row r="25" spans="1:9" ht="26.4" x14ac:dyDescent="0.3">
      <c r="A25" s="25" t="s">
        <v>28</v>
      </c>
      <c r="B25" s="25" t="s">
        <v>569</v>
      </c>
      <c r="C25" s="25" t="s">
        <v>84</v>
      </c>
      <c r="D25" s="25" t="s">
        <v>570</v>
      </c>
      <c r="E25" s="25" t="s">
        <v>571</v>
      </c>
      <c r="F25" s="25" t="s">
        <v>607</v>
      </c>
      <c r="G25" s="25"/>
      <c r="H25" s="25" t="s">
        <v>148</v>
      </c>
      <c r="I25" s="25" t="s">
        <v>608</v>
      </c>
    </row>
    <row r="26" spans="1:9" x14ac:dyDescent="0.3">
      <c r="A26" s="25" t="s">
        <v>28</v>
      </c>
      <c r="B26" s="25" t="s">
        <v>569</v>
      </c>
      <c r="C26" s="25" t="s">
        <v>85</v>
      </c>
      <c r="D26" s="25" t="s">
        <v>570</v>
      </c>
      <c r="E26" s="25" t="s">
        <v>571</v>
      </c>
      <c r="F26" s="25" t="s">
        <v>609</v>
      </c>
      <c r="G26" s="25" t="s">
        <v>610</v>
      </c>
      <c r="H26" s="25" t="s">
        <v>98</v>
      </c>
      <c r="I26" s="25"/>
    </row>
    <row r="27" spans="1:9" x14ac:dyDescent="0.3">
      <c r="A27" s="25" t="s">
        <v>28</v>
      </c>
      <c r="B27" s="25" t="s">
        <v>569</v>
      </c>
      <c r="C27" s="25" t="s">
        <v>86</v>
      </c>
      <c r="D27" s="25" t="s">
        <v>570</v>
      </c>
      <c r="E27" s="25" t="s">
        <v>571</v>
      </c>
      <c r="F27" s="25" t="s">
        <v>611</v>
      </c>
      <c r="G27" s="25"/>
      <c r="H27" s="25" t="s">
        <v>98</v>
      </c>
      <c r="I27" s="25"/>
    </row>
    <row r="28" spans="1:9" ht="26.4" x14ac:dyDescent="0.3">
      <c r="A28" s="25" t="s">
        <v>28</v>
      </c>
      <c r="B28" s="25" t="s">
        <v>569</v>
      </c>
      <c r="C28" s="25" t="s">
        <v>87</v>
      </c>
      <c r="D28" s="25" t="s">
        <v>570</v>
      </c>
      <c r="E28" s="25" t="s">
        <v>571</v>
      </c>
      <c r="F28" s="25" t="s">
        <v>612</v>
      </c>
      <c r="G28" s="25" t="s">
        <v>613</v>
      </c>
      <c r="H28" s="25" t="s">
        <v>98</v>
      </c>
      <c r="I28" s="25"/>
    </row>
    <row r="29" spans="1:9" x14ac:dyDescent="0.3">
      <c r="A29" s="25" t="s">
        <v>28</v>
      </c>
      <c r="B29" s="25" t="s">
        <v>569</v>
      </c>
      <c r="C29" s="25" t="s">
        <v>88</v>
      </c>
      <c r="D29" s="25" t="s">
        <v>570</v>
      </c>
      <c r="E29" s="25" t="s">
        <v>571</v>
      </c>
      <c r="F29" s="25" t="s">
        <v>614</v>
      </c>
      <c r="G29" s="25"/>
      <c r="H29" s="25" t="s">
        <v>98</v>
      </c>
      <c r="I29" s="25"/>
    </row>
    <row r="30" spans="1:9" ht="26.4" x14ac:dyDescent="0.3">
      <c r="A30" s="25" t="s">
        <v>28</v>
      </c>
      <c r="B30" s="25" t="s">
        <v>569</v>
      </c>
      <c r="C30" s="25" t="s">
        <v>89</v>
      </c>
      <c r="D30" s="25" t="s">
        <v>570</v>
      </c>
      <c r="E30" s="25" t="s">
        <v>571</v>
      </c>
      <c r="F30" s="25" t="s">
        <v>615</v>
      </c>
      <c r="G30" s="25"/>
      <c r="H30" s="25" t="s">
        <v>148</v>
      </c>
      <c r="I30" s="25" t="s">
        <v>616</v>
      </c>
    </row>
    <row r="31" spans="1:9" x14ac:dyDescent="0.3">
      <c r="A31" s="25" t="s">
        <v>30</v>
      </c>
      <c r="B31" s="25" t="s">
        <v>617</v>
      </c>
      <c r="C31" s="25" t="s">
        <v>415</v>
      </c>
      <c r="D31" s="25" t="s">
        <v>570</v>
      </c>
      <c r="E31" s="25" t="s">
        <v>571</v>
      </c>
      <c r="F31" s="25" t="s">
        <v>618</v>
      </c>
      <c r="G31" s="25"/>
      <c r="H31" s="25" t="s">
        <v>98</v>
      </c>
      <c r="I31" s="25" t="s">
        <v>574</v>
      </c>
    </row>
    <row r="32" spans="1:9" ht="26.4" x14ac:dyDescent="0.3">
      <c r="A32" s="25" t="s">
        <v>30</v>
      </c>
      <c r="B32" s="25" t="s">
        <v>617</v>
      </c>
      <c r="C32" s="25" t="s">
        <v>62</v>
      </c>
      <c r="D32" s="25" t="s">
        <v>570</v>
      </c>
      <c r="E32" s="25" t="s">
        <v>571</v>
      </c>
      <c r="F32" s="25" t="s">
        <v>619</v>
      </c>
      <c r="G32" s="25"/>
      <c r="H32" s="25" t="s">
        <v>98</v>
      </c>
      <c r="I32" s="25" t="s">
        <v>620</v>
      </c>
    </row>
    <row r="33" spans="1:9" x14ac:dyDescent="0.3">
      <c r="A33" s="25" t="s">
        <v>30</v>
      </c>
      <c r="B33" s="25" t="s">
        <v>617</v>
      </c>
      <c r="C33" s="25" t="s">
        <v>416</v>
      </c>
      <c r="D33" s="25" t="s">
        <v>570</v>
      </c>
      <c r="E33" s="25" t="s">
        <v>571</v>
      </c>
      <c r="F33" s="25" t="s">
        <v>621</v>
      </c>
      <c r="G33" s="25"/>
      <c r="H33" s="25" t="s">
        <v>98</v>
      </c>
      <c r="I33" s="25"/>
    </row>
    <row r="34" spans="1:9" x14ac:dyDescent="0.3">
      <c r="A34" s="25" t="s">
        <v>30</v>
      </c>
      <c r="B34" s="25" t="s">
        <v>617</v>
      </c>
      <c r="C34" s="25" t="s">
        <v>417</v>
      </c>
      <c r="D34" s="25" t="s">
        <v>570</v>
      </c>
      <c r="E34" s="25" t="s">
        <v>571</v>
      </c>
      <c r="F34" s="25" t="s">
        <v>622</v>
      </c>
      <c r="G34" s="25" t="s">
        <v>623</v>
      </c>
      <c r="H34" s="25" t="s">
        <v>98</v>
      </c>
      <c r="I34" s="25"/>
    </row>
    <row r="35" spans="1:9" ht="26.4" x14ac:dyDescent="0.3">
      <c r="A35" s="25" t="s">
        <v>30</v>
      </c>
      <c r="B35" s="25" t="s">
        <v>617</v>
      </c>
      <c r="C35" s="25" t="s">
        <v>418</v>
      </c>
      <c r="D35" s="25" t="s">
        <v>581</v>
      </c>
      <c r="E35" s="25" t="s">
        <v>571</v>
      </c>
      <c r="F35" s="25" t="s">
        <v>624</v>
      </c>
      <c r="G35" s="25"/>
      <c r="H35" s="25" t="s">
        <v>98</v>
      </c>
      <c r="I35" s="25"/>
    </row>
    <row r="36" spans="1:9" ht="26.4" x14ac:dyDescent="0.3">
      <c r="A36" s="25" t="s">
        <v>30</v>
      </c>
      <c r="B36" s="25" t="s">
        <v>617</v>
      </c>
      <c r="C36" s="25" t="s">
        <v>419</v>
      </c>
      <c r="D36" s="25" t="s">
        <v>581</v>
      </c>
      <c r="E36" s="25" t="s">
        <v>571</v>
      </c>
      <c r="F36" s="25" t="s">
        <v>625</v>
      </c>
      <c r="G36" s="25"/>
      <c r="H36" s="25" t="s">
        <v>98</v>
      </c>
      <c r="I36" s="25"/>
    </row>
    <row r="37" spans="1:9" x14ac:dyDescent="0.3">
      <c r="A37" s="25" t="s">
        <v>30</v>
      </c>
      <c r="B37" s="25" t="s">
        <v>617</v>
      </c>
      <c r="C37" s="25" t="s">
        <v>420</v>
      </c>
      <c r="D37" s="25" t="s">
        <v>570</v>
      </c>
      <c r="E37" s="25" t="s">
        <v>571</v>
      </c>
      <c r="F37" s="25" t="s">
        <v>626</v>
      </c>
      <c r="G37" s="25"/>
      <c r="H37" s="25" t="s">
        <v>98</v>
      </c>
      <c r="I37" s="25"/>
    </row>
    <row r="38" spans="1:9" x14ac:dyDescent="0.3">
      <c r="A38" s="25" t="s">
        <v>30</v>
      </c>
      <c r="B38" s="25" t="s">
        <v>617</v>
      </c>
      <c r="C38" s="25" t="s">
        <v>85</v>
      </c>
      <c r="D38" s="25" t="s">
        <v>570</v>
      </c>
      <c r="E38" s="25" t="s">
        <v>571</v>
      </c>
      <c r="F38" s="25" t="s">
        <v>627</v>
      </c>
      <c r="G38" s="25" t="s">
        <v>610</v>
      </c>
      <c r="H38" s="25" t="s">
        <v>98</v>
      </c>
      <c r="I38" s="25"/>
    </row>
    <row r="39" spans="1:9" x14ac:dyDescent="0.3">
      <c r="A39" s="25" t="s">
        <v>30</v>
      </c>
      <c r="B39" s="25" t="s">
        <v>617</v>
      </c>
      <c r="C39" s="25" t="s">
        <v>421</v>
      </c>
      <c r="D39" s="25" t="s">
        <v>601</v>
      </c>
      <c r="E39" s="25" t="s">
        <v>603</v>
      </c>
      <c r="F39" s="25" t="s">
        <v>628</v>
      </c>
      <c r="G39" s="25"/>
      <c r="H39" s="25" t="s">
        <v>98</v>
      </c>
      <c r="I39" s="25"/>
    </row>
    <row r="40" spans="1:9" x14ac:dyDescent="0.3">
      <c r="A40" s="25" t="s">
        <v>30</v>
      </c>
      <c r="B40" s="25" t="s">
        <v>617</v>
      </c>
      <c r="C40" s="25" t="s">
        <v>14</v>
      </c>
      <c r="D40" s="25" t="s">
        <v>570</v>
      </c>
      <c r="E40" s="25" t="s">
        <v>603</v>
      </c>
      <c r="F40" s="25" t="s">
        <v>629</v>
      </c>
      <c r="G40" s="25"/>
      <c r="H40" s="25" t="s">
        <v>98</v>
      </c>
      <c r="I40" s="25"/>
    </row>
    <row r="41" spans="1:9" ht="26.4" x14ac:dyDescent="0.3">
      <c r="A41" s="25" t="s">
        <v>32</v>
      </c>
      <c r="B41" s="25" t="s">
        <v>630</v>
      </c>
      <c r="C41" s="25" t="s">
        <v>62</v>
      </c>
      <c r="D41" s="25" t="s">
        <v>570</v>
      </c>
      <c r="E41" s="25" t="s">
        <v>571</v>
      </c>
      <c r="F41" s="25" t="s">
        <v>631</v>
      </c>
      <c r="G41" s="25"/>
      <c r="H41" s="25" t="s">
        <v>98</v>
      </c>
      <c r="I41" s="25" t="s">
        <v>620</v>
      </c>
    </row>
    <row r="42" spans="1:9" x14ac:dyDescent="0.3">
      <c r="A42" s="25" t="s">
        <v>32</v>
      </c>
      <c r="B42" s="25" t="s">
        <v>630</v>
      </c>
      <c r="C42" s="25" t="s">
        <v>521</v>
      </c>
      <c r="D42" s="25" t="s">
        <v>570</v>
      </c>
      <c r="E42" s="25" t="s">
        <v>571</v>
      </c>
      <c r="F42" s="25" t="s">
        <v>632</v>
      </c>
      <c r="G42" s="25"/>
      <c r="H42" s="25" t="s">
        <v>98</v>
      </c>
      <c r="I42" s="25"/>
    </row>
    <row r="43" spans="1:9" ht="26.4" x14ac:dyDescent="0.3">
      <c r="A43" s="25" t="s">
        <v>32</v>
      </c>
      <c r="B43" s="25" t="s">
        <v>630</v>
      </c>
      <c r="C43" s="25" t="s">
        <v>79</v>
      </c>
      <c r="D43" s="25" t="s">
        <v>581</v>
      </c>
      <c r="E43" s="25" t="s">
        <v>571</v>
      </c>
      <c r="F43" s="25" t="s">
        <v>633</v>
      </c>
      <c r="G43" s="25"/>
      <c r="H43" s="25" t="s">
        <v>98</v>
      </c>
      <c r="I43" s="25"/>
    </row>
    <row r="44" spans="1:9" x14ac:dyDescent="0.3">
      <c r="A44" s="25" t="s">
        <v>32</v>
      </c>
      <c r="B44" s="25" t="s">
        <v>630</v>
      </c>
      <c r="C44" s="25" t="s">
        <v>14</v>
      </c>
      <c r="D44" s="25" t="s">
        <v>570</v>
      </c>
      <c r="E44" s="25" t="s">
        <v>571</v>
      </c>
      <c r="F44" s="25" t="s">
        <v>634</v>
      </c>
      <c r="G44" s="25" t="s">
        <v>599</v>
      </c>
      <c r="H44" s="25" t="s">
        <v>98</v>
      </c>
      <c r="I44" s="2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15</vt:i4>
      </vt:variant>
    </vt:vector>
  </HeadingPairs>
  <TitlesOfParts>
    <vt:vector size="22" baseType="lpstr">
      <vt:lpstr>00_LEIA-ME</vt:lpstr>
      <vt:lpstr>Requisitos_Legais</vt:lpstr>
      <vt:lpstr>Calendario_Obrigacoes</vt:lpstr>
      <vt:lpstr>Historico_Avaliacoes</vt:lpstr>
      <vt:lpstr>Mod.G.06.02_Vista</vt:lpstr>
      <vt:lpstr>Listas</vt:lpstr>
      <vt:lpstr>Dicionario_Dados</vt:lpstr>
      <vt:lpstr>DataRef</vt:lpstr>
      <vt:lpstr>lst_Ambito</vt:lpstr>
      <vt:lpstr>lst_Aplicabilidade</vt:lpstr>
      <vt:lpstr>lst_DataReferencia</vt:lpstr>
      <vt:lpstr>lst_Estado</vt:lpstr>
      <vt:lpstr>lst_Frequencia</vt:lpstr>
      <vt:lpstr>lst_Funcao</vt:lpstr>
      <vt:lpstr>lst_Natureza</vt:lpstr>
      <vt:lpstr>lst_Tema</vt:lpstr>
      <vt:lpstr>lst_TipoDiploma</vt:lpstr>
      <vt:lpstr>lst_TipoEvidencia</vt:lpstr>
      <vt:lpstr>Calendario_Obrigacoes!Títulos_de_Impressão</vt:lpstr>
      <vt:lpstr>Historico_Avaliacoes!Títulos_de_Impressão</vt:lpstr>
      <vt:lpstr>Mod.G.06.02_Vista!Títulos_de_Impressão</vt:lpstr>
      <vt:lpstr>Requisitos_Legais!Títulos_de_Impressão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RG-SGA-04 Tabela de Identificação de Requisitos Legais e Avaliação da Conformidade (Mod.G.06.02)</dc:title>
  <dc:subject>SGA NP EN ISO 14001:2026 — Plasticom</dc:subject>
  <dc:creator>Gestor(a) do SGA / EHS</dc:creator>
  <cp:lastModifiedBy>Aline Meireles</cp:lastModifiedBy>
  <dcterms:created xsi:type="dcterms:W3CDTF">2026-09-30T16:48:40Z</dcterms:created>
  <dcterms:modified xsi:type="dcterms:W3CDTF">2026-09-30T16:48:57Z</dcterms:modified>
</cp:coreProperties>
</file>