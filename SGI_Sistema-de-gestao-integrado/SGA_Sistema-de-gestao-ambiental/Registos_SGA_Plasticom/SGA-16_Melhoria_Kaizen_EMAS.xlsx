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1044E5F9-F098-4AB0-8A47-F001E72C94B9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Ideias_Kaizen" sheetId="2" r:id="rId2"/>
    <sheet name="Resumo_Atividade_6_2" sheetId="3" r:id="rId3"/>
    <sheet name="EMAS_Indicadores" sheetId="4" r:id="rId4"/>
    <sheet name="EMAS_Transparencia" sheetId="5" r:id="rId5"/>
    <sheet name="Listas" sheetId="6" r:id="rId6"/>
    <sheet name="Dicionario_Dados" sheetId="7" r:id="rId7"/>
  </sheets>
  <definedNames>
    <definedName name="DataRef">Listas!$A$3</definedName>
    <definedName name="lst_DataReferencia">Listas!$A$3:$A$3</definedName>
    <definedName name="lst_Escala15">Listas!$E$3:$E$7</definedName>
    <definedName name="lst_EstadoKZ">Listas!$B$3:$B$7</definedName>
    <definedName name="lst_Processo">Listas!$D$3:$D$18</definedName>
    <definedName name="lst_SimNao">Listas!$C$3:$C$4</definedName>
    <definedName name="_xlnm.Print_Titles" localSheetId="3">EMAS_Indicadores!$4:$4</definedName>
    <definedName name="_xlnm.Print_Titles" localSheetId="4">EMAS_Transparencia!$1:$1</definedName>
    <definedName name="_xlnm.Print_Titles" localSheetId="1">Ideias_Kaizen!$4:$4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  <c r="H15" i="4"/>
  <c r="G15" i="4"/>
  <c r="J14" i="4"/>
  <c r="H14" i="4"/>
  <c r="G14" i="4"/>
  <c r="J13" i="4"/>
  <c r="H13" i="4"/>
  <c r="G13" i="4"/>
  <c r="J12" i="4"/>
  <c r="H12" i="4"/>
  <c r="G12" i="4"/>
  <c r="J11" i="4"/>
  <c r="H11" i="4"/>
  <c r="G11" i="4"/>
  <c r="J10" i="4"/>
  <c r="H10" i="4"/>
  <c r="G10" i="4"/>
  <c r="J9" i="4"/>
  <c r="H9" i="4"/>
  <c r="G9" i="4"/>
  <c r="J8" i="4"/>
  <c r="H8" i="4"/>
  <c r="G8" i="4"/>
  <c r="J7" i="4"/>
  <c r="H7" i="4"/>
  <c r="G7" i="4"/>
  <c r="J6" i="4"/>
  <c r="H6" i="4"/>
  <c r="G6" i="4"/>
  <c r="J5" i="4"/>
  <c r="H5" i="4"/>
  <c r="G5" i="4"/>
  <c r="B10" i="3"/>
  <c r="B6" i="3"/>
  <c r="B5" i="3"/>
  <c r="B4" i="3"/>
  <c r="V8" i="2"/>
  <c r="R8" i="2"/>
  <c r="S8" i="2" s="1"/>
  <c r="T8" i="2" s="1"/>
  <c r="V7" i="2"/>
  <c r="R7" i="2"/>
  <c r="S7" i="2" s="1"/>
  <c r="T7" i="2" s="1"/>
  <c r="V6" i="2"/>
  <c r="U6" i="2"/>
  <c r="R6" i="2"/>
  <c r="S6" i="2" s="1"/>
  <c r="T6" i="2" s="1"/>
  <c r="V5" i="2"/>
  <c r="R5" i="2"/>
  <c r="B7" i="3" s="1"/>
  <c r="S5" i="2" l="1"/>
  <c r="B8" i="3" s="1"/>
  <c r="U7" i="2"/>
  <c r="U8" i="2"/>
  <c r="U5" i="2"/>
  <c r="B9" i="3" s="1"/>
  <c r="T5" i="2" l="1"/>
  <c r="B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Ideia.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da proposta.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Quem propôs (função/turno).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Área.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Ideia (curta).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Mudança de rotina/organização/comportamento.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Como ajuda o ambiente.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Como poupa dinheiro.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Unidade do recurso poupado.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Quantidade de base por mês (ver Pressupostos).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Poupança por unidade de driver.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€ por unidade de recurso.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Custo de implementação.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Ação no PAM.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Ideia da Atividade 6.2.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Origem do driver e do fator.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Recurso poupado por ano.
[calculado]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Poupança anual (€).
[calculado]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Retorno (meses).
[calculado]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Emissões evitadas (kWh × 0,110 kgCO2e/kWh; polímero × 1,8 kgCO2e/kg).
[calculado]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Custo zero ou quase zero (≤ 500 €)?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Domínio-chave do Anexo IV EMAS.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Indicador.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A: impacto/consumo total anual (jan–dez/2026).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Unidade de A.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B: produção anual total (t de produto: frascos + tampas).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R = A / B (por tonelada de produto).
[calculado]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Unidade de R.
[calculado]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Criticidade para a Plasticom (5 = mais crítico).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Posição do domínio (indicadores principais).
[calculado]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Justificação com base na atividade da Plasticom.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Receio de publicar os dados.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Porque a transparência compensa o risco.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Como reduzir o risco.</t>
        </r>
      </text>
    </comment>
  </commentList>
</comments>
</file>

<file path=xl/sharedStrings.xml><?xml version="1.0" encoding="utf-8"?>
<sst xmlns="http://schemas.openxmlformats.org/spreadsheetml/2006/main" count="540" uniqueCount="299">
  <si>
    <t>RG-SGA-16 — Melhoria Contínua — Registo de Ideias Kaizen e Indicadores EMAS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</si>
  <si>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</si>
  <si>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</si>
  <si>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</si>
  <si>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RG-SGA-16</t>
  </si>
  <si>
    <t>Título</t>
  </si>
  <si>
    <t>Melhoria Contínua — Registo de Ideias Kaizen e Indicadores EMAS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</si>
  <si>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</si>
  <si>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</si>
  <si>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</si>
  <si>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</si>
  <si>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</si>
  <si>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</si>
  <si>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</si>
  <si>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</si>
  <si>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</si>
  <si>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</si>
  <si>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</si>
  <si>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</si>
  <si>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</si>
  <si>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</si>
  <si>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</si>
  <si>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Registar as ideias de melhoria dos trabalhadores com o cálculo do benefício ambiental e económico (poupança, payback e tCO2e evitadas por fórmula), e preparar os indicadores principais da Declaração Ambiental EMAS (valor anual A, produção B e rácio R = A/B) com a criticidade para a Plasticom.</t>
  </si>
  <si>
    <t>Atividades do curso</t>
  </si>
  <si>
    <t>Atividade 6.2 (Tarefa 1: ideia Kaizen KZ-01 e benefício duplo; Tarefa 2: registo no PAM como PAM-26-06). Atividade 6.3 (indicadores principais EMAS e transparência vs risco).</t>
  </si>
  <si>
    <t>Requisitos ISO 14001:2026</t>
  </si>
  <si>
    <t>10.1 Melhoria contínua (ISO 14001:2026); 7.4 (participação dos trabalhadores); Regulamento (CE) n.º 1221/2009 (EMAS), Anexo IV</t>
  </si>
  <si>
    <t>ESTRUTURA DO FICHEIRO</t>
  </si>
  <si>
    <t>Ideias_Kaizen</t>
  </si>
  <si>
    <t>Banco de ideias Kaizen com benefício ambiental e económico calculado.</t>
  </si>
  <si>
    <t>Resumo_Atividade_6_2</t>
  </si>
  <si>
    <t>Ficha da Atividade 6.2 (Tarefa 1 e Tarefa 2) para a ideia KZ-01.</t>
  </si>
  <si>
    <t>EMAS_Indicadores</t>
  </si>
  <si>
    <t>Indicadores principais EMAS (Anexo IV): A, B, R = A/B e criticidade — Atividade 6.3 (Q1).</t>
  </si>
  <si>
    <t>EMAS_Transparencia</t>
  </si>
  <si>
    <t>Atividade 6.3 (Q2): receios da gestão de topo em publicar dados e argumentos a favor da transparência.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</si>
  <si>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</si>
  <si>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</si>
  <si>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</si>
  <si>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</si>
  <si>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</si>
  <si>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</si>
  <si>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</si>
  <si>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</si>
  <si>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</si>
  <si>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</si>
  <si>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</si>
  <si>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</si>
  <si>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</si>
  <si>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</si>
  <si>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</si>
  <si>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</si>
  <si>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</si>
  <si>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</si>
  <si>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RG-SGA-06 PAM</t>
  </si>
  <si>
    <t>KZ-01 → PAM-26-06 (Tipo M).</t>
  </si>
  <si>
    <t>RG-SGA-13 Monitorização</t>
  </si>
  <si>
    <t>Valores anuais do EMAS = soma jan–dez/2026 da base de dados mensal.</t>
  </si>
  <si>
    <t>REGISTO DE IDEIAS KAIZEN — PEQUENAS MUDANÇAS, GRANDE IMPACTO</t>
  </si>
  <si>
    <t>Poupança = driver mensal × fator × 12 · € = quantidade × custo unitário · tCO2e com o fator da eletricidade 0,110 kgCO2e/kWh</t>
  </si>
  <si>
    <t>ID_KZ</t>
  </si>
  <si>
    <t>Data</t>
  </si>
  <si>
    <t>Proponente</t>
  </si>
  <si>
    <t>Area</t>
  </si>
  <si>
    <t>Titulo</t>
  </si>
  <si>
    <t>Descricao</t>
  </si>
  <si>
    <t>Beneficio_Ambiental</t>
  </si>
  <si>
    <t>Beneficio_Economico</t>
  </si>
  <si>
    <t>Unidade_Poupanca</t>
  </si>
  <si>
    <t>Driver_Mensal</t>
  </si>
  <si>
    <t>Fator_Poupanca</t>
  </si>
  <si>
    <t>Custo_Unitario_EUR</t>
  </si>
  <si>
    <t>Custo_Implementacao_EUR</t>
  </si>
  <si>
    <t>ID_PAM</t>
  </si>
  <si>
    <t>Selecionado_Atv_6_2</t>
  </si>
  <si>
    <t>Pressupostos</t>
  </si>
  <si>
    <t>Poupanca_Anual_Qtd</t>
  </si>
  <si>
    <t>Poupanca_Anual_EUR</t>
  </si>
  <si>
    <t>Payback_Meses</t>
  </si>
  <si>
    <t>tCO2e_Evitadas_Ano</t>
  </si>
  <si>
    <t>Custo_Zero</t>
  </si>
  <si>
    <t>KZ-01</t>
  </si>
  <si>
    <t>Chefe de turno 3 (Injeção)</t>
  </si>
  <si>
    <t>INJ</t>
  </si>
  <si>
    <t>Standby das máquinas na pausa de refeição do turno 3</t>
  </si>
  <si>
    <t>Na pausa de 80 min do turno 3 (sem equipa de rendição), pôr as injetoras e ISBM em modo standby (resistências a 60%, bomba hidráulica desligada) em vez de ficarem aquecidas em vazio.</t>
  </si>
  <si>
    <t>Menos eletricidade em vazio → menos emissões de GEE (âmbito 2) e menos calor para o chiller.</t>
  </si>
  <si>
    <t>Menos kWh na fatura; custo zero (só procedimento e etiqueta).</t>
  </si>
  <si>
    <t>kWh</t>
  </si>
  <si>
    <t>Implementada</t>
  </si>
  <si>
    <t>PAM-26-06</t>
  </si>
  <si>
    <t>Sim</t>
  </si>
  <si>
    <t>Driver: n.º médio de pausas de turno 3 por mês (dataset de paragens, jan–dez/2026). Fator: kWh evitados por pausa (estimativa 60 min × ≈ 11 kW de aquecimento/hidráulica em vazio).</t>
  </si>
  <si>
    <t>KZ-02</t>
  </si>
  <si>
    <t>Operador de serigrafia (turno 1)</t>
  </si>
  <si>
    <t>SER</t>
  </si>
  <si>
    <t>Regra 'tampa fechada' e solvente só no dispensador</t>
  </si>
  <si>
    <t>Fechar sempre a lata/dispensador de solvente após cada limpeza e nunca deixar panos embebidos abertos.</t>
  </si>
  <si>
    <t>Menos evaporação de COV (poluição do ar) e menos resíduo perigoso.</t>
  </si>
  <si>
    <t>Menos solvente comprado.</t>
  </si>
  <si>
    <t>kg solvente</t>
  </si>
  <si>
    <t>PAM-26-08</t>
  </si>
  <si>
    <t>Não</t>
  </si>
  <si>
    <t>Driver: solvente consumido por mês. Fator: 10% de perdas por evaporação evitadas.</t>
  </si>
  <si>
    <t>KZ-03</t>
  </si>
  <si>
    <t>Operador de sopro (turno 2)</t>
  </si>
  <si>
    <t>SOP</t>
  </si>
  <si>
    <t>Caixas coloridas por cor/polímero para o scrap</t>
  </si>
  <si>
    <t>Segregar o scrap limpo na fonte em caixas de cor por polímero e cor, para poder ser moído e reintegrado sem contaminação.</t>
  </si>
  <si>
    <t>Menos polímero virgem e menos resíduo plástico (circularidade interna).</t>
  </si>
  <si>
    <t>Menos compra de resina.</t>
  </si>
  <si>
    <t>kg polímero</t>
  </si>
  <si>
    <t>Em implementação</t>
  </si>
  <si>
    <t>PAM-26-12</t>
  </si>
  <si>
    <t>Driver: scrap de injeção + sopro por mês. Fator: +8 p.p. de reintegração.</t>
  </si>
  <si>
    <t>KZ-04</t>
  </si>
  <si>
    <t>Técnico de manutenção</t>
  </si>
  <si>
    <t>UTL</t>
  </si>
  <si>
    <t>Fechar os ramais de ar comprimido sem produção ao fim de semana</t>
  </si>
  <si>
    <t>Fechar as válvulas de isolamento dos ramais de ar comprimido das áreas paradas ao fim de semana (fugas deixam de ser alimentadas).</t>
  </si>
  <si>
    <t>Menos energia dos compressores.</t>
  </si>
  <si>
    <t>Menos kWh.</t>
  </si>
  <si>
    <t>PAM-26-01</t>
  </si>
  <si>
    <t>Driver: fins de semana por mês. Fator: kWh consumidos pelas fugas num fim de semana (teste de vazio).</t>
  </si>
  <si>
    <t>ATIVIDADE 6.2 — KAIZEN: BENEFÍCIO DUPLO E REGISTO NO PLANO DE AÇÕES</t>
  </si>
  <si>
    <t>TAREFA 1 — A ideia Kaizen e o benefício duplo</t>
  </si>
  <si>
    <t>Pequena mudança (custo ≈ zero)</t>
  </si>
  <si>
    <t>Ajuda o ambiente porque…</t>
  </si>
  <si>
    <t>Poupa dinheiro porque…</t>
  </si>
  <si>
    <t>Poupança anual (kWh)</t>
  </si>
  <si>
    <t>Poupança anual (€)</t>
  </si>
  <si>
    <t>Emissões evitadas (tCO2e/ano)</t>
  </si>
  <si>
    <t>Custo de implementação (€)</t>
  </si>
  <si>
    <t>Payback (meses)</t>
  </si>
  <si>
    <t>TAREFA 2 — Registo no Plano de Ações (Mod.G.10.00) — PAM-26-06</t>
  </si>
  <si>
    <t>Fonte / Doc. Afeto</t>
  </si>
  <si>
    <t>Caixa de Sugestões / Kaizen (ideia KZ-01, proposta pelo chefe de turno 3 em 18/09/2026) — oportunidade 10.1</t>
  </si>
  <si>
    <t>Oportunidade de Melhoria</t>
  </si>
  <si>
    <t>Na pausa de refeição de 80 min do turno 3, as injetoras e ISBM ficam aquecidas e em vazio; passar a modo standby.</t>
  </si>
  <si>
    <t>Ações a implementar / Tipo (M)</t>
  </si>
  <si>
    <t>(M) 1) Definir o modo standby de cada máquina com a manutenção (resistências a 60%, bomba hidráulica desligada, chiller em eco). 2) Colocar a etiqueta 'Pausa 3.º turno' no painel de cada máquina. 3) Criar o checklist de pausa assinado pelo chefe de turno. 4) Formar os operadores do turno 3 (10 min). 5) Medir a poupança com os analisadores de energia (PAM-26-02) e reportar na reunião mensal.</t>
  </si>
  <si>
    <t>Responsável</t>
  </si>
  <si>
    <t>Gerente de Produção (implementação); Chefe de turno 3 (execução diária); Gestor do SGA (monitorização da poupança)</t>
  </si>
  <si>
    <t>Prazo</t>
  </si>
  <si>
    <t>30/11/2026 (100% a funcionar); avaliação da eficácia em 28/02/2027 (≥ 90% das pausas com standby e ≥ 1.500 kWh/mês poupados)</t>
  </si>
  <si>
    <t>DECLARAÇÃO AMBIENTAL EMAS — INDICADORES PRINCIPAIS (PREPARAÇÃO 2027)</t>
  </si>
  <si>
    <t>R = A / B · B = toneladas de produto (frascos + tampas) · Período jan–dez/2026 · Criticidade: 5 = mais crítico</t>
  </si>
  <si>
    <t>ID_EMAS</t>
  </si>
  <si>
    <t>Dominio</t>
  </si>
  <si>
    <t>Indicador</t>
  </si>
  <si>
    <t>Valor_A</t>
  </si>
  <si>
    <t>Unidade_A</t>
  </si>
  <si>
    <t>Producao_B_t</t>
  </si>
  <si>
    <t>Racio_R</t>
  </si>
  <si>
    <t>Unidade_R</t>
  </si>
  <si>
    <t>Criticidade_1a5</t>
  </si>
  <si>
    <t>Ranking</t>
  </si>
  <si>
    <t>Justificacao</t>
  </si>
  <si>
    <t>EMAS-01</t>
  </si>
  <si>
    <t>Eficiência energética</t>
  </si>
  <si>
    <t>Consumo total direto de energia</t>
  </si>
  <si>
    <t>MWh</t>
  </si>
  <si>
    <t>É o 1.º custo ambiental e a origem de ≈ 99% das emissões de GEE: injeção e sopro são eletrointensivos (≈ 7,2 GWh/ano, instalação SGCIE).</t>
  </si>
  <si>
    <t>EMAS-01b</t>
  </si>
  <si>
    <t>Energia renovável (garantias de origem)</t>
  </si>
  <si>
    <t>Quota renovável de 55%; a UPAC em estudo pode acrescentar ≈ 1.400 MWh/ano.</t>
  </si>
  <si>
    <t>EMAS-02</t>
  </si>
  <si>
    <t>Eficiência dos materiais</t>
  </si>
  <si>
    <t>Fluxo mássico de materiais (polímero, tintas, solvente, foil)</t>
  </si>
  <si>
    <t>t</t>
  </si>
  <si>
    <t>O polímero é o maior fluxo de matéria (≈ 810 t/ano) e define a pegada do produto, o scrap e a conformidade PPWR (conteúdo reciclado).</t>
  </si>
  <si>
    <t>EMAS-03</t>
  </si>
  <si>
    <t>Água</t>
  </si>
  <si>
    <t>Consumo total anual de água</t>
  </si>
  <si>
    <t>m³</t>
  </si>
  <si>
    <t>Relevante mas moderado (≈ 9.400 m³): 80% é a torre de arrefecimento; sensível às secas e ao calor.</t>
  </si>
  <si>
    <t>EMAS-04</t>
  </si>
  <si>
    <t>Resíduos</t>
  </si>
  <si>
    <t>Produção total anual de resíduos</t>
  </si>
  <si>
    <t>Scrap e embalagens são os maiores fluxos; a taxa de valorização (≈ 80%) é um indicador de circularidade valorizado pelos clientes.</t>
  </si>
  <si>
    <t>EMAS-04b</t>
  </si>
  <si>
    <t>Resíduos perigosos</t>
  </si>
  <si>
    <t>Pouca quantidade (≈ 2 t) mas com gravidade alta (tintas, solventes, óleos).</t>
  </si>
  <si>
    <t>EMAS-05</t>
  </si>
  <si>
    <t>Biodiversidade</t>
  </si>
  <si>
    <t>Utilização total do solo</t>
  </si>
  <si>
    <t>m²</t>
  </si>
  <si>
    <t>Terreno de ≈ 4,5 ha em zona industrial, mas vizinho do Pinhal de Leiria: o risco de perdas de granulado e de incêndio liga a instalação à biodiversidade.</t>
  </si>
  <si>
    <t>EMAS-05b</t>
  </si>
  <si>
    <t>Área impermeabilizada</t>
  </si>
  <si>
    <t>71% do terreno impermeabilizado; áreas verdes com espécies nativas em estudo.</t>
  </si>
  <si>
    <t>EMAS-05c</t>
  </si>
  <si>
    <t>Área orientada para a natureza no local</t>
  </si>
  <si>
    <t>Faixa arborizada a norte (gestão de combustível e habitat).</t>
  </si>
  <si>
    <t>EMAS-06</t>
  </si>
  <si>
    <t>Emissões</t>
  </si>
  <si>
    <t>Emissões anuais de GEE (âmbitos 1 + 2 location-based — RG-SGA-19)</t>
  </si>
  <si>
    <t>tCO2e</t>
  </si>
  <si>
    <t>Mesmo cálculo do inventário de GEE (RG-SGA-19): âmbito 2 856 tCO2e da eletricidade + âmbito 1 9.1 tCO2e (gasóleo e fuga de R410A de nov/2025).</t>
  </si>
  <si>
    <t>EMAS-06b</t>
  </si>
  <si>
    <t>Emissões de COV (balanço do inventário de químicos — RG-SGA-21)</t>
  </si>
  <si>
    <t>Aspeto significativo (IRA 40); inclui solvente de limpeza, tintas, diluente, retardador, isopropanol e aerossóis; abaixo do limiar legal de 5 t/ano.</t>
  </si>
  <si>
    <t>ID</t>
  </si>
  <si>
    <t>Receio_Gestao_Topo</t>
  </si>
  <si>
    <t>Argumento_Transparencia</t>
  </si>
  <si>
    <t>Mitigacao</t>
  </si>
  <si>
    <t>TR-01</t>
  </si>
  <si>
    <t>Publicar a subida de 15% do solvente e a NC de ruído pode ser usado por concorrentes e prejudicar a imagem junto de clientes e vizinhos.</t>
  </si>
  <si>
    <t>Os clientes (cosmética, alimentar, farmacêutica) e as autoridades já pedem estes dados; publicar dados verificados com o plano de ação mostra controlo e credibilidade, enquanto esconder expõe a acusações de greenwashing (Diretiva (UE) 2024/825). Uma tendência negativa com ação explicada é mais credível do que números sempre perfeitos.</t>
  </si>
  <si>
    <t>Publicar sempre o dado com contexto (causa, ação, meta e prazo) e mostrar a série de 3 anos; a verificação pelo verificador acreditado garante que o dado é justo e comparável.</t>
  </si>
  <si>
    <t>TR-02</t>
  </si>
  <si>
    <t>Custo e trabalho de preparar e verificar a Declaração Ambiental todos os anos.</t>
  </si>
  <si>
    <t>Os dados já existem no painel ambiental (RG-SGA-13) e nos registos do SGA; a declaração reutiliza-os. O registo EMAS pode reduzir inspeções/taxas e dá acesso a concursos públicos e clientes que exigem EMAS.</t>
  </si>
  <si>
    <t>Automatizar a Declaração a partir do modelo de dados; começar pela declaração simplificada nos anos intermédios quando aplicável.</t>
  </si>
  <si>
    <t>TR-03</t>
  </si>
  <si>
    <t>Obrigação de 'tolerância zero' legal: as NC legais de ruído e PPWR impedem o registo.</t>
  </si>
  <si>
    <t>É verdade: por isso o plano é resolver as 2 NC até 31/12/2026 e pedir o registo em 2027. Esta exigência reforça a gestão da conformidade (valor para o negócio).</t>
  </si>
  <si>
    <t>Incluir o fecho das NC legais como pré-requisito no plano EMAS (decisão RG-26-D04).</t>
  </si>
  <si>
    <t>LISTAS CONTROLADAS (domínios de validação de dados) — editar aqui para alterar opções</t>
  </si>
  <si>
    <t>DataReferencia</t>
  </si>
  <si>
    <t>EstadoKZ</t>
  </si>
  <si>
    <t>SimNao</t>
  </si>
  <si>
    <t>Processo</t>
  </si>
  <si>
    <t>Escala15</t>
  </si>
  <si>
    <t>Proposta</t>
  </si>
  <si>
    <t>REC</t>
  </si>
  <si>
    <t>Aprovada</t>
  </si>
  <si>
    <t>ARQ</t>
  </si>
  <si>
    <t>Rejeitada</t>
  </si>
  <si>
    <t>HFS</t>
  </si>
  <si>
    <t>MOA</t>
  </si>
  <si>
    <t>MAN</t>
  </si>
  <si>
    <t>PRS</t>
  </si>
  <si>
    <t>EXP</t>
  </si>
  <si>
    <t>LAB</t>
  </si>
  <si>
    <t>RD</t>
  </si>
  <si>
    <t>CMP</t>
  </si>
  <si>
    <t>ADM</t>
  </si>
  <si>
    <t>GER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</si>
  <si>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</si>
  <si>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</si>
  <si>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</si>
  <si>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</si>
  <si>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</si>
  <si>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</si>
  <si>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</si>
  <si>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</si>
  <si>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tbl_kaizen</t>
  </si>
  <si>
    <t>Texto</t>
  </si>
  <si>
    <t>Entrada</t>
  </si>
  <si>
    <t>Ideia.</t>
  </si>
  <si>
    <t>PK</t>
  </si>
  <si>
    <t>Data (aaaa-mm-dd)</t>
  </si>
  <si>
    <t>Data da proposta.</t>
  </si>
  <si>
    <t>Quem propôs (função/turno).</t>
  </si>
  <si>
    <t>Área.</t>
  </si>
  <si>
    <t>Lista lst_Processo</t>
  </si>
  <si>
    <t>Ideia (curta).</t>
  </si>
  <si>
    <t>Mudança de rotina/organização/comportamento.</t>
  </si>
  <si>
    <t>Como ajuda o ambiente.</t>
  </si>
  <si>
    <t>Como poupa dinheiro.</t>
  </si>
  <si>
    <t>Unidade do recurso poupado.</t>
  </si>
  <si>
    <t>Decimal</t>
  </si>
  <si>
    <t>Quantidade de base por mês (ver Pressupostos).</t>
  </si>
  <si>
    <t>Poupança por unidade de driver.</t>
  </si>
  <si>
    <t>€ por unidade de recurso.</t>
  </si>
  <si>
    <t>Moeda (EUR)</t>
  </si>
  <si>
    <t>Custo de implementação.</t>
  </si>
  <si>
    <t>Estado.</t>
  </si>
  <si>
    <t>Lista lst_EstadoKZ</t>
  </si>
  <si>
    <t>Ação no PAM.</t>
  </si>
  <si>
    <t>FK → RG-SGA-06</t>
  </si>
  <si>
    <t>Ideia da Atividade 6.2.</t>
  </si>
  <si>
    <t>Lista lst_SimNao</t>
  </si>
  <si>
    <t>Origem do driver e do fator.</t>
  </si>
  <si>
    <t>Calculado (fórmula)</t>
  </si>
  <si>
    <t>Recurso poupado por ano.</t>
  </si>
  <si>
    <t>Poupança anual (€).</t>
  </si>
  <si>
    <t>Retorno (meses).</t>
  </si>
  <si>
    <t>Emissões evitadas (kWh × 0,110 kgCO2e/kWh; polímero × 1,8 kgCO2e/kg).</t>
  </si>
  <si>
    <t>Custo zero ou quase zero (≤ 500 €)?</t>
  </si>
  <si>
    <t>tbl_emas</t>
  </si>
  <si>
    <t>Indicador.</t>
  </si>
  <si>
    <t>Domínio-chave do Anexo IV EMAS.</t>
  </si>
  <si>
    <t>A: impacto/consumo total anual (jan–dez/2026).</t>
  </si>
  <si>
    <t>Unidade de A.</t>
  </si>
  <si>
    <t>B: produção anual total (t de produto: frascos + tampas).</t>
  </si>
  <si>
    <t>R = A / B (por tonelada de produto).</t>
  </si>
  <si>
    <t>Unidade de R.</t>
  </si>
  <si>
    <t>Inteiro</t>
  </si>
  <si>
    <t>Criticidade para a Plasticom (5 = mais crítico).</t>
  </si>
  <si>
    <t>Lista lst_Escala15</t>
  </si>
  <si>
    <t>Posição do domínio (indicadores principais).</t>
  </si>
  <si>
    <t>Justificação com base na atividade da Plasticom.</t>
  </si>
  <si>
    <t>tbl_emas_transparencia</t>
  </si>
  <si>
    <t>Tema.</t>
  </si>
  <si>
    <t>Receio de publicar os dados.</t>
  </si>
  <si>
    <t>Porque a transparência compensa o risco.</t>
  </si>
  <si>
    <t>Como reduzir o risco.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</si>
</sst>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,##0.0"/>
    <numFmt numFmtId="166" formatCode="#,##0.000"/>
    <numFmt numFmtId="167" formatCode="#,##0\ \€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167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5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16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top" wrapText="1"/>
    </xf>
    <xf numFmtId="168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4"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aizen" displayName="tbl_kaizen" ref="A4:V8">
  <autoFilter ref="A4:V8" xr:uid="{00000000-0009-0000-0100-000001000000}"/>
  <tableColumns count="22">
    <tableColumn id="1" xr3:uid="{00000000-0010-0000-0000-000001000000}" name="ID_KZ"/>
    <tableColumn id="2" xr3:uid="{00000000-0010-0000-0000-000002000000}" name="Data"/>
    <tableColumn id="3" xr3:uid="{00000000-0010-0000-0000-000003000000}" name="Proponente"/>
    <tableColumn id="4" xr3:uid="{00000000-0010-0000-0000-000004000000}" name="Area"/>
    <tableColumn id="5" xr3:uid="{00000000-0010-0000-0000-000005000000}" name="Titulo"/>
    <tableColumn id="6" xr3:uid="{00000000-0010-0000-0000-000006000000}" name="Descricao"/>
    <tableColumn id="7" xr3:uid="{00000000-0010-0000-0000-000007000000}" name="Beneficio_Ambiental"/>
    <tableColumn id="8" xr3:uid="{00000000-0010-0000-0000-000008000000}" name="Beneficio_Economico"/>
    <tableColumn id="9" xr3:uid="{00000000-0010-0000-0000-000009000000}" name="Unidade_Poupanca"/>
    <tableColumn id="10" xr3:uid="{00000000-0010-0000-0000-00000A000000}" name="Driver_Mensal"/>
    <tableColumn id="11" xr3:uid="{00000000-0010-0000-0000-00000B000000}" name="Fator_Poupanca"/>
    <tableColumn id="12" xr3:uid="{00000000-0010-0000-0000-00000C000000}" name="Custo_Unitario_EUR"/>
    <tableColumn id="13" xr3:uid="{00000000-0010-0000-0000-00000D000000}" name="Custo_Implementacao_EUR"/>
    <tableColumn id="14" xr3:uid="{00000000-0010-0000-0000-00000E000000}" name="Estado"/>
    <tableColumn id="15" xr3:uid="{00000000-0010-0000-0000-00000F000000}" name="ID_PAM"/>
    <tableColumn id="16" xr3:uid="{00000000-0010-0000-0000-000010000000}" name="Selecionado_Atv_6_2"/>
    <tableColumn id="17" xr3:uid="{00000000-0010-0000-0000-000011000000}" name="Pressupostos"/>
    <tableColumn id="18" xr3:uid="{00000000-0010-0000-0000-000012000000}" name="Poupanca_Anual_Qtd"/>
    <tableColumn id="19" xr3:uid="{00000000-0010-0000-0000-000013000000}" name="Poupanca_Anual_EUR"/>
    <tableColumn id="20" xr3:uid="{00000000-0010-0000-0000-000014000000}" name="Payback_Meses"/>
    <tableColumn id="21" xr3:uid="{00000000-0010-0000-0000-000015000000}" name="tCO2e_Evitadas_Ano"/>
    <tableColumn id="22" xr3:uid="{00000000-0010-0000-0000-000016000000}" name="Custo_Zer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mas" displayName="tbl_emas" ref="A4:K15">
  <autoFilter ref="A4:K15" xr:uid="{00000000-0009-0000-0100-000002000000}"/>
  <tableColumns count="11">
    <tableColumn id="1" xr3:uid="{00000000-0010-0000-0100-000001000000}" name="ID_EMAS"/>
    <tableColumn id="2" xr3:uid="{00000000-0010-0000-0100-000002000000}" name="Dominio"/>
    <tableColumn id="3" xr3:uid="{00000000-0010-0000-0100-000003000000}" name="Indicador"/>
    <tableColumn id="4" xr3:uid="{00000000-0010-0000-0100-000004000000}" name="Valor_A"/>
    <tableColumn id="5" xr3:uid="{00000000-0010-0000-0100-000005000000}" name="Unidade_A"/>
    <tableColumn id="6" xr3:uid="{00000000-0010-0000-0100-000006000000}" name="Producao_B_t"/>
    <tableColumn id="7" xr3:uid="{00000000-0010-0000-0100-000007000000}" name="Racio_R"/>
    <tableColumn id="8" xr3:uid="{00000000-0010-0000-0100-000008000000}" name="Unidade_R"/>
    <tableColumn id="9" xr3:uid="{00000000-0010-0000-0100-000009000000}" name="Criticidade_1a5"/>
    <tableColumn id="10" xr3:uid="{00000000-0010-0000-0100-00000A000000}" name="Ranking"/>
    <tableColumn id="11" xr3:uid="{00000000-0010-0000-0100-00000B000000}" name="Justific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mas_transparencia" displayName="tbl_emas_transparencia" ref="A1:D4">
  <autoFilter ref="A1:D4" xr:uid="{00000000-0009-0000-0100-000003000000}"/>
  <tableColumns count="4">
    <tableColumn id="1" xr3:uid="{00000000-0010-0000-0200-000001000000}" name="ID"/>
    <tableColumn id="2" xr3:uid="{00000000-0010-0000-0200-000002000000}" name="Receio_Gestao_Topo"/>
    <tableColumn id="3" xr3:uid="{00000000-0010-0000-0200-000003000000}" name="Argumento_Transparencia"/>
    <tableColumn id="4" xr3:uid="{00000000-0010-0000-0200-000004000000}" name="Mitiga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38">
  <autoFilter ref="A1:I38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8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8" spans="1:2" x14ac:dyDescent="0.3">
      <c r="A28" s="3" t="s">
        <v>40</v>
      </c>
      <c r="B28" s="4"/>
    </row>
    <row r="29" spans="1:2" ht="26.4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ht="26.4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6" spans="1:2" x14ac:dyDescent="0.3">
      <c r="A36" s="3" t="s">
        <v>53</v>
      </c>
      <c r="B36" s="4"/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1" customWidth="1"/>
    <col min="3" max="3" width="24" customWidth="1"/>
    <col min="4" max="4" width="7" customWidth="1"/>
    <col min="5" max="5" width="36" customWidth="1"/>
    <col min="6" max="6" width="50" customWidth="1"/>
    <col min="7" max="7" width="36" customWidth="1"/>
    <col min="8" max="8" width="30" customWidth="1"/>
    <col min="9" max="9" width="11" customWidth="1"/>
    <col min="10" max="12" width="10" customWidth="1"/>
    <col min="13" max="13" width="11" customWidth="1"/>
    <col min="14" max="14" width="13" customWidth="1"/>
    <col min="15" max="15" width="10" customWidth="1"/>
    <col min="16" max="16" width="9" customWidth="1"/>
    <col min="17" max="17" width="50" customWidth="1"/>
    <col min="18" max="19" width="12" customWidth="1"/>
    <col min="20" max="20" width="9" customWidth="1"/>
    <col min="21" max="21" width="10" customWidth="1"/>
    <col min="22" max="22" width="9" customWidth="1"/>
  </cols>
  <sheetData>
    <row r="1" spans="1:22" ht="17.399999999999999" x14ac:dyDescent="0.3">
      <c r="A1" s="1" t="s">
        <v>58</v>
      </c>
    </row>
    <row r="2" spans="1:22" x14ac:dyDescent="0.3">
      <c r="A2" s="2" t="s">
        <v>59</v>
      </c>
    </row>
    <row r="4" spans="1:22" ht="39.6" x14ac:dyDescent="0.3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  <c r="N4" s="8" t="s">
        <v>14</v>
      </c>
      <c r="O4" s="8" t="s">
        <v>73</v>
      </c>
      <c r="P4" s="8" t="s">
        <v>74</v>
      </c>
      <c r="Q4" s="8" t="s">
        <v>75</v>
      </c>
      <c r="R4" s="9" t="s">
        <v>76</v>
      </c>
      <c r="S4" s="9" t="s">
        <v>77</v>
      </c>
      <c r="T4" s="9" t="s">
        <v>78</v>
      </c>
      <c r="U4" s="9" t="s">
        <v>79</v>
      </c>
      <c r="V4" s="9" t="s">
        <v>80</v>
      </c>
    </row>
    <row r="5" spans="1:22" ht="79.95" customHeight="1" x14ac:dyDescent="0.3">
      <c r="A5" s="10" t="s">
        <v>81</v>
      </c>
      <c r="B5" s="11">
        <v>46283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2">
        <v>211</v>
      </c>
      <c r="K5" s="13">
        <v>11</v>
      </c>
      <c r="L5" s="14">
        <v>0.14000000000000001</v>
      </c>
      <c r="M5" s="15">
        <v>300</v>
      </c>
      <c r="N5" s="10" t="s">
        <v>89</v>
      </c>
      <c r="O5" s="10" t="s">
        <v>90</v>
      </c>
      <c r="P5" s="10" t="s">
        <v>91</v>
      </c>
      <c r="Q5" s="10" t="s">
        <v>92</v>
      </c>
      <c r="R5" s="16">
        <f>J5*K5*12</f>
        <v>27852</v>
      </c>
      <c r="S5" s="17">
        <f>R5*L5</f>
        <v>3899.28</v>
      </c>
      <c r="T5" s="18">
        <f>IF(S5=0,"",M5/S5*12)</f>
        <v>0.92324736874499902</v>
      </c>
      <c r="U5" s="18">
        <f>IF(I5="kWh",R5*0.11/1000,IF(I5="kg polímero",R5*1.8/1000,0))</f>
        <v>3.06372</v>
      </c>
      <c r="V5" s="19" t="str">
        <f>IF(M5&lt;=500,"Sim","Não")</f>
        <v>Sim</v>
      </c>
    </row>
    <row r="6" spans="1:22" ht="79.95" customHeight="1" x14ac:dyDescent="0.3">
      <c r="A6" s="10" t="s">
        <v>93</v>
      </c>
      <c r="B6" s="11">
        <v>46275</v>
      </c>
      <c r="C6" s="10" t="s">
        <v>94</v>
      </c>
      <c r="D6" s="10" t="s">
        <v>95</v>
      </c>
      <c r="E6" s="10" t="s">
        <v>96</v>
      </c>
      <c r="F6" s="10" t="s">
        <v>97</v>
      </c>
      <c r="G6" s="10" t="s">
        <v>98</v>
      </c>
      <c r="H6" s="10" t="s">
        <v>99</v>
      </c>
      <c r="I6" s="10" t="s">
        <v>100</v>
      </c>
      <c r="J6" s="12">
        <v>63.3</v>
      </c>
      <c r="K6" s="13">
        <v>0.1</v>
      </c>
      <c r="L6" s="14">
        <v>4.5</v>
      </c>
      <c r="M6" s="15">
        <v>0</v>
      </c>
      <c r="N6" s="10" t="s">
        <v>89</v>
      </c>
      <c r="O6" s="10" t="s">
        <v>101</v>
      </c>
      <c r="P6" s="10" t="s">
        <v>102</v>
      </c>
      <c r="Q6" s="10" t="s">
        <v>103</v>
      </c>
      <c r="R6" s="16">
        <f>J6*K6*12</f>
        <v>75.960000000000008</v>
      </c>
      <c r="S6" s="17">
        <f>R6*L6</f>
        <v>341.82000000000005</v>
      </c>
      <c r="T6" s="18">
        <f>IF(S6=0,"",M6/S6*12)</f>
        <v>0</v>
      </c>
      <c r="U6" s="18">
        <f>IF(I6="kWh",R6*0.11/1000,IF(I6="kg polímero",R6*1.8/1000,0))</f>
        <v>0</v>
      </c>
      <c r="V6" s="19" t="str">
        <f>IF(M6&lt;=500,"Sim","Não")</f>
        <v>Sim</v>
      </c>
    </row>
    <row r="7" spans="1:22" ht="79.95" customHeight="1" x14ac:dyDescent="0.3">
      <c r="A7" s="10" t="s">
        <v>104</v>
      </c>
      <c r="B7" s="11">
        <v>46205</v>
      </c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109</v>
      </c>
      <c r="H7" s="10" t="s">
        <v>110</v>
      </c>
      <c r="I7" s="10" t="s">
        <v>111</v>
      </c>
      <c r="J7" s="12">
        <v>2088</v>
      </c>
      <c r="K7" s="13">
        <v>0.08</v>
      </c>
      <c r="L7" s="14">
        <v>1.35</v>
      </c>
      <c r="M7" s="15">
        <v>450</v>
      </c>
      <c r="N7" s="10" t="s">
        <v>112</v>
      </c>
      <c r="O7" s="10" t="s">
        <v>113</v>
      </c>
      <c r="P7" s="10" t="s">
        <v>102</v>
      </c>
      <c r="Q7" s="10" t="s">
        <v>114</v>
      </c>
      <c r="R7" s="16">
        <f>J7*K7*12</f>
        <v>2004.48</v>
      </c>
      <c r="S7" s="17">
        <f>R7*L7</f>
        <v>2706.0480000000002</v>
      </c>
      <c r="T7" s="18">
        <f>IF(S7=0,"",M7/S7*12)</f>
        <v>1.995530012771392</v>
      </c>
      <c r="U7" s="18">
        <f>IF(I7="kWh",R7*0.11/1000,IF(I7="kg polímero",R7*1.8/1000,0))</f>
        <v>3.6080640000000002</v>
      </c>
      <c r="V7" s="19" t="str">
        <f>IF(M7&lt;=500,"Sim","Não")</f>
        <v>Sim</v>
      </c>
    </row>
    <row r="8" spans="1:22" ht="79.95" customHeight="1" x14ac:dyDescent="0.3">
      <c r="A8" s="10" t="s">
        <v>115</v>
      </c>
      <c r="B8" s="11">
        <v>46254</v>
      </c>
      <c r="C8" s="10" t="s">
        <v>116</v>
      </c>
      <c r="D8" s="10" t="s">
        <v>117</v>
      </c>
      <c r="E8" s="10" t="s">
        <v>118</v>
      </c>
      <c r="F8" s="10" t="s">
        <v>119</v>
      </c>
      <c r="G8" s="10" t="s">
        <v>120</v>
      </c>
      <c r="H8" s="10" t="s">
        <v>121</v>
      </c>
      <c r="I8" s="10" t="s">
        <v>88</v>
      </c>
      <c r="J8" s="12">
        <v>4.3</v>
      </c>
      <c r="K8" s="13">
        <v>180</v>
      </c>
      <c r="L8" s="14">
        <v>0.14000000000000001</v>
      </c>
      <c r="M8" s="15">
        <v>0</v>
      </c>
      <c r="N8" s="10" t="s">
        <v>89</v>
      </c>
      <c r="O8" s="10" t="s">
        <v>122</v>
      </c>
      <c r="P8" s="10" t="s">
        <v>102</v>
      </c>
      <c r="Q8" s="10" t="s">
        <v>123</v>
      </c>
      <c r="R8" s="16">
        <f>J8*K8*12</f>
        <v>9288</v>
      </c>
      <c r="S8" s="17">
        <f>R8*L8</f>
        <v>1300.3200000000002</v>
      </c>
      <c r="T8" s="18">
        <f>IF(S8=0,"",M8/S8*12)</f>
        <v>0</v>
      </c>
      <c r="U8" s="18">
        <f>IF(I8="kWh",R8*0.11/1000,IF(I8="kg polímero",R8*1.8/1000,0))</f>
        <v>1.0216799999999999</v>
      </c>
      <c r="V8" s="19" t="str">
        <f>IF(M8&lt;=500,"Sim","Não")</f>
        <v>Sim</v>
      </c>
    </row>
  </sheetData>
  <conditionalFormatting sqref="P5:P208">
    <cfRule type="expression" dxfId="3" priority="1">
      <formula>ISNUMBER(SEARCH("Sim",P5))</formula>
    </cfRule>
  </conditionalFormatting>
  <conditionalFormatting sqref="V5:V208">
    <cfRule type="expression" dxfId="2" priority="2">
      <formula>ISNUMBER(SEARCH("Sim",V5))</formula>
    </cfRule>
  </conditionalFormatting>
  <dataValidations count="3">
    <dataValidation type="list" allowBlank="1" showErrorMessage="1" errorTitle="Valor inválido" error="Valor fora da lista controlada (ver folha Listas)." sqref="D5:D208" xr:uid="{00000000-0002-0000-0100-000000000000}">
      <formula1>lst_Processo</formula1>
    </dataValidation>
    <dataValidation type="list" allowBlank="1" showErrorMessage="1" errorTitle="Valor inválido" error="Valor fora da lista controlada (ver folha Listas)." sqref="N5:N208" xr:uid="{00000000-0002-0000-0100-000001000000}">
      <formula1>lst_EstadoKZ</formula1>
    </dataValidation>
    <dataValidation type="list" allowBlank="1" showErrorMessage="1" errorTitle="Valor inválido" error="Valor fora da lista controlada (ver folha Listas)." sqref="P5:P208" xr:uid="{00000000-0002-0000-0100-000002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18"/>
  <sheetViews>
    <sheetView showGridLines="0" workbookViewId="0"/>
  </sheetViews>
  <sheetFormatPr defaultRowHeight="14.4" x14ac:dyDescent="0.3"/>
  <cols>
    <col min="1" max="1" width="34" customWidth="1"/>
    <col min="2" max="2" width="100" customWidth="1"/>
  </cols>
  <sheetData>
    <row r="1" spans="1:2" ht="17.399999999999999" x14ac:dyDescent="0.3">
      <c r="A1" s="1" t="s">
        <v>124</v>
      </c>
    </row>
    <row r="3" spans="1:2" x14ac:dyDescent="0.3">
      <c r="A3" s="20" t="s">
        <v>125</v>
      </c>
    </row>
    <row r="4" spans="1:2" ht="40.049999999999997" customHeight="1" x14ac:dyDescent="0.3">
      <c r="A4" s="21" t="s">
        <v>126</v>
      </c>
      <c r="B4" s="29" t="str">
        <f>INDEX(Ideias_Kaizen!$F$5:$F$8,MATCH("KZ-01",Ideias_Kaizen!$A$5:$A$8,0))</f>
        <v>Na pausa de 80 min do turno 3 (sem equipa de rendição), pôr as injetoras e ISBM em modo standby (resistências a 60%, bomba hidráulica desligada) em vez de ficarem aquecidas em vazio.</v>
      </c>
    </row>
    <row r="5" spans="1:2" ht="40.049999999999997" customHeight="1" x14ac:dyDescent="0.3">
      <c r="A5" s="21" t="s">
        <v>127</v>
      </c>
      <c r="B5" s="29" t="str">
        <f>INDEX(Ideias_Kaizen!$G$5:$G$8,MATCH("KZ-01",Ideias_Kaizen!$A$5:$A$8,0))</f>
        <v>Menos eletricidade em vazio → menos emissões de GEE (âmbito 2) e menos calor para o chiller.</v>
      </c>
    </row>
    <row r="6" spans="1:2" ht="40.049999999999997" customHeight="1" x14ac:dyDescent="0.3">
      <c r="A6" s="21" t="s">
        <v>128</v>
      </c>
      <c r="B6" s="29" t="str">
        <f>INDEX(Ideias_Kaizen!$H$5:$H$8,MATCH("KZ-01",Ideias_Kaizen!$A$5:$A$8,0))</f>
        <v>Menos kWh na fatura; custo zero (só procedimento e etiqueta).</v>
      </c>
    </row>
    <row r="7" spans="1:2" x14ac:dyDescent="0.3">
      <c r="A7" s="21" t="s">
        <v>129</v>
      </c>
      <c r="B7" s="31">
        <f>INDEX(Ideias_Kaizen!$R$5:$R$8,MATCH("KZ-01",Ideias_Kaizen!$A$5:$A$8,0))</f>
        <v>27852</v>
      </c>
    </row>
    <row r="8" spans="1:2" x14ac:dyDescent="0.3">
      <c r="A8" s="21" t="s">
        <v>130</v>
      </c>
      <c r="B8" s="28">
        <f>INDEX(Ideias_Kaizen!$S$5:$S$8,MATCH("KZ-01",Ideias_Kaizen!$A$5:$A$8,0))</f>
        <v>3899.28</v>
      </c>
    </row>
    <row r="9" spans="1:2" x14ac:dyDescent="0.3">
      <c r="A9" s="21" t="s">
        <v>131</v>
      </c>
      <c r="B9" s="30">
        <f>INDEX(Ideias_Kaizen!$U$5:$U$8,MATCH("KZ-01",Ideias_Kaizen!$A$5:$A$8,0))</f>
        <v>3.06372</v>
      </c>
    </row>
    <row r="10" spans="1:2" x14ac:dyDescent="0.3">
      <c r="A10" s="21" t="s">
        <v>132</v>
      </c>
      <c r="B10" s="28">
        <f>INDEX(Ideias_Kaizen!$M$5:$M$8,MATCH("KZ-01",Ideias_Kaizen!$A$5:$A$8,0))</f>
        <v>300</v>
      </c>
    </row>
    <row r="11" spans="1:2" x14ac:dyDescent="0.3">
      <c r="A11" s="21" t="s">
        <v>133</v>
      </c>
      <c r="B11" s="30">
        <f>INDEX(Ideias_Kaizen!$T$5:$T$8,MATCH("KZ-01",Ideias_Kaizen!$A$5:$A$8,0))</f>
        <v>0.92324736874499902</v>
      </c>
    </row>
    <row r="13" spans="1:2" x14ac:dyDescent="0.3">
      <c r="A13" s="20" t="s">
        <v>134</v>
      </c>
    </row>
    <row r="14" spans="1:2" ht="31.95" customHeight="1" x14ac:dyDescent="0.3">
      <c r="A14" s="21" t="s">
        <v>135</v>
      </c>
      <c r="B14" s="29" t="s">
        <v>136</v>
      </c>
    </row>
    <row r="15" spans="1:2" ht="31.95" customHeight="1" x14ac:dyDescent="0.3">
      <c r="A15" s="21" t="s">
        <v>137</v>
      </c>
      <c r="B15" s="29" t="s">
        <v>138</v>
      </c>
    </row>
    <row r="16" spans="1:2" ht="60" customHeight="1" x14ac:dyDescent="0.3">
      <c r="A16" s="21" t="s">
        <v>139</v>
      </c>
      <c r="B16" s="29" t="s">
        <v>140</v>
      </c>
    </row>
    <row r="17" spans="1:2" ht="31.95" customHeight="1" x14ac:dyDescent="0.3">
      <c r="A17" s="21" t="s">
        <v>141</v>
      </c>
      <c r="B17" s="29" t="s">
        <v>142</v>
      </c>
    </row>
    <row r="18" spans="1:2" ht="31.95" customHeight="1" x14ac:dyDescent="0.3">
      <c r="A18" s="21" t="s">
        <v>143</v>
      </c>
      <c r="B18" s="29" t="s">
        <v>144</v>
      </c>
    </row>
  </sheetData>
  <mergeCells count="13">
    <mergeCell ref="B8"/>
    <mergeCell ref="B4"/>
    <mergeCell ref="B17"/>
    <mergeCell ref="B9"/>
    <mergeCell ref="B18"/>
    <mergeCell ref="B15"/>
    <mergeCell ref="B7"/>
    <mergeCell ref="B11"/>
    <mergeCell ref="B6"/>
    <mergeCell ref="B16"/>
    <mergeCell ref="B10"/>
    <mergeCell ref="B5"/>
    <mergeCell ref="B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5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0" customWidth="1"/>
    <col min="3" max="3" width="50" customWidth="1"/>
    <col min="4" max="4" width="12" customWidth="1"/>
    <col min="5" max="5" width="8" customWidth="1"/>
    <col min="6" max="8" width="12" customWidth="1"/>
    <col min="9" max="9" width="10" customWidth="1"/>
    <col min="10" max="10" width="8" customWidth="1"/>
    <col min="11" max="11" width="70" customWidth="1"/>
  </cols>
  <sheetData>
    <row r="1" spans="1:11" ht="17.399999999999999" x14ac:dyDescent="0.3">
      <c r="A1" s="1" t="s">
        <v>145</v>
      </c>
    </row>
    <row r="2" spans="1:11" x14ac:dyDescent="0.3">
      <c r="A2" s="2" t="s">
        <v>146</v>
      </c>
    </row>
    <row r="4" spans="1:11" ht="26.4" x14ac:dyDescent="0.3">
      <c r="A4" s="8" t="s">
        <v>147</v>
      </c>
      <c r="B4" s="8" t="s">
        <v>148</v>
      </c>
      <c r="C4" s="8" t="s">
        <v>149</v>
      </c>
      <c r="D4" s="8" t="s">
        <v>150</v>
      </c>
      <c r="E4" s="8" t="s">
        <v>151</v>
      </c>
      <c r="F4" s="8" t="s">
        <v>152</v>
      </c>
      <c r="G4" s="9" t="s">
        <v>153</v>
      </c>
      <c r="H4" s="9" t="s">
        <v>154</v>
      </c>
      <c r="I4" s="8" t="s">
        <v>155</v>
      </c>
      <c r="J4" s="9" t="s">
        <v>156</v>
      </c>
      <c r="K4" s="8" t="s">
        <v>157</v>
      </c>
    </row>
    <row r="5" spans="1:11" ht="48" customHeight="1" x14ac:dyDescent="0.3">
      <c r="A5" s="10" t="s">
        <v>158</v>
      </c>
      <c r="B5" s="10" t="s">
        <v>159</v>
      </c>
      <c r="C5" s="10" t="s">
        <v>160</v>
      </c>
      <c r="D5" s="12">
        <v>7781.4</v>
      </c>
      <c r="E5" s="10" t="s">
        <v>161</v>
      </c>
      <c r="F5" s="12">
        <v>875.5</v>
      </c>
      <c r="G5" s="23">
        <f t="shared" ref="G5:G15" si="0">IF(F5=0,"",D5/F5)</f>
        <v>8.8879497430039969</v>
      </c>
      <c r="H5" s="19" t="str">
        <f t="shared" ref="H5:H15" si="1">E5&amp;"/t"</f>
        <v>MWh/t</v>
      </c>
      <c r="I5" s="24">
        <v>5</v>
      </c>
      <c r="J5" s="25">
        <f t="shared" ref="J5:J15" si="2">IF(RIGHT(A5,1)="b","",IF(RIGHT(A5,1)="c","",COUNTIFS($I$5:$I$15,"&gt;"&amp;I5,$A$5:$A$15,"&lt;&gt;*b",$A$5:$A$15,"&lt;&gt;*c")+1))</f>
        <v>1</v>
      </c>
      <c r="K5" s="10" t="s">
        <v>162</v>
      </c>
    </row>
    <row r="6" spans="1:11" ht="48" customHeight="1" x14ac:dyDescent="0.3">
      <c r="A6" s="10" t="s">
        <v>163</v>
      </c>
      <c r="B6" s="10" t="s">
        <v>159</v>
      </c>
      <c r="C6" s="10" t="s">
        <v>164</v>
      </c>
      <c r="D6" s="12">
        <v>4279.8</v>
      </c>
      <c r="E6" s="10" t="s">
        <v>161</v>
      </c>
      <c r="F6" s="12">
        <v>875.5</v>
      </c>
      <c r="G6" s="23">
        <f t="shared" si="0"/>
        <v>4.8884066247858371</v>
      </c>
      <c r="H6" s="19" t="str">
        <f t="shared" si="1"/>
        <v>MWh/t</v>
      </c>
      <c r="I6" s="24">
        <v>5</v>
      </c>
      <c r="J6" s="25" t="str">
        <f t="shared" si="2"/>
        <v/>
      </c>
      <c r="K6" s="10" t="s">
        <v>165</v>
      </c>
    </row>
    <row r="7" spans="1:11" ht="48" customHeight="1" x14ac:dyDescent="0.3">
      <c r="A7" s="10" t="s">
        <v>166</v>
      </c>
      <c r="B7" s="10" t="s">
        <v>167</v>
      </c>
      <c r="C7" s="10" t="s">
        <v>168</v>
      </c>
      <c r="D7" s="12">
        <v>902</v>
      </c>
      <c r="E7" s="10" t="s">
        <v>169</v>
      </c>
      <c r="F7" s="12">
        <v>875.5</v>
      </c>
      <c r="G7" s="23">
        <f t="shared" si="0"/>
        <v>1.0302684180468304</v>
      </c>
      <c r="H7" s="19" t="str">
        <f t="shared" si="1"/>
        <v>t/t</v>
      </c>
      <c r="I7" s="24">
        <v>5</v>
      </c>
      <c r="J7" s="25">
        <f t="shared" si="2"/>
        <v>1</v>
      </c>
      <c r="K7" s="10" t="s">
        <v>170</v>
      </c>
    </row>
    <row r="8" spans="1:11" ht="48" customHeight="1" x14ac:dyDescent="0.3">
      <c r="A8" s="10" t="s">
        <v>171</v>
      </c>
      <c r="B8" s="10" t="s">
        <v>172</v>
      </c>
      <c r="C8" s="10" t="s">
        <v>173</v>
      </c>
      <c r="D8" s="12">
        <v>10179</v>
      </c>
      <c r="E8" s="10" t="s">
        <v>174</v>
      </c>
      <c r="F8" s="12">
        <v>875.5</v>
      </c>
      <c r="G8" s="23">
        <f t="shared" si="0"/>
        <v>11.62649914334666</v>
      </c>
      <c r="H8" s="19" t="str">
        <f t="shared" si="1"/>
        <v>m³/t</v>
      </c>
      <c r="I8" s="24">
        <v>3</v>
      </c>
      <c r="J8" s="25">
        <f t="shared" si="2"/>
        <v>5</v>
      </c>
      <c r="K8" s="10" t="s">
        <v>175</v>
      </c>
    </row>
    <row r="9" spans="1:11" ht="48" customHeight="1" x14ac:dyDescent="0.3">
      <c r="A9" s="10" t="s">
        <v>176</v>
      </c>
      <c r="B9" s="10" t="s">
        <v>177</v>
      </c>
      <c r="C9" s="10" t="s">
        <v>178</v>
      </c>
      <c r="D9" s="12">
        <v>129.5</v>
      </c>
      <c r="E9" s="10" t="s">
        <v>169</v>
      </c>
      <c r="F9" s="12">
        <v>875.5</v>
      </c>
      <c r="G9" s="23">
        <f t="shared" si="0"/>
        <v>0.1479154768703598</v>
      </c>
      <c r="H9" s="19" t="str">
        <f t="shared" si="1"/>
        <v>t/t</v>
      </c>
      <c r="I9" s="24">
        <v>4</v>
      </c>
      <c r="J9" s="25">
        <f t="shared" si="2"/>
        <v>3</v>
      </c>
      <c r="K9" s="10" t="s">
        <v>179</v>
      </c>
    </row>
    <row r="10" spans="1:11" ht="48" customHeight="1" x14ac:dyDescent="0.3">
      <c r="A10" s="10" t="s">
        <v>180</v>
      </c>
      <c r="B10" s="10" t="s">
        <v>177</v>
      </c>
      <c r="C10" s="10" t="s">
        <v>181</v>
      </c>
      <c r="D10" s="12">
        <v>2.15</v>
      </c>
      <c r="E10" s="10" t="s">
        <v>169</v>
      </c>
      <c r="F10" s="12">
        <v>875.5</v>
      </c>
      <c r="G10" s="23">
        <f t="shared" si="0"/>
        <v>2.4557395773843519E-3</v>
      </c>
      <c r="H10" s="19" t="str">
        <f t="shared" si="1"/>
        <v>t/t</v>
      </c>
      <c r="I10" s="24">
        <v>4</v>
      </c>
      <c r="J10" s="25" t="str">
        <f t="shared" si="2"/>
        <v/>
      </c>
      <c r="K10" s="10" t="s">
        <v>182</v>
      </c>
    </row>
    <row r="11" spans="1:11" ht="48" customHeight="1" x14ac:dyDescent="0.3">
      <c r="A11" s="10" t="s">
        <v>183</v>
      </c>
      <c r="B11" s="10" t="s">
        <v>184</v>
      </c>
      <c r="C11" s="10" t="s">
        <v>185</v>
      </c>
      <c r="D11" s="12">
        <v>45000</v>
      </c>
      <c r="E11" s="10" t="s">
        <v>186</v>
      </c>
      <c r="F11" s="12">
        <v>875.5</v>
      </c>
      <c r="G11" s="23">
        <f t="shared" si="0"/>
        <v>51.399200456881779</v>
      </c>
      <c r="H11" s="19" t="str">
        <f t="shared" si="1"/>
        <v>m²/t</v>
      </c>
      <c r="I11" s="24">
        <v>2</v>
      </c>
      <c r="J11" s="25">
        <f t="shared" si="2"/>
        <v>6</v>
      </c>
      <c r="K11" s="10" t="s">
        <v>187</v>
      </c>
    </row>
    <row r="12" spans="1:11" ht="48" customHeight="1" x14ac:dyDescent="0.3">
      <c r="A12" s="10" t="s">
        <v>188</v>
      </c>
      <c r="B12" s="10" t="s">
        <v>184</v>
      </c>
      <c r="C12" s="10" t="s">
        <v>189</v>
      </c>
      <c r="D12" s="12">
        <v>32000</v>
      </c>
      <c r="E12" s="10" t="s">
        <v>186</v>
      </c>
      <c r="F12" s="12">
        <v>875.5</v>
      </c>
      <c r="G12" s="23">
        <f t="shared" si="0"/>
        <v>36.550542547115931</v>
      </c>
      <c r="H12" s="19" t="str">
        <f t="shared" si="1"/>
        <v>m²/t</v>
      </c>
      <c r="I12" s="24">
        <v>2</v>
      </c>
      <c r="J12" s="25" t="str">
        <f t="shared" si="2"/>
        <v/>
      </c>
      <c r="K12" s="10" t="s">
        <v>190</v>
      </c>
    </row>
    <row r="13" spans="1:11" ht="48" customHeight="1" x14ac:dyDescent="0.3">
      <c r="A13" s="10" t="s">
        <v>191</v>
      </c>
      <c r="B13" s="10" t="s">
        <v>184</v>
      </c>
      <c r="C13" s="10" t="s">
        <v>192</v>
      </c>
      <c r="D13" s="12">
        <v>3500</v>
      </c>
      <c r="E13" s="10" t="s">
        <v>186</v>
      </c>
      <c r="F13" s="12">
        <v>875.5</v>
      </c>
      <c r="G13" s="23">
        <f t="shared" si="0"/>
        <v>3.9977155910908051</v>
      </c>
      <c r="H13" s="19" t="str">
        <f t="shared" si="1"/>
        <v>m²/t</v>
      </c>
      <c r="I13" s="24">
        <v>2</v>
      </c>
      <c r="J13" s="25" t="str">
        <f t="shared" si="2"/>
        <v/>
      </c>
      <c r="K13" s="10" t="s">
        <v>193</v>
      </c>
    </row>
    <row r="14" spans="1:11" ht="48" customHeight="1" x14ac:dyDescent="0.3">
      <c r="A14" s="10" t="s">
        <v>194</v>
      </c>
      <c r="B14" s="10" t="s">
        <v>195</v>
      </c>
      <c r="C14" s="10" t="s">
        <v>196</v>
      </c>
      <c r="D14" s="12">
        <v>865.1</v>
      </c>
      <c r="E14" s="10" t="s">
        <v>197</v>
      </c>
      <c r="F14" s="12">
        <v>875.5</v>
      </c>
      <c r="G14" s="23">
        <f t="shared" si="0"/>
        <v>0.98812107367218738</v>
      </c>
      <c r="H14" s="19" t="str">
        <f t="shared" si="1"/>
        <v>tCO2e/t</v>
      </c>
      <c r="I14" s="24">
        <v>4</v>
      </c>
      <c r="J14" s="25">
        <f t="shared" si="2"/>
        <v>3</v>
      </c>
      <c r="K14" s="10" t="s">
        <v>198</v>
      </c>
    </row>
    <row r="15" spans="1:11" ht="48" customHeight="1" x14ac:dyDescent="0.3">
      <c r="A15" s="10" t="s">
        <v>199</v>
      </c>
      <c r="B15" s="10" t="s">
        <v>195</v>
      </c>
      <c r="C15" s="10" t="s">
        <v>200</v>
      </c>
      <c r="D15" s="12">
        <v>1.95</v>
      </c>
      <c r="E15" s="10" t="s">
        <v>169</v>
      </c>
      <c r="F15" s="12">
        <v>875.5</v>
      </c>
      <c r="G15" s="23">
        <f t="shared" si="0"/>
        <v>2.2272986864648771E-3</v>
      </c>
      <c r="H15" s="19" t="str">
        <f t="shared" si="1"/>
        <v>t/t</v>
      </c>
      <c r="I15" s="24">
        <v>4</v>
      </c>
      <c r="J15" s="25" t="str">
        <f t="shared" si="2"/>
        <v/>
      </c>
      <c r="K15" s="10" t="s">
        <v>201</v>
      </c>
    </row>
  </sheetData>
  <conditionalFormatting sqref="I5:I215">
    <cfRule type="expression" dxfId="1" priority="1">
      <formula>I5&gt;=5</formula>
    </cfRule>
    <cfRule type="expression" dxfId="0" priority="2">
      <formula>I5=4</formula>
    </cfRule>
  </conditionalFormatting>
  <dataValidations count="1">
    <dataValidation type="list" allowBlank="1" showErrorMessage="1" errorTitle="Valor inválido" error="Valor fora da lista controlada (ver folha Listas)." sqref="I5:I215" xr:uid="{00000000-0002-0000-0300-000000000000}">
      <formula1>lst_Escala15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50" customWidth="1"/>
    <col min="3" max="3" width="70" customWidth="1"/>
    <col min="4" max="4" width="50" customWidth="1"/>
  </cols>
  <sheetData>
    <row r="1" spans="1:4" x14ac:dyDescent="0.3">
      <c r="A1" s="8" t="s">
        <v>202</v>
      </c>
      <c r="B1" s="8" t="s">
        <v>203</v>
      </c>
      <c r="C1" s="8" t="s">
        <v>204</v>
      </c>
      <c r="D1" s="8" t="s">
        <v>205</v>
      </c>
    </row>
    <row r="2" spans="1:4" ht="109.95" customHeight="1" x14ac:dyDescent="0.3">
      <c r="A2" s="10" t="s">
        <v>206</v>
      </c>
      <c r="B2" s="10" t="s">
        <v>207</v>
      </c>
      <c r="C2" s="10" t="s">
        <v>208</v>
      </c>
      <c r="D2" s="10" t="s">
        <v>209</v>
      </c>
    </row>
    <row r="3" spans="1:4" ht="109.95" customHeight="1" x14ac:dyDescent="0.3">
      <c r="A3" s="10" t="s">
        <v>210</v>
      </c>
      <c r="B3" s="10" t="s">
        <v>211</v>
      </c>
      <c r="C3" s="10" t="s">
        <v>212</v>
      </c>
      <c r="D3" s="10" t="s">
        <v>213</v>
      </c>
    </row>
    <row r="4" spans="1:4" ht="109.95" customHeight="1" x14ac:dyDescent="0.3">
      <c r="A4" s="10" t="s">
        <v>214</v>
      </c>
      <c r="B4" s="10" t="s">
        <v>215</v>
      </c>
      <c r="C4" s="10" t="s">
        <v>216</v>
      </c>
      <c r="D4" s="10" t="s">
        <v>217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18" customWidth="1"/>
    <col min="3" max="5" width="16" customWidth="1"/>
  </cols>
  <sheetData>
    <row r="1" spans="1:5" x14ac:dyDescent="0.3">
      <c r="A1" s="20" t="s">
        <v>218</v>
      </c>
    </row>
    <row r="2" spans="1:5" x14ac:dyDescent="0.3">
      <c r="A2" s="26" t="s">
        <v>219</v>
      </c>
      <c r="B2" s="26" t="s">
        <v>220</v>
      </c>
      <c r="C2" s="26" t="s">
        <v>221</v>
      </c>
      <c r="D2" s="26" t="s">
        <v>222</v>
      </c>
      <c r="E2" s="26" t="s">
        <v>223</v>
      </c>
    </row>
    <row r="3" spans="1:5" x14ac:dyDescent="0.3">
      <c r="A3" s="27">
        <v>46387</v>
      </c>
      <c r="B3" s="6" t="s">
        <v>224</v>
      </c>
      <c r="C3" s="6" t="s">
        <v>91</v>
      </c>
      <c r="D3" s="6" t="s">
        <v>225</v>
      </c>
      <c r="E3" s="6">
        <v>1</v>
      </c>
    </row>
    <row r="4" spans="1:5" x14ac:dyDescent="0.3">
      <c r="B4" s="6" t="s">
        <v>226</v>
      </c>
      <c r="C4" s="6" t="s">
        <v>102</v>
      </c>
      <c r="D4" s="6" t="s">
        <v>227</v>
      </c>
      <c r="E4" s="6">
        <v>2</v>
      </c>
    </row>
    <row r="5" spans="1:5" x14ac:dyDescent="0.3">
      <c r="B5" s="6" t="s">
        <v>112</v>
      </c>
      <c r="D5" s="6" t="s">
        <v>83</v>
      </c>
      <c r="E5" s="6">
        <v>3</v>
      </c>
    </row>
    <row r="6" spans="1:5" x14ac:dyDescent="0.3">
      <c r="B6" s="6" t="s">
        <v>89</v>
      </c>
      <c r="D6" s="6" t="s">
        <v>106</v>
      </c>
      <c r="E6" s="6">
        <v>4</v>
      </c>
    </row>
    <row r="7" spans="1:5" x14ac:dyDescent="0.3">
      <c r="B7" s="6" t="s">
        <v>228</v>
      </c>
      <c r="D7" s="6" t="s">
        <v>95</v>
      </c>
      <c r="E7" s="6">
        <v>5</v>
      </c>
    </row>
    <row r="8" spans="1:5" x14ac:dyDescent="0.3">
      <c r="D8" s="6" t="s">
        <v>229</v>
      </c>
    </row>
    <row r="9" spans="1:5" x14ac:dyDescent="0.3">
      <c r="D9" s="6" t="s">
        <v>230</v>
      </c>
    </row>
    <row r="10" spans="1:5" x14ac:dyDescent="0.3">
      <c r="D10" s="6" t="s">
        <v>117</v>
      </c>
    </row>
    <row r="11" spans="1:5" x14ac:dyDescent="0.3">
      <c r="D11" s="6" t="s">
        <v>231</v>
      </c>
    </row>
    <row r="12" spans="1:5" x14ac:dyDescent="0.3">
      <c r="D12" s="6" t="s">
        <v>232</v>
      </c>
    </row>
    <row r="13" spans="1:5" x14ac:dyDescent="0.3">
      <c r="D13" s="6" t="s">
        <v>233</v>
      </c>
    </row>
    <row r="14" spans="1:5" x14ac:dyDescent="0.3">
      <c r="D14" s="6" t="s">
        <v>234</v>
      </c>
    </row>
    <row r="15" spans="1:5" x14ac:dyDescent="0.3">
      <c r="D15" s="6" t="s">
        <v>235</v>
      </c>
    </row>
    <row r="16" spans="1:5" x14ac:dyDescent="0.3">
      <c r="D16" s="6" t="s">
        <v>236</v>
      </c>
    </row>
    <row r="17" spans="4:4" x14ac:dyDescent="0.3">
      <c r="D17" s="6" t="s">
        <v>237</v>
      </c>
    </row>
    <row r="18" spans="4:4" x14ac:dyDescent="0.3">
      <c r="D18" s="6" t="s">
        <v>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239</v>
      </c>
      <c r="B1" s="8" t="s">
        <v>240</v>
      </c>
      <c r="C1" s="8" t="s">
        <v>241</v>
      </c>
      <c r="D1" s="8" t="s">
        <v>242</v>
      </c>
      <c r="E1" s="8" t="s">
        <v>243</v>
      </c>
      <c r="F1" s="8" t="s">
        <v>65</v>
      </c>
      <c r="G1" s="8" t="s">
        <v>244</v>
      </c>
      <c r="H1" s="8" t="s">
        <v>245</v>
      </c>
      <c r="I1" s="8" t="s">
        <v>246</v>
      </c>
    </row>
    <row r="2" spans="1:9" x14ac:dyDescent="0.3">
      <c r="A2" s="22" t="s">
        <v>28</v>
      </c>
      <c r="B2" s="22" t="s">
        <v>247</v>
      </c>
      <c r="C2" s="22" t="s">
        <v>60</v>
      </c>
      <c r="D2" s="22" t="s">
        <v>248</v>
      </c>
      <c r="E2" s="22" t="s">
        <v>249</v>
      </c>
      <c r="F2" s="22" t="s">
        <v>250</v>
      </c>
      <c r="G2" s="22"/>
      <c r="H2" s="22" t="s">
        <v>91</v>
      </c>
      <c r="I2" s="22" t="s">
        <v>251</v>
      </c>
    </row>
    <row r="3" spans="1:9" ht="26.4" x14ac:dyDescent="0.3">
      <c r="A3" s="22" t="s">
        <v>28</v>
      </c>
      <c r="B3" s="22" t="s">
        <v>247</v>
      </c>
      <c r="C3" s="22" t="s">
        <v>61</v>
      </c>
      <c r="D3" s="22" t="s">
        <v>252</v>
      </c>
      <c r="E3" s="22" t="s">
        <v>249</v>
      </c>
      <c r="F3" s="22" t="s">
        <v>253</v>
      </c>
      <c r="G3" s="22"/>
      <c r="H3" s="22" t="s">
        <v>91</v>
      </c>
      <c r="I3" s="22"/>
    </row>
    <row r="4" spans="1:9" x14ac:dyDescent="0.3">
      <c r="A4" s="22" t="s">
        <v>28</v>
      </c>
      <c r="B4" s="22" t="s">
        <v>247</v>
      </c>
      <c r="C4" s="22" t="s">
        <v>62</v>
      </c>
      <c r="D4" s="22" t="s">
        <v>248</v>
      </c>
      <c r="E4" s="22" t="s">
        <v>249</v>
      </c>
      <c r="F4" s="22" t="s">
        <v>254</v>
      </c>
      <c r="G4" s="22"/>
      <c r="H4" s="22" t="s">
        <v>91</v>
      </c>
      <c r="I4" s="22"/>
    </row>
    <row r="5" spans="1:9" x14ac:dyDescent="0.3">
      <c r="A5" s="22" t="s">
        <v>28</v>
      </c>
      <c r="B5" s="22" t="s">
        <v>247</v>
      </c>
      <c r="C5" s="22" t="s">
        <v>63</v>
      </c>
      <c r="D5" s="22" t="s">
        <v>248</v>
      </c>
      <c r="E5" s="22" t="s">
        <v>249</v>
      </c>
      <c r="F5" s="22" t="s">
        <v>255</v>
      </c>
      <c r="G5" s="22" t="s">
        <v>256</v>
      </c>
      <c r="H5" s="22" t="s">
        <v>91</v>
      </c>
      <c r="I5" s="22"/>
    </row>
    <row r="6" spans="1:9" x14ac:dyDescent="0.3">
      <c r="A6" s="22" t="s">
        <v>28</v>
      </c>
      <c r="B6" s="22" t="s">
        <v>247</v>
      </c>
      <c r="C6" s="22" t="s">
        <v>64</v>
      </c>
      <c r="D6" s="22" t="s">
        <v>248</v>
      </c>
      <c r="E6" s="22" t="s">
        <v>249</v>
      </c>
      <c r="F6" s="22" t="s">
        <v>257</v>
      </c>
      <c r="G6" s="22"/>
      <c r="H6" s="22" t="s">
        <v>91</v>
      </c>
      <c r="I6" s="22"/>
    </row>
    <row r="7" spans="1:9" x14ac:dyDescent="0.3">
      <c r="A7" s="22" t="s">
        <v>28</v>
      </c>
      <c r="B7" s="22" t="s">
        <v>247</v>
      </c>
      <c r="C7" s="22" t="s">
        <v>65</v>
      </c>
      <c r="D7" s="22" t="s">
        <v>248</v>
      </c>
      <c r="E7" s="22" t="s">
        <v>249</v>
      </c>
      <c r="F7" s="22" t="s">
        <v>258</v>
      </c>
      <c r="G7" s="22"/>
      <c r="H7" s="22" t="s">
        <v>91</v>
      </c>
      <c r="I7" s="22"/>
    </row>
    <row r="8" spans="1:9" x14ac:dyDescent="0.3">
      <c r="A8" s="22" t="s">
        <v>28</v>
      </c>
      <c r="B8" s="22" t="s">
        <v>247</v>
      </c>
      <c r="C8" s="22" t="s">
        <v>66</v>
      </c>
      <c r="D8" s="22" t="s">
        <v>248</v>
      </c>
      <c r="E8" s="22" t="s">
        <v>249</v>
      </c>
      <c r="F8" s="22" t="s">
        <v>259</v>
      </c>
      <c r="G8" s="22"/>
      <c r="H8" s="22" t="s">
        <v>91</v>
      </c>
      <c r="I8" s="22"/>
    </row>
    <row r="9" spans="1:9" x14ac:dyDescent="0.3">
      <c r="A9" s="22" t="s">
        <v>28</v>
      </c>
      <c r="B9" s="22" t="s">
        <v>247</v>
      </c>
      <c r="C9" s="22" t="s">
        <v>67</v>
      </c>
      <c r="D9" s="22" t="s">
        <v>248</v>
      </c>
      <c r="E9" s="22" t="s">
        <v>249</v>
      </c>
      <c r="F9" s="22" t="s">
        <v>260</v>
      </c>
      <c r="G9" s="22"/>
      <c r="H9" s="22" t="s">
        <v>91</v>
      </c>
      <c r="I9" s="22"/>
    </row>
    <row r="10" spans="1:9" x14ac:dyDescent="0.3">
      <c r="A10" s="22" t="s">
        <v>28</v>
      </c>
      <c r="B10" s="22" t="s">
        <v>247</v>
      </c>
      <c r="C10" s="22" t="s">
        <v>68</v>
      </c>
      <c r="D10" s="22" t="s">
        <v>248</v>
      </c>
      <c r="E10" s="22" t="s">
        <v>249</v>
      </c>
      <c r="F10" s="22" t="s">
        <v>261</v>
      </c>
      <c r="G10" s="22"/>
      <c r="H10" s="22" t="s">
        <v>91</v>
      </c>
      <c r="I10" s="22"/>
    </row>
    <row r="11" spans="1:9" x14ac:dyDescent="0.3">
      <c r="A11" s="22" t="s">
        <v>28</v>
      </c>
      <c r="B11" s="22" t="s">
        <v>247</v>
      </c>
      <c r="C11" s="22" t="s">
        <v>69</v>
      </c>
      <c r="D11" s="22" t="s">
        <v>262</v>
      </c>
      <c r="E11" s="22" t="s">
        <v>249</v>
      </c>
      <c r="F11" s="22" t="s">
        <v>263</v>
      </c>
      <c r="G11" s="22"/>
      <c r="H11" s="22" t="s">
        <v>91</v>
      </c>
      <c r="I11" s="22"/>
    </row>
    <row r="12" spans="1:9" x14ac:dyDescent="0.3">
      <c r="A12" s="22" t="s">
        <v>28</v>
      </c>
      <c r="B12" s="22" t="s">
        <v>247</v>
      </c>
      <c r="C12" s="22" t="s">
        <v>70</v>
      </c>
      <c r="D12" s="22" t="s">
        <v>262</v>
      </c>
      <c r="E12" s="22" t="s">
        <v>249</v>
      </c>
      <c r="F12" s="22" t="s">
        <v>264</v>
      </c>
      <c r="G12" s="22"/>
      <c r="H12" s="22" t="s">
        <v>91</v>
      </c>
      <c r="I12" s="22"/>
    </row>
    <row r="13" spans="1:9" x14ac:dyDescent="0.3">
      <c r="A13" s="22" t="s">
        <v>28</v>
      </c>
      <c r="B13" s="22" t="s">
        <v>247</v>
      </c>
      <c r="C13" s="22" t="s">
        <v>71</v>
      </c>
      <c r="D13" s="22" t="s">
        <v>262</v>
      </c>
      <c r="E13" s="22" t="s">
        <v>249</v>
      </c>
      <c r="F13" s="22" t="s">
        <v>265</v>
      </c>
      <c r="G13" s="22"/>
      <c r="H13" s="22" t="s">
        <v>91</v>
      </c>
      <c r="I13" s="22"/>
    </row>
    <row r="14" spans="1:9" x14ac:dyDescent="0.3">
      <c r="A14" s="22" t="s">
        <v>28</v>
      </c>
      <c r="B14" s="22" t="s">
        <v>247</v>
      </c>
      <c r="C14" s="22" t="s">
        <v>72</v>
      </c>
      <c r="D14" s="22" t="s">
        <v>266</v>
      </c>
      <c r="E14" s="22" t="s">
        <v>249</v>
      </c>
      <c r="F14" s="22" t="s">
        <v>267</v>
      </c>
      <c r="G14" s="22"/>
      <c r="H14" s="22" t="s">
        <v>91</v>
      </c>
      <c r="I14" s="22"/>
    </row>
    <row r="15" spans="1:9" x14ac:dyDescent="0.3">
      <c r="A15" s="22" t="s">
        <v>28</v>
      </c>
      <c r="B15" s="22" t="s">
        <v>247</v>
      </c>
      <c r="C15" s="22" t="s">
        <v>14</v>
      </c>
      <c r="D15" s="22" t="s">
        <v>248</v>
      </c>
      <c r="E15" s="22" t="s">
        <v>249</v>
      </c>
      <c r="F15" s="22" t="s">
        <v>268</v>
      </c>
      <c r="G15" s="22" t="s">
        <v>269</v>
      </c>
      <c r="H15" s="22" t="s">
        <v>91</v>
      </c>
      <c r="I15" s="22"/>
    </row>
    <row r="16" spans="1:9" ht="26.4" x14ac:dyDescent="0.3">
      <c r="A16" s="22" t="s">
        <v>28</v>
      </c>
      <c r="B16" s="22" t="s">
        <v>247</v>
      </c>
      <c r="C16" s="22" t="s">
        <v>73</v>
      </c>
      <c r="D16" s="22" t="s">
        <v>248</v>
      </c>
      <c r="E16" s="22" t="s">
        <v>249</v>
      </c>
      <c r="F16" s="22" t="s">
        <v>270</v>
      </c>
      <c r="G16" s="22"/>
      <c r="H16" s="22" t="s">
        <v>102</v>
      </c>
      <c r="I16" s="22" t="s">
        <v>271</v>
      </c>
    </row>
    <row r="17" spans="1:9" x14ac:dyDescent="0.3">
      <c r="A17" s="22" t="s">
        <v>28</v>
      </c>
      <c r="B17" s="22" t="s">
        <v>247</v>
      </c>
      <c r="C17" s="22" t="s">
        <v>74</v>
      </c>
      <c r="D17" s="22" t="s">
        <v>248</v>
      </c>
      <c r="E17" s="22" t="s">
        <v>249</v>
      </c>
      <c r="F17" s="22" t="s">
        <v>272</v>
      </c>
      <c r="G17" s="22" t="s">
        <v>273</v>
      </c>
      <c r="H17" s="22" t="s">
        <v>91</v>
      </c>
      <c r="I17" s="22"/>
    </row>
    <row r="18" spans="1:9" x14ac:dyDescent="0.3">
      <c r="A18" s="22" t="s">
        <v>28</v>
      </c>
      <c r="B18" s="22" t="s">
        <v>247</v>
      </c>
      <c r="C18" s="22" t="s">
        <v>75</v>
      </c>
      <c r="D18" s="22" t="s">
        <v>248</v>
      </c>
      <c r="E18" s="22" t="s">
        <v>249</v>
      </c>
      <c r="F18" s="22" t="s">
        <v>274</v>
      </c>
      <c r="G18" s="22"/>
      <c r="H18" s="22" t="s">
        <v>91</v>
      </c>
      <c r="I18" s="22"/>
    </row>
    <row r="19" spans="1:9" x14ac:dyDescent="0.3">
      <c r="A19" s="22" t="s">
        <v>28</v>
      </c>
      <c r="B19" s="22" t="s">
        <v>247</v>
      </c>
      <c r="C19" s="22" t="s">
        <v>76</v>
      </c>
      <c r="D19" s="22" t="s">
        <v>262</v>
      </c>
      <c r="E19" s="22" t="s">
        <v>275</v>
      </c>
      <c r="F19" s="22" t="s">
        <v>276</v>
      </c>
      <c r="G19" s="22"/>
      <c r="H19" s="22" t="s">
        <v>91</v>
      </c>
      <c r="I19" s="22"/>
    </row>
    <row r="20" spans="1:9" x14ac:dyDescent="0.3">
      <c r="A20" s="22" t="s">
        <v>28</v>
      </c>
      <c r="B20" s="22" t="s">
        <v>247</v>
      </c>
      <c r="C20" s="22" t="s">
        <v>77</v>
      </c>
      <c r="D20" s="22" t="s">
        <v>266</v>
      </c>
      <c r="E20" s="22" t="s">
        <v>275</v>
      </c>
      <c r="F20" s="22" t="s">
        <v>277</v>
      </c>
      <c r="G20" s="22"/>
      <c r="H20" s="22" t="s">
        <v>91</v>
      </c>
      <c r="I20" s="22"/>
    </row>
    <row r="21" spans="1:9" x14ac:dyDescent="0.3">
      <c r="A21" s="22" t="s">
        <v>28</v>
      </c>
      <c r="B21" s="22" t="s">
        <v>247</v>
      </c>
      <c r="C21" s="22" t="s">
        <v>78</v>
      </c>
      <c r="D21" s="22" t="s">
        <v>262</v>
      </c>
      <c r="E21" s="22" t="s">
        <v>275</v>
      </c>
      <c r="F21" s="22" t="s">
        <v>278</v>
      </c>
      <c r="G21" s="22"/>
      <c r="H21" s="22" t="s">
        <v>91</v>
      </c>
      <c r="I21" s="22"/>
    </row>
    <row r="22" spans="1:9" x14ac:dyDescent="0.3">
      <c r="A22" s="22" t="s">
        <v>28</v>
      </c>
      <c r="B22" s="22" t="s">
        <v>247</v>
      </c>
      <c r="C22" s="22" t="s">
        <v>79</v>
      </c>
      <c r="D22" s="22" t="s">
        <v>262</v>
      </c>
      <c r="E22" s="22" t="s">
        <v>275</v>
      </c>
      <c r="F22" s="22" t="s">
        <v>279</v>
      </c>
      <c r="G22" s="22"/>
      <c r="H22" s="22" t="s">
        <v>91</v>
      </c>
      <c r="I22" s="22"/>
    </row>
    <row r="23" spans="1:9" x14ac:dyDescent="0.3">
      <c r="A23" s="22" t="s">
        <v>28</v>
      </c>
      <c r="B23" s="22" t="s">
        <v>247</v>
      </c>
      <c r="C23" s="22" t="s">
        <v>80</v>
      </c>
      <c r="D23" s="22" t="s">
        <v>248</v>
      </c>
      <c r="E23" s="22" t="s">
        <v>275</v>
      </c>
      <c r="F23" s="22" t="s">
        <v>280</v>
      </c>
      <c r="G23" s="22"/>
      <c r="H23" s="22" t="s">
        <v>91</v>
      </c>
      <c r="I23" s="22"/>
    </row>
    <row r="24" spans="1:9" x14ac:dyDescent="0.3">
      <c r="A24" s="22" t="s">
        <v>32</v>
      </c>
      <c r="B24" s="22" t="s">
        <v>281</v>
      </c>
      <c r="C24" s="22" t="s">
        <v>147</v>
      </c>
      <c r="D24" s="22" t="s">
        <v>248</v>
      </c>
      <c r="E24" s="22" t="s">
        <v>249</v>
      </c>
      <c r="F24" s="22" t="s">
        <v>282</v>
      </c>
      <c r="G24" s="22"/>
      <c r="H24" s="22" t="s">
        <v>91</v>
      </c>
      <c r="I24" s="22" t="s">
        <v>251</v>
      </c>
    </row>
    <row r="25" spans="1:9" x14ac:dyDescent="0.3">
      <c r="A25" s="22" t="s">
        <v>32</v>
      </c>
      <c r="B25" s="22" t="s">
        <v>281</v>
      </c>
      <c r="C25" s="22" t="s">
        <v>148</v>
      </c>
      <c r="D25" s="22" t="s">
        <v>248</v>
      </c>
      <c r="E25" s="22" t="s">
        <v>249</v>
      </c>
      <c r="F25" s="22" t="s">
        <v>283</v>
      </c>
      <c r="G25" s="22"/>
      <c r="H25" s="22" t="s">
        <v>91</v>
      </c>
      <c r="I25" s="22"/>
    </row>
    <row r="26" spans="1:9" x14ac:dyDescent="0.3">
      <c r="A26" s="22" t="s">
        <v>32</v>
      </c>
      <c r="B26" s="22" t="s">
        <v>281</v>
      </c>
      <c r="C26" s="22" t="s">
        <v>149</v>
      </c>
      <c r="D26" s="22" t="s">
        <v>248</v>
      </c>
      <c r="E26" s="22" t="s">
        <v>249</v>
      </c>
      <c r="F26" s="22" t="s">
        <v>282</v>
      </c>
      <c r="G26" s="22"/>
      <c r="H26" s="22" t="s">
        <v>91</v>
      </c>
      <c r="I26" s="22"/>
    </row>
    <row r="27" spans="1:9" x14ac:dyDescent="0.3">
      <c r="A27" s="22" t="s">
        <v>32</v>
      </c>
      <c r="B27" s="22" t="s">
        <v>281</v>
      </c>
      <c r="C27" s="22" t="s">
        <v>150</v>
      </c>
      <c r="D27" s="22" t="s">
        <v>262</v>
      </c>
      <c r="E27" s="22" t="s">
        <v>249</v>
      </c>
      <c r="F27" s="22" t="s">
        <v>284</v>
      </c>
      <c r="G27" s="22"/>
      <c r="H27" s="22" t="s">
        <v>91</v>
      </c>
      <c r="I27" s="22"/>
    </row>
    <row r="28" spans="1:9" x14ac:dyDescent="0.3">
      <c r="A28" s="22" t="s">
        <v>32</v>
      </c>
      <c r="B28" s="22" t="s">
        <v>281</v>
      </c>
      <c r="C28" s="22" t="s">
        <v>151</v>
      </c>
      <c r="D28" s="22" t="s">
        <v>248</v>
      </c>
      <c r="E28" s="22" t="s">
        <v>249</v>
      </c>
      <c r="F28" s="22" t="s">
        <v>285</v>
      </c>
      <c r="G28" s="22"/>
      <c r="H28" s="22" t="s">
        <v>91</v>
      </c>
      <c r="I28" s="22"/>
    </row>
    <row r="29" spans="1:9" x14ac:dyDescent="0.3">
      <c r="A29" s="22" t="s">
        <v>32</v>
      </c>
      <c r="B29" s="22" t="s">
        <v>281</v>
      </c>
      <c r="C29" s="22" t="s">
        <v>152</v>
      </c>
      <c r="D29" s="22" t="s">
        <v>262</v>
      </c>
      <c r="E29" s="22" t="s">
        <v>249</v>
      </c>
      <c r="F29" s="22" t="s">
        <v>286</v>
      </c>
      <c r="G29" s="22"/>
      <c r="H29" s="22" t="s">
        <v>91</v>
      </c>
      <c r="I29" s="22"/>
    </row>
    <row r="30" spans="1:9" x14ac:dyDescent="0.3">
      <c r="A30" s="22" t="s">
        <v>32</v>
      </c>
      <c r="B30" s="22" t="s">
        <v>281</v>
      </c>
      <c r="C30" s="22" t="s">
        <v>153</v>
      </c>
      <c r="D30" s="22" t="s">
        <v>262</v>
      </c>
      <c r="E30" s="22" t="s">
        <v>275</v>
      </c>
      <c r="F30" s="22" t="s">
        <v>287</v>
      </c>
      <c r="G30" s="22"/>
      <c r="H30" s="22" t="s">
        <v>91</v>
      </c>
      <c r="I30" s="22"/>
    </row>
    <row r="31" spans="1:9" x14ac:dyDescent="0.3">
      <c r="A31" s="22" t="s">
        <v>32</v>
      </c>
      <c r="B31" s="22" t="s">
        <v>281</v>
      </c>
      <c r="C31" s="22" t="s">
        <v>154</v>
      </c>
      <c r="D31" s="22" t="s">
        <v>248</v>
      </c>
      <c r="E31" s="22" t="s">
        <v>275</v>
      </c>
      <c r="F31" s="22" t="s">
        <v>288</v>
      </c>
      <c r="G31" s="22"/>
      <c r="H31" s="22" t="s">
        <v>91</v>
      </c>
      <c r="I31" s="22"/>
    </row>
    <row r="32" spans="1:9" x14ac:dyDescent="0.3">
      <c r="A32" s="22" t="s">
        <v>32</v>
      </c>
      <c r="B32" s="22" t="s">
        <v>281</v>
      </c>
      <c r="C32" s="22" t="s">
        <v>155</v>
      </c>
      <c r="D32" s="22" t="s">
        <v>289</v>
      </c>
      <c r="E32" s="22" t="s">
        <v>249</v>
      </c>
      <c r="F32" s="22" t="s">
        <v>290</v>
      </c>
      <c r="G32" s="22" t="s">
        <v>291</v>
      </c>
      <c r="H32" s="22" t="s">
        <v>91</v>
      </c>
      <c r="I32" s="22"/>
    </row>
    <row r="33" spans="1:9" x14ac:dyDescent="0.3">
      <c r="A33" s="22" t="s">
        <v>32</v>
      </c>
      <c r="B33" s="22" t="s">
        <v>281</v>
      </c>
      <c r="C33" s="22" t="s">
        <v>156</v>
      </c>
      <c r="D33" s="22" t="s">
        <v>289</v>
      </c>
      <c r="E33" s="22" t="s">
        <v>275</v>
      </c>
      <c r="F33" s="22" t="s">
        <v>292</v>
      </c>
      <c r="G33" s="22"/>
      <c r="H33" s="22" t="s">
        <v>91</v>
      </c>
      <c r="I33" s="22"/>
    </row>
    <row r="34" spans="1:9" x14ac:dyDescent="0.3">
      <c r="A34" s="22" t="s">
        <v>32</v>
      </c>
      <c r="B34" s="22" t="s">
        <v>281</v>
      </c>
      <c r="C34" s="22" t="s">
        <v>157</v>
      </c>
      <c r="D34" s="22" t="s">
        <v>248</v>
      </c>
      <c r="E34" s="22" t="s">
        <v>249</v>
      </c>
      <c r="F34" s="22" t="s">
        <v>293</v>
      </c>
      <c r="G34" s="22"/>
      <c r="H34" s="22" t="s">
        <v>91</v>
      </c>
      <c r="I34" s="22"/>
    </row>
    <row r="35" spans="1:9" x14ac:dyDescent="0.3">
      <c r="A35" s="22" t="s">
        <v>34</v>
      </c>
      <c r="B35" s="22" t="s">
        <v>294</v>
      </c>
      <c r="C35" s="22" t="s">
        <v>202</v>
      </c>
      <c r="D35" s="22" t="s">
        <v>248</v>
      </c>
      <c r="E35" s="22" t="s">
        <v>249</v>
      </c>
      <c r="F35" s="22" t="s">
        <v>295</v>
      </c>
      <c r="G35" s="22"/>
      <c r="H35" s="22" t="s">
        <v>91</v>
      </c>
      <c r="I35" s="22" t="s">
        <v>251</v>
      </c>
    </row>
    <row r="36" spans="1:9" x14ac:dyDescent="0.3">
      <c r="A36" s="22" t="s">
        <v>34</v>
      </c>
      <c r="B36" s="22" t="s">
        <v>294</v>
      </c>
      <c r="C36" s="22" t="s">
        <v>203</v>
      </c>
      <c r="D36" s="22" t="s">
        <v>248</v>
      </c>
      <c r="E36" s="22" t="s">
        <v>249</v>
      </c>
      <c r="F36" s="22" t="s">
        <v>296</v>
      </c>
      <c r="G36" s="22"/>
      <c r="H36" s="22" t="s">
        <v>91</v>
      </c>
      <c r="I36" s="22"/>
    </row>
    <row r="37" spans="1:9" x14ac:dyDescent="0.3">
      <c r="A37" s="22" t="s">
        <v>34</v>
      </c>
      <c r="B37" s="22" t="s">
        <v>294</v>
      </c>
      <c r="C37" s="22" t="s">
        <v>204</v>
      </c>
      <c r="D37" s="22" t="s">
        <v>248</v>
      </c>
      <c r="E37" s="22" t="s">
        <v>249</v>
      </c>
      <c r="F37" s="22" t="s">
        <v>297</v>
      </c>
      <c r="G37" s="22"/>
      <c r="H37" s="22" t="s">
        <v>91</v>
      </c>
      <c r="I37" s="22"/>
    </row>
    <row r="38" spans="1:9" x14ac:dyDescent="0.3">
      <c r="A38" s="22" t="s">
        <v>34</v>
      </c>
      <c r="B38" s="22" t="s">
        <v>294</v>
      </c>
      <c r="C38" s="22" t="s">
        <v>205</v>
      </c>
      <c r="D38" s="22" t="s">
        <v>248</v>
      </c>
      <c r="E38" s="22" t="s">
        <v>249</v>
      </c>
      <c r="F38" s="22" t="s">
        <v>298</v>
      </c>
      <c r="G38" s="22"/>
      <c r="H38" s="22" t="s">
        <v>91</v>
      </c>
      <c r="I38" s="2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9</vt:i4>
      </vt:variant>
    </vt:vector>
  </HeadingPairs>
  <TitlesOfParts>
    <vt:vector size="16" baseType="lpstr">
      <vt:lpstr>00_LEIA-ME</vt:lpstr>
      <vt:lpstr>Ideias_Kaizen</vt:lpstr>
      <vt:lpstr>Resumo_Atividade_6_2</vt:lpstr>
      <vt:lpstr>EMAS_Indicadores</vt:lpstr>
      <vt:lpstr>EMAS_Transparencia</vt:lpstr>
      <vt:lpstr>Listas</vt:lpstr>
      <vt:lpstr>Dicionario_Dados</vt:lpstr>
      <vt:lpstr>DataRef</vt:lpstr>
      <vt:lpstr>lst_DataReferencia</vt:lpstr>
      <vt:lpstr>lst_Escala15</vt:lpstr>
      <vt:lpstr>lst_EstadoKZ</vt:lpstr>
      <vt:lpstr>lst_Processo</vt:lpstr>
      <vt:lpstr>lst_SimNao</vt:lpstr>
      <vt:lpstr>EMAS_Indicadores!Títulos_de_Impressão</vt:lpstr>
      <vt:lpstr>EMAS_Transparencia!Títulos_de_Impressão</vt:lpstr>
      <vt:lpstr>Ideias_Kaizen!Títulos_de_Impressão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RG-SGA-16 Melhoria Contínua — Registo de Ideias Kaizen e Indicadores EMAS</dc:title>
  <dc:subject>SGA NP EN ISO 14001:2026 — Plasticom</dc:subject>
  <dc:creator>Gestor(a) do SGA / EHS</dc:creator>
  <cp:lastModifiedBy>Aline Meireles</cp:lastModifiedBy>
  <dcterms:created xsi:type="dcterms:W3CDTF">2026-09-30T09:57:21Z</dcterms:created>
  <dcterms:modified xsi:type="dcterms:W3CDTF">2026-09-30T09:57:42Z</dcterms:modified>
</cp:coreProperties>
</file>