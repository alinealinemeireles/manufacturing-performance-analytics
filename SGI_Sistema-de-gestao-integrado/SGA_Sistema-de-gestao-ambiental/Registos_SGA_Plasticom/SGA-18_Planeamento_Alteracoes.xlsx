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08E3A13D-F784-403C-BD80-31A6005368E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Alteracoes" sheetId="2" r:id="rId2"/>
    <sheet name="Listas" sheetId="3" r:id="rId3"/>
    <sheet name="Dicionario_Dados" sheetId="4" r:id="rId4"/>
  </sheets>
  <definedNames>
    <definedName name="DataRef">Listas!$A$3</definedName>
    <definedName name="lst_DataReferencia">Listas!$A$3:$A$3</definedName>
    <definedName name="lst_EstadoAlt">Listas!$E$3:$E$8</definedName>
    <definedName name="lst_Funcao">Listas!$F$3:$F$24</definedName>
    <definedName name="lst_Origem">Listas!$B$3:$B$4</definedName>
    <definedName name="lst_Resposta">Listas!$D$3:$D$5</definedName>
    <definedName name="lst_TipoAlteracao">Listas!$C$3:$C$10</definedName>
    <definedName name="_xlnm.Print_Titles" localSheetId="1">Alteracoes!$4:$4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7" i="2" l="1"/>
  <c r="AG57" i="2"/>
  <c r="T57" i="2"/>
  <c r="S57" i="2"/>
  <c r="R57" i="2"/>
  <c r="AH56" i="2"/>
  <c r="AG56" i="2"/>
  <c r="T56" i="2"/>
  <c r="S56" i="2"/>
  <c r="R56" i="2"/>
  <c r="AH55" i="2"/>
  <c r="AG55" i="2"/>
  <c r="T55" i="2"/>
  <c r="S55" i="2"/>
  <c r="R55" i="2"/>
  <c r="AH54" i="2"/>
  <c r="AG54" i="2"/>
  <c r="T54" i="2"/>
  <c r="S54" i="2"/>
  <c r="R54" i="2"/>
  <c r="AH53" i="2"/>
  <c r="AG53" i="2"/>
  <c r="T53" i="2"/>
  <c r="S53" i="2"/>
  <c r="R53" i="2"/>
  <c r="AH52" i="2"/>
  <c r="AG52" i="2"/>
  <c r="T52" i="2"/>
  <c r="S52" i="2"/>
  <c r="R52" i="2"/>
  <c r="AH51" i="2"/>
  <c r="AG51" i="2"/>
  <c r="T51" i="2"/>
  <c r="S51" i="2"/>
  <c r="R51" i="2"/>
  <c r="AH50" i="2"/>
  <c r="AG50" i="2"/>
  <c r="T50" i="2"/>
  <c r="S50" i="2"/>
  <c r="R50" i="2"/>
  <c r="AH49" i="2"/>
  <c r="AG49" i="2"/>
  <c r="T49" i="2"/>
  <c r="S49" i="2"/>
  <c r="R49" i="2"/>
  <c r="AH48" i="2"/>
  <c r="AG48" i="2"/>
  <c r="T48" i="2"/>
  <c r="S48" i="2"/>
  <c r="R48" i="2"/>
  <c r="AH47" i="2"/>
  <c r="AG47" i="2"/>
  <c r="T47" i="2"/>
  <c r="S47" i="2"/>
  <c r="R47" i="2"/>
  <c r="AH46" i="2"/>
  <c r="AG46" i="2"/>
  <c r="T46" i="2"/>
  <c r="S46" i="2"/>
  <c r="R46" i="2"/>
  <c r="AH45" i="2"/>
  <c r="AG45" i="2"/>
  <c r="T45" i="2"/>
  <c r="S45" i="2"/>
  <c r="R45" i="2"/>
  <c r="AH44" i="2"/>
  <c r="AG44" i="2"/>
  <c r="T44" i="2"/>
  <c r="S44" i="2"/>
  <c r="R44" i="2"/>
  <c r="AH43" i="2"/>
  <c r="AG43" i="2"/>
  <c r="T43" i="2"/>
  <c r="S43" i="2"/>
  <c r="R43" i="2"/>
  <c r="AH42" i="2"/>
  <c r="AG42" i="2"/>
  <c r="T42" i="2"/>
  <c r="S42" i="2"/>
  <c r="R42" i="2"/>
  <c r="AH41" i="2"/>
  <c r="AG41" i="2"/>
  <c r="T41" i="2"/>
  <c r="S41" i="2"/>
  <c r="R41" i="2"/>
  <c r="AH40" i="2"/>
  <c r="AG40" i="2"/>
  <c r="T40" i="2"/>
  <c r="S40" i="2"/>
  <c r="R40" i="2"/>
  <c r="AH39" i="2"/>
  <c r="AG39" i="2"/>
  <c r="T39" i="2"/>
  <c r="S39" i="2"/>
  <c r="R39" i="2"/>
  <c r="AH38" i="2"/>
  <c r="AG38" i="2"/>
  <c r="T38" i="2"/>
  <c r="S38" i="2"/>
  <c r="R38" i="2"/>
  <c r="AH37" i="2"/>
  <c r="AG37" i="2"/>
  <c r="T37" i="2"/>
  <c r="S37" i="2"/>
  <c r="R37" i="2"/>
  <c r="AH36" i="2"/>
  <c r="AG36" i="2"/>
  <c r="T36" i="2"/>
  <c r="S36" i="2"/>
  <c r="R36" i="2"/>
  <c r="AH35" i="2"/>
  <c r="AG35" i="2"/>
  <c r="T35" i="2"/>
  <c r="S35" i="2"/>
  <c r="R35" i="2"/>
  <c r="AH34" i="2"/>
  <c r="AG34" i="2"/>
  <c r="T34" i="2"/>
  <c r="S34" i="2"/>
  <c r="R34" i="2"/>
  <c r="AH33" i="2"/>
  <c r="AG33" i="2"/>
  <c r="T33" i="2"/>
  <c r="S33" i="2"/>
  <c r="R33" i="2"/>
  <c r="AH32" i="2"/>
  <c r="AG32" i="2"/>
  <c r="T32" i="2"/>
  <c r="S32" i="2"/>
  <c r="R32" i="2"/>
  <c r="AH31" i="2"/>
  <c r="AG31" i="2"/>
  <c r="T31" i="2"/>
  <c r="S31" i="2"/>
  <c r="R31" i="2"/>
  <c r="AH30" i="2"/>
  <c r="AG30" i="2"/>
  <c r="T30" i="2"/>
  <c r="S30" i="2"/>
  <c r="R30" i="2"/>
  <c r="AH29" i="2"/>
  <c r="AG29" i="2"/>
  <c r="T29" i="2"/>
  <c r="S29" i="2"/>
  <c r="R29" i="2"/>
  <c r="AH28" i="2"/>
  <c r="AG28" i="2"/>
  <c r="T28" i="2"/>
  <c r="S28" i="2"/>
  <c r="R28" i="2"/>
  <c r="AH27" i="2"/>
  <c r="AG27" i="2"/>
  <c r="T27" i="2"/>
  <c r="S27" i="2"/>
  <c r="R27" i="2"/>
  <c r="AH26" i="2"/>
  <c r="AG26" i="2"/>
  <c r="T26" i="2"/>
  <c r="S26" i="2"/>
  <c r="R26" i="2"/>
  <c r="AH25" i="2"/>
  <c r="AG25" i="2"/>
  <c r="T25" i="2"/>
  <c r="S25" i="2"/>
  <c r="R25" i="2"/>
  <c r="AH24" i="2"/>
  <c r="AG24" i="2"/>
  <c r="T24" i="2"/>
  <c r="S24" i="2"/>
  <c r="R24" i="2"/>
  <c r="AH23" i="2"/>
  <c r="AG23" i="2"/>
  <c r="T23" i="2"/>
  <c r="S23" i="2"/>
  <c r="R23" i="2"/>
  <c r="AH22" i="2"/>
  <c r="AG22" i="2"/>
  <c r="T22" i="2"/>
  <c r="S22" i="2"/>
  <c r="R22" i="2"/>
  <c r="AH21" i="2"/>
  <c r="AG21" i="2"/>
  <c r="T21" i="2"/>
  <c r="S21" i="2"/>
  <c r="R21" i="2"/>
  <c r="AH20" i="2"/>
  <c r="AG20" i="2"/>
  <c r="T20" i="2"/>
  <c r="S20" i="2"/>
  <c r="R20" i="2"/>
  <c r="AH19" i="2"/>
  <c r="AG19" i="2"/>
  <c r="T19" i="2"/>
  <c r="S19" i="2"/>
  <c r="R19" i="2"/>
  <c r="AH18" i="2"/>
  <c r="AG18" i="2"/>
  <c r="T18" i="2"/>
  <c r="S18" i="2"/>
  <c r="R18" i="2"/>
  <c r="AG17" i="2"/>
  <c r="S17" i="2"/>
  <c r="AH17" i="2" s="1"/>
  <c r="R17" i="2"/>
  <c r="AG16" i="2"/>
  <c r="S16" i="2"/>
  <c r="AH16" i="2" s="1"/>
  <c r="R16" i="2"/>
  <c r="T16" i="2" s="1"/>
  <c r="AG15" i="2"/>
  <c r="S15" i="2"/>
  <c r="AH15" i="2" s="1"/>
  <c r="R15" i="2"/>
  <c r="AG14" i="2"/>
  <c r="S14" i="2"/>
  <c r="AH14" i="2" s="1"/>
  <c r="R14" i="2"/>
  <c r="AG13" i="2"/>
  <c r="S13" i="2"/>
  <c r="AH13" i="2" s="1"/>
  <c r="R13" i="2"/>
  <c r="AG12" i="2"/>
  <c r="S12" i="2"/>
  <c r="AH12" i="2" s="1"/>
  <c r="R12" i="2"/>
  <c r="T12" i="2" s="1"/>
  <c r="AG11" i="2"/>
  <c r="S11" i="2"/>
  <c r="AH11" i="2" s="1"/>
  <c r="R11" i="2"/>
  <c r="T11" i="2" s="1"/>
  <c r="AG10" i="2"/>
  <c r="S10" i="2"/>
  <c r="AH10" i="2" s="1"/>
  <c r="R10" i="2"/>
  <c r="T10" i="2" s="1"/>
  <c r="AG9" i="2"/>
  <c r="S9" i="2"/>
  <c r="AH9" i="2" s="1"/>
  <c r="R9" i="2"/>
  <c r="AG8" i="2"/>
  <c r="S8" i="2"/>
  <c r="AH8" i="2" s="1"/>
  <c r="R8" i="2"/>
  <c r="T8" i="2" s="1"/>
  <c r="AH7" i="2"/>
  <c r="AG7" i="2"/>
  <c r="S7" i="2"/>
  <c r="R7" i="2"/>
  <c r="T7" i="2" s="1"/>
  <c r="AH6" i="2"/>
  <c r="AG6" i="2"/>
  <c r="S6" i="2"/>
  <c r="R6" i="2"/>
  <c r="T6" i="2" s="1"/>
  <c r="AG5" i="2"/>
  <c r="S5" i="2"/>
  <c r="AH5" i="2" s="1"/>
  <c r="R5" i="2"/>
  <c r="T14" i="2" l="1"/>
  <c r="T15" i="2"/>
  <c r="T13" i="2"/>
  <c r="T17" i="2"/>
  <c r="T5" i="2"/>
  <c r="T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(ALT-AAAA-nn).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Data do pedido.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Interna ou externa (Nota 1 da 6.3).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Tipo de alteração.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Alteração proposta.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Motivo / necessidade.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Quem pede.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Os aspetos e impactes (normal, anormal, emergência) foram revistos? (6.1.2)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As obrigações de conformidade foram identificadas e avaliadas? (6.1.3)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Os riscos e oportunidades da alteração foram avaliados? (6.1.4)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É necessária licença, comunicação ou avaliação legal prévia (ex.: SIR, ruído)?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Foram definidas competências e formação para quem opera a alteração? (7.2, 7.3)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Foram identificados os documentos a atualizar (procedimentos, IT, registos)? (7.5)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Foram consultadas/informadas as partes interessadas relevantes? (4.2, 7.4)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Foram revistos os controlos operacionais e os cenários de emergência? (8.1, 8.2)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Há fornecedores ou processos externos afetados e com controlo definido? (8.1)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Foram assegurados recursos, responsáveis e prazos? (7.1)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Perguntas respondidas com Sim.
[calculado]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Perguntas respondidas com Não (lacunas de avaliação).
[calculado]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Sim ÷ (Sim + Não).
[calculado]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Efeitos ambientais previstos.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Aspetos afetados.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Requisitos legais afetados.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Risco/oportunidade.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Investimento/custo previsto.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Quem aprova.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Data de aprovação.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Data de implementação.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Resultado da verificação após a implementação.</t>
        </r>
      </text>
    </comment>
    <comment ref="AD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Data da verificação.</t>
        </r>
      </text>
    </comment>
    <comment ref="AE4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AF4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Lição aprendida.</t>
        </r>
      </text>
    </comment>
    <comment ref="AG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Tempo de decisão (dias).
[calculado]</t>
        </r>
      </text>
    </comment>
    <comment ref="AH4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Alerta de gestão da mudança.
[calculado]</t>
        </r>
      </text>
    </comment>
  </commentList>
</comments>
</file>

<file path=xl/sharedStrings.xml><?xml version="1.0" encoding="utf-8"?>
<sst xmlns="http://schemas.openxmlformats.org/spreadsheetml/2006/main" count="704" uniqueCount="293">
  <si>
    <t>RG-SGA-18 — Planeamento de Alterações (Gestão de Mudanças)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</si>
  <si>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</si>
  <si>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</si>
  <si>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</si>
  <si>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RG-SGA-18</t>
  </si>
  <si>
    <t>Título</t>
  </si>
  <si>
    <t>Planeamento de Alterações (Gestão de Mudanças)</t>
  </si>
  <si>
    <t>Versão / Revisão</t>
  </si>
  <si>
    <t>00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</si>
  <si>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</si>
  <si>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</si>
  <si>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</si>
  <si>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</si>
  <si>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</si>
  <si>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</si>
  <si>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</si>
  <si>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</si>
  <si>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</si>
  <si>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</si>
  <si>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</si>
  <si>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</si>
  <si>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</si>
  <si>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Registar e avaliar, antes da implementação, cada alteração que afete ou possa afetar o SGA (equipamentos, processos, produtos, materiais, requisitos legais, organização e o próprio SGA), com a checklist do PR-SGA-06, aprovação, verificação pós-implementação e lições aprendidas — para que o SGA continue a atingir os resultados pretendidos.</t>
  </si>
  <si>
    <t>Atividades do curso</t>
  </si>
  <si>
    <t>Complemento ISO 14001:2026 (cláusula 6.3 nova) — não é atividade do curso.</t>
  </si>
  <si>
    <t>Requisitos ISO 14001:2026</t>
  </si>
  <si>
    <t>6.3 Planeamento de alterações; 6.1.2; 6.1.3; 6.1.4; 7.5; 8.1</t>
  </si>
  <si>
    <t>ESTRUTURA DO FICHEIRO</t>
  </si>
  <si>
    <t>Alteracoes</t>
  </si>
  <si>
    <t>Registo de alterações com a checklist de avaliação do PR-SGA-06, aprovação e verificação pós-implementação (1 linha por alteração).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</si>
  <si>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</si>
  <si>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</si>
  <si>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</si>
  <si>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</si>
  <si>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</si>
  <si>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</si>
  <si>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</si>
  <si>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</si>
  <si>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</si>
  <si>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</si>
  <si>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</si>
  <si>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</si>
  <si>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</si>
  <si>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</si>
  <si>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</si>
  <si>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</si>
  <si>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</si>
  <si>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</si>
  <si>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PR-SGA-06</t>
  </si>
  <si>
    <t>Procedimento de planeamento de alterações (Documentos_SGA_Plasticom).</t>
  </si>
  <si>
    <t>RG-SGA-03 Aspetos</t>
  </si>
  <si>
    <t>IDs_Aspetos → tbl_aspetos.</t>
  </si>
  <si>
    <t>RG-SGA-04 Legal</t>
  </si>
  <si>
    <t>ID_Legal → tbl_legal.</t>
  </si>
  <si>
    <t>RG-SGA-02 Riscos e oportunidades</t>
  </si>
  <si>
    <t>ID_RO → coluna 'ID RO (SGA)' de tbRiscos/tbOportunidades.</t>
  </si>
  <si>
    <t>RG-SGA-07 NC</t>
  </si>
  <si>
    <t>Alterações sem avaliação que geraram NC (ex.: ALT-2026-01 → NC-SGA-26-01).</t>
  </si>
  <si>
    <t>PLANEAMENTO DE ALTERAÇÕES — REGISTO E AVALIAÇÃO (ISO 14001:2026, 6.3)</t>
  </si>
  <si>
    <t>Checklist em colunas (Sim / Não / N.A.) · Uma alteração implementada com respostas 'Não' gera alerta · ALT-2026-01 originou a NC-SGA-26-01 (ruído)</t>
  </si>
  <si>
    <t>ID_Alteracao</t>
  </si>
  <si>
    <t>Data_Pedido</t>
  </si>
  <si>
    <t>Origem</t>
  </si>
  <si>
    <t>Tipo</t>
  </si>
  <si>
    <t>Descricao</t>
  </si>
  <si>
    <t>Motivo</t>
  </si>
  <si>
    <t>Requerente</t>
  </si>
  <si>
    <t>Aspetos_Ambientais</t>
  </si>
  <si>
    <t>Obrigacoes_Conformidade</t>
  </si>
  <si>
    <t>Riscos_Oportunidades</t>
  </si>
  <si>
    <t>Licenciamento_Comunicacao_Autoridade</t>
  </si>
  <si>
    <t>Competencias_Formacao</t>
  </si>
  <si>
    <t>Documentos_a_Atualizar</t>
  </si>
  <si>
    <t>Comunicacao_Partes_Interessadas</t>
  </si>
  <si>
    <t>Emergencia_e_Controlo_Operacional</t>
  </si>
  <si>
    <t>Fornecedores_Processos_Externos</t>
  </si>
  <si>
    <t>Recursos_e_Prazos</t>
  </si>
  <si>
    <t>N_Sim</t>
  </si>
  <si>
    <t>N_Nao</t>
  </si>
  <si>
    <t>Completude_Checklist</t>
  </si>
  <si>
    <t>Impacto_Ambiental_Previsto</t>
  </si>
  <si>
    <t>IDs_Aspetos</t>
  </si>
  <si>
    <t>ID_Legal</t>
  </si>
  <si>
    <t>ID_RO</t>
  </si>
  <si>
    <t>Recursos_EUR</t>
  </si>
  <si>
    <t>Aprovador</t>
  </si>
  <si>
    <t>Data_Aprovacao</t>
  </si>
  <si>
    <t>Data_Implementacao</t>
  </si>
  <si>
    <t>Verificacao_Pos_Implementacao</t>
  </si>
  <si>
    <t>Data_Verificacao</t>
  </si>
  <si>
    <t>Licao_Aprendida</t>
  </si>
  <si>
    <t>Dias_Pedido_Aprovacao</t>
  </si>
  <si>
    <t>Alerta</t>
  </si>
  <si>
    <t>ALT-2025-01</t>
  </si>
  <si>
    <t>Interna</t>
  </si>
  <si>
    <t>Material</t>
  </si>
  <si>
    <t>Introdução de tintas UV de baixo teor de solvente na SS-002 (ensaio).</t>
  </si>
  <si>
    <t>Reduzir COV e solvente de limpeza.</t>
  </si>
  <si>
    <t>Gerente de Produção</t>
  </si>
  <si>
    <t>Sim</t>
  </si>
  <si>
    <t>N.A.</t>
  </si>
  <si>
    <t>Menos COV; novo resíduo de tinta UV.</t>
  </si>
  <si>
    <t>AA-014; AA-015</t>
  </si>
  <si>
    <t>LEG-04; LEG-06</t>
  </si>
  <si>
    <t>Diretor Industrial</t>
  </si>
  <si>
    <t>Consumo de solvente −9% no ensaio; FDS no posto.</t>
  </si>
  <si>
    <t>Verificada</t>
  </si>
  <si>
    <t>Avaliar a cura UV (energia) antes de alargar à SS-001.</t>
  </si>
  <si>
    <t>ALT-2025-02</t>
  </si>
  <si>
    <t>Externa</t>
  </si>
  <si>
    <t>Troca do fornecedor de HDPE-PCR (SUP-004 como principal).</t>
  </si>
  <si>
    <t>Descontinuação do fornecedor anterior.</t>
  </si>
  <si>
    <t>Responsável de Compras</t>
  </si>
  <si>
    <t>Qualidade do lote e declarações de conteúdo reciclado.</t>
  </si>
  <si>
    <t>AA-001</t>
  </si>
  <si>
    <t>LEG-09</t>
  </si>
  <si>
    <t>RO-05</t>
  </si>
  <si>
    <t>Certificado RecyClass por lote verificado em 100% dos lotes de out–dez/2025.</t>
  </si>
  <si>
    <t>Exigir auditoria ao reciclador antes da troca.</t>
  </si>
  <si>
    <t>ALT-2025-03</t>
  </si>
  <si>
    <t>Equipamento</t>
  </si>
  <si>
    <t>Reparação do chiller CH-01 e recarga de R410A após fuga.</t>
  </si>
  <si>
    <t>Fuga detetada no controlo semestral (INC-2025-07).</t>
  </si>
  <si>
    <t>Gerente de Manutenção</t>
  </si>
  <si>
    <t>Emissão de GEE evitada; resíduos de gás recuperado.</t>
  </si>
  <si>
    <t>AA-025</t>
  </si>
  <si>
    <t>LEG-07</t>
  </si>
  <si>
    <t>Verificação pós-reparação conforme (OT-2025-20).</t>
  </si>
  <si>
    <t>Avaliar substituição por fluido de baixo GWP no fim de vida.</t>
  </si>
  <si>
    <t>ALT-2026-01</t>
  </si>
  <si>
    <t>Substituição dos compressores CMP-01/02 por unidades de velocidade variável.</t>
  </si>
  <si>
    <t>Eficiência energética (OBJ-01).</t>
  </si>
  <si>
    <t>Não</t>
  </si>
  <si>
    <t>Menos energia; possível aumento do ruído noturno (novo ponto de descarga de ar).</t>
  </si>
  <si>
    <t>AA-021; AA-022</t>
  </si>
  <si>
    <t>LEG-02; LEG-05; LEG-08</t>
  </si>
  <si>
    <t>RO-12</t>
  </si>
  <si>
    <t>Poupança confirmada por M&amp;V (−14,8% kWh/Nm³, RG-SGE-11); ruído conforme após barreira acústica (AC-2026-112, 28/10/2026).</t>
  </si>
  <si>
    <t>Alteração aprovada sem checklist ambiental: origem da NC-SGA-26-01 e do PR-SGA-06.</t>
  </si>
  <si>
    <t>ALT-2026-02</t>
  </si>
  <si>
    <t>Produto</t>
  </si>
  <si>
    <t>Lançamento das famílias FR-011/012-PET-400.</t>
  </si>
  <si>
    <t>Novos contratos de cosmética.</t>
  </si>
  <si>
    <t>Responsável de R&amp;D</t>
  </si>
  <si>
    <t>Mais scrap no arranque; famílias a incluir na documentação PPWR.</t>
  </si>
  <si>
    <t>AA-011; AA-037; AA-038</t>
  </si>
  <si>
    <t>RO-06</t>
  </si>
  <si>
    <t>Gestor do SGA / EHS (Responsável Ambiental)</t>
  </si>
  <si>
    <t>Scrap das primeiras semanas acima da média; famílias incluídas no OBJ-04.</t>
  </si>
  <si>
    <t>Prever corridas de afinação no plano de scrap.</t>
  </si>
  <si>
    <t>ALT-2026-03</t>
  </si>
  <si>
    <t>Processo</t>
  </si>
  <si>
    <t>Expansão das linhas alimentar e farmacêutica (potes e tampas).</t>
  </si>
  <si>
    <t>Estratégia comercial 2026.</t>
  </si>
  <si>
    <t>Novos requisitos de contacto; mais energia; novos resíduos de limpeza.</t>
  </si>
  <si>
    <t>AA-007; AA-010; AA-042</t>
  </si>
  <si>
    <t>LEG-06; LEG-09</t>
  </si>
  <si>
    <t>Checklist completa; auditoria de cliente farmacêutico sem constatações ambientais.</t>
  </si>
  <si>
    <t>Modelo de avaliação completa a replicar.</t>
  </si>
  <si>
    <t>ALT-2026-04</t>
  </si>
  <si>
    <t>SGA</t>
  </si>
  <si>
    <t>Revisão da política ambiental (rev. 02): biodiversidade e ciclo de vida.</t>
  </si>
  <si>
    <t>Transição para a ISO 14001:2026.</t>
  </si>
  <si>
    <t>Diretor Geral (Gestão de Topo)</t>
  </si>
  <si>
    <t>Política comunicada; versão obsoleta retirada.</t>
  </si>
  <si>
    <t>ALT-2026-05</t>
  </si>
  <si>
    <t>Requisito legal</t>
  </si>
  <si>
    <t>Aplicação do PPWR (Reg. (UE) 2025/40) desde 12/08/2026.</t>
  </si>
  <si>
    <t>Nova obrigação de conformidade.</t>
  </si>
  <si>
    <t>Documentação técnica e declaração UE de conformidade por família.</t>
  </si>
  <si>
    <t>AA-038</t>
  </si>
  <si>
    <t>17 de 22 famílias com documentação técnica e declaração UE em 22/12/2026; 5 famílias em 2027.</t>
  </si>
  <si>
    <t>Em implementação</t>
  </si>
  <si>
    <t>ALT-2026-06</t>
  </si>
  <si>
    <t>Infraestrutura</t>
  </si>
  <si>
    <t>Filtros nas sarjetas e bacias de descarga (Operation Clean Sweep).</t>
  </si>
  <si>
    <t>Perdas de granulado (INC-2026-09).</t>
  </si>
  <si>
    <t>Menos perdas de granulado para a rede pluvial.</t>
  </si>
  <si>
    <t>AA-003</t>
  </si>
  <si>
    <t>LEG-10</t>
  </si>
  <si>
    <t>RO-07</t>
  </si>
  <si>
    <t>Autoavaliação OCS de 15/12/2026: 11 de 14 pontos com contenção; rondas RON-09 com 10% de não conformidades (40% antes).</t>
  </si>
  <si>
    <t>ALT-2026-07</t>
  </si>
  <si>
    <t>Central fotovoltaica de autoconsumo (UPAC ≈ 1 MWp).</t>
  </si>
  <si>
    <t>Estratégia de descarbonização.</t>
  </si>
  <si>
    <t>Diretor Financeiro</t>
  </si>
  <si>
    <t>Menos emissões do âmbito 2; resíduos de obra; carga na cobertura.</t>
  </si>
  <si>
    <t>AA-031; AA-032</t>
  </si>
  <si>
    <t>LEG-02; LEG-08</t>
  </si>
  <si>
    <t>RO-09</t>
  </si>
  <si>
    <t>Estudo de viabilidade entregue a 30/11/2026 (≈ 1 400 MWh/ano); decisão de investimento e candidatura em 2027 (RD-E-26-D06).</t>
  </si>
  <si>
    <t>Em avaliação</t>
  </si>
  <si>
    <t>ALT-2026-08</t>
  </si>
  <si>
    <t>Transição do SGA para a ISO 14001:2026 (6.3, 8.1, 9.2.2, 9.3).</t>
  </si>
  <si>
    <t>Nova edição da norma.</t>
  </si>
  <si>
    <t>Formulário de alteração com checklist ambiental em uso desde 25/11/2026 (PAM-26-17).</t>
  </si>
  <si>
    <t>Implementada — por verificar</t>
  </si>
  <si>
    <t>Inclui a aprovação do PR-SGA-06 e deste registo.</t>
  </si>
  <si>
    <t>ALT-2026-09</t>
  </si>
  <si>
    <t>Modo standby obrigatório das injetoras e ISBM nas pausas e paragens &gt; 30 min (KZ-01).</t>
  </si>
  <si>
    <t>Eficiência energética (OBJ-01; SGE PA-E-03).</t>
  </si>
  <si>
    <t>Menos energia em vazio; sem efeito na qualidade (arranque validado).</t>
  </si>
  <si>
    <t>AA-007; AA-010</t>
  </si>
  <si>
    <t>LEG-08</t>
  </si>
  <si>
    <t>RO-02</t>
  </si>
  <si>
    <t>Poupança verificada pelo SGE (MV-02: ≈ 36 MWh em out–dez/2026); rondas RON-10 com 7% de não conformidades.</t>
  </si>
  <si>
    <t>Primeira alteração com a checklist ambiental + energia.</t>
  </si>
  <si>
    <t>ALT-2026-10</t>
  </si>
  <si>
    <t>Redução da pressão da rede de ar comprimido de 7,4 para 6,8 bar.</t>
  </si>
  <si>
    <t>Eficiência energética (SGE PA-E-02).</t>
  </si>
  <si>
    <t>Técnico de Utilidades</t>
  </si>
  <si>
    <t>Menos energia e menos fugas; risco de falta de pressão em máquinas exigentes (validado).</t>
  </si>
  <si>
    <t>AA-021</t>
  </si>
  <si>
    <t>Sem queixas das máquinas; potência específica 0,106 kWh/Nm³ na semana de 07/12 (RG-SGE-11).</t>
  </si>
  <si>
    <t>LISTAS CONTROLADAS (domínios de validação de dados) — editar aqui para alterar opções</t>
  </si>
  <si>
    <t>DataReferencia</t>
  </si>
  <si>
    <t>TipoAlteracao</t>
  </si>
  <si>
    <t>Resposta</t>
  </si>
  <si>
    <t>EstadoAlt</t>
  </si>
  <si>
    <t>Funcao</t>
  </si>
  <si>
    <t>Aprovada</t>
  </si>
  <si>
    <t>Rejeitada</t>
  </si>
  <si>
    <t>Gerente da Qualidade</t>
  </si>
  <si>
    <t>Organizacional</t>
  </si>
  <si>
    <t>Responsável de Armazém e Logística</t>
  </si>
  <si>
    <t>Responsável de Recursos Humanos</t>
  </si>
  <si>
    <t>Operador de Serigrafia</t>
  </si>
  <si>
    <t>Operador de Injeção</t>
  </si>
  <si>
    <t>Operador de Sopro (ISBM)</t>
  </si>
  <si>
    <t>Operador de Hot Foil</t>
  </si>
  <si>
    <t>Técnico de Manutenção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</si>
  <si>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</si>
  <si>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</si>
  <si>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</si>
  <si>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</si>
  <si>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</si>
  <si>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</si>
  <si>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</si>
  <si>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</si>
  <si>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Dominio_Unidade</t>
  </si>
  <si>
    <t>Obrigatorio</t>
  </si>
  <si>
    <t>Chave</t>
  </si>
  <si>
    <t>tbl_alteracoes</t>
  </si>
  <si>
    <t>Texto</t>
  </si>
  <si>
    <t>Entrada</t>
  </si>
  <si>
    <t>Identificador (ALT-AAAA-nn).</t>
  </si>
  <si>
    <t>PK</t>
  </si>
  <si>
    <t>Data (aaaa-mm-dd)</t>
  </si>
  <si>
    <t>Data do pedido.</t>
  </si>
  <si>
    <t>Interna ou externa (Nota 1 da 6.3).</t>
  </si>
  <si>
    <t>Lista lst_Origem</t>
  </si>
  <si>
    <t>Tipo de alteração.</t>
  </si>
  <si>
    <t>Lista lst_TipoAlteracao</t>
  </si>
  <si>
    <t>Alteração proposta.</t>
  </si>
  <si>
    <t>Motivo / necessidade.</t>
  </si>
  <si>
    <t>Quem pede.</t>
  </si>
  <si>
    <t>Lista lst_Funcao</t>
  </si>
  <si>
    <t>Os aspetos e impactes (normal, anormal, emergência) foram revistos? (6.1.2)</t>
  </si>
  <si>
    <t>Lista lst_Resposta</t>
  </si>
  <si>
    <t>As obrigações de conformidade foram identificadas e avaliadas? (6.1.3)</t>
  </si>
  <si>
    <t>Os riscos e oportunidades da alteração foram avaliados? (6.1.4)</t>
  </si>
  <si>
    <t>É necessária licença, comunicação ou avaliação legal prévia (ex.: SIR, ruído)?</t>
  </si>
  <si>
    <t>Foram definidas competências e formação para quem opera a alteração? (7.2, 7.3)</t>
  </si>
  <si>
    <t>Foram identificados os documentos a atualizar (procedimentos, IT, registos)? (7.5)</t>
  </si>
  <si>
    <t>Foram consultadas/informadas as partes interessadas relevantes? (4.2, 7.4)</t>
  </si>
  <si>
    <t>Foram revistos os controlos operacionais e os cenários de emergência? (8.1, 8.2)</t>
  </si>
  <si>
    <t>Há fornecedores ou processos externos afetados e com controlo definido? (8.1)</t>
  </si>
  <si>
    <t>Foram assegurados recursos, responsáveis e prazos? (7.1)</t>
  </si>
  <si>
    <t>Inteiro</t>
  </si>
  <si>
    <t>Calculado (fórmula)</t>
  </si>
  <si>
    <t>Perguntas respondidas com Sim.</t>
  </si>
  <si>
    <t>Perguntas respondidas com Não (lacunas de avaliação).</t>
  </si>
  <si>
    <t>Percentagem (fração 0-1)</t>
  </si>
  <si>
    <t>Sim ÷ (Sim + Não).</t>
  </si>
  <si>
    <t>Efeitos ambientais previstos.</t>
  </si>
  <si>
    <t>Aspetos afetados.</t>
  </si>
  <si>
    <t>FK → tbl_aspetos</t>
  </si>
  <si>
    <t>Requisitos legais afetados.</t>
  </si>
  <si>
    <t>FK → tbl_legal</t>
  </si>
  <si>
    <t>Risco/oportunidade.</t>
  </si>
  <si>
    <t>FK → RG-SGA-02</t>
  </si>
  <si>
    <t>Moeda (EUR)</t>
  </si>
  <si>
    <t>Investimento/custo previsto.</t>
  </si>
  <si>
    <t>Quem aprova.</t>
  </si>
  <si>
    <t>Data de aprovação.</t>
  </si>
  <si>
    <t>Data de implementação.</t>
  </si>
  <si>
    <t>Resultado da verificação após a implementação.</t>
  </si>
  <si>
    <t>Data da verificação.</t>
  </si>
  <si>
    <t>Estado.</t>
  </si>
  <si>
    <t>Lista lst_EstadoAlt</t>
  </si>
  <si>
    <t>Lição aprendida.</t>
  </si>
  <si>
    <t>Tempo de decisão (dias).</t>
  </si>
  <si>
    <t>Alerta de gestão da mudança.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</si>
</sst>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\€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8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lteracoes" displayName="tbl_alteracoes" ref="A4:AH57">
  <autoFilter ref="A4:AH57" xr:uid="{00000000-0009-0000-0100-000001000000}"/>
  <tableColumns count="34">
    <tableColumn id="1" xr3:uid="{00000000-0010-0000-0000-000001000000}" name="ID_Alteracao"/>
    <tableColumn id="2" xr3:uid="{00000000-0010-0000-0000-000002000000}" name="Data_Pedido"/>
    <tableColumn id="3" xr3:uid="{00000000-0010-0000-0000-000003000000}" name="Origem"/>
    <tableColumn id="4" xr3:uid="{00000000-0010-0000-0000-000004000000}" name="Tipo"/>
    <tableColumn id="5" xr3:uid="{00000000-0010-0000-0000-000005000000}" name="Descricao"/>
    <tableColumn id="6" xr3:uid="{00000000-0010-0000-0000-000006000000}" name="Motivo"/>
    <tableColumn id="7" xr3:uid="{00000000-0010-0000-0000-000007000000}" name="Requerente"/>
    <tableColumn id="8" xr3:uid="{00000000-0010-0000-0000-000008000000}" name="Aspetos_Ambientais"/>
    <tableColumn id="9" xr3:uid="{00000000-0010-0000-0000-000009000000}" name="Obrigacoes_Conformidade"/>
    <tableColumn id="10" xr3:uid="{00000000-0010-0000-0000-00000A000000}" name="Riscos_Oportunidades"/>
    <tableColumn id="11" xr3:uid="{00000000-0010-0000-0000-00000B000000}" name="Licenciamento_Comunicacao_Autoridade"/>
    <tableColumn id="12" xr3:uid="{00000000-0010-0000-0000-00000C000000}" name="Competencias_Formacao"/>
    <tableColumn id="13" xr3:uid="{00000000-0010-0000-0000-00000D000000}" name="Documentos_a_Atualizar"/>
    <tableColumn id="14" xr3:uid="{00000000-0010-0000-0000-00000E000000}" name="Comunicacao_Partes_Interessadas"/>
    <tableColumn id="15" xr3:uid="{00000000-0010-0000-0000-00000F000000}" name="Emergencia_e_Controlo_Operacional"/>
    <tableColumn id="16" xr3:uid="{00000000-0010-0000-0000-000010000000}" name="Fornecedores_Processos_Externos"/>
    <tableColumn id="17" xr3:uid="{00000000-0010-0000-0000-000011000000}" name="Recursos_e_Prazos"/>
    <tableColumn id="18" xr3:uid="{00000000-0010-0000-0000-000012000000}" name="N_Sim"/>
    <tableColumn id="19" xr3:uid="{00000000-0010-0000-0000-000013000000}" name="N_Nao"/>
    <tableColumn id="20" xr3:uid="{00000000-0010-0000-0000-000014000000}" name="Completude_Checklist"/>
    <tableColumn id="21" xr3:uid="{00000000-0010-0000-0000-000015000000}" name="Impacto_Ambiental_Previsto"/>
    <tableColumn id="22" xr3:uid="{00000000-0010-0000-0000-000016000000}" name="IDs_Aspetos"/>
    <tableColumn id="23" xr3:uid="{00000000-0010-0000-0000-000017000000}" name="ID_Legal"/>
    <tableColumn id="24" xr3:uid="{00000000-0010-0000-0000-000018000000}" name="ID_RO"/>
    <tableColumn id="25" xr3:uid="{00000000-0010-0000-0000-000019000000}" name="Recursos_EUR"/>
    <tableColumn id="26" xr3:uid="{00000000-0010-0000-0000-00001A000000}" name="Aprovador"/>
    <tableColumn id="27" xr3:uid="{00000000-0010-0000-0000-00001B000000}" name="Data_Aprovacao"/>
    <tableColumn id="28" xr3:uid="{00000000-0010-0000-0000-00001C000000}" name="Data_Implementacao"/>
    <tableColumn id="29" xr3:uid="{00000000-0010-0000-0000-00001D000000}" name="Verificacao_Pos_Implementacao"/>
    <tableColumn id="30" xr3:uid="{00000000-0010-0000-0000-00001E000000}" name="Data_Verificacao"/>
    <tableColumn id="31" xr3:uid="{00000000-0010-0000-0000-00001F000000}" name="Estado"/>
    <tableColumn id="32" xr3:uid="{00000000-0010-0000-0000-000020000000}" name="Licao_Aprendida"/>
    <tableColumn id="33" xr3:uid="{00000000-0010-0000-0000-000021000000}" name="Dias_Pedido_Aprovacao"/>
    <tableColumn id="34" xr3:uid="{00000000-0010-0000-0000-000022000000}" name="Alert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icionario" displayName="tbl_dicionario" ref="A1:I35">
  <autoFilter ref="A1:I35" xr:uid="{00000000-0009-0000-0100-000002000000}"/>
  <tableColumns count="9">
    <tableColumn id="1" xr3:uid="{00000000-0010-0000-0100-000001000000}" name="Folha"/>
    <tableColumn id="2" xr3:uid="{00000000-0010-0000-0100-000002000000}" name="Tabela"/>
    <tableColumn id="3" xr3:uid="{00000000-0010-0000-0100-000003000000}" name="Coluna"/>
    <tableColumn id="4" xr3:uid="{00000000-0010-0000-0100-000004000000}" name="Tipo"/>
    <tableColumn id="5" xr3:uid="{00000000-0010-0000-0100-000005000000}" name="Origem"/>
    <tableColumn id="6" xr3:uid="{00000000-0010-0000-0100-000006000000}" name="Descricao"/>
    <tableColumn id="7" xr3:uid="{00000000-0010-0000-0100-000007000000}" name="Dominio_Unidade"/>
    <tableColumn id="8" xr3:uid="{00000000-0010-0000-0100-000008000000}" name="Obrigatorio"/>
    <tableColumn id="9" xr3:uid="{00000000-0010-0000-01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8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46289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ht="26.4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ht="26.4" x14ac:dyDescent="0.3">
      <c r="A29" s="5" t="s">
        <v>41</v>
      </c>
      <c r="B29" s="6" t="s">
        <v>42</v>
      </c>
    </row>
    <row r="30" spans="1:2" ht="26.4" x14ac:dyDescent="0.3">
      <c r="A30" s="5" t="s">
        <v>43</v>
      </c>
      <c r="B30" s="6" t="s">
        <v>44</v>
      </c>
    </row>
    <row r="31" spans="1:2" ht="26.4" x14ac:dyDescent="0.3">
      <c r="A31" s="5" t="s">
        <v>45</v>
      </c>
      <c r="B31" s="6" t="s">
        <v>46</v>
      </c>
    </row>
    <row r="33" spans="1:2" x14ac:dyDescent="0.3">
      <c r="A33" s="3" t="s">
        <v>47</v>
      </c>
      <c r="B33" s="4"/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ht="26.4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5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3" width="9" customWidth="1"/>
    <col min="4" max="4" width="14" customWidth="1"/>
    <col min="5" max="5" width="44" customWidth="1"/>
    <col min="6" max="6" width="30" customWidth="1"/>
    <col min="7" max="7" width="24" customWidth="1"/>
    <col min="8" max="17" width="11" customWidth="1"/>
    <col min="18" max="19" width="6" customWidth="1"/>
    <col min="20" max="20" width="9" customWidth="1"/>
    <col min="21" max="21" width="34" customWidth="1"/>
    <col min="22" max="23" width="16" customWidth="1"/>
    <col min="24" max="24" width="8" customWidth="1"/>
    <col min="25" max="25" width="11" customWidth="1"/>
    <col min="26" max="26" width="24" customWidth="1"/>
    <col min="27" max="28" width="11" customWidth="1"/>
    <col min="29" max="29" width="36" customWidth="1"/>
    <col min="30" max="30" width="11" customWidth="1"/>
    <col min="31" max="31" width="18" customWidth="1"/>
    <col min="32" max="32" width="34" customWidth="1"/>
    <col min="33" max="33" width="8" customWidth="1"/>
    <col min="34" max="34" width="22" customWidth="1"/>
  </cols>
  <sheetData>
    <row r="1" spans="1:34" ht="17.399999999999999" x14ac:dyDescent="0.3">
      <c r="A1" s="1" t="s">
        <v>58</v>
      </c>
    </row>
    <row r="2" spans="1:34" x14ac:dyDescent="0.3">
      <c r="A2" s="2" t="s">
        <v>59</v>
      </c>
    </row>
    <row r="4" spans="1:34" ht="52.8" x14ac:dyDescent="0.3">
      <c r="A4" s="8" t="s">
        <v>60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  <c r="K4" s="8" t="s">
        <v>70</v>
      </c>
      <c r="L4" s="8" t="s">
        <v>71</v>
      </c>
      <c r="M4" s="8" t="s">
        <v>72</v>
      </c>
      <c r="N4" s="8" t="s">
        <v>73</v>
      </c>
      <c r="O4" s="8" t="s">
        <v>74</v>
      </c>
      <c r="P4" s="8" t="s">
        <v>75</v>
      </c>
      <c r="Q4" s="8" t="s">
        <v>76</v>
      </c>
      <c r="R4" s="9" t="s">
        <v>77</v>
      </c>
      <c r="S4" s="9" t="s">
        <v>78</v>
      </c>
      <c r="T4" s="9" t="s">
        <v>79</v>
      </c>
      <c r="U4" s="8" t="s">
        <v>80</v>
      </c>
      <c r="V4" s="8" t="s">
        <v>81</v>
      </c>
      <c r="W4" s="8" t="s">
        <v>82</v>
      </c>
      <c r="X4" s="8" t="s">
        <v>83</v>
      </c>
      <c r="Y4" s="8" t="s">
        <v>84</v>
      </c>
      <c r="Z4" s="8" t="s">
        <v>85</v>
      </c>
      <c r="AA4" s="8" t="s">
        <v>86</v>
      </c>
      <c r="AB4" s="8" t="s">
        <v>87</v>
      </c>
      <c r="AC4" s="8" t="s">
        <v>88</v>
      </c>
      <c r="AD4" s="8" t="s">
        <v>89</v>
      </c>
      <c r="AE4" s="8" t="s">
        <v>14</v>
      </c>
      <c r="AF4" s="8" t="s">
        <v>90</v>
      </c>
      <c r="AG4" s="9" t="s">
        <v>91</v>
      </c>
      <c r="AH4" s="9" t="s">
        <v>92</v>
      </c>
    </row>
    <row r="5" spans="1:34" ht="48" customHeight="1" x14ac:dyDescent="0.3">
      <c r="A5" s="10" t="s">
        <v>93</v>
      </c>
      <c r="B5" s="11">
        <v>45783</v>
      </c>
      <c r="C5" s="10" t="s">
        <v>94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0" t="s">
        <v>99</v>
      </c>
      <c r="J5" s="10" t="s">
        <v>99</v>
      </c>
      <c r="K5" s="10" t="s">
        <v>100</v>
      </c>
      <c r="L5" s="10" t="s">
        <v>99</v>
      </c>
      <c r="M5" s="10" t="s">
        <v>99</v>
      </c>
      <c r="N5" s="10" t="s">
        <v>100</v>
      </c>
      <c r="O5" s="10" t="s">
        <v>99</v>
      </c>
      <c r="P5" s="10" t="s">
        <v>99</v>
      </c>
      <c r="Q5" s="10" t="s">
        <v>99</v>
      </c>
      <c r="R5" s="12">
        <f t="shared" ref="R5:R36" si="0">IF(A5="","",(H5="Sim")+(I5="Sim")+(J5="Sim")+(K5="Sim")+(L5="Sim")+(M5="Sim")+(N5="Sim")+(O5="Sim")+(P5="Sim")+(Q5="Sim"))</f>
        <v>8</v>
      </c>
      <c r="S5" s="12">
        <f t="shared" ref="S5:S36" si="1">IF(A5="","",(H5="Não")+(I5="Não")+(J5="Não")+(K5="Não")+(L5="Não")+(M5="Não")+(N5="Não")+(O5="Não")+(P5="Não")+(Q5="Não"))</f>
        <v>0</v>
      </c>
      <c r="T5" s="13">
        <f t="shared" ref="T5:T36" si="2">IF(A5="","",IFERROR(R5/(R5+S5),""))</f>
        <v>1</v>
      </c>
      <c r="U5" s="10" t="s">
        <v>101</v>
      </c>
      <c r="V5" s="10" t="s">
        <v>102</v>
      </c>
      <c r="W5" s="10" t="s">
        <v>103</v>
      </c>
      <c r="X5" s="10"/>
      <c r="Y5" s="14">
        <v>6500</v>
      </c>
      <c r="Z5" s="10" t="s">
        <v>104</v>
      </c>
      <c r="AA5" s="11">
        <v>45797</v>
      </c>
      <c r="AB5" s="11">
        <v>45823</v>
      </c>
      <c r="AC5" s="10" t="s">
        <v>105</v>
      </c>
      <c r="AD5" s="11">
        <v>45930</v>
      </c>
      <c r="AE5" s="10" t="s">
        <v>106</v>
      </c>
      <c r="AF5" s="10" t="s">
        <v>107</v>
      </c>
      <c r="AG5" s="12">
        <f t="shared" ref="AG5:AG36" si="3">IF(OR(AA5="",B5=""),"",AA5-B5)</f>
        <v>14</v>
      </c>
      <c r="AH5" s="15" t="str">
        <f t="shared" ref="AH5:AH36" si="4">IF(A5="","",IF(AND(AB5&lt;&gt;"",N(S5)&gt;0),"Implementada com avaliação incompleta",IF(AND(AB5&lt;&gt;"",AD5=""),"Verificação pós em falta",IF(AND(AB5="",AA5=""),"A aguardar decisão","OK"))))</f>
        <v>OK</v>
      </c>
    </row>
    <row r="6" spans="1:34" ht="48" customHeight="1" x14ac:dyDescent="0.3">
      <c r="A6" s="10" t="s">
        <v>108</v>
      </c>
      <c r="B6" s="11">
        <v>45897</v>
      </c>
      <c r="C6" s="10" t="s">
        <v>109</v>
      </c>
      <c r="D6" s="10" t="s">
        <v>95</v>
      </c>
      <c r="E6" s="10" t="s">
        <v>110</v>
      </c>
      <c r="F6" s="10" t="s">
        <v>111</v>
      </c>
      <c r="G6" s="10" t="s">
        <v>112</v>
      </c>
      <c r="H6" s="10" t="s">
        <v>99</v>
      </c>
      <c r="I6" s="10" t="s">
        <v>99</v>
      </c>
      <c r="J6" s="10" t="s">
        <v>99</v>
      </c>
      <c r="K6" s="10" t="s">
        <v>100</v>
      </c>
      <c r="L6" s="10" t="s">
        <v>100</v>
      </c>
      <c r="M6" s="10" t="s">
        <v>99</v>
      </c>
      <c r="N6" s="10" t="s">
        <v>100</v>
      </c>
      <c r="O6" s="10" t="s">
        <v>99</v>
      </c>
      <c r="P6" s="10" t="s">
        <v>99</v>
      </c>
      <c r="Q6" s="10" t="s">
        <v>99</v>
      </c>
      <c r="R6" s="12">
        <f t="shared" si="0"/>
        <v>7</v>
      </c>
      <c r="S6" s="12">
        <f t="shared" si="1"/>
        <v>0</v>
      </c>
      <c r="T6" s="13">
        <f t="shared" si="2"/>
        <v>1</v>
      </c>
      <c r="U6" s="10" t="s">
        <v>113</v>
      </c>
      <c r="V6" s="10" t="s">
        <v>114</v>
      </c>
      <c r="W6" s="10" t="s">
        <v>115</v>
      </c>
      <c r="X6" s="10" t="s">
        <v>116</v>
      </c>
      <c r="Y6" s="14">
        <v>0</v>
      </c>
      <c r="Z6" s="10" t="s">
        <v>104</v>
      </c>
      <c r="AA6" s="11">
        <v>45905</v>
      </c>
      <c r="AB6" s="11">
        <v>45931</v>
      </c>
      <c r="AC6" s="10" t="s">
        <v>117</v>
      </c>
      <c r="AD6" s="11">
        <v>46037</v>
      </c>
      <c r="AE6" s="10" t="s">
        <v>106</v>
      </c>
      <c r="AF6" s="10" t="s">
        <v>118</v>
      </c>
      <c r="AG6" s="12">
        <f t="shared" si="3"/>
        <v>8</v>
      </c>
      <c r="AH6" s="15" t="str">
        <f t="shared" si="4"/>
        <v>OK</v>
      </c>
    </row>
    <row r="7" spans="1:34" ht="48" customHeight="1" x14ac:dyDescent="0.3">
      <c r="A7" s="10" t="s">
        <v>119</v>
      </c>
      <c r="B7" s="11">
        <v>45980</v>
      </c>
      <c r="C7" s="10" t="s">
        <v>94</v>
      </c>
      <c r="D7" s="10" t="s">
        <v>120</v>
      </c>
      <c r="E7" s="10" t="s">
        <v>121</v>
      </c>
      <c r="F7" s="10" t="s">
        <v>122</v>
      </c>
      <c r="G7" s="10" t="s">
        <v>123</v>
      </c>
      <c r="H7" s="10" t="s">
        <v>99</v>
      </c>
      <c r="I7" s="10" t="s">
        <v>99</v>
      </c>
      <c r="J7" s="10" t="s">
        <v>99</v>
      </c>
      <c r="K7" s="10" t="s">
        <v>99</v>
      </c>
      <c r="L7" s="10" t="s">
        <v>100</v>
      </c>
      <c r="M7" s="10" t="s">
        <v>99</v>
      </c>
      <c r="N7" s="10" t="s">
        <v>100</v>
      </c>
      <c r="O7" s="10" t="s">
        <v>99</v>
      </c>
      <c r="P7" s="10" t="s">
        <v>99</v>
      </c>
      <c r="Q7" s="10" t="s">
        <v>99</v>
      </c>
      <c r="R7" s="12">
        <f t="shared" si="0"/>
        <v>8</v>
      </c>
      <c r="S7" s="12">
        <f t="shared" si="1"/>
        <v>0</v>
      </c>
      <c r="T7" s="13">
        <f t="shared" si="2"/>
        <v>1</v>
      </c>
      <c r="U7" s="10" t="s">
        <v>124</v>
      </c>
      <c r="V7" s="10" t="s">
        <v>125</v>
      </c>
      <c r="W7" s="10" t="s">
        <v>126</v>
      </c>
      <c r="X7" s="10"/>
      <c r="Y7" s="14">
        <v>1450</v>
      </c>
      <c r="Z7" s="10" t="s">
        <v>104</v>
      </c>
      <c r="AA7" s="11">
        <v>45980</v>
      </c>
      <c r="AB7" s="11">
        <v>45980</v>
      </c>
      <c r="AC7" s="10" t="s">
        <v>127</v>
      </c>
      <c r="AD7" s="11">
        <v>46007</v>
      </c>
      <c r="AE7" s="10" t="s">
        <v>106</v>
      </c>
      <c r="AF7" s="10" t="s">
        <v>128</v>
      </c>
      <c r="AG7" s="12">
        <f t="shared" si="3"/>
        <v>0</v>
      </c>
      <c r="AH7" s="15" t="str">
        <f t="shared" si="4"/>
        <v>OK</v>
      </c>
    </row>
    <row r="8" spans="1:34" ht="48" customHeight="1" x14ac:dyDescent="0.3">
      <c r="A8" s="10" t="s">
        <v>129</v>
      </c>
      <c r="B8" s="11">
        <v>46034</v>
      </c>
      <c r="C8" s="10" t="s">
        <v>94</v>
      </c>
      <c r="D8" s="10" t="s">
        <v>120</v>
      </c>
      <c r="E8" s="10" t="s">
        <v>130</v>
      </c>
      <c r="F8" s="10" t="s">
        <v>131</v>
      </c>
      <c r="G8" s="10" t="s">
        <v>123</v>
      </c>
      <c r="H8" s="10" t="s">
        <v>132</v>
      </c>
      <c r="I8" s="10" t="s">
        <v>132</v>
      </c>
      <c r="J8" s="10" t="s">
        <v>132</v>
      </c>
      <c r="K8" s="10" t="s">
        <v>99</v>
      </c>
      <c r="L8" s="10" t="s">
        <v>132</v>
      </c>
      <c r="M8" s="10" t="s">
        <v>132</v>
      </c>
      <c r="N8" s="10" t="s">
        <v>132</v>
      </c>
      <c r="O8" s="10" t="s">
        <v>132</v>
      </c>
      <c r="P8" s="10" t="s">
        <v>99</v>
      </c>
      <c r="Q8" s="10" t="s">
        <v>99</v>
      </c>
      <c r="R8" s="12">
        <f t="shared" si="0"/>
        <v>3</v>
      </c>
      <c r="S8" s="12">
        <f t="shared" si="1"/>
        <v>7</v>
      </c>
      <c r="T8" s="13">
        <f t="shared" si="2"/>
        <v>0.3</v>
      </c>
      <c r="U8" s="10" t="s">
        <v>133</v>
      </c>
      <c r="V8" s="10" t="s">
        <v>134</v>
      </c>
      <c r="W8" s="10" t="s">
        <v>135</v>
      </c>
      <c r="X8" s="10" t="s">
        <v>136</v>
      </c>
      <c r="Y8" s="14">
        <v>78000</v>
      </c>
      <c r="Z8" s="10" t="s">
        <v>104</v>
      </c>
      <c r="AA8" s="11">
        <v>46042</v>
      </c>
      <c r="AB8" s="11">
        <v>46055</v>
      </c>
      <c r="AC8" s="10" t="s">
        <v>137</v>
      </c>
      <c r="AD8" s="11">
        <v>46331</v>
      </c>
      <c r="AE8" s="10" t="s">
        <v>106</v>
      </c>
      <c r="AF8" s="10" t="s">
        <v>138</v>
      </c>
      <c r="AG8" s="12">
        <f t="shared" si="3"/>
        <v>8</v>
      </c>
      <c r="AH8" s="15" t="str">
        <f t="shared" si="4"/>
        <v>Implementada com avaliação incompleta</v>
      </c>
    </row>
    <row r="9" spans="1:34" ht="48" customHeight="1" x14ac:dyDescent="0.3">
      <c r="A9" s="10" t="s">
        <v>139</v>
      </c>
      <c r="B9" s="11">
        <v>46077</v>
      </c>
      <c r="C9" s="10" t="s">
        <v>94</v>
      </c>
      <c r="D9" s="10" t="s">
        <v>140</v>
      </c>
      <c r="E9" s="10" t="s">
        <v>141</v>
      </c>
      <c r="F9" s="10" t="s">
        <v>142</v>
      </c>
      <c r="G9" s="10" t="s">
        <v>143</v>
      </c>
      <c r="H9" s="10" t="s">
        <v>99</v>
      </c>
      <c r="I9" s="10" t="s">
        <v>99</v>
      </c>
      <c r="J9" s="10" t="s">
        <v>99</v>
      </c>
      <c r="K9" s="10" t="s">
        <v>100</v>
      </c>
      <c r="L9" s="10" t="s">
        <v>99</v>
      </c>
      <c r="M9" s="10" t="s">
        <v>99</v>
      </c>
      <c r="N9" s="10" t="s">
        <v>99</v>
      </c>
      <c r="O9" s="10" t="s">
        <v>99</v>
      </c>
      <c r="P9" s="10" t="s">
        <v>99</v>
      </c>
      <c r="Q9" s="10" t="s">
        <v>99</v>
      </c>
      <c r="R9" s="12">
        <f t="shared" si="0"/>
        <v>9</v>
      </c>
      <c r="S9" s="12">
        <f t="shared" si="1"/>
        <v>0</v>
      </c>
      <c r="T9" s="13">
        <f t="shared" si="2"/>
        <v>1</v>
      </c>
      <c r="U9" s="10" t="s">
        <v>144</v>
      </c>
      <c r="V9" s="10" t="s">
        <v>145</v>
      </c>
      <c r="W9" s="10" t="s">
        <v>115</v>
      </c>
      <c r="X9" s="10" t="s">
        <v>146</v>
      </c>
      <c r="Y9" s="14">
        <v>42000</v>
      </c>
      <c r="Z9" s="10" t="s">
        <v>147</v>
      </c>
      <c r="AA9" s="11">
        <v>46087</v>
      </c>
      <c r="AB9" s="11">
        <v>46113</v>
      </c>
      <c r="AC9" s="10" t="s">
        <v>148</v>
      </c>
      <c r="AD9" s="11">
        <v>46218</v>
      </c>
      <c r="AE9" s="10" t="s">
        <v>106</v>
      </c>
      <c r="AF9" s="10" t="s">
        <v>149</v>
      </c>
      <c r="AG9" s="12">
        <f t="shared" si="3"/>
        <v>10</v>
      </c>
      <c r="AH9" s="15" t="str">
        <f t="shared" si="4"/>
        <v>OK</v>
      </c>
    </row>
    <row r="10" spans="1:34" ht="48" customHeight="1" x14ac:dyDescent="0.3">
      <c r="A10" s="10" t="s">
        <v>150</v>
      </c>
      <c r="B10" s="11">
        <v>46111</v>
      </c>
      <c r="C10" s="10" t="s">
        <v>94</v>
      </c>
      <c r="D10" s="10" t="s">
        <v>151</v>
      </c>
      <c r="E10" s="10" t="s">
        <v>152</v>
      </c>
      <c r="F10" s="10" t="s">
        <v>153</v>
      </c>
      <c r="G10" s="10" t="s">
        <v>147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2">
        <f t="shared" si="0"/>
        <v>10</v>
      </c>
      <c r="S10" s="12">
        <f t="shared" si="1"/>
        <v>0</v>
      </c>
      <c r="T10" s="13">
        <f t="shared" si="2"/>
        <v>1</v>
      </c>
      <c r="U10" s="10" t="s">
        <v>154</v>
      </c>
      <c r="V10" s="10" t="s">
        <v>155</v>
      </c>
      <c r="W10" s="10" t="s">
        <v>156</v>
      </c>
      <c r="X10" s="10" t="s">
        <v>146</v>
      </c>
      <c r="Y10" s="14">
        <v>185000</v>
      </c>
      <c r="Z10" s="10" t="s">
        <v>147</v>
      </c>
      <c r="AA10" s="11">
        <v>46132</v>
      </c>
      <c r="AB10" s="11">
        <v>46174</v>
      </c>
      <c r="AC10" s="10" t="s">
        <v>157</v>
      </c>
      <c r="AD10" s="11">
        <v>46265</v>
      </c>
      <c r="AE10" s="10" t="s">
        <v>106</v>
      </c>
      <c r="AF10" s="10" t="s">
        <v>158</v>
      </c>
      <c r="AG10" s="12">
        <f t="shared" si="3"/>
        <v>21</v>
      </c>
      <c r="AH10" s="15" t="str">
        <f t="shared" si="4"/>
        <v>OK</v>
      </c>
    </row>
    <row r="11" spans="1:34" ht="48" customHeight="1" x14ac:dyDescent="0.3">
      <c r="A11" s="10" t="s">
        <v>159</v>
      </c>
      <c r="B11" s="11">
        <v>46183</v>
      </c>
      <c r="C11" s="10" t="s">
        <v>94</v>
      </c>
      <c r="D11" s="10" t="s">
        <v>160</v>
      </c>
      <c r="E11" s="10" t="s">
        <v>161</v>
      </c>
      <c r="F11" s="10" t="s">
        <v>162</v>
      </c>
      <c r="G11" s="10" t="s">
        <v>163</v>
      </c>
      <c r="H11" s="10" t="s">
        <v>100</v>
      </c>
      <c r="I11" s="10" t="s">
        <v>100</v>
      </c>
      <c r="J11" s="10" t="s">
        <v>100</v>
      </c>
      <c r="K11" s="10" t="s">
        <v>100</v>
      </c>
      <c r="L11" s="10" t="s">
        <v>99</v>
      </c>
      <c r="M11" s="10" t="s">
        <v>99</v>
      </c>
      <c r="N11" s="10" t="s">
        <v>99</v>
      </c>
      <c r="O11" s="10" t="s">
        <v>100</v>
      </c>
      <c r="P11" s="10" t="s">
        <v>100</v>
      </c>
      <c r="Q11" s="10" t="s">
        <v>99</v>
      </c>
      <c r="R11" s="12">
        <f t="shared" si="0"/>
        <v>4</v>
      </c>
      <c r="S11" s="12">
        <f t="shared" si="1"/>
        <v>0</v>
      </c>
      <c r="T11" s="13">
        <f t="shared" si="2"/>
        <v>1</v>
      </c>
      <c r="U11" s="10"/>
      <c r="V11" s="10"/>
      <c r="W11" s="10"/>
      <c r="X11" s="10"/>
      <c r="Y11" s="14">
        <v>0</v>
      </c>
      <c r="Z11" s="10" t="s">
        <v>147</v>
      </c>
      <c r="AA11" s="11">
        <v>46192</v>
      </c>
      <c r="AB11" s="11">
        <v>46199</v>
      </c>
      <c r="AC11" s="10" t="s">
        <v>164</v>
      </c>
      <c r="AD11" s="11">
        <v>46213</v>
      </c>
      <c r="AE11" s="10" t="s">
        <v>106</v>
      </c>
      <c r="AF11" s="10"/>
      <c r="AG11" s="12">
        <f t="shared" si="3"/>
        <v>9</v>
      </c>
      <c r="AH11" s="15" t="str">
        <f t="shared" si="4"/>
        <v>OK</v>
      </c>
    </row>
    <row r="12" spans="1:34" ht="48" customHeight="1" x14ac:dyDescent="0.3">
      <c r="A12" s="10" t="s">
        <v>165</v>
      </c>
      <c r="B12" s="11">
        <v>46204</v>
      </c>
      <c r="C12" s="10" t="s">
        <v>109</v>
      </c>
      <c r="D12" s="10" t="s">
        <v>166</v>
      </c>
      <c r="E12" s="10" t="s">
        <v>167</v>
      </c>
      <c r="F12" s="10" t="s">
        <v>168</v>
      </c>
      <c r="G12" s="10" t="s">
        <v>143</v>
      </c>
      <c r="H12" s="10" t="s">
        <v>99</v>
      </c>
      <c r="I12" s="10" t="s">
        <v>99</v>
      </c>
      <c r="J12" s="10" t="s">
        <v>99</v>
      </c>
      <c r="K12" s="10" t="s">
        <v>100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2">
        <f t="shared" si="0"/>
        <v>9</v>
      </c>
      <c r="S12" s="12">
        <f t="shared" si="1"/>
        <v>0</v>
      </c>
      <c r="T12" s="13">
        <f t="shared" si="2"/>
        <v>1</v>
      </c>
      <c r="U12" s="10" t="s">
        <v>169</v>
      </c>
      <c r="V12" s="10" t="s">
        <v>170</v>
      </c>
      <c r="W12" s="10" t="s">
        <v>115</v>
      </c>
      <c r="X12" s="10" t="s">
        <v>146</v>
      </c>
      <c r="Y12" s="14">
        <v>26000</v>
      </c>
      <c r="Z12" s="10" t="s">
        <v>147</v>
      </c>
      <c r="AA12" s="11">
        <v>46213</v>
      </c>
      <c r="AB12" s="11">
        <v>46246</v>
      </c>
      <c r="AC12" s="10" t="s">
        <v>171</v>
      </c>
      <c r="AD12" s="11"/>
      <c r="AE12" s="10" t="s">
        <v>172</v>
      </c>
      <c r="AF12" s="10"/>
      <c r="AG12" s="12">
        <f t="shared" si="3"/>
        <v>9</v>
      </c>
      <c r="AH12" s="15" t="str">
        <f t="shared" si="4"/>
        <v>Verificação pós em falta</v>
      </c>
    </row>
    <row r="13" spans="1:34" ht="48" customHeight="1" x14ac:dyDescent="0.3">
      <c r="A13" s="10" t="s">
        <v>173</v>
      </c>
      <c r="B13" s="11">
        <v>46254</v>
      </c>
      <c r="C13" s="10" t="s">
        <v>94</v>
      </c>
      <c r="D13" s="10" t="s">
        <v>174</v>
      </c>
      <c r="E13" s="10" t="s">
        <v>175</v>
      </c>
      <c r="F13" s="10" t="s">
        <v>176</v>
      </c>
      <c r="G13" s="10" t="s">
        <v>163</v>
      </c>
      <c r="H13" s="10" t="s">
        <v>99</v>
      </c>
      <c r="I13" s="10" t="s">
        <v>99</v>
      </c>
      <c r="J13" s="10" t="s">
        <v>99</v>
      </c>
      <c r="K13" s="10" t="s">
        <v>100</v>
      </c>
      <c r="L13" s="10" t="s">
        <v>99</v>
      </c>
      <c r="M13" s="10" t="s">
        <v>99</v>
      </c>
      <c r="N13" s="10" t="s">
        <v>100</v>
      </c>
      <c r="O13" s="10" t="s">
        <v>99</v>
      </c>
      <c r="P13" s="10" t="s">
        <v>100</v>
      </c>
      <c r="Q13" s="10" t="s">
        <v>99</v>
      </c>
      <c r="R13" s="12">
        <f t="shared" si="0"/>
        <v>7</v>
      </c>
      <c r="S13" s="12">
        <f t="shared" si="1"/>
        <v>0</v>
      </c>
      <c r="T13" s="13">
        <f t="shared" si="2"/>
        <v>1</v>
      </c>
      <c r="U13" s="10" t="s">
        <v>177</v>
      </c>
      <c r="V13" s="10" t="s">
        <v>178</v>
      </c>
      <c r="W13" s="10" t="s">
        <v>179</v>
      </c>
      <c r="X13" s="10" t="s">
        <v>180</v>
      </c>
      <c r="Y13" s="14">
        <v>9500</v>
      </c>
      <c r="Z13" s="10" t="s">
        <v>104</v>
      </c>
      <c r="AA13" s="11">
        <v>46261</v>
      </c>
      <c r="AB13" s="11">
        <v>46310</v>
      </c>
      <c r="AC13" s="10" t="s">
        <v>181</v>
      </c>
      <c r="AD13" s="11">
        <v>46371</v>
      </c>
      <c r="AE13" s="10" t="s">
        <v>106</v>
      </c>
      <c r="AF13" s="10"/>
      <c r="AG13" s="12">
        <f t="shared" si="3"/>
        <v>7</v>
      </c>
      <c r="AH13" s="15" t="str">
        <f t="shared" si="4"/>
        <v>OK</v>
      </c>
    </row>
    <row r="14" spans="1:34" ht="48" customHeight="1" x14ac:dyDescent="0.3">
      <c r="A14" s="10" t="s">
        <v>182</v>
      </c>
      <c r="B14" s="11">
        <v>46270</v>
      </c>
      <c r="C14" s="10" t="s">
        <v>94</v>
      </c>
      <c r="D14" s="10" t="s">
        <v>174</v>
      </c>
      <c r="E14" s="10" t="s">
        <v>183</v>
      </c>
      <c r="F14" s="10" t="s">
        <v>184</v>
      </c>
      <c r="G14" s="10" t="s">
        <v>185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132</v>
      </c>
      <c r="M14" s="10" t="s">
        <v>132</v>
      </c>
      <c r="N14" s="10" t="s">
        <v>99</v>
      </c>
      <c r="O14" s="10" t="s">
        <v>100</v>
      </c>
      <c r="P14" s="10" t="s">
        <v>99</v>
      </c>
      <c r="Q14" s="10" t="s">
        <v>99</v>
      </c>
      <c r="R14" s="12">
        <f t="shared" si="0"/>
        <v>7</v>
      </c>
      <c r="S14" s="12">
        <f t="shared" si="1"/>
        <v>2</v>
      </c>
      <c r="T14" s="13">
        <f t="shared" si="2"/>
        <v>0.77777777777777779</v>
      </c>
      <c r="U14" s="10" t="s">
        <v>186</v>
      </c>
      <c r="V14" s="10" t="s">
        <v>187</v>
      </c>
      <c r="W14" s="10" t="s">
        <v>188</v>
      </c>
      <c r="X14" s="10" t="s">
        <v>189</v>
      </c>
      <c r="Y14" s="14">
        <v>780000</v>
      </c>
      <c r="Z14" s="10"/>
      <c r="AA14" s="11"/>
      <c r="AB14" s="11"/>
      <c r="AC14" s="10" t="s">
        <v>190</v>
      </c>
      <c r="AD14" s="11"/>
      <c r="AE14" s="10" t="s">
        <v>191</v>
      </c>
      <c r="AF14" s="10"/>
      <c r="AG14" s="12" t="str">
        <f t="shared" si="3"/>
        <v/>
      </c>
      <c r="AH14" s="15" t="str">
        <f t="shared" si="4"/>
        <v>A aguardar decisão</v>
      </c>
    </row>
    <row r="15" spans="1:34" ht="48" customHeight="1" x14ac:dyDescent="0.3">
      <c r="A15" s="10" t="s">
        <v>192</v>
      </c>
      <c r="B15" s="11">
        <v>46289</v>
      </c>
      <c r="C15" s="10" t="s">
        <v>109</v>
      </c>
      <c r="D15" s="10" t="s">
        <v>160</v>
      </c>
      <c r="E15" s="10" t="s">
        <v>193</v>
      </c>
      <c r="F15" s="10" t="s">
        <v>194</v>
      </c>
      <c r="G15" s="10" t="s">
        <v>163</v>
      </c>
      <c r="H15" s="10" t="s">
        <v>99</v>
      </c>
      <c r="I15" s="10" t="s">
        <v>100</v>
      </c>
      <c r="J15" s="10" t="s">
        <v>99</v>
      </c>
      <c r="K15" s="10" t="s">
        <v>100</v>
      </c>
      <c r="L15" s="10" t="s">
        <v>132</v>
      </c>
      <c r="M15" s="10" t="s">
        <v>99</v>
      </c>
      <c r="N15" s="10" t="s">
        <v>99</v>
      </c>
      <c r="O15" s="10" t="s">
        <v>99</v>
      </c>
      <c r="P15" s="10" t="s">
        <v>100</v>
      </c>
      <c r="Q15" s="10" t="s">
        <v>99</v>
      </c>
      <c r="R15" s="12">
        <f t="shared" si="0"/>
        <v>6</v>
      </c>
      <c r="S15" s="12">
        <f t="shared" si="1"/>
        <v>1</v>
      </c>
      <c r="T15" s="13">
        <f t="shared" si="2"/>
        <v>0.8571428571428571</v>
      </c>
      <c r="U15" s="10"/>
      <c r="V15" s="10"/>
      <c r="W15" s="10"/>
      <c r="X15" s="10"/>
      <c r="Y15" s="14">
        <v>3500</v>
      </c>
      <c r="Z15" s="10" t="s">
        <v>147</v>
      </c>
      <c r="AA15" s="11">
        <v>46289</v>
      </c>
      <c r="AB15" s="11">
        <v>46351</v>
      </c>
      <c r="AC15" s="10" t="s">
        <v>195</v>
      </c>
      <c r="AD15" s="11"/>
      <c r="AE15" s="10" t="s">
        <v>196</v>
      </c>
      <c r="AF15" s="10" t="s">
        <v>197</v>
      </c>
      <c r="AG15" s="12">
        <f t="shared" si="3"/>
        <v>0</v>
      </c>
      <c r="AH15" s="15" t="str">
        <f t="shared" si="4"/>
        <v>Implementada com avaliação incompleta</v>
      </c>
    </row>
    <row r="16" spans="1:34" ht="48" customHeight="1" x14ac:dyDescent="0.3">
      <c r="A16" s="10" t="s">
        <v>198</v>
      </c>
      <c r="B16" s="11">
        <v>46295</v>
      </c>
      <c r="C16" s="10" t="s">
        <v>94</v>
      </c>
      <c r="D16" s="10" t="s">
        <v>151</v>
      </c>
      <c r="E16" s="10" t="s">
        <v>199</v>
      </c>
      <c r="F16" s="10" t="s">
        <v>200</v>
      </c>
      <c r="G16" s="10" t="s">
        <v>98</v>
      </c>
      <c r="H16" s="10" t="s">
        <v>99</v>
      </c>
      <c r="I16" s="10" t="s">
        <v>99</v>
      </c>
      <c r="J16" s="10" t="s">
        <v>100</v>
      </c>
      <c r="K16" s="10" t="s">
        <v>100</v>
      </c>
      <c r="L16" s="10" t="s">
        <v>99</v>
      </c>
      <c r="M16" s="10" t="s">
        <v>99</v>
      </c>
      <c r="N16" s="10" t="s">
        <v>99</v>
      </c>
      <c r="O16" s="10" t="s">
        <v>100</v>
      </c>
      <c r="P16" s="10" t="s">
        <v>100</v>
      </c>
      <c r="Q16" s="10" t="s">
        <v>99</v>
      </c>
      <c r="R16" s="12">
        <f t="shared" si="0"/>
        <v>6</v>
      </c>
      <c r="S16" s="12">
        <f t="shared" si="1"/>
        <v>0</v>
      </c>
      <c r="T16" s="13">
        <f t="shared" si="2"/>
        <v>1</v>
      </c>
      <c r="U16" s="10" t="s">
        <v>201</v>
      </c>
      <c r="V16" s="10" t="s">
        <v>202</v>
      </c>
      <c r="W16" s="10" t="s">
        <v>203</v>
      </c>
      <c r="X16" s="10" t="s">
        <v>204</v>
      </c>
      <c r="Y16" s="14">
        <v>0</v>
      </c>
      <c r="Z16" s="10" t="s">
        <v>104</v>
      </c>
      <c r="AA16" s="11">
        <v>46296</v>
      </c>
      <c r="AB16" s="11">
        <v>46300</v>
      </c>
      <c r="AC16" s="10" t="s">
        <v>205</v>
      </c>
      <c r="AD16" s="11">
        <v>46376</v>
      </c>
      <c r="AE16" s="10" t="s">
        <v>106</v>
      </c>
      <c r="AF16" s="10" t="s">
        <v>206</v>
      </c>
      <c r="AG16" s="12">
        <f t="shared" si="3"/>
        <v>1</v>
      </c>
      <c r="AH16" s="15" t="str">
        <f t="shared" si="4"/>
        <v>OK</v>
      </c>
    </row>
    <row r="17" spans="1:34" ht="48" customHeight="1" x14ac:dyDescent="0.3">
      <c r="A17" s="10" t="s">
        <v>207</v>
      </c>
      <c r="B17" s="11">
        <v>46336</v>
      </c>
      <c r="C17" s="10" t="s">
        <v>94</v>
      </c>
      <c r="D17" s="10" t="s">
        <v>120</v>
      </c>
      <c r="E17" s="10" t="s">
        <v>208</v>
      </c>
      <c r="F17" s="10" t="s">
        <v>209</v>
      </c>
      <c r="G17" s="10" t="s">
        <v>210</v>
      </c>
      <c r="H17" s="10" t="s">
        <v>99</v>
      </c>
      <c r="I17" s="10" t="s">
        <v>100</v>
      </c>
      <c r="J17" s="10" t="s">
        <v>100</v>
      </c>
      <c r="K17" s="10" t="s">
        <v>100</v>
      </c>
      <c r="L17" s="10" t="s">
        <v>99</v>
      </c>
      <c r="M17" s="10" t="s">
        <v>99</v>
      </c>
      <c r="N17" s="10" t="s">
        <v>99</v>
      </c>
      <c r="O17" s="10" t="s">
        <v>100</v>
      </c>
      <c r="P17" s="10" t="s">
        <v>100</v>
      </c>
      <c r="Q17" s="10" t="s">
        <v>99</v>
      </c>
      <c r="R17" s="12">
        <f t="shared" si="0"/>
        <v>5</v>
      </c>
      <c r="S17" s="12">
        <f t="shared" si="1"/>
        <v>0</v>
      </c>
      <c r="T17" s="13">
        <f t="shared" si="2"/>
        <v>1</v>
      </c>
      <c r="U17" s="10" t="s">
        <v>211</v>
      </c>
      <c r="V17" s="10" t="s">
        <v>212</v>
      </c>
      <c r="W17" s="10" t="s">
        <v>203</v>
      </c>
      <c r="X17" s="10" t="s">
        <v>204</v>
      </c>
      <c r="Y17" s="14">
        <v>0</v>
      </c>
      <c r="Z17" s="10" t="s">
        <v>104</v>
      </c>
      <c r="AA17" s="11">
        <v>46338</v>
      </c>
      <c r="AB17" s="11">
        <v>46342</v>
      </c>
      <c r="AC17" s="10" t="s">
        <v>213</v>
      </c>
      <c r="AD17" s="11">
        <v>46365</v>
      </c>
      <c r="AE17" s="10" t="s">
        <v>106</v>
      </c>
      <c r="AF17" s="10"/>
      <c r="AG17" s="12">
        <f t="shared" si="3"/>
        <v>2</v>
      </c>
      <c r="AH17" s="15" t="str">
        <f t="shared" si="4"/>
        <v>OK</v>
      </c>
    </row>
    <row r="18" spans="1:34" ht="48" customHeight="1" x14ac:dyDescent="0.3">
      <c r="A18" s="10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2" t="str">
        <f t="shared" si="0"/>
        <v/>
      </c>
      <c r="S18" s="12" t="str">
        <f t="shared" si="1"/>
        <v/>
      </c>
      <c r="T18" s="13" t="str">
        <f t="shared" si="2"/>
        <v/>
      </c>
      <c r="U18" s="10"/>
      <c r="V18" s="10"/>
      <c r="W18" s="10"/>
      <c r="X18" s="10"/>
      <c r="Y18" s="14"/>
      <c r="Z18" s="10"/>
      <c r="AA18" s="11"/>
      <c r="AB18" s="11"/>
      <c r="AC18" s="10"/>
      <c r="AD18" s="11"/>
      <c r="AE18" s="10"/>
      <c r="AF18" s="10"/>
      <c r="AG18" s="12" t="str">
        <f t="shared" si="3"/>
        <v/>
      </c>
      <c r="AH18" s="15" t="str">
        <f t="shared" si="4"/>
        <v/>
      </c>
    </row>
    <row r="19" spans="1:34" ht="48" customHeight="1" x14ac:dyDescent="0.3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2" t="str">
        <f t="shared" si="0"/>
        <v/>
      </c>
      <c r="S19" s="12" t="str">
        <f t="shared" si="1"/>
        <v/>
      </c>
      <c r="T19" s="13" t="str">
        <f t="shared" si="2"/>
        <v/>
      </c>
      <c r="U19" s="10"/>
      <c r="V19" s="10"/>
      <c r="W19" s="10"/>
      <c r="X19" s="10"/>
      <c r="Y19" s="14"/>
      <c r="Z19" s="10"/>
      <c r="AA19" s="11"/>
      <c r="AB19" s="11"/>
      <c r="AC19" s="10"/>
      <c r="AD19" s="11"/>
      <c r="AE19" s="10"/>
      <c r="AF19" s="10"/>
      <c r="AG19" s="12" t="str">
        <f t="shared" si="3"/>
        <v/>
      </c>
      <c r="AH19" s="15" t="str">
        <f t="shared" si="4"/>
        <v/>
      </c>
    </row>
    <row r="20" spans="1:34" ht="48" customHeight="1" x14ac:dyDescent="0.3">
      <c r="A20" s="10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2" t="str">
        <f t="shared" si="0"/>
        <v/>
      </c>
      <c r="S20" s="12" t="str">
        <f t="shared" si="1"/>
        <v/>
      </c>
      <c r="T20" s="13" t="str">
        <f t="shared" si="2"/>
        <v/>
      </c>
      <c r="U20" s="10"/>
      <c r="V20" s="10"/>
      <c r="W20" s="10"/>
      <c r="X20" s="10"/>
      <c r="Y20" s="14"/>
      <c r="Z20" s="10"/>
      <c r="AA20" s="11"/>
      <c r="AB20" s="11"/>
      <c r="AC20" s="10"/>
      <c r="AD20" s="11"/>
      <c r="AE20" s="10"/>
      <c r="AF20" s="10"/>
      <c r="AG20" s="12" t="str">
        <f t="shared" si="3"/>
        <v/>
      </c>
      <c r="AH20" s="15" t="str">
        <f t="shared" si="4"/>
        <v/>
      </c>
    </row>
    <row r="21" spans="1:34" ht="48" customHeight="1" x14ac:dyDescent="0.3">
      <c r="A21" s="10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2" t="str">
        <f t="shared" si="0"/>
        <v/>
      </c>
      <c r="S21" s="12" t="str">
        <f t="shared" si="1"/>
        <v/>
      </c>
      <c r="T21" s="13" t="str">
        <f t="shared" si="2"/>
        <v/>
      </c>
      <c r="U21" s="10"/>
      <c r="V21" s="10"/>
      <c r="W21" s="10"/>
      <c r="X21" s="10"/>
      <c r="Y21" s="14"/>
      <c r="Z21" s="10"/>
      <c r="AA21" s="11"/>
      <c r="AB21" s="11"/>
      <c r="AC21" s="10"/>
      <c r="AD21" s="11"/>
      <c r="AE21" s="10"/>
      <c r="AF21" s="10"/>
      <c r="AG21" s="12" t="str">
        <f t="shared" si="3"/>
        <v/>
      </c>
      <c r="AH21" s="15" t="str">
        <f t="shared" si="4"/>
        <v/>
      </c>
    </row>
    <row r="22" spans="1:34" ht="48" customHeight="1" x14ac:dyDescent="0.3">
      <c r="A22" s="10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2" t="str">
        <f t="shared" si="0"/>
        <v/>
      </c>
      <c r="S22" s="12" t="str">
        <f t="shared" si="1"/>
        <v/>
      </c>
      <c r="T22" s="13" t="str">
        <f t="shared" si="2"/>
        <v/>
      </c>
      <c r="U22" s="10"/>
      <c r="V22" s="10"/>
      <c r="W22" s="10"/>
      <c r="X22" s="10"/>
      <c r="Y22" s="14"/>
      <c r="Z22" s="10"/>
      <c r="AA22" s="11"/>
      <c r="AB22" s="11"/>
      <c r="AC22" s="10"/>
      <c r="AD22" s="11"/>
      <c r="AE22" s="10"/>
      <c r="AF22" s="10"/>
      <c r="AG22" s="12" t="str">
        <f t="shared" si="3"/>
        <v/>
      </c>
      <c r="AH22" s="15" t="str">
        <f t="shared" si="4"/>
        <v/>
      </c>
    </row>
    <row r="23" spans="1:34" ht="48" customHeight="1" x14ac:dyDescent="0.3">
      <c r="A23" s="10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2" t="str">
        <f t="shared" si="0"/>
        <v/>
      </c>
      <c r="S23" s="12" t="str">
        <f t="shared" si="1"/>
        <v/>
      </c>
      <c r="T23" s="13" t="str">
        <f t="shared" si="2"/>
        <v/>
      </c>
      <c r="U23" s="10"/>
      <c r="V23" s="10"/>
      <c r="W23" s="10"/>
      <c r="X23" s="10"/>
      <c r="Y23" s="14"/>
      <c r="Z23" s="10"/>
      <c r="AA23" s="11"/>
      <c r="AB23" s="11"/>
      <c r="AC23" s="10"/>
      <c r="AD23" s="11"/>
      <c r="AE23" s="10"/>
      <c r="AF23" s="10"/>
      <c r="AG23" s="12" t="str">
        <f t="shared" si="3"/>
        <v/>
      </c>
      <c r="AH23" s="15" t="str">
        <f t="shared" si="4"/>
        <v/>
      </c>
    </row>
    <row r="24" spans="1:34" ht="48" customHeight="1" x14ac:dyDescent="0.3">
      <c r="A24" s="10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2" t="str">
        <f t="shared" si="0"/>
        <v/>
      </c>
      <c r="S24" s="12" t="str">
        <f t="shared" si="1"/>
        <v/>
      </c>
      <c r="T24" s="13" t="str">
        <f t="shared" si="2"/>
        <v/>
      </c>
      <c r="U24" s="10"/>
      <c r="V24" s="10"/>
      <c r="W24" s="10"/>
      <c r="X24" s="10"/>
      <c r="Y24" s="14"/>
      <c r="Z24" s="10"/>
      <c r="AA24" s="11"/>
      <c r="AB24" s="11"/>
      <c r="AC24" s="10"/>
      <c r="AD24" s="11"/>
      <c r="AE24" s="10"/>
      <c r="AF24" s="10"/>
      <c r="AG24" s="12" t="str">
        <f t="shared" si="3"/>
        <v/>
      </c>
      <c r="AH24" s="15" t="str">
        <f t="shared" si="4"/>
        <v/>
      </c>
    </row>
    <row r="25" spans="1:34" ht="48" customHeight="1" x14ac:dyDescent="0.3">
      <c r="A25" s="10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2" t="str">
        <f t="shared" si="0"/>
        <v/>
      </c>
      <c r="S25" s="12" t="str">
        <f t="shared" si="1"/>
        <v/>
      </c>
      <c r="T25" s="13" t="str">
        <f t="shared" si="2"/>
        <v/>
      </c>
      <c r="U25" s="10"/>
      <c r="V25" s="10"/>
      <c r="W25" s="10"/>
      <c r="X25" s="10"/>
      <c r="Y25" s="14"/>
      <c r="Z25" s="10"/>
      <c r="AA25" s="11"/>
      <c r="AB25" s="11"/>
      <c r="AC25" s="10"/>
      <c r="AD25" s="11"/>
      <c r="AE25" s="10"/>
      <c r="AF25" s="10"/>
      <c r="AG25" s="12" t="str">
        <f t="shared" si="3"/>
        <v/>
      </c>
      <c r="AH25" s="15" t="str">
        <f t="shared" si="4"/>
        <v/>
      </c>
    </row>
    <row r="26" spans="1:34" ht="48" customHeight="1" x14ac:dyDescent="0.3">
      <c r="A26" s="10"/>
      <c r="B26" s="1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2" t="str">
        <f t="shared" si="0"/>
        <v/>
      </c>
      <c r="S26" s="12" t="str">
        <f t="shared" si="1"/>
        <v/>
      </c>
      <c r="T26" s="13" t="str">
        <f t="shared" si="2"/>
        <v/>
      </c>
      <c r="U26" s="10"/>
      <c r="V26" s="10"/>
      <c r="W26" s="10"/>
      <c r="X26" s="10"/>
      <c r="Y26" s="14"/>
      <c r="Z26" s="10"/>
      <c r="AA26" s="11"/>
      <c r="AB26" s="11"/>
      <c r="AC26" s="10"/>
      <c r="AD26" s="11"/>
      <c r="AE26" s="10"/>
      <c r="AF26" s="10"/>
      <c r="AG26" s="12" t="str">
        <f t="shared" si="3"/>
        <v/>
      </c>
      <c r="AH26" s="15" t="str">
        <f t="shared" si="4"/>
        <v/>
      </c>
    </row>
    <row r="27" spans="1:34" ht="48" customHeight="1" x14ac:dyDescent="0.3">
      <c r="A27" s="10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2" t="str">
        <f t="shared" si="0"/>
        <v/>
      </c>
      <c r="S27" s="12" t="str">
        <f t="shared" si="1"/>
        <v/>
      </c>
      <c r="T27" s="13" t="str">
        <f t="shared" si="2"/>
        <v/>
      </c>
      <c r="U27" s="10"/>
      <c r="V27" s="10"/>
      <c r="W27" s="10"/>
      <c r="X27" s="10"/>
      <c r="Y27" s="14"/>
      <c r="Z27" s="10"/>
      <c r="AA27" s="11"/>
      <c r="AB27" s="11"/>
      <c r="AC27" s="10"/>
      <c r="AD27" s="11"/>
      <c r="AE27" s="10"/>
      <c r="AF27" s="10"/>
      <c r="AG27" s="12" t="str">
        <f t="shared" si="3"/>
        <v/>
      </c>
      <c r="AH27" s="15" t="str">
        <f t="shared" si="4"/>
        <v/>
      </c>
    </row>
    <row r="28" spans="1:34" ht="48" customHeight="1" x14ac:dyDescent="0.3">
      <c r="A28" s="10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2" t="str">
        <f t="shared" si="0"/>
        <v/>
      </c>
      <c r="S28" s="12" t="str">
        <f t="shared" si="1"/>
        <v/>
      </c>
      <c r="T28" s="13" t="str">
        <f t="shared" si="2"/>
        <v/>
      </c>
      <c r="U28" s="10"/>
      <c r="V28" s="10"/>
      <c r="W28" s="10"/>
      <c r="X28" s="10"/>
      <c r="Y28" s="14"/>
      <c r="Z28" s="10"/>
      <c r="AA28" s="11"/>
      <c r="AB28" s="11"/>
      <c r="AC28" s="10"/>
      <c r="AD28" s="11"/>
      <c r="AE28" s="10"/>
      <c r="AF28" s="10"/>
      <c r="AG28" s="12" t="str">
        <f t="shared" si="3"/>
        <v/>
      </c>
      <c r="AH28" s="15" t="str">
        <f t="shared" si="4"/>
        <v/>
      </c>
    </row>
    <row r="29" spans="1:34" ht="48" customHeight="1" x14ac:dyDescent="0.3">
      <c r="A29" s="10"/>
      <c r="B29" s="11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2" t="str">
        <f t="shared" si="0"/>
        <v/>
      </c>
      <c r="S29" s="12" t="str">
        <f t="shared" si="1"/>
        <v/>
      </c>
      <c r="T29" s="13" t="str">
        <f t="shared" si="2"/>
        <v/>
      </c>
      <c r="U29" s="10"/>
      <c r="V29" s="10"/>
      <c r="W29" s="10"/>
      <c r="X29" s="10"/>
      <c r="Y29" s="14"/>
      <c r="Z29" s="10"/>
      <c r="AA29" s="11"/>
      <c r="AB29" s="11"/>
      <c r="AC29" s="10"/>
      <c r="AD29" s="11"/>
      <c r="AE29" s="10"/>
      <c r="AF29" s="10"/>
      <c r="AG29" s="12" t="str">
        <f t="shared" si="3"/>
        <v/>
      </c>
      <c r="AH29" s="15" t="str">
        <f t="shared" si="4"/>
        <v/>
      </c>
    </row>
    <row r="30" spans="1:34" ht="48" customHeight="1" x14ac:dyDescent="0.3">
      <c r="A30" s="10"/>
      <c r="B30" s="11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2" t="str">
        <f t="shared" si="0"/>
        <v/>
      </c>
      <c r="S30" s="12" t="str">
        <f t="shared" si="1"/>
        <v/>
      </c>
      <c r="T30" s="13" t="str">
        <f t="shared" si="2"/>
        <v/>
      </c>
      <c r="U30" s="10"/>
      <c r="V30" s="10"/>
      <c r="W30" s="10"/>
      <c r="X30" s="10"/>
      <c r="Y30" s="14"/>
      <c r="Z30" s="10"/>
      <c r="AA30" s="11"/>
      <c r="AB30" s="11"/>
      <c r="AC30" s="10"/>
      <c r="AD30" s="11"/>
      <c r="AE30" s="10"/>
      <c r="AF30" s="10"/>
      <c r="AG30" s="12" t="str">
        <f t="shared" si="3"/>
        <v/>
      </c>
      <c r="AH30" s="15" t="str">
        <f t="shared" si="4"/>
        <v/>
      </c>
    </row>
    <row r="31" spans="1:34" ht="48" customHeight="1" x14ac:dyDescent="0.3">
      <c r="A31" s="10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2" t="str">
        <f t="shared" si="0"/>
        <v/>
      </c>
      <c r="S31" s="12" t="str">
        <f t="shared" si="1"/>
        <v/>
      </c>
      <c r="T31" s="13" t="str">
        <f t="shared" si="2"/>
        <v/>
      </c>
      <c r="U31" s="10"/>
      <c r="V31" s="10"/>
      <c r="W31" s="10"/>
      <c r="X31" s="10"/>
      <c r="Y31" s="14"/>
      <c r="Z31" s="10"/>
      <c r="AA31" s="11"/>
      <c r="AB31" s="11"/>
      <c r="AC31" s="10"/>
      <c r="AD31" s="11"/>
      <c r="AE31" s="10"/>
      <c r="AF31" s="10"/>
      <c r="AG31" s="12" t="str">
        <f t="shared" si="3"/>
        <v/>
      </c>
      <c r="AH31" s="15" t="str">
        <f t="shared" si="4"/>
        <v/>
      </c>
    </row>
    <row r="32" spans="1:34" ht="48" customHeight="1" x14ac:dyDescent="0.3">
      <c r="A32" s="10"/>
      <c r="B32" s="11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2" t="str">
        <f t="shared" si="0"/>
        <v/>
      </c>
      <c r="S32" s="12" t="str">
        <f t="shared" si="1"/>
        <v/>
      </c>
      <c r="T32" s="13" t="str">
        <f t="shared" si="2"/>
        <v/>
      </c>
      <c r="U32" s="10"/>
      <c r="V32" s="10"/>
      <c r="W32" s="10"/>
      <c r="X32" s="10"/>
      <c r="Y32" s="14"/>
      <c r="Z32" s="10"/>
      <c r="AA32" s="11"/>
      <c r="AB32" s="11"/>
      <c r="AC32" s="10"/>
      <c r="AD32" s="11"/>
      <c r="AE32" s="10"/>
      <c r="AF32" s="10"/>
      <c r="AG32" s="12" t="str">
        <f t="shared" si="3"/>
        <v/>
      </c>
      <c r="AH32" s="15" t="str">
        <f t="shared" si="4"/>
        <v/>
      </c>
    </row>
    <row r="33" spans="1:34" ht="48" customHeight="1" x14ac:dyDescent="0.3">
      <c r="A33" s="10"/>
      <c r="B33" s="11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2" t="str">
        <f t="shared" si="0"/>
        <v/>
      </c>
      <c r="S33" s="12" t="str">
        <f t="shared" si="1"/>
        <v/>
      </c>
      <c r="T33" s="13" t="str">
        <f t="shared" si="2"/>
        <v/>
      </c>
      <c r="U33" s="10"/>
      <c r="V33" s="10"/>
      <c r="W33" s="10"/>
      <c r="X33" s="10"/>
      <c r="Y33" s="14"/>
      <c r="Z33" s="10"/>
      <c r="AA33" s="11"/>
      <c r="AB33" s="11"/>
      <c r="AC33" s="10"/>
      <c r="AD33" s="11"/>
      <c r="AE33" s="10"/>
      <c r="AF33" s="10"/>
      <c r="AG33" s="12" t="str">
        <f t="shared" si="3"/>
        <v/>
      </c>
      <c r="AH33" s="15" t="str">
        <f t="shared" si="4"/>
        <v/>
      </c>
    </row>
    <row r="34" spans="1:34" ht="48" customHeight="1" x14ac:dyDescent="0.3">
      <c r="A34" s="10"/>
      <c r="B34" s="11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2" t="str">
        <f t="shared" si="0"/>
        <v/>
      </c>
      <c r="S34" s="12" t="str">
        <f t="shared" si="1"/>
        <v/>
      </c>
      <c r="T34" s="13" t="str">
        <f t="shared" si="2"/>
        <v/>
      </c>
      <c r="U34" s="10"/>
      <c r="V34" s="10"/>
      <c r="W34" s="10"/>
      <c r="X34" s="10"/>
      <c r="Y34" s="14"/>
      <c r="Z34" s="10"/>
      <c r="AA34" s="11"/>
      <c r="AB34" s="11"/>
      <c r="AC34" s="10"/>
      <c r="AD34" s="11"/>
      <c r="AE34" s="10"/>
      <c r="AF34" s="10"/>
      <c r="AG34" s="12" t="str">
        <f t="shared" si="3"/>
        <v/>
      </c>
      <c r="AH34" s="15" t="str">
        <f t="shared" si="4"/>
        <v/>
      </c>
    </row>
    <row r="35" spans="1:34" ht="48" customHeight="1" x14ac:dyDescent="0.3">
      <c r="A35" s="10"/>
      <c r="B35" s="1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2" t="str">
        <f t="shared" si="0"/>
        <v/>
      </c>
      <c r="S35" s="12" t="str">
        <f t="shared" si="1"/>
        <v/>
      </c>
      <c r="T35" s="13" t="str">
        <f t="shared" si="2"/>
        <v/>
      </c>
      <c r="U35" s="10"/>
      <c r="V35" s="10"/>
      <c r="W35" s="10"/>
      <c r="X35" s="10"/>
      <c r="Y35" s="14"/>
      <c r="Z35" s="10"/>
      <c r="AA35" s="11"/>
      <c r="AB35" s="11"/>
      <c r="AC35" s="10"/>
      <c r="AD35" s="11"/>
      <c r="AE35" s="10"/>
      <c r="AF35" s="10"/>
      <c r="AG35" s="12" t="str">
        <f t="shared" si="3"/>
        <v/>
      </c>
      <c r="AH35" s="15" t="str">
        <f t="shared" si="4"/>
        <v/>
      </c>
    </row>
    <row r="36" spans="1:34" ht="48" customHeight="1" x14ac:dyDescent="0.3">
      <c r="A36" s="10"/>
      <c r="B36" s="1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2" t="str">
        <f t="shared" si="0"/>
        <v/>
      </c>
      <c r="S36" s="12" t="str">
        <f t="shared" si="1"/>
        <v/>
      </c>
      <c r="T36" s="13" t="str">
        <f t="shared" si="2"/>
        <v/>
      </c>
      <c r="U36" s="10"/>
      <c r="V36" s="10"/>
      <c r="W36" s="10"/>
      <c r="X36" s="10"/>
      <c r="Y36" s="14"/>
      <c r="Z36" s="10"/>
      <c r="AA36" s="11"/>
      <c r="AB36" s="11"/>
      <c r="AC36" s="10"/>
      <c r="AD36" s="11"/>
      <c r="AE36" s="10"/>
      <c r="AF36" s="10"/>
      <c r="AG36" s="12" t="str">
        <f t="shared" si="3"/>
        <v/>
      </c>
      <c r="AH36" s="15" t="str">
        <f t="shared" si="4"/>
        <v/>
      </c>
    </row>
    <row r="37" spans="1:34" ht="48" customHeight="1" x14ac:dyDescent="0.3">
      <c r="A37" s="10"/>
      <c r="B37" s="1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2" t="str">
        <f t="shared" ref="R37:R68" si="5">IF(A37="","",(H37="Sim")+(I37="Sim")+(J37="Sim")+(K37="Sim")+(L37="Sim")+(M37="Sim")+(N37="Sim")+(O37="Sim")+(P37="Sim")+(Q37="Sim"))</f>
        <v/>
      </c>
      <c r="S37" s="12" t="str">
        <f t="shared" ref="S37:S57" si="6">IF(A37="","",(H37="Não")+(I37="Não")+(J37="Não")+(K37="Não")+(L37="Não")+(M37="Não")+(N37="Não")+(O37="Não")+(P37="Não")+(Q37="Não"))</f>
        <v/>
      </c>
      <c r="T37" s="13" t="str">
        <f t="shared" ref="T37:T68" si="7">IF(A37="","",IFERROR(R37/(R37+S37),""))</f>
        <v/>
      </c>
      <c r="U37" s="10"/>
      <c r="V37" s="10"/>
      <c r="W37" s="10"/>
      <c r="X37" s="10"/>
      <c r="Y37" s="14"/>
      <c r="Z37" s="10"/>
      <c r="AA37" s="11"/>
      <c r="AB37" s="11"/>
      <c r="AC37" s="10"/>
      <c r="AD37" s="11"/>
      <c r="AE37" s="10"/>
      <c r="AF37" s="10"/>
      <c r="AG37" s="12" t="str">
        <f t="shared" ref="AG37:AG57" si="8">IF(OR(AA37="",B37=""),"",AA37-B37)</f>
        <v/>
      </c>
      <c r="AH37" s="15" t="str">
        <f t="shared" ref="AH37:AH57" si="9">IF(A37="","",IF(AND(AB37&lt;&gt;"",N(S37)&gt;0),"Implementada com avaliação incompleta",IF(AND(AB37&lt;&gt;"",AD37=""),"Verificação pós em falta",IF(AND(AB37="",AA37=""),"A aguardar decisão","OK"))))</f>
        <v/>
      </c>
    </row>
    <row r="38" spans="1:34" ht="48" customHeight="1" x14ac:dyDescent="0.3">
      <c r="A38" s="10"/>
      <c r="B38" s="1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2" t="str">
        <f t="shared" si="5"/>
        <v/>
      </c>
      <c r="S38" s="12" t="str">
        <f t="shared" si="6"/>
        <v/>
      </c>
      <c r="T38" s="13" t="str">
        <f t="shared" si="7"/>
        <v/>
      </c>
      <c r="U38" s="10"/>
      <c r="V38" s="10"/>
      <c r="W38" s="10"/>
      <c r="X38" s="10"/>
      <c r="Y38" s="14"/>
      <c r="Z38" s="10"/>
      <c r="AA38" s="11"/>
      <c r="AB38" s="11"/>
      <c r="AC38" s="10"/>
      <c r="AD38" s="11"/>
      <c r="AE38" s="10"/>
      <c r="AF38" s="10"/>
      <c r="AG38" s="12" t="str">
        <f t="shared" si="8"/>
        <v/>
      </c>
      <c r="AH38" s="15" t="str">
        <f t="shared" si="9"/>
        <v/>
      </c>
    </row>
    <row r="39" spans="1:34" ht="48" customHeight="1" x14ac:dyDescent="0.3">
      <c r="A39" s="10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2" t="str">
        <f t="shared" si="5"/>
        <v/>
      </c>
      <c r="S39" s="12" t="str">
        <f t="shared" si="6"/>
        <v/>
      </c>
      <c r="T39" s="13" t="str">
        <f t="shared" si="7"/>
        <v/>
      </c>
      <c r="U39" s="10"/>
      <c r="V39" s="10"/>
      <c r="W39" s="10"/>
      <c r="X39" s="10"/>
      <c r="Y39" s="14"/>
      <c r="Z39" s="10"/>
      <c r="AA39" s="11"/>
      <c r="AB39" s="11"/>
      <c r="AC39" s="10"/>
      <c r="AD39" s="11"/>
      <c r="AE39" s="10"/>
      <c r="AF39" s="10"/>
      <c r="AG39" s="12" t="str">
        <f t="shared" si="8"/>
        <v/>
      </c>
      <c r="AH39" s="15" t="str">
        <f t="shared" si="9"/>
        <v/>
      </c>
    </row>
    <row r="40" spans="1:34" ht="48" customHeight="1" x14ac:dyDescent="0.3">
      <c r="A40" s="10"/>
      <c r="B40" s="11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2" t="str">
        <f t="shared" si="5"/>
        <v/>
      </c>
      <c r="S40" s="12" t="str">
        <f t="shared" si="6"/>
        <v/>
      </c>
      <c r="T40" s="13" t="str">
        <f t="shared" si="7"/>
        <v/>
      </c>
      <c r="U40" s="10"/>
      <c r="V40" s="10"/>
      <c r="W40" s="10"/>
      <c r="X40" s="10"/>
      <c r="Y40" s="14"/>
      <c r="Z40" s="10"/>
      <c r="AA40" s="11"/>
      <c r="AB40" s="11"/>
      <c r="AC40" s="10"/>
      <c r="AD40" s="11"/>
      <c r="AE40" s="10"/>
      <c r="AF40" s="10"/>
      <c r="AG40" s="12" t="str">
        <f t="shared" si="8"/>
        <v/>
      </c>
      <c r="AH40" s="15" t="str">
        <f t="shared" si="9"/>
        <v/>
      </c>
    </row>
    <row r="41" spans="1:34" ht="48" customHeight="1" x14ac:dyDescent="0.3">
      <c r="A41" s="10"/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2" t="str">
        <f t="shared" si="5"/>
        <v/>
      </c>
      <c r="S41" s="12" t="str">
        <f t="shared" si="6"/>
        <v/>
      </c>
      <c r="T41" s="13" t="str">
        <f t="shared" si="7"/>
        <v/>
      </c>
      <c r="U41" s="10"/>
      <c r="V41" s="10"/>
      <c r="W41" s="10"/>
      <c r="X41" s="10"/>
      <c r="Y41" s="14"/>
      <c r="Z41" s="10"/>
      <c r="AA41" s="11"/>
      <c r="AB41" s="11"/>
      <c r="AC41" s="10"/>
      <c r="AD41" s="11"/>
      <c r="AE41" s="10"/>
      <c r="AF41" s="10"/>
      <c r="AG41" s="12" t="str">
        <f t="shared" si="8"/>
        <v/>
      </c>
      <c r="AH41" s="15" t="str">
        <f t="shared" si="9"/>
        <v/>
      </c>
    </row>
    <row r="42" spans="1:34" ht="48" customHeight="1" x14ac:dyDescent="0.3">
      <c r="A42" s="10"/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2" t="str">
        <f t="shared" si="5"/>
        <v/>
      </c>
      <c r="S42" s="12" t="str">
        <f t="shared" si="6"/>
        <v/>
      </c>
      <c r="T42" s="13" t="str">
        <f t="shared" si="7"/>
        <v/>
      </c>
      <c r="U42" s="10"/>
      <c r="V42" s="10"/>
      <c r="W42" s="10"/>
      <c r="X42" s="10"/>
      <c r="Y42" s="14"/>
      <c r="Z42" s="10"/>
      <c r="AA42" s="11"/>
      <c r="AB42" s="11"/>
      <c r="AC42" s="10"/>
      <c r="AD42" s="11"/>
      <c r="AE42" s="10"/>
      <c r="AF42" s="10"/>
      <c r="AG42" s="12" t="str">
        <f t="shared" si="8"/>
        <v/>
      </c>
      <c r="AH42" s="15" t="str">
        <f t="shared" si="9"/>
        <v/>
      </c>
    </row>
    <row r="43" spans="1:34" ht="48" customHeight="1" x14ac:dyDescent="0.3">
      <c r="A43" s="10"/>
      <c r="B43" s="11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2" t="str">
        <f t="shared" si="5"/>
        <v/>
      </c>
      <c r="S43" s="12" t="str">
        <f t="shared" si="6"/>
        <v/>
      </c>
      <c r="T43" s="13" t="str">
        <f t="shared" si="7"/>
        <v/>
      </c>
      <c r="U43" s="10"/>
      <c r="V43" s="10"/>
      <c r="W43" s="10"/>
      <c r="X43" s="10"/>
      <c r="Y43" s="14"/>
      <c r="Z43" s="10"/>
      <c r="AA43" s="11"/>
      <c r="AB43" s="11"/>
      <c r="AC43" s="10"/>
      <c r="AD43" s="11"/>
      <c r="AE43" s="10"/>
      <c r="AF43" s="10"/>
      <c r="AG43" s="12" t="str">
        <f t="shared" si="8"/>
        <v/>
      </c>
      <c r="AH43" s="15" t="str">
        <f t="shared" si="9"/>
        <v/>
      </c>
    </row>
    <row r="44" spans="1:34" ht="48" customHeight="1" x14ac:dyDescent="0.3">
      <c r="A44" s="10"/>
      <c r="B44" s="11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2" t="str">
        <f t="shared" si="5"/>
        <v/>
      </c>
      <c r="S44" s="12" t="str">
        <f t="shared" si="6"/>
        <v/>
      </c>
      <c r="T44" s="13" t="str">
        <f t="shared" si="7"/>
        <v/>
      </c>
      <c r="U44" s="10"/>
      <c r="V44" s="10"/>
      <c r="W44" s="10"/>
      <c r="X44" s="10"/>
      <c r="Y44" s="14"/>
      <c r="Z44" s="10"/>
      <c r="AA44" s="11"/>
      <c r="AB44" s="11"/>
      <c r="AC44" s="10"/>
      <c r="AD44" s="11"/>
      <c r="AE44" s="10"/>
      <c r="AF44" s="10"/>
      <c r="AG44" s="12" t="str">
        <f t="shared" si="8"/>
        <v/>
      </c>
      <c r="AH44" s="15" t="str">
        <f t="shared" si="9"/>
        <v/>
      </c>
    </row>
    <row r="45" spans="1:34" ht="48" customHeight="1" x14ac:dyDescent="0.3">
      <c r="A45" s="10"/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2" t="str">
        <f t="shared" si="5"/>
        <v/>
      </c>
      <c r="S45" s="12" t="str">
        <f t="shared" si="6"/>
        <v/>
      </c>
      <c r="T45" s="13" t="str">
        <f t="shared" si="7"/>
        <v/>
      </c>
      <c r="U45" s="10"/>
      <c r="V45" s="10"/>
      <c r="W45" s="10"/>
      <c r="X45" s="10"/>
      <c r="Y45" s="14"/>
      <c r="Z45" s="10"/>
      <c r="AA45" s="11"/>
      <c r="AB45" s="11"/>
      <c r="AC45" s="10"/>
      <c r="AD45" s="11"/>
      <c r="AE45" s="10"/>
      <c r="AF45" s="10"/>
      <c r="AG45" s="12" t="str">
        <f t="shared" si="8"/>
        <v/>
      </c>
      <c r="AH45" s="15" t="str">
        <f t="shared" si="9"/>
        <v/>
      </c>
    </row>
    <row r="46" spans="1:34" ht="48" customHeight="1" x14ac:dyDescent="0.3">
      <c r="A46" s="10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2" t="str">
        <f t="shared" si="5"/>
        <v/>
      </c>
      <c r="S46" s="12" t="str">
        <f t="shared" si="6"/>
        <v/>
      </c>
      <c r="T46" s="13" t="str">
        <f t="shared" si="7"/>
        <v/>
      </c>
      <c r="U46" s="10"/>
      <c r="V46" s="10"/>
      <c r="W46" s="10"/>
      <c r="X46" s="10"/>
      <c r="Y46" s="14"/>
      <c r="Z46" s="10"/>
      <c r="AA46" s="11"/>
      <c r="AB46" s="11"/>
      <c r="AC46" s="10"/>
      <c r="AD46" s="11"/>
      <c r="AE46" s="10"/>
      <c r="AF46" s="10"/>
      <c r="AG46" s="12" t="str">
        <f t="shared" si="8"/>
        <v/>
      </c>
      <c r="AH46" s="15" t="str">
        <f t="shared" si="9"/>
        <v/>
      </c>
    </row>
    <row r="47" spans="1:34" ht="48" customHeight="1" x14ac:dyDescent="0.3">
      <c r="A47" s="10"/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2" t="str">
        <f t="shared" si="5"/>
        <v/>
      </c>
      <c r="S47" s="12" t="str">
        <f t="shared" si="6"/>
        <v/>
      </c>
      <c r="T47" s="13" t="str">
        <f t="shared" si="7"/>
        <v/>
      </c>
      <c r="U47" s="10"/>
      <c r="V47" s="10"/>
      <c r="W47" s="10"/>
      <c r="X47" s="10"/>
      <c r="Y47" s="14"/>
      <c r="Z47" s="10"/>
      <c r="AA47" s="11"/>
      <c r="AB47" s="11"/>
      <c r="AC47" s="10"/>
      <c r="AD47" s="11"/>
      <c r="AE47" s="10"/>
      <c r="AF47" s="10"/>
      <c r="AG47" s="12" t="str">
        <f t="shared" si="8"/>
        <v/>
      </c>
      <c r="AH47" s="15" t="str">
        <f t="shared" si="9"/>
        <v/>
      </c>
    </row>
    <row r="48" spans="1:34" ht="48" customHeight="1" x14ac:dyDescent="0.3">
      <c r="A48" s="10"/>
      <c r="B48" s="11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2" t="str">
        <f t="shared" si="5"/>
        <v/>
      </c>
      <c r="S48" s="12" t="str">
        <f t="shared" si="6"/>
        <v/>
      </c>
      <c r="T48" s="13" t="str">
        <f t="shared" si="7"/>
        <v/>
      </c>
      <c r="U48" s="10"/>
      <c r="V48" s="10"/>
      <c r="W48" s="10"/>
      <c r="X48" s="10"/>
      <c r="Y48" s="14"/>
      <c r="Z48" s="10"/>
      <c r="AA48" s="11"/>
      <c r="AB48" s="11"/>
      <c r="AC48" s="10"/>
      <c r="AD48" s="11"/>
      <c r="AE48" s="10"/>
      <c r="AF48" s="10"/>
      <c r="AG48" s="12" t="str">
        <f t="shared" si="8"/>
        <v/>
      </c>
      <c r="AH48" s="15" t="str">
        <f t="shared" si="9"/>
        <v/>
      </c>
    </row>
    <row r="49" spans="1:34" ht="48" customHeight="1" x14ac:dyDescent="0.3">
      <c r="A49" s="10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2" t="str">
        <f t="shared" si="5"/>
        <v/>
      </c>
      <c r="S49" s="12" t="str">
        <f t="shared" si="6"/>
        <v/>
      </c>
      <c r="T49" s="13" t="str">
        <f t="shared" si="7"/>
        <v/>
      </c>
      <c r="U49" s="10"/>
      <c r="V49" s="10"/>
      <c r="W49" s="10"/>
      <c r="X49" s="10"/>
      <c r="Y49" s="14"/>
      <c r="Z49" s="10"/>
      <c r="AA49" s="11"/>
      <c r="AB49" s="11"/>
      <c r="AC49" s="10"/>
      <c r="AD49" s="11"/>
      <c r="AE49" s="10"/>
      <c r="AF49" s="10"/>
      <c r="AG49" s="12" t="str">
        <f t="shared" si="8"/>
        <v/>
      </c>
      <c r="AH49" s="15" t="str">
        <f t="shared" si="9"/>
        <v/>
      </c>
    </row>
    <row r="50" spans="1:34" ht="48" customHeight="1" x14ac:dyDescent="0.3">
      <c r="A50" s="10"/>
      <c r="B50" s="11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2" t="str">
        <f t="shared" si="5"/>
        <v/>
      </c>
      <c r="S50" s="12" t="str">
        <f t="shared" si="6"/>
        <v/>
      </c>
      <c r="T50" s="13" t="str">
        <f t="shared" si="7"/>
        <v/>
      </c>
      <c r="U50" s="10"/>
      <c r="V50" s="10"/>
      <c r="W50" s="10"/>
      <c r="X50" s="10"/>
      <c r="Y50" s="14"/>
      <c r="Z50" s="10"/>
      <c r="AA50" s="11"/>
      <c r="AB50" s="11"/>
      <c r="AC50" s="10"/>
      <c r="AD50" s="11"/>
      <c r="AE50" s="10"/>
      <c r="AF50" s="10"/>
      <c r="AG50" s="12" t="str">
        <f t="shared" si="8"/>
        <v/>
      </c>
      <c r="AH50" s="15" t="str">
        <f t="shared" si="9"/>
        <v/>
      </c>
    </row>
    <row r="51" spans="1:34" ht="48" customHeight="1" x14ac:dyDescent="0.3">
      <c r="A51" s="10"/>
      <c r="B51" s="11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2" t="str">
        <f t="shared" si="5"/>
        <v/>
      </c>
      <c r="S51" s="12" t="str">
        <f t="shared" si="6"/>
        <v/>
      </c>
      <c r="T51" s="13" t="str">
        <f t="shared" si="7"/>
        <v/>
      </c>
      <c r="U51" s="10"/>
      <c r="V51" s="10"/>
      <c r="W51" s="10"/>
      <c r="X51" s="10"/>
      <c r="Y51" s="14"/>
      <c r="Z51" s="10"/>
      <c r="AA51" s="11"/>
      <c r="AB51" s="11"/>
      <c r="AC51" s="10"/>
      <c r="AD51" s="11"/>
      <c r="AE51" s="10"/>
      <c r="AF51" s="10"/>
      <c r="AG51" s="12" t="str">
        <f t="shared" si="8"/>
        <v/>
      </c>
      <c r="AH51" s="15" t="str">
        <f t="shared" si="9"/>
        <v/>
      </c>
    </row>
    <row r="52" spans="1:34" ht="48" customHeight="1" x14ac:dyDescent="0.3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2" t="str">
        <f t="shared" si="5"/>
        <v/>
      </c>
      <c r="S52" s="12" t="str">
        <f t="shared" si="6"/>
        <v/>
      </c>
      <c r="T52" s="13" t="str">
        <f t="shared" si="7"/>
        <v/>
      </c>
      <c r="U52" s="10"/>
      <c r="V52" s="10"/>
      <c r="W52" s="10"/>
      <c r="X52" s="10"/>
      <c r="Y52" s="14"/>
      <c r="Z52" s="10"/>
      <c r="AA52" s="11"/>
      <c r="AB52" s="11"/>
      <c r="AC52" s="10"/>
      <c r="AD52" s="11"/>
      <c r="AE52" s="10"/>
      <c r="AF52" s="10"/>
      <c r="AG52" s="12" t="str">
        <f t="shared" si="8"/>
        <v/>
      </c>
      <c r="AH52" s="15" t="str">
        <f t="shared" si="9"/>
        <v/>
      </c>
    </row>
    <row r="53" spans="1:34" ht="48" customHeight="1" x14ac:dyDescent="0.3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2" t="str">
        <f t="shared" si="5"/>
        <v/>
      </c>
      <c r="S53" s="12" t="str">
        <f t="shared" si="6"/>
        <v/>
      </c>
      <c r="T53" s="13" t="str">
        <f t="shared" si="7"/>
        <v/>
      </c>
      <c r="U53" s="10"/>
      <c r="V53" s="10"/>
      <c r="W53" s="10"/>
      <c r="X53" s="10"/>
      <c r="Y53" s="14"/>
      <c r="Z53" s="10"/>
      <c r="AA53" s="11"/>
      <c r="AB53" s="11"/>
      <c r="AC53" s="10"/>
      <c r="AD53" s="11"/>
      <c r="AE53" s="10"/>
      <c r="AF53" s="10"/>
      <c r="AG53" s="12" t="str">
        <f t="shared" si="8"/>
        <v/>
      </c>
      <c r="AH53" s="15" t="str">
        <f t="shared" si="9"/>
        <v/>
      </c>
    </row>
    <row r="54" spans="1:34" ht="48" customHeight="1" x14ac:dyDescent="0.3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2" t="str">
        <f t="shared" si="5"/>
        <v/>
      </c>
      <c r="S54" s="12" t="str">
        <f t="shared" si="6"/>
        <v/>
      </c>
      <c r="T54" s="13" t="str">
        <f t="shared" si="7"/>
        <v/>
      </c>
      <c r="U54" s="10"/>
      <c r="V54" s="10"/>
      <c r="W54" s="10"/>
      <c r="X54" s="10"/>
      <c r="Y54" s="14"/>
      <c r="Z54" s="10"/>
      <c r="AA54" s="11"/>
      <c r="AB54" s="11"/>
      <c r="AC54" s="10"/>
      <c r="AD54" s="11"/>
      <c r="AE54" s="10"/>
      <c r="AF54" s="10"/>
      <c r="AG54" s="12" t="str">
        <f t="shared" si="8"/>
        <v/>
      </c>
      <c r="AH54" s="15" t="str">
        <f t="shared" si="9"/>
        <v/>
      </c>
    </row>
    <row r="55" spans="1:34" ht="48" customHeight="1" x14ac:dyDescent="0.3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2" t="str">
        <f t="shared" si="5"/>
        <v/>
      </c>
      <c r="S55" s="12" t="str">
        <f t="shared" si="6"/>
        <v/>
      </c>
      <c r="T55" s="13" t="str">
        <f t="shared" si="7"/>
        <v/>
      </c>
      <c r="U55" s="10"/>
      <c r="V55" s="10"/>
      <c r="W55" s="10"/>
      <c r="X55" s="10"/>
      <c r="Y55" s="14"/>
      <c r="Z55" s="10"/>
      <c r="AA55" s="11"/>
      <c r="AB55" s="11"/>
      <c r="AC55" s="10"/>
      <c r="AD55" s="11"/>
      <c r="AE55" s="10"/>
      <c r="AF55" s="10"/>
      <c r="AG55" s="12" t="str">
        <f t="shared" si="8"/>
        <v/>
      </c>
      <c r="AH55" s="15" t="str">
        <f t="shared" si="9"/>
        <v/>
      </c>
    </row>
    <row r="56" spans="1:34" ht="48" customHeight="1" x14ac:dyDescent="0.3">
      <c r="A56" s="10"/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2" t="str">
        <f t="shared" si="5"/>
        <v/>
      </c>
      <c r="S56" s="12" t="str">
        <f t="shared" si="6"/>
        <v/>
      </c>
      <c r="T56" s="13" t="str">
        <f t="shared" si="7"/>
        <v/>
      </c>
      <c r="U56" s="10"/>
      <c r="V56" s="10"/>
      <c r="W56" s="10"/>
      <c r="X56" s="10"/>
      <c r="Y56" s="14"/>
      <c r="Z56" s="10"/>
      <c r="AA56" s="11"/>
      <c r="AB56" s="11"/>
      <c r="AC56" s="10"/>
      <c r="AD56" s="11"/>
      <c r="AE56" s="10"/>
      <c r="AF56" s="10"/>
      <c r="AG56" s="12" t="str">
        <f t="shared" si="8"/>
        <v/>
      </c>
      <c r="AH56" s="15" t="str">
        <f t="shared" si="9"/>
        <v/>
      </c>
    </row>
    <row r="57" spans="1:34" ht="48" customHeight="1" x14ac:dyDescent="0.3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2" t="str">
        <f t="shared" si="5"/>
        <v/>
      </c>
      <c r="S57" s="12" t="str">
        <f t="shared" si="6"/>
        <v/>
      </c>
      <c r="T57" s="13" t="str">
        <f t="shared" si="7"/>
        <v/>
      </c>
      <c r="U57" s="10"/>
      <c r="V57" s="10"/>
      <c r="W57" s="10"/>
      <c r="X57" s="10"/>
      <c r="Y57" s="14"/>
      <c r="Z57" s="10"/>
      <c r="AA57" s="11"/>
      <c r="AB57" s="11"/>
      <c r="AC57" s="10"/>
      <c r="AD57" s="11"/>
      <c r="AE57" s="10"/>
      <c r="AF57" s="10"/>
      <c r="AG57" s="12" t="str">
        <f t="shared" si="8"/>
        <v/>
      </c>
      <c r="AH57" s="15" t="str">
        <f t="shared" si="9"/>
        <v/>
      </c>
    </row>
  </sheetData>
  <conditionalFormatting sqref="H5:Q257">
    <cfRule type="expression" dxfId="7" priority="8">
      <formula>ISNUMBER(SEARCH("Não",H5))</formula>
    </cfRule>
  </conditionalFormatting>
  <conditionalFormatting sqref="AE5:AE257">
    <cfRule type="expression" dxfId="6" priority="5">
      <formula>ISNUMBER(SEARCH("Verificada",AE5))</formula>
    </cfRule>
    <cfRule type="expression" dxfId="5" priority="6">
      <formula>ISNUMBER(SEARCH("por verificar",AE5))</formula>
    </cfRule>
    <cfRule type="expression" dxfId="4" priority="7">
      <formula>ISNUMBER(SEARCH("Rejeitada",AE5))</formula>
    </cfRule>
  </conditionalFormatting>
  <conditionalFormatting sqref="AH5:AH257">
    <cfRule type="expression" dxfId="3" priority="1">
      <formula>ISNUMBER(SEARCH("incompleta",AH5))</formula>
    </cfRule>
    <cfRule type="expression" dxfId="2" priority="2">
      <formula>ISNUMBER(SEARCH("falta",AH5))</formula>
    </cfRule>
    <cfRule type="expression" dxfId="1" priority="3">
      <formula>ISNUMBER(SEARCH("aguardar",AH5))</formula>
    </cfRule>
    <cfRule type="expression" dxfId="0" priority="4">
      <formula>ISNUMBER(SEARCH("OK",AH5))</formula>
    </cfRule>
  </conditionalFormatting>
  <dataValidations count="5">
    <dataValidation type="list" allowBlank="1" showErrorMessage="1" errorTitle="Valor inválido" error="Valor fora da lista controlada (ver folha Listas)." sqref="C5:C257" xr:uid="{00000000-0002-0000-0100-000000000000}">
      <formula1>lst_Origem</formula1>
    </dataValidation>
    <dataValidation type="list" allowBlank="1" showErrorMessage="1" errorTitle="Valor inválido" error="Valor fora da lista controlada (ver folha Listas)." sqref="D5:D257" xr:uid="{00000000-0002-0000-0100-000001000000}">
      <formula1>lst_TipoAlteracao</formula1>
    </dataValidation>
    <dataValidation type="list" allowBlank="1" showErrorMessage="1" errorTitle="Valor inválido" error="Valor fora da lista controlada (ver folha Listas)." sqref="G5:G257 Z5:Z257" xr:uid="{00000000-0002-0000-0100-000002000000}">
      <formula1>lst_Funcao</formula1>
    </dataValidation>
    <dataValidation type="list" allowBlank="1" showErrorMessage="1" errorTitle="Valor inválido" error="Valor fora da lista controlada (ver folha Listas)." sqref="H5:Q257" xr:uid="{00000000-0002-0000-0100-000003000000}">
      <formula1>lst_Resposta</formula1>
    </dataValidation>
    <dataValidation type="list" allowBlank="1" showErrorMessage="1" errorTitle="Valor inválido" error="Valor fora da lista controlada (ver folha Listas)." sqref="AE5:AE257" xr:uid="{00000000-0002-0000-0100-00000E000000}">
      <formula1>lst_EstadoAlt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17" customWidth="1"/>
    <col min="4" max="4" width="16" customWidth="1"/>
    <col min="5" max="5" width="30" customWidth="1"/>
    <col min="6" max="6" width="48" customWidth="1"/>
  </cols>
  <sheetData>
    <row r="1" spans="1:6" x14ac:dyDescent="0.3">
      <c r="A1" s="16" t="s">
        <v>214</v>
      </c>
    </row>
    <row r="2" spans="1:6" x14ac:dyDescent="0.3">
      <c r="A2" s="17" t="s">
        <v>215</v>
      </c>
      <c r="B2" s="17" t="s">
        <v>62</v>
      </c>
      <c r="C2" s="17" t="s">
        <v>216</v>
      </c>
      <c r="D2" s="17" t="s">
        <v>217</v>
      </c>
      <c r="E2" s="17" t="s">
        <v>218</v>
      </c>
      <c r="F2" s="17" t="s">
        <v>219</v>
      </c>
    </row>
    <row r="3" spans="1:6" x14ac:dyDescent="0.3">
      <c r="A3" s="18">
        <v>46387</v>
      </c>
      <c r="B3" s="6" t="s">
        <v>94</v>
      </c>
      <c r="C3" s="6" t="s">
        <v>120</v>
      </c>
      <c r="D3" s="6" t="s">
        <v>99</v>
      </c>
      <c r="E3" s="6" t="s">
        <v>191</v>
      </c>
      <c r="F3" s="6" t="s">
        <v>163</v>
      </c>
    </row>
    <row r="4" spans="1:6" x14ac:dyDescent="0.3">
      <c r="B4" s="6" t="s">
        <v>109</v>
      </c>
      <c r="C4" s="6" t="s">
        <v>151</v>
      </c>
      <c r="D4" s="6" t="s">
        <v>132</v>
      </c>
      <c r="E4" s="6" t="s">
        <v>220</v>
      </c>
      <c r="F4" s="6" t="s">
        <v>104</v>
      </c>
    </row>
    <row r="5" spans="1:6" x14ac:dyDescent="0.3">
      <c r="C5" s="6" t="s">
        <v>140</v>
      </c>
      <c r="D5" s="6" t="s">
        <v>100</v>
      </c>
      <c r="E5" s="6" t="s">
        <v>172</v>
      </c>
      <c r="F5" s="6" t="s">
        <v>147</v>
      </c>
    </row>
    <row r="6" spans="1:6" x14ac:dyDescent="0.3">
      <c r="C6" s="6" t="s">
        <v>95</v>
      </c>
      <c r="E6" s="6" t="s">
        <v>196</v>
      </c>
      <c r="F6" s="6" t="s">
        <v>98</v>
      </c>
    </row>
    <row r="7" spans="1:6" x14ac:dyDescent="0.3">
      <c r="C7" s="6" t="s">
        <v>174</v>
      </c>
      <c r="E7" s="6" t="s">
        <v>106</v>
      </c>
      <c r="F7" s="6" t="s">
        <v>123</v>
      </c>
    </row>
    <row r="8" spans="1:6" x14ac:dyDescent="0.3">
      <c r="C8" s="6" t="s">
        <v>166</v>
      </c>
      <c r="E8" s="6" t="s">
        <v>221</v>
      </c>
      <c r="F8" s="6" t="s">
        <v>222</v>
      </c>
    </row>
    <row r="9" spans="1:6" x14ac:dyDescent="0.3">
      <c r="C9" s="6" t="s">
        <v>223</v>
      </c>
      <c r="F9" s="6" t="s">
        <v>224</v>
      </c>
    </row>
    <row r="10" spans="1:6" x14ac:dyDescent="0.3">
      <c r="C10" s="6" t="s">
        <v>160</v>
      </c>
      <c r="F10" s="6" t="s">
        <v>112</v>
      </c>
    </row>
    <row r="11" spans="1:6" x14ac:dyDescent="0.3">
      <c r="F11" s="6" t="s">
        <v>143</v>
      </c>
    </row>
    <row r="12" spans="1:6" x14ac:dyDescent="0.3">
      <c r="F12" s="6" t="s">
        <v>225</v>
      </c>
    </row>
    <row r="13" spans="1:6" x14ac:dyDescent="0.3">
      <c r="F13" s="6" t="s">
        <v>185</v>
      </c>
    </row>
    <row r="14" spans="1:6" x14ac:dyDescent="0.3">
      <c r="F14" s="6" t="s">
        <v>226</v>
      </c>
    </row>
    <row r="15" spans="1:6" x14ac:dyDescent="0.3">
      <c r="F15" s="6" t="s">
        <v>227</v>
      </c>
    </row>
    <row r="16" spans="1:6" x14ac:dyDescent="0.3">
      <c r="F16" s="6" t="s">
        <v>228</v>
      </c>
    </row>
    <row r="17" spans="6:6" x14ac:dyDescent="0.3">
      <c r="F17" s="6" t="s">
        <v>229</v>
      </c>
    </row>
    <row r="18" spans="6:6" x14ac:dyDescent="0.3">
      <c r="F18" s="6" t="s">
        <v>230</v>
      </c>
    </row>
    <row r="19" spans="6:6" x14ac:dyDescent="0.3">
      <c r="F19" s="6" t="s">
        <v>210</v>
      </c>
    </row>
    <row r="20" spans="6:6" x14ac:dyDescent="0.3">
      <c r="F20" s="6" t="s">
        <v>231</v>
      </c>
    </row>
    <row r="21" spans="6:6" x14ac:dyDescent="0.3">
      <c r="F21" s="6" t="s">
        <v>232</v>
      </c>
    </row>
    <row r="22" spans="6:6" x14ac:dyDescent="0.3">
      <c r="F22" s="6" t="s">
        <v>233</v>
      </c>
    </row>
    <row r="23" spans="6:6" x14ac:dyDescent="0.3">
      <c r="F23" s="6" t="s">
        <v>234</v>
      </c>
    </row>
    <row r="24" spans="6:6" x14ac:dyDescent="0.3">
      <c r="F24" s="6" t="s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236</v>
      </c>
      <c r="B1" s="8" t="s">
        <v>237</v>
      </c>
      <c r="C1" s="8" t="s">
        <v>238</v>
      </c>
      <c r="D1" s="8" t="s">
        <v>63</v>
      </c>
      <c r="E1" s="8" t="s">
        <v>62</v>
      </c>
      <c r="F1" s="8" t="s">
        <v>64</v>
      </c>
      <c r="G1" s="8" t="s">
        <v>239</v>
      </c>
      <c r="H1" s="8" t="s">
        <v>240</v>
      </c>
      <c r="I1" s="8" t="s">
        <v>241</v>
      </c>
    </row>
    <row r="2" spans="1:9" x14ac:dyDescent="0.3">
      <c r="A2" s="19" t="s">
        <v>28</v>
      </c>
      <c r="B2" s="19" t="s">
        <v>242</v>
      </c>
      <c r="C2" s="19" t="s">
        <v>60</v>
      </c>
      <c r="D2" s="19" t="s">
        <v>243</v>
      </c>
      <c r="E2" s="19" t="s">
        <v>244</v>
      </c>
      <c r="F2" s="19" t="s">
        <v>245</v>
      </c>
      <c r="G2" s="19"/>
      <c r="H2" s="19" t="s">
        <v>99</v>
      </c>
      <c r="I2" s="19" t="s">
        <v>246</v>
      </c>
    </row>
    <row r="3" spans="1:9" ht="26.4" x14ac:dyDescent="0.3">
      <c r="A3" s="19" t="s">
        <v>28</v>
      </c>
      <c r="B3" s="19" t="s">
        <v>242</v>
      </c>
      <c r="C3" s="19" t="s">
        <v>61</v>
      </c>
      <c r="D3" s="19" t="s">
        <v>247</v>
      </c>
      <c r="E3" s="19" t="s">
        <v>244</v>
      </c>
      <c r="F3" s="19" t="s">
        <v>248</v>
      </c>
      <c r="G3" s="19"/>
      <c r="H3" s="19" t="s">
        <v>99</v>
      </c>
      <c r="I3" s="19"/>
    </row>
    <row r="4" spans="1:9" x14ac:dyDescent="0.3">
      <c r="A4" s="19" t="s">
        <v>28</v>
      </c>
      <c r="B4" s="19" t="s">
        <v>242</v>
      </c>
      <c r="C4" s="19" t="s">
        <v>62</v>
      </c>
      <c r="D4" s="19" t="s">
        <v>243</v>
      </c>
      <c r="E4" s="19" t="s">
        <v>244</v>
      </c>
      <c r="F4" s="19" t="s">
        <v>249</v>
      </c>
      <c r="G4" s="19" t="s">
        <v>250</v>
      </c>
      <c r="H4" s="19" t="s">
        <v>99</v>
      </c>
      <c r="I4" s="19"/>
    </row>
    <row r="5" spans="1:9" x14ac:dyDescent="0.3">
      <c r="A5" s="19" t="s">
        <v>28</v>
      </c>
      <c r="B5" s="19" t="s">
        <v>242</v>
      </c>
      <c r="C5" s="19" t="s">
        <v>63</v>
      </c>
      <c r="D5" s="19" t="s">
        <v>243</v>
      </c>
      <c r="E5" s="19" t="s">
        <v>244</v>
      </c>
      <c r="F5" s="19" t="s">
        <v>251</v>
      </c>
      <c r="G5" s="19" t="s">
        <v>252</v>
      </c>
      <c r="H5" s="19" t="s">
        <v>99</v>
      </c>
      <c r="I5" s="19"/>
    </row>
    <row r="6" spans="1:9" x14ac:dyDescent="0.3">
      <c r="A6" s="19" t="s">
        <v>28</v>
      </c>
      <c r="B6" s="19" t="s">
        <v>242</v>
      </c>
      <c r="C6" s="19" t="s">
        <v>64</v>
      </c>
      <c r="D6" s="19" t="s">
        <v>243</v>
      </c>
      <c r="E6" s="19" t="s">
        <v>244</v>
      </c>
      <c r="F6" s="19" t="s">
        <v>253</v>
      </c>
      <c r="G6" s="19"/>
      <c r="H6" s="19" t="s">
        <v>99</v>
      </c>
      <c r="I6" s="19"/>
    </row>
    <row r="7" spans="1:9" x14ac:dyDescent="0.3">
      <c r="A7" s="19" t="s">
        <v>28</v>
      </c>
      <c r="B7" s="19" t="s">
        <v>242</v>
      </c>
      <c r="C7" s="19" t="s">
        <v>65</v>
      </c>
      <c r="D7" s="19" t="s">
        <v>243</v>
      </c>
      <c r="E7" s="19" t="s">
        <v>244</v>
      </c>
      <c r="F7" s="19" t="s">
        <v>254</v>
      </c>
      <c r="G7" s="19"/>
      <c r="H7" s="19" t="s">
        <v>99</v>
      </c>
      <c r="I7" s="19"/>
    </row>
    <row r="8" spans="1:9" x14ac:dyDescent="0.3">
      <c r="A8" s="19" t="s">
        <v>28</v>
      </c>
      <c r="B8" s="19" t="s">
        <v>242</v>
      </c>
      <c r="C8" s="19" t="s">
        <v>66</v>
      </c>
      <c r="D8" s="19" t="s">
        <v>243</v>
      </c>
      <c r="E8" s="19" t="s">
        <v>244</v>
      </c>
      <c r="F8" s="19" t="s">
        <v>255</v>
      </c>
      <c r="G8" s="19" t="s">
        <v>256</v>
      </c>
      <c r="H8" s="19" t="s">
        <v>99</v>
      </c>
      <c r="I8" s="19"/>
    </row>
    <row r="9" spans="1:9" x14ac:dyDescent="0.3">
      <c r="A9" s="19" t="s">
        <v>28</v>
      </c>
      <c r="B9" s="19" t="s">
        <v>242</v>
      </c>
      <c r="C9" s="19" t="s">
        <v>67</v>
      </c>
      <c r="D9" s="19" t="s">
        <v>243</v>
      </c>
      <c r="E9" s="19" t="s">
        <v>244</v>
      </c>
      <c r="F9" s="19" t="s">
        <v>257</v>
      </c>
      <c r="G9" s="19" t="s">
        <v>258</v>
      </c>
      <c r="H9" s="19" t="s">
        <v>99</v>
      </c>
      <c r="I9" s="19"/>
    </row>
    <row r="10" spans="1:9" x14ac:dyDescent="0.3">
      <c r="A10" s="19" t="s">
        <v>28</v>
      </c>
      <c r="B10" s="19" t="s">
        <v>242</v>
      </c>
      <c r="C10" s="19" t="s">
        <v>68</v>
      </c>
      <c r="D10" s="19" t="s">
        <v>243</v>
      </c>
      <c r="E10" s="19" t="s">
        <v>244</v>
      </c>
      <c r="F10" s="19" t="s">
        <v>259</v>
      </c>
      <c r="G10" s="19" t="s">
        <v>258</v>
      </c>
      <c r="H10" s="19" t="s">
        <v>99</v>
      </c>
      <c r="I10" s="19"/>
    </row>
    <row r="11" spans="1:9" x14ac:dyDescent="0.3">
      <c r="A11" s="19" t="s">
        <v>28</v>
      </c>
      <c r="B11" s="19" t="s">
        <v>242</v>
      </c>
      <c r="C11" s="19" t="s">
        <v>69</v>
      </c>
      <c r="D11" s="19" t="s">
        <v>243</v>
      </c>
      <c r="E11" s="19" t="s">
        <v>244</v>
      </c>
      <c r="F11" s="19" t="s">
        <v>260</v>
      </c>
      <c r="G11" s="19" t="s">
        <v>258</v>
      </c>
      <c r="H11" s="19" t="s">
        <v>99</v>
      </c>
      <c r="I11" s="19"/>
    </row>
    <row r="12" spans="1:9" ht="26.4" x14ac:dyDescent="0.3">
      <c r="A12" s="19" t="s">
        <v>28</v>
      </c>
      <c r="B12" s="19" t="s">
        <v>242</v>
      </c>
      <c r="C12" s="19" t="s">
        <v>70</v>
      </c>
      <c r="D12" s="19" t="s">
        <v>243</v>
      </c>
      <c r="E12" s="19" t="s">
        <v>244</v>
      </c>
      <c r="F12" s="19" t="s">
        <v>261</v>
      </c>
      <c r="G12" s="19" t="s">
        <v>258</v>
      </c>
      <c r="H12" s="19" t="s">
        <v>99</v>
      </c>
      <c r="I12" s="19"/>
    </row>
    <row r="13" spans="1:9" ht="26.4" x14ac:dyDescent="0.3">
      <c r="A13" s="19" t="s">
        <v>28</v>
      </c>
      <c r="B13" s="19" t="s">
        <v>242</v>
      </c>
      <c r="C13" s="19" t="s">
        <v>71</v>
      </c>
      <c r="D13" s="19" t="s">
        <v>243</v>
      </c>
      <c r="E13" s="19" t="s">
        <v>244</v>
      </c>
      <c r="F13" s="19" t="s">
        <v>262</v>
      </c>
      <c r="G13" s="19" t="s">
        <v>258</v>
      </c>
      <c r="H13" s="19" t="s">
        <v>99</v>
      </c>
      <c r="I13" s="19"/>
    </row>
    <row r="14" spans="1:9" x14ac:dyDescent="0.3">
      <c r="A14" s="19" t="s">
        <v>28</v>
      </c>
      <c r="B14" s="19" t="s">
        <v>242</v>
      </c>
      <c r="C14" s="19" t="s">
        <v>72</v>
      </c>
      <c r="D14" s="19" t="s">
        <v>243</v>
      </c>
      <c r="E14" s="19" t="s">
        <v>244</v>
      </c>
      <c r="F14" s="19" t="s">
        <v>263</v>
      </c>
      <c r="G14" s="19" t="s">
        <v>258</v>
      </c>
      <c r="H14" s="19" t="s">
        <v>99</v>
      </c>
      <c r="I14" s="19"/>
    </row>
    <row r="15" spans="1:9" ht="26.4" x14ac:dyDescent="0.3">
      <c r="A15" s="19" t="s">
        <v>28</v>
      </c>
      <c r="B15" s="19" t="s">
        <v>242</v>
      </c>
      <c r="C15" s="19" t="s">
        <v>73</v>
      </c>
      <c r="D15" s="19" t="s">
        <v>243</v>
      </c>
      <c r="E15" s="19" t="s">
        <v>244</v>
      </c>
      <c r="F15" s="19" t="s">
        <v>264</v>
      </c>
      <c r="G15" s="19" t="s">
        <v>258</v>
      </c>
      <c r="H15" s="19" t="s">
        <v>99</v>
      </c>
      <c r="I15" s="19"/>
    </row>
    <row r="16" spans="1:9" ht="26.4" x14ac:dyDescent="0.3">
      <c r="A16" s="19" t="s">
        <v>28</v>
      </c>
      <c r="B16" s="19" t="s">
        <v>242</v>
      </c>
      <c r="C16" s="19" t="s">
        <v>74</v>
      </c>
      <c r="D16" s="19" t="s">
        <v>243</v>
      </c>
      <c r="E16" s="19" t="s">
        <v>244</v>
      </c>
      <c r="F16" s="19" t="s">
        <v>265</v>
      </c>
      <c r="G16" s="19" t="s">
        <v>258</v>
      </c>
      <c r="H16" s="19" t="s">
        <v>99</v>
      </c>
      <c r="I16" s="19"/>
    </row>
    <row r="17" spans="1:9" ht="26.4" x14ac:dyDescent="0.3">
      <c r="A17" s="19" t="s">
        <v>28</v>
      </c>
      <c r="B17" s="19" t="s">
        <v>242</v>
      </c>
      <c r="C17" s="19" t="s">
        <v>75</v>
      </c>
      <c r="D17" s="19" t="s">
        <v>243</v>
      </c>
      <c r="E17" s="19" t="s">
        <v>244</v>
      </c>
      <c r="F17" s="19" t="s">
        <v>266</v>
      </c>
      <c r="G17" s="19" t="s">
        <v>258</v>
      </c>
      <c r="H17" s="19" t="s">
        <v>99</v>
      </c>
      <c r="I17" s="19"/>
    </row>
    <row r="18" spans="1:9" x14ac:dyDescent="0.3">
      <c r="A18" s="19" t="s">
        <v>28</v>
      </c>
      <c r="B18" s="19" t="s">
        <v>242</v>
      </c>
      <c r="C18" s="19" t="s">
        <v>76</v>
      </c>
      <c r="D18" s="19" t="s">
        <v>243</v>
      </c>
      <c r="E18" s="19" t="s">
        <v>244</v>
      </c>
      <c r="F18" s="19" t="s">
        <v>267</v>
      </c>
      <c r="G18" s="19" t="s">
        <v>258</v>
      </c>
      <c r="H18" s="19" t="s">
        <v>99</v>
      </c>
      <c r="I18" s="19"/>
    </row>
    <row r="19" spans="1:9" x14ac:dyDescent="0.3">
      <c r="A19" s="19" t="s">
        <v>28</v>
      </c>
      <c r="B19" s="19" t="s">
        <v>242</v>
      </c>
      <c r="C19" s="19" t="s">
        <v>77</v>
      </c>
      <c r="D19" s="19" t="s">
        <v>268</v>
      </c>
      <c r="E19" s="19" t="s">
        <v>269</v>
      </c>
      <c r="F19" s="19" t="s">
        <v>270</v>
      </c>
      <c r="G19" s="19"/>
      <c r="H19" s="19" t="s">
        <v>99</v>
      </c>
      <c r="I19" s="19"/>
    </row>
    <row r="20" spans="1:9" x14ac:dyDescent="0.3">
      <c r="A20" s="19" t="s">
        <v>28</v>
      </c>
      <c r="B20" s="19" t="s">
        <v>242</v>
      </c>
      <c r="C20" s="19" t="s">
        <v>78</v>
      </c>
      <c r="D20" s="19" t="s">
        <v>268</v>
      </c>
      <c r="E20" s="19" t="s">
        <v>269</v>
      </c>
      <c r="F20" s="19" t="s">
        <v>271</v>
      </c>
      <c r="G20" s="19"/>
      <c r="H20" s="19" t="s">
        <v>99</v>
      </c>
      <c r="I20" s="19"/>
    </row>
    <row r="21" spans="1:9" ht="26.4" x14ac:dyDescent="0.3">
      <c r="A21" s="19" t="s">
        <v>28</v>
      </c>
      <c r="B21" s="19" t="s">
        <v>242</v>
      </c>
      <c r="C21" s="19" t="s">
        <v>79</v>
      </c>
      <c r="D21" s="19" t="s">
        <v>272</v>
      </c>
      <c r="E21" s="19" t="s">
        <v>269</v>
      </c>
      <c r="F21" s="19" t="s">
        <v>273</v>
      </c>
      <c r="G21" s="19"/>
      <c r="H21" s="19" t="s">
        <v>99</v>
      </c>
      <c r="I21" s="19"/>
    </row>
    <row r="22" spans="1:9" x14ac:dyDescent="0.3">
      <c r="A22" s="19" t="s">
        <v>28</v>
      </c>
      <c r="B22" s="19" t="s">
        <v>242</v>
      </c>
      <c r="C22" s="19" t="s">
        <v>80</v>
      </c>
      <c r="D22" s="19" t="s">
        <v>243</v>
      </c>
      <c r="E22" s="19" t="s">
        <v>244</v>
      </c>
      <c r="F22" s="19" t="s">
        <v>274</v>
      </c>
      <c r="G22" s="19"/>
      <c r="H22" s="19" t="s">
        <v>132</v>
      </c>
      <c r="I22" s="19"/>
    </row>
    <row r="23" spans="1:9" ht="26.4" x14ac:dyDescent="0.3">
      <c r="A23" s="19" t="s">
        <v>28</v>
      </c>
      <c r="B23" s="19" t="s">
        <v>242</v>
      </c>
      <c r="C23" s="19" t="s">
        <v>81</v>
      </c>
      <c r="D23" s="19" t="s">
        <v>243</v>
      </c>
      <c r="E23" s="19" t="s">
        <v>244</v>
      </c>
      <c r="F23" s="19" t="s">
        <v>275</v>
      </c>
      <c r="G23" s="19"/>
      <c r="H23" s="19" t="s">
        <v>132</v>
      </c>
      <c r="I23" s="19" t="s">
        <v>276</v>
      </c>
    </row>
    <row r="24" spans="1:9" ht="26.4" x14ac:dyDescent="0.3">
      <c r="A24" s="19" t="s">
        <v>28</v>
      </c>
      <c r="B24" s="19" t="s">
        <v>242</v>
      </c>
      <c r="C24" s="19" t="s">
        <v>82</v>
      </c>
      <c r="D24" s="19" t="s">
        <v>243</v>
      </c>
      <c r="E24" s="19" t="s">
        <v>244</v>
      </c>
      <c r="F24" s="19" t="s">
        <v>277</v>
      </c>
      <c r="G24" s="19"/>
      <c r="H24" s="19" t="s">
        <v>132</v>
      </c>
      <c r="I24" s="19" t="s">
        <v>278</v>
      </c>
    </row>
    <row r="25" spans="1:9" ht="26.4" x14ac:dyDescent="0.3">
      <c r="A25" s="19" t="s">
        <v>28</v>
      </c>
      <c r="B25" s="19" t="s">
        <v>242</v>
      </c>
      <c r="C25" s="19" t="s">
        <v>83</v>
      </c>
      <c r="D25" s="19" t="s">
        <v>243</v>
      </c>
      <c r="E25" s="19" t="s">
        <v>244</v>
      </c>
      <c r="F25" s="19" t="s">
        <v>279</v>
      </c>
      <c r="G25" s="19"/>
      <c r="H25" s="19" t="s">
        <v>132</v>
      </c>
      <c r="I25" s="19" t="s">
        <v>280</v>
      </c>
    </row>
    <row r="26" spans="1:9" x14ac:dyDescent="0.3">
      <c r="A26" s="19" t="s">
        <v>28</v>
      </c>
      <c r="B26" s="19" t="s">
        <v>242</v>
      </c>
      <c r="C26" s="19" t="s">
        <v>84</v>
      </c>
      <c r="D26" s="19" t="s">
        <v>281</v>
      </c>
      <c r="E26" s="19" t="s">
        <v>244</v>
      </c>
      <c r="F26" s="19" t="s">
        <v>282</v>
      </c>
      <c r="G26" s="19"/>
      <c r="H26" s="19" t="s">
        <v>99</v>
      </c>
      <c r="I26" s="19"/>
    </row>
    <row r="27" spans="1:9" x14ac:dyDescent="0.3">
      <c r="A27" s="19" t="s">
        <v>28</v>
      </c>
      <c r="B27" s="19" t="s">
        <v>242</v>
      </c>
      <c r="C27" s="19" t="s">
        <v>85</v>
      </c>
      <c r="D27" s="19" t="s">
        <v>243</v>
      </c>
      <c r="E27" s="19" t="s">
        <v>244</v>
      </c>
      <c r="F27" s="19" t="s">
        <v>283</v>
      </c>
      <c r="G27" s="19" t="s">
        <v>256</v>
      </c>
      <c r="H27" s="19" t="s">
        <v>132</v>
      </c>
      <c r="I27" s="19"/>
    </row>
    <row r="28" spans="1:9" ht="26.4" x14ac:dyDescent="0.3">
      <c r="A28" s="19" t="s">
        <v>28</v>
      </c>
      <c r="B28" s="19" t="s">
        <v>242</v>
      </c>
      <c r="C28" s="19" t="s">
        <v>86</v>
      </c>
      <c r="D28" s="19" t="s">
        <v>247</v>
      </c>
      <c r="E28" s="19" t="s">
        <v>244</v>
      </c>
      <c r="F28" s="19" t="s">
        <v>284</v>
      </c>
      <c r="G28" s="19"/>
      <c r="H28" s="19" t="s">
        <v>132</v>
      </c>
      <c r="I28" s="19"/>
    </row>
    <row r="29" spans="1:9" ht="26.4" x14ac:dyDescent="0.3">
      <c r="A29" s="19" t="s">
        <v>28</v>
      </c>
      <c r="B29" s="19" t="s">
        <v>242</v>
      </c>
      <c r="C29" s="19" t="s">
        <v>87</v>
      </c>
      <c r="D29" s="19" t="s">
        <v>247</v>
      </c>
      <c r="E29" s="19" t="s">
        <v>244</v>
      </c>
      <c r="F29" s="19" t="s">
        <v>285</v>
      </c>
      <c r="G29" s="19"/>
      <c r="H29" s="19" t="s">
        <v>132</v>
      </c>
      <c r="I29" s="19"/>
    </row>
    <row r="30" spans="1:9" x14ac:dyDescent="0.3">
      <c r="A30" s="19" t="s">
        <v>28</v>
      </c>
      <c r="B30" s="19" t="s">
        <v>242</v>
      </c>
      <c r="C30" s="19" t="s">
        <v>88</v>
      </c>
      <c r="D30" s="19" t="s">
        <v>243</v>
      </c>
      <c r="E30" s="19" t="s">
        <v>244</v>
      </c>
      <c r="F30" s="19" t="s">
        <v>286</v>
      </c>
      <c r="G30" s="19"/>
      <c r="H30" s="19" t="s">
        <v>132</v>
      </c>
      <c r="I30" s="19"/>
    </row>
    <row r="31" spans="1:9" ht="26.4" x14ac:dyDescent="0.3">
      <c r="A31" s="19" t="s">
        <v>28</v>
      </c>
      <c r="B31" s="19" t="s">
        <v>242</v>
      </c>
      <c r="C31" s="19" t="s">
        <v>89</v>
      </c>
      <c r="D31" s="19" t="s">
        <v>247</v>
      </c>
      <c r="E31" s="19" t="s">
        <v>244</v>
      </c>
      <c r="F31" s="19" t="s">
        <v>287</v>
      </c>
      <c r="G31" s="19"/>
      <c r="H31" s="19" t="s">
        <v>132</v>
      </c>
      <c r="I31" s="19"/>
    </row>
    <row r="32" spans="1:9" x14ac:dyDescent="0.3">
      <c r="A32" s="19" t="s">
        <v>28</v>
      </c>
      <c r="B32" s="19" t="s">
        <v>242</v>
      </c>
      <c r="C32" s="19" t="s">
        <v>14</v>
      </c>
      <c r="D32" s="19" t="s">
        <v>243</v>
      </c>
      <c r="E32" s="19" t="s">
        <v>244</v>
      </c>
      <c r="F32" s="19" t="s">
        <v>288</v>
      </c>
      <c r="G32" s="19" t="s">
        <v>289</v>
      </c>
      <c r="H32" s="19" t="s">
        <v>99</v>
      </c>
      <c r="I32" s="19"/>
    </row>
    <row r="33" spans="1:9" x14ac:dyDescent="0.3">
      <c r="A33" s="19" t="s">
        <v>28</v>
      </c>
      <c r="B33" s="19" t="s">
        <v>242</v>
      </c>
      <c r="C33" s="19" t="s">
        <v>90</v>
      </c>
      <c r="D33" s="19" t="s">
        <v>243</v>
      </c>
      <c r="E33" s="19" t="s">
        <v>244</v>
      </c>
      <c r="F33" s="19" t="s">
        <v>290</v>
      </c>
      <c r="G33" s="19"/>
      <c r="H33" s="19" t="s">
        <v>132</v>
      </c>
      <c r="I33" s="19"/>
    </row>
    <row r="34" spans="1:9" x14ac:dyDescent="0.3">
      <c r="A34" s="19" t="s">
        <v>28</v>
      </c>
      <c r="B34" s="19" t="s">
        <v>242</v>
      </c>
      <c r="C34" s="19" t="s">
        <v>91</v>
      </c>
      <c r="D34" s="19" t="s">
        <v>268</v>
      </c>
      <c r="E34" s="19" t="s">
        <v>269</v>
      </c>
      <c r="F34" s="19" t="s">
        <v>291</v>
      </c>
      <c r="G34" s="19"/>
      <c r="H34" s="19" t="s">
        <v>99</v>
      </c>
      <c r="I34" s="19"/>
    </row>
    <row r="35" spans="1:9" x14ac:dyDescent="0.3">
      <c r="A35" s="19" t="s">
        <v>28</v>
      </c>
      <c r="B35" s="19" t="s">
        <v>242</v>
      </c>
      <c r="C35" s="19" t="s">
        <v>92</v>
      </c>
      <c r="D35" s="19" t="s">
        <v>243</v>
      </c>
      <c r="E35" s="19" t="s">
        <v>269</v>
      </c>
      <c r="F35" s="19" t="s">
        <v>292</v>
      </c>
      <c r="G35" s="19"/>
      <c r="H35" s="19" t="s">
        <v>99</v>
      </c>
      <c r="I35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8</vt:i4>
      </vt:variant>
    </vt:vector>
  </HeadingPairs>
  <TitlesOfParts>
    <vt:vector size="12" baseType="lpstr">
      <vt:lpstr>00_LEIA-ME</vt:lpstr>
      <vt:lpstr>Alteracoes</vt:lpstr>
      <vt:lpstr>Listas</vt:lpstr>
      <vt:lpstr>Dicionario_Dados</vt:lpstr>
      <vt:lpstr>DataRef</vt:lpstr>
      <vt:lpstr>lst_DataReferencia</vt:lpstr>
      <vt:lpstr>lst_EstadoAlt</vt:lpstr>
      <vt:lpstr>lst_Funcao</vt:lpstr>
      <vt:lpstr>lst_Origem</vt:lpstr>
      <vt:lpstr>lst_Resposta</vt:lpstr>
      <vt:lpstr>lst_TipoAlteracao</vt:lpstr>
      <vt:lpstr>Alteracoes!Títulos_de_Impressão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RG-SGA-18 Planeamento de Alterações (Gestão de Mudanças)</dc:title>
  <dc:subject>SGA NP EN ISO 14001:2026 — Plasticom</dc:subject>
  <dc:creator>Gestor(a) do SGA / EHS</dc:creator>
  <cp:lastModifiedBy>Aline Meireles</cp:lastModifiedBy>
  <dcterms:created xsi:type="dcterms:W3CDTF">2026-09-30T16:48:48Z</dcterms:created>
  <dcterms:modified xsi:type="dcterms:W3CDTF">2026-09-30T16:49:00Z</dcterms:modified>
</cp:coreProperties>
</file>