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10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11.xml" ContentType="application/vnd.openxmlformats-officedocument.spreadsheetml.comments+xml"/>
  <Override PartName="/xl/tables/table22.xml" ContentType="application/vnd.openxmlformats-officedocument.spreadsheetml.table+xml"/>
  <Override PartName="/xl/comments12.xml" ContentType="application/vnd.openxmlformats-officedocument.spreadsheetml.comments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4E2923BA-D7A0-4C56-B4B8-6C72FFE928D3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ainel" sheetId="2" r:id="rId2"/>
    <sheet name="Papel_REACH" sheetId="3" r:id="rId3"/>
    <sheet name="Inventario" sheetId="4" r:id="rId4"/>
    <sheet name="Componentes" sheetId="5" r:id="rId5"/>
    <sheet name="FDS_Verificacao" sheetId="6" r:id="rId6"/>
    <sheet name="Cenarios_Exposicao" sheetId="7" r:id="rId7"/>
    <sheet name="Registo_Importacao" sheetId="8" r:id="rId8"/>
    <sheet name="Declaracoes_SVHC" sheetId="9" r:id="rId9"/>
    <sheet name="Avaliacao_Risco" sheetId="10" r:id="rId10"/>
    <sheet name="Medicoes_VLE" sheetId="11" r:id="rId11"/>
    <sheet name="Metodologia" sheetId="12" r:id="rId12"/>
    <sheet name="Armazenagem" sheetId="13" r:id="rId13"/>
    <sheet name="Matriz_Compatibilidade" sheetId="14" r:id="rId14"/>
    <sheet name="Seveso" sheetId="15" r:id="rId15"/>
    <sheet name="Requisitos_Legais" sheetId="16" r:id="rId16"/>
    <sheet name="Analise_Critica" sheetId="17" r:id="rId17"/>
    <sheet name="Parametros" sheetId="18" r:id="rId18"/>
    <sheet name="Ref_Frases_H" sheetId="19" r:id="rId19"/>
    <sheet name="Ref_SVHC_Vigiadas" sheetId="20" r:id="rId20"/>
    <sheet name="Listas" sheetId="21" r:id="rId21"/>
    <sheet name="Dicionario_Dados" sheetId="22" r:id="rId22"/>
  </sheets>
  <definedNames>
    <definedName name="DataRef">Listas!$A$3</definedName>
    <definedName name="lst_AcaoCE">Listas!$S$3:$S$8</definedName>
    <definedName name="lst_Aplicavel">Listas!$U$3:$U$6</definedName>
    <definedName name="lst_DataReferencia">Listas!$A$3:$A$3</definedName>
    <definedName name="lst_EstadoAcao">Listas!$Y$3:$Y$6</definedName>
    <definedName name="lst_EstadoAprov">Listas!$H$3:$H$8</definedName>
    <definedName name="lst_EstadoConf">Listas!$V$3:$V$9</definedName>
    <definedName name="lst_Frequencia">Listas!$O$3:$O$6</definedName>
    <definedName name="lst_Funcao">Listas!$T$3:$T$24</definedName>
    <definedName name="lst_Hierarquia">Listas!$X$3:$X$7</definedName>
    <definedName name="lst_Local">Listas!$J$3:$J$14</definedName>
    <definedName name="lst_MetodoCE">Listas!$Q$3:$Q$6</definedName>
    <definedName name="lst_PapelREACH">Listas!$G$3:$G$10</definedName>
    <definedName name="lst_Procedimento">Listas!$L$3:$L$6</definedName>
    <definedName name="lst_Processo">Listas!$F$3:$F$18</definedName>
    <definedName name="lst_ProtColetiva">Listas!$M$3:$M$7</definedName>
    <definedName name="lst_ResultadoCE">Listas!$R$3:$R$5</definedName>
    <definedName name="lst_RiscoResidual">Listas!$P$3:$P$5</definedName>
    <definedName name="lst_Seveso">Listas!$I$3:$I$23</definedName>
    <definedName name="lst_SimNao">Listas!$B$3:$B$4</definedName>
    <definedName name="lst_SimNaoNA">Listas!$D$3:$D$5</definedName>
    <definedName name="lst_SimNaoPC">Listas!$C$3:$C$5</definedName>
    <definedName name="lst_Superficie">Listas!$N$3:$N$7</definedName>
    <definedName name="lst_TipoAcaoQ">Listas!$W$3:$W$5</definedName>
    <definedName name="lst_TipoProduto">Listas!$E$3:$E$8</definedName>
    <definedName name="lst_Triagem">Listas!$Z$3:$Z$4</definedName>
    <definedName name="lst_Volatilidade">Listas!$K$3:$K$5</definedName>
    <definedName name="p_Fator_Retencao">Parametros!$C$11</definedName>
    <definedName name="p_Limiar_SVHC">Parametros!$C$9</definedName>
    <definedName name="p_Meses_ARQ">Parametros!$C$10</definedName>
    <definedName name="p_Meses_CE">Parametros!$C$7</definedName>
    <definedName name="p_Meses_FDS">Parametros!$C$6</definedName>
    <definedName name="p_Meses_RSQ">Parametros!$C$8</definedName>
    <definedName name="p_SVHC_N">Parametros!$C$5</definedName>
    <definedName name="_xlnm.Print_Titles" localSheetId="16">Analise_Critica!$4:$4</definedName>
    <definedName name="_xlnm.Print_Titles" localSheetId="12">Armazenagem!$4:$4</definedName>
    <definedName name="_xlnm.Print_Titles" localSheetId="9">Avaliacao_Risco!$4:$4</definedName>
    <definedName name="_xlnm.Print_Titles" localSheetId="6">Cenarios_Exposicao!$4:$4</definedName>
    <definedName name="_xlnm.Print_Titles" localSheetId="4">Componentes!$4:$4</definedName>
    <definedName name="_xlnm.Print_Titles" localSheetId="8">Declaracoes_SVHC!$4:$4</definedName>
    <definedName name="_xlnm.Print_Titles" localSheetId="5">FDS_Verificacao!$4:$4</definedName>
    <definedName name="_xlnm.Print_Titles" localSheetId="3">Inventario!$4:$4</definedName>
    <definedName name="_xlnm.Print_Titles" localSheetId="10">Medicoes_VLE!$4:$4</definedName>
    <definedName name="_xlnm.Print_Titles" localSheetId="11">Metodologia!$4:$4</definedName>
    <definedName name="_xlnm.Print_Titles" localSheetId="2">Papel_REACH!$4:$4</definedName>
    <definedName name="_xlnm.Print_Titles" localSheetId="17">Parametros!$4:$4</definedName>
    <definedName name="_xlnm.Print_Titles" localSheetId="18">Ref_Frases_H!$4:$4</definedName>
    <definedName name="_xlnm.Print_Titles" localSheetId="19">Ref_SVHC_Vigiadas!$4:$4</definedName>
    <definedName name="_xlnm.Print_Titles" localSheetId="7">Registo_Importacao!$4:$4</definedName>
    <definedName name="_xlnm.Print_Titles" localSheetId="15">Requisitos_Legais!$4:$4</definedName>
    <definedName name="_xlnm.Print_Titles" localSheetId="14">Seveso!$4:$4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5" l="1"/>
  <c r="F23" i="15"/>
  <c r="G23" i="15" s="1"/>
  <c r="H22" i="15"/>
  <c r="G22" i="15"/>
  <c r="F22" i="15"/>
  <c r="F21" i="15"/>
  <c r="H21" i="15" s="1"/>
  <c r="F20" i="15"/>
  <c r="F19" i="15"/>
  <c r="G19" i="15" s="1"/>
  <c r="H18" i="15"/>
  <c r="G18" i="15"/>
  <c r="F18" i="15"/>
  <c r="F17" i="15"/>
  <c r="H17" i="15" s="1"/>
  <c r="F16" i="15"/>
  <c r="H15" i="15"/>
  <c r="F15" i="15"/>
  <c r="G15" i="15" s="1"/>
  <c r="F14" i="15"/>
  <c r="H14" i="15" s="1"/>
  <c r="F13" i="15"/>
  <c r="H13" i="15" s="1"/>
  <c r="F12" i="15"/>
  <c r="F11" i="15"/>
  <c r="G11" i="15" s="1"/>
  <c r="F10" i="15"/>
  <c r="H10" i="15" s="1"/>
  <c r="F9" i="15"/>
  <c r="H9" i="15" s="1"/>
  <c r="F8" i="15"/>
  <c r="F7" i="15"/>
  <c r="H7" i="15" s="1"/>
  <c r="F6" i="15"/>
  <c r="F5" i="15"/>
  <c r="H5" i="15" s="1"/>
  <c r="N26" i="13"/>
  <c r="M26" i="13"/>
  <c r="L26" i="13"/>
  <c r="K26" i="13"/>
  <c r="J26" i="13"/>
  <c r="N25" i="13"/>
  <c r="M25" i="13"/>
  <c r="L25" i="13"/>
  <c r="K25" i="13"/>
  <c r="J25" i="13"/>
  <c r="N24" i="13"/>
  <c r="M24" i="13"/>
  <c r="L24" i="13"/>
  <c r="K24" i="13"/>
  <c r="J24" i="13"/>
  <c r="N23" i="13"/>
  <c r="M23" i="13"/>
  <c r="L23" i="13"/>
  <c r="K23" i="13"/>
  <c r="J23" i="13"/>
  <c r="N22" i="13"/>
  <c r="M22" i="13"/>
  <c r="L22" i="13"/>
  <c r="K22" i="13"/>
  <c r="J22" i="13"/>
  <c r="N21" i="13"/>
  <c r="M21" i="13"/>
  <c r="L21" i="13"/>
  <c r="K21" i="13"/>
  <c r="J21" i="13"/>
  <c r="N20" i="13"/>
  <c r="M20" i="13"/>
  <c r="L20" i="13"/>
  <c r="K20" i="13"/>
  <c r="J20" i="13"/>
  <c r="N19" i="13"/>
  <c r="M19" i="13"/>
  <c r="L19" i="13"/>
  <c r="K19" i="13"/>
  <c r="J19" i="13"/>
  <c r="N18" i="13"/>
  <c r="M18" i="13"/>
  <c r="L18" i="13"/>
  <c r="K18" i="13"/>
  <c r="J18" i="13"/>
  <c r="N17" i="13"/>
  <c r="M17" i="13"/>
  <c r="L17" i="13"/>
  <c r="K17" i="13"/>
  <c r="J17" i="13"/>
  <c r="N16" i="13"/>
  <c r="M16" i="13"/>
  <c r="L16" i="13"/>
  <c r="K16" i="13"/>
  <c r="J16" i="13"/>
  <c r="N15" i="13"/>
  <c r="M15" i="13"/>
  <c r="L15" i="13"/>
  <c r="K15" i="13"/>
  <c r="J15" i="13"/>
  <c r="N14" i="13"/>
  <c r="M14" i="13"/>
  <c r="L14" i="13"/>
  <c r="K14" i="13"/>
  <c r="J14" i="13"/>
  <c r="L13" i="13"/>
  <c r="K13" i="13"/>
  <c r="M13" i="13" s="1"/>
  <c r="N13" i="13" s="1"/>
  <c r="J13" i="13"/>
  <c r="L12" i="13"/>
  <c r="K12" i="13"/>
  <c r="M12" i="13" s="1"/>
  <c r="N12" i="13" s="1"/>
  <c r="J12" i="13"/>
  <c r="L11" i="13"/>
  <c r="K11" i="13"/>
  <c r="M11" i="13" s="1"/>
  <c r="N11" i="13" s="1"/>
  <c r="J11" i="13"/>
  <c r="N10" i="13"/>
  <c r="M10" i="13"/>
  <c r="L10" i="13"/>
  <c r="K10" i="13"/>
  <c r="J10" i="13"/>
  <c r="L9" i="13"/>
  <c r="K9" i="13"/>
  <c r="M9" i="13" s="1"/>
  <c r="N9" i="13" s="1"/>
  <c r="J9" i="13"/>
  <c r="N8" i="13"/>
  <c r="L8" i="13"/>
  <c r="K8" i="13"/>
  <c r="M8" i="13" s="1"/>
  <c r="J8" i="13"/>
  <c r="L7" i="13"/>
  <c r="K7" i="13"/>
  <c r="J7" i="13"/>
  <c r="L6" i="13"/>
  <c r="M6" i="13" s="1"/>
  <c r="N6" i="13" s="1"/>
  <c r="K6" i="13"/>
  <c r="J6" i="13"/>
  <c r="M5" i="13"/>
  <c r="N5" i="13" s="1"/>
  <c r="L5" i="13"/>
  <c r="K5" i="13"/>
  <c r="J5" i="13"/>
  <c r="O31" i="11"/>
  <c r="N31" i="11"/>
  <c r="M31" i="11"/>
  <c r="L31" i="11"/>
  <c r="O30" i="11"/>
  <c r="N30" i="11"/>
  <c r="M30" i="11"/>
  <c r="L30" i="11"/>
  <c r="O29" i="11"/>
  <c r="N29" i="11"/>
  <c r="M29" i="11"/>
  <c r="L29" i="11"/>
  <c r="O28" i="11"/>
  <c r="N28" i="11"/>
  <c r="M28" i="11"/>
  <c r="L28" i="11"/>
  <c r="O27" i="11"/>
  <c r="N27" i="11"/>
  <c r="M27" i="11"/>
  <c r="L27" i="11"/>
  <c r="O26" i="11"/>
  <c r="N26" i="11"/>
  <c r="M26" i="11"/>
  <c r="L26" i="11"/>
  <c r="O25" i="11"/>
  <c r="N25" i="11"/>
  <c r="M25" i="11"/>
  <c r="L25" i="11"/>
  <c r="O24" i="11"/>
  <c r="N24" i="11"/>
  <c r="M24" i="11"/>
  <c r="L24" i="11"/>
  <c r="O23" i="11"/>
  <c r="N23" i="11"/>
  <c r="M23" i="11"/>
  <c r="L23" i="11"/>
  <c r="O22" i="11"/>
  <c r="N22" i="11"/>
  <c r="M22" i="11"/>
  <c r="L22" i="11"/>
  <c r="O21" i="11"/>
  <c r="N21" i="11"/>
  <c r="M21" i="11"/>
  <c r="L21" i="11"/>
  <c r="O20" i="11"/>
  <c r="N20" i="11"/>
  <c r="M20" i="11"/>
  <c r="L20" i="11"/>
  <c r="O19" i="11"/>
  <c r="N19" i="11"/>
  <c r="M19" i="11"/>
  <c r="L19" i="11"/>
  <c r="O18" i="11"/>
  <c r="N18" i="11"/>
  <c r="M18" i="11"/>
  <c r="L18" i="11"/>
  <c r="O17" i="11"/>
  <c r="N17" i="11"/>
  <c r="M17" i="11"/>
  <c r="L17" i="11"/>
  <c r="O16" i="11"/>
  <c r="N16" i="11"/>
  <c r="M16" i="11"/>
  <c r="L16" i="11"/>
  <c r="O15" i="11"/>
  <c r="N15" i="11"/>
  <c r="M15" i="11"/>
  <c r="L15" i="11"/>
  <c r="O14" i="11"/>
  <c r="N14" i="11"/>
  <c r="M14" i="11"/>
  <c r="L14" i="11"/>
  <c r="O13" i="11"/>
  <c r="N13" i="11"/>
  <c r="M13" i="11"/>
  <c r="L13" i="11"/>
  <c r="O12" i="11"/>
  <c r="N12" i="11"/>
  <c r="M12" i="11"/>
  <c r="L12" i="11"/>
  <c r="O11" i="11"/>
  <c r="N11" i="11"/>
  <c r="M11" i="11"/>
  <c r="L11" i="11"/>
  <c r="O10" i="11"/>
  <c r="N10" i="11"/>
  <c r="M10" i="11"/>
  <c r="L10" i="11"/>
  <c r="M9" i="11"/>
  <c r="L9" i="11"/>
  <c r="M8" i="11"/>
  <c r="L8" i="11"/>
  <c r="M7" i="11"/>
  <c r="L7" i="11"/>
  <c r="N7" i="11" s="1"/>
  <c r="O7" i="11" s="1"/>
  <c r="M6" i="11"/>
  <c r="L6" i="11"/>
  <c r="M5" i="11"/>
  <c r="L5" i="11"/>
  <c r="N5" i="11" s="1"/>
  <c r="O5" i="11" s="1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AH25" i="10"/>
  <c r="AG25" i="10"/>
  <c r="W25" i="10"/>
  <c r="AH24" i="10"/>
  <c r="AG24" i="10"/>
  <c r="W24" i="10"/>
  <c r="AG23" i="10"/>
  <c r="AH23" i="10" s="1"/>
  <c r="W23" i="10"/>
  <c r="AG22" i="10"/>
  <c r="AH22" i="10" s="1"/>
  <c r="W22" i="10"/>
  <c r="AH21" i="10"/>
  <c r="AG21" i="10"/>
  <c r="AF21" i="10"/>
  <c r="AA21" i="10"/>
  <c r="Z21" i="10"/>
  <c r="Y21" i="10"/>
  <c r="X21" i="10"/>
  <c r="AC21" i="10" s="1"/>
  <c r="W21" i="10"/>
  <c r="AH20" i="10"/>
  <c r="AG20" i="10"/>
  <c r="W20" i="10"/>
  <c r="AH19" i="10"/>
  <c r="AG19" i="10"/>
  <c r="W19" i="10"/>
  <c r="AG18" i="10"/>
  <c r="AH18" i="10" s="1"/>
  <c r="W18" i="10"/>
  <c r="AG17" i="10"/>
  <c r="AH17" i="10" s="1"/>
  <c r="W17" i="10"/>
  <c r="AH16" i="10"/>
  <c r="AG16" i="10"/>
  <c r="W16" i="10"/>
  <c r="AH15" i="10"/>
  <c r="AG15" i="10"/>
  <c r="W15" i="10"/>
  <c r="AG14" i="10"/>
  <c r="AH14" i="10" s="1"/>
  <c r="W14" i="10"/>
  <c r="AG13" i="10"/>
  <c r="AH13" i="10" s="1"/>
  <c r="AF13" i="10"/>
  <c r="W13" i="10"/>
  <c r="AG12" i="10"/>
  <c r="AH12" i="10" s="1"/>
  <c r="W12" i="10"/>
  <c r="AH11" i="10"/>
  <c r="AG11" i="10"/>
  <c r="W11" i="10"/>
  <c r="AH10" i="10"/>
  <c r="AG10" i="10"/>
  <c r="AF10" i="10"/>
  <c r="W10" i="10"/>
  <c r="AH9" i="10"/>
  <c r="AG9" i="10"/>
  <c r="AF9" i="10"/>
  <c r="W9" i="10"/>
  <c r="AH8" i="10"/>
  <c r="AG8" i="10"/>
  <c r="AF8" i="10"/>
  <c r="W8" i="10"/>
  <c r="AH7" i="10"/>
  <c r="AG7" i="10"/>
  <c r="AF7" i="10"/>
  <c r="W7" i="10"/>
  <c r="AH6" i="10"/>
  <c r="AG6" i="10"/>
  <c r="W6" i="10"/>
  <c r="AG5" i="10"/>
  <c r="AH5" i="10" s="1"/>
  <c r="AF5" i="10"/>
  <c r="W5" i="10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M18" i="9"/>
  <c r="N18" i="9" s="1"/>
  <c r="N17" i="9"/>
  <c r="M17" i="9"/>
  <c r="M16" i="9"/>
  <c r="N16" i="9" s="1"/>
  <c r="M15" i="9"/>
  <c r="N15" i="9" s="1"/>
  <c r="M14" i="9"/>
  <c r="N14" i="9" s="1"/>
  <c r="N13" i="9"/>
  <c r="M13" i="9"/>
  <c r="N12" i="9"/>
  <c r="M12" i="9"/>
  <c r="N11" i="9"/>
  <c r="M11" i="9"/>
  <c r="M10" i="9"/>
  <c r="N10" i="9" s="1"/>
  <c r="N9" i="9"/>
  <c r="M9" i="9"/>
  <c r="N8" i="9"/>
  <c r="M8" i="9"/>
  <c r="M7" i="9"/>
  <c r="N7" i="9" s="1"/>
  <c r="N6" i="9"/>
  <c r="M6" i="9"/>
  <c r="M5" i="9"/>
  <c r="N5" i="9" s="1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S34" i="7"/>
  <c r="R34" i="7"/>
  <c r="P34" i="7"/>
  <c r="Q34" i="7" s="1"/>
  <c r="S33" i="7"/>
  <c r="R33" i="7"/>
  <c r="P33" i="7"/>
  <c r="Q33" i="7" s="1"/>
  <c r="S32" i="7"/>
  <c r="R32" i="7"/>
  <c r="P32" i="7"/>
  <c r="Q32" i="7" s="1"/>
  <c r="S31" i="7"/>
  <c r="R31" i="7"/>
  <c r="P31" i="7"/>
  <c r="Q31" i="7" s="1"/>
  <c r="S30" i="7"/>
  <c r="R30" i="7"/>
  <c r="P30" i="7"/>
  <c r="Q30" i="7" s="1"/>
  <c r="S29" i="7"/>
  <c r="R29" i="7"/>
  <c r="P29" i="7"/>
  <c r="Q29" i="7" s="1"/>
  <c r="S28" i="7"/>
  <c r="R28" i="7"/>
  <c r="P28" i="7"/>
  <c r="Q28" i="7" s="1"/>
  <c r="S27" i="7"/>
  <c r="R27" i="7"/>
  <c r="P27" i="7"/>
  <c r="Q27" i="7" s="1"/>
  <c r="S26" i="7"/>
  <c r="R26" i="7"/>
  <c r="P26" i="7"/>
  <c r="Q26" i="7" s="1"/>
  <c r="S25" i="7"/>
  <c r="R25" i="7"/>
  <c r="P25" i="7"/>
  <c r="Q25" i="7" s="1"/>
  <c r="S24" i="7"/>
  <c r="R24" i="7"/>
  <c r="P24" i="7"/>
  <c r="Q24" i="7" s="1"/>
  <c r="S23" i="7"/>
  <c r="R23" i="7"/>
  <c r="P23" i="7"/>
  <c r="Q23" i="7" s="1"/>
  <c r="S22" i="7"/>
  <c r="R22" i="7"/>
  <c r="P22" i="7"/>
  <c r="Q22" i="7" s="1"/>
  <c r="S21" i="7"/>
  <c r="R21" i="7"/>
  <c r="P21" i="7"/>
  <c r="Q21" i="7" s="1"/>
  <c r="S20" i="7"/>
  <c r="R20" i="7"/>
  <c r="P20" i="7"/>
  <c r="Q20" i="7" s="1"/>
  <c r="S19" i="7"/>
  <c r="R19" i="7"/>
  <c r="P19" i="7"/>
  <c r="Q19" i="7" s="1"/>
  <c r="S18" i="7"/>
  <c r="R18" i="7"/>
  <c r="P18" i="7"/>
  <c r="Q18" i="7" s="1"/>
  <c r="S17" i="7"/>
  <c r="R17" i="7"/>
  <c r="P17" i="7"/>
  <c r="Q17" i="7" s="1"/>
  <c r="S16" i="7"/>
  <c r="R16" i="7"/>
  <c r="P16" i="7"/>
  <c r="Q16" i="7" s="1"/>
  <c r="S15" i="7"/>
  <c r="R15" i="7"/>
  <c r="P15" i="7"/>
  <c r="Q15" i="7" s="1"/>
  <c r="S14" i="7"/>
  <c r="R14" i="7"/>
  <c r="P14" i="7"/>
  <c r="Q14" i="7" s="1"/>
  <c r="R13" i="7"/>
  <c r="P13" i="7"/>
  <c r="Q13" i="7" s="1"/>
  <c r="S13" i="7" s="1"/>
  <c r="R12" i="7"/>
  <c r="Q12" i="7"/>
  <c r="S12" i="7" s="1"/>
  <c r="P12" i="7"/>
  <c r="S11" i="7"/>
  <c r="R11" i="7"/>
  <c r="Q11" i="7"/>
  <c r="P11" i="7"/>
  <c r="S10" i="7"/>
  <c r="R10" i="7"/>
  <c r="Q10" i="7"/>
  <c r="P10" i="7"/>
  <c r="S9" i="7"/>
  <c r="R9" i="7"/>
  <c r="Q9" i="7"/>
  <c r="P9" i="7"/>
  <c r="S8" i="7"/>
  <c r="R8" i="7"/>
  <c r="Q8" i="7"/>
  <c r="P8" i="7"/>
  <c r="S7" i="7"/>
  <c r="R7" i="7"/>
  <c r="Q7" i="7"/>
  <c r="P7" i="7"/>
  <c r="R6" i="7"/>
  <c r="P6" i="7"/>
  <c r="Q6" i="7" s="1"/>
  <c r="S6" i="7" s="1"/>
  <c r="R5" i="7"/>
  <c r="P5" i="7"/>
  <c r="Q5" i="7" s="1"/>
  <c r="S5" i="7" s="1"/>
  <c r="AA85" i="6"/>
  <c r="Y85" i="6"/>
  <c r="Z85" i="6" s="1"/>
  <c r="X85" i="6"/>
  <c r="W85" i="6"/>
  <c r="V85" i="6"/>
  <c r="C85" i="6"/>
  <c r="AA84" i="6"/>
  <c r="Y84" i="6"/>
  <c r="Z84" i="6" s="1"/>
  <c r="X84" i="6"/>
  <c r="W84" i="6"/>
  <c r="V84" i="6"/>
  <c r="C84" i="6"/>
  <c r="AA83" i="6"/>
  <c r="Y83" i="6"/>
  <c r="Z83" i="6" s="1"/>
  <c r="X83" i="6"/>
  <c r="W83" i="6"/>
  <c r="V83" i="6"/>
  <c r="C83" i="6"/>
  <c r="AA82" i="6"/>
  <c r="Y82" i="6"/>
  <c r="Z82" i="6" s="1"/>
  <c r="X82" i="6"/>
  <c r="W82" i="6"/>
  <c r="V82" i="6"/>
  <c r="C82" i="6"/>
  <c r="AA81" i="6"/>
  <c r="Y81" i="6"/>
  <c r="Z81" i="6" s="1"/>
  <c r="X81" i="6"/>
  <c r="W81" i="6"/>
  <c r="V81" i="6"/>
  <c r="C81" i="6"/>
  <c r="AA80" i="6"/>
  <c r="Z80" i="6"/>
  <c r="Y80" i="6"/>
  <c r="X80" i="6"/>
  <c r="W80" i="6"/>
  <c r="V80" i="6"/>
  <c r="C80" i="6"/>
  <c r="AA79" i="6"/>
  <c r="Z79" i="6"/>
  <c r="Y79" i="6"/>
  <c r="X79" i="6"/>
  <c r="W79" i="6"/>
  <c r="V79" i="6"/>
  <c r="C79" i="6"/>
  <c r="AA78" i="6"/>
  <c r="Y78" i="6"/>
  <c r="Z78" i="6" s="1"/>
  <c r="X78" i="6"/>
  <c r="W78" i="6"/>
  <c r="V78" i="6"/>
  <c r="C78" i="6"/>
  <c r="AA77" i="6"/>
  <c r="Y77" i="6"/>
  <c r="Z77" i="6" s="1"/>
  <c r="X77" i="6"/>
  <c r="W77" i="6"/>
  <c r="V77" i="6"/>
  <c r="C77" i="6"/>
  <c r="AA76" i="6"/>
  <c r="Z76" i="6"/>
  <c r="Y76" i="6"/>
  <c r="X76" i="6"/>
  <c r="W76" i="6"/>
  <c r="V76" i="6"/>
  <c r="C76" i="6"/>
  <c r="AA75" i="6"/>
  <c r="Y75" i="6"/>
  <c r="Z75" i="6" s="1"/>
  <c r="X75" i="6"/>
  <c r="W75" i="6"/>
  <c r="V75" i="6"/>
  <c r="C75" i="6"/>
  <c r="AA74" i="6"/>
  <c r="Y74" i="6"/>
  <c r="Z74" i="6" s="1"/>
  <c r="X74" i="6"/>
  <c r="W74" i="6"/>
  <c r="V74" i="6"/>
  <c r="C74" i="6"/>
  <c r="AA73" i="6"/>
  <c r="Y73" i="6"/>
  <c r="Z73" i="6" s="1"/>
  <c r="X73" i="6"/>
  <c r="W73" i="6"/>
  <c r="V73" i="6"/>
  <c r="C73" i="6"/>
  <c r="AA72" i="6"/>
  <c r="Y72" i="6"/>
  <c r="Z72" i="6" s="1"/>
  <c r="X72" i="6"/>
  <c r="W72" i="6"/>
  <c r="V72" i="6"/>
  <c r="C72" i="6"/>
  <c r="AA71" i="6"/>
  <c r="Y71" i="6"/>
  <c r="Z71" i="6" s="1"/>
  <c r="X71" i="6"/>
  <c r="W71" i="6"/>
  <c r="V71" i="6"/>
  <c r="C71" i="6"/>
  <c r="AA70" i="6"/>
  <c r="Z70" i="6"/>
  <c r="Y70" i="6"/>
  <c r="X70" i="6"/>
  <c r="W70" i="6"/>
  <c r="V70" i="6"/>
  <c r="C70" i="6"/>
  <c r="AA69" i="6"/>
  <c r="Y69" i="6"/>
  <c r="Z69" i="6" s="1"/>
  <c r="X69" i="6"/>
  <c r="W69" i="6"/>
  <c r="V69" i="6"/>
  <c r="C69" i="6"/>
  <c r="AA68" i="6"/>
  <c r="Y68" i="6"/>
  <c r="Z68" i="6" s="1"/>
  <c r="X68" i="6"/>
  <c r="W68" i="6"/>
  <c r="V68" i="6"/>
  <c r="C68" i="6"/>
  <c r="AA67" i="6"/>
  <c r="Z67" i="6"/>
  <c r="Y67" i="6"/>
  <c r="X67" i="6"/>
  <c r="W67" i="6"/>
  <c r="V67" i="6"/>
  <c r="C67" i="6"/>
  <c r="AA66" i="6"/>
  <c r="Y66" i="6"/>
  <c r="Z66" i="6" s="1"/>
  <c r="X66" i="6"/>
  <c r="W66" i="6"/>
  <c r="V66" i="6"/>
  <c r="C66" i="6"/>
  <c r="AA65" i="6"/>
  <c r="Y65" i="6"/>
  <c r="Z65" i="6" s="1"/>
  <c r="X65" i="6"/>
  <c r="W65" i="6"/>
  <c r="V65" i="6"/>
  <c r="C65" i="6"/>
  <c r="AA64" i="6"/>
  <c r="Z64" i="6"/>
  <c r="Y64" i="6"/>
  <c r="X64" i="6"/>
  <c r="W64" i="6"/>
  <c r="V64" i="6"/>
  <c r="C64" i="6"/>
  <c r="AA63" i="6"/>
  <c r="Y63" i="6"/>
  <c r="Z63" i="6" s="1"/>
  <c r="X63" i="6"/>
  <c r="W63" i="6"/>
  <c r="V63" i="6"/>
  <c r="C63" i="6"/>
  <c r="AA62" i="6"/>
  <c r="Y62" i="6"/>
  <c r="Z62" i="6" s="1"/>
  <c r="X62" i="6"/>
  <c r="W62" i="6"/>
  <c r="V62" i="6"/>
  <c r="C62" i="6"/>
  <c r="AA61" i="6"/>
  <c r="Y61" i="6"/>
  <c r="Z61" i="6" s="1"/>
  <c r="X61" i="6"/>
  <c r="W61" i="6"/>
  <c r="V61" i="6"/>
  <c r="C61" i="6"/>
  <c r="AA60" i="6"/>
  <c r="Y60" i="6"/>
  <c r="Z60" i="6" s="1"/>
  <c r="X60" i="6"/>
  <c r="W60" i="6"/>
  <c r="V60" i="6"/>
  <c r="C60" i="6"/>
  <c r="AA59" i="6"/>
  <c r="Y59" i="6"/>
  <c r="Z59" i="6" s="1"/>
  <c r="X59" i="6"/>
  <c r="W59" i="6"/>
  <c r="V59" i="6"/>
  <c r="C59" i="6"/>
  <c r="AA58" i="6"/>
  <c r="Z58" i="6"/>
  <c r="Y58" i="6"/>
  <c r="X58" i="6"/>
  <c r="W58" i="6"/>
  <c r="V58" i="6"/>
  <c r="C58" i="6"/>
  <c r="AA57" i="6"/>
  <c r="Y57" i="6"/>
  <c r="Z57" i="6" s="1"/>
  <c r="X57" i="6"/>
  <c r="W57" i="6"/>
  <c r="V57" i="6"/>
  <c r="C57" i="6"/>
  <c r="AA56" i="6"/>
  <c r="Y56" i="6"/>
  <c r="Z56" i="6" s="1"/>
  <c r="X56" i="6"/>
  <c r="W56" i="6"/>
  <c r="V56" i="6"/>
  <c r="C56" i="6"/>
  <c r="AA55" i="6"/>
  <c r="Z55" i="6"/>
  <c r="Y55" i="6"/>
  <c r="X55" i="6"/>
  <c r="W55" i="6"/>
  <c r="V55" i="6"/>
  <c r="C55" i="6"/>
  <c r="AA54" i="6"/>
  <c r="Z54" i="6"/>
  <c r="Y54" i="6"/>
  <c r="X54" i="6"/>
  <c r="W54" i="6"/>
  <c r="V54" i="6"/>
  <c r="C54" i="6"/>
  <c r="AA53" i="6"/>
  <c r="Y53" i="6"/>
  <c r="Z53" i="6" s="1"/>
  <c r="X53" i="6"/>
  <c r="W53" i="6"/>
  <c r="V53" i="6"/>
  <c r="C53" i="6"/>
  <c r="AA52" i="6"/>
  <c r="Z52" i="6"/>
  <c r="Y52" i="6"/>
  <c r="X52" i="6"/>
  <c r="W52" i="6"/>
  <c r="V52" i="6"/>
  <c r="C52" i="6"/>
  <c r="AA51" i="6"/>
  <c r="Z51" i="6"/>
  <c r="Y51" i="6"/>
  <c r="X51" i="6"/>
  <c r="W51" i="6"/>
  <c r="V51" i="6"/>
  <c r="C51" i="6"/>
  <c r="AA50" i="6"/>
  <c r="Y50" i="6"/>
  <c r="Z50" i="6" s="1"/>
  <c r="X50" i="6"/>
  <c r="W50" i="6"/>
  <c r="V50" i="6"/>
  <c r="C50" i="6"/>
  <c r="AA49" i="6"/>
  <c r="Y49" i="6"/>
  <c r="Z49" i="6" s="1"/>
  <c r="X49" i="6"/>
  <c r="W49" i="6"/>
  <c r="V49" i="6"/>
  <c r="C49" i="6"/>
  <c r="AA48" i="6"/>
  <c r="Y48" i="6"/>
  <c r="Z48" i="6" s="1"/>
  <c r="X48" i="6"/>
  <c r="W48" i="6"/>
  <c r="V48" i="6"/>
  <c r="C48" i="6"/>
  <c r="AA47" i="6"/>
  <c r="Y47" i="6"/>
  <c r="Z47" i="6" s="1"/>
  <c r="X47" i="6"/>
  <c r="W47" i="6"/>
  <c r="V47" i="6"/>
  <c r="C47" i="6"/>
  <c r="AA46" i="6"/>
  <c r="Z46" i="6"/>
  <c r="Y46" i="6"/>
  <c r="X46" i="6"/>
  <c r="W46" i="6"/>
  <c r="V46" i="6"/>
  <c r="C46" i="6"/>
  <c r="Y45" i="6"/>
  <c r="Z45" i="6" s="1"/>
  <c r="X45" i="6"/>
  <c r="V45" i="6"/>
  <c r="W45" i="6" s="1"/>
  <c r="C45" i="6"/>
  <c r="Y44" i="6"/>
  <c r="X44" i="6"/>
  <c r="W44" i="6"/>
  <c r="V44" i="6"/>
  <c r="C44" i="6"/>
  <c r="Y43" i="6"/>
  <c r="Z43" i="6" s="1"/>
  <c r="X43" i="6"/>
  <c r="V43" i="6"/>
  <c r="W43" i="6" s="1"/>
  <c r="C43" i="6"/>
  <c r="Y42" i="6"/>
  <c r="AA42" i="6" s="1"/>
  <c r="X42" i="6"/>
  <c r="W42" i="6"/>
  <c r="V42" i="6"/>
  <c r="C42" i="6"/>
  <c r="Z41" i="6"/>
  <c r="Y41" i="6"/>
  <c r="X41" i="6"/>
  <c r="V41" i="6"/>
  <c r="W41" i="6" s="1"/>
  <c r="C41" i="6"/>
  <c r="Y40" i="6"/>
  <c r="X40" i="6"/>
  <c r="V40" i="6"/>
  <c r="W40" i="6" s="1"/>
  <c r="C40" i="6"/>
  <c r="Y39" i="6"/>
  <c r="Z39" i="6" s="1"/>
  <c r="X39" i="6"/>
  <c r="AA39" i="6" s="1"/>
  <c r="W39" i="6"/>
  <c r="V39" i="6"/>
  <c r="C39" i="6"/>
  <c r="AA38" i="6"/>
  <c r="Z38" i="6"/>
  <c r="Y38" i="6"/>
  <c r="X38" i="6"/>
  <c r="W38" i="6"/>
  <c r="V38" i="6"/>
  <c r="C38" i="6"/>
  <c r="Y37" i="6"/>
  <c r="AA37" i="6" s="1"/>
  <c r="X37" i="6"/>
  <c r="V37" i="6"/>
  <c r="W37" i="6" s="1"/>
  <c r="C37" i="6"/>
  <c r="Y36" i="6"/>
  <c r="X36" i="6"/>
  <c r="V36" i="6"/>
  <c r="W36" i="6" s="1"/>
  <c r="C36" i="6"/>
  <c r="Z35" i="6"/>
  <c r="Y35" i="6"/>
  <c r="X35" i="6"/>
  <c r="AA35" i="6" s="1"/>
  <c r="W35" i="6"/>
  <c r="V35" i="6"/>
  <c r="C35" i="6"/>
  <c r="Z34" i="6"/>
  <c r="Y34" i="6"/>
  <c r="X34" i="6"/>
  <c r="V34" i="6"/>
  <c r="AA34" i="6" s="1"/>
  <c r="C34" i="6"/>
  <c r="Y33" i="6"/>
  <c r="X33" i="6"/>
  <c r="V33" i="6"/>
  <c r="W33" i="6" s="1"/>
  <c r="C33" i="6"/>
  <c r="Y32" i="6"/>
  <c r="X32" i="6"/>
  <c r="W32" i="6"/>
  <c r="V32" i="6"/>
  <c r="C32" i="6"/>
  <c r="Z31" i="6"/>
  <c r="Y31" i="6"/>
  <c r="X31" i="6"/>
  <c r="V31" i="6"/>
  <c r="W31" i="6" s="1"/>
  <c r="C31" i="6"/>
  <c r="Y30" i="6"/>
  <c r="AA30" i="6" s="1"/>
  <c r="X30" i="6"/>
  <c r="V30" i="6"/>
  <c r="W30" i="6" s="1"/>
  <c r="C30" i="6"/>
  <c r="Z29" i="6"/>
  <c r="Y29" i="6"/>
  <c r="X29" i="6"/>
  <c r="V29" i="6"/>
  <c r="W29" i="6" s="1"/>
  <c r="C29" i="6"/>
  <c r="Y28" i="6"/>
  <c r="X28" i="6"/>
  <c r="W28" i="6"/>
  <c r="V28" i="6"/>
  <c r="C28" i="6"/>
  <c r="Z27" i="6"/>
  <c r="Y27" i="6"/>
  <c r="X27" i="6"/>
  <c r="V27" i="6"/>
  <c r="AA27" i="6" s="1"/>
  <c r="C27" i="6"/>
  <c r="Y26" i="6"/>
  <c r="AA26" i="6" s="1"/>
  <c r="X26" i="6"/>
  <c r="V26" i="6"/>
  <c r="W26" i="6" s="1"/>
  <c r="C26" i="6"/>
  <c r="Z25" i="6"/>
  <c r="Y25" i="6"/>
  <c r="X25" i="6"/>
  <c r="V25" i="6"/>
  <c r="W25" i="6" s="1"/>
  <c r="C25" i="6"/>
  <c r="Y24" i="6"/>
  <c r="X24" i="6"/>
  <c r="W24" i="6"/>
  <c r="V24" i="6"/>
  <c r="C24" i="6"/>
  <c r="Y23" i="6"/>
  <c r="Z23" i="6" s="1"/>
  <c r="X23" i="6"/>
  <c r="V23" i="6"/>
  <c r="W23" i="6" s="1"/>
  <c r="C23" i="6"/>
  <c r="Y22" i="6"/>
  <c r="AA22" i="6" s="1"/>
  <c r="X22" i="6"/>
  <c r="W22" i="6"/>
  <c r="V22" i="6"/>
  <c r="C22" i="6"/>
  <c r="Z21" i="6"/>
  <c r="Y21" i="6"/>
  <c r="X21" i="6"/>
  <c r="V21" i="6"/>
  <c r="W21" i="6" s="1"/>
  <c r="C21" i="6"/>
  <c r="Y20" i="6"/>
  <c r="X20" i="6"/>
  <c r="V20" i="6"/>
  <c r="W20" i="6" s="1"/>
  <c r="C20" i="6"/>
  <c r="Y19" i="6"/>
  <c r="AA19" i="6" s="1"/>
  <c r="X19" i="6"/>
  <c r="V19" i="6"/>
  <c r="W19" i="6" s="1"/>
  <c r="C19" i="6"/>
  <c r="Y18" i="6"/>
  <c r="AA18" i="6" s="1"/>
  <c r="X18" i="6"/>
  <c r="W18" i="6"/>
  <c r="V18" i="6"/>
  <c r="C18" i="6"/>
  <c r="Z17" i="6"/>
  <c r="Y17" i="6"/>
  <c r="X17" i="6"/>
  <c r="V17" i="6"/>
  <c r="W17" i="6" s="1"/>
  <c r="C17" i="6"/>
  <c r="Y16" i="6"/>
  <c r="X16" i="6"/>
  <c r="V16" i="6"/>
  <c r="W16" i="6" s="1"/>
  <c r="C16" i="6"/>
  <c r="Y15" i="6"/>
  <c r="Z15" i="6" s="1"/>
  <c r="X15" i="6"/>
  <c r="AA15" i="6" s="1"/>
  <c r="W15" i="6"/>
  <c r="V15" i="6"/>
  <c r="C15" i="6"/>
  <c r="AA14" i="6"/>
  <c r="Z14" i="6"/>
  <c r="Y14" i="6"/>
  <c r="X14" i="6"/>
  <c r="W14" i="6"/>
  <c r="V14" i="6"/>
  <c r="C14" i="6"/>
  <c r="Y13" i="6"/>
  <c r="AA13" i="6" s="1"/>
  <c r="X13" i="6"/>
  <c r="V13" i="6"/>
  <c r="W13" i="6" s="1"/>
  <c r="C13" i="6"/>
  <c r="Y12" i="6"/>
  <c r="X12" i="6"/>
  <c r="V12" i="6"/>
  <c r="W12" i="6" s="1"/>
  <c r="C12" i="6"/>
  <c r="Z11" i="6"/>
  <c r="Y11" i="6"/>
  <c r="X11" i="6"/>
  <c r="AA11" i="6" s="1"/>
  <c r="W11" i="6"/>
  <c r="V11" i="6"/>
  <c r="C11" i="6"/>
  <c r="AA10" i="6"/>
  <c r="Z10" i="6"/>
  <c r="Y10" i="6"/>
  <c r="X10" i="6"/>
  <c r="V10" i="6"/>
  <c r="W10" i="6" s="1"/>
  <c r="C10" i="6"/>
  <c r="Y9" i="6"/>
  <c r="AA9" i="6" s="1"/>
  <c r="X9" i="6"/>
  <c r="V9" i="6"/>
  <c r="W9" i="6" s="1"/>
  <c r="C9" i="6"/>
  <c r="Y8" i="6"/>
  <c r="X8" i="6"/>
  <c r="W8" i="6"/>
  <c r="V8" i="6"/>
  <c r="C8" i="6"/>
  <c r="Z7" i="6"/>
  <c r="Y7" i="6"/>
  <c r="X7" i="6"/>
  <c r="V7" i="6"/>
  <c r="W7" i="6" s="1"/>
  <c r="C7" i="6"/>
  <c r="Y6" i="6"/>
  <c r="AA6" i="6" s="1"/>
  <c r="X6" i="6"/>
  <c r="V6" i="6"/>
  <c r="W6" i="6" s="1"/>
  <c r="C6" i="6"/>
  <c r="Z5" i="6"/>
  <c r="Y5" i="6"/>
  <c r="X5" i="6"/>
  <c r="V5" i="6"/>
  <c r="W5" i="6" s="1"/>
  <c r="C5" i="6"/>
  <c r="L77" i="5"/>
  <c r="K77" i="5"/>
  <c r="J77" i="5"/>
  <c r="L76" i="5"/>
  <c r="K76" i="5"/>
  <c r="J76" i="5"/>
  <c r="L75" i="5"/>
  <c r="K75" i="5"/>
  <c r="J75" i="5"/>
  <c r="L74" i="5"/>
  <c r="K74" i="5"/>
  <c r="J74" i="5"/>
  <c r="L73" i="5"/>
  <c r="K73" i="5"/>
  <c r="J73" i="5"/>
  <c r="L72" i="5"/>
  <c r="K72" i="5"/>
  <c r="J72" i="5"/>
  <c r="L71" i="5"/>
  <c r="K71" i="5"/>
  <c r="J71" i="5"/>
  <c r="L70" i="5"/>
  <c r="K70" i="5"/>
  <c r="J70" i="5"/>
  <c r="L69" i="5"/>
  <c r="K69" i="5"/>
  <c r="J69" i="5"/>
  <c r="L68" i="5"/>
  <c r="K68" i="5"/>
  <c r="J68" i="5"/>
  <c r="L67" i="5"/>
  <c r="K67" i="5"/>
  <c r="J67" i="5"/>
  <c r="L66" i="5"/>
  <c r="K66" i="5"/>
  <c r="J66" i="5"/>
  <c r="L65" i="5"/>
  <c r="K65" i="5"/>
  <c r="J65" i="5"/>
  <c r="L64" i="5"/>
  <c r="K64" i="5"/>
  <c r="J64" i="5"/>
  <c r="L63" i="5"/>
  <c r="K63" i="5"/>
  <c r="J63" i="5"/>
  <c r="L62" i="5"/>
  <c r="K62" i="5"/>
  <c r="J62" i="5"/>
  <c r="L61" i="5"/>
  <c r="K61" i="5"/>
  <c r="J61" i="5"/>
  <c r="L60" i="5"/>
  <c r="K60" i="5"/>
  <c r="J60" i="5"/>
  <c r="L59" i="5"/>
  <c r="K59" i="5"/>
  <c r="J59" i="5"/>
  <c r="L58" i="5"/>
  <c r="K58" i="5"/>
  <c r="J58" i="5"/>
  <c r="L57" i="5"/>
  <c r="K57" i="5"/>
  <c r="J57" i="5"/>
  <c r="L56" i="5"/>
  <c r="K56" i="5"/>
  <c r="J56" i="5"/>
  <c r="L55" i="5"/>
  <c r="K55" i="5"/>
  <c r="J55" i="5"/>
  <c r="L54" i="5"/>
  <c r="K54" i="5"/>
  <c r="J54" i="5"/>
  <c r="L53" i="5"/>
  <c r="K53" i="5"/>
  <c r="J53" i="5"/>
  <c r="L52" i="5"/>
  <c r="K52" i="5"/>
  <c r="J52" i="5"/>
  <c r="L51" i="5"/>
  <c r="K51" i="5"/>
  <c r="J51" i="5"/>
  <c r="L50" i="5"/>
  <c r="K50" i="5"/>
  <c r="J50" i="5"/>
  <c r="L49" i="5"/>
  <c r="K49" i="5"/>
  <c r="J49" i="5"/>
  <c r="L48" i="5"/>
  <c r="K48" i="5"/>
  <c r="J48" i="5"/>
  <c r="L47" i="5"/>
  <c r="K47" i="5"/>
  <c r="J47" i="5"/>
  <c r="L46" i="5"/>
  <c r="K46" i="5"/>
  <c r="J46" i="5"/>
  <c r="L45" i="5"/>
  <c r="K45" i="5"/>
  <c r="J45" i="5"/>
  <c r="L44" i="5"/>
  <c r="K44" i="5"/>
  <c r="J44" i="5"/>
  <c r="L43" i="5"/>
  <c r="K43" i="5"/>
  <c r="J43" i="5"/>
  <c r="L42" i="5"/>
  <c r="K42" i="5"/>
  <c r="J42" i="5"/>
  <c r="L41" i="5"/>
  <c r="K41" i="5"/>
  <c r="J41" i="5"/>
  <c r="L40" i="5"/>
  <c r="K40" i="5"/>
  <c r="J40" i="5"/>
  <c r="L39" i="5"/>
  <c r="K39" i="5"/>
  <c r="J39" i="5"/>
  <c r="L38" i="5"/>
  <c r="K38" i="5"/>
  <c r="J38" i="5"/>
  <c r="L37" i="5"/>
  <c r="J37" i="5"/>
  <c r="K37" i="5" s="1"/>
  <c r="AN46" i="4" s="1"/>
  <c r="L36" i="5"/>
  <c r="K36" i="5"/>
  <c r="AN45" i="4" s="1"/>
  <c r="J36" i="5"/>
  <c r="L35" i="5"/>
  <c r="J35" i="5"/>
  <c r="K35" i="5" s="1"/>
  <c r="AN44" i="4" s="1"/>
  <c r="L34" i="5"/>
  <c r="J34" i="5"/>
  <c r="K34" i="5" s="1"/>
  <c r="AN42" i="4" s="1"/>
  <c r="L33" i="5"/>
  <c r="J33" i="5"/>
  <c r="K33" i="5" s="1"/>
  <c r="AN40" i="4" s="1"/>
  <c r="L32" i="5"/>
  <c r="J32" i="5"/>
  <c r="K32" i="5" s="1"/>
  <c r="AN39" i="4" s="1"/>
  <c r="L31" i="5"/>
  <c r="J31" i="5"/>
  <c r="K31" i="5" s="1"/>
  <c r="AN36" i="4" s="1"/>
  <c r="L30" i="5"/>
  <c r="K30" i="5"/>
  <c r="AN33" i="4" s="1"/>
  <c r="J30" i="5"/>
  <c r="L29" i="5"/>
  <c r="J29" i="5"/>
  <c r="K29" i="5" s="1"/>
  <c r="L28" i="5"/>
  <c r="K28" i="5"/>
  <c r="J28" i="5"/>
  <c r="L27" i="5"/>
  <c r="J27" i="5"/>
  <c r="K27" i="5" s="1"/>
  <c r="L26" i="5"/>
  <c r="J26" i="5"/>
  <c r="K26" i="5" s="1"/>
  <c r="L25" i="5"/>
  <c r="J25" i="5"/>
  <c r="K25" i="5" s="1"/>
  <c r="L24" i="5"/>
  <c r="J24" i="5"/>
  <c r="K24" i="5" s="1"/>
  <c r="AN28" i="4" s="1"/>
  <c r="L23" i="5"/>
  <c r="J23" i="5"/>
  <c r="K23" i="5" s="1"/>
  <c r="L22" i="5"/>
  <c r="K22" i="5"/>
  <c r="J22" i="5"/>
  <c r="L21" i="5"/>
  <c r="J21" i="5"/>
  <c r="K21" i="5" s="1"/>
  <c r="L20" i="5"/>
  <c r="K20" i="5"/>
  <c r="J20" i="5"/>
  <c r="L19" i="5"/>
  <c r="J19" i="5"/>
  <c r="K19" i="5" s="1"/>
  <c r="L18" i="5"/>
  <c r="J18" i="5"/>
  <c r="K18" i="5" s="1"/>
  <c r="L17" i="5"/>
  <c r="J17" i="5"/>
  <c r="K17" i="5" s="1"/>
  <c r="L16" i="5"/>
  <c r="J16" i="5"/>
  <c r="K16" i="5" s="1"/>
  <c r="L15" i="5"/>
  <c r="J15" i="5"/>
  <c r="K15" i="5" s="1"/>
  <c r="L14" i="5"/>
  <c r="K14" i="5"/>
  <c r="J14" i="5"/>
  <c r="L13" i="5"/>
  <c r="J13" i="5"/>
  <c r="K13" i="5" s="1"/>
  <c r="L12" i="5"/>
  <c r="K12" i="5"/>
  <c r="J12" i="5"/>
  <c r="L11" i="5"/>
  <c r="J11" i="5"/>
  <c r="K11" i="5" s="1"/>
  <c r="L10" i="5"/>
  <c r="J10" i="5"/>
  <c r="K10" i="5" s="1"/>
  <c r="L9" i="5"/>
  <c r="J9" i="5"/>
  <c r="K9" i="5" s="1"/>
  <c r="L8" i="5"/>
  <c r="J8" i="5"/>
  <c r="K8" i="5" s="1"/>
  <c r="L7" i="5"/>
  <c r="J7" i="5"/>
  <c r="K7" i="5" s="1"/>
  <c r="L6" i="5"/>
  <c r="K6" i="5"/>
  <c r="J6" i="5"/>
  <c r="L5" i="5"/>
  <c r="J5" i="5"/>
  <c r="K5" i="5" s="1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Q46" i="4"/>
  <c r="AM46" i="4"/>
  <c r="AA24" i="10" s="1"/>
  <c r="AI46" i="4"/>
  <c r="AG46" i="4"/>
  <c r="AE46" i="4"/>
  <c r="AD46" i="4"/>
  <c r="AL46" i="4" s="1"/>
  <c r="AC46" i="4"/>
  <c r="AQ45" i="4"/>
  <c r="AM45" i="4"/>
  <c r="AA18" i="10" s="1"/>
  <c r="AI45" i="4"/>
  <c r="AG45" i="4"/>
  <c r="AE45" i="4"/>
  <c r="AD45" i="4"/>
  <c r="AL45" i="4" s="1"/>
  <c r="AC45" i="4"/>
  <c r="AQ44" i="4"/>
  <c r="AM44" i="4"/>
  <c r="AA25" i="10" s="1"/>
  <c r="AI44" i="4"/>
  <c r="AG44" i="4"/>
  <c r="AE44" i="4"/>
  <c r="AD44" i="4"/>
  <c r="AL44" i="4" s="1"/>
  <c r="AC44" i="4"/>
  <c r="AN43" i="4"/>
  <c r="AM43" i="4"/>
  <c r="AI43" i="4"/>
  <c r="AG43" i="4"/>
  <c r="AE43" i="4"/>
  <c r="AD43" i="4"/>
  <c r="AL43" i="4" s="1"/>
  <c r="AC43" i="4"/>
  <c r="AQ42" i="4"/>
  <c r="AM42" i="4"/>
  <c r="AA17" i="10" s="1"/>
  <c r="AI42" i="4"/>
  <c r="AG42" i="4"/>
  <c r="AE42" i="4"/>
  <c r="AD42" i="4"/>
  <c r="AL42" i="4" s="1"/>
  <c r="AC42" i="4"/>
  <c r="AN41" i="4"/>
  <c r="AM41" i="4"/>
  <c r="AI41" i="4"/>
  <c r="AG41" i="4"/>
  <c r="AE41" i="4"/>
  <c r="AD41" i="4"/>
  <c r="AL41" i="4" s="1"/>
  <c r="AC41" i="4"/>
  <c r="AQ40" i="4"/>
  <c r="AM40" i="4"/>
  <c r="AA16" i="10" s="1"/>
  <c r="AI40" i="4"/>
  <c r="AG40" i="4"/>
  <c r="AE40" i="4"/>
  <c r="AD40" i="4"/>
  <c r="AL40" i="4" s="1"/>
  <c r="AC40" i="4"/>
  <c r="AQ39" i="4"/>
  <c r="AM39" i="4"/>
  <c r="AA15" i="10" s="1"/>
  <c r="AI39" i="4"/>
  <c r="AG39" i="4"/>
  <c r="AE39" i="4"/>
  <c r="AD39" i="4"/>
  <c r="AL39" i="4" s="1"/>
  <c r="AC39" i="4"/>
  <c r="AN38" i="4"/>
  <c r="AM38" i="4"/>
  <c r="AI38" i="4"/>
  <c r="AG38" i="4"/>
  <c r="AE38" i="4"/>
  <c r="AD38" i="4"/>
  <c r="AL38" i="4" s="1"/>
  <c r="AC38" i="4"/>
  <c r="AN37" i="4"/>
  <c r="AM37" i="4"/>
  <c r="AI37" i="4"/>
  <c r="AG37" i="4"/>
  <c r="AE37" i="4"/>
  <c r="AD37" i="4"/>
  <c r="AL37" i="4" s="1"/>
  <c r="AC37" i="4"/>
  <c r="AQ36" i="4"/>
  <c r="AM36" i="4"/>
  <c r="AA14" i="10" s="1"/>
  <c r="AI36" i="4"/>
  <c r="AG36" i="4"/>
  <c r="AE36" i="4"/>
  <c r="AD36" i="4"/>
  <c r="AL36" i="4" s="1"/>
  <c r="AC36" i="4"/>
  <c r="AN35" i="4"/>
  <c r="AM35" i="4"/>
  <c r="AI35" i="4"/>
  <c r="AG35" i="4"/>
  <c r="AE35" i="4"/>
  <c r="AD35" i="4"/>
  <c r="AL35" i="4" s="1"/>
  <c r="AC35" i="4"/>
  <c r="AN34" i="4"/>
  <c r="AM34" i="4"/>
  <c r="AI34" i="4"/>
  <c r="AG34" i="4"/>
  <c r="AE34" i="4"/>
  <c r="AD34" i="4"/>
  <c r="AL34" i="4" s="1"/>
  <c r="AC34" i="4"/>
  <c r="AQ33" i="4"/>
  <c r="AD33" i="4"/>
  <c r="AC33" i="4"/>
  <c r="AN32" i="4"/>
  <c r="AM32" i="4"/>
  <c r="AI32" i="4"/>
  <c r="AG32" i="4"/>
  <c r="AE32" i="4"/>
  <c r="AQ32" i="4" s="1"/>
  <c r="AD32" i="4"/>
  <c r="AL32" i="4" s="1"/>
  <c r="AC32" i="4"/>
  <c r="AN31" i="4"/>
  <c r="AM31" i="4"/>
  <c r="AI31" i="4"/>
  <c r="AG31" i="4"/>
  <c r="AE31" i="4"/>
  <c r="AQ31" i="4" s="1"/>
  <c r="AD31" i="4"/>
  <c r="AL31" i="4" s="1"/>
  <c r="AC31" i="4"/>
  <c r="AQ30" i="4"/>
  <c r="AN30" i="4"/>
  <c r="AD30" i="4"/>
  <c r="AC30" i="4"/>
  <c r="AQ29" i="4"/>
  <c r="AN29" i="4"/>
  <c r="AM29" i="4"/>
  <c r="AA23" i="10" s="1"/>
  <c r="AK29" i="4"/>
  <c r="AG29" i="4"/>
  <c r="Y23" i="10" s="1"/>
  <c r="AF29" i="4"/>
  <c r="X23" i="10" s="1"/>
  <c r="AD29" i="4"/>
  <c r="AL29" i="4" s="1"/>
  <c r="AC29" i="4"/>
  <c r="AQ28" i="4"/>
  <c r="AM28" i="4"/>
  <c r="AA12" i="10" s="1"/>
  <c r="AK28" i="4"/>
  <c r="AJ28" i="4"/>
  <c r="AG28" i="4"/>
  <c r="Y12" i="10" s="1"/>
  <c r="AF28" i="4"/>
  <c r="X12" i="10" s="1"/>
  <c r="AE28" i="4"/>
  <c r="AD28" i="4"/>
  <c r="AL28" i="4" s="1"/>
  <c r="AC28" i="4"/>
  <c r="AN27" i="4"/>
  <c r="AM27" i="4"/>
  <c r="AI27" i="4"/>
  <c r="AG27" i="4"/>
  <c r="AE27" i="4"/>
  <c r="AQ27" i="4" s="1"/>
  <c r="AD27" i="4"/>
  <c r="AC27" i="4"/>
  <c r="AN26" i="4"/>
  <c r="AM26" i="4"/>
  <c r="AK26" i="4"/>
  <c r="AJ26" i="4"/>
  <c r="AG26" i="4"/>
  <c r="AR26" i="4" s="1"/>
  <c r="AF26" i="4"/>
  <c r="AE26" i="4"/>
  <c r="AQ26" i="4" s="1"/>
  <c r="AD26" i="4"/>
  <c r="AL26" i="4" s="1"/>
  <c r="AC26" i="4"/>
  <c r="AN25" i="4"/>
  <c r="AI25" i="4"/>
  <c r="AG25" i="4"/>
  <c r="AD25" i="4"/>
  <c r="AC25" i="4"/>
  <c r="AN24" i="4"/>
  <c r="AI24" i="4"/>
  <c r="AG24" i="4"/>
  <c r="AD24" i="4"/>
  <c r="AC24" i="4"/>
  <c r="AN23" i="4"/>
  <c r="AK23" i="4"/>
  <c r="AI23" i="4"/>
  <c r="AF23" i="4"/>
  <c r="AE23" i="4"/>
  <c r="AQ23" i="4" s="1"/>
  <c r="AD23" i="4"/>
  <c r="AC23" i="4"/>
  <c r="AN22" i="4"/>
  <c r="AD22" i="4"/>
  <c r="AI22" i="4" s="1"/>
  <c r="AC22" i="4"/>
  <c r="AN21" i="4"/>
  <c r="AM21" i="4"/>
  <c r="AK21" i="4"/>
  <c r="AJ21" i="4"/>
  <c r="AG21" i="4"/>
  <c r="AF21" i="4"/>
  <c r="AE21" i="4"/>
  <c r="AQ21" i="4" s="1"/>
  <c r="AD21" i="4"/>
  <c r="AL21" i="4" s="1"/>
  <c r="AC21" i="4"/>
  <c r="AR20" i="4"/>
  <c r="AN20" i="4"/>
  <c r="AK20" i="4"/>
  <c r="AE20" i="4"/>
  <c r="AQ20" i="4" s="1"/>
  <c r="AD20" i="4"/>
  <c r="AG20" i="4" s="1"/>
  <c r="AC20" i="4"/>
  <c r="AN19" i="4"/>
  <c r="AM19" i="4"/>
  <c r="AK19" i="4"/>
  <c r="AJ19" i="4"/>
  <c r="AG19" i="4"/>
  <c r="AF19" i="4"/>
  <c r="AE19" i="4"/>
  <c r="AQ19" i="4" s="1"/>
  <c r="AD19" i="4"/>
  <c r="AL19" i="4" s="1"/>
  <c r="AC19" i="4"/>
  <c r="AN18" i="4"/>
  <c r="AK18" i="4"/>
  <c r="AJ18" i="4"/>
  <c r="AF18" i="4"/>
  <c r="AE18" i="4"/>
  <c r="AQ18" i="4" s="1"/>
  <c r="AD18" i="4"/>
  <c r="AL18" i="4" s="1"/>
  <c r="AC18" i="4"/>
  <c r="AQ17" i="4"/>
  <c r="AN17" i="4"/>
  <c r="AJ17" i="4"/>
  <c r="AE17" i="4"/>
  <c r="AD17" i="4"/>
  <c r="AL17" i="4" s="1"/>
  <c r="AC17" i="4"/>
  <c r="AN16" i="4"/>
  <c r="AD16" i="4"/>
  <c r="AL16" i="4" s="1"/>
  <c r="AC16" i="4"/>
  <c r="AN15" i="4"/>
  <c r="AK15" i="4"/>
  <c r="AJ15" i="4"/>
  <c r="AF15" i="4"/>
  <c r="AE15" i="4"/>
  <c r="AQ15" i="4" s="1"/>
  <c r="AD15" i="4"/>
  <c r="AL15" i="4" s="1"/>
  <c r="AC15" i="4"/>
  <c r="AN14" i="4"/>
  <c r="AD14" i="4"/>
  <c r="AL14" i="4" s="1"/>
  <c r="AC14" i="4"/>
  <c r="AQ13" i="4"/>
  <c r="AN13" i="4"/>
  <c r="AM13" i="4"/>
  <c r="AA11" i="10" s="1"/>
  <c r="AK13" i="4"/>
  <c r="AJ13" i="4"/>
  <c r="AG13" i="4"/>
  <c r="Y11" i="10" s="1"/>
  <c r="AF13" i="4"/>
  <c r="X11" i="10" s="1"/>
  <c r="AE13" i="4"/>
  <c r="AD13" i="4"/>
  <c r="AL13" i="4" s="1"/>
  <c r="AC13" i="4"/>
  <c r="AN12" i="4"/>
  <c r="AD12" i="4"/>
  <c r="AL12" i="4" s="1"/>
  <c r="AC12" i="4"/>
  <c r="AQ11" i="4"/>
  <c r="AN11" i="4"/>
  <c r="AM11" i="4"/>
  <c r="AA22" i="10" s="1"/>
  <c r="AG11" i="4"/>
  <c r="Y22" i="10" s="1"/>
  <c r="AD11" i="4"/>
  <c r="AL11" i="4" s="1"/>
  <c r="AC11" i="4"/>
  <c r="AQ10" i="4"/>
  <c r="AN10" i="4"/>
  <c r="AM10" i="4"/>
  <c r="AK10" i="4"/>
  <c r="AJ10" i="4"/>
  <c r="AG10" i="4"/>
  <c r="AF10" i="4"/>
  <c r="AE10" i="4"/>
  <c r="AD10" i="4"/>
  <c r="AL10" i="4" s="1"/>
  <c r="AC10" i="4"/>
  <c r="AN9" i="4"/>
  <c r="AM9" i="4"/>
  <c r="AG9" i="4"/>
  <c r="AD9" i="4"/>
  <c r="AL9" i="4" s="1"/>
  <c r="AC9" i="4"/>
  <c r="B22" i="2" s="1"/>
  <c r="E22" i="2" s="1"/>
  <c r="AQ8" i="4"/>
  <c r="AN8" i="4"/>
  <c r="AK8" i="4"/>
  <c r="AF8" i="4"/>
  <c r="X8" i="10" s="1"/>
  <c r="AD8" i="4"/>
  <c r="AM8" i="4" s="1"/>
  <c r="AA8" i="10" s="1"/>
  <c r="AC8" i="4"/>
  <c r="AQ7" i="4"/>
  <c r="AN7" i="4"/>
  <c r="AJ7" i="4"/>
  <c r="AF7" i="4"/>
  <c r="X7" i="10" s="1"/>
  <c r="AD7" i="4"/>
  <c r="AL7" i="4" s="1"/>
  <c r="AC7" i="4"/>
  <c r="AQ6" i="4"/>
  <c r="AN6" i="4"/>
  <c r="AJ6" i="4"/>
  <c r="AF6" i="4"/>
  <c r="X6" i="10" s="1"/>
  <c r="AD6" i="4"/>
  <c r="AL6" i="4" s="1"/>
  <c r="AC6" i="4"/>
  <c r="AQ5" i="4"/>
  <c r="AO5" i="4"/>
  <c r="AN5" i="4"/>
  <c r="AD5" i="4"/>
  <c r="AL5" i="4" s="1"/>
  <c r="AC5" i="4"/>
  <c r="B21" i="2"/>
  <c r="E21" i="2" s="1"/>
  <c r="B15" i="2"/>
  <c r="E15" i="2" s="1"/>
  <c r="E14" i="2"/>
  <c r="B14" i="2"/>
  <c r="B13" i="2"/>
  <c r="E13" i="2" s="1"/>
  <c r="E10" i="2"/>
  <c r="B9" i="2"/>
  <c r="E9" i="2" s="1"/>
  <c r="E6" i="2"/>
  <c r="E5" i="2"/>
  <c r="B5" i="2"/>
  <c r="AF11" i="4" l="1"/>
  <c r="X22" i="10" s="1"/>
  <c r="AK11" i="4"/>
  <c r="AG12" i="4"/>
  <c r="AM12" i="4"/>
  <c r="AF14" i="4"/>
  <c r="AK14" i="4"/>
  <c r="AI15" i="4"/>
  <c r="AF16" i="4"/>
  <c r="AK16" i="4"/>
  <c r="AG17" i="4"/>
  <c r="Y20" i="10" s="1"/>
  <c r="AM17" i="4"/>
  <c r="AA20" i="10" s="1"/>
  <c r="AI18" i="4"/>
  <c r="AL30" i="4"/>
  <c r="AM30" i="4"/>
  <c r="AA13" i="10" s="1"/>
  <c r="AF30" i="4"/>
  <c r="X13" i="10" s="1"/>
  <c r="AK30" i="4"/>
  <c r="AE30" i="4"/>
  <c r="AK33" i="4"/>
  <c r="AI33" i="4"/>
  <c r="AG33" i="4"/>
  <c r="AI12" i="4"/>
  <c r="AG14" i="4"/>
  <c r="AM14" i="4"/>
  <c r="AG16" i="4"/>
  <c r="AM16" i="4"/>
  <c r="AI17" i="4"/>
  <c r="AL20" i="4"/>
  <c r="AI20" i="4"/>
  <c r="AJ20" i="4"/>
  <c r="AL22" i="4"/>
  <c r="AK22" i="4"/>
  <c r="AF22" i="4"/>
  <c r="AJ22" i="4"/>
  <c r="AG30" i="4"/>
  <c r="AE33" i="4"/>
  <c r="AF5" i="4"/>
  <c r="X5" i="10" s="1"/>
  <c r="AI14" i="4"/>
  <c r="AE22" i="4"/>
  <c r="AQ22" i="4" s="1"/>
  <c r="AM22" i="4"/>
  <c r="AL23" i="4"/>
  <c r="AM23" i="4"/>
  <c r="AG23" i="4"/>
  <c r="AJ23" i="4"/>
  <c r="AL24" i="4"/>
  <c r="AJ24" i="4"/>
  <c r="AE24" i="4"/>
  <c r="AQ24" i="4" s="1"/>
  <c r="AK24" i="4"/>
  <c r="AL25" i="4"/>
  <c r="AK25" i="4"/>
  <c r="AF25" i="4"/>
  <c r="AJ25" i="4"/>
  <c r="AI30" i="4"/>
  <c r="AM33" i="4"/>
  <c r="AA19" i="10" s="1"/>
  <c r="AI9" i="4"/>
  <c r="AJ5" i="4"/>
  <c r="AE9" i="4"/>
  <c r="AJ9" i="4"/>
  <c r="AI11" i="4"/>
  <c r="AE12" i="4"/>
  <c r="AJ12" i="4"/>
  <c r="AI16" i="4"/>
  <c r="B8" i="2"/>
  <c r="E8" i="2" s="1"/>
  <c r="AF9" i="4"/>
  <c r="AK9" i="4"/>
  <c r="AI10" i="4"/>
  <c r="AE11" i="4"/>
  <c r="AJ11" i="4"/>
  <c r="AF12" i="4"/>
  <c r="AQ12" i="4" s="1"/>
  <c r="AK12" i="4"/>
  <c r="AI13" i="4"/>
  <c r="AE14" i="4"/>
  <c r="AJ14" i="4"/>
  <c r="AG15" i="4"/>
  <c r="AR15" i="4" s="1"/>
  <c r="AM15" i="4"/>
  <c r="AE16" i="4"/>
  <c r="AQ16" i="4" s="1"/>
  <c r="AJ16" i="4"/>
  <c r="AF17" i="4"/>
  <c r="X20" i="10" s="1"/>
  <c r="AK17" i="4"/>
  <c r="AG18" i="4"/>
  <c r="AM18" i="4"/>
  <c r="AI19" i="4"/>
  <c r="AF20" i="4"/>
  <c r="AM20" i="4"/>
  <c r="AG22" i="4"/>
  <c r="AF24" i="4"/>
  <c r="AM24" i="4"/>
  <c r="AE25" i="4"/>
  <c r="AQ25" i="4" s="1"/>
  <c r="AM25" i="4"/>
  <c r="AL27" i="4"/>
  <c r="AK27" i="4"/>
  <c r="AF27" i="4"/>
  <c r="AJ27" i="4"/>
  <c r="AI29" i="4"/>
  <c r="Z6" i="6"/>
  <c r="Z13" i="6"/>
  <c r="Z19" i="6"/>
  <c r="Z26" i="6"/>
  <c r="W27" i="6"/>
  <c r="Z30" i="6"/>
  <c r="AA33" i="6"/>
  <c r="W34" i="6"/>
  <c r="Z37" i="6"/>
  <c r="G5" i="15"/>
  <c r="G7" i="15"/>
  <c r="H11" i="15"/>
  <c r="G14" i="15"/>
  <c r="AI21" i="4"/>
  <c r="AI26" i="4"/>
  <c r="AI28" i="4"/>
  <c r="AE29" i="4"/>
  <c r="AJ29" i="4"/>
  <c r="AK31" i="4"/>
  <c r="AK32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A7" i="6"/>
  <c r="Z9" i="6"/>
  <c r="Z18" i="6"/>
  <c r="Z22" i="6"/>
  <c r="AA31" i="6"/>
  <c r="Z33" i="6"/>
  <c r="Z42" i="6"/>
  <c r="N9" i="11"/>
  <c r="O9" i="11" s="1"/>
  <c r="G10" i="15"/>
  <c r="H23" i="15"/>
  <c r="AA23" i="6"/>
  <c r="AA43" i="6"/>
  <c r="AE21" i="10"/>
  <c r="N6" i="11"/>
  <c r="N8" i="11"/>
  <c r="O8" i="11" s="1"/>
  <c r="H19" i="15"/>
  <c r="AC6" i="10"/>
  <c r="AB6" i="10"/>
  <c r="AC7" i="10"/>
  <c r="AB7" i="10"/>
  <c r="AE5" i="4"/>
  <c r="AI5" i="4"/>
  <c r="AM5" i="4"/>
  <c r="AA5" i="10" s="1"/>
  <c r="AE6" i="4"/>
  <c r="AI6" i="4"/>
  <c r="AM6" i="4"/>
  <c r="AA6" i="10" s="1"/>
  <c r="AE7" i="4"/>
  <c r="AI7" i="4"/>
  <c r="AM7" i="4"/>
  <c r="AA7" i="10" s="1"/>
  <c r="AE8" i="4"/>
  <c r="AJ8" i="4"/>
  <c r="Y10" i="10"/>
  <c r="Y9" i="10"/>
  <c r="AA10" i="10"/>
  <c r="AA9" i="10"/>
  <c r="AC22" i="10"/>
  <c r="AB22" i="10"/>
  <c r="Y13" i="10"/>
  <c r="AR30" i="4"/>
  <c r="AC12" i="10"/>
  <c r="AB12" i="10"/>
  <c r="AG5" i="4"/>
  <c r="AK5" i="4"/>
  <c r="AG6" i="4"/>
  <c r="AK6" i="4"/>
  <c r="AG7" i="4"/>
  <c r="AK7" i="4"/>
  <c r="AG8" i="4"/>
  <c r="AC11" i="10"/>
  <c r="AB11" i="10"/>
  <c r="AD11" i="10" s="1"/>
  <c r="AF11" i="10" s="1"/>
  <c r="AC20" i="10"/>
  <c r="AB20" i="10"/>
  <c r="AD20" i="10" s="1"/>
  <c r="AF20" i="10" s="1"/>
  <c r="AR28" i="4"/>
  <c r="AC23" i="10"/>
  <c r="AB23" i="10"/>
  <c r="AD23" i="10" s="1"/>
  <c r="AF23" i="10" s="1"/>
  <c r="Y19" i="10"/>
  <c r="Y14" i="10"/>
  <c r="AC5" i="10"/>
  <c r="AB5" i="10"/>
  <c r="AC8" i="10"/>
  <c r="AB8" i="10"/>
  <c r="AH5" i="4"/>
  <c r="AH6" i="4"/>
  <c r="Z6" i="10" s="1"/>
  <c r="AH7" i="4"/>
  <c r="Z7" i="10" s="1"/>
  <c r="AL8" i="4"/>
  <c r="AH8" i="4"/>
  <c r="Z8" i="10" s="1"/>
  <c r="AI8" i="4"/>
  <c r="X10" i="10"/>
  <c r="X9" i="10"/>
  <c r="AC13" i="10"/>
  <c r="AB13" i="10"/>
  <c r="Y25" i="10"/>
  <c r="AA8" i="6"/>
  <c r="Z8" i="6"/>
  <c r="AA32" i="6"/>
  <c r="Z32" i="6"/>
  <c r="AJ30" i="4"/>
  <c r="AF31" i="4"/>
  <c r="AJ31" i="4"/>
  <c r="AF32" i="4"/>
  <c r="AJ32" i="4"/>
  <c r="AF33" i="4"/>
  <c r="X19" i="10" s="1"/>
  <c r="Y15" i="10"/>
  <c r="Y17" i="10"/>
  <c r="Y18" i="10"/>
  <c r="AA5" i="6"/>
  <c r="AA24" i="6"/>
  <c r="Z24" i="6"/>
  <c r="AA25" i="6"/>
  <c r="AA28" i="6"/>
  <c r="Z28" i="6"/>
  <c r="AA29" i="6"/>
  <c r="AA44" i="6"/>
  <c r="Z44" i="6"/>
  <c r="Y16" i="10"/>
  <c r="Y24" i="10"/>
  <c r="AA16" i="6"/>
  <c r="Z16" i="6"/>
  <c r="AA17" i="6"/>
  <c r="AA20" i="6"/>
  <c r="Z20" i="6"/>
  <c r="AA21" i="6"/>
  <c r="AA40" i="6"/>
  <c r="Z40" i="6"/>
  <c r="AA41" i="6"/>
  <c r="AA45" i="6"/>
  <c r="AH9" i="4"/>
  <c r="AH10" i="4"/>
  <c r="AH11" i="4"/>
  <c r="Z22" i="10" s="1"/>
  <c r="AE22" i="10" s="1"/>
  <c r="AH12" i="4"/>
  <c r="AH13" i="4"/>
  <c r="Z11" i="10" s="1"/>
  <c r="AE11" i="10" s="1"/>
  <c r="AH14" i="4"/>
  <c r="AH15" i="4"/>
  <c r="AH16" i="4"/>
  <c r="AH17" i="4"/>
  <c r="Z20" i="10" s="1"/>
  <c r="AE20" i="10" s="1"/>
  <c r="AH18" i="4"/>
  <c r="AH19" i="4"/>
  <c r="AH20" i="4"/>
  <c r="AH21" i="4"/>
  <c r="AH22" i="4"/>
  <c r="AH23" i="4"/>
  <c r="AH24" i="4"/>
  <c r="AH25" i="4"/>
  <c r="AH26" i="4"/>
  <c r="AH27" i="4"/>
  <c r="AH28" i="4"/>
  <c r="Z12" i="10" s="1"/>
  <c r="AE12" i="10" s="1"/>
  <c r="AH29" i="4"/>
  <c r="Z23" i="10" s="1"/>
  <c r="AE23" i="10" s="1"/>
  <c r="AH30" i="4"/>
  <c r="Z13" i="10" s="1"/>
  <c r="AH31" i="4"/>
  <c r="AH32" i="4"/>
  <c r="AL33" i="4"/>
  <c r="AJ33" i="4"/>
  <c r="AH33" i="4"/>
  <c r="Z19" i="10" s="1"/>
  <c r="AA12" i="6"/>
  <c r="Z12" i="6"/>
  <c r="AA36" i="6"/>
  <c r="Z36" i="6"/>
  <c r="AF34" i="4"/>
  <c r="AQ34" i="4" s="1"/>
  <c r="AJ34" i="4"/>
  <c r="AF35" i="4"/>
  <c r="AQ35" i="4" s="1"/>
  <c r="AJ35" i="4"/>
  <c r="AF36" i="4"/>
  <c r="X14" i="10" s="1"/>
  <c r="AJ36" i="4"/>
  <c r="AF37" i="4"/>
  <c r="AQ37" i="4" s="1"/>
  <c r="AJ37" i="4"/>
  <c r="AF38" i="4"/>
  <c r="AQ38" i="4" s="1"/>
  <c r="AJ38" i="4"/>
  <c r="AF39" i="4"/>
  <c r="X15" i="10" s="1"/>
  <c r="AJ39" i="4"/>
  <c r="AF40" i="4"/>
  <c r="X16" i="10" s="1"/>
  <c r="AJ40" i="4"/>
  <c r="AF41" i="4"/>
  <c r="AQ41" i="4" s="1"/>
  <c r="AJ41" i="4"/>
  <c r="AF42" i="4"/>
  <c r="X17" i="10" s="1"/>
  <c r="AJ42" i="4"/>
  <c r="AF43" i="4"/>
  <c r="AQ43" i="4" s="1"/>
  <c r="AJ43" i="4"/>
  <c r="AF44" i="4"/>
  <c r="X25" i="10" s="1"/>
  <c r="AJ44" i="4"/>
  <c r="AF45" i="4"/>
  <c r="X18" i="10" s="1"/>
  <c r="AJ45" i="4"/>
  <c r="AF46" i="4"/>
  <c r="X24" i="10" s="1"/>
  <c r="AJ46" i="4"/>
  <c r="H6" i="15"/>
  <c r="G6" i="15"/>
  <c r="G9" i="15"/>
  <c r="G13" i="15"/>
  <c r="G17" i="15"/>
  <c r="G21" i="15"/>
  <c r="AH34" i="4"/>
  <c r="AH35" i="4"/>
  <c r="AH36" i="4"/>
  <c r="Z14" i="10" s="1"/>
  <c r="AH37" i="4"/>
  <c r="AH38" i="4"/>
  <c r="AH39" i="4"/>
  <c r="Z15" i="10" s="1"/>
  <c r="AH40" i="4"/>
  <c r="Z16" i="10" s="1"/>
  <c r="AH41" i="4"/>
  <c r="AH42" i="4"/>
  <c r="Z17" i="10" s="1"/>
  <c r="AH43" i="4"/>
  <c r="AH44" i="4"/>
  <c r="Z25" i="10" s="1"/>
  <c r="AH45" i="4"/>
  <c r="Z18" i="10" s="1"/>
  <c r="AH46" i="4"/>
  <c r="Z24" i="10" s="1"/>
  <c r="L5" i="15"/>
  <c r="M7" i="13"/>
  <c r="N7" i="13" s="1"/>
  <c r="B19" i="2" s="1"/>
  <c r="E19" i="2" s="1"/>
  <c r="H8" i="15"/>
  <c r="G8" i="15"/>
  <c r="H12" i="15"/>
  <c r="L6" i="15" s="1"/>
  <c r="G12" i="15"/>
  <c r="H16" i="15"/>
  <c r="G16" i="15"/>
  <c r="H20" i="15"/>
  <c r="G20" i="15"/>
  <c r="H24" i="15"/>
  <c r="G24" i="15"/>
  <c r="AB21" i="10"/>
  <c r="AD21" i="10" s="1"/>
  <c r="O6" i="11" l="1"/>
  <c r="B18" i="2"/>
  <c r="E18" i="2" s="1"/>
  <c r="AQ9" i="4"/>
  <c r="B17" i="2" s="1"/>
  <c r="E17" i="2" s="1"/>
  <c r="M6" i="15"/>
  <c r="B20" i="2" s="1"/>
  <c r="E20" i="2" s="1"/>
  <c r="AP45" i="4"/>
  <c r="AR45" i="4" s="1"/>
  <c r="AP44" i="4"/>
  <c r="AR44" i="4" s="1"/>
  <c r="K7" i="15"/>
  <c r="AE19" i="10"/>
  <c r="AO7" i="4"/>
  <c r="AO6" i="4"/>
  <c r="AP6" i="4"/>
  <c r="AP7" i="4"/>
  <c r="AR7" i="4" s="1"/>
  <c r="AQ14" i="4"/>
  <c r="K6" i="15"/>
  <c r="M5" i="15"/>
  <c r="AC18" i="10"/>
  <c r="AB18" i="10"/>
  <c r="AC15" i="10"/>
  <c r="AB15" i="10"/>
  <c r="AD15" i="10" s="1"/>
  <c r="AF15" i="10" s="1"/>
  <c r="AP35" i="4"/>
  <c r="AR35" i="4" s="1"/>
  <c r="AP39" i="4"/>
  <c r="AR39" i="4" s="1"/>
  <c r="AP43" i="4"/>
  <c r="AR43" i="4" s="1"/>
  <c r="AE16" i="10"/>
  <c r="AE18" i="10"/>
  <c r="AE15" i="10"/>
  <c r="AC10" i="10"/>
  <c r="AB10" i="10"/>
  <c r="AD10" i="10" s="1"/>
  <c r="Y7" i="10"/>
  <c r="AE7" i="10" s="1"/>
  <c r="Y5" i="10"/>
  <c r="B7" i="2"/>
  <c r="E7" i="2" s="1"/>
  <c r="AE13" i="10"/>
  <c r="K5" i="15"/>
  <c r="AP36" i="4"/>
  <c r="AR36" i="4" s="1"/>
  <c r="AP40" i="4"/>
  <c r="AR40" i="4" s="1"/>
  <c r="AE24" i="10"/>
  <c r="AE25" i="10"/>
  <c r="AD5" i="10"/>
  <c r="AD22" i="10"/>
  <c r="AF22" i="10" s="1"/>
  <c r="AD6" i="10"/>
  <c r="AF6" i="10" s="1"/>
  <c r="M7" i="15"/>
  <c r="L7" i="15"/>
  <c r="AC24" i="10"/>
  <c r="AB24" i="10"/>
  <c r="AC25" i="10"/>
  <c r="AB25" i="10"/>
  <c r="AD25" i="10" s="1"/>
  <c r="AF25" i="10" s="1"/>
  <c r="AC17" i="10"/>
  <c r="AB17" i="10"/>
  <c r="AC16" i="10"/>
  <c r="AB16" i="10"/>
  <c r="AD16" i="10" s="1"/>
  <c r="AF16" i="10" s="1"/>
  <c r="AC14" i="10"/>
  <c r="AB14" i="10"/>
  <c r="Z10" i="10"/>
  <c r="Z9" i="10"/>
  <c r="AP33" i="4"/>
  <c r="AR33" i="4" s="1"/>
  <c r="AP37" i="4"/>
  <c r="AR37" i="4" s="1"/>
  <c r="AP41" i="4"/>
  <c r="AR41" i="4" s="1"/>
  <c r="AP5" i="4"/>
  <c r="AR5" i="4" s="1"/>
  <c r="B11" i="2"/>
  <c r="E11" i="2" s="1"/>
  <c r="B12" i="2"/>
  <c r="E12" i="2" s="1"/>
  <c r="AE17" i="10"/>
  <c r="AC19" i="10"/>
  <c r="AB19" i="10"/>
  <c r="AO43" i="4"/>
  <c r="AO35" i="4"/>
  <c r="AO33" i="4"/>
  <c r="AP32" i="4"/>
  <c r="AR32" i="4" s="1"/>
  <c r="AP31" i="4"/>
  <c r="AR31" i="4" s="1"/>
  <c r="AP30" i="4"/>
  <c r="AP29" i="4"/>
  <c r="AR29" i="4" s="1"/>
  <c r="AP28" i="4"/>
  <c r="AP27" i="4"/>
  <c r="AR27" i="4" s="1"/>
  <c r="AP26" i="4"/>
  <c r="AP25" i="4"/>
  <c r="AR25" i="4" s="1"/>
  <c r="AP24" i="4"/>
  <c r="AR24" i="4" s="1"/>
  <c r="AP23" i="4"/>
  <c r="AR23" i="4" s="1"/>
  <c r="AP22" i="4"/>
  <c r="AR22" i="4" s="1"/>
  <c r="AP21" i="4"/>
  <c r="AR21" i="4" s="1"/>
  <c r="AP20" i="4"/>
  <c r="AP19" i="4"/>
  <c r="AR19" i="4" s="1"/>
  <c r="AP18" i="4"/>
  <c r="AR18" i="4" s="1"/>
  <c r="AP17" i="4"/>
  <c r="AR17" i="4" s="1"/>
  <c r="AP16" i="4"/>
  <c r="AR16" i="4" s="1"/>
  <c r="AP15" i="4"/>
  <c r="AP14" i="4"/>
  <c r="AR14" i="4" s="1"/>
  <c r="AP13" i="4"/>
  <c r="AR13" i="4" s="1"/>
  <c r="AP12" i="4"/>
  <c r="AR12" i="4" s="1"/>
  <c r="AP11" i="4"/>
  <c r="AR11" i="4" s="1"/>
  <c r="AP10" i="4"/>
  <c r="AR10" i="4" s="1"/>
  <c r="AP9" i="4"/>
  <c r="AR9" i="4" s="1"/>
  <c r="AP8" i="4"/>
  <c r="AR8" i="4" s="1"/>
  <c r="AO46" i="4"/>
  <c r="AO40" i="4"/>
  <c r="AO37" i="4"/>
  <c r="AO45" i="4"/>
  <c r="AO42" i="4"/>
  <c r="AO39" i="4"/>
  <c r="AO34" i="4"/>
  <c r="AO44" i="4"/>
  <c r="AO41" i="4"/>
  <c r="AO31" i="4"/>
  <c r="AO27" i="4"/>
  <c r="AO23" i="4"/>
  <c r="AO19" i="4"/>
  <c r="AO15" i="4"/>
  <c r="AO11" i="4"/>
  <c r="AO36" i="4"/>
  <c r="AO26" i="4"/>
  <c r="AO22" i="4"/>
  <c r="AO18" i="4"/>
  <c r="AO14" i="4"/>
  <c r="AO10" i="4"/>
  <c r="AO13" i="4"/>
  <c r="AO32" i="4"/>
  <c r="AO30" i="4"/>
  <c r="AO29" i="4"/>
  <c r="AO25" i="4"/>
  <c r="AO21" i="4"/>
  <c r="AO17" i="4"/>
  <c r="AO9" i="4"/>
  <c r="AO38" i="4"/>
  <c r="AO28" i="4"/>
  <c r="AO24" i="4"/>
  <c r="AO20" i="4"/>
  <c r="AO16" i="4"/>
  <c r="AO12" i="4"/>
  <c r="AO8" i="4"/>
  <c r="Z5" i="10"/>
  <c r="B10" i="2"/>
  <c r="AE14" i="10"/>
  <c r="Y8" i="10"/>
  <c r="AE8" i="10" s="1"/>
  <c r="Y6" i="10"/>
  <c r="AE6" i="10" s="1"/>
  <c r="AR6" i="4"/>
  <c r="AE9" i="10"/>
  <c r="B6" i="2"/>
  <c r="AP34" i="4"/>
  <c r="AR34" i="4" s="1"/>
  <c r="AP38" i="4"/>
  <c r="AR38" i="4" s="1"/>
  <c r="AP42" i="4"/>
  <c r="AR42" i="4" s="1"/>
  <c r="AP46" i="4"/>
  <c r="AR46" i="4" s="1"/>
  <c r="AD13" i="10"/>
  <c r="AC9" i="10"/>
  <c r="AB9" i="10"/>
  <c r="AD9" i="10" s="1"/>
  <c r="AD8" i="10"/>
  <c r="AD12" i="10"/>
  <c r="AF12" i="10" s="1"/>
  <c r="AE10" i="10"/>
  <c r="AD7" i="10"/>
  <c r="AD19" i="10" l="1"/>
  <c r="AF19" i="10" s="1"/>
  <c r="AE5" i="10"/>
  <c r="AD14" i="10"/>
  <c r="AF14" i="10" s="1"/>
  <c r="AD17" i="10"/>
  <c r="AF17" i="10" s="1"/>
  <c r="AD24" i="10"/>
  <c r="AF24" i="10" s="1"/>
  <c r="AD18" i="10"/>
  <c r="AF18" i="10" s="1"/>
  <c r="B16" i="2" l="1"/>
  <c r="E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C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Papel da Plasticom (definições do art. 3.º REACH).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QUI-nnn.</t>
        </r>
      </text>
    </comment>
    <comment ref="C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Substância, mistura, gás, polímero ou artigo (o artigo não tem FDS).</t>
        </r>
      </text>
    </comment>
    <comment ref="F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Nome (informativo; o mestre é o RG-SGA-11).</t>
        </r>
      </text>
    </comment>
    <comment ref="I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Fornecedor estabelecido no EEE? 'Não' → ver Registo_Importacao.</t>
        </r>
      </text>
    </comment>
    <comment ref="K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Consumo anual (kg).</t>
        </r>
      </text>
    </comment>
    <comment ref="L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Quantidade máxima presente (kg) — usada no Seveso.</t>
        </r>
      </text>
    </comment>
    <comment ref="M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Volume da maior embalagem (L) — usado na retenção.</t>
        </r>
      </text>
    </comment>
    <comment ref="O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Códigos H/EUH da secção 2 da FDS separados por ';' (vazio = não classificado).</t>
        </r>
      </text>
    </comment>
    <comment ref="R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Categoria do anexo I do DL 150/2015 ('—' se nenhuma).</t>
        </r>
      </text>
    </comment>
    <comment ref="T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SVHC ≥ 0,1% declarada na FDS (secção 3/15) ou pelo fornecedor.</t>
        </r>
      </text>
    </comment>
    <comment ref="U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Entrada de restrição relevante ('—' se nenhuma).</t>
        </r>
      </text>
    </comment>
    <comment ref="V4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Diisocianatos ≥ 0,1% (entrada 74 → formação obrigatória).</t>
        </r>
      </text>
    </comment>
    <comment ref="W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Contém PFAS?</t>
        </r>
      </text>
    </comment>
    <comment ref="X4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Usado na linha alimentar (FCM)?</t>
        </r>
      </text>
    </comment>
    <comment ref="AB4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Fração de compostos orgânicos voláteis (FDS secção 9). Base do balanço de solventes/COV (LEG-04).</t>
        </r>
      </text>
    </comment>
    <comment ref="AC4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COV emitidos (kg/ano) = quantidade × teor (sem tratamento de efluentes gasosos).
[calculado]</t>
        </r>
      </text>
    </comment>
    <comment ref="AD4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Frases H normalizadas para pesquisa (auxiliar).
[calculado]</t>
        </r>
      </text>
    </comment>
    <comment ref="AE4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Tem pelo menos uma frase H/EUH.
[calculado]</t>
        </r>
      </text>
    </comment>
    <comment ref="AF4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Classe 1–5 = a mais alta das frases H/EUH (método de avaliação).
[calculado]</t>
        </r>
      </text>
    </comment>
    <comment ref="AG4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Cancerígeno, mutagénico ou reprotóxico.
[calculado]</t>
        </r>
      </text>
    </comment>
    <comment ref="AI4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Toxicidade aguda cat. 1–3.
[calculado]</t>
        </r>
      </text>
    </comment>
    <comment ref="AJ4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Toxicidade para órgãos-alvo.
[calculado]</t>
        </r>
      </text>
    </comment>
    <comment ref="AM4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Exige avaliação para grávidas/lactantes (Lei 102/2009; CT art. 62.º).
[calculado]</t>
        </r>
      </text>
    </comment>
    <comment ref="AN4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Algum componente da secção 3 é SVHC vigiada ≥ 0,1%.
[calculado]</t>
        </r>
      </text>
    </comment>
    <comment ref="AO4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Data da FDS em vigor.
[calculado]</t>
        </r>
      </text>
    </comment>
    <comment ref="AP4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Estado da FDS em vigor.
[calculado]</t>
        </r>
      </text>
    </comment>
    <comment ref="AQ4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Existe avaliação de risco (DL 24/2012) para o produto?
[calculado]</t>
        </r>
      </text>
    </comment>
    <comment ref="AR4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Alerta de gestão por ordem de prioridade.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F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m/m mínima (secção 3).</t>
        </r>
      </text>
    </comment>
    <comment ref="G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% m/m máxima (secção 3).</t>
        </r>
      </text>
    </comment>
    <comment ref="H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N.º de registo indicado na FDS, isenção ou pedido.</t>
        </r>
      </text>
    </comment>
    <comment ref="I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VLE UE/PT aplicável (DL 24/2012; NP 1796).</t>
        </r>
      </text>
    </comment>
    <comment ref="J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O CAS está na lista de SVHC vigiadas.
[calculado]</t>
        </r>
      </text>
    </comment>
    <comment ref="K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SVHC ≥ 0,1% na mistura.
[calculado]</t>
        </r>
      </text>
    </comment>
    <comment ref="L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Ligação à pesquisa da ECHA (classificação harmonizada, registo, C&amp;L).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E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Data de revisão da FDS.</t>
        </r>
      </text>
    </comment>
    <comment ref="G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Em português (REACH art. 31.º, n.º 5)?</t>
        </r>
      </text>
    </comment>
    <comment ref="H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16 secções e subsecções obrigatórias do anexo II na redação do Reg. (UE) 2020/878 (em vigor desde 01/01/2023)?</t>
        </r>
      </text>
    </comment>
    <comment ref="I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Nome comercial, fornecedor e UFI (se aplicável) coincidem com o rótulo e com a encomenda?</t>
        </r>
      </text>
    </comment>
    <comment ref="J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Secção 1.4 com telefone de emergência (em Portugal: CIAV 800 250 250)?</t>
        </r>
      </text>
    </comment>
    <comment ref="K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Classificação, pictogramas, palavra-sinal e frases H/P da secção 2 iguais ao rótulo recebido?</t>
        </r>
      </text>
    </comment>
    <comment ref="L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Secção 3 com identificadores (CAS/CE), intervalos de concentração, n.º de registo e SVHC ≥ 0,1%?</t>
        </r>
      </text>
    </comment>
    <comment ref="M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Secção 8 com VLE/DNEL e EPI específicos (material das luvas, tipo de filtro)?</t>
        </r>
      </text>
    </comment>
    <comment ref="N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Secção 11 completa, incl. 11.2 (desregulação endócrina) do Reg. 2020/878?</t>
        </r>
      </text>
    </comment>
    <comment ref="O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Secção 12 completa, incl. 12.5 (PBT/mPmB) e 12.6 (desregulação endócrina)?</t>
        </r>
      </text>
    </comment>
    <comment ref="P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A utilização da Plasticom está nas utilizações identificadas (1.2) ou não desaconselhada?</t>
        </r>
      </text>
    </comment>
    <comment ref="Q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Se substância registada ≥ 10 t e perigosa: tem cenários de exposição em anexo (FDS alargada)? (N.A. se não aplicável)</t>
        </r>
      </text>
    </comment>
    <comment ref="R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Secção 15 indica restrições (anexo XVII), autorização (anexo XIV), SVHC e legislação nacional?</t>
        </r>
      </text>
    </comment>
    <comment ref="S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FDS (ou ficha-resumo) acessível no posto de trabalho (art. 35.º).</t>
        </r>
      </text>
    </comment>
    <comment ref="T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Data do pedido de correção/atualização ao fornecedor.</t>
        </r>
      </text>
    </comment>
    <comment ref="V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Pontos não conformes.
[calculado]</t>
        </r>
      </text>
    </comment>
    <comment ref="X4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Idade da FDS na data de referência.
[calculado]</t>
        </r>
      </text>
    </comment>
    <comment ref="Y4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Versão mais recente do produto.
[calculado]</t>
        </r>
      </text>
    </comment>
    <comment ref="Z4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Auxiliar para o inventário.
[calculado]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F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SU / PROC / ERC / PC do CE.</t>
        </r>
      </text>
    </comment>
    <comment ref="G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Como a Plasticom usa (tarefa, duração, quantidade).</t>
        </r>
      </text>
    </comment>
    <comment ref="H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Categoria de processo real (ECHA R.12).</t>
        </r>
      </text>
    </comment>
    <comment ref="I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Condições operacionais e medidas de gestão de risco do CE.</t>
        </r>
      </text>
    </comment>
    <comment ref="M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Opções do art. 37.º, n.º 4.</t>
        </r>
      </text>
    </comment>
    <comment ref="Q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12 meses após a receção (art. 39.º).
[calculado]</t>
        </r>
      </text>
    </comment>
    <comment ref="R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6 meses se houver RSQ-UJ.
[calculado]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H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Quem introduz a mercadoria na UE (ver fatura/incoterm/declaração aduaneira).</t>
        </r>
      </text>
    </comment>
    <comment ref="K4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A carta do RU cita a Plasticom como importador coberto?</t>
        </r>
      </text>
    </comment>
    <comment ref="L4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Monómeros (≥ 2% e ≥ 1 t/ano) e aditivos (≥ 1 t/ano).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F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N.º de entradas da lista candidata coberto pela declaração.</t>
        </r>
      </text>
    </comment>
    <comment ref="G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SVHC &gt; 0,1% m/m?</t>
        </r>
      </text>
    </comment>
    <comment ref="H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Pb+Cd+Hg+Cr(VI) ≤ 100 mg/kg?</t>
        </r>
      </text>
    </comment>
    <comment ref="L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Declaração de conformidade para contacto alimentar (Reg. 10/2011).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C4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Agente gerado pelo processo (fumos, poeiras) — sem ID.</t>
        </r>
      </text>
    </comment>
    <comment ref="H4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Classe 1–5 só para agentes gerados (sem ID).</t>
        </r>
      </text>
    </comment>
    <comment ref="R4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Após medidas existentes e EPI.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L4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Resultado máximo ÷ VLE.
[calculado]</t>
        </r>
      </text>
    </comment>
    <comment ref="M4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NP EN 689, anexo F.
[calculado]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F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Kit de derrame mais próximo (verificação e reposição registadas no RG-SGA-12).</t>
        </r>
      </text>
    </comment>
    <comment ref="G4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Segregação verificada com a Matriz_Compatibilidade e a secção 10 das FDS.</t>
        </r>
      </text>
    </comment>
    <comment ref="H4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Ponto da ronda ambiental onde o local é inspecionado (a inspeção regista-se no RG-SGA-10).</t>
        </r>
      </text>
    </comment>
    <comment ref="K4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≈ litros (densidade ≈ 1).
[calculado]</t>
        </r>
      </text>
    </comment>
    <comment ref="M4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máx(100% do maior recipiente; P-07 × total).
[calculado]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B4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Parâmetro.</t>
        </r>
      </text>
    </comment>
    <comment ref="C4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Valor (editar aqui).</t>
        </r>
      </text>
    </comment>
    <comment ref="D4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E4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Fonte / justificação.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Código H/EUH (anexo III do CLP).</t>
        </r>
      </text>
    </comment>
    <comment ref="C4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Físico, Saúde, Ambiente ou Suplementar.</t>
        </r>
      </text>
    </comment>
    <comment ref="D4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Grupo de perigo usado nos alertas.</t>
        </r>
      </text>
    </comment>
    <comment ref="E4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Classe de perigo para a saúde 1–5 do método de avaliação (0 = sem efeito na saúde). Adaptado de INRS ND 2233.</t>
        </r>
      </text>
    </comment>
    <comment ref="F4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1 = cat. 1A/1B (DL 301/2000); 2 = suspeito.</t>
        </r>
      </text>
    </comment>
    <comment ref="G4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S = exige avaliação específica para grávidas/lactantes.</t>
        </r>
      </text>
    </comment>
  </commentList>
</comments>
</file>

<file path=xl/sharedStrings.xml><?xml version="1.0" encoding="utf-8"?>
<sst xmlns="http://schemas.openxmlformats.org/spreadsheetml/2006/main" count="6407" uniqueCount="2186">
  <si>
    <t>RG-SGA-21 — Gestão de Produtos Químicos (REACH, CLP, SVHC e Risco Químico)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</si>
  <si>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</si>
  <si>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</si>
  <si>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</si>
  <si>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RG-SGA-21</t>
  </si>
  <si>
    <t>Título</t>
  </si>
  <si>
    <t>Gestão de Produtos Químicos (REACH, CLP, SVHC e Risco Químico)</t>
  </si>
  <si>
    <t>Versão / Revisão</t>
  </si>
  <si>
    <t>00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</si>
  <si>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</si>
  <si>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</si>
  <si>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</si>
  <si>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</si>
  <si>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</si>
  <si>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</si>
  <si>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</si>
  <si>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</si>
  <si>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10 anos após a última utilização do produto (REACH art. 36.º); lista de expostos a CMR: 40 anos (reprotóxicos: 5 anos)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</si>
  <si>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</si>
  <si>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</si>
  <si>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</si>
  <si>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</si>
  <si>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Registo único e evidência do controlo de produtos químicos da Plasticom: papel REACH, inventário, FDS, cenários de exposição, registo/importação, SVHC em artigos e SCIP, restrições, avaliação de riscos para a saúde (toxicidade) e medições, armazenagem, Seveso, formação, obrigações periódicas e matriz legal UE + Portugal. Procedimento: PR-SGA-16.</t>
  </si>
  <si>
    <t>Atividades do curso</t>
  </si>
  <si>
    <t>Complemento — gestão integrada de produtos químicos (não é atividade do curso).</t>
  </si>
  <si>
    <t>Requisitos ISO 14001:2026</t>
  </si>
  <si>
    <t>6.1.2; 6.1.3; 7.2; 7.5; 8.1 (incl. fornecedores externos); 8.2; 9.1.1; 9.1.2</t>
  </si>
  <si>
    <t>ESTRUTURA DO FICHEIRO</t>
  </si>
  <si>
    <t>Painel</t>
  </si>
  <si>
    <t>Indicadores de controlo de produtos químicos (calculados a partir das tabelas).</t>
  </si>
  <si>
    <t>Papel_REACH</t>
  </si>
  <si>
    <t>Determinação do papel REACH/CLP da Plasticom em cada atividade — é o ponto de partida: as obrigações dependem do papel.</t>
  </si>
  <si>
    <t>Inventario</t>
  </si>
  <si>
    <t>Inventário de produtos químicos (1 linha por produto comercial): identificação, fornecedor, papel REACH, quantidades, classificação CLP e perigos calculados.</t>
  </si>
  <si>
    <t>Componentes</t>
  </si>
  <si>
    <t>Componentes perigosos da secção 3 das FDS, com VLE e cruzamento automático com as SVHC vigiadas.</t>
  </si>
  <si>
    <t>FDS_Verificacao</t>
  </si>
  <si>
    <t>Verificação de cada versão de FDS recebida (checklist Reg. (UE) 2020/878), com histórico, idade e estado da versão em vigor.</t>
  </si>
  <si>
    <t>Cenarios_Exposicao</t>
  </si>
  <si>
    <t>Verificação dos cenários de exposição das FDS alargadas face ao uso real (REACH art. 37.º, n.º 4–6, e 39.º).</t>
  </si>
  <si>
    <t>Registo_Importacao</t>
  </si>
  <si>
    <t>Verificação, fornecedor a fornecedor, se a Plasticom é importadora e se as substâncias estão registadas (RU, filial UE ou registo próprio).</t>
  </si>
  <si>
    <t>Declaracoes_SVHC</t>
  </si>
  <si>
    <t>Declarações dos fornecedores (SVHC, metais pesados PPWR, PFAS, BPA, ftalatos, contacto alimentar) com a versão da lista candidata coberta.</t>
  </si>
  <si>
    <t>Avaliacao_Risco</t>
  </si>
  <si>
    <t>Avaliação de risco químico por tarefa para a saúde dos trabalhadores (toxicidade — DL 24/2012 e DL 301/2000), inalação e cutâneo, com prioridade e medidas.</t>
  </si>
  <si>
    <t>Medicoes_VLE</t>
  </si>
  <si>
    <t>Medições de exposição profissional a agentes químicos e conclusão pelo teste preliminar da NP EN 689.</t>
  </si>
  <si>
    <t>Metodologia</t>
  </si>
  <si>
    <t>Método de avaliação do risco químico (tabelas tbl_m_*), explicação e limites de uso.</t>
  </si>
  <si>
    <t>Armazenagem</t>
  </si>
  <si>
    <t>Locais de armazenagem de químicos: retenção necessária vs existente, compatibilidades, ventilação e inspeção.</t>
  </si>
  <si>
    <t>Matriz_Compatibilidade</t>
  </si>
  <si>
    <t>Matriz simplificada de armazenagem conjunta por classe de perigo (confirmar sempre as secções 7 e 10 das FDS).</t>
  </si>
  <si>
    <t>Seveso</t>
  </si>
  <si>
    <t>Verificação Seveso (DL 150/2015): quantidade máxima por categoria, rácio face aos limiares e regra da soma por grupo.</t>
  </si>
  <si>
    <t>Requisitos_Legais</t>
  </si>
  <si>
    <t>Matriz legal de produtos químicos — União Europeia e Portugal — com aplicabilidade, evidência, estado e ligação ao RG-SGA-04.</t>
  </si>
  <si>
    <t>Analise_Critica</t>
  </si>
  <si>
    <t>Avaliação crítica das fontes consultadas (ficheiro de referência REACH 2024.xlsx, guias da internet, registos do SGA) e melhorias feitas neste registo.</t>
  </si>
  <si>
    <t>Parametros</t>
  </si>
  <si>
    <t>Parâmetros usados nas fórmulas (lista candidata, prazos, critérios internos). Editar o Valor quando a regra muda.</t>
  </si>
  <si>
    <t>Ref_Frases_H</t>
  </si>
  <si>
    <t>Frases H e EUH do CLP com o grupo de perigo e a classe usada na avaliação de risco (inclui as novas classes EUH380–EUH451 do Reg. 2023/707).</t>
  </si>
  <si>
    <t>Ref_SVHC_Vigiadas</t>
  </si>
  <si>
    <t>Subconjunto da lista candidata com SVHC típicas do setor dos plásticos, usado para cruzar automaticamente os componentes (NÃO substitui a lista completa).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</si>
  <si>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</si>
  <si>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</si>
  <si>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</si>
  <si>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</si>
  <si>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</si>
  <si>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</si>
  <si>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</si>
  <si>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</si>
  <si>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</si>
  <si>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</si>
  <si>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</si>
  <si>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</si>
  <si>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</si>
  <si>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</si>
  <si>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</si>
  <si>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</si>
  <si>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</si>
  <si>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</si>
  <si>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PR-SGA-16</t>
  </si>
  <si>
    <t>Procedimento de gestão de produtos químicos (Documentos_SGA_Plasticom).</t>
  </si>
  <si>
    <t>RG-SGA-04</t>
  </si>
  <si>
    <t>LEG-06 (REACH/CLP), LEG-07, LEG-09, LEG-10, LEG-17 → coluna ID_Legal.</t>
  </si>
  <si>
    <t>RG-SGA-06</t>
  </si>
  <si>
    <t>Todas as ações de químicos: PAM-26-28 a PAM-26-35 (e PAM-26-11/19/22).</t>
  </si>
  <si>
    <t>RG-SGA-08</t>
  </si>
  <si>
    <t>Formação: FOR-01, FOR-03, FOR-12 a FOR-15 (registo por colaborador).</t>
  </si>
  <si>
    <t>Calendário de obrigações (tbl_obrigacoes OBR-11, OBR-19 a OBR-30) e LEG-22 (SST — agentes químicos).</t>
  </si>
  <si>
    <t>RG-SGA-20</t>
  </si>
  <si>
    <t>SVHC nas embalagens por família PPWR (tbl_familias_ppwr) e requisitos de produto.</t>
  </si>
  <si>
    <t>RG-SGA-10 / RG-SGA-12</t>
  </si>
  <si>
    <t>Inspeção dos locais (RON-02, RON-11) e kits de derrame (KIT-01 a KIT-05).</t>
  </si>
  <si>
    <t>RG-SGA-03</t>
  </si>
  <si>
    <t>Aspetos AA-005, AA-006, AA-014 a AA-016, AA-023 → IDs_Aspetos.</t>
  </si>
  <si>
    <t>RG-SGA-11</t>
  </si>
  <si>
    <t>ID_Fornecedor (SUP-001 a SUP-010; fornecedores de químicos PQ-01 a PQ-07, TOR-01, MAN-01).</t>
  </si>
  <si>
    <t>RG-SGA-16 / 17 / 19</t>
  </si>
  <si>
    <t>Recebem de resumo() os totais de COV e de substâncias preocupantes (ESRS E2).</t>
  </si>
  <si>
    <t>Fontes</t>
  </si>
  <si>
    <t>ECHA (echa.europa.eu), EUR-Lex, Diário da República, DGAE (helpdesk REACH/CLP), ACT, INRS ED 6485 (Seirich).</t>
  </si>
  <si>
    <t>PAINEL — GESTÃO DE PRODUTOS QUÍMICOS</t>
  </si>
  <si>
    <t>Valores calculados em tempo real a partir das tabelas deste ficheiro · Data de referência: Listas!DataReferencia</t>
  </si>
  <si>
    <t>Indicador</t>
  </si>
  <si>
    <t>Valor</t>
  </si>
  <si>
    <t>Meta</t>
  </si>
  <si>
    <t>Sentido</t>
  </si>
  <si>
    <t>Folha</t>
  </si>
  <si>
    <t>Produtos no inventário (ativos)</t>
  </si>
  <si>
    <t>—</t>
  </si>
  <si>
    <t>Produtos classificados como perigosos</t>
  </si>
  <si>
    <t>Produtos CMR cat. 1A/1B em uso</t>
  </si>
  <si>
    <t>≤</t>
  </si>
  <si>
    <t>Produtos com SVHC (declarada ou em componente)</t>
  </si>
  <si>
    <t>Produtos com SVHC/PFAS por confirmar</t>
  </si>
  <si>
    <t>Sensibilizantes em uso</t>
  </si>
  <si>
    <t>FDS em vigor conformes (OK)</t>
  </si>
  <si>
    <t>≥</t>
  </si>
  <si>
    <t>FDS a pedir ao fornecedor (correção ou confirmação)</t>
  </si>
  <si>
    <t>Cenários de exposição não conformes (não/parcialmente cobertos por implementar)</t>
  </si>
  <si>
    <t>Lacunas de registo / importação</t>
  </si>
  <si>
    <t>Declarações de fornecedores não atualizadas</t>
  </si>
  <si>
    <t>Tarefas com prioridade P1</t>
  </si>
  <si>
    <t>Produtos perigosos sem avaliação de risco</t>
  </si>
  <si>
    <t>Medições não conformes ou inconclusivas</t>
  </si>
  <si>
    <t>Locais de armazenagem não conformes</t>
  </si>
  <si>
    <t>Seveso — grupo físico</t>
  </si>
  <si>
    <t>texto</t>
  </si>
  <si>
    <t>Requisitos legais não conformes ou parciais</t>
  </si>
  <si>
    <t>Emissões de COV estimadas (balanço do inventário, t/ano)</t>
  </si>
  <si>
    <t>PROVA DE CONTROLO REACH — o que um inspetor (ASAE / IGAMAOT / ACT) pede e onde está</t>
  </si>
  <si>
    <t>• Papel REACH da empresa e fornecedores extra-UE</t>
  </si>
  <si>
    <t>Papel_REACH; Registo_Importacao</t>
  </si>
  <si>
    <t>• Lista de produtos químicos com quantidades e perigos</t>
  </si>
  <si>
    <t>• FDS em português, atualizadas, acessíveis aos trabalhadores</t>
  </si>
  <si>
    <t>• Verificação dos cenários de exposição e medidas aplicadas</t>
  </si>
  <si>
    <t>• SVHC: declarações e comunicação a clientes (art. 33.º) / SCIP</t>
  </si>
  <si>
    <t>Declaracoes_SVHC; RG-SGA-20 tbl_familias_ppwr</t>
  </si>
  <si>
    <t>• Restrições (anexo XVII) e autorização (anexo XIV)</t>
  </si>
  <si>
    <t>Requisitos_Legais; Componentes</t>
  </si>
  <si>
    <t>• Avaliação de riscos químicos e medições (DL 24/2012; DL 301/2000)</t>
  </si>
  <si>
    <t>Avaliacao_Risco; Medicoes_VLE</t>
  </si>
  <si>
    <t>• Formação (diisocianatos, CMR, derrames)</t>
  </si>
  <si>
    <t>RG-SGA-08 (FOR-01, FOR-03, FOR-13, FOR-14, FOR-15)</t>
  </si>
  <si>
    <t>• Armazenagem, compatibilidades e Seveso</t>
  </si>
  <si>
    <t>Armazenagem; Matriz_Compatibilidade; Seveso</t>
  </si>
  <si>
    <t>• Relatório de microplásticos (granulado) e outras obrigações periódicas</t>
  </si>
  <si>
    <t>RG-SGA-04 tbl_obrigacoes</t>
  </si>
  <si>
    <t>• Ações e seguimento</t>
  </si>
  <si>
    <t>RG-SGA-06 (PAM-26-28 a PAM-26-35)</t>
  </si>
  <si>
    <t>PAPEL DA PLASTICOM NO REACH E NO CLP</t>
  </si>
  <si>
    <t>Rever quando muda a origem de uma compra (fora do EEE), se passar a vender químicos ou a formular misturas para terceiros</t>
  </si>
  <si>
    <t>ID_Papel</t>
  </si>
  <si>
    <t>Atividade</t>
  </si>
  <si>
    <t>Papel_REACH_CLP</t>
  </si>
  <si>
    <t>Justificacao</t>
  </si>
  <si>
    <t>Obrigacoes_Principais</t>
  </si>
  <si>
    <t>Evidencia</t>
  </si>
  <si>
    <t>PAP-01</t>
  </si>
  <si>
    <t>Uso de tintas, solventes, óleos, gases, biocidas e reagentes comprados na UE</t>
  </si>
  <si>
    <t>Utilizador a jusante (utilizador final industrial)</t>
  </si>
  <si>
    <t>Usa substâncias e misturas na atividade industrial sem as colocar no mercado.</t>
  </si>
  <si>
    <t>Arts. 31.º–39.º REACH: receber e verificar FDS, verificar CE e aplicar condições (12 meses), comunicar ao fornecedor, acesso dos trabalhadores, conservar 10 anos.</t>
  </si>
  <si>
    <t>tbl_quimicos; tbl_fds; tbl_ce_reach</t>
  </si>
  <si>
    <t>PAP-02</t>
  </si>
  <si>
    <t>Mistura de tinta com diluente/endurecedor no posto</t>
  </si>
  <si>
    <t>Utilizador a jusante (não é formulador)</t>
  </si>
  <si>
    <t>A mistura é feita para uso próprio e não é colocada no mercado.</t>
  </si>
  <si>
    <t>Sem FDS/rotulagem própria nem notificação a centros antivenenos; identificar os recipientes de trasfega; avaliar o risco da mistura.</t>
  </si>
  <si>
    <t>tbl_risco_quimico ARQ-01/03/04</t>
  </si>
  <si>
    <t>PAP-03</t>
  </si>
  <si>
    <t>Compra de polímeros a fornecedores de fora do EEE</t>
  </si>
  <si>
    <t>Importador (salvo se houver RU ou importador UE)</t>
  </si>
  <si>
    <t>Quem introduz fisicamente a substância/mistura no território aduaneiro da UE é o importador.</t>
  </si>
  <si>
    <t>Registo dos monómeros ≥ 2% e ≥ 1 t/ano e dos aditivos ≥ 1 t/ano não registados a montante (art. 6.º, n.º 3); ou confirmação de RU (art. 8.º).</t>
  </si>
  <si>
    <t>tbl_registo_reach</t>
  </si>
  <si>
    <t>PAP-04</t>
  </si>
  <si>
    <t>Fabrico de frascos, tampas e potes</t>
  </si>
  <si>
    <t>Produtor de artigos</t>
  </si>
  <si>
    <t>As embalagens têm forma/desenho que determinam a função mais do que a composição química.</t>
  </si>
  <si>
    <t>Art. 7.º, n.º 2 (notificação SVHC &gt; 0,1% e &gt; 1 t/ano); art. 33.º (comunicação a clientes); SCIP; restrições do anexo XVII aplicáveis a artigos.</t>
  </si>
  <si>
    <t>RG-SGA-20 tbl_familias_ppwr; tbl_declaracoes</t>
  </si>
  <si>
    <t>PAP-05</t>
  </si>
  <si>
    <t>Uso industrial de granulado de polímeros</t>
  </si>
  <si>
    <t>Utilizador a jusante industrial de micropartículas de polímeros sintéticos</t>
  </si>
  <si>
    <t>Granulado usado como matéria-prima na produção de plásticos em instalação industrial (derrogação da entrada 78).</t>
  </si>
  <si>
    <t>Relatório anual à ECHA das libertações estimadas (até 31/05); prevenção de perdas (Reg. 2025/2365).</t>
  </si>
  <si>
    <t>RG-SGA-04 tbl_obrigacoes; LEG-10</t>
  </si>
  <si>
    <t>PAP-06</t>
  </si>
  <si>
    <t>Fabrico de substâncias</t>
  </si>
  <si>
    <t>Não aplicável</t>
  </si>
  <si>
    <t>A Plasticom não sintetiza substâncias (a moldação transforma polímeros em artigos).</t>
  </si>
  <si>
    <t>PAP-07</t>
  </si>
  <si>
    <t>Venda/distribuição de químicos</t>
  </si>
  <si>
    <t>A Plasticom não vende produtos químicos; o scrap vendido é resíduo/material recuperado gerido pelo reciclador.</t>
  </si>
  <si>
    <t>PAP-08</t>
  </si>
  <si>
    <t>Uso de produto biocida na torre de arrefecimento</t>
  </si>
  <si>
    <t>Utilizador profissional de biocida (Reg. 528/2012)</t>
  </si>
  <si>
    <t>Usa um produto biocida autorizado (TP11).</t>
  </si>
  <si>
    <t>Usar conforme o rótulo e a autorização; FDS; formação dos técnicos.</t>
  </si>
  <si>
    <t>tbl_quimicos QUI-036; RG-SGA-04 tbl_obrigacoes</t>
  </si>
  <si>
    <t>PAP-09</t>
  </si>
  <si>
    <t>Laboratório (ensaios de migração)</t>
  </si>
  <si>
    <t>Utilizador a jusante (laboratório)</t>
  </si>
  <si>
    <t>Pequenas quantidades de reagentes em laboratório.</t>
  </si>
  <si>
    <t>FDS, CE de laboratório (PROC 15), hotte.</t>
  </si>
  <si>
    <t>tbl_ce_reach CE-04/05</t>
  </si>
  <si>
    <t>INVENTÁRIO DE PRODUTOS QUÍMICOS — REACH / CLP / TOXICIDADE</t>
  </si>
  <si>
    <t>Brancas = entrada (secção 2 e 3 da FDS) · Cinzentas = calculadas a partir das frases H e das outras folhas · Um produto novo só entra com Estado 'Em avaliação' até concluir o PR-SGA-16</t>
  </si>
  <si>
    <t>ID_Quimico</t>
  </si>
  <si>
    <t>Nome_Comercial</t>
  </si>
  <si>
    <t>Tipo_Produto</t>
  </si>
  <si>
    <t>Uso_Plasticom</t>
  </si>
  <si>
    <t>Processo</t>
  </si>
  <si>
    <t>Fornecedor</t>
  </si>
  <si>
    <t>ID_Fornecedor</t>
  </si>
  <si>
    <t>Pais_Origem</t>
  </si>
  <si>
    <t>Origem_EEE</t>
  </si>
  <si>
    <t>Qtd_Ano_kg</t>
  </si>
  <si>
    <t>Stock_Max_kg</t>
  </si>
  <si>
    <t>Volume_Embalagem_L</t>
  </si>
  <si>
    <t>Local_Armazenagem</t>
  </si>
  <si>
    <t>Frases_H</t>
  </si>
  <si>
    <t>Pictogramas</t>
  </si>
  <si>
    <t>Palavra_Sinal</t>
  </si>
  <si>
    <t>Categoria_Seveso</t>
  </si>
  <si>
    <t>Categoria_Seveso_2</t>
  </si>
  <si>
    <t>SVHC_Declarado</t>
  </si>
  <si>
    <t>Anexo_XVII</t>
  </si>
  <si>
    <t>Diisocianatos_0_1</t>
  </si>
  <si>
    <t>PFAS</t>
  </si>
  <si>
    <t>Contacto_Alimentar</t>
  </si>
  <si>
    <t>IDs_Aspetos</t>
  </si>
  <si>
    <t>Estado_Aprovacao</t>
  </si>
  <si>
    <t>Data_Aprovacao</t>
  </si>
  <si>
    <t>Teor_COV</t>
  </si>
  <si>
    <t>COV_kg_ano</t>
  </si>
  <si>
    <t>H_norm</t>
  </si>
  <si>
    <t>Perigoso</t>
  </si>
  <si>
    <t>Classe_Perigo_Saude</t>
  </si>
  <si>
    <t>CMR</t>
  </si>
  <si>
    <t>Sensibilizante</t>
  </si>
  <si>
    <t>Toxico_Agudo</t>
  </si>
  <si>
    <t>STOT</t>
  </si>
  <si>
    <t>Perigoso_Ambiente</t>
  </si>
  <si>
    <t>Inflamavel</t>
  </si>
  <si>
    <t>Protecao_Maternidade</t>
  </si>
  <si>
    <t>SVHC_Componentes</t>
  </si>
  <si>
    <t>Data_FDS_Vigor</t>
  </si>
  <si>
    <t>Estado_FDS</t>
  </si>
  <si>
    <t>Alerta</t>
  </si>
  <si>
    <t>QUI-001</t>
  </si>
  <si>
    <t>Tinta serigráfica base solvente (PP/PE)</t>
  </si>
  <si>
    <t>Mistura</t>
  </si>
  <si>
    <t>Decoração de frascos e tampas de PP/HDPE</t>
  </si>
  <si>
    <t>SER</t>
  </si>
  <si>
    <t>InkTec Ibérica, Lda.</t>
  </si>
  <si>
    <t>PQ-01</t>
  </si>
  <si>
    <t>Alemanha</t>
  </si>
  <si>
    <t>Sim</t>
  </si>
  <si>
    <t>Utilizador a jusante</t>
  </si>
  <si>
    <t>ARM-01</t>
  </si>
  <si>
    <t>H226; H332; H315; H318; H411</t>
  </si>
  <si>
    <t>GHS02; GHS05; GHS07; GHS09</t>
  </si>
  <si>
    <t>Perigo</t>
  </si>
  <si>
    <t>P5c</t>
  </si>
  <si>
    <t>E2</t>
  </si>
  <si>
    <t>Não</t>
  </si>
  <si>
    <t>AA-015; AA-016; AA-005</t>
  </si>
  <si>
    <t>Aprovado</t>
  </si>
  <si>
    <t>QUI-002</t>
  </si>
  <si>
    <t>Tinta serigráfica UV (PET) — ensaio SS-002</t>
  </si>
  <si>
    <t>Decoração de frascos PET (ALT-2025-01)</t>
  </si>
  <si>
    <t>H360FD; H317; H302; H411</t>
  </si>
  <si>
    <t>GHS07; GHS08; GHS09</t>
  </si>
  <si>
    <t>Entrada 30 (só venda ao público — N.A.)</t>
  </si>
  <si>
    <t>AA-015</t>
  </si>
  <si>
    <t>Aprovado condicionado</t>
  </si>
  <si>
    <t>QUI-003</t>
  </si>
  <si>
    <t>Endurecedor poli-isocianato alifático (tinta 2K)</t>
  </si>
  <si>
    <t>Catalisador da tinta 2K das tampas (resistência química)</t>
  </si>
  <si>
    <t>H226; H317; H332; H335; H412; EUH204</t>
  </si>
  <si>
    <t>GHS02; GHS07</t>
  </si>
  <si>
    <t>Atenção</t>
  </si>
  <si>
    <t>Entrada 74 (diisocianatos ≥ 0,1%)</t>
  </si>
  <si>
    <t>QUI-004</t>
  </si>
  <si>
    <t>Diluente serigráfico (ciclo-hexanona / acetato de metoxipropilo)</t>
  </si>
  <si>
    <t>Ajuste de viscosidade das tintas</t>
  </si>
  <si>
    <t>H226; H332; H319; H336</t>
  </si>
  <si>
    <t>AA-015; AA-006</t>
  </si>
  <si>
    <t>QUI-005</t>
  </si>
  <si>
    <t>Retardador (acetato de 2-butoxietilo)</t>
  </si>
  <si>
    <t>Substância</t>
  </si>
  <si>
    <t>Retardador de secagem das tintas</t>
  </si>
  <si>
    <t>H312; H332</t>
  </si>
  <si>
    <t>GHS07</t>
  </si>
  <si>
    <t>QUI-006</t>
  </si>
  <si>
    <t>Solvente de limpeza de ecrãs (ésteres e cetonas)</t>
  </si>
  <si>
    <t>Limpeza de ecrãs e rodos</t>
  </si>
  <si>
    <t>QuimiLeiria, Lda.</t>
  </si>
  <si>
    <t>PQ-02</t>
  </si>
  <si>
    <t>Portugal</t>
  </si>
  <si>
    <t>H225; H319; H336; EUH066</t>
  </si>
  <si>
    <t>AA-014; AA-006</t>
  </si>
  <si>
    <t>QUI-007</t>
  </si>
  <si>
    <t>Emulsão fotossensível diazo</t>
  </si>
  <si>
    <t>Preparação de ecrãs (gravação)</t>
  </si>
  <si>
    <t>H317; H319</t>
  </si>
  <si>
    <t>AA-016</t>
  </si>
  <si>
    <t>QUI-008</t>
  </si>
  <si>
    <t>Removedor de emulsão (periodato de sódio &lt; 10%)</t>
  </si>
  <si>
    <t>Recuperação de ecrãs</t>
  </si>
  <si>
    <t>ARM-03</t>
  </si>
  <si>
    <t>H315; H319</t>
  </si>
  <si>
    <t>QUI-009</t>
  </si>
  <si>
    <t>Removedor de imagem fantasma (hidróxido de sódio 5–10%)</t>
  </si>
  <si>
    <t>H290; H314</t>
  </si>
  <si>
    <t>GHS05</t>
  </si>
  <si>
    <t>QUI-010</t>
  </si>
  <si>
    <t>Propano (flamejamento de PP/PE antes da serigrafia)</t>
  </si>
  <si>
    <t>Gás</t>
  </si>
  <si>
    <t>Tratamento superficial por chama</t>
  </si>
  <si>
    <t>GasLis, S.A.</t>
  </si>
  <si>
    <t>PQ-04</t>
  </si>
  <si>
    <t>ARM-06</t>
  </si>
  <si>
    <t>H220; H280</t>
  </si>
  <si>
    <t>GHS02; GHS04</t>
  </si>
  <si>
    <t>Parte 2 — GPL</t>
  </si>
  <si>
    <t>QUI-011</t>
  </si>
  <si>
    <t>Foil de hot stamping (poliéster metalizado com verniz)</t>
  </si>
  <si>
    <t>Artigo</t>
  </si>
  <si>
    <t>Decoração por hot foil</t>
  </si>
  <si>
    <t>HFS</t>
  </si>
  <si>
    <t>FoilTech S.r.l.</t>
  </si>
  <si>
    <t>PQ-07</t>
  </si>
  <si>
    <t>Itália</t>
  </si>
  <si>
    <t>Destinatário de artigo</t>
  </si>
  <si>
    <t>ARM-12</t>
  </si>
  <si>
    <t>Por confirmar</t>
  </si>
  <si>
    <t>AA-018; AA-019</t>
  </si>
  <si>
    <t>QUI-012</t>
  </si>
  <si>
    <t>PP homopolímero e copolímero (granulado)</t>
  </si>
  <si>
    <t>Polímero</t>
  </si>
  <si>
    <t>Injeção de tampas e potes</t>
  </si>
  <si>
    <t>INJ</t>
  </si>
  <si>
    <t>Meridian Petrochemicals GmbH</t>
  </si>
  <si>
    <t>SUP-002</t>
  </si>
  <si>
    <t>ARM-10</t>
  </si>
  <si>
    <t>AA-001; AA-003</t>
  </si>
  <si>
    <t>QUI-013</t>
  </si>
  <si>
    <t>HDPE / LDPE / MDPE (granulado)</t>
  </si>
  <si>
    <t>Sopro de frascos e injeção</t>
  </si>
  <si>
    <t>SOP</t>
  </si>
  <si>
    <t>PolyGlobal Resins Corp</t>
  </si>
  <si>
    <t>SUP-001</t>
  </si>
  <si>
    <t>EUA</t>
  </si>
  <si>
    <t>Importador (coberto por RU)</t>
  </si>
  <si>
    <t>QUI-014</t>
  </si>
  <si>
    <t>PET e PETG (granulado)</t>
  </si>
  <si>
    <t>ISBM de frascos</t>
  </si>
  <si>
    <t>NorthStar Polymer Solutions</t>
  </si>
  <si>
    <t>SUP-003</t>
  </si>
  <si>
    <t>Utilizador a jusante (importador: filial UE)</t>
  </si>
  <si>
    <t>QUI-015</t>
  </si>
  <si>
    <t>HDPE-PCR e rPET (reciclado pós-consumo)</t>
  </si>
  <si>
    <t>Conteúdo reciclado (cosmética)</t>
  </si>
  <si>
    <t>TransAtlantic Polymers plc</t>
  </si>
  <si>
    <t>SUP-004</t>
  </si>
  <si>
    <t>Reino Unido</t>
  </si>
  <si>
    <t>Importador — lacuna</t>
  </si>
  <si>
    <t>QUI-016</t>
  </si>
  <si>
    <t>PP e PVC (compra spot)</t>
  </si>
  <si>
    <t>PVC: 4 SKUs legados (frascos)</t>
  </si>
  <si>
    <t>Orient Polymer Industries</t>
  </si>
  <si>
    <t>SUP-005</t>
  </si>
  <si>
    <t>Singapura</t>
  </si>
  <si>
    <t>Entradas 51 (ftalatos) e 63 (chumbo) — por confirmar</t>
  </si>
  <si>
    <t>AA-001</t>
  </si>
  <si>
    <t>Suspenso</t>
  </si>
  <si>
    <t>QUI-017</t>
  </si>
  <si>
    <t>HDPE e PET (granulado)</t>
  </si>
  <si>
    <t>Sopro e ISBM</t>
  </si>
  <si>
    <t>Zenith Chemicals Group</t>
  </si>
  <si>
    <t>SUP-006</t>
  </si>
  <si>
    <t>Países Baixos</t>
  </si>
  <si>
    <t>QUI-018</t>
  </si>
  <si>
    <t>PP, HDPE e LDPE (granulado)</t>
  </si>
  <si>
    <t>Injeção e sopro</t>
  </si>
  <si>
    <t>Tarraco Petroquimica S.A.</t>
  </si>
  <si>
    <t>SUP-007</t>
  </si>
  <si>
    <t>Espanha</t>
  </si>
  <si>
    <t>QUI-019</t>
  </si>
  <si>
    <t>PP-PG e PET-PG (grau farmacêutico)</t>
  </si>
  <si>
    <t>Linha farmacêutica</t>
  </si>
  <si>
    <t>FarmaResin Especialidades Ltda</t>
  </si>
  <si>
    <t>SUP-009</t>
  </si>
  <si>
    <t>Brasil</t>
  </si>
  <si>
    <t>QUI-020</t>
  </si>
  <si>
    <t>HDPE-FG e PP-FG (grau alimentar)</t>
  </si>
  <si>
    <t>Linha alimentar</t>
  </si>
  <si>
    <t>NutriPolímeros Ibéria S.A.</t>
  </si>
  <si>
    <t>SUP-010</t>
  </si>
  <si>
    <t>QUI-021</t>
  </si>
  <si>
    <t>Masterbatch de cor (pigmentos em PE/PP)</t>
  </si>
  <si>
    <t>Coloração</t>
  </si>
  <si>
    <t>Lusomastic Polimeros S.A.</t>
  </si>
  <si>
    <t>SUP-008</t>
  </si>
  <si>
    <t>QUI-022</t>
  </si>
  <si>
    <t>Masterbatch aditivo deslizante / antiestático</t>
  </si>
  <si>
    <t>Aditivação de tampas</t>
  </si>
  <si>
    <t>QUI-023</t>
  </si>
  <si>
    <t>Masterbatch absorvedor UV (benzotriazol UV-329)</t>
  </si>
  <si>
    <t>Proteção UV de frascos PET</t>
  </si>
  <si>
    <t>QUI-024</t>
  </si>
  <si>
    <t>Spray desmoldante de silicone</t>
  </si>
  <si>
    <t>Mistura (aerossol)</t>
  </si>
  <si>
    <t>Desmoldagem em arranques de molde</t>
  </si>
  <si>
    <t>LubriCentro, S.A.</t>
  </si>
  <si>
    <t>PQ-03</t>
  </si>
  <si>
    <t>ARM-05</t>
  </si>
  <si>
    <t>H222; H229; H315; H336; H411</t>
  </si>
  <si>
    <t>GHS02; GHS07; GHS09</t>
  </si>
  <si>
    <t>P3a</t>
  </si>
  <si>
    <t>Entrada 70 (D4/D5/D6) — confirmar</t>
  </si>
  <si>
    <t>AA-007; AA-012</t>
  </si>
  <si>
    <t>QUI-025</t>
  </si>
  <si>
    <t>Spray antioxidante para moldes</t>
  </si>
  <si>
    <t>Proteção de moldes em armazém</t>
  </si>
  <si>
    <t>MAN</t>
  </si>
  <si>
    <t>H222; H229; H336; H412; EUH066</t>
  </si>
  <si>
    <t>AA-026</t>
  </si>
  <si>
    <t>QUI-026</t>
  </si>
  <si>
    <t>Limpa-moldes desengordurante em aerossol (contém n-hexano)</t>
  </si>
  <si>
    <t>Limpeza de cavidades de molde</t>
  </si>
  <si>
    <t>H222; H229; H315; H336; H361f; H373; H411</t>
  </si>
  <si>
    <t>GHS02; GHS07; GHS08; GHS09</t>
  </si>
  <si>
    <t>QUI-027</t>
  </si>
  <si>
    <t>Óleo hidráulico mineral ISO VG 46</t>
  </si>
  <si>
    <t>Circuitos hidráulicos das máquinas</t>
  </si>
  <si>
    <t>ARM-02</t>
  </si>
  <si>
    <t>AA-009; AA-013</t>
  </si>
  <si>
    <t>QUI-028</t>
  </si>
  <si>
    <t>Óleo de compressor sintético</t>
  </si>
  <si>
    <t>Compressores CMP-01/02</t>
  </si>
  <si>
    <t>UTL</t>
  </si>
  <si>
    <t>AA-021</t>
  </si>
  <si>
    <t>QUI-029</t>
  </si>
  <si>
    <t>Fluido de arrefecimento (monoetilenoglicol 30–50%)</t>
  </si>
  <si>
    <t>Circuito de água gelada / termorreguladores</t>
  </si>
  <si>
    <t>H302; H373</t>
  </si>
  <si>
    <t>GHS07; GHS08</t>
  </si>
  <si>
    <t>AA-023</t>
  </si>
  <si>
    <t>QUI-030</t>
  </si>
  <si>
    <t>Trava-roscas anaeróbico (metacrilatos)</t>
  </si>
  <si>
    <t>Manutenção mecânica</t>
  </si>
  <si>
    <t>H317; H319; H335; H412</t>
  </si>
  <si>
    <t>QUI-031</t>
  </si>
  <si>
    <t>Adesivo cianoacrilato</t>
  </si>
  <si>
    <t>Manutenção e reparações</t>
  </si>
  <si>
    <t>H315; H319; H335; EUH202</t>
  </si>
  <si>
    <t>QUI-032</t>
  </si>
  <si>
    <t>Gasóleo (gerador e viaturas)</t>
  </si>
  <si>
    <t>Combustível</t>
  </si>
  <si>
    <t>GER</t>
  </si>
  <si>
    <t>CombustLeiria, Lda.</t>
  </si>
  <si>
    <t>PQ-05</t>
  </si>
  <si>
    <t>ARM-07</t>
  </si>
  <si>
    <t>H226; H304; H315; H332; H351; H373; H411</t>
  </si>
  <si>
    <t>Parte 2 — Produtos petrolíferos</t>
  </si>
  <si>
    <t>AA-029</t>
  </si>
  <si>
    <t>QUI-033</t>
  </si>
  <si>
    <t>Acetileno dissolvido (soldadura)</t>
  </si>
  <si>
    <t>Oficina de manutenção</t>
  </si>
  <si>
    <t>H220; H230; H280</t>
  </si>
  <si>
    <t>Parte 2 — Acetileno</t>
  </si>
  <si>
    <t>QUI-034</t>
  </si>
  <si>
    <t>Oxigénio comprimido (soldadura)</t>
  </si>
  <si>
    <t>H270; H280</t>
  </si>
  <si>
    <t>GHS03; GHS04</t>
  </si>
  <si>
    <t>Parte 2 — Oxigénio</t>
  </si>
  <si>
    <t>QUI-035</t>
  </si>
  <si>
    <t>Eletrólito de baterias (ácido sulfúrico 35–38%)</t>
  </si>
  <si>
    <t>Manutenção das baterias dos empilhadores</t>
  </si>
  <si>
    <t>ARM-09</t>
  </si>
  <si>
    <t>QUI-036</t>
  </si>
  <si>
    <t>Biocida da torre (isotiazolinonas CMIT/MIT) — TP11</t>
  </si>
  <si>
    <t>Tratamento da água da torre TR-01</t>
  </si>
  <si>
    <t>AquaHigiene Lda.</t>
  </si>
  <si>
    <t>TOR-01</t>
  </si>
  <si>
    <t>ARM-04</t>
  </si>
  <si>
    <t>H314; H317; H410; EUH071</t>
  </si>
  <si>
    <t>GHS05; GHS07; GHS09</t>
  </si>
  <si>
    <t>E1</t>
  </si>
  <si>
    <t>AA-023; AA-024</t>
  </si>
  <si>
    <t>QUI-037</t>
  </si>
  <si>
    <t>Anti-incrustante / inibidor de corrosão (fosfonatos, pH ácido)</t>
  </si>
  <si>
    <t>H319</t>
  </si>
  <si>
    <t>QUI-038</t>
  </si>
  <si>
    <t>Hipoclorito de sódio 12–14% (choque de Legionella)</t>
  </si>
  <si>
    <t>Desinfeção de choque da torre</t>
  </si>
  <si>
    <t>H290; H314; H400; EUH031</t>
  </si>
  <si>
    <t>GHS05; GHS09</t>
  </si>
  <si>
    <t>QUI-039</t>
  </si>
  <si>
    <t>R410A (fluido do chiller CH-01)</t>
  </si>
  <si>
    <t>Refrigeração (em equipamento)</t>
  </si>
  <si>
    <t>FrioTec</t>
  </si>
  <si>
    <t>MAN-01</t>
  </si>
  <si>
    <t>ARM-11</t>
  </si>
  <si>
    <t>H280</t>
  </si>
  <si>
    <t>GHS04</t>
  </si>
  <si>
    <t>Sim (HFC-125 — definição OCDE)</t>
  </si>
  <si>
    <t>AA-025</t>
  </si>
  <si>
    <t>QUI-040</t>
  </si>
  <si>
    <t>Etanol 96% (laboratório)</t>
  </si>
  <si>
    <t>Ensaios e limpeza de laboratório</t>
  </si>
  <si>
    <t>LAB</t>
  </si>
  <si>
    <t>LabQuímica, Lda.</t>
  </si>
  <si>
    <t>PQ-06</t>
  </si>
  <si>
    <t>ARM-08</t>
  </si>
  <si>
    <t>H225; H319</t>
  </si>
  <si>
    <t>QUI-041</t>
  </si>
  <si>
    <t>Ácido acético glacial (simulante de migração 3%)</t>
  </si>
  <si>
    <t>Ensaios de migração (linha alimentar)</t>
  </si>
  <si>
    <t>H226; H314</t>
  </si>
  <si>
    <t>GHS02; GHS05</t>
  </si>
  <si>
    <t>QUI-042</t>
  </si>
  <si>
    <t>Isopropanol (limpeza técnica e laboratório)</t>
  </si>
  <si>
    <t>Limpeza de peças e superfícies</t>
  </si>
  <si>
    <t>H225; H319; H336</t>
  </si>
  <si>
    <t>AA-014</t>
  </si>
  <si>
    <t>COMPONENTES PERIGOSOS (SECÇÃO 3 DA FDS)</t>
  </si>
  <si>
    <t>Uma linha por componente · SVHC calculada por CAS · Ligação à ECHA para confirmar a classificação harmonizada (anexo VI do CLP)</t>
  </si>
  <si>
    <t>ID_Componente</t>
  </si>
  <si>
    <t>Componente</t>
  </si>
  <si>
    <t>CAS</t>
  </si>
  <si>
    <t>CE</t>
  </si>
  <si>
    <t>Conc_Min_pct</t>
  </si>
  <si>
    <t>Conc_Max_pct</t>
  </si>
  <si>
    <t>Registo_REACH</t>
  </si>
  <si>
    <t>VLE_Referencia</t>
  </si>
  <si>
    <t>SVHC_Vigiada</t>
  </si>
  <si>
    <t>SVHC_Acima_Limiar</t>
  </si>
  <si>
    <t>Consulta_ECHA</t>
  </si>
  <si>
    <t>CMP-001</t>
  </si>
  <si>
    <t>Ciclo-hexanona</t>
  </si>
  <si>
    <t>108-94-1</t>
  </si>
  <si>
    <t>203-631-1</t>
  </si>
  <si>
    <t>Indicado na FDS (secção 3)</t>
  </si>
  <si>
    <t>VLE-MP 10 ppm; VLE-CD 20 ppm (Dir. 2000/39/CE)</t>
  </si>
  <si>
    <t>CMP-002</t>
  </si>
  <si>
    <t>Acetato de 1-metoxi-2-propilo (PGMEA)</t>
  </si>
  <si>
    <t>108-65-6</t>
  </si>
  <si>
    <t>203-603-9</t>
  </si>
  <si>
    <t>VLE-MP 50 ppm; VLE-CD 100 ppm (Dir. 2000/39/CE)</t>
  </si>
  <si>
    <t>CMP-003</t>
  </si>
  <si>
    <t>Pigmentos orgânicos (mistura)</t>
  </si>
  <si>
    <t>CMP-004</t>
  </si>
  <si>
    <t>2-Metil-1-(4-metiltiofenil)-2-morfolinopropan-1-ona (fotoiniciador)</t>
  </si>
  <si>
    <t>71868-10-5</t>
  </si>
  <si>
    <t>400-600-6</t>
  </si>
  <si>
    <t>CMP-005</t>
  </si>
  <si>
    <t>Diacrilato de tripropilenoglicol (TPGDA)</t>
  </si>
  <si>
    <t>42978-66-5</t>
  </si>
  <si>
    <t>256-032-2</t>
  </si>
  <si>
    <t>CMP-006</t>
  </si>
  <si>
    <t>Acrilato de isobornilo</t>
  </si>
  <si>
    <t>5888-33-5</t>
  </si>
  <si>
    <t>227-561-6</t>
  </si>
  <si>
    <t>CMP-007</t>
  </si>
  <si>
    <t>Oligómeros de HDI (isocianurato)</t>
  </si>
  <si>
    <t>28182-81-2</t>
  </si>
  <si>
    <t>500-060-2</t>
  </si>
  <si>
    <t>Polímero — isento</t>
  </si>
  <si>
    <t>CMP-008</t>
  </si>
  <si>
    <t>Di-isocianato de hexametileno (HDI, monómero)</t>
  </si>
  <si>
    <t>822-06-0</t>
  </si>
  <si>
    <t>212-485-8</t>
  </si>
  <si>
    <t>Confirmar VLE na NP 1796 (diisocianatos)</t>
  </si>
  <si>
    <t>CMP-009</t>
  </si>
  <si>
    <t>Acetato de n-butilo</t>
  </si>
  <si>
    <t>123-86-4</t>
  </si>
  <si>
    <t>204-658-1</t>
  </si>
  <si>
    <t>VLE-MP 50 ppm; VLE-CD 150 ppm (Dir. (UE) 2019/1831)</t>
  </si>
  <si>
    <t>CMP-010</t>
  </si>
  <si>
    <t>CMP-011</t>
  </si>
  <si>
    <t>CMP-012</t>
  </si>
  <si>
    <t>Acetato de 2-butoxietilo</t>
  </si>
  <si>
    <t>112-07-2</t>
  </si>
  <si>
    <t>203-933-3</t>
  </si>
  <si>
    <t>VLE-MP 20 ppm; VLE-CD 50 ppm (Dir. 2000/39/CE)</t>
  </si>
  <si>
    <t>CMP-013</t>
  </si>
  <si>
    <t>Acetato de etilo</t>
  </si>
  <si>
    <t>141-78-6</t>
  </si>
  <si>
    <t>205-500-4</t>
  </si>
  <si>
    <t>VLE-MP 200 ppm; VLE-CD 400 ppm (Dir. (UE) 2017/164)</t>
  </si>
  <si>
    <t>CMP-014</t>
  </si>
  <si>
    <t>Butanona (MEK)</t>
  </si>
  <si>
    <t>78-93-3</t>
  </si>
  <si>
    <t>201-159-0</t>
  </si>
  <si>
    <t>VLE-MP 200 ppm; VLE-CD 300 ppm (Dir. 2000/39/CE)</t>
  </si>
  <si>
    <t>CMP-015</t>
  </si>
  <si>
    <t>CMP-016</t>
  </si>
  <si>
    <t>Hidróxido de sódio</t>
  </si>
  <si>
    <t>1310-73-2</t>
  </si>
  <si>
    <t>215-185-5</t>
  </si>
  <si>
    <t>Confirmar VLE na NP 1796</t>
  </si>
  <si>
    <t>CMP-017</t>
  </si>
  <si>
    <t>Propano</t>
  </si>
  <si>
    <t>74-98-6</t>
  </si>
  <si>
    <t>200-827-9</t>
  </si>
  <si>
    <t>CMP-018</t>
  </si>
  <si>
    <t>Aditivo antiestático (amina etoxilada) — identidade a confirmar</t>
  </si>
  <si>
    <t>Não indicado — pedir</t>
  </si>
  <si>
    <t>CMP-019</t>
  </si>
  <si>
    <t>UV-329 (2-(2H-benzotriazol-2-il)-4-(1,1,3,3-tetrametilbutil)fenol)</t>
  </si>
  <si>
    <t>3147-75-9</t>
  </si>
  <si>
    <t>221-573-5</t>
  </si>
  <si>
    <t>CMP-020</t>
  </si>
  <si>
    <t>Hidrocarbonetos C6-C7 (propulsor/solvente)</t>
  </si>
  <si>
    <t>927-510-4</t>
  </si>
  <si>
    <t>CMP-021</t>
  </si>
  <si>
    <t>Polidimetilsiloxano</t>
  </si>
  <si>
    <t>63148-62-9</t>
  </si>
  <si>
    <t>CMP-022</t>
  </si>
  <si>
    <t>Decametilciclopentassiloxano (D5) — impureza declarada &lt; 0,1%</t>
  </si>
  <si>
    <t>541-02-6</t>
  </si>
  <si>
    <t>208-764-9</t>
  </si>
  <si>
    <t>CMP-023</t>
  </si>
  <si>
    <t>n-Hexano</t>
  </si>
  <si>
    <t>110-54-3</t>
  </si>
  <si>
    <t>203-777-6</t>
  </si>
  <si>
    <t>VLE-MP 20 ppm (Dir. 2006/15/CE)</t>
  </si>
  <si>
    <t>CMP-024</t>
  </si>
  <si>
    <t>Acetona</t>
  </si>
  <si>
    <t>67-64-1</t>
  </si>
  <si>
    <t>200-662-2</t>
  </si>
  <si>
    <t>VLE-MP 500 ppm (Dir. 2000/39/CE)</t>
  </si>
  <si>
    <t>CMP-025</t>
  </si>
  <si>
    <t>Propano/butano (propulsor)</t>
  </si>
  <si>
    <t>68476-85-7</t>
  </si>
  <si>
    <t>270-704-2</t>
  </si>
  <si>
    <t>CMP-026</t>
  </si>
  <si>
    <t>Etano-1,2-diol (monoetilenoglicol)</t>
  </si>
  <si>
    <t>107-21-1</t>
  </si>
  <si>
    <t>203-473-3</t>
  </si>
  <si>
    <t>VLE-MP 20 ppm; VLE-CD 40 ppm; pele (Dir. 2000/39/CE)</t>
  </si>
  <si>
    <t>CMP-027</t>
  </si>
  <si>
    <t>Combustíveis para motores diesel</t>
  </si>
  <si>
    <t>68334-30-5</t>
  </si>
  <si>
    <t>269-822-7</t>
  </si>
  <si>
    <t>CMP-028</t>
  </si>
  <si>
    <t>Ácido sulfúrico</t>
  </si>
  <si>
    <t>7664-93-9</t>
  </si>
  <si>
    <t>231-639-5</t>
  </si>
  <si>
    <t>VLE-MP 0,05 mg/m³ (névoas, fração torácica; Dir. 2009/161/UE)</t>
  </si>
  <si>
    <t>CMP-029</t>
  </si>
  <si>
    <t>Mistura CMIT/MIT (3:1)</t>
  </si>
  <si>
    <t>55965-84-9</t>
  </si>
  <si>
    <t>611-341-5</t>
  </si>
  <si>
    <t>Substância ativa aprovada (Reg. 528/2012)</t>
  </si>
  <si>
    <t>CMP-030</t>
  </si>
  <si>
    <t>Hipoclorito de sódio</t>
  </si>
  <si>
    <t>7681-52-9</t>
  </si>
  <si>
    <t>231-668-3</t>
  </si>
  <si>
    <t>CMP-031</t>
  </si>
  <si>
    <t>Etanol</t>
  </si>
  <si>
    <t>64-17-5</t>
  </si>
  <si>
    <t>200-578-6</t>
  </si>
  <si>
    <t>CMP-032</t>
  </si>
  <si>
    <t>Ácido acético</t>
  </si>
  <si>
    <t>64-19-7</t>
  </si>
  <si>
    <t>200-580-7</t>
  </si>
  <si>
    <t>VLE-MP 10 ppm; VLE-CD 20 ppm (Dir. (UE) 2017/164)</t>
  </si>
  <si>
    <t>CMP-033</t>
  </si>
  <si>
    <t>Propan-2-ol</t>
  </si>
  <si>
    <t>67-63-0</t>
  </si>
  <si>
    <t>200-661-7</t>
  </si>
  <si>
    <t>VERIFICAÇÃO DAS FICHAS DE DADOS DE SEGURANÇA (REACH art. 31.º; anexo II — Reg. (UE) 2020/878)</t>
  </si>
  <si>
    <t>Uma linha por VERSÃO recebida (não apagar as antigas — art. 36.º) · 'Não' em qualquer ponto → pedir correção ao fornecedor (art. 34.º) · 36 meses = critério interno</t>
  </si>
  <si>
    <t>ID_FDS</t>
  </si>
  <si>
    <t>Produto</t>
  </si>
  <si>
    <t>Data_Rececao</t>
  </si>
  <si>
    <t>Data_FDS</t>
  </si>
  <si>
    <t>Versao</t>
  </si>
  <si>
    <t>C01_Lingua_PT</t>
  </si>
  <si>
    <t>C02_Formato_2020_878</t>
  </si>
  <si>
    <t>C03_Identificacao_Coerente</t>
  </si>
  <si>
    <t>C04_Contacto_Emergencia</t>
  </si>
  <si>
    <t>C05_Sec2_Igual_Rotulo</t>
  </si>
  <si>
    <t>C06_Sec3_Composicao</t>
  </si>
  <si>
    <t>C07_Sec8_VLE_EPI</t>
  </si>
  <si>
    <t>C08_Sec11_Toxicologia</t>
  </si>
  <si>
    <t>C09_Sec12_Ecologia</t>
  </si>
  <si>
    <t>C10_Uso_Identificado</t>
  </si>
  <si>
    <t>C11_CE_Anexo</t>
  </si>
  <si>
    <t>C12_Sec15_Regulamentacao</t>
  </si>
  <si>
    <t>Disponivel_Posto</t>
  </si>
  <si>
    <t>Pedido_Fornecedor</t>
  </si>
  <si>
    <t>Verificado_Por</t>
  </si>
  <si>
    <t>N_Nao</t>
  </si>
  <si>
    <t>Resultado</t>
  </si>
  <si>
    <t>Idade_Meses</t>
  </si>
  <si>
    <t>Em_Vigor</t>
  </si>
  <si>
    <t>Chave_Vigor</t>
  </si>
  <si>
    <t>FDS-001</t>
  </si>
  <si>
    <t>7.0</t>
  </si>
  <si>
    <t>N.A.</t>
  </si>
  <si>
    <t>Técnico de Qualidade/Ambiente</t>
  </si>
  <si>
    <t>FDS-002</t>
  </si>
  <si>
    <t>4.1</t>
  </si>
  <si>
    <t>FDS-003</t>
  </si>
  <si>
    <t>5.0</t>
  </si>
  <si>
    <t>FDS-004a</t>
  </si>
  <si>
    <t>3.0</t>
  </si>
  <si>
    <t>FDS-005</t>
  </si>
  <si>
    <t>2.2</t>
  </si>
  <si>
    <t>FDS-006a</t>
  </si>
  <si>
    <t>4.0</t>
  </si>
  <si>
    <t>FDS-006b</t>
  </si>
  <si>
    <t>FDS-007</t>
  </si>
  <si>
    <t>FDS-008</t>
  </si>
  <si>
    <t>2.0</t>
  </si>
  <si>
    <t>FDS-009</t>
  </si>
  <si>
    <t>FDS-010</t>
  </si>
  <si>
    <t>9.0</t>
  </si>
  <si>
    <t>FDS-012</t>
  </si>
  <si>
    <t>FDS-013</t>
  </si>
  <si>
    <t>6.0</t>
  </si>
  <si>
    <t>FDS-014</t>
  </si>
  <si>
    <t>FDS-015</t>
  </si>
  <si>
    <t>FDS-017</t>
  </si>
  <si>
    <t>FDS-018</t>
  </si>
  <si>
    <t>FDS-019</t>
  </si>
  <si>
    <t>FDS-020</t>
  </si>
  <si>
    <t>FDS-021</t>
  </si>
  <si>
    <t>8.0</t>
  </si>
  <si>
    <t>FDS-022</t>
  </si>
  <si>
    <t>1.0</t>
  </si>
  <si>
    <t>FDS-023</t>
  </si>
  <si>
    <t>FDS-024</t>
  </si>
  <si>
    <t>FDS-025</t>
  </si>
  <si>
    <t>FDS-026</t>
  </si>
  <si>
    <t>FDS-027</t>
  </si>
  <si>
    <t>FDS-028</t>
  </si>
  <si>
    <t>FDS-029</t>
  </si>
  <si>
    <t>FDS-030</t>
  </si>
  <si>
    <t>FDS-031</t>
  </si>
  <si>
    <t>FDS-032</t>
  </si>
  <si>
    <t>12.0</t>
  </si>
  <si>
    <t>FDS-033</t>
  </si>
  <si>
    <t>FDS-034</t>
  </si>
  <si>
    <t>FDS-035</t>
  </si>
  <si>
    <t>FDS-036</t>
  </si>
  <si>
    <t>FDS-037</t>
  </si>
  <si>
    <t>FDS-038</t>
  </si>
  <si>
    <t>FDS-039</t>
  </si>
  <si>
    <t>FDS-040</t>
  </si>
  <si>
    <t>10.0</t>
  </si>
  <si>
    <t>FDS-041</t>
  </si>
  <si>
    <t>FDS-042</t>
  </si>
  <si>
    <t>CENÁRIOS DE EXPOSIÇÃO — VERIFICAÇÃO PELO UTILIZADOR A JUSANTE</t>
  </si>
  <si>
    <t>Passos ECHA: 1) descrever o uso real (PROC) 2) comparar com o CE 3) se não coberto: escalonar, pedir ao fornecedor, RSQ-UJ ou substituir · Prazo: 12 meses após a receção da FDS</t>
  </si>
  <si>
    <t>ID_CE</t>
  </si>
  <si>
    <t>Substancia_CE</t>
  </si>
  <si>
    <t>Titulo_CE</t>
  </si>
  <si>
    <t>Descritores_Fornecedor</t>
  </si>
  <si>
    <t>Uso_Real</t>
  </si>
  <si>
    <t>PROC_Real</t>
  </si>
  <si>
    <t>Condicoes_CE</t>
  </si>
  <si>
    <t>Condicoes_Reais</t>
  </si>
  <si>
    <t>Metodo_Verificacao</t>
  </si>
  <si>
    <t>Acao</t>
  </si>
  <si>
    <t>Data_Implementacao</t>
  </si>
  <si>
    <t>Responsavel</t>
  </si>
  <si>
    <t>Data_Rececao_FDS</t>
  </si>
  <si>
    <t>Prazo_Legal</t>
  </si>
  <si>
    <t>Prazo_Relatorio_ECHA</t>
  </si>
  <si>
    <t>CE-01</t>
  </si>
  <si>
    <t>Utilização industrial em agentes de limpeza</t>
  </si>
  <si>
    <t>SU3; PROC 10; ERC 4</t>
  </si>
  <si>
    <t>Limpeza manual de ecrãs com pano na SS-001, ≈ 2 h por turno</t>
  </si>
  <si>
    <t>PROC 10</t>
  </si>
  <si>
    <t>Sem ventilação local (LEV) limitar a &lt; 1 h/dia; acima de 1 h/dia: LEV com eficácia ≥ 80%; luvas de butilo (EN ISO 374).</t>
  </si>
  <si>
    <t>2 h/turno sem LEV na SS-001 (a SS-002 tem mesa aspirante); luvas de nitrilo.</t>
  </si>
  <si>
    <t>Comparação direta</t>
  </si>
  <si>
    <t>Não coberto</t>
  </si>
  <si>
    <t>Implementar condições do CE</t>
  </si>
  <si>
    <t>Gerente de Produção</t>
  </si>
  <si>
    <t>CE-02</t>
  </si>
  <si>
    <t>Utilização industrial em revestimentos e tintas</t>
  </si>
  <si>
    <t>SU3; PROC 5, 8b, 10; ERC 4</t>
  </si>
  <si>
    <t>Mistura no tinteiro e ajuste de viscosidade na SS-001 e SS-002</t>
  </si>
  <si>
    <t>PROC 5; PROC 8b</t>
  </si>
  <si>
    <t>LEV no ponto de mistura ou duração &lt; 15 min/dia; luvas de butilo; óculos.</t>
  </si>
  <si>
    <t>Adição com doseador (&lt; 10 min/turno); SS-002 com captação; luvas de nitrilo.</t>
  </si>
  <si>
    <t>Escalonamento (scaling)</t>
  </si>
  <si>
    <t>Parcialmente coberto</t>
  </si>
  <si>
    <t>CE-03</t>
  </si>
  <si>
    <t>Utilização industrial como agente de limpeza</t>
  </si>
  <si>
    <t>SU3; PROC 10, 13; ERC 4</t>
  </si>
  <si>
    <t>Limpeza de peças e superfícies com pano</t>
  </si>
  <si>
    <t>Ventilação geral (3–5 renovações/h); duração ≤ 4 h; luvas.</t>
  </si>
  <si>
    <t>Ventilação geral mecânica; &lt; 1 h/dia; luvas de nitrilo.</t>
  </si>
  <si>
    <t>Coberto</t>
  </si>
  <si>
    <t>Nenhuma</t>
  </si>
  <si>
    <t>CE-04</t>
  </si>
  <si>
    <t>Utilização em laboratório</t>
  </si>
  <si>
    <t>SU22; PROC 15; ERC 8a</t>
  </si>
  <si>
    <t>Ensaios de migração e limpeza no laboratório</t>
  </si>
  <si>
    <t>PROC 15</t>
  </si>
  <si>
    <t>Utilização em pequena escala em laboratório; ventilação geral.</t>
  </si>
  <si>
    <t>Hotte e ventilação geral; &lt; 0,5 L/dia.</t>
  </si>
  <si>
    <t>Gerente da Qualidade</t>
  </si>
  <si>
    <t>CE-05</t>
  </si>
  <si>
    <t>SU22; PROC 15, 9</t>
  </si>
  <si>
    <t>Preparação do simulante 3% na hotte</t>
  </si>
  <si>
    <t>Hotte; luvas e óculos; ≤ 1 L por operação.</t>
  </si>
  <si>
    <t>Hotte; luvas de nitrilo; óculos; ≈ 0,1 L por operação.</t>
  </si>
  <si>
    <t>CE-06</t>
  </si>
  <si>
    <t>Utilização como combustível — industrial</t>
  </si>
  <si>
    <t>SU3; PROC 1, 8b, 16; ERC 7</t>
  </si>
  <si>
    <t>Abastecimento do gerador e viaturas a partir do depósito</t>
  </si>
  <si>
    <t>PROC 8b; PROC 16</t>
  </si>
  <si>
    <t>Transferência em sistemas dedicados; luvas; evitar contacto cutâneo repetido.</t>
  </si>
  <si>
    <t>Bomba com pistola e corte automático; luvas.</t>
  </si>
  <si>
    <t>Gerente de Manutenção</t>
  </si>
  <si>
    <t>CE-07</t>
  </si>
  <si>
    <t>Etano-1,2-diol</t>
  </si>
  <si>
    <t>Utilização industrial em fluidos funcionais</t>
  </si>
  <si>
    <t>SU3; PROC 1, 2, 8a; ERC 7</t>
  </si>
  <si>
    <t>Enchimento e reposição do circuito de água gelada</t>
  </si>
  <si>
    <t>PROC 8a</t>
  </si>
  <si>
    <t>Luvas; ventilação geral; evitar formação de névoas.</t>
  </si>
  <si>
    <t>Luvas de nitrilo; operação ocasional.</t>
  </si>
  <si>
    <t>CE-08</t>
  </si>
  <si>
    <t>Manutenção de baterias</t>
  </si>
  <si>
    <t>SU3; PROC 9, 8b; ERC 7</t>
  </si>
  <si>
    <t>Reposição de eletrólito nas baterias dos empilhadores</t>
  </si>
  <si>
    <t>PROC 9</t>
  </si>
  <si>
    <t>Luvas resistentes a ácidos; viseira facial completa; ventilação da sala de carga.</t>
  </si>
  <si>
    <t>Luvas de PVC e óculos (sem viseira); sala ventilada.</t>
  </si>
  <si>
    <t>CE-09</t>
  </si>
  <si>
    <t>Utilização profissional em produtos de limpeza em aerossol</t>
  </si>
  <si>
    <t>SU22; PROC 11; ERC 8a</t>
  </si>
  <si>
    <t>Pulverização das cavidades do molde na máquina, ≈ 30 min por mudança</t>
  </si>
  <si>
    <t>PROC 7</t>
  </si>
  <si>
    <t>PROC 11 (profissional) com ventilação; uso industrial (PROC 7) não coberto pelo CE do fornecedor.</t>
  </si>
  <si>
    <t>Pulverização em máquina sem LEV, ventilação geral.</t>
  </si>
  <si>
    <t>Pedido ao fornecedor</t>
  </si>
  <si>
    <t>Substituir produto/fornecedor</t>
  </si>
  <si>
    <t>CE-10</t>
  </si>
  <si>
    <t>Utilização industrial como combustível</t>
  </si>
  <si>
    <t>SU3; PROC 1, 2; ERC 7</t>
  </si>
  <si>
    <t>Flamejamento em linha (queimadores fixos)</t>
  </si>
  <si>
    <t>PROC 2</t>
  </si>
  <si>
    <t>Sistema fechado; verificação de fugas; ventilação.</t>
  </si>
  <si>
    <t>Sistema fechado com corte de chama; verificação anual.</t>
  </si>
  <si>
    <t>REGISTO REACH — IMPORTAÇÃO DE FORA DO EEE E REPRESENTANTE ÚNICO</t>
  </si>
  <si>
    <t>Polímeros estão isentos de registo, mas os monómeros e aditivos não (art. 6.º, n.º 3) · Sem RU nem importador UE, a Plasticom tem de registar (ver PR-SGA-16, §6.6)</t>
  </si>
  <si>
    <t>ID_Imp</t>
  </si>
  <si>
    <t>Pais</t>
  </si>
  <si>
    <t>Material</t>
  </si>
  <si>
    <t>Qtd_t_Ano</t>
  </si>
  <si>
    <t>Importador_Legal</t>
  </si>
  <si>
    <t>Representante_Unico</t>
  </si>
  <si>
    <t>Data_Carta_RU</t>
  </si>
  <si>
    <t>Plasticom_Lista_RU</t>
  </si>
  <si>
    <t>Substancias_a_Registar</t>
  </si>
  <si>
    <t>Observacao</t>
  </si>
  <si>
    <t>Conclusao</t>
  </si>
  <si>
    <t>IMP-01</t>
  </si>
  <si>
    <t>HDPE / LDPE / MDPE</t>
  </si>
  <si>
    <t>Plasticom</t>
  </si>
  <si>
    <t>PolyGlobal EU OR B.V. (Países Baixos)</t>
  </si>
  <si>
    <t>Etileno (74-85-1); 1-hexeno (592-41-6) — cobertos pelo registo do RU</t>
  </si>
  <si>
    <t>Carta do RU com a Plasticom na lista de importadores cobertos e tonelagem.</t>
  </si>
  <si>
    <t>IMP-02</t>
  </si>
  <si>
    <t>PET e PETG</t>
  </si>
  <si>
    <t>NorthStar Polymer Europe B.V.</t>
  </si>
  <si>
    <t>Ácido tereftálico (100-21-0); etilenoglicol (107-21-1) — registados pela filial UE</t>
  </si>
  <si>
    <t>Fatura e incoterm DAP pela filial UE: a Plasticom não é o importador.</t>
  </si>
  <si>
    <t>IMP-03</t>
  </si>
  <si>
    <t>HDPE-PCR e rPET</t>
  </si>
  <si>
    <t>Monómeros do rPET/HDPE e aditivos residuais — por confirmar</t>
  </si>
  <si>
    <t>Após o Brexit o Reino Unido é país terceiro; a isenção de substâncias recuperadas (art. 2.º, n.º 7, d) só se aplica à recuperação na UE. Pedido de RU enviado em 20/07/2026 sem resposta.</t>
  </si>
  <si>
    <t>IMP-04</t>
  </si>
  <si>
    <t>PP e PVC (spot)</t>
  </si>
  <si>
    <t>Monocloreto de vinilo (75-01-4); plastificante do PVC (≈ 1,8 t/ano ≥ 1 t) — identidade desconhecida</t>
  </si>
  <si>
    <t>Compra spot sem RU e sem declaração de composição: compras suspensas (PAM-26-28).</t>
  </si>
  <si>
    <t>IMP-05</t>
  </si>
  <si>
    <t>PP-PG e PET-PG</t>
  </si>
  <si>
    <t>FarmaResin EU OR, Lda. (Portugal)</t>
  </si>
  <si>
    <t>Propileno (115-07-1); ácido tereftálico; etilenoglicol — cobertos pelo registo do RU</t>
  </si>
  <si>
    <t>IMP-06</t>
  </si>
  <si>
    <t>PP, PP-PCR</t>
  </si>
  <si>
    <t>IMP-07</t>
  </si>
  <si>
    <t>HDPE, PET</t>
  </si>
  <si>
    <t>IMP-08</t>
  </si>
  <si>
    <t>PP, HDPE, LDPE</t>
  </si>
  <si>
    <t>IMP-09</t>
  </si>
  <si>
    <t>Masterbatches</t>
  </si>
  <si>
    <t>IMP-10</t>
  </si>
  <si>
    <t>HDPE-FG, PP-FG</t>
  </si>
  <si>
    <t>DECLARAÇÕES DE FORNECEDORES — SVHC, PFAS, METAIS, BPA, FTALATOS E FCM</t>
  </si>
  <si>
    <t>Uma declaração 'sem SVHC' só vale para a lista que cobre: se Lista_Coberta_N &lt; P-01 → pedir nova · Renovar pelo menos anualmente</t>
  </si>
  <si>
    <t>ID_Decl</t>
  </si>
  <si>
    <t>Data_Declaracao</t>
  </si>
  <si>
    <t>Lista_Coberta_N</t>
  </si>
  <si>
    <t>SVHC_0_1</t>
  </si>
  <si>
    <t>Metais_PPWR_Conforme</t>
  </si>
  <si>
    <t>BPA</t>
  </si>
  <si>
    <t>Ftalatos</t>
  </si>
  <si>
    <t>DoC_FCM</t>
  </si>
  <si>
    <t>DEC-01</t>
  </si>
  <si>
    <t>DEC-02</t>
  </si>
  <si>
    <t>DEC-03</t>
  </si>
  <si>
    <t>PET, PETG</t>
  </si>
  <si>
    <t>DEC-04</t>
  </si>
  <si>
    <t>HDPE-PCR, rPET</t>
  </si>
  <si>
    <t>DEC-05</t>
  </si>
  <si>
    <t>PP, PVC</t>
  </si>
  <si>
    <t>DEC-06</t>
  </si>
  <si>
    <t>DEC-07</t>
  </si>
  <si>
    <t>DEC-08</t>
  </si>
  <si>
    <t>Masterbatch de cor</t>
  </si>
  <si>
    <t>DEC-09</t>
  </si>
  <si>
    <t>Masterbatch deslizante/antiestático</t>
  </si>
  <si>
    <t>DEC-10</t>
  </si>
  <si>
    <t>Masterbatch absorvedor UV (UV-329)</t>
  </si>
  <si>
    <t>DEC-11</t>
  </si>
  <si>
    <t>PP-PG, PET-PG</t>
  </si>
  <si>
    <t>DEC-12</t>
  </si>
  <si>
    <t>DEC-13</t>
  </si>
  <si>
    <t>Foil de hot stamping</t>
  </si>
  <si>
    <t>DEC-14</t>
  </si>
  <si>
    <t>Tintas serigráficas (solvente, UV, 2K)</t>
  </si>
  <si>
    <t>Sim (tinta UV: 71868-10-5 na mistura)</t>
  </si>
  <si>
    <t>AVALIAÇÃO DE RISCO QUÍMICO POR TAREFA — TOXICIDADE (DL 24/2012; DL 301/2000)</t>
  </si>
  <si>
    <t>Uma linha por tarefa × produto (ou agente gerado) · Pontuação na folha Metodologia · P1 → medidas imediatas · Rever em 36 meses e em cada alteração</t>
  </si>
  <si>
    <t>ID_Avaliacao</t>
  </si>
  <si>
    <t>Agente_Gerado</t>
  </si>
  <si>
    <t>Posto_Tarefa</t>
  </si>
  <si>
    <t>Funcao_Exposta</t>
  </si>
  <si>
    <t>N_Trabalhadores</t>
  </si>
  <si>
    <t>Classe_Manual</t>
  </si>
  <si>
    <t>Volatilidade</t>
  </si>
  <si>
    <t>Procedimento</t>
  </si>
  <si>
    <t>Protecao_Coletiva</t>
  </si>
  <si>
    <t>Superficie_Cutanea</t>
  </si>
  <si>
    <t>Frequencia</t>
  </si>
  <si>
    <t>EPI</t>
  </si>
  <si>
    <t>Medidas_Existentes</t>
  </si>
  <si>
    <t>ID_Medicao</t>
  </si>
  <si>
    <t>Medidas_Adicionais</t>
  </si>
  <si>
    <t>Risco_Residual</t>
  </si>
  <si>
    <t>Prazo</t>
  </si>
  <si>
    <t>Data_Avaliacao</t>
  </si>
  <si>
    <t>Avaliador</t>
  </si>
  <si>
    <t>Classe_Perigo</t>
  </si>
  <si>
    <t>Score_Inalacao</t>
  </si>
  <si>
    <t>Score_Cutaneo</t>
  </si>
  <si>
    <t>Prioridade</t>
  </si>
  <si>
    <t>Regime_Especifico</t>
  </si>
  <si>
    <t>Medir_Exposicao</t>
  </si>
  <si>
    <t>Proxima_Revisao</t>
  </si>
  <si>
    <t>ARQ-01</t>
  </si>
  <si>
    <t>SS-001/SS-002 — enchimento do tinteiro e impressão</t>
  </si>
  <si>
    <t>Operador de Serigrafia</t>
  </si>
  <si>
    <t>Média — líquido com PE 50–150 °C ou pó grosso</t>
  </si>
  <si>
    <t>Aberto (sem dispersão particular)</t>
  </si>
  <si>
    <t>Captação localizada (mesa aspirante, fenda, braço)</t>
  </si>
  <si>
    <t>Duas mãos</t>
  </si>
  <si>
    <t>Frequente (2–6 h/dia)</t>
  </si>
  <si>
    <t>Luvas de nitrilo EN ISO 374; óculos</t>
  </si>
  <si>
    <t>Mesa aspirante na SS-002 e na SS-001 (17/12/2026); tampas nos recipientes</t>
  </si>
  <si>
    <t>MVLE-2025-02; MVLE-2025-03</t>
  </si>
  <si>
    <t>Médio</t>
  </si>
  <si>
    <t>Diretor Geral (Gestão de Topo)</t>
  </si>
  <si>
    <t>ARQ-02</t>
  </si>
  <si>
    <t>SS-002 — impressão e limpeza com tinta UV (ensaio)</t>
  </si>
  <si>
    <t>Baixa — sólido não pulverulento, granulado ou líquido com PE &gt; 150 °C</t>
  </si>
  <si>
    <t>Intermitente (30 min–2 h/dia)</t>
  </si>
  <si>
    <t>Luvas de nitrilo 0,4 mm; óculos; bata</t>
  </si>
  <si>
    <t>Mesa aspirante; acesso limitado a 3 operadores</t>
  </si>
  <si>
    <t>Substituir por tinta UV sem fotoiniciadores Repr. 1B (PAM-26-29); lista de trabalhadores expostos (DL 301/2000)</t>
  </si>
  <si>
    <t>Alto</t>
  </si>
  <si>
    <t>Responsável de R&amp;D</t>
  </si>
  <si>
    <t>ARQ-03</t>
  </si>
  <si>
    <t>Mistura da tinta 2K (endurecedor com diisocianatos)</t>
  </si>
  <si>
    <t>Ocasional (&lt; 30 min/dia)</t>
  </si>
  <si>
    <t>Luvas de butilo; óculos; semimáscara A2 na mistura</t>
  </si>
  <si>
    <t>Formação diisocianatos (entrada 74) de todos os operadores, incl. os 2 novos (27/10/2026); mistura na mesa aspirante</t>
  </si>
  <si>
    <t>MVLE-2026-01</t>
  </si>
  <si>
    <t>Responsável de Recursos Humanos</t>
  </si>
  <si>
    <t>ARQ-04</t>
  </si>
  <si>
    <t>Ajuste de viscosidade com diluente</t>
  </si>
  <si>
    <t>Ventilação geral mecânica verificada</t>
  </si>
  <si>
    <t>Uma mão</t>
  </si>
  <si>
    <t>Luvas de nitrilo; óculos</t>
  </si>
  <si>
    <t>Doseador; recipientes fechados</t>
  </si>
  <si>
    <t>MVLE-2025-02</t>
  </si>
  <si>
    <t>Luvas de butilo conforme CE-02</t>
  </si>
  <si>
    <t>Baixo</t>
  </si>
  <si>
    <t>ARQ-05</t>
  </si>
  <si>
    <t>SS-001 — limpeza manual de ecrãs com pano (2 h/turno)</t>
  </si>
  <si>
    <t>Alta — líquido com PE &lt; 50 °C, aerossol, gás ou pó fino</t>
  </si>
  <si>
    <t>Dispersivo (pulverização, limpeza de grandes superfícies)</t>
  </si>
  <si>
    <t>Mãos e antebraços</t>
  </si>
  <si>
    <t>Recipientes de segurança com tampa; panos em contentor fechado</t>
  </si>
  <si>
    <t>MVLE-2025-01</t>
  </si>
  <si>
    <t>Mesa aspirante na SS-001 e luvas de butilo (CE-01, PAM-26-31)</t>
  </si>
  <si>
    <t>ARQ-06</t>
  </si>
  <si>
    <t>SS-002 — limpeza de ecrãs em mesa aspirante</t>
  </si>
  <si>
    <t>Luvas de butilo; óculos</t>
  </si>
  <si>
    <t>Mesa aspirante com verificação anual</t>
  </si>
  <si>
    <t>MVLE-2025-04</t>
  </si>
  <si>
    <t>ARQ-07</t>
  </si>
  <si>
    <t>Recuperação de ecrãs com removedor alcalino</t>
  </si>
  <si>
    <t>Luvas de neopreno; viseira; avental</t>
  </si>
  <si>
    <t>Lava-olhos junto à cabine de lavagem</t>
  </si>
  <si>
    <t>ARQ-08</t>
  </si>
  <si>
    <t>Pulverização de desmoldante no molde</t>
  </si>
  <si>
    <t>Operador de Injeção</t>
  </si>
  <si>
    <t>Luvas de nitrilo</t>
  </si>
  <si>
    <t>Uso só no arranque; lata de 0,5 L; declaração do fornecedor: D4/D5/D6 &lt; 0,1% (27/11/2026)</t>
  </si>
  <si>
    <t>ARQ-09</t>
  </si>
  <si>
    <t>Limpeza de cavidades de molde com aerossol (n-hexano)</t>
  </si>
  <si>
    <t>Técnico de Manutenção</t>
  </si>
  <si>
    <t>Limpa-moldes sem n-hexano (base de ésteres) desde 10/12/2026 — reavaliar a classe de perigo com a nova FDS</t>
  </si>
  <si>
    <t>MVLE-2026-03</t>
  </si>
  <si>
    <t>ARQ-10</t>
  </si>
  <si>
    <t>Abastecimento de gasóleo (gerador e viaturas)</t>
  </si>
  <si>
    <t>Operador de Armazém / Empilhador</t>
  </si>
  <si>
    <t>Trabalho no exterior</t>
  </si>
  <si>
    <t>Bomba com corte automático; bacia do depósito</t>
  </si>
  <si>
    <t>Responsável de Armazém e Logística</t>
  </si>
  <si>
    <t>ARQ-11</t>
  </si>
  <si>
    <t>Reposição de eletrólito nas baterias</t>
  </si>
  <si>
    <t>Luvas de PVC; óculos</t>
  </si>
  <si>
    <t>Sala de carga ventilada; lava-olhos; viseira facial completa (30/10/2026)</t>
  </si>
  <si>
    <t>ARQ-12</t>
  </si>
  <si>
    <t>Ligação do IBC de biocida ao doseador</t>
  </si>
  <si>
    <t>Técnico de Utilidades</t>
  </si>
  <si>
    <t>Fechado com aberturas regulares</t>
  </si>
  <si>
    <t>Luvas de nitrilo; viseira; avental</t>
  </si>
  <si>
    <t>Doseamento automático; bacia de retenção</t>
  </si>
  <si>
    <t>ARQ-13</t>
  </si>
  <si>
    <t>Desinfeção de choque com hipoclorito (verter manualmente)</t>
  </si>
  <si>
    <t>Operação trimestral no exterior; bacias separadas do anti-incrustante (30/10/2026); bomba doseadora para o choque (15/11/2026)</t>
  </si>
  <si>
    <t>ARQ-14</t>
  </si>
  <si>
    <t>Preparação do simulante de migração (ácido acético)</t>
  </si>
  <si>
    <t>Confinamento ou captação envolvente (hotte, cabine)</t>
  </si>
  <si>
    <t>Hotte verificada anualmente</t>
  </si>
  <si>
    <t>ARQ-15</t>
  </si>
  <si>
    <t>Enchimento do circuito com glicol</t>
  </si>
  <si>
    <t>Bomba de trasfega</t>
  </si>
  <si>
    <t>ARQ-16</t>
  </si>
  <si>
    <t>Carga de tremonhas e transferência pneumática de granulado</t>
  </si>
  <si>
    <t>REC</t>
  </si>
  <si>
    <t>Luvas</t>
  </si>
  <si>
    <t>Transporte pneumático fechado; aspiração nos pontos de descarga</t>
  </si>
  <si>
    <t>Programa OCS (perdas de granulado)</t>
  </si>
  <si>
    <t>ARQ-17</t>
  </si>
  <si>
    <t>Fumos de moldação do PET (acetaldeído gerado no processo)</t>
  </si>
  <si>
    <t>Purga e arranque das ISBM</t>
  </si>
  <si>
    <t>Operador de Sopro (ISBM)</t>
  </si>
  <si>
    <t>Sem contacto possível</t>
  </si>
  <si>
    <t>Ventilação geral; purga para contentor</t>
  </si>
  <si>
    <t>MVLE-2026-02</t>
  </si>
  <si>
    <t>Medir acetaldeído na purga (agente gerado pelo processo — DL 24/2012)</t>
  </si>
  <si>
    <t>ARQ-18</t>
  </si>
  <si>
    <t>Aplicação da emulsão fotossensível nos ecrãs</t>
  </si>
  <si>
    <t>Sala de gravação com luz inativa e ventilação</t>
  </si>
  <si>
    <t>ARQ-19</t>
  </si>
  <si>
    <t>Pulverização de antioxidante em moldes armazenados</t>
  </si>
  <si>
    <t>Pulverização junto à porta do armazém de moldes</t>
  </si>
  <si>
    <t>Pulverizar em zona ventilada dedicada</t>
  </si>
  <si>
    <t>ARQ-20</t>
  </si>
  <si>
    <t>Limpeza de peças com isopropanol</t>
  </si>
  <si>
    <t>Recipientes de segurança com tampa</t>
  </si>
  <si>
    <t>ARQ-21</t>
  </si>
  <si>
    <t>Ensaios de migração e limpeza no laboratório (etanol)</t>
  </si>
  <si>
    <t>MEDIÇÕES DE EXPOSIÇÃO PROFISSIONAL (NP EN 689:2018)</t>
  </si>
  <si>
    <t>Teste preliminar: 3 amostras &lt; 10% do VLE, 4 &lt; 15%, 5 &lt; 20% → conforme · Senão: medição periódica · VLE: DL 24/2012 (diretivas IOELV) ou NP 1796</t>
  </si>
  <si>
    <t>Data</t>
  </si>
  <si>
    <t>Posto</t>
  </si>
  <si>
    <t>Agente</t>
  </si>
  <si>
    <t>Metodo</t>
  </si>
  <si>
    <t>Laboratorio</t>
  </si>
  <si>
    <t>N_Amostras</t>
  </si>
  <si>
    <t>Resultado_Max_ppm</t>
  </si>
  <si>
    <t>VLE_MP_ppm</t>
  </si>
  <si>
    <t>Indice_Exposicao</t>
  </si>
  <si>
    <t>Limite_Teste_Preliminar</t>
  </si>
  <si>
    <t>Proxima_Medicao</t>
  </si>
  <si>
    <t>SS-001 (limpeza de ecrãs)</t>
  </si>
  <si>
    <t>Acetato de 1-metoxi-2-propilo</t>
  </si>
  <si>
    <t>Amostragem pessoal 8 h (NP EN 689)</t>
  </si>
  <si>
    <t>Laboratório acreditado (IPAC)</t>
  </si>
  <si>
    <t>SS-001 (impressão)</t>
  </si>
  <si>
    <t>MVLE-2025-03</t>
  </si>
  <si>
    <t>SS-002 (impressão com mesa aspirante)</t>
  </si>
  <si>
    <t>SS-002 (limpeza em mesa aspirante)</t>
  </si>
  <si>
    <t>Mistura da tinta 2K</t>
  </si>
  <si>
    <t>HDI monómero</t>
  </si>
  <si>
    <t>Amostragem pessoal na tarefa (derivatização)</t>
  </si>
  <si>
    <t>VLE a confirmar na NP 1796 em vigor.</t>
  </si>
  <si>
    <t>Purga das ISBM</t>
  </si>
  <si>
    <t>Acetaldeído</t>
  </si>
  <si>
    <t>75-07-0</t>
  </si>
  <si>
    <t>Planeada (ARQ-17). Confirmar VLE aplicável.</t>
  </si>
  <si>
    <t>Oficina — limpeza de moldes</t>
  </si>
  <si>
    <t>Amostragem pessoal na tarefa (NP EN 689)</t>
  </si>
  <si>
    <t>Planeada (ARQ-09).</t>
  </si>
  <si>
    <t>METODOLOGIA DE AVALIAÇÃO DO RISCO QUÍMICO (ADAPTADA DE INRS ND 2233 / SEIRICH)</t>
  </si>
  <si>
    <t>Inalação = 10^(Classe−1) × Volatilidade × Procedimento × Proteção coletiva · Cutâneo = 10^(Classe−1) × Superfície × Frequência · &gt; 1000 → P1; 100–1000 → P2; &lt; 100 → P3</t>
  </si>
  <si>
    <t>Score</t>
  </si>
  <si>
    <t>Protecao</t>
  </si>
  <si>
    <t>Fechado permanente</t>
  </si>
  <si>
    <t>Sem ventilação mecânica / ventilação natural</t>
  </si>
  <si>
    <t>Superficie</t>
  </si>
  <si>
    <t>Classe</t>
  </si>
  <si>
    <t>Score_Perigo</t>
  </si>
  <si>
    <t>Exemplos de frases H</t>
  </si>
  <si>
    <t>Sem frases H de saúde</t>
  </si>
  <si>
    <t>H304, H315, H319, H336, EUH066</t>
  </si>
  <si>
    <t>H302, H312, H332, H317, H318, H335, H362, EUH204</t>
  </si>
  <si>
    <t>Permanente (&gt; 6 h/dia)</t>
  </si>
  <si>
    <t>H301, H311, H331, H314, H341, H351, H361, H371, H373</t>
  </si>
  <si>
    <t>Membros superiores e tronco / rosto</t>
  </si>
  <si>
    <t>H300, H310, H330, H334, H340, H350, H360, H370, H372</t>
  </si>
  <si>
    <t>COMO LER: o método dá uma PRIORIDADE (P1 muito alta, P2 alta, P3 moderada) do risco potencial por tarefa, antes dos EPI. Não é uma medição.</t>
  </si>
  <si>
    <t>Classe de perigo: a mais alta das frases H/EUH do produto (tbl_frases_h); agentes gerados no processo (fumos) usam a classe manual.</t>
  </si>
  <si>
    <t>Procedimento: categorias do guia técnico europeu usadas no Seirich — dispersivo, aberto, fechado com aberturas regulares, fechado.</t>
  </si>
  <si>
    <t>Proteção coletiva: considera-se a mais eficaz existente (ventilação geral ou captação); sem manutenção anual comprovada usar a linha seguinte (menos eficaz).</t>
  </si>
  <si>
    <t>Cutâneo: superfície exposta sem contar com luvas ou vestuário; 'Sem contacto possível' anula o risco cutâneo.</t>
  </si>
  <si>
    <t>Regras que se sobrepõem à pontuação: CMR 1A/1B → DL 301/2000 (substituir, lista de expostos); sensibilizantes → vigilância da saúde; VLE existente e P1/P2 → medir (NP EN 689).</t>
  </si>
  <si>
    <t>Fonte dos fatores: INRS ND 2233 (2005) e INRS ED 6485 (Seirich); os valores numéricos são uma adaptação documentada — rever se a Plasticom adotar o Seirich.</t>
  </si>
  <si>
    <t>ARMAZENAGEM DE PRODUTOS QUÍMICOS — RETENÇÃO E COMPATIBILIDADES</t>
  </si>
  <si>
    <t>Retenção ≥ máx(100% do maior recipiente; 50% do total) — critério interno P-07 · Stock a partir do inventário · Kits no RG-SGA-12 · Inspeções nas rondas do RG-SGA-10 (RON-02, RON-11)</t>
  </si>
  <si>
    <t>ID_Local</t>
  </si>
  <si>
    <t>Local</t>
  </si>
  <si>
    <t>Tipo</t>
  </si>
  <si>
    <t>Capacidade_Retencao_L</t>
  </si>
  <si>
    <t>Ventilacao</t>
  </si>
  <si>
    <t>ID_Meio</t>
  </si>
  <si>
    <t>Incompatibilidades_Verificadas</t>
  </si>
  <si>
    <t>ID_Ponto_Ronda</t>
  </si>
  <si>
    <t>N_Produtos</t>
  </si>
  <si>
    <t>Maior_Recipiente_L</t>
  </si>
  <si>
    <t>Retencao_Necessaria_L</t>
  </si>
  <si>
    <t>Armazém de químicos — zona de inflamáveis (estrados com bacia, EN 14470-1 para &lt; 50 L)</t>
  </si>
  <si>
    <t>Interior</t>
  </si>
  <si>
    <t>Mecânica</t>
  </si>
  <si>
    <t>KIT-01</t>
  </si>
  <si>
    <t>RON-02</t>
  </si>
  <si>
    <t>Local de risco C (RT-SCIE); zona ATEX a confirmar no DPCE.</t>
  </si>
  <si>
    <t>Armazém de químicos — óleos e fluidos (bacias de 2 bidões)</t>
  </si>
  <si>
    <t>Natural</t>
  </si>
  <si>
    <t>NC de auditoria CONST-01: bidões no chão; 2 bacias novas em compra (PAM-26-19).</t>
  </si>
  <si>
    <t>Serigrafia — armário do posto (quantidade do turno)</t>
  </si>
  <si>
    <t>KIT-04</t>
  </si>
  <si>
    <t>RON-01</t>
  </si>
  <si>
    <t>Torre de arrefecimento — bacia do IBC e bidões de tratamento</t>
  </si>
  <si>
    <t>Exterior coberto</t>
  </si>
  <si>
    <t>KIT-05</t>
  </si>
  <si>
    <t>RON-11</t>
  </si>
  <si>
    <t>Hipoclorito na mesma bacia que o anti-incrustante ácido (liberta cloro — EUH031).</t>
  </si>
  <si>
    <t>Oficina — armário de aerossóis, colas e sprays</t>
  </si>
  <si>
    <t>KIT-02</t>
  </si>
  <si>
    <t>Parque de gases (exterior, garrafas acorrentadas)</t>
  </si>
  <si>
    <t>Exterior</t>
  </si>
  <si>
    <t>Oxigénio separado dos gases inflamáveis por muro corta-fogo.</t>
  </si>
  <si>
    <t>Depósito de gasóleo 3.000 L (parede dupla com detetor de fuga)</t>
  </si>
  <si>
    <t>Parede dupla = retenção de 100%.</t>
  </si>
  <si>
    <t>Laboratório — armários de ácidos e de inflamáveis</t>
  </si>
  <si>
    <t>Sala de carga de baterias</t>
  </si>
  <si>
    <t>Ventilação para hidrogénio; zona ATEX a confirmar.</t>
  </si>
  <si>
    <t>Silos e armazém de granulado</t>
  </si>
  <si>
    <t>Interior/exterior</t>
  </si>
  <si>
    <t>TMP-01</t>
  </si>
  <si>
    <t>RON-09</t>
  </si>
  <si>
    <t>Contenção de granulado (OCS) — não é retenção de líquidos.</t>
  </si>
  <si>
    <t>Em equipamento (circuitos fechados: chiller, termorreguladores)</t>
  </si>
  <si>
    <t>Equipamento</t>
  </si>
  <si>
    <t>Controlo de fugas F-gás (LEG-07).</t>
  </si>
  <si>
    <t>Armazém de matérias-primas secas (foil, embalagens)</t>
  </si>
  <si>
    <t>MATRIZ DE COMPATIBILIDADE DE ARMAZENAGEM (simplificada)</t>
  </si>
  <si>
    <t>✓ pode armazenar junto · ! separar (bacias distintas / distância ou armário próprio) · ✗ incompatível — local separado · Confirmar sempre as secções 7 e 10 da FDS</t>
  </si>
  <si>
    <t>Inflamáveis (GHS02)</t>
  </si>
  <si>
    <t>Comburentes (GHS03)</t>
  </si>
  <si>
    <t>Gases sob pressão (GHS04)</t>
  </si>
  <si>
    <t>Corrosivos ácidos (GHS05)</t>
  </si>
  <si>
    <t>Corrosivos bases / hipoclorito (GHS05)</t>
  </si>
  <si>
    <t>Tóxicos agudos (GHS06)</t>
  </si>
  <si>
    <t>Perigo para a saúde (GHS07/08)</t>
  </si>
  <si>
    <t>Perigosos p/ ambiente (GHS09)</t>
  </si>
  <si>
    <t>✓</t>
  </si>
  <si>
    <t>✗</t>
  </si>
  <si>
    <t>!</t>
  </si>
  <si>
    <t>Casos da Plasticom:</t>
  </si>
  <si>
    <t>• Hipoclorito (EUH031) + anti-incrustante ácido na mesma bacia da torre → liberta cloro: separar (ARM-04, PAM-26-33).</t>
  </si>
  <si>
    <t>• Oxigénio separado de acetileno e propano por muro corta-fogo (ARM-06).</t>
  </si>
  <si>
    <t>• Aerossóis (H222/H229) em armário próprio, longe de fontes de calor (ARM-05).</t>
  </si>
  <si>
    <t>• Inflamáveis &gt; 50 L fora de armário: local de risco C do RT-SCIE (ARM-01).</t>
  </si>
  <si>
    <t>VERIFICAÇÃO SEVESO (DIRETIVA 2012/18/UE; DL 150/2015) — REGRA DA SOMA</t>
  </si>
  <si>
    <t>Quantidades = Stock_Max_kg do inventário por categoria · Substâncias designadas (parte 2) prevalecem sobre as categorias · Resumo em tbl_seveso_resumo (à direita)</t>
  </si>
  <si>
    <t>Categoria</t>
  </si>
  <si>
    <t>Designacao</t>
  </si>
  <si>
    <t>Limiar_Inferior_t</t>
  </si>
  <si>
    <t>Limiar_Superior_t</t>
  </si>
  <si>
    <t>Grupo_Soma</t>
  </si>
  <si>
    <t>Qtd_Presente_t</t>
  </si>
  <si>
    <t>Racio_Inferior</t>
  </si>
  <si>
    <t>Racio_Superior</t>
  </si>
  <si>
    <t>Grupo</t>
  </si>
  <si>
    <t>Soma_Racio_Inferior</t>
  </si>
  <si>
    <t>Soma_Racio_Superior</t>
  </si>
  <si>
    <t>H1</t>
  </si>
  <si>
    <t>Toxicidade aguda cat. 1 (todas as vias)</t>
  </si>
  <si>
    <t>Saúde</t>
  </si>
  <si>
    <t>H2</t>
  </si>
  <si>
    <t>Toxicidade aguda cat. 2 / cat. 3 inalação</t>
  </si>
  <si>
    <t>Físico</t>
  </si>
  <si>
    <t>H3</t>
  </si>
  <si>
    <t>STOT exposição única cat. 1</t>
  </si>
  <si>
    <t>Ambiente</t>
  </si>
  <si>
    <t>P2</t>
  </si>
  <si>
    <t>Gases inflamáveis cat. 1 ou 2</t>
  </si>
  <si>
    <t>Aerossóis inflamáveis cat. 1 ou 2 (massa líquida)</t>
  </si>
  <si>
    <t>P3b</t>
  </si>
  <si>
    <t>Aerossóis inflamáveis sem gás/líquido inflamável cat. 1</t>
  </si>
  <si>
    <t>P4</t>
  </si>
  <si>
    <t>Gases comburentes cat. 1</t>
  </si>
  <si>
    <t>P5a</t>
  </si>
  <si>
    <t>Líquidos inflamáveis cat. 1 ou mantidos acima do ponto de ebulição</t>
  </si>
  <si>
    <t>P5b</t>
  </si>
  <si>
    <t>Líquidos inflamáveis cat. 2/3 em condições de risco de acidente grave</t>
  </si>
  <si>
    <t>Líquidos inflamáveis cat. 2 ou 3 (restantes)</t>
  </si>
  <si>
    <t>P8</t>
  </si>
  <si>
    <t>Líquidos e sólidos comburentes cat. 1, 2 ou 3</t>
  </si>
  <si>
    <t>Perigoso para o ambiente aquático — aguda 1 ou crónica 1</t>
  </si>
  <si>
    <t>Perigoso para o ambiente aquático — crónica 2</t>
  </si>
  <si>
    <t>O1</t>
  </si>
  <si>
    <t>Substâncias com EUH014</t>
  </si>
  <si>
    <t>O2</t>
  </si>
  <si>
    <t>Substâncias que em contacto com a água libertam gases inflamáveis cat. 1</t>
  </si>
  <si>
    <t>O3</t>
  </si>
  <si>
    <t>Substâncias com EUH029</t>
  </si>
  <si>
    <t>Gases liquefeitos extremamente inflamáveis, incl. GPL</t>
  </si>
  <si>
    <t>Acetileno</t>
  </si>
  <si>
    <t>Oxigénio</t>
  </si>
  <si>
    <t>Produtos petrolíferos e combustíveis alternativos (gasóleo)</t>
  </si>
  <si>
    <t>Físico; Ambiente</t>
  </si>
  <si>
    <t>MATRIZ LEGAL — PRODUTOS QUÍMICOS (UE + PORTUGAL)</t>
  </si>
  <si>
    <t>Detalhe dos requisitos de químicos (REACH/CLP do utilizador, SST, Seveso) · SVHC em embalagens, PPWR e contacto alimentar → RG-SGA-20 · F-gás, granulado, SCIE, ADR, resíduos e COV → RG-SGA-04 · Ações no PAM</t>
  </si>
  <si>
    <t>ID_Req</t>
  </si>
  <si>
    <t>Ambito</t>
  </si>
  <si>
    <t>Tema</t>
  </si>
  <si>
    <t>Diploma</t>
  </si>
  <si>
    <t>Artigos</t>
  </si>
  <si>
    <t>Papel_Plasticom</t>
  </si>
  <si>
    <t>Obrigacao</t>
  </si>
  <si>
    <t>Aplicavel</t>
  </si>
  <si>
    <t>ID_Legal</t>
  </si>
  <si>
    <t>IDs_PAM</t>
  </si>
  <si>
    <t>Fonte</t>
  </si>
  <si>
    <t>RQ-01</t>
  </si>
  <si>
    <t>UE</t>
  </si>
  <si>
    <t>REACH — registo</t>
  </si>
  <si>
    <t>Reg. (CE) 1907/2006 (REACH)</t>
  </si>
  <si>
    <t>Arts. 5.º, 6.º (incl. n.º 3 — monómeros de polímeros), 7.º, n.º 1</t>
  </si>
  <si>
    <t>Importador</t>
  </si>
  <si>
    <t>Registar substâncias fabricadas/importadas ≥ 1 t/ano ('sem dados, não há mercado'); em polímeros importados, registar monómeros e aditivos não registados a montante.</t>
  </si>
  <si>
    <t>Condicional</t>
  </si>
  <si>
    <t>A Plasticom importa polímeros de fora do EEE (SUP-001/003/004/005/009).</t>
  </si>
  <si>
    <t>Anual e em cada novo fornecedor</t>
  </si>
  <si>
    <t>Parcial</t>
  </si>
  <si>
    <t>LEG-06</t>
  </si>
  <si>
    <t>PAM-26-28</t>
  </si>
  <si>
    <t>Responsável de Compras</t>
  </si>
  <si>
    <t>https://eur-lex.europa.eu/eli/reg/2006/1907/oj</t>
  </si>
  <si>
    <t>RQ-02</t>
  </si>
  <si>
    <t>Art. 8.º (representante único)</t>
  </si>
  <si>
    <t>Quando o fornecedor extra-UE nomeia um representante único (RU), o importador passa a utilizador a jusante — exige carta do RU com a Plasticom na lista de importadores cobertos.</t>
  </si>
  <si>
    <t>RU confirmado para SUP-001 e SUP-009; em falta para SUP-004 e SUP-005.</t>
  </si>
  <si>
    <t>Anual</t>
  </si>
  <si>
    <t>RQ-03</t>
  </si>
  <si>
    <t>REACH — FDS</t>
  </si>
  <si>
    <t>Reg. (CE) 1907/2006 + Reg. (UE) 2020/878 (anexo II)</t>
  </si>
  <si>
    <t>Art. 31.º</t>
  </si>
  <si>
    <t>Receber FDS em português, no formato do anexo II (Reg. 2020/878), para substâncias e misturas perigosas; exigir FDS atualizadas quando há nova informação.</t>
  </si>
  <si>
    <t>42 produtos, 36 perigosos ou com FDS voluntária.</t>
  </si>
  <si>
    <t>tbl_fds</t>
  </si>
  <si>
    <t>Por receção + revisão anual</t>
  </si>
  <si>
    <t>PAM-26-34</t>
  </si>
  <si>
    <t>https://eur-lex.europa.eu/eli/reg/2020/878/oj</t>
  </si>
  <si>
    <t>RQ-04</t>
  </si>
  <si>
    <t>REACH — informação</t>
  </si>
  <si>
    <t>Art. 32.º</t>
  </si>
  <si>
    <t>Para produtos sem FDS obrigatória, obter informação sobre registo, autorização, restrições e medidas de gestão de risco.</t>
  </si>
  <si>
    <t>Polímeros e masterbatches não classificados.</t>
  </si>
  <si>
    <t>tbl_fds (FDS voluntárias); tbl_declaracoes</t>
  </si>
  <si>
    <t>Conforme</t>
  </si>
  <si>
    <t>RQ-05</t>
  </si>
  <si>
    <t>REACH — cenários de exposição</t>
  </si>
  <si>
    <t>Arts. 37.º, n.os 4–6, e 39.º</t>
  </si>
  <si>
    <t>Verificar se o uso está coberto pelo cenário de exposição (CE) da FDS alargada e aplicar as condições em 12 meses; senão, pedir inclusão do uso, elaborar RSQ-UJ ou substituir.</t>
  </si>
  <si>
    <t>10 CE verificados; 2 não cobertos e 2 parcialmente cobertos, destes 2 com o prazo de 12 meses ultrapassado (CE-02, CE-08).</t>
  </si>
  <si>
    <t>tbl_ce_reach</t>
  </si>
  <si>
    <t>Por receção de FDS alargada</t>
  </si>
  <si>
    <t>Não conforme</t>
  </si>
  <si>
    <t>PAM-26-31; PAM-26-33; PAM-26-30</t>
  </si>
  <si>
    <t>https://echa.europa.eu/regulations/reach/downstream-users</t>
  </si>
  <si>
    <t>RQ-06</t>
  </si>
  <si>
    <t>Art. 38.º</t>
  </si>
  <si>
    <t>Comunicar à ECHA, em 6 meses, os usos não cobertos para os quais se elabora RSQ-UJ (&gt; 1 t/ano).</t>
  </si>
  <si>
    <t>Não foi elaborado nenhum RSQ-UJ (opções escolhidas: implementar condições ou substituir).</t>
  </si>
  <si>
    <t>Por ocorrência</t>
  </si>
  <si>
    <t>https://echa.europa.eu/regulations/reach/downstream-users/more-on-downstream-user-responsibilities/downstream-user-reports</t>
  </si>
  <si>
    <t>RQ-07</t>
  </si>
  <si>
    <t>REACH — comunicação na cadeia</t>
  </si>
  <si>
    <t>Art. 34.º</t>
  </si>
  <si>
    <t>Comunicar ao fornecedor nova informação sobre perigos ou medidas de gestão de risco inadequadas.</t>
  </si>
  <si>
    <t>Pedidos de correção de FDS e de inclusão de uso (CE-09).</t>
  </si>
  <si>
    <t>tbl_fds (Pedido_Fornecedor); tbl_ce_reach</t>
  </si>
  <si>
    <t>RQ-08</t>
  </si>
  <si>
    <t>REACH — trabalhadores</t>
  </si>
  <si>
    <t>Art. 35.º</t>
  </si>
  <si>
    <t>Dar aos trabalhadores e representantes acesso à informação das FDS dos produtos que usam.</t>
  </si>
  <si>
    <t>FDS no posto e ficha-resumo; 12 FDS de polímeros só em formato eletrónico.</t>
  </si>
  <si>
    <t>tbl_fds (Disponivel_Posto)</t>
  </si>
  <si>
    <t>Contínuo</t>
  </si>
  <si>
    <t>RQ-09</t>
  </si>
  <si>
    <t>REACH — conservação</t>
  </si>
  <si>
    <t>Art. 36.º</t>
  </si>
  <si>
    <t>Conservar toda a informação REACH durante pelo menos 10 anos após a última utilização/fornecimento.</t>
  </si>
  <si>
    <t>Este registo tem retenção de 10 anos; versões substituídas das FDS mantêm-se (Em_Vigor = Não).</t>
  </si>
  <si>
    <t>Todo o RG-SGA-21</t>
  </si>
  <si>
    <t>RQ-13</t>
  </si>
  <si>
    <t>REACH — autorização</t>
  </si>
  <si>
    <t>Art. 56.º; anexo XIV</t>
  </si>
  <si>
    <t>Não usar substâncias do anexo XIV após a data de expiração sem autorização (própria ou do fornecedor, com notificação à ECHA — art. 66.º).</t>
  </si>
  <si>
    <t>Nenhum componente do anexo XIV nas FDS; PVC (SUP-005) por confirmar.</t>
  </si>
  <si>
    <t>tbl_componentes; tbl_svhc_vigiadas</t>
  </si>
  <si>
    <t>RQ-14</t>
  </si>
  <si>
    <t>REACH — restrições</t>
  </si>
  <si>
    <t>Reg. (CE) 1907/2006, anexo XVII (entradas 23, 46, 50, 51, 63, 70, 79)</t>
  </si>
  <si>
    <t>Art. 67.º</t>
  </si>
  <si>
    <t>Produtor de artigos / utilizador</t>
  </si>
  <si>
    <t>Cumprir as restrições aplicáveis: cádmio em plásticos (23), ftalatos em materiais plastificados (51, Reg. 2018/2005), chumbo em PVC (63), D4/D5/D6 (70, Reg. 2024/1328), PFHxA (79, Reg. 2024/2462).</t>
  </si>
  <si>
    <t>Relevante para PVC legado, silicones de desmoldante e aditivos.</t>
  </si>
  <si>
    <t>tbl_quimicos (Anexo_XVII); tbl_declaracoes</t>
  </si>
  <si>
    <t>PAM-26-28; PAM-26-34</t>
  </si>
  <si>
    <t>https://echa.europa.eu/substances-restricted-under-reach</t>
  </si>
  <si>
    <t>RQ-15</t>
  </si>
  <si>
    <t>Reg. (CE) 1907/2006, anexo XVII, entrada 74 (Reg. (UE) 2020/1149)</t>
  </si>
  <si>
    <t>Diisocianatos</t>
  </si>
  <si>
    <t>Utilizador industrial</t>
  </si>
  <si>
    <t>Formação em uso seguro de diisocianatos antes do uso (≥ 0,1%), renovada a cada 5 anos, com registo.</t>
  </si>
  <si>
    <t>Endurecedor da tinta 2K (QUI-003) com HDI monómero 0,1–0,5%.</t>
  </si>
  <si>
    <t>RG-SGA-08 FOR-13</t>
  </si>
  <si>
    <t>5 anos</t>
  </si>
  <si>
    <t>PAM-26-32</t>
  </si>
  <si>
    <t>https://eur-lex.europa.eu/eli/reg/2020/1149/oj</t>
  </si>
  <si>
    <t>RQ-16</t>
  </si>
  <si>
    <t>REACH — microplásticos</t>
  </si>
  <si>
    <t>Reg. (CE) 1907/2006, anexo XVII, entrada 78 (Reg. (UE) 2023/2055)</t>
  </si>
  <si>
    <t>N.os 11 e 12 da entrada 78</t>
  </si>
  <si>
    <t>Utilizador industrial de granulado</t>
  </si>
  <si>
    <t>Comunicar anualmente à ECHA (até 31/05) as estimativas de libertação de micropartículas de polímeros sintéticos (granulado) do ano anterior.</t>
  </si>
  <si>
    <t>≈ 865 t/ano de granulado e masterbatch.</t>
  </si>
  <si>
    <t>Anual (31/05)</t>
  </si>
  <si>
    <t>LEG-10</t>
  </si>
  <si>
    <t>https://echa.europa.eu/support/dossier-submission-tools/reach-it/microplastics-reporting</t>
  </si>
  <si>
    <t>RQ-17</t>
  </si>
  <si>
    <t>CLP — rotulagem</t>
  </si>
  <si>
    <t>Reg. (CE) 1272/2008 (CLP)</t>
  </si>
  <si>
    <t>Arts. 17.º, 31.º e 35.º</t>
  </si>
  <si>
    <t>Manter recipientes rotulados; recipientes de trasfega internos identificados com nome e perigos (sinalização de segurança).</t>
  </si>
  <si>
    <t>Amostra de 15 recipientes conforme (LEG-06, 02/09/2026).</t>
  </si>
  <si>
    <t>RG-SGA-10 (rondas)</t>
  </si>
  <si>
    <t>Mensal</t>
  </si>
  <si>
    <t>https://eur-lex.europa.eu/eli/reg/2008/1272/oj</t>
  </si>
  <si>
    <t>RQ-18</t>
  </si>
  <si>
    <t>CLP — novas classes de perigo</t>
  </si>
  <si>
    <t>Reg. Delegado (UE) 2023/707</t>
  </si>
  <si>
    <t>Anexo I (desreguladores endócrinos, PBT/mPmB, PMT/mPmM — EUH380 a EUH451)</t>
  </si>
  <si>
    <t>Aceitar e integrar as novas classes nas FDS: substâncias já no mercado até 01/11/2026; misturas já no mercado até 01/05/2028.</t>
  </si>
  <si>
    <t>Afeta a classificação de perigo (tbl_frases_h já inclui os códigos EUH380–EUH451).</t>
  </si>
  <si>
    <t>tbl_fds (C08, C09); tbl_frases_h</t>
  </si>
  <si>
    <t>Semestral</t>
  </si>
  <si>
    <t>Em acompanhamento</t>
  </si>
  <si>
    <t>https://eur-lex.europa.eu/eli/reg_del/2023/707/oj</t>
  </si>
  <si>
    <t>RQ-19</t>
  </si>
  <si>
    <t>CLP — revisão</t>
  </si>
  <si>
    <t>Reg. (UE) 2024/2865 e Reg. (UE) 2025/2439 ('stop-the-clock')</t>
  </si>
  <si>
    <t>Formatação de rótulos, vendas à distância, publicidade</t>
  </si>
  <si>
    <t>Regras de formatação de rótulos adiadas para 01/01/2028; a Plasticom não coloca químicos no mercado — só verifica os rótulos recebidos.</t>
  </si>
  <si>
    <t>Obrigação do fornecedor.</t>
  </si>
  <si>
    <t>https://www.consilium.europa.eu/en/press/press-releases/2025/11/17/council-signs-off-postponing-rules-on-classification-labelling-and-packaging-of-chemicals-to-2028/</t>
  </si>
  <si>
    <t>RQ-20</t>
  </si>
  <si>
    <t>CLP — centros antivenenos</t>
  </si>
  <si>
    <t>Reg. (CE) 1272/2008, art. 45.º e anexo VIII (UFI)</t>
  </si>
  <si>
    <t>Notificação harmonizada</t>
  </si>
  <si>
    <t>Formulador</t>
  </si>
  <si>
    <t>Notificação de misturas perigosas colocadas no mercado; a Plasticom não coloca misturas no mercado (as misturas no posto são para uso próprio).</t>
  </si>
  <si>
    <t>Verificar apenas o UFI no rótulo/FDS dos fornecedores (C03).</t>
  </si>
  <si>
    <t>tbl_fds C03</t>
  </si>
  <si>
    <t>RQ-21</t>
  </si>
  <si>
    <t>Poluentes orgânicos persistentes</t>
  </si>
  <si>
    <t>Reg. (UE) 2019/1021 (POP)</t>
  </si>
  <si>
    <t>Arts. 3.º e 4.º; anexo I</t>
  </si>
  <si>
    <t>Utilizador / produtor de artigos</t>
  </si>
  <si>
    <t>Não fabricar, colocar no mercado ou usar POP (ex.: PFOA, PFHxS, UV-328, decaBDE) acima dos limites.</t>
  </si>
  <si>
    <t>Declarações dos fornecedores excluem POP; absorvedor UV é UV-329 (não UV-328).</t>
  </si>
  <si>
    <t>tbl_declaracoes; tbl_componentes</t>
  </si>
  <si>
    <t>https://eur-lex.europa.eu/eli/reg/2019/1021/oj</t>
  </si>
  <si>
    <t>RQ-22</t>
  </si>
  <si>
    <t>UE/PT</t>
  </si>
  <si>
    <t>Biocidas</t>
  </si>
  <si>
    <t>Reg. (UE) 528/2012 e DL 140/2017</t>
  </si>
  <si>
    <t>Art. 17.º, n.º 5</t>
  </si>
  <si>
    <t>Utilizador profissional</t>
  </si>
  <si>
    <t>Usar apenas produtos biocidas autorizados e conforme o rótulo e as condições de autorização.</t>
  </si>
  <si>
    <t>Biocida TP11 da torre (QUI-036).</t>
  </si>
  <si>
    <t>LEG-15</t>
  </si>
  <si>
    <t>https://eur-lex.europa.eu/eli/reg/2012/528/oj</t>
  </si>
  <si>
    <t>RQ-28</t>
  </si>
  <si>
    <t>Acidentes graves</t>
  </si>
  <si>
    <t>Diretiva 2012/18/UE (Seveso III) e DL 150/2015</t>
  </si>
  <si>
    <t>Arts. 2.º e 3.º; anexo I</t>
  </si>
  <si>
    <t>Operador</t>
  </si>
  <si>
    <t>Verificar se as quantidades presentes atingem os limiares (incl. regra da soma).</t>
  </si>
  <si>
    <t>Sim (verificação)</t>
  </si>
  <si>
    <t>Σ q/Q muito inferior a 1 em todos os grupos.</t>
  </si>
  <si>
    <t>Seveso (tbl_seveso, tbl_seveso_resumo)</t>
  </si>
  <si>
    <t>Anual e em cada alteração</t>
  </si>
  <si>
    <t>LEG-02</t>
  </si>
  <si>
    <t>https://diariodarepublica.pt/dr/detalhe/decreto-lei/150-2015-70041373</t>
  </si>
  <si>
    <t>RQ-29</t>
  </si>
  <si>
    <t>PT</t>
  </si>
  <si>
    <t>REACH — execução nacional</t>
  </si>
  <si>
    <t>DL 293/2009</t>
  </si>
  <si>
    <t>Autoridades competentes (DGAE, APA, DGS); helpdesk DGAE; regime contraordenacional</t>
  </si>
  <si>
    <t>Todos</t>
  </si>
  <si>
    <t>Cumprir o REACH sob fiscalização da ASAE, IGAMAOT e ACT; usar o helpdesk da DGAE para dúvidas.</t>
  </si>
  <si>
    <t>Enquadramento sancionatório.</t>
  </si>
  <si>
    <t>https://diariodarepublica.pt/dr/detalhe/decreto-lei/293-2009-491732</t>
  </si>
  <si>
    <t>RQ-30</t>
  </si>
  <si>
    <t>CLP — execução nacional</t>
  </si>
  <si>
    <t>DL 220/2012</t>
  </si>
  <si>
    <t>Autoridades e contraordenações CLP</t>
  </si>
  <si>
    <t>Cumprir o CLP sob o regime nacional.</t>
  </si>
  <si>
    <t>tbl_fds; rondas</t>
  </si>
  <si>
    <t>https://diariodarepublica.pt/dr/legislacao-consolidada/decreto-lei/2012-155903178</t>
  </si>
  <si>
    <t>RQ-31</t>
  </si>
  <si>
    <t>SST — agentes químicos</t>
  </si>
  <si>
    <t>DL 24/2012 (e alterações posteriores, incl. DL 102/2024)</t>
  </si>
  <si>
    <t>Avaliação de riscos, VLE, medições, informação, formação, vigilância da saúde</t>
  </si>
  <si>
    <t>Empregador</t>
  </si>
  <si>
    <t>Avaliar os riscos dos agentes químicos (incl. os gerados no processo), eliminar/reduzir, cumprir VLE, medir quando necessário e informar/formar os trabalhadores.</t>
  </si>
  <si>
    <t>21 tarefas avaliadas (5 de prioridade 1); 5 produtos perigosos ainda sem avaliação.</t>
  </si>
  <si>
    <t>tbl_risco_quimico; tbl_medicoes_vle</t>
  </si>
  <si>
    <t>3 anos e em cada alteração</t>
  </si>
  <si>
    <t>PAM-26-29; PAM-26-30; PAM-26-31; PAM-26-35</t>
  </si>
  <si>
    <t>https://diariodarepublica.pt/dr/detalhe/decreto-lei/24-2012-543402</t>
  </si>
  <si>
    <t>RQ-32</t>
  </si>
  <si>
    <t>SST — cancerígenos, mutagénicos e reprotóxicos</t>
  </si>
  <si>
    <t>DL 301/2000 (redação do DL 102/2024, transpõe a Dir. (UE) 2022/431)</t>
  </si>
  <si>
    <t>Substituição, sistema fechado, lista de expostos</t>
  </si>
  <si>
    <t>Substituir agentes CMR/reprotóxicos cat. 1A/1B quando tecnicamente possível; reduzir a exposição; manter a lista de trabalhadores expostos (40 anos; 5 anos para reprotóxicos).</t>
  </si>
  <si>
    <t>Tinta UV QUI-002 (H360FD).</t>
  </si>
  <si>
    <t>tbl_risco_quimico ARQ-02; RG-SGA-04 tbl_obrigacoes</t>
  </si>
  <si>
    <t>PAM-26-29</t>
  </si>
  <si>
    <t>https://diariodarepublica.pt/dr/detalhe/decreto-lei/102-2024-898867718</t>
  </si>
  <si>
    <t>RQ-33</t>
  </si>
  <si>
    <t>SST — regime geral</t>
  </si>
  <si>
    <t>Lei 102/2009 (regime jurídico da promoção da SST) e Código do Trabalho (Lei 7/2009), art. 62.º</t>
  </si>
  <si>
    <t>Avaliação de riscos; proteção de trabalhadoras grávidas, puérperas e lactantes e de menores</t>
  </si>
  <si>
    <t>Identificar tarefas com agentes que exigem proteção da maternidade e de menores (CMR, H362) e adaptar as condições de trabalho.</t>
  </si>
  <si>
    <t>Coluna Protecao_Maternidade do inventário (3 produtos).</t>
  </si>
  <si>
    <t>tbl_quimicos (Protecao_Maternidade)</t>
  </si>
  <si>
    <t>https://diariodarepublica.pt/dr/legislacao-consolidada/lei/2009-34480075</t>
  </si>
  <si>
    <t>RQ-34</t>
  </si>
  <si>
    <t>SST — atmosferas explosivas</t>
  </si>
  <si>
    <t>DL 236/2003 (ATEX)</t>
  </si>
  <si>
    <t>Documento de proteção contra explosões</t>
  </si>
  <si>
    <t>Classificar zonas e elaborar o documento de proteção contra explosões (armazém de inflamáveis, serigrafia, sala de baterias).</t>
  </si>
  <si>
    <t>Inflamáveis e hidrogénio de carga de baterias.</t>
  </si>
  <si>
    <t>tbl_armazenagem (observações)</t>
  </si>
  <si>
    <t>Em cada alteração</t>
  </si>
  <si>
    <t>Por avaliar</t>
  </si>
  <si>
    <t>LEG-11</t>
  </si>
  <si>
    <t>https://diariodarepublica.pt/dr/detalhe/decreto-lei/236-2003-574001</t>
  </si>
  <si>
    <t>RQ-35</t>
  </si>
  <si>
    <t>SST — sinalização</t>
  </si>
  <si>
    <t>Portaria 1456-A/95</t>
  </si>
  <si>
    <t>Sinalização de recipientes e tubagens</t>
  </si>
  <si>
    <t>Identificar recipientes e tubagens de produtos perigosos.</t>
  </si>
  <si>
    <t>https://diariodarepublica.pt/</t>
  </si>
  <si>
    <t>RQ-40</t>
  </si>
  <si>
    <t>Normas técnicas</t>
  </si>
  <si>
    <t>NP EN 689:2018 e NP 1796:2014</t>
  </si>
  <si>
    <t>Estratégia de medição e valores-limite de exposição</t>
  </si>
  <si>
    <t>Medir a exposição com estratégia NP EN 689 (teste preliminar ou estatístico); usar os VLE legais e, na falta, os da NP 1796.</t>
  </si>
  <si>
    <t>tbl_medicoes_vle</t>
  </si>
  <si>
    <t>PAM-26-35</t>
  </si>
  <si>
    <t>https://www.ipq.pt/</t>
  </si>
  <si>
    <t>RQ-41</t>
  </si>
  <si>
    <t>Ozono</t>
  </si>
  <si>
    <t>Reg. (UE) 2024/590</t>
  </si>
  <si>
    <t>Substâncias que empobrecem a camada de ozono</t>
  </si>
  <si>
    <t>Não usar SEO; verificar equipamentos antigos.</t>
  </si>
  <si>
    <t>Sem SEO nos equipamentos (R410A não é SEO).</t>
  </si>
  <si>
    <t>tbl_quimicos (H420)</t>
  </si>
  <si>
    <t>LEG-07</t>
  </si>
  <si>
    <t>https://eur-lex.europa.eu/eli/reg/2024/590/oj</t>
  </si>
  <si>
    <t>RQ-42</t>
  </si>
  <si>
    <t>Exportação de químicos</t>
  </si>
  <si>
    <t>Reg. (UE) 649/2012 (PIC)</t>
  </si>
  <si>
    <t>Notificação de exportação</t>
  </si>
  <si>
    <t>Exportador</t>
  </si>
  <si>
    <t>A Plasticom não exporta produtos químicos.</t>
  </si>
  <si>
    <t>https://eur-lex.europa.eu/eli/reg/2012/649/oj</t>
  </si>
  <si>
    <t>RQ-43</t>
  </si>
  <si>
    <t>Detergentes</t>
  </si>
  <si>
    <t>Reg. (CE) 648/2004</t>
  </si>
  <si>
    <t>Rotulagem e biodegradabilidade</t>
  </si>
  <si>
    <t>Fabricante/distribuidor</t>
  </si>
  <si>
    <t>A Plasticom não coloca detergentes no mercado; limpeza por prestador externo (SGA-11 LIM-01).</t>
  </si>
  <si>
    <t>https://eur-lex.europa.eu/eli/reg/2004/648/oj</t>
  </si>
  <si>
    <t>ANÁLISE CRÍTICA DAS FONTES E MELHORIAS</t>
  </si>
  <si>
    <t>Referência: REGISTOS/REACH (REACH 2024.xlsx, GUIA REACH.pdf — ECHA 2015, Purple Book GHS rev. 10) + ECHA, EUR-Lex, DGAE, ACT, INRS</t>
  </si>
  <si>
    <t>ID_AC</t>
  </si>
  <si>
    <t>Constatacao</t>
  </si>
  <si>
    <t>Avaliacao</t>
  </si>
  <si>
    <t>Melhoria_Implementada</t>
  </si>
  <si>
    <t>Onde</t>
  </si>
  <si>
    <t>AC-01</t>
  </si>
  <si>
    <t>REACH 2024.xlsx (referência)</t>
  </si>
  <si>
    <t>Folhas 'GERAL' e 'FDS 2024' com 74 e 121 colunas numa só linha por produto (verificação, composição, perigos, EPI, CE e conclusão juntos).</t>
  </si>
  <si>
    <t>Difícil de manter, filtrar e auditar; uma FDS nova apaga o histórico da anterior.</t>
  </si>
  <si>
    <t>Modelo relacional: inventário, componentes, versões de FDS (com histórico) e CE em tabelas separadas ligadas pelo ID_Quimico.</t>
  </si>
  <si>
    <t>Inventario; Componentes; FDS_Verificacao; Cenarios_Exposicao</t>
  </si>
  <si>
    <t>AC-02</t>
  </si>
  <si>
    <t>Erros de fórmula: #N/A (FDS 2024), #REF! (BASE DADOS, linha 4) e #VALUE! (pictogramas); XLOOKUP matricial.</t>
  </si>
  <si>
    <t>Um registo com erros não é evidência fiável e parte-se em versões antigas do Excel.</t>
  </si>
  <si>
    <t>Fórmulas INDEX/MATCH/SUMPRODUCT compatíveis, protegidas com IF/IFERROR; recálculo com 0 erros.</t>
  </si>
  <si>
    <t>Todo o ficheiro</t>
  </si>
  <si>
    <t>AC-03</t>
  </si>
  <si>
    <t>Nota da secção 9 remete para o Reg. (UE) 2015/830.</t>
  </si>
  <si>
    <t>Revogado: desde 01/01/2023 só vale o anexo II na redação do Reg. (UE) 2020/878 (novas subsecções 9, 11.2 e 12.6, nanoformas, UFI).</t>
  </si>
  <si>
    <t>Checklist de 12 pontos alinhada com o Reg. 2020/878 (C02, C08, C09).</t>
  </si>
  <si>
    <t>AC-04</t>
  </si>
  <si>
    <t>Verificação SIM/NÃO sem conclusão nem ação; sem data da próxima revisão.</t>
  </si>
  <si>
    <t>Não prova que as falhas foram tratadas.</t>
  </si>
  <si>
    <t>Resultado automático, pedido ao fornecedor com data, idade da FDS e estado (OK / Pedir correção / Pedir confirmação / Substituída).</t>
  </si>
  <si>
    <t>AC-05</t>
  </si>
  <si>
    <t>Análise dos cenários de exposição apenas descritiva.</t>
  </si>
  <si>
    <t>Falta o prazo legal de 12 meses (art. 39.º) e a decisão entre as opções do art. 37.º, n.º 4.</t>
  </si>
  <si>
    <t>Método, resultado, ação escolhida, prazo legal e prazo de relatório à ECHA calculados.</t>
  </si>
  <si>
    <t>AC-06</t>
  </si>
  <si>
    <t>Não determina o papel REACH da empresa.</t>
  </si>
  <si>
    <t>A obrigação de registo depende do papel: importar de fora do EEE torna a empresa importadora.</t>
  </si>
  <si>
    <t>Folha Papel_REACH e registo por fornecedor com RU/importador legal e lacunas.</t>
  </si>
  <si>
    <t>AC-07</t>
  </si>
  <si>
    <t>SVHC registada como texto, sem indicar a versão da lista candidata usada.</t>
  </si>
  <si>
    <t>Uma declaração 'sem SVHC' só é válida para a versão da lista que cobre.</t>
  </si>
  <si>
    <t>Declarações com n.º de entradas coberto e alerta automático quando a lista (parâmetro P-01 = 253) é mais recente.</t>
  </si>
  <si>
    <t>Declaracoes_SVHC; Parametros</t>
  </si>
  <si>
    <t>AC-08</t>
  </si>
  <si>
    <t>Cópia estática da tabela de classificação harmonizada (ATP 18, 4.378 linhas).</t>
  </si>
  <si>
    <t>Desatualiza a cada ATP e aumenta o ficheiro; a fonte oficial é o inventário C&amp;L da ECHA.</t>
  </si>
  <si>
    <t>Verificação por CAS dos componentes e ligação à base de dados da ECHA; lista vigiada de SVHC relevantes para plásticos.</t>
  </si>
  <si>
    <t>Componentes; Ref_SVHC_Vigiadas</t>
  </si>
  <si>
    <t>AC-09</t>
  </si>
  <si>
    <t>Não avalia o risco para os trabalhadores (toxicidade) nem trata artigos, Seveso, armazenagem, formação ou restrições.</t>
  </si>
  <si>
    <t>O REACH é só uma parte da gestão de químicos; o DL 24/2012 e o DL 301/2000 exigem avaliação de riscos registada.</t>
  </si>
  <si>
    <t>Folhas Avaliacao_Risco, Medicoes_VLE, Seveso, Armazenagem e Requisitos_Legais; formação, calendário, ações e SVHC em embalagens nos registos donos (RG-SGA-08, 04, 06, 20).</t>
  </si>
  <si>
    <t>Várias</t>
  </si>
  <si>
    <t>AC-10</t>
  </si>
  <si>
    <t>Base de dados em lista de materiais de cosmética (INCI) e em espanhol/português.</t>
  </si>
  <si>
    <t>Não se aplica a uma fábrica de embalagens plásticas.</t>
  </si>
  <si>
    <t>Triagem SVHC por família PPWR no RG-SGA-20 (tbl_familias_ppwr) e texto só em português.</t>
  </si>
  <si>
    <t>AC-11</t>
  </si>
  <si>
    <t>Internet (sites de consultoria)</t>
  </si>
  <si>
    <t>Afirmação frequente: 'a FDS é válida 3 anos e tem de ser renovada'.</t>
  </si>
  <si>
    <t>Não existe prazo de validade no REACH: o art. 31.º, n.º 9 exige atualização sem demora quando há nova informação.</t>
  </si>
  <si>
    <t>Os 36 meses ficam como critério INTERNO para pedir confirmação ao fornecedor (parâmetro P-02), identificado como tal.</t>
  </si>
  <si>
    <t>Parametros; FDS_Verificacao</t>
  </si>
  <si>
    <t>AC-12</t>
  </si>
  <si>
    <t>Internet (guias genéricos)</t>
  </si>
  <si>
    <t>'Os utilizadores a jusante não têm de registar nada.'</t>
  </si>
  <si>
    <t>Só é verdade se todos os fornecedores estiverem no EEE ou houver RU/importador UE.</t>
  </si>
  <si>
    <t>Verificação fornecedor a fornecedor (Registo_Importacao).</t>
  </si>
  <si>
    <t>AC-13</t>
  </si>
  <si>
    <t>Internet (checklists 2024–2025)</t>
  </si>
  <si>
    <t>Indicam 01/07/2026 para as novas regras de formatação de rótulos CLP e dão a revisão do REACH ('REACH 2.0') como iminente.</t>
  </si>
  <si>
    <t>Datas adiadas para 01/01/2028 (Reg. (UE) 2025/2439); em 27/04/2026 a Comissão anunciou que não vai abrir o texto do REACH, preferindo alterar anexos.</t>
  </si>
  <si>
    <t>Matriz legal com as datas corrigidas e acompanhamento semestral (calendário do RG-SGA-04).</t>
  </si>
  <si>
    <t>AC-14</t>
  </si>
  <si>
    <t>Internet (guias e listas)</t>
  </si>
  <si>
    <t>Números desatualizados da lista candidata (ex.: 235 ou 240 substâncias).</t>
  </si>
  <si>
    <t>Em 04/02/2026 a lista passou a 253 entradas (inclui n-hexano e BPAF).</t>
  </si>
  <si>
    <t>Valor parametrizado (P-01) e verificação semestral (calendário do RG-SGA-04).</t>
  </si>
  <si>
    <t>Parametros; RG-SGA-04</t>
  </si>
  <si>
    <t>AC-15</t>
  </si>
  <si>
    <t>Métodos de avaliação (INRS ND 2233 / Seirich, COSHH Essentials)</t>
  </si>
  <si>
    <t>Métodos por pontuação dão uma prioridade, não uma medição.</t>
  </si>
  <si>
    <t>Não substituem medições onde existe VLE; os fatores numéricos variam entre versões.</t>
  </si>
  <si>
    <t>Método adaptado e documentado (Metodologia) usado só para priorizar; medições NP EN 689 nas tarefas P1/P2 com VLE.</t>
  </si>
  <si>
    <t>Avaliacao_Risco; Medicoes_VLE; Metodologia</t>
  </si>
  <si>
    <t>AC-16</t>
  </si>
  <si>
    <t>Prática comum (Seveso)</t>
  </si>
  <si>
    <t>Instalações pequenas declaram 'Seveso não aplicável' sem cálculo.</t>
  </si>
  <si>
    <t>Sem a regra da soma não há evidência.</t>
  </si>
  <si>
    <t>Cálculo automático a partir do stock máximo do inventário.</t>
  </si>
  <si>
    <t>AC-17</t>
  </si>
  <si>
    <t>RG-SGA-19 (SGA Plasticom)</t>
  </si>
  <si>
    <t>SUB-05 (óleo hidráulico ISO VG 46) com H304.</t>
  </si>
  <si>
    <t>H304 só se aplica a hidrocarbonetos com viscosidade cinemática ≤ 20,5 mm²/s a 40 °C; o VG 46 tem ≈ 46 mm²/s.</t>
  </si>
  <si>
    <t>Corrigido no RG-SGA-19.</t>
  </si>
  <si>
    <t>RG-SGA-19</t>
  </si>
  <si>
    <t>AC-18</t>
  </si>
  <si>
    <t>RG-SGA-04 (SGA Plasticom)</t>
  </si>
  <si>
    <t>LEG-10 sem o número do regulamento de perdas de granulado.</t>
  </si>
  <si>
    <t>Publicado como Reg. (UE) 2025/2365; abaixo de 1.500 t/ano há declaração de conformidade em vez de certificação.</t>
  </si>
  <si>
    <t>LEG-10 atualizado e obrigações no calendário do RG-SGA-04.</t>
  </si>
  <si>
    <t>RG-SGA-04 tbl_legal e tbl_obrigacoes</t>
  </si>
  <si>
    <t>AC-20</t>
  </si>
  <si>
    <t>Revisão de redundâncias (24/09/2026)</t>
  </si>
  <si>
    <t>A 1.ª versão deste registo repetia formação, calendário, ações, SVHC em embalagens, kits, inspeções e requisitos já existentes noutros registos.</t>
  </si>
  <si>
    <t>Registos repetidos obrigam a escrever duas vezes e divergem (ex.: formação por função aqui vs por colaborador no RG-SGA-08).</t>
  </si>
  <si>
    <t>Fonte única: cada assunto no registo dono (ver SGA-00 Matriz_Fonte_Unica); aqui ficam só IDs de ligação.</t>
  </si>
  <si>
    <t>Armazenagem; Requisitos_Legais; Inventario</t>
  </si>
  <si>
    <t>AC-21</t>
  </si>
  <si>
    <t>RG-SGA-16/17/19 (COV)</t>
  </si>
  <si>
    <t>COV estimados como 'solvente de limpeza + 40% das tintas' (1,17 t/ano).</t>
  </si>
  <si>
    <t>Ignorava diluente, retardador, isopropanol, endurecedor e aerossóis; a tinta UV não tem 40% de COV.</t>
  </si>
  <si>
    <t>Balanço de COV a partir do inventário (Qtd × Teor_COV); RG-SGA-16, 17 e 19 usam este valor (resumo()).</t>
  </si>
  <si>
    <t>Inventario (Teor_COV, COV_kg_ano)</t>
  </si>
  <si>
    <t>AC-19</t>
  </si>
  <si>
    <t>ECHA e EUR-Lex (fontes oficiais)</t>
  </si>
  <si>
    <t>Relatório anual de microplásticos (entrada 78) com 1.º prazo a 31/05/2026 para utilizadores industriais de granulado.</t>
  </si>
  <si>
    <t>Obrigação nova pouco divulgada e aplicável à Plasticom.</t>
  </si>
  <si>
    <t>Registada em Papel_REACH (PAP-05), matriz legal (RQ-16) e no calendário do RG-SGA-04.</t>
  </si>
  <si>
    <t>Papel_REACH; Requisitos_Legais</t>
  </si>
  <si>
    <t>PARÂMETROS DO REGISTO DE QUÍMICOS</t>
  </si>
  <si>
    <t>Editar só a coluna Valor · P-01 muda a cada atualização da lista candidata (janeiro e junho)</t>
  </si>
  <si>
    <t>ID_Param</t>
  </si>
  <si>
    <t>Parametro</t>
  </si>
  <si>
    <t>Unidade</t>
  </si>
  <si>
    <t>P-01</t>
  </si>
  <si>
    <t>Entradas da lista candidata de SVHC em vigor</t>
  </si>
  <si>
    <t>n.º</t>
  </si>
  <si>
    <t>ECHA, atualização de 04/02/2026 — https://echa.europa.eu/candidate-list-table (confirmar em cada atualização semestral)</t>
  </si>
  <si>
    <t>P-02</t>
  </si>
  <si>
    <t>Idade máxima da FDS antes de pedir confirmação ao fornecedor</t>
  </si>
  <si>
    <t>meses</t>
  </si>
  <si>
    <t>Critério INTERNO (o REACH não fixa prazo de validade — art. 31.º, n.º 9)</t>
  </si>
  <si>
    <t>P-03</t>
  </si>
  <si>
    <t>Prazo para aplicar as condições do cenário de exposição</t>
  </si>
  <si>
    <t>REACH art. 39.º, n.º 1</t>
  </si>
  <si>
    <t>P-04</t>
  </si>
  <si>
    <t>Prazo para comunicar à ECHA um uso com RSQ-UJ</t>
  </si>
  <si>
    <t>REACH art. 39.º, n.º 2 / art. 38.º</t>
  </si>
  <si>
    <t>P-05</t>
  </si>
  <si>
    <t>Limiar de SVHC em artigos e em misturas (secção 3 da FDS)</t>
  </si>
  <si>
    <t>fração m/m</t>
  </si>
  <si>
    <t>REACH arts. 7.º, 31.º e 33.º (0,1%)</t>
  </si>
  <si>
    <t>P-06</t>
  </si>
  <si>
    <t>Prazo de revisão da avaliação de risco químico</t>
  </si>
  <si>
    <t>Critério interno; revisão obrigatória em cada alteração (DL 24/2012)</t>
  </si>
  <si>
    <t>P-07</t>
  </si>
  <si>
    <t>Fator de retenção sobre o volume total armazenado</t>
  </si>
  <si>
    <t>fração</t>
  </si>
  <si>
    <t>Critério interno: retenção ≥ máx(100% do maior recipiente; 50% do total) — boa prática; confirmar na licença</t>
  </si>
  <si>
    <t>REFERÊNCIA — ADVERTÊNCIAS DE PERIGO (CLP, ANEXO III)</t>
  </si>
  <si>
    <t>Texto oficial PT do CLP · Classes 1–5 adaptadas do INRS ND 2233 · Verificar no EUR-Lex após cada ATP</t>
  </si>
  <si>
    <t>Codigo</t>
  </si>
  <si>
    <t>Advertencia</t>
  </si>
  <si>
    <t>CMR_Categoria</t>
  </si>
  <si>
    <t>H200</t>
  </si>
  <si>
    <t>Explosivo instável.</t>
  </si>
  <si>
    <t>Explosivo</t>
  </si>
  <si>
    <t>H201</t>
  </si>
  <si>
    <t>Explosivo; perigo de explosão em massa.</t>
  </si>
  <si>
    <t>H202</t>
  </si>
  <si>
    <t>Explosivo; perigo grave de projeções.</t>
  </si>
  <si>
    <t>H203</t>
  </si>
  <si>
    <t>Explosivo; perigo de incêndio, sopro ou projeções.</t>
  </si>
  <si>
    <t>H204</t>
  </si>
  <si>
    <t>Perigo de incêndio ou projeções.</t>
  </si>
  <si>
    <t>H205</t>
  </si>
  <si>
    <t>Perigo de explosão em massa em caso de incêndio.</t>
  </si>
  <si>
    <t>H220</t>
  </si>
  <si>
    <t>Gás extremamente inflamável.</t>
  </si>
  <si>
    <t>Inflamável</t>
  </si>
  <si>
    <t>H221</t>
  </si>
  <si>
    <t>Gás inflamável.</t>
  </si>
  <si>
    <t>H222</t>
  </si>
  <si>
    <t>Aerossol extremamente inflamável.</t>
  </si>
  <si>
    <t>H223</t>
  </si>
  <si>
    <t>Aerossol inflamável.</t>
  </si>
  <si>
    <t>H224</t>
  </si>
  <si>
    <t>Líquido e vapor extremamente inflamáveis.</t>
  </si>
  <si>
    <t>H225</t>
  </si>
  <si>
    <t>Líquido e vapor facilmente inflamáveis.</t>
  </si>
  <si>
    <t>H226</t>
  </si>
  <si>
    <t>Líquido e vapor inflamáveis.</t>
  </si>
  <si>
    <t>H228</t>
  </si>
  <si>
    <t>Sólido inflamável.</t>
  </si>
  <si>
    <t>H229</t>
  </si>
  <si>
    <t>Recipiente sob pressão: risco de explosão sob a ação do calor.</t>
  </si>
  <si>
    <t>Gás/recipiente sob pressão</t>
  </si>
  <si>
    <t>H230</t>
  </si>
  <si>
    <t>Pode reagir explosivamente mesmo na ausência de ar.</t>
  </si>
  <si>
    <t>H240</t>
  </si>
  <si>
    <t>Risco de explosão sob a ação do calor.</t>
  </si>
  <si>
    <t>Autorreativo/peróxido</t>
  </si>
  <si>
    <t>H241</t>
  </si>
  <si>
    <t>Risco de incêndio ou explosão sob a ação do calor.</t>
  </si>
  <si>
    <t>H242</t>
  </si>
  <si>
    <t>Risco de incêndio sob a ação do calor.</t>
  </si>
  <si>
    <t>H250</t>
  </si>
  <si>
    <t>Risco de inflamação espontânea em contacto com o ar.</t>
  </si>
  <si>
    <t>Pirofórico</t>
  </si>
  <si>
    <t>H251</t>
  </si>
  <si>
    <t>Suscetível de autoaquecimento; risco de inflamação.</t>
  </si>
  <si>
    <t>Autoaquecimento</t>
  </si>
  <si>
    <t>H252</t>
  </si>
  <si>
    <t>Suscetível de autoaquecimento em grandes quantidades; risco de inflamação.</t>
  </si>
  <si>
    <t>H260</t>
  </si>
  <si>
    <t>Em contacto com a água liberta gases inflamáveis que se podem inflamar espontaneamente.</t>
  </si>
  <si>
    <t>Reage com a água</t>
  </si>
  <si>
    <t>H261</t>
  </si>
  <si>
    <t>Em contacto com a água liberta gases inflamáveis.</t>
  </si>
  <si>
    <t>H270</t>
  </si>
  <si>
    <t>Pode provocar ou agravar incêndios; comburente.</t>
  </si>
  <si>
    <t>Comburente</t>
  </si>
  <si>
    <t>H271</t>
  </si>
  <si>
    <t>Pode provocar incêndio ou explosão; muito comburente.</t>
  </si>
  <si>
    <t>H272</t>
  </si>
  <si>
    <t>Pode agravar incêndios; comburente.</t>
  </si>
  <si>
    <t>Contém gás sob pressão; risco de explosão sob a ação do calor.</t>
  </si>
  <si>
    <t>H281</t>
  </si>
  <si>
    <t>Contém gás refrigerado; pode provocar queimaduras ou lesões criogénicas.</t>
  </si>
  <si>
    <t>H290</t>
  </si>
  <si>
    <t>Pode ser corrosivo para os metais.</t>
  </si>
  <si>
    <t>Corrosivo para metais</t>
  </si>
  <si>
    <t>H300</t>
  </si>
  <si>
    <t>Mortal por ingestão.</t>
  </si>
  <si>
    <t>Toxicidade aguda (cat. 1-3)</t>
  </si>
  <si>
    <t>H301</t>
  </si>
  <si>
    <t>Tóxico por ingestão.</t>
  </si>
  <si>
    <t>H302</t>
  </si>
  <si>
    <t>Nocivo por ingestão.</t>
  </si>
  <si>
    <t>Toxicidade aguda (cat. 4)</t>
  </si>
  <si>
    <t>H304</t>
  </si>
  <si>
    <t>Pode ser mortal por ingestão e penetração nas vias respiratórias.</t>
  </si>
  <si>
    <t>Perigo de aspiração</t>
  </si>
  <si>
    <t>H310</t>
  </si>
  <si>
    <t>Mortal em contacto com a pele.</t>
  </si>
  <si>
    <t>H311</t>
  </si>
  <si>
    <t>Tóxico em contacto com a pele.</t>
  </si>
  <si>
    <t>H312</t>
  </si>
  <si>
    <t>Nocivo em contacto com a pele.</t>
  </si>
  <si>
    <t>H314</t>
  </si>
  <si>
    <t>Provoca queimaduras na pele e lesões oculares graves.</t>
  </si>
  <si>
    <t>Corrosão/irritação</t>
  </si>
  <si>
    <t>H315</t>
  </si>
  <si>
    <t>Provoca irritação cutânea.</t>
  </si>
  <si>
    <t>H317</t>
  </si>
  <si>
    <t>Pode provocar uma reação alérgica cutânea.</t>
  </si>
  <si>
    <t>H318</t>
  </si>
  <si>
    <t>Provoca lesões oculares graves.</t>
  </si>
  <si>
    <t>Provoca irritação ocular grave.</t>
  </si>
  <si>
    <t>H330</t>
  </si>
  <si>
    <t>Mortal por inalação.</t>
  </si>
  <si>
    <t>H331</t>
  </si>
  <si>
    <t>Tóxico por inalação.</t>
  </si>
  <si>
    <t>H332</t>
  </si>
  <si>
    <t>Nocivo por inalação.</t>
  </si>
  <si>
    <t>H334</t>
  </si>
  <si>
    <t>Quando inalado, pode provocar sintomas de alergia ou de asma ou dificuldades respiratórias.</t>
  </si>
  <si>
    <t>H335</t>
  </si>
  <si>
    <t>Pode provocar irritação das vias respiratórias.</t>
  </si>
  <si>
    <t>STOT (exposição única)</t>
  </si>
  <si>
    <t>H336</t>
  </si>
  <si>
    <t>Pode provocar sonolência ou vertigens.</t>
  </si>
  <si>
    <t>H340</t>
  </si>
  <si>
    <t>Pode provocar anomalias genéticas.</t>
  </si>
  <si>
    <t>1</t>
  </si>
  <si>
    <t>S</t>
  </si>
  <si>
    <t>H341</t>
  </si>
  <si>
    <t>Suspeito de provocar anomalias genéticas.</t>
  </si>
  <si>
    <t>2</t>
  </si>
  <si>
    <t>H350</t>
  </si>
  <si>
    <t>Pode provocar cancro.</t>
  </si>
  <si>
    <t>H350i</t>
  </si>
  <si>
    <t>Pode provocar cancro por inalação.</t>
  </si>
  <si>
    <t>H351</t>
  </si>
  <si>
    <t>Suspeito de provocar cancro.</t>
  </si>
  <si>
    <t>H360</t>
  </si>
  <si>
    <t>Pode afetar a fertilidade ou o nascituro.</t>
  </si>
  <si>
    <t>H360F</t>
  </si>
  <si>
    <t>Pode afetar a fertilidade.</t>
  </si>
  <si>
    <t>H360D</t>
  </si>
  <si>
    <t>Pode afetar o nascituro.</t>
  </si>
  <si>
    <t>H360FD</t>
  </si>
  <si>
    <t>Pode afetar a fertilidade. Pode afetar o nascituro.</t>
  </si>
  <si>
    <t>H360Fd</t>
  </si>
  <si>
    <t>Pode afetar a fertilidade. Suspeito de afetar o nascituro.</t>
  </si>
  <si>
    <t>H360Df</t>
  </si>
  <si>
    <t>Pode afetar o nascituro. Suspeito de afetar a fertilidade.</t>
  </si>
  <si>
    <t>H361</t>
  </si>
  <si>
    <t>Suspeito de afetar a fertilidade ou o nascituro.</t>
  </si>
  <si>
    <t>H361f</t>
  </si>
  <si>
    <t>Suspeito de afetar a fertilidade.</t>
  </si>
  <si>
    <t>H361d</t>
  </si>
  <si>
    <t>Suspeito de afetar o nascituro.</t>
  </si>
  <si>
    <t>H361fd</t>
  </si>
  <si>
    <t>Suspeito de afetar a fertilidade. Suspeito de afetar o nascituro.</t>
  </si>
  <si>
    <t>H362</t>
  </si>
  <si>
    <t>Pode ser nocivo para as crianças alimentadas com leite materno.</t>
  </si>
  <si>
    <t>Efeitos na lactação</t>
  </si>
  <si>
    <t>H370</t>
  </si>
  <si>
    <t>Afeta os órgãos.</t>
  </si>
  <si>
    <t>H371</t>
  </si>
  <si>
    <t>Pode afetar os órgãos.</t>
  </si>
  <si>
    <t>H372</t>
  </si>
  <si>
    <t>Afeta os órgãos após exposição prolongada ou repetida.</t>
  </si>
  <si>
    <t>STOT (exposição repetida)</t>
  </si>
  <si>
    <t>H373</t>
  </si>
  <si>
    <t>Pode afetar os órgãos após exposição prolongada ou repetida.</t>
  </si>
  <si>
    <t>H400</t>
  </si>
  <si>
    <t>Muito tóxico para os organismos aquáticos.</t>
  </si>
  <si>
    <t>Perigoso para o ambiente aquático</t>
  </si>
  <si>
    <t>H410</t>
  </si>
  <si>
    <t>Muito tóxico para os organismos aquáticos com efeitos duradouros.</t>
  </si>
  <si>
    <t>H411</t>
  </si>
  <si>
    <t>Tóxico para os organismos aquáticos com efeitos duradouros.</t>
  </si>
  <si>
    <t>H412</t>
  </si>
  <si>
    <t>Nocivo para os organismos aquáticos com efeitos duradouros.</t>
  </si>
  <si>
    <t>H413</t>
  </si>
  <si>
    <t>Pode provocar efeitos nocivos duradouros nos organismos aquáticos.</t>
  </si>
  <si>
    <t>H420</t>
  </si>
  <si>
    <t>Prejudica a saúde pública e o ambiente ao destruir o ozono na alta atmosfera.</t>
  </si>
  <si>
    <t>Camada de ozono</t>
  </si>
  <si>
    <t>EUH014</t>
  </si>
  <si>
    <t>Reage violentamente em contacto com a água.</t>
  </si>
  <si>
    <t>Suplementar</t>
  </si>
  <si>
    <t>Reatividade</t>
  </si>
  <si>
    <t>EUH029</t>
  </si>
  <si>
    <t>Em contacto com a água liberta gases tóxicos.</t>
  </si>
  <si>
    <t>EUH031</t>
  </si>
  <si>
    <t>Em contacto com ácidos liberta gases tóxicos.</t>
  </si>
  <si>
    <t>EUH032</t>
  </si>
  <si>
    <t>Em contacto com ácidos liberta gases muito tóxicos.</t>
  </si>
  <si>
    <t>EUH066</t>
  </si>
  <si>
    <t>Pode provocar secura da pele ou fissuras, por exposição repetida.</t>
  </si>
  <si>
    <t>EUH070</t>
  </si>
  <si>
    <t>Tóxico por contacto com os olhos.</t>
  </si>
  <si>
    <t>EUH071</t>
  </si>
  <si>
    <t>Corrosivo para as vias respiratórias.</t>
  </si>
  <si>
    <t>EUH202</t>
  </si>
  <si>
    <t>Cianoacrilato. Perigo. Cola-se à pele e aos olhos em poucos segundos. Manter fora do alcance das crianças.</t>
  </si>
  <si>
    <t>EUH204</t>
  </si>
  <si>
    <t>Contém isocianatos. Pode provocar uma reação alérgica.</t>
  </si>
  <si>
    <t>EUH208</t>
  </si>
  <si>
    <t>Contém &lt;nome da substância sensibilizante&gt;. Pode provocar uma reação alérgica.</t>
  </si>
  <si>
    <t>EUH380</t>
  </si>
  <si>
    <t>Pode causar desregulação endócrina no ser humano.</t>
  </si>
  <si>
    <t>Desregulador endócrino (CLP 2023/707)</t>
  </si>
  <si>
    <t>EUH381</t>
  </si>
  <si>
    <t>Suspeito de causar desregulação endócrina no ser humano.</t>
  </si>
  <si>
    <t>EUH430</t>
  </si>
  <si>
    <t>Pode causar desregulação endócrina no ambiente.</t>
  </si>
  <si>
    <t>EUH431</t>
  </si>
  <si>
    <t>Suspeito de causar desregulação endócrina no ambiente.</t>
  </si>
  <si>
    <t>EUH440</t>
  </si>
  <si>
    <t>Acumula-se no ambiente e nos organismos vivos, incluindo nos seres humanos.</t>
  </si>
  <si>
    <t>PBT/mPmB (CLP 2023/707)</t>
  </si>
  <si>
    <t>EUH441</t>
  </si>
  <si>
    <t>Acumula-se fortemente no ambiente e nos organismos vivos, incluindo nos seres humanos.</t>
  </si>
  <si>
    <t>EUH450</t>
  </si>
  <si>
    <t>Pode causar uma contaminação duradoura e difusa dos recursos hídricos.</t>
  </si>
  <si>
    <t>PMT/mPmM (CLP 2023/707)</t>
  </si>
  <si>
    <t>EUH451</t>
  </si>
  <si>
    <t>Pode causar uma contaminação muito duradoura e difusa dos recursos hídricos.</t>
  </si>
  <si>
    <t>SVHC VIGIADAS (SUBCONJUNTO DA LISTA CANDIDATA DA ECHA)</t>
  </si>
  <si>
    <t>Lista completa (253 entradas em 04/02/2026): https://echa.europa.eu/candidate-list-table · Acrescentar aqui as novas entradas relevantes em cada atualização</t>
  </si>
  <si>
    <t>Substancia</t>
  </si>
  <si>
    <t>Motivo_SVHC</t>
  </si>
  <si>
    <t>Uso_Tipico_Plasticos</t>
  </si>
  <si>
    <t>Outras_Regras</t>
  </si>
  <si>
    <t>Ftalato de bis(2-etil-hexilo) (DEHP)</t>
  </si>
  <si>
    <t>117-81-7</t>
  </si>
  <si>
    <t>Tóxico para a reprodução; desregulador endócrino</t>
  </si>
  <si>
    <t>Plastificante de PVC</t>
  </si>
  <si>
    <t>Anexo XIV; anexo XVII entrada 51</t>
  </si>
  <si>
    <t>Ftalato de dibutilo (DBP)</t>
  </si>
  <si>
    <t>84-74-2</t>
  </si>
  <si>
    <t>Plastificante de PVC, tintas</t>
  </si>
  <si>
    <t>Ftalato de benzilo e butilo (BBP)</t>
  </si>
  <si>
    <t>85-68-7</t>
  </si>
  <si>
    <t>Ftalato de di-isobutilo (DIBP)</t>
  </si>
  <si>
    <t>84-69-5</t>
  </si>
  <si>
    <t>Plastificante</t>
  </si>
  <si>
    <t>Bisfenol A (BPA)</t>
  </si>
  <si>
    <t>80-05-7</t>
  </si>
  <si>
    <t>Policarbonato, resinas epóxi, vernizes</t>
  </si>
  <si>
    <t>Reg. (UE) 2024/3190 (proibição em materiais em contacto com alimentos)</t>
  </si>
  <si>
    <t>Bisfenol AF (BPAF) e sais</t>
  </si>
  <si>
    <t>1478-61-1</t>
  </si>
  <si>
    <t>Fluoroelastómeros</t>
  </si>
  <si>
    <t>Incluído em 02/2026</t>
  </si>
  <si>
    <t>Tóxico para a reprodução / efeitos neurotóxicos (preocupação equivalente)</t>
  </si>
  <si>
    <t>Desengordurantes, colas, solventes técnicos</t>
  </si>
  <si>
    <t>Octametilciclotetrassiloxano (D4)</t>
  </si>
  <si>
    <t>556-67-2</t>
  </si>
  <si>
    <t>PBT/mPmB</t>
  </si>
  <si>
    <t>Silicones, desmoldantes</t>
  </si>
  <si>
    <t>Anexo XVII entrada 70 (Reg. (UE) 2024/1328)</t>
  </si>
  <si>
    <t>Decametilciclopentassiloxano (D5)</t>
  </si>
  <si>
    <t>Dodecametilciclohexassiloxano (D6)</t>
  </si>
  <si>
    <t>540-97-6</t>
  </si>
  <si>
    <t>2-Metil-1-(4-metiltiofenil)-2-morfolinopropan-1-ona</t>
  </si>
  <si>
    <t>Tóxico para a reprodução (Repr. 1B)</t>
  </si>
  <si>
    <t>Fotoiniciador de tintas e vernizes UV</t>
  </si>
  <si>
    <t>2-Benzil-2-dimetilamino-4'-morfolinobutirofenona</t>
  </si>
  <si>
    <t>119313-12-1</t>
  </si>
  <si>
    <t>Fotoiniciador de tintas UV</t>
  </si>
  <si>
    <t>UV-328 (benzotriazol fenólico)</t>
  </si>
  <si>
    <t>25973-55-1</t>
  </si>
  <si>
    <t>Absorvedor UV em plásticos</t>
  </si>
  <si>
    <t>Também POP (Convenção de Estocolmo, 2023)</t>
  </si>
  <si>
    <t>UV-327 (benzotriazol fenólico)</t>
  </si>
  <si>
    <t>3864-99-1</t>
  </si>
  <si>
    <t>mPmB</t>
  </si>
  <si>
    <t>UV-320 (benzotriazol fenólico)</t>
  </si>
  <si>
    <t>3846-71-7</t>
  </si>
  <si>
    <t>UV-350 (benzotriazol fenólico)</t>
  </si>
  <si>
    <t>36437-37-3</t>
  </si>
  <si>
    <t>Parafinas cloradas de cadeia média (MCCP)</t>
  </si>
  <si>
    <t>85535-85-9</t>
  </si>
  <si>
    <t>Plastificante de PVC, lubrificantes</t>
  </si>
  <si>
    <t>Dechlorane Plus</t>
  </si>
  <si>
    <t>13560-89-9</t>
  </si>
  <si>
    <t>Retardador de chama</t>
  </si>
  <si>
    <t>Cromato de chumbo</t>
  </si>
  <si>
    <t>7758-97-6</t>
  </si>
  <si>
    <t>Cancerígeno e tóxico para a reprodução</t>
  </si>
  <si>
    <t>Pigmentos amarelos antigos</t>
  </si>
  <si>
    <t>Anexo XIV</t>
  </si>
  <si>
    <t>Chumbo</t>
  </si>
  <si>
    <t>7439-92-1</t>
  </si>
  <si>
    <t>Tóxico para a reprodução</t>
  </si>
  <si>
    <t>Estabilizantes de PVC antigos, soldaduras</t>
  </si>
  <si>
    <t>Anexo XVII entrada 63</t>
  </si>
  <si>
    <t>N-Metil-2-pirrolidona (NMP)</t>
  </si>
  <si>
    <t>872-50-4</t>
  </si>
  <si>
    <t>Solventes, decapantes</t>
  </si>
  <si>
    <t>Anexo XVII entrada 71</t>
  </si>
  <si>
    <t>N,N-Dimetilacetamida (DMAC)</t>
  </si>
  <si>
    <t>127-19-5</t>
  </si>
  <si>
    <t>Solventes</t>
  </si>
  <si>
    <t>Ácido perfluoro-hexanossulfónico (PFHxS) e sais</t>
  </si>
  <si>
    <t>355-46-4</t>
  </si>
  <si>
    <t>Tratamentos repelentes, espumas</t>
  </si>
  <si>
    <t>POP (Reg. (UE) 2019/1021)</t>
  </si>
  <si>
    <t>Ácido undecafluoro-hexanoico (PFHxA) e sais</t>
  </si>
  <si>
    <t>307-24-4</t>
  </si>
  <si>
    <t>Preocupação equivalente (persistência, mobilidade)</t>
  </si>
  <si>
    <t>Tratamentos repelentes</t>
  </si>
  <si>
    <t>Anexo XVII entrada 79 (Reg. (UE) 2024/2462)</t>
  </si>
  <si>
    <t>LISTAS CONTROLADAS (domínios de validação de dados) — editar aqui para alterar opções</t>
  </si>
  <si>
    <t>DataReferencia</t>
  </si>
  <si>
    <t>SimNao</t>
  </si>
  <si>
    <t>SimNaoPC</t>
  </si>
  <si>
    <t>SimNaoNA</t>
  </si>
  <si>
    <t>TipoProduto</t>
  </si>
  <si>
    <t>PapelREACH</t>
  </si>
  <si>
    <t>EstadoAprov</t>
  </si>
  <si>
    <t>ProtColetiva</t>
  </si>
  <si>
    <t>RiscoResidual</t>
  </si>
  <si>
    <t>MetodoCE</t>
  </si>
  <si>
    <t>ResultadoCE</t>
  </si>
  <si>
    <t>AcaoCE</t>
  </si>
  <si>
    <t>Funcao</t>
  </si>
  <si>
    <t>EstadoConf</t>
  </si>
  <si>
    <t>TipoAcaoQ</t>
  </si>
  <si>
    <t>Hierarquia</t>
  </si>
  <si>
    <t>EstadoAcao</t>
  </si>
  <si>
    <t>Triagem</t>
  </si>
  <si>
    <t>Em avaliação</t>
  </si>
  <si>
    <t>Corretiva</t>
  </si>
  <si>
    <t>Eliminação</t>
  </si>
  <si>
    <t>Aberta</t>
  </si>
  <si>
    <t>Concluída</t>
  </si>
  <si>
    <t>ARQ</t>
  </si>
  <si>
    <t>Diretor Industrial</t>
  </si>
  <si>
    <t>Preventiva</t>
  </si>
  <si>
    <t>Substituição</t>
  </si>
  <si>
    <t>Em curso</t>
  </si>
  <si>
    <t>Ferramenta de estimativa (ECETOC TRA)</t>
  </si>
  <si>
    <t>Pedir inclusão do uso ao fornecedor (art. 37.º, n.º 2)</t>
  </si>
  <si>
    <t>Gestor do SGA / EHS (Responsável Ambiental)</t>
  </si>
  <si>
    <t>Melhoria</t>
  </si>
  <si>
    <t>Engenharia</t>
  </si>
  <si>
    <t>Elaborar RSQ-UJ (art. 37.º, n.º 4)</t>
  </si>
  <si>
    <t>Em implementação</t>
  </si>
  <si>
    <t>Administrativa</t>
  </si>
  <si>
    <t>Cancelada</t>
  </si>
  <si>
    <t>Proibido</t>
  </si>
  <si>
    <t>Importador (registo próprio)</t>
  </si>
  <si>
    <t>Descontinuado</t>
  </si>
  <si>
    <t>Deixar de usar</t>
  </si>
  <si>
    <t>MOA</t>
  </si>
  <si>
    <t>Distribuidor</t>
  </si>
  <si>
    <t>PRS</t>
  </si>
  <si>
    <t>EXP</t>
  </si>
  <si>
    <t>Diretor Financeiro</t>
  </si>
  <si>
    <t>RD</t>
  </si>
  <si>
    <t>CMP</t>
  </si>
  <si>
    <t>ADM</t>
  </si>
  <si>
    <t>Operador de Hot Foil</t>
  </si>
  <si>
    <t>Chefe de Turno</t>
  </si>
  <si>
    <t>Auditor Interno do SGA</t>
  </si>
  <si>
    <t>Representante dos Trabalhadores (SST/Ambiente)</t>
  </si>
  <si>
    <t>Tabela</t>
  </si>
  <si>
    <t>Coluna</t>
  </si>
  <si>
    <t>Origem</t>
  </si>
  <si>
    <t>Descricao</t>
  </si>
  <si>
    <t>Dominio_Unidade</t>
  </si>
  <si>
    <t>Obrigatorio</t>
  </si>
  <si>
    <t>Chave</t>
  </si>
  <si>
    <t>tbl_param_quimicos</t>
  </si>
  <si>
    <t>Texto</t>
  </si>
  <si>
    <t>Entrada</t>
  </si>
  <si>
    <t>PK</t>
  </si>
  <si>
    <t>Parâmetro.</t>
  </si>
  <si>
    <t>Decimal</t>
  </si>
  <si>
    <t>Valor (editar aqui).</t>
  </si>
  <si>
    <t>Unidade.</t>
  </si>
  <si>
    <t>Fonte / justificação.</t>
  </si>
  <si>
    <t>tbl_papel_reach</t>
  </si>
  <si>
    <t>Papel da Plasticom (definições do art. 3.º REACH).</t>
  </si>
  <si>
    <t>tbl_frases_h</t>
  </si>
  <si>
    <t>Código H/EUH (anexo III do CLP).</t>
  </si>
  <si>
    <t>Físico, Saúde, Ambiente ou Suplementar.</t>
  </si>
  <si>
    <t>Grupo de perigo usado nos alertas.</t>
  </si>
  <si>
    <t>Inteiro</t>
  </si>
  <si>
    <t>Classe de perigo para a saúde 1–5 do método de avaliação (0 = sem efeito na saúde). Adaptado de INRS ND 2233.</t>
  </si>
  <si>
    <t>1 = cat. 1A/1B (DL 301/2000); 2 = suspeito.</t>
  </si>
  <si>
    <t>S = exige avaliação específica para grávidas/lactantes.</t>
  </si>
  <si>
    <t>tbl_svhc_vigiadas</t>
  </si>
  <si>
    <t>tbl_quimicos</t>
  </si>
  <si>
    <t>QUI-nnn.</t>
  </si>
  <si>
    <t>Substância, mistura, gás, polímero ou artigo (o artigo não tem FDS).</t>
  </si>
  <si>
    <t>Lista lst_TipoProduto</t>
  </si>
  <si>
    <t>Lista lst_Processo</t>
  </si>
  <si>
    <t>FK → Dim_Processo</t>
  </si>
  <si>
    <t>Nome (informativo; o mestre é o RG-SGA-11).</t>
  </si>
  <si>
    <t>FK → RG-SGA-11 (SUP-, PQ-, TOR-, MAN-)</t>
  </si>
  <si>
    <t>Fornecedor estabelecido no EEE? 'Não' → ver Registo_Importacao.</t>
  </si>
  <si>
    <t>Lista lst_SimNao</t>
  </si>
  <si>
    <t>Lista lst_PapelREACH</t>
  </si>
  <si>
    <t>Consumo anual (kg).</t>
  </si>
  <si>
    <t>Quantidade máxima presente (kg) — usada no Seveso.</t>
  </si>
  <si>
    <t>Volume da maior embalagem (L) — usado na retenção.</t>
  </si>
  <si>
    <t>Lista lst_Local</t>
  </si>
  <si>
    <t>FK → tbl_armazenagem</t>
  </si>
  <si>
    <t>Códigos H/EUH da secção 2 da FDS separados por ';' (vazio = não classificado).</t>
  </si>
  <si>
    <t>Categoria do anexo I do DL 150/2015 ('—' se nenhuma).</t>
  </si>
  <si>
    <t>Lista lst_Seveso</t>
  </si>
  <si>
    <t>SVHC ≥ 0,1% declarada na FDS (secção 3/15) ou pelo fornecedor.</t>
  </si>
  <si>
    <t>Lista lst_SimNaoPC</t>
  </si>
  <si>
    <t>Entrada de restrição relevante ('—' se nenhuma).</t>
  </si>
  <si>
    <t>Diisocianatos ≥ 0,1% (entrada 74 → formação obrigatória).</t>
  </si>
  <si>
    <t>Contém PFAS?</t>
  </si>
  <si>
    <t>Usado na linha alimentar (FCM)?</t>
  </si>
  <si>
    <t>FK → tbl_aspetos</t>
  </si>
  <si>
    <t>Lista lst_EstadoAprov</t>
  </si>
  <si>
    <t>Data (aaaa-mm-dd)</t>
  </si>
  <si>
    <t>Percentagem (fração 0-1)</t>
  </si>
  <si>
    <t>Fração de compostos orgânicos voláteis (FDS secção 9). Base do balanço de solventes/COV (LEG-04).</t>
  </si>
  <si>
    <t>Calculado (fórmula)</t>
  </si>
  <si>
    <t>COV emitidos (kg/ano) = quantidade × teor (sem tratamento de efluentes gasosos).</t>
  </si>
  <si>
    <t>Frases H normalizadas para pesquisa (auxiliar).</t>
  </si>
  <si>
    <t>Tem pelo menos uma frase H/EUH.</t>
  </si>
  <si>
    <t>Classe 1–5 = a mais alta das frases H/EUH (método de avaliação).</t>
  </si>
  <si>
    <t>Cancerígeno, mutagénico ou reprotóxico.</t>
  </si>
  <si>
    <t>Toxicidade aguda cat. 1–3.</t>
  </si>
  <si>
    <t>Toxicidade para órgãos-alvo.</t>
  </si>
  <si>
    <t>Exige avaliação para grávidas/lactantes (Lei 102/2009; CT art. 62.º).</t>
  </si>
  <si>
    <t>Algum componente da secção 3 é SVHC vigiada ≥ 0,1%.</t>
  </si>
  <si>
    <t>Data da FDS em vigor.</t>
  </si>
  <si>
    <t>Estado da FDS em vigor.</t>
  </si>
  <si>
    <t>Existe avaliação de risco (DL 24/2012) para o produto?</t>
  </si>
  <si>
    <t>Alerta de gestão por ordem de prioridade.</t>
  </si>
  <si>
    <t>tbl_componentes</t>
  </si>
  <si>
    <t>FK → tbl_quimicos</t>
  </si>
  <si>
    <t>% m/m mínima (secção 3).</t>
  </si>
  <si>
    <t>% m/m máxima (secção 3).</t>
  </si>
  <si>
    <t>N.º de registo indicado na FDS, isenção ou pedido.</t>
  </si>
  <si>
    <t>VLE UE/PT aplicável (DL 24/2012; NP 1796).</t>
  </si>
  <si>
    <t>O CAS está na lista de SVHC vigiadas.</t>
  </si>
  <si>
    <t>SVHC ≥ 0,1% na mistura.</t>
  </si>
  <si>
    <t>Ligação à pesquisa da ECHA (classificação harmonizada, registo, C&amp;L).</t>
  </si>
  <si>
    <t>Data de revisão da FDS.</t>
  </si>
  <si>
    <t>Em português (REACH art. 31.º, n.º 5)?</t>
  </si>
  <si>
    <t>Lista lst_SimNaoNA</t>
  </si>
  <si>
    <t>16 secções e subsecções obrigatórias do anexo II na redação do Reg. (UE) 2020/878 (em vigor desde 01/01/2023)?</t>
  </si>
  <si>
    <t>Nome comercial, fornecedor e UFI (se aplicável) coincidem com o rótulo e com a encomenda?</t>
  </si>
  <si>
    <t>Secção 1.4 com telefone de emergência (em Portugal: CIAV 800 250 250)?</t>
  </si>
  <si>
    <t>Classificação, pictogramas, palavra-sinal e frases H/P da secção 2 iguais ao rótulo recebido?</t>
  </si>
  <si>
    <t>Secção 3 com identificadores (CAS/CE), intervalos de concentração, n.º de registo e SVHC ≥ 0,1%?</t>
  </si>
  <si>
    <t>Secção 8 com VLE/DNEL e EPI específicos (material das luvas, tipo de filtro)?</t>
  </si>
  <si>
    <t>Secção 11 completa, incl. 11.2 (desregulação endócrina) do Reg. 2020/878?</t>
  </si>
  <si>
    <t>Secção 12 completa, incl. 12.5 (PBT/mPmB) e 12.6 (desregulação endócrina)?</t>
  </si>
  <si>
    <t>A utilização da Plasticom está nas utilizações identificadas (1.2) ou não desaconselhada?</t>
  </si>
  <si>
    <t>Se substância registada ≥ 10 t e perigosa: tem cenários de exposição em anexo (FDS alargada)? (N.A. se não aplicável)</t>
  </si>
  <si>
    <t>Secção 15 indica restrições (anexo XVII), autorização (anexo XIV), SVHC e legislação nacional?</t>
  </si>
  <si>
    <t>FDS (ou ficha-resumo) acessível no posto de trabalho (art. 35.º).</t>
  </si>
  <si>
    <t>Data do pedido de correção/atualização ao fornecedor.</t>
  </si>
  <si>
    <t>Lista lst_Funcao</t>
  </si>
  <si>
    <t>Pontos não conformes.</t>
  </si>
  <si>
    <t>Idade da FDS na data de referência.</t>
  </si>
  <si>
    <t>Versão mais recente do produto.</t>
  </si>
  <si>
    <t>Auxiliar para o inventário.</t>
  </si>
  <si>
    <t>FK → tbl_fds</t>
  </si>
  <si>
    <t>SU / PROC / ERC / PC do CE.</t>
  </si>
  <si>
    <t>Como a Plasticom usa (tarefa, duração, quantidade).</t>
  </si>
  <si>
    <t>Categoria de processo real (ECHA R.12).</t>
  </si>
  <si>
    <t>Condições operacionais e medidas de gestão de risco do CE.</t>
  </si>
  <si>
    <t>Lista lst_MetodoCE</t>
  </si>
  <si>
    <t>Lista lst_ResultadoCE</t>
  </si>
  <si>
    <t>Opções do art. 37.º, n.º 4.</t>
  </si>
  <si>
    <t>Lista lst_AcaoCE</t>
  </si>
  <si>
    <t>12 meses após a receção (art. 39.º).</t>
  </si>
  <si>
    <t>6 meses se houver RSQ-UJ.</t>
  </si>
  <si>
    <t>FK → tbl_fornecedores</t>
  </si>
  <si>
    <t>Quem introduz a mercadoria na UE (ver fatura/incoterm/declaração aduaneira).</t>
  </si>
  <si>
    <t>A carta do RU cita a Plasticom como importador coberto?</t>
  </si>
  <si>
    <t>Monómeros (≥ 2% e ≥ 1 t/ano) e aditivos (≥ 1 t/ano).</t>
  </si>
  <si>
    <t>tbl_declaracoes</t>
  </si>
  <si>
    <t>FK → RG-SGA-11</t>
  </si>
  <si>
    <t>N.º de entradas da lista candidata coberto pela declaração.</t>
  </si>
  <si>
    <t>SVHC &gt; 0,1% m/m?</t>
  </si>
  <si>
    <t>Pb+Cd+Hg+Cr(VI) ≤ 100 mg/kg?</t>
  </si>
  <si>
    <t>Declaração de conformidade para contacto alimentar (Reg. 10/2011).</t>
  </si>
  <si>
    <t>tbl_m_volat</t>
  </si>
  <si>
    <t>tbl_risco_quimico</t>
  </si>
  <si>
    <t>Agente gerado pelo processo (fumos, poeiras) — sem ID.</t>
  </si>
  <si>
    <t>Classe 1–5 só para agentes gerados (sem ID).</t>
  </si>
  <si>
    <t>Lista lst_Volatilidade</t>
  </si>
  <si>
    <t>Lista lst_Procedimento</t>
  </si>
  <si>
    <t>Lista lst_ProtColetiva</t>
  </si>
  <si>
    <t>Lista lst_Superficie</t>
  </si>
  <si>
    <t>Lista lst_Frequencia</t>
  </si>
  <si>
    <t>FK → tbl_medicoes_vle</t>
  </si>
  <si>
    <t>Após medidas existentes e EPI.</t>
  </si>
  <si>
    <t>Lista lst_RiscoResidual</t>
  </si>
  <si>
    <t>Resultado máximo ÷ VLE.</t>
  </si>
  <si>
    <t>NP EN 689, anexo F.</t>
  </si>
  <si>
    <t>tbl_armazenagem</t>
  </si>
  <si>
    <t>Kit de derrame mais próximo (verificação e reposição registadas no RG-SGA-12).</t>
  </si>
  <si>
    <t>FK → RG-SGA-12 tbl_meios</t>
  </si>
  <si>
    <t>Segregação verificada com a Matriz_Compatibilidade e a secção 10 das FDS.</t>
  </si>
  <si>
    <t>Ponto da ronda ambiental onde o local é inspecionado (a inspeção regista-se no RG-SGA-10).</t>
  </si>
  <si>
    <t>FK → RG-SGA-10 tbl_pontos</t>
  </si>
  <si>
    <t>≈ litros (densidade ≈ 1).</t>
  </si>
  <si>
    <t>máx(100% do maior recipiente; P-07 × total).</t>
  </si>
  <si>
    <t>tbl_seveso</t>
  </si>
  <si>
    <t>tbl_requisitos_quimicos</t>
  </si>
  <si>
    <t>Lista lst_Aplicavel</t>
  </si>
  <si>
    <t>Lista lst_EstadoConf</t>
  </si>
  <si>
    <t>FK → tbl_legal</t>
  </si>
  <si>
    <t>FK → RG-SGA-06 tbl_pam</t>
  </si>
  <si>
    <t>tbl_analise_critica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</si>
</sst>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yyyy\-mm\-dd"/>
    <numFmt numFmtId="166" formatCode="#,##0.0"/>
    <numFmt numFmtId="167" formatCode="0.0000"/>
  </numFmts>
  <fonts count="9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14532D"/>
      <name val="Arial"/>
    </font>
    <font>
      <b/>
      <sz val="12"/>
      <color rgb="FF7F1D1D"/>
      <name val="Arial"/>
    </font>
    <font>
      <b/>
      <sz val="12"/>
      <color rgb="FF5C4B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  <fill>
      <patternFill patternType="solid">
        <fgColor rgb="FFCDEBD3"/>
      </patternFill>
    </fill>
    <fill>
      <patternFill patternType="solid">
        <fgColor rgb="FFF4C7C3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5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2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4" fillId="0" borderId="0" xfId="0" applyFont="1"/>
    <xf numFmtId="49" fontId="4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3" fontId="4" fillId="0" borderId="1" xfId="0" applyNumberFormat="1" applyFont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3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vertical="top" wrapText="1"/>
    </xf>
    <xf numFmtId="167" fontId="4" fillId="4" borderId="1" xfId="0" applyNumberFormat="1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165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77"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apel_reach" displayName="tbl_papel_reach" ref="A4:F13">
  <autoFilter ref="A4:F13" xr:uid="{00000000-0009-0000-0100-000001000000}"/>
  <tableColumns count="6">
    <tableColumn id="1" xr3:uid="{00000000-0010-0000-0000-000001000000}" name="ID_Papel"/>
    <tableColumn id="2" xr3:uid="{00000000-0010-0000-0000-000002000000}" name="Atividade"/>
    <tableColumn id="3" xr3:uid="{00000000-0010-0000-0000-000003000000}" name="Papel_REACH_CLP"/>
    <tableColumn id="4" xr3:uid="{00000000-0010-0000-0000-000004000000}" name="Justificacao"/>
    <tableColumn id="5" xr3:uid="{00000000-0010-0000-0000-000005000000}" name="Obrigacoes_Principais"/>
    <tableColumn id="6" xr3:uid="{00000000-0010-0000-0000-000006000000}" name="Evidenci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quimicos" displayName="tbl_quimicos" ref="A4:AR76">
  <autoFilter ref="A4:AR76" xr:uid="{00000000-0009-0000-0100-000002000000}"/>
  <tableColumns count="44">
    <tableColumn id="1" xr3:uid="{00000000-0010-0000-0100-000001000000}" name="ID_Quimico"/>
    <tableColumn id="2" xr3:uid="{00000000-0010-0000-0100-000002000000}" name="Nome_Comercial"/>
    <tableColumn id="3" xr3:uid="{00000000-0010-0000-0100-000003000000}" name="Tipo_Produto"/>
    <tableColumn id="4" xr3:uid="{00000000-0010-0000-0100-000004000000}" name="Uso_Plasticom"/>
    <tableColumn id="5" xr3:uid="{00000000-0010-0000-0100-000005000000}" name="Processo"/>
    <tableColumn id="6" xr3:uid="{00000000-0010-0000-0100-000006000000}" name="Fornecedor"/>
    <tableColumn id="7" xr3:uid="{00000000-0010-0000-0100-000007000000}" name="ID_Fornecedor"/>
    <tableColumn id="8" xr3:uid="{00000000-0010-0000-0100-000008000000}" name="Pais_Origem"/>
    <tableColumn id="9" xr3:uid="{00000000-0010-0000-0100-000009000000}" name="Origem_EEE"/>
    <tableColumn id="10" xr3:uid="{00000000-0010-0000-0100-00000A000000}" name="Papel_REACH"/>
    <tableColumn id="11" xr3:uid="{00000000-0010-0000-0100-00000B000000}" name="Qtd_Ano_kg"/>
    <tableColumn id="12" xr3:uid="{00000000-0010-0000-0100-00000C000000}" name="Stock_Max_kg"/>
    <tableColumn id="13" xr3:uid="{00000000-0010-0000-0100-00000D000000}" name="Volume_Embalagem_L"/>
    <tableColumn id="14" xr3:uid="{00000000-0010-0000-0100-00000E000000}" name="Local_Armazenagem"/>
    <tableColumn id="15" xr3:uid="{00000000-0010-0000-0100-00000F000000}" name="Frases_H"/>
    <tableColumn id="16" xr3:uid="{00000000-0010-0000-0100-000010000000}" name="Pictogramas"/>
    <tableColumn id="17" xr3:uid="{00000000-0010-0000-0100-000011000000}" name="Palavra_Sinal"/>
    <tableColumn id="18" xr3:uid="{00000000-0010-0000-0100-000012000000}" name="Categoria_Seveso"/>
    <tableColumn id="19" xr3:uid="{00000000-0010-0000-0100-000013000000}" name="Categoria_Seveso_2"/>
    <tableColumn id="20" xr3:uid="{00000000-0010-0000-0100-000014000000}" name="SVHC_Declarado"/>
    <tableColumn id="21" xr3:uid="{00000000-0010-0000-0100-000015000000}" name="Anexo_XVII"/>
    <tableColumn id="22" xr3:uid="{00000000-0010-0000-0100-000016000000}" name="Diisocianatos_0_1"/>
    <tableColumn id="23" xr3:uid="{00000000-0010-0000-0100-000017000000}" name="PFAS"/>
    <tableColumn id="24" xr3:uid="{00000000-0010-0000-0100-000018000000}" name="Contacto_Alimentar"/>
    <tableColumn id="25" xr3:uid="{00000000-0010-0000-0100-000019000000}" name="IDs_Aspetos"/>
    <tableColumn id="26" xr3:uid="{00000000-0010-0000-0100-00001A000000}" name="Estado_Aprovacao"/>
    <tableColumn id="27" xr3:uid="{00000000-0010-0000-0100-00001B000000}" name="Data_Aprovacao"/>
    <tableColumn id="28" xr3:uid="{00000000-0010-0000-0100-00001C000000}" name="Teor_COV"/>
    <tableColumn id="29" xr3:uid="{00000000-0010-0000-0100-00001D000000}" name="COV_kg_ano"/>
    <tableColumn id="30" xr3:uid="{00000000-0010-0000-0100-00001E000000}" name="H_norm"/>
    <tableColumn id="31" xr3:uid="{00000000-0010-0000-0100-00001F000000}" name="Perigoso"/>
    <tableColumn id="32" xr3:uid="{00000000-0010-0000-0100-000020000000}" name="Classe_Perigo_Saude"/>
    <tableColumn id="33" xr3:uid="{00000000-0010-0000-0100-000021000000}" name="CMR"/>
    <tableColumn id="34" xr3:uid="{00000000-0010-0000-0100-000022000000}" name="Sensibilizante"/>
    <tableColumn id="35" xr3:uid="{00000000-0010-0000-0100-000023000000}" name="Toxico_Agudo"/>
    <tableColumn id="36" xr3:uid="{00000000-0010-0000-0100-000024000000}" name="STOT"/>
    <tableColumn id="37" xr3:uid="{00000000-0010-0000-0100-000025000000}" name="Perigoso_Ambiente"/>
    <tableColumn id="38" xr3:uid="{00000000-0010-0000-0100-000026000000}" name="Inflamavel"/>
    <tableColumn id="39" xr3:uid="{00000000-0010-0000-0100-000027000000}" name="Protecao_Maternidade"/>
    <tableColumn id="40" xr3:uid="{00000000-0010-0000-0100-000028000000}" name="SVHC_Componentes"/>
    <tableColumn id="41" xr3:uid="{00000000-0010-0000-0100-000029000000}" name="Data_FDS_Vigor"/>
    <tableColumn id="42" xr3:uid="{00000000-0010-0000-0100-00002A000000}" name="Estado_FDS"/>
    <tableColumn id="43" xr3:uid="{00000000-0010-0000-0100-00002B000000}" name="Avaliacao_Risco"/>
    <tableColumn id="44" xr3:uid="{00000000-0010-0000-0100-00002C000000}" name="Alert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omponentes" displayName="tbl_componentes" ref="A4:L77">
  <autoFilter ref="A4:L77" xr:uid="{00000000-0009-0000-0100-000003000000}"/>
  <tableColumns count="12">
    <tableColumn id="1" xr3:uid="{00000000-0010-0000-0200-000001000000}" name="ID_Componente"/>
    <tableColumn id="2" xr3:uid="{00000000-0010-0000-0200-000002000000}" name="ID_Quimico"/>
    <tableColumn id="3" xr3:uid="{00000000-0010-0000-0200-000003000000}" name="Componente"/>
    <tableColumn id="4" xr3:uid="{00000000-0010-0000-0200-000004000000}" name="CAS"/>
    <tableColumn id="5" xr3:uid="{00000000-0010-0000-0200-000005000000}" name="CE"/>
    <tableColumn id="6" xr3:uid="{00000000-0010-0000-0200-000006000000}" name="Conc_Min_pct"/>
    <tableColumn id="7" xr3:uid="{00000000-0010-0000-0200-000007000000}" name="Conc_Max_pct"/>
    <tableColumn id="8" xr3:uid="{00000000-0010-0000-0200-000008000000}" name="Registo_REACH"/>
    <tableColumn id="9" xr3:uid="{00000000-0010-0000-0200-000009000000}" name="VLE_Referencia"/>
    <tableColumn id="10" xr3:uid="{00000000-0010-0000-0200-00000A000000}" name="SVHC_Vigiada"/>
    <tableColumn id="11" xr3:uid="{00000000-0010-0000-0200-00000B000000}" name="SVHC_Acima_Limiar"/>
    <tableColumn id="12" xr3:uid="{00000000-0010-0000-0200-00000C000000}" name="Consulta_ECH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fds" displayName="tbl_fds" ref="A4:AA85">
  <autoFilter ref="A4:AA85" xr:uid="{00000000-0009-0000-0100-000004000000}"/>
  <tableColumns count="27">
    <tableColumn id="1" xr3:uid="{00000000-0010-0000-0300-000001000000}" name="ID_FDS"/>
    <tableColumn id="2" xr3:uid="{00000000-0010-0000-0300-000002000000}" name="ID_Quimico"/>
    <tableColumn id="3" xr3:uid="{00000000-0010-0000-0300-000003000000}" name="Produto"/>
    <tableColumn id="4" xr3:uid="{00000000-0010-0000-0300-000004000000}" name="Data_Rececao"/>
    <tableColumn id="5" xr3:uid="{00000000-0010-0000-0300-000005000000}" name="Data_FDS"/>
    <tableColumn id="6" xr3:uid="{00000000-0010-0000-0300-000006000000}" name="Versao"/>
    <tableColumn id="7" xr3:uid="{00000000-0010-0000-0300-000007000000}" name="C01_Lingua_PT"/>
    <tableColumn id="8" xr3:uid="{00000000-0010-0000-0300-000008000000}" name="C02_Formato_2020_878"/>
    <tableColumn id="9" xr3:uid="{00000000-0010-0000-0300-000009000000}" name="C03_Identificacao_Coerente"/>
    <tableColumn id="10" xr3:uid="{00000000-0010-0000-0300-00000A000000}" name="C04_Contacto_Emergencia"/>
    <tableColumn id="11" xr3:uid="{00000000-0010-0000-0300-00000B000000}" name="C05_Sec2_Igual_Rotulo"/>
    <tableColumn id="12" xr3:uid="{00000000-0010-0000-0300-00000C000000}" name="C06_Sec3_Composicao"/>
    <tableColumn id="13" xr3:uid="{00000000-0010-0000-0300-00000D000000}" name="C07_Sec8_VLE_EPI"/>
    <tableColumn id="14" xr3:uid="{00000000-0010-0000-0300-00000E000000}" name="C08_Sec11_Toxicologia"/>
    <tableColumn id="15" xr3:uid="{00000000-0010-0000-0300-00000F000000}" name="C09_Sec12_Ecologia"/>
    <tableColumn id="16" xr3:uid="{00000000-0010-0000-0300-000010000000}" name="C10_Uso_Identificado"/>
    <tableColumn id="17" xr3:uid="{00000000-0010-0000-0300-000011000000}" name="C11_CE_Anexo"/>
    <tableColumn id="18" xr3:uid="{00000000-0010-0000-0300-000012000000}" name="C12_Sec15_Regulamentacao"/>
    <tableColumn id="19" xr3:uid="{00000000-0010-0000-0300-000013000000}" name="Disponivel_Posto"/>
    <tableColumn id="20" xr3:uid="{00000000-0010-0000-0300-000014000000}" name="Pedido_Fornecedor"/>
    <tableColumn id="21" xr3:uid="{00000000-0010-0000-0300-000015000000}" name="Verificado_Por"/>
    <tableColumn id="22" xr3:uid="{00000000-0010-0000-0300-000016000000}" name="N_Nao"/>
    <tableColumn id="23" xr3:uid="{00000000-0010-0000-0300-000017000000}" name="Resultado"/>
    <tableColumn id="24" xr3:uid="{00000000-0010-0000-0300-000018000000}" name="Idade_Meses"/>
    <tableColumn id="25" xr3:uid="{00000000-0010-0000-0300-000019000000}" name="Em_Vigor"/>
    <tableColumn id="26" xr3:uid="{00000000-0010-0000-0300-00001A000000}" name="Chave_Vigor"/>
    <tableColumn id="27" xr3:uid="{00000000-0010-0000-0300-00001B000000}" name="Estado_FD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e_reach" displayName="tbl_ce_reach" ref="A4:S34">
  <autoFilter ref="A4:S34" xr:uid="{00000000-0009-0000-0100-000005000000}"/>
  <tableColumns count="19">
    <tableColumn id="1" xr3:uid="{00000000-0010-0000-0400-000001000000}" name="ID_CE"/>
    <tableColumn id="2" xr3:uid="{00000000-0010-0000-0400-000002000000}" name="ID_Quimico"/>
    <tableColumn id="3" xr3:uid="{00000000-0010-0000-0400-000003000000}" name="ID_FDS"/>
    <tableColumn id="4" xr3:uid="{00000000-0010-0000-0400-000004000000}" name="Substancia_CE"/>
    <tableColumn id="5" xr3:uid="{00000000-0010-0000-0400-000005000000}" name="Titulo_CE"/>
    <tableColumn id="6" xr3:uid="{00000000-0010-0000-0400-000006000000}" name="Descritores_Fornecedor"/>
    <tableColumn id="7" xr3:uid="{00000000-0010-0000-0400-000007000000}" name="Uso_Real"/>
    <tableColumn id="8" xr3:uid="{00000000-0010-0000-0400-000008000000}" name="PROC_Real"/>
    <tableColumn id="9" xr3:uid="{00000000-0010-0000-0400-000009000000}" name="Condicoes_CE"/>
    <tableColumn id="10" xr3:uid="{00000000-0010-0000-0400-00000A000000}" name="Condicoes_Reais"/>
    <tableColumn id="11" xr3:uid="{00000000-0010-0000-0400-00000B000000}" name="Metodo_Verificacao"/>
    <tableColumn id="12" xr3:uid="{00000000-0010-0000-0400-00000C000000}" name="Resultado"/>
    <tableColumn id="13" xr3:uid="{00000000-0010-0000-0400-00000D000000}" name="Acao"/>
    <tableColumn id="14" xr3:uid="{00000000-0010-0000-0400-00000E000000}" name="Data_Implementacao"/>
    <tableColumn id="15" xr3:uid="{00000000-0010-0000-0400-00000F000000}" name="Responsavel"/>
    <tableColumn id="16" xr3:uid="{00000000-0010-0000-0400-000010000000}" name="Data_Rececao_FDS"/>
    <tableColumn id="17" xr3:uid="{00000000-0010-0000-0400-000011000000}" name="Prazo_Legal"/>
    <tableColumn id="18" xr3:uid="{00000000-0010-0000-0400-000012000000}" name="Prazo_Relatorio_ECHA"/>
    <tableColumn id="19" xr3:uid="{00000000-0010-0000-0400-000013000000}" name="Estad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registo_reach" displayName="tbl_registo_reach" ref="A4:N29">
  <autoFilter ref="A4:N29" xr:uid="{00000000-0009-0000-0100-000006000000}"/>
  <tableColumns count="14">
    <tableColumn id="1" xr3:uid="{00000000-0010-0000-0500-000001000000}" name="ID_Imp"/>
    <tableColumn id="2" xr3:uid="{00000000-0010-0000-0500-000002000000}" name="ID_Fornecedor"/>
    <tableColumn id="3" xr3:uid="{00000000-0010-0000-0500-000003000000}" name="Fornecedor"/>
    <tableColumn id="4" xr3:uid="{00000000-0010-0000-0500-000004000000}" name="Pais"/>
    <tableColumn id="5" xr3:uid="{00000000-0010-0000-0500-000005000000}" name="Origem_EEE"/>
    <tableColumn id="6" xr3:uid="{00000000-0010-0000-0500-000006000000}" name="Material"/>
    <tableColumn id="7" xr3:uid="{00000000-0010-0000-0500-000007000000}" name="Qtd_t_Ano"/>
    <tableColumn id="8" xr3:uid="{00000000-0010-0000-0500-000008000000}" name="Importador_Legal"/>
    <tableColumn id="9" xr3:uid="{00000000-0010-0000-0500-000009000000}" name="Representante_Unico"/>
    <tableColumn id="10" xr3:uid="{00000000-0010-0000-0500-00000A000000}" name="Data_Carta_RU"/>
    <tableColumn id="11" xr3:uid="{00000000-0010-0000-0500-00000B000000}" name="Plasticom_Lista_RU"/>
    <tableColumn id="12" xr3:uid="{00000000-0010-0000-0500-00000C000000}" name="Substancias_a_Registar"/>
    <tableColumn id="13" xr3:uid="{00000000-0010-0000-0500-00000D000000}" name="Observacao"/>
    <tableColumn id="14" xr3:uid="{00000000-0010-0000-0500-00000E000000}" name="Conclusa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eclaracoes" displayName="tbl_declaracoes" ref="A4:N38">
  <autoFilter ref="A4:N38" xr:uid="{00000000-0009-0000-0100-000007000000}"/>
  <tableColumns count="14">
    <tableColumn id="1" xr3:uid="{00000000-0010-0000-0600-000001000000}" name="ID_Decl"/>
    <tableColumn id="2" xr3:uid="{00000000-0010-0000-0600-000002000000}" name="ID_Fornecedor"/>
    <tableColumn id="3" xr3:uid="{00000000-0010-0000-0600-000003000000}" name="Fornecedor"/>
    <tableColumn id="4" xr3:uid="{00000000-0010-0000-0600-000004000000}" name="Material"/>
    <tableColumn id="5" xr3:uid="{00000000-0010-0000-0600-000005000000}" name="Data_Declaracao"/>
    <tableColumn id="6" xr3:uid="{00000000-0010-0000-0600-000006000000}" name="Lista_Coberta_N"/>
    <tableColumn id="7" xr3:uid="{00000000-0010-0000-0600-000007000000}" name="SVHC_0_1"/>
    <tableColumn id="8" xr3:uid="{00000000-0010-0000-0600-000008000000}" name="Metais_PPWR_Conforme"/>
    <tableColumn id="9" xr3:uid="{00000000-0010-0000-0600-000009000000}" name="PFAS"/>
    <tableColumn id="10" xr3:uid="{00000000-0010-0000-0600-00000A000000}" name="BPA"/>
    <tableColumn id="11" xr3:uid="{00000000-0010-0000-0600-00000B000000}" name="Ftalatos"/>
    <tableColumn id="12" xr3:uid="{00000000-0010-0000-0600-00000C000000}" name="DoC_FCM"/>
    <tableColumn id="13" xr3:uid="{00000000-0010-0000-0600-00000D000000}" name="Idade_Meses"/>
    <tableColumn id="14" xr3:uid="{00000000-0010-0000-0600-00000E000000}" name="Estado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risco_quimico" displayName="tbl_risco_quimico" ref="A4:AH55">
  <autoFilter ref="A4:AH55" xr:uid="{00000000-0009-0000-0100-000008000000}"/>
  <tableColumns count="34">
    <tableColumn id="1" xr3:uid="{00000000-0010-0000-0700-000001000000}" name="ID_Avaliacao"/>
    <tableColumn id="2" xr3:uid="{00000000-0010-0000-0700-000002000000}" name="ID_Quimico"/>
    <tableColumn id="3" xr3:uid="{00000000-0010-0000-0700-000003000000}" name="Agente_Gerado"/>
    <tableColumn id="4" xr3:uid="{00000000-0010-0000-0700-000004000000}" name="Posto_Tarefa"/>
    <tableColumn id="5" xr3:uid="{00000000-0010-0000-0700-000005000000}" name="Processo"/>
    <tableColumn id="6" xr3:uid="{00000000-0010-0000-0700-000006000000}" name="Funcao_Exposta"/>
    <tableColumn id="7" xr3:uid="{00000000-0010-0000-0700-000007000000}" name="N_Trabalhadores"/>
    <tableColumn id="8" xr3:uid="{00000000-0010-0000-0700-000008000000}" name="Classe_Manual"/>
    <tableColumn id="9" xr3:uid="{00000000-0010-0000-0700-000009000000}" name="Volatilidade"/>
    <tableColumn id="10" xr3:uid="{00000000-0010-0000-0700-00000A000000}" name="Procedimento"/>
    <tableColumn id="11" xr3:uid="{00000000-0010-0000-0700-00000B000000}" name="Protecao_Coletiva"/>
    <tableColumn id="12" xr3:uid="{00000000-0010-0000-0700-00000C000000}" name="Superficie_Cutanea"/>
    <tableColumn id="13" xr3:uid="{00000000-0010-0000-0700-00000D000000}" name="Frequencia"/>
    <tableColumn id="14" xr3:uid="{00000000-0010-0000-0700-00000E000000}" name="EPI"/>
    <tableColumn id="15" xr3:uid="{00000000-0010-0000-0700-00000F000000}" name="Medidas_Existentes"/>
    <tableColumn id="16" xr3:uid="{00000000-0010-0000-0700-000010000000}" name="ID_Medicao"/>
    <tableColumn id="17" xr3:uid="{00000000-0010-0000-0700-000011000000}" name="Medidas_Adicionais"/>
    <tableColumn id="18" xr3:uid="{00000000-0010-0000-0700-000012000000}" name="Risco_Residual"/>
    <tableColumn id="19" xr3:uid="{00000000-0010-0000-0700-000013000000}" name="Responsavel"/>
    <tableColumn id="20" xr3:uid="{00000000-0010-0000-0700-000014000000}" name="Prazo"/>
    <tableColumn id="21" xr3:uid="{00000000-0010-0000-0700-000015000000}" name="Data_Avaliacao"/>
    <tableColumn id="22" xr3:uid="{00000000-0010-0000-0700-000016000000}" name="Avaliador"/>
    <tableColumn id="23" xr3:uid="{00000000-0010-0000-0700-000017000000}" name="Produto"/>
    <tableColumn id="24" xr3:uid="{00000000-0010-0000-0700-000018000000}" name="Classe_Perigo"/>
    <tableColumn id="25" xr3:uid="{00000000-0010-0000-0700-000019000000}" name="CMR"/>
    <tableColumn id="26" xr3:uid="{00000000-0010-0000-0700-00001A000000}" name="Sensibilizante"/>
    <tableColumn id="27" xr3:uid="{00000000-0010-0000-0700-00001B000000}" name="Protecao_Maternidade"/>
    <tableColumn id="28" xr3:uid="{00000000-0010-0000-0700-00001C000000}" name="Score_Inalacao"/>
    <tableColumn id="29" xr3:uid="{00000000-0010-0000-0700-00001D000000}" name="Score_Cutaneo"/>
    <tableColumn id="30" xr3:uid="{00000000-0010-0000-0700-00001E000000}" name="Prioridade"/>
    <tableColumn id="31" xr3:uid="{00000000-0010-0000-0700-00001F000000}" name="Regime_Especifico"/>
    <tableColumn id="32" xr3:uid="{00000000-0010-0000-0700-000020000000}" name="Medir_Exposicao"/>
    <tableColumn id="33" xr3:uid="{00000000-0010-0000-0700-000021000000}" name="Proxima_Revisao"/>
    <tableColumn id="34" xr3:uid="{00000000-0010-0000-0700-000022000000}" name="Estado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medicoes_vle" displayName="tbl_medicoes_vle" ref="A4:O31">
  <autoFilter ref="A4:O31" xr:uid="{00000000-0009-0000-0100-000009000000}"/>
  <tableColumns count="15">
    <tableColumn id="1" xr3:uid="{00000000-0010-0000-0800-000001000000}" name="ID_Medicao"/>
    <tableColumn id="2" xr3:uid="{00000000-0010-0000-0800-000002000000}" name="Data"/>
    <tableColumn id="3" xr3:uid="{00000000-0010-0000-0800-000003000000}" name="Posto"/>
    <tableColumn id="4" xr3:uid="{00000000-0010-0000-0800-000004000000}" name="Agente"/>
    <tableColumn id="5" xr3:uid="{00000000-0010-0000-0800-000005000000}" name="CAS"/>
    <tableColumn id="6" xr3:uid="{00000000-0010-0000-0800-000006000000}" name="Metodo"/>
    <tableColumn id="7" xr3:uid="{00000000-0010-0000-0800-000007000000}" name="Laboratorio"/>
    <tableColumn id="8" xr3:uid="{00000000-0010-0000-0800-000008000000}" name="N_Amostras"/>
    <tableColumn id="9" xr3:uid="{00000000-0010-0000-0800-000009000000}" name="Resultado_Max_ppm"/>
    <tableColumn id="10" xr3:uid="{00000000-0010-0000-0800-00000A000000}" name="VLE_MP_ppm"/>
    <tableColumn id="11" xr3:uid="{00000000-0010-0000-0800-00000B000000}" name="Observacao"/>
    <tableColumn id="12" xr3:uid="{00000000-0010-0000-0800-00000C000000}" name="Indice_Exposicao"/>
    <tableColumn id="13" xr3:uid="{00000000-0010-0000-0800-00000D000000}" name="Limite_Teste_Preliminar"/>
    <tableColumn id="14" xr3:uid="{00000000-0010-0000-0800-00000E000000}" name="Conclusao"/>
    <tableColumn id="15" xr3:uid="{00000000-0010-0000-0800-00000F000000}" name="Proxima_Medicao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m_volat" displayName="tbl_m_volat" ref="A4:B7">
  <autoFilter ref="A4:B7" xr:uid="{00000000-0009-0000-0100-00000A000000}"/>
  <tableColumns count="2">
    <tableColumn id="1" xr3:uid="{00000000-0010-0000-0900-000001000000}" name="Volatilidade"/>
    <tableColumn id="2" xr3:uid="{00000000-0010-0000-0900-000002000000}" name="Score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m_proced" displayName="tbl_m_proced" ref="D4:E8">
  <autoFilter ref="D4:E8" xr:uid="{00000000-0009-0000-0100-00000B000000}"/>
  <tableColumns count="2">
    <tableColumn id="4" xr3:uid="{00000000-0010-0000-0A00-000004000000}" name="Procedimento"/>
    <tableColumn id="5" xr3:uid="{00000000-0010-0000-0A00-000005000000}" name="Score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m_prot" displayName="tbl_m_prot" ref="G4:H9">
  <autoFilter ref="G4:H9" xr:uid="{00000000-0009-0000-0100-00000C000000}"/>
  <tableColumns count="2">
    <tableColumn id="7" xr3:uid="{00000000-0010-0000-0B00-000007000000}" name="Protecao"/>
    <tableColumn id="8" xr3:uid="{00000000-0010-0000-0B00-000008000000}" name="Score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m_superf" displayName="tbl_m_superf" ref="A12:B17">
  <autoFilter ref="A12:B17" xr:uid="{00000000-0009-0000-0100-00000D000000}"/>
  <tableColumns count="2">
    <tableColumn id="1" xr3:uid="{00000000-0010-0000-0C00-000001000000}" name="Superficie"/>
    <tableColumn id="2" xr3:uid="{00000000-0010-0000-0C00-000002000000}" name="Score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m_freq" displayName="tbl_m_freq" ref="D12:E16">
  <autoFilter ref="D12:E16" xr:uid="{00000000-0009-0000-0100-00000E000000}"/>
  <tableColumns count="2">
    <tableColumn id="4" xr3:uid="{00000000-0010-0000-0D00-000004000000}" name="Frequencia"/>
    <tableColumn id="5" xr3:uid="{00000000-0010-0000-0D00-000005000000}" name="Score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m_classes" displayName="tbl_m_classes" ref="G12:I17">
  <autoFilter ref="G12:I17" xr:uid="{00000000-0009-0000-0100-00000F000000}"/>
  <tableColumns count="3">
    <tableColumn id="7" xr3:uid="{00000000-0010-0000-0E00-000007000000}" name="Classe"/>
    <tableColumn id="8" xr3:uid="{00000000-0010-0000-0E00-000008000000}" name="Score_Perigo"/>
    <tableColumn id="9" xr3:uid="{00000000-0010-0000-0E00-000009000000}" name="Exemplos de frases H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armazenagem" displayName="tbl_armazenagem" ref="A4:N26">
  <autoFilter ref="A4:N26" xr:uid="{00000000-0009-0000-0100-000010000000}"/>
  <tableColumns count="14">
    <tableColumn id="1" xr3:uid="{00000000-0010-0000-0F00-000001000000}" name="ID_Local"/>
    <tableColumn id="2" xr3:uid="{00000000-0010-0000-0F00-000002000000}" name="Local"/>
    <tableColumn id="3" xr3:uid="{00000000-0010-0000-0F00-000003000000}" name="Tipo"/>
    <tableColumn id="4" xr3:uid="{00000000-0010-0000-0F00-000004000000}" name="Capacidade_Retencao_L"/>
    <tableColumn id="5" xr3:uid="{00000000-0010-0000-0F00-000005000000}" name="Ventilacao"/>
    <tableColumn id="6" xr3:uid="{00000000-0010-0000-0F00-000006000000}" name="ID_Meio"/>
    <tableColumn id="7" xr3:uid="{00000000-0010-0000-0F00-000007000000}" name="Incompatibilidades_Verificadas"/>
    <tableColumn id="8" xr3:uid="{00000000-0010-0000-0F00-000008000000}" name="ID_Ponto_Ronda"/>
    <tableColumn id="9" xr3:uid="{00000000-0010-0000-0F00-000009000000}" name="Observacao"/>
    <tableColumn id="10" xr3:uid="{00000000-0010-0000-0F00-00000A000000}" name="N_Produtos"/>
    <tableColumn id="11" xr3:uid="{00000000-0010-0000-0F00-00000B000000}" name="Stock_Max_kg"/>
    <tableColumn id="12" xr3:uid="{00000000-0010-0000-0F00-00000C000000}" name="Maior_Recipiente_L"/>
    <tableColumn id="13" xr3:uid="{00000000-0010-0000-0F00-00000D000000}" name="Retencao_Necessaria_L"/>
    <tableColumn id="14" xr3:uid="{00000000-0010-0000-0F00-00000E000000}" name="Estado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seveso" displayName="tbl_seveso" ref="A4:H24">
  <autoFilter ref="A4:H24" xr:uid="{00000000-0009-0000-0100-000011000000}"/>
  <tableColumns count="8">
    <tableColumn id="1" xr3:uid="{00000000-0010-0000-1000-000001000000}" name="Categoria"/>
    <tableColumn id="2" xr3:uid="{00000000-0010-0000-1000-000002000000}" name="Designacao"/>
    <tableColumn id="3" xr3:uid="{00000000-0010-0000-1000-000003000000}" name="Limiar_Inferior_t"/>
    <tableColumn id="4" xr3:uid="{00000000-0010-0000-1000-000004000000}" name="Limiar_Superior_t"/>
    <tableColumn id="5" xr3:uid="{00000000-0010-0000-1000-000005000000}" name="Grupo_Soma"/>
    <tableColumn id="6" xr3:uid="{00000000-0010-0000-1000-000006000000}" name="Qtd_Presente_t"/>
    <tableColumn id="7" xr3:uid="{00000000-0010-0000-1000-000007000000}" name="Racio_Inferior"/>
    <tableColumn id="8" xr3:uid="{00000000-0010-0000-1000-000008000000}" name="Racio_Superior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seveso_resumo" displayName="tbl_seveso_resumo" ref="J4:M7">
  <autoFilter ref="J4:M7" xr:uid="{00000000-0009-0000-0100-000012000000}"/>
  <tableColumns count="4">
    <tableColumn id="10" xr3:uid="{00000000-0010-0000-1100-00000A000000}" name="Grupo"/>
    <tableColumn id="11" xr3:uid="{00000000-0010-0000-1100-00000B000000}" name="Soma_Racio_Inferior"/>
    <tableColumn id="12" xr3:uid="{00000000-0010-0000-1100-00000C000000}" name="Soma_Racio_Superior"/>
    <tableColumn id="13" xr3:uid="{00000000-0010-0000-1100-00000D000000}" name="Conclusao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quisitos_quimicos" displayName="tbl_requisitos_quimicos" ref="A4:P50">
  <autoFilter ref="A4:P50" xr:uid="{00000000-0009-0000-0100-000013000000}"/>
  <tableColumns count="16">
    <tableColumn id="1" xr3:uid="{00000000-0010-0000-1200-000001000000}" name="ID_Req"/>
    <tableColumn id="2" xr3:uid="{00000000-0010-0000-1200-000002000000}" name="Ambito"/>
    <tableColumn id="3" xr3:uid="{00000000-0010-0000-1200-000003000000}" name="Tema"/>
    <tableColumn id="4" xr3:uid="{00000000-0010-0000-1200-000004000000}" name="Diploma"/>
    <tableColumn id="5" xr3:uid="{00000000-0010-0000-1200-000005000000}" name="Artigos"/>
    <tableColumn id="6" xr3:uid="{00000000-0010-0000-1200-000006000000}" name="Papel_Plasticom"/>
    <tableColumn id="7" xr3:uid="{00000000-0010-0000-1200-000007000000}" name="Obrigacao"/>
    <tableColumn id="8" xr3:uid="{00000000-0010-0000-1200-000008000000}" name="Aplicavel"/>
    <tableColumn id="9" xr3:uid="{00000000-0010-0000-1200-000009000000}" name="Justificacao"/>
    <tableColumn id="10" xr3:uid="{00000000-0010-0000-1200-00000A000000}" name="Evidencia"/>
    <tableColumn id="11" xr3:uid="{00000000-0010-0000-1200-00000B000000}" name="Frequencia"/>
    <tableColumn id="12" xr3:uid="{00000000-0010-0000-1200-00000C000000}" name="Estado"/>
    <tableColumn id="13" xr3:uid="{00000000-0010-0000-1200-00000D000000}" name="ID_Legal"/>
    <tableColumn id="14" xr3:uid="{00000000-0010-0000-1200-00000E000000}" name="IDs_PAM"/>
    <tableColumn id="15" xr3:uid="{00000000-0010-0000-1200-00000F000000}" name="Responsavel"/>
    <tableColumn id="16" xr3:uid="{00000000-0010-0000-1200-000010000000}" name="Fonte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analise_critica" displayName="tbl_analise_critica" ref="A4:F25">
  <autoFilter ref="A4:F25" xr:uid="{00000000-0009-0000-0100-000014000000}"/>
  <tableColumns count="6">
    <tableColumn id="1" xr3:uid="{00000000-0010-0000-1300-000001000000}" name="ID_AC"/>
    <tableColumn id="2" xr3:uid="{00000000-0010-0000-1300-000002000000}" name="Fonte"/>
    <tableColumn id="3" xr3:uid="{00000000-0010-0000-1300-000003000000}" name="Constatacao"/>
    <tableColumn id="4" xr3:uid="{00000000-0010-0000-1300-000004000000}" name="Avaliacao"/>
    <tableColumn id="5" xr3:uid="{00000000-0010-0000-1300-000005000000}" name="Melhoria_Implementada"/>
    <tableColumn id="6" xr3:uid="{00000000-0010-0000-1300-000006000000}" name="Onde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param_quimicos" displayName="tbl_param_quimicos" ref="A4:E11">
  <autoFilter ref="A4:E11" xr:uid="{00000000-0009-0000-0100-000015000000}"/>
  <tableColumns count="5">
    <tableColumn id="1" xr3:uid="{00000000-0010-0000-1400-000001000000}" name="ID_Param"/>
    <tableColumn id="2" xr3:uid="{00000000-0010-0000-1400-000002000000}" name="Parametro"/>
    <tableColumn id="3" xr3:uid="{00000000-0010-0000-1400-000003000000}" name="Valor"/>
    <tableColumn id="4" xr3:uid="{00000000-0010-0000-1400-000004000000}" name="Unidade"/>
    <tableColumn id="5" xr3:uid="{00000000-0010-0000-1400-000005000000}" name="Fonte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frases_h" displayName="tbl_frases_h" ref="A4:G96">
  <autoFilter ref="A4:G96" xr:uid="{00000000-0009-0000-0100-000016000000}"/>
  <tableColumns count="7">
    <tableColumn id="1" xr3:uid="{00000000-0010-0000-1500-000001000000}" name="Codigo"/>
    <tableColumn id="2" xr3:uid="{00000000-0010-0000-1500-000002000000}" name="Advertencia"/>
    <tableColumn id="3" xr3:uid="{00000000-0010-0000-1500-000003000000}" name="Tipo"/>
    <tableColumn id="4" xr3:uid="{00000000-0010-0000-1500-000004000000}" name="Grupo"/>
    <tableColumn id="5" xr3:uid="{00000000-0010-0000-1500-000005000000}" name="Classe_Perigo_Saude"/>
    <tableColumn id="6" xr3:uid="{00000000-0010-0000-1500-000006000000}" name="CMR_Categoria"/>
    <tableColumn id="7" xr3:uid="{00000000-0010-0000-1500-000007000000}" name="Protecao_Maternidade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svhc_vigiadas" displayName="tbl_svhc_vigiadas" ref="A4:E28">
  <autoFilter ref="A4:E28" xr:uid="{00000000-0009-0000-0100-000017000000}"/>
  <tableColumns count="5">
    <tableColumn id="1" xr3:uid="{00000000-0010-0000-1600-000001000000}" name="Substancia"/>
    <tableColumn id="2" xr3:uid="{00000000-0010-0000-1600-000002000000}" name="CAS"/>
    <tableColumn id="3" xr3:uid="{00000000-0010-0000-1600-000003000000}" name="Motivo_SVHC"/>
    <tableColumn id="4" xr3:uid="{00000000-0010-0000-1600-000004000000}" name="Uso_Tipico_Plasticos"/>
    <tableColumn id="5" xr3:uid="{00000000-0010-0000-1600-000005000000}" name="Outras_Regras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dicionario" displayName="tbl_dicionario" ref="A1:I249">
  <autoFilter ref="A1:I249" xr:uid="{00000000-0009-0000-0100-000018000000}"/>
  <tableColumns count="9">
    <tableColumn id="1" xr3:uid="{00000000-0010-0000-1700-000001000000}" name="Folha"/>
    <tableColumn id="2" xr3:uid="{00000000-0010-0000-1700-000002000000}" name="Tabela"/>
    <tableColumn id="3" xr3:uid="{00000000-0010-0000-1700-000003000000}" name="Coluna"/>
    <tableColumn id="4" xr3:uid="{00000000-0010-0000-1700-000004000000}" name="Tipo"/>
    <tableColumn id="5" xr3:uid="{00000000-0010-0000-1700-000005000000}" name="Origem"/>
    <tableColumn id="6" xr3:uid="{00000000-0010-0000-1700-000006000000}" name="Descricao"/>
    <tableColumn id="7" xr3:uid="{00000000-0010-0000-1700-000007000000}" name="Dominio_Unidade"/>
    <tableColumn id="8" xr3:uid="{00000000-0010-0000-1700-000008000000}" name="Obrigatorio"/>
    <tableColumn id="9" xr3:uid="{00000000-0010-0000-17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62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46289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x14ac:dyDescent="0.3">
      <c r="A17" s="5" t="s">
        <v>23</v>
      </c>
      <c r="B17" s="6" t="s">
        <v>24</v>
      </c>
    </row>
    <row r="18" spans="1:2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ht="26.4" x14ac:dyDescent="0.3">
      <c r="A27" s="5" t="s">
        <v>40</v>
      </c>
      <c r="B27" s="6" t="s">
        <v>41</v>
      </c>
    </row>
    <row r="28" spans="1:2" ht="26.4" x14ac:dyDescent="0.3">
      <c r="A28" s="5" t="s">
        <v>42</v>
      </c>
      <c r="B28" s="6" t="s">
        <v>43</v>
      </c>
    </row>
    <row r="29" spans="1:2" ht="26.4" x14ac:dyDescent="0.3">
      <c r="A29" s="5" t="s">
        <v>44</v>
      </c>
      <c r="B29" s="6" t="s">
        <v>45</v>
      </c>
    </row>
    <row r="30" spans="1:2" x14ac:dyDescent="0.3">
      <c r="A30" s="5" t="s">
        <v>46</v>
      </c>
      <c r="B30" s="6" t="s">
        <v>47</v>
      </c>
    </row>
    <row r="31" spans="1:2" x14ac:dyDescent="0.3">
      <c r="A31" s="5" t="s">
        <v>48</v>
      </c>
      <c r="B31" s="6" t="s">
        <v>49</v>
      </c>
    </row>
    <row r="32" spans="1:2" x14ac:dyDescent="0.3">
      <c r="A32" s="5" t="s">
        <v>50</v>
      </c>
      <c r="B32" s="6" t="s">
        <v>51</v>
      </c>
    </row>
    <row r="33" spans="1:2" x14ac:dyDescent="0.3">
      <c r="A33" s="5" t="s">
        <v>52</v>
      </c>
      <c r="B33" s="6" t="s">
        <v>53</v>
      </c>
    </row>
    <row r="34" spans="1:2" x14ac:dyDescent="0.3">
      <c r="A34" s="5" t="s">
        <v>54</v>
      </c>
      <c r="B34" s="6" t="s">
        <v>55</v>
      </c>
    </row>
    <row r="35" spans="1:2" x14ac:dyDescent="0.3">
      <c r="A35" s="5" t="s">
        <v>56</v>
      </c>
      <c r="B35" s="6" t="s">
        <v>57</v>
      </c>
    </row>
    <row r="36" spans="1:2" ht="26.4" x14ac:dyDescent="0.3">
      <c r="A36" s="5" t="s">
        <v>58</v>
      </c>
      <c r="B36" s="6" t="s">
        <v>59</v>
      </c>
    </row>
    <row r="37" spans="1:2" x14ac:dyDescent="0.3">
      <c r="A37" s="5" t="s">
        <v>60</v>
      </c>
      <c r="B37" s="6" t="s">
        <v>61</v>
      </c>
    </row>
    <row r="38" spans="1:2" ht="26.4" x14ac:dyDescent="0.3">
      <c r="A38" s="5" t="s">
        <v>62</v>
      </c>
      <c r="B38" s="6" t="s">
        <v>63</v>
      </c>
    </row>
    <row r="39" spans="1:2" ht="26.4" x14ac:dyDescent="0.3">
      <c r="A39" s="5" t="s">
        <v>64</v>
      </c>
      <c r="B39" s="6" t="s">
        <v>65</v>
      </c>
    </row>
    <row r="40" spans="1:2" x14ac:dyDescent="0.3">
      <c r="A40" s="5" t="s">
        <v>66</v>
      </c>
      <c r="B40" s="6" t="s">
        <v>67</v>
      </c>
    </row>
    <row r="41" spans="1:2" x14ac:dyDescent="0.3">
      <c r="A41" s="5" t="s">
        <v>68</v>
      </c>
      <c r="B41" s="6" t="s">
        <v>69</v>
      </c>
    </row>
    <row r="43" spans="1:2" x14ac:dyDescent="0.3">
      <c r="A43" s="3" t="s">
        <v>70</v>
      </c>
      <c r="B43" s="4"/>
    </row>
    <row r="44" spans="1:2" ht="26.4" x14ac:dyDescent="0.3">
      <c r="A44" s="5" t="s">
        <v>71</v>
      </c>
      <c r="B44" s="6" t="s">
        <v>72</v>
      </c>
    </row>
    <row r="45" spans="1:2" x14ac:dyDescent="0.3">
      <c r="A45" s="5" t="s">
        <v>73</v>
      </c>
      <c r="B45" s="6" t="s">
        <v>74</v>
      </c>
    </row>
    <row r="46" spans="1:2" x14ac:dyDescent="0.3">
      <c r="A46" s="5" t="s">
        <v>75</v>
      </c>
      <c r="B46" s="6" t="s">
        <v>76</v>
      </c>
    </row>
    <row r="47" spans="1:2" ht="26.4" x14ac:dyDescent="0.3">
      <c r="A47" s="5" t="s">
        <v>77</v>
      </c>
      <c r="B47" s="6" t="s">
        <v>78</v>
      </c>
    </row>
    <row r="48" spans="1:2" ht="26.4" x14ac:dyDescent="0.3">
      <c r="A48" s="5" t="s">
        <v>79</v>
      </c>
      <c r="B48" s="6" t="s">
        <v>80</v>
      </c>
    </row>
    <row r="49" spans="1:2" ht="26.4" x14ac:dyDescent="0.3">
      <c r="A49" s="5" t="s">
        <v>81</v>
      </c>
      <c r="B49" s="6" t="s">
        <v>82</v>
      </c>
    </row>
    <row r="51" spans="1:2" x14ac:dyDescent="0.3">
      <c r="A51" s="3" t="s">
        <v>83</v>
      </c>
      <c r="B51" s="4"/>
    </row>
    <row r="52" spans="1:2" x14ac:dyDescent="0.3">
      <c r="A52" s="5" t="s">
        <v>84</v>
      </c>
      <c r="B52" s="6" t="s">
        <v>85</v>
      </c>
    </row>
    <row r="53" spans="1:2" x14ac:dyDescent="0.3">
      <c r="A53" s="5" t="s">
        <v>86</v>
      </c>
      <c r="B53" s="6" t="s">
        <v>87</v>
      </c>
    </row>
    <row r="54" spans="1:2" x14ac:dyDescent="0.3">
      <c r="A54" s="5" t="s">
        <v>88</v>
      </c>
      <c r="B54" s="6" t="s">
        <v>89</v>
      </c>
    </row>
    <row r="55" spans="1:2" x14ac:dyDescent="0.3">
      <c r="A55" s="5" t="s">
        <v>90</v>
      </c>
      <c r="B55" s="6" t="s">
        <v>91</v>
      </c>
    </row>
    <row r="56" spans="1:2" x14ac:dyDescent="0.3">
      <c r="A56" s="5" t="s">
        <v>86</v>
      </c>
      <c r="B56" s="6" t="s">
        <v>92</v>
      </c>
    </row>
    <row r="57" spans="1:2" x14ac:dyDescent="0.3">
      <c r="A57" s="5" t="s">
        <v>93</v>
      </c>
      <c r="B57" s="6" t="s">
        <v>94</v>
      </c>
    </row>
    <row r="58" spans="1:2" x14ac:dyDescent="0.3">
      <c r="A58" s="5" t="s">
        <v>95</v>
      </c>
      <c r="B58" s="6" t="s">
        <v>96</v>
      </c>
    </row>
    <row r="59" spans="1:2" x14ac:dyDescent="0.3">
      <c r="A59" s="5" t="s">
        <v>97</v>
      </c>
      <c r="B59" s="6" t="s">
        <v>98</v>
      </c>
    </row>
    <row r="60" spans="1:2" x14ac:dyDescent="0.3">
      <c r="A60" s="5" t="s">
        <v>99</v>
      </c>
      <c r="B60" s="6" t="s">
        <v>100</v>
      </c>
    </row>
    <row r="61" spans="1:2" x14ac:dyDescent="0.3">
      <c r="A61" s="5" t="s">
        <v>101</v>
      </c>
      <c r="B61" s="6" t="s">
        <v>102</v>
      </c>
    </row>
    <row r="62" spans="1:2" x14ac:dyDescent="0.3">
      <c r="A62" s="5" t="s">
        <v>103</v>
      </c>
      <c r="B62" s="6" t="s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5F"/>
  </sheetPr>
  <dimension ref="A1:F3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62" customWidth="1"/>
    <col min="2" max="2" width="14" customWidth="1"/>
    <col min="3" max="3" width="10" customWidth="1"/>
    <col min="4" max="4" width="9" customWidth="1"/>
    <col min="5" max="5" width="14" customWidth="1"/>
    <col min="6" max="6" width="22" customWidth="1"/>
  </cols>
  <sheetData>
    <row r="1" spans="1:6" ht="17.399999999999999" x14ac:dyDescent="0.3">
      <c r="A1" s="1" t="s">
        <v>105</v>
      </c>
    </row>
    <row r="2" spans="1:6" x14ac:dyDescent="0.3">
      <c r="A2" s="2" t="s">
        <v>106</v>
      </c>
    </row>
    <row r="4" spans="1:6" x14ac:dyDescent="0.3">
      <c r="A4" s="8" t="s">
        <v>107</v>
      </c>
      <c r="B4" s="8" t="s">
        <v>108</v>
      </c>
      <c r="C4" s="8" t="s">
        <v>109</v>
      </c>
      <c r="D4" s="8" t="s">
        <v>110</v>
      </c>
      <c r="E4" s="8" t="s">
        <v>14</v>
      </c>
      <c r="F4" s="8" t="s">
        <v>111</v>
      </c>
    </row>
    <row r="5" spans="1:6" x14ac:dyDescent="0.3">
      <c r="A5" s="9" t="s">
        <v>112</v>
      </c>
      <c r="B5" s="10">
        <f>COUNTIFS(tbl_quimicos[ID_Quimico],"QUI-*",tbl_quimicos[Estado_Aprovacao],"&lt;&gt;Descontinuado")</f>
        <v>42</v>
      </c>
      <c r="C5" s="9"/>
      <c r="D5" s="9" t="s">
        <v>113</v>
      </c>
      <c r="E5" s="11" t="str">
        <f t="shared" ref="E5:E22" si="0">IF(D5="≤",IF(B5&lt;=C5,"OK","Atenção"),IF(D5="≥",IF(B5&gt;=C5,"OK","Atenção"),IF(D5="texto",IF(ISNUMBER(SEARCH("Não abrangido",B5)),"OK","Atenção"),"—")))</f>
        <v>—</v>
      </c>
      <c r="F5" s="9" t="s">
        <v>32</v>
      </c>
    </row>
    <row r="6" spans="1:6" x14ac:dyDescent="0.3">
      <c r="A6" s="9" t="s">
        <v>114</v>
      </c>
      <c r="B6" s="10">
        <f>COUNTIF(tbl_quimicos[Perigoso],"Sim")</f>
        <v>27</v>
      </c>
      <c r="C6" s="9"/>
      <c r="D6" s="9" t="s">
        <v>113</v>
      </c>
      <c r="E6" s="11" t="str">
        <f t="shared" si="0"/>
        <v>—</v>
      </c>
      <c r="F6" s="9" t="s">
        <v>32</v>
      </c>
    </row>
    <row r="7" spans="1:6" x14ac:dyDescent="0.3">
      <c r="A7" s="9" t="s">
        <v>115</v>
      </c>
      <c r="B7" s="10">
        <f>COUNTIF(tbl_quimicos[CMR],"Cat. 1A/1B")</f>
        <v>1</v>
      </c>
      <c r="C7" s="9">
        <v>0</v>
      </c>
      <c r="D7" s="9" t="s">
        <v>116</v>
      </c>
      <c r="E7" s="11" t="str">
        <f t="shared" si="0"/>
        <v>Atenção</v>
      </c>
      <c r="F7" s="9" t="s">
        <v>32</v>
      </c>
    </row>
    <row r="8" spans="1:6" x14ac:dyDescent="0.3">
      <c r="A8" s="9" t="s">
        <v>117</v>
      </c>
      <c r="B8" s="10">
        <f>SUMPRODUCT((tbl_quimicos[ID_Quimico]&lt;&gt;"")*((tbl_quimicos[SVHC_Declarado]="Sim")+(tbl_quimicos[SVHC_Componentes]="Sim")&gt;0))</f>
        <v>2</v>
      </c>
      <c r="C8" s="9">
        <v>0</v>
      </c>
      <c r="D8" s="9" t="s">
        <v>116</v>
      </c>
      <c r="E8" s="11" t="str">
        <f t="shared" si="0"/>
        <v>Atenção</v>
      </c>
      <c r="F8" s="9" t="s">
        <v>32</v>
      </c>
    </row>
    <row r="9" spans="1:6" x14ac:dyDescent="0.3">
      <c r="A9" s="9" t="s">
        <v>118</v>
      </c>
      <c r="B9" s="10">
        <f>SUMPRODUCT((tbl_quimicos[ID_Quimico]&lt;&gt;"")*((tbl_quimicos[SVHC_Declarado]="Por confirmar")+(tbl_quimicos[PFAS]="Por confirmar")&gt;0))</f>
        <v>4</v>
      </c>
      <c r="C9" s="9">
        <v>0</v>
      </c>
      <c r="D9" s="9" t="s">
        <v>116</v>
      </c>
      <c r="E9" s="11" t="str">
        <f t="shared" si="0"/>
        <v>Atenção</v>
      </c>
      <c r="F9" s="9" t="s">
        <v>32</v>
      </c>
    </row>
    <row r="10" spans="1:6" x14ac:dyDescent="0.3">
      <c r="A10" s="9" t="s">
        <v>119</v>
      </c>
      <c r="B10" s="10">
        <f>COUNTIF(tbl_quimicos[Sensibilizante],"Sim")</f>
        <v>5</v>
      </c>
      <c r="C10" s="9"/>
      <c r="D10" s="9" t="s">
        <v>113</v>
      </c>
      <c r="E10" s="11" t="str">
        <f t="shared" si="0"/>
        <v>—</v>
      </c>
      <c r="F10" s="9" t="s">
        <v>32</v>
      </c>
    </row>
    <row r="11" spans="1:6" x14ac:dyDescent="0.3">
      <c r="A11" s="9" t="s">
        <v>120</v>
      </c>
      <c r="B11" s="12">
        <f>IFERROR(COUNTIF(tbl_fds[Estado_FDS],"OK")/COUNTIF(tbl_fds[Em_Vigor],"Sim"),0)</f>
        <v>0.82499999999999996</v>
      </c>
      <c r="C11" s="13">
        <v>0.95</v>
      </c>
      <c r="D11" s="9" t="s">
        <v>121</v>
      </c>
      <c r="E11" s="11" t="str">
        <f t="shared" si="0"/>
        <v>Atenção</v>
      </c>
      <c r="F11" s="9" t="s">
        <v>36</v>
      </c>
    </row>
    <row r="12" spans="1:6" x14ac:dyDescent="0.3">
      <c r="A12" s="9" t="s">
        <v>122</v>
      </c>
      <c r="B12" s="10">
        <f>COUNTIF(tbl_fds[Estado_FDS],"Pedir*")</f>
        <v>7</v>
      </c>
      <c r="C12" s="9">
        <v>0</v>
      </c>
      <c r="D12" s="9" t="s">
        <v>116</v>
      </c>
      <c r="E12" s="11" t="str">
        <f t="shared" si="0"/>
        <v>Atenção</v>
      </c>
      <c r="F12" s="9" t="s">
        <v>36</v>
      </c>
    </row>
    <row r="13" spans="1:6" ht="26.4" x14ac:dyDescent="0.3">
      <c r="A13" s="9" t="s">
        <v>123</v>
      </c>
      <c r="B13" s="10">
        <f>COUNTIFS(tbl_ce_reach[Estado],"&lt;&gt;Conforme",tbl_ce_reach[Estado],"&lt;&gt;Implementado",tbl_ce_reach[ID_CE],"CE-*")</f>
        <v>4</v>
      </c>
      <c r="C13" s="9">
        <v>0</v>
      </c>
      <c r="D13" s="9" t="s">
        <v>116</v>
      </c>
      <c r="E13" s="11" t="str">
        <f t="shared" si="0"/>
        <v>Atenção</v>
      </c>
      <c r="F13" s="9" t="s">
        <v>38</v>
      </c>
    </row>
    <row r="14" spans="1:6" x14ac:dyDescent="0.3">
      <c r="A14" s="9" t="s">
        <v>124</v>
      </c>
      <c r="B14" s="10">
        <f>COUNTIF(tbl_registo_reach[Conclusao],"LACUNA*")</f>
        <v>2</v>
      </c>
      <c r="C14" s="9">
        <v>0</v>
      </c>
      <c r="D14" s="9" t="s">
        <v>116</v>
      </c>
      <c r="E14" s="11" t="str">
        <f t="shared" si="0"/>
        <v>Atenção</v>
      </c>
      <c r="F14" s="9" t="s">
        <v>40</v>
      </c>
    </row>
    <row r="15" spans="1:6" x14ac:dyDescent="0.3">
      <c r="A15" s="9" t="s">
        <v>125</v>
      </c>
      <c r="B15" s="10">
        <f>COUNTIFS(tbl_declaracoes[Estado],"&lt;&gt;Atualizada",tbl_declaracoes[ID_Decl],"DEC-*")</f>
        <v>7</v>
      </c>
      <c r="C15" s="9">
        <v>0</v>
      </c>
      <c r="D15" s="9" t="s">
        <v>116</v>
      </c>
      <c r="E15" s="11" t="str">
        <f t="shared" si="0"/>
        <v>Atenção</v>
      </c>
      <c r="F15" s="9" t="s">
        <v>42</v>
      </c>
    </row>
    <row r="16" spans="1:6" x14ac:dyDescent="0.3">
      <c r="A16" s="9" t="s">
        <v>126</v>
      </c>
      <c r="B16" s="10">
        <f>COUNTIF(tbl_risco_quimico[Prioridade],"P1*")</f>
        <v>5</v>
      </c>
      <c r="C16" s="9">
        <v>0</v>
      </c>
      <c r="D16" s="9" t="s">
        <v>116</v>
      </c>
      <c r="E16" s="11" t="str">
        <f t="shared" si="0"/>
        <v>Atenção</v>
      </c>
      <c r="F16" s="9" t="s">
        <v>44</v>
      </c>
    </row>
    <row r="17" spans="1:6" x14ac:dyDescent="0.3">
      <c r="A17" s="9" t="s">
        <v>127</v>
      </c>
      <c r="B17" s="10">
        <f>COUNTIF(tbl_quimicos[Avaliacao_Risco],"Em falta")</f>
        <v>5</v>
      </c>
      <c r="C17" s="9">
        <v>0</v>
      </c>
      <c r="D17" s="9" t="s">
        <v>116</v>
      </c>
      <c r="E17" s="11" t="str">
        <f t="shared" si="0"/>
        <v>Atenção</v>
      </c>
      <c r="F17" s="9" t="s">
        <v>32</v>
      </c>
    </row>
    <row r="18" spans="1:6" x14ac:dyDescent="0.3">
      <c r="A18" s="9" t="s">
        <v>128</v>
      </c>
      <c r="B18" s="10">
        <f>COUNTIF(tbl_medicoes_vle[Conclusao],"Não conforme*")+COUNTIF(tbl_medicoes_vle[Conclusao],"Inconclusivo*")</f>
        <v>2</v>
      </c>
      <c r="C18" s="9">
        <v>0</v>
      </c>
      <c r="D18" s="9" t="s">
        <v>116</v>
      </c>
      <c r="E18" s="11" t="str">
        <f t="shared" si="0"/>
        <v>Atenção</v>
      </c>
      <c r="F18" s="9" t="s">
        <v>46</v>
      </c>
    </row>
    <row r="19" spans="1:6" x14ac:dyDescent="0.3">
      <c r="A19" s="9" t="s">
        <v>129</v>
      </c>
      <c r="B19" s="10">
        <f>COUNTIF(tbl_armazenagem[Estado],"Incompat*")+COUNTIF(tbl_armazenagem[Estado],"Retenção*")+COUNTIF(tbl_armazenagem[Estado],"Sem ponto*")</f>
        <v>2</v>
      </c>
      <c r="C19" s="9">
        <v>0</v>
      </c>
      <c r="D19" s="9" t="s">
        <v>116</v>
      </c>
      <c r="E19" s="11" t="str">
        <f t="shared" si="0"/>
        <v>Atenção</v>
      </c>
      <c r="F19" s="9" t="s">
        <v>50</v>
      </c>
    </row>
    <row r="20" spans="1:6" x14ac:dyDescent="0.3">
      <c r="A20" s="9" t="s">
        <v>130</v>
      </c>
      <c r="B20" s="10" t="str">
        <f>INDEX(tbl_seveso_resumo[Conclusao],2)</f>
        <v>Não abrangido (Σ &lt; 1)</v>
      </c>
      <c r="C20" s="9"/>
      <c r="D20" s="9" t="s">
        <v>131</v>
      </c>
      <c r="E20" s="11" t="str">
        <f t="shared" si="0"/>
        <v>OK</v>
      </c>
      <c r="F20" s="9" t="s">
        <v>54</v>
      </c>
    </row>
    <row r="21" spans="1:6" x14ac:dyDescent="0.3">
      <c r="A21" s="9" t="s">
        <v>132</v>
      </c>
      <c r="B21" s="10">
        <f>COUNTIF(tbl_requisitos_quimicos[Estado],"Não conforme")+COUNTIF(tbl_requisitos_quimicos[Estado],"Parcial")</f>
        <v>10</v>
      </c>
      <c r="C21" s="9">
        <v>0</v>
      </c>
      <c r="D21" s="9" t="s">
        <v>116</v>
      </c>
      <c r="E21" s="11" t="str">
        <f t="shared" si="0"/>
        <v>Atenção</v>
      </c>
      <c r="F21" s="9" t="s">
        <v>56</v>
      </c>
    </row>
    <row r="22" spans="1:6" x14ac:dyDescent="0.3">
      <c r="A22" s="9" t="s">
        <v>133</v>
      </c>
      <c r="B22" s="14">
        <f>SUM(tbl_quimicos[COV_kg_ano])/1000</f>
        <v>1.9504000000000001</v>
      </c>
      <c r="C22" s="9">
        <v>5</v>
      </c>
      <c r="D22" s="9" t="s">
        <v>116</v>
      </c>
      <c r="E22" s="11" t="str">
        <f t="shared" si="0"/>
        <v>OK</v>
      </c>
      <c r="F22" s="9" t="s">
        <v>32</v>
      </c>
    </row>
    <row r="25" spans="1:6" x14ac:dyDescent="0.3">
      <c r="A25" s="15" t="s">
        <v>134</v>
      </c>
    </row>
    <row r="26" spans="1:6" x14ac:dyDescent="0.3">
      <c r="A26" s="16" t="s">
        <v>135</v>
      </c>
      <c r="B26" s="16" t="s">
        <v>136</v>
      </c>
    </row>
    <row r="27" spans="1:6" x14ac:dyDescent="0.3">
      <c r="A27" s="16" t="s">
        <v>137</v>
      </c>
      <c r="B27" s="16" t="s">
        <v>32</v>
      </c>
    </row>
    <row r="28" spans="1:6" x14ac:dyDescent="0.3">
      <c r="A28" s="16" t="s">
        <v>138</v>
      </c>
      <c r="B28" s="16" t="s">
        <v>36</v>
      </c>
    </row>
    <row r="29" spans="1:6" x14ac:dyDescent="0.3">
      <c r="A29" s="16" t="s">
        <v>139</v>
      </c>
      <c r="B29" s="16" t="s">
        <v>38</v>
      </c>
    </row>
    <row r="30" spans="1:6" x14ac:dyDescent="0.3">
      <c r="A30" s="16" t="s">
        <v>140</v>
      </c>
      <c r="B30" s="16" t="s">
        <v>141</v>
      </c>
    </row>
    <row r="31" spans="1:6" x14ac:dyDescent="0.3">
      <c r="A31" s="16" t="s">
        <v>142</v>
      </c>
      <c r="B31" s="16" t="s">
        <v>143</v>
      </c>
    </row>
    <row r="32" spans="1:6" x14ac:dyDescent="0.3">
      <c r="A32" s="16" t="s">
        <v>144</v>
      </c>
      <c r="B32" s="16" t="s">
        <v>145</v>
      </c>
    </row>
    <row r="33" spans="1:2" x14ac:dyDescent="0.3">
      <c r="A33" s="16" t="s">
        <v>146</v>
      </c>
      <c r="B33" s="16" t="s">
        <v>147</v>
      </c>
    </row>
    <row r="34" spans="1:2" x14ac:dyDescent="0.3">
      <c r="A34" s="16" t="s">
        <v>148</v>
      </c>
      <c r="B34" s="16" t="s">
        <v>149</v>
      </c>
    </row>
    <row r="35" spans="1:2" x14ac:dyDescent="0.3">
      <c r="A35" s="16" t="s">
        <v>150</v>
      </c>
      <c r="B35" s="16" t="s">
        <v>151</v>
      </c>
    </row>
    <row r="36" spans="1:2" x14ac:dyDescent="0.3">
      <c r="A36" s="16" t="s">
        <v>152</v>
      </c>
      <c r="B36" s="16" t="s">
        <v>153</v>
      </c>
    </row>
  </sheetData>
  <conditionalFormatting sqref="E5:E22">
    <cfRule type="expression" dxfId="76" priority="1">
      <formula>ISNUMBER(SEARCH("Atenção",E5))</formula>
    </cfRule>
    <cfRule type="expression" dxfId="75" priority="2">
      <formula>ISNUMBER(SEARCH("OK",E5))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0" customWidth="1"/>
    <col min="3" max="3" width="32" customWidth="1"/>
    <col min="4" max="4" width="48" customWidth="1"/>
    <col min="5" max="5" width="70" customWidth="1"/>
    <col min="6" max="6" width="30" customWidth="1"/>
  </cols>
  <sheetData>
    <row r="1" spans="1:6" ht="17.399999999999999" x14ac:dyDescent="0.3">
      <c r="A1" s="1" t="s">
        <v>154</v>
      </c>
    </row>
    <row r="2" spans="1:6" x14ac:dyDescent="0.3">
      <c r="A2" s="2" t="s">
        <v>155</v>
      </c>
    </row>
    <row r="4" spans="1:6" ht="26.4" x14ac:dyDescent="0.3">
      <c r="A4" s="8" t="s">
        <v>156</v>
      </c>
      <c r="B4" s="8" t="s">
        <v>157</v>
      </c>
      <c r="C4" s="8" t="s">
        <v>158</v>
      </c>
      <c r="D4" s="8" t="s">
        <v>159</v>
      </c>
      <c r="E4" s="8" t="s">
        <v>160</v>
      </c>
      <c r="F4" s="8" t="s">
        <v>161</v>
      </c>
    </row>
    <row r="5" spans="1:6" ht="60" customHeight="1" x14ac:dyDescent="0.3">
      <c r="A5" s="17" t="s">
        <v>162</v>
      </c>
      <c r="B5" s="17" t="s">
        <v>163</v>
      </c>
      <c r="C5" s="17" t="s">
        <v>164</v>
      </c>
      <c r="D5" s="17" t="s">
        <v>165</v>
      </c>
      <c r="E5" s="17" t="s">
        <v>166</v>
      </c>
      <c r="F5" s="17" t="s">
        <v>167</v>
      </c>
    </row>
    <row r="6" spans="1:6" ht="60" customHeight="1" x14ac:dyDescent="0.3">
      <c r="A6" s="17" t="s">
        <v>168</v>
      </c>
      <c r="B6" s="17" t="s">
        <v>169</v>
      </c>
      <c r="C6" s="17" t="s">
        <v>170</v>
      </c>
      <c r="D6" s="17" t="s">
        <v>171</v>
      </c>
      <c r="E6" s="17" t="s">
        <v>172</v>
      </c>
      <c r="F6" s="17" t="s">
        <v>173</v>
      </c>
    </row>
    <row r="7" spans="1:6" ht="60" customHeight="1" x14ac:dyDescent="0.3">
      <c r="A7" s="17" t="s">
        <v>174</v>
      </c>
      <c r="B7" s="17" t="s">
        <v>175</v>
      </c>
      <c r="C7" s="17" t="s">
        <v>176</v>
      </c>
      <c r="D7" s="17" t="s">
        <v>177</v>
      </c>
      <c r="E7" s="17" t="s">
        <v>178</v>
      </c>
      <c r="F7" s="17" t="s">
        <v>179</v>
      </c>
    </row>
    <row r="8" spans="1:6" ht="60" customHeight="1" x14ac:dyDescent="0.3">
      <c r="A8" s="17" t="s">
        <v>180</v>
      </c>
      <c r="B8" s="17" t="s">
        <v>181</v>
      </c>
      <c r="C8" s="17" t="s">
        <v>182</v>
      </c>
      <c r="D8" s="17" t="s">
        <v>183</v>
      </c>
      <c r="E8" s="17" t="s">
        <v>184</v>
      </c>
      <c r="F8" s="17" t="s">
        <v>185</v>
      </c>
    </row>
    <row r="9" spans="1:6" ht="60" customHeight="1" x14ac:dyDescent="0.3">
      <c r="A9" s="17" t="s">
        <v>186</v>
      </c>
      <c r="B9" s="17" t="s">
        <v>187</v>
      </c>
      <c r="C9" s="17" t="s">
        <v>188</v>
      </c>
      <c r="D9" s="17" t="s">
        <v>189</v>
      </c>
      <c r="E9" s="17" t="s">
        <v>190</v>
      </c>
      <c r="F9" s="17" t="s">
        <v>191</v>
      </c>
    </row>
    <row r="10" spans="1:6" ht="60" customHeight="1" x14ac:dyDescent="0.3">
      <c r="A10" s="17" t="s">
        <v>192</v>
      </c>
      <c r="B10" s="17" t="s">
        <v>193</v>
      </c>
      <c r="C10" s="17" t="s">
        <v>194</v>
      </c>
      <c r="D10" s="17" t="s">
        <v>195</v>
      </c>
      <c r="E10" s="17" t="s">
        <v>113</v>
      </c>
      <c r="F10" s="17" t="s">
        <v>113</v>
      </c>
    </row>
    <row r="11" spans="1:6" ht="60" customHeight="1" x14ac:dyDescent="0.3">
      <c r="A11" s="17" t="s">
        <v>196</v>
      </c>
      <c r="B11" s="17" t="s">
        <v>197</v>
      </c>
      <c r="C11" s="17" t="s">
        <v>194</v>
      </c>
      <c r="D11" s="17" t="s">
        <v>198</v>
      </c>
      <c r="E11" s="17" t="s">
        <v>113</v>
      </c>
      <c r="F11" s="17" t="s">
        <v>113</v>
      </c>
    </row>
    <row r="12" spans="1:6" ht="60" customHeight="1" x14ac:dyDescent="0.3">
      <c r="A12" s="17" t="s">
        <v>199</v>
      </c>
      <c r="B12" s="17" t="s">
        <v>200</v>
      </c>
      <c r="C12" s="17" t="s">
        <v>201</v>
      </c>
      <c r="D12" s="17" t="s">
        <v>202</v>
      </c>
      <c r="E12" s="17" t="s">
        <v>203</v>
      </c>
      <c r="F12" s="17" t="s">
        <v>204</v>
      </c>
    </row>
    <row r="13" spans="1:6" ht="60" customHeight="1" x14ac:dyDescent="0.3">
      <c r="A13" s="17" t="s">
        <v>205</v>
      </c>
      <c r="B13" s="17" t="s">
        <v>206</v>
      </c>
      <c r="C13" s="17" t="s">
        <v>207</v>
      </c>
      <c r="D13" s="17" t="s">
        <v>208</v>
      </c>
      <c r="E13" s="17" t="s">
        <v>209</v>
      </c>
      <c r="F13" s="17" t="s">
        <v>210</v>
      </c>
    </row>
  </sheetData>
  <conditionalFormatting sqref="C5:C213">
    <cfRule type="expression" dxfId="74" priority="1">
      <formula>ISNUMBER(SEARCH("Importador",C5))</formula>
    </cfRule>
    <cfRule type="expression" dxfId="73" priority="2">
      <formula>ISNUMBER(SEARCH("Não aplicável",C5))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  <pageSetUpPr fitToPage="1"/>
  </sheetPr>
  <dimension ref="A1:AR76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6" customWidth="1"/>
    <col min="3" max="3" width="12" customWidth="1"/>
    <col min="4" max="4" width="30" customWidth="1"/>
    <col min="5" max="5" width="8" customWidth="1"/>
    <col min="6" max="6" width="24" customWidth="1"/>
    <col min="7" max="7" width="9" customWidth="1"/>
    <col min="8" max="8" width="11" customWidth="1"/>
    <col min="9" max="9" width="7" customWidth="1"/>
    <col min="10" max="10" width="22" customWidth="1"/>
    <col min="11" max="12" width="10" customWidth="1"/>
    <col min="13" max="14" width="9" customWidth="1"/>
    <col min="15" max="15" width="30" customWidth="1"/>
    <col min="16" max="16" width="18" customWidth="1"/>
    <col min="17" max="17" width="9" customWidth="1"/>
    <col min="18" max="18" width="14" customWidth="1"/>
    <col min="19" max="20" width="10" customWidth="1"/>
    <col min="21" max="21" width="22" customWidth="1"/>
    <col min="22" max="22" width="9" customWidth="1"/>
    <col min="23" max="23" width="12" customWidth="1"/>
    <col min="24" max="24" width="9" customWidth="1"/>
    <col min="25" max="25" width="16" customWidth="1"/>
    <col min="26" max="26" width="14" customWidth="1"/>
    <col min="27" max="27" width="11" customWidth="1"/>
    <col min="28" max="28" width="8" customWidth="1"/>
    <col min="29" max="29" width="9" customWidth="1"/>
    <col min="30" max="30" width="12" customWidth="1"/>
    <col min="31" max="32" width="8" customWidth="1"/>
    <col min="33" max="33" width="11" customWidth="1"/>
    <col min="34" max="34" width="9" customWidth="1"/>
    <col min="35" max="36" width="8" customWidth="1"/>
    <col min="37" max="37" width="9" customWidth="1"/>
    <col min="38" max="38" width="8" customWidth="1"/>
    <col min="39" max="39" width="10" customWidth="1"/>
    <col min="40" max="40" width="9" customWidth="1"/>
    <col min="41" max="41" width="11" customWidth="1"/>
    <col min="42" max="42" width="20" customWidth="1"/>
    <col min="43" max="43" width="10" customWidth="1"/>
    <col min="44" max="44" width="30" customWidth="1"/>
  </cols>
  <sheetData>
    <row r="1" spans="1:44" ht="17.399999999999999" x14ac:dyDescent="0.3">
      <c r="A1" s="1" t="s">
        <v>211</v>
      </c>
    </row>
    <row r="2" spans="1:44" x14ac:dyDescent="0.3">
      <c r="A2" s="2" t="s">
        <v>212</v>
      </c>
    </row>
    <row r="4" spans="1:44" ht="39.6" x14ac:dyDescent="0.3">
      <c r="A4" s="8" t="s">
        <v>213</v>
      </c>
      <c r="B4" s="8" t="s">
        <v>214</v>
      </c>
      <c r="C4" s="8" t="s">
        <v>215</v>
      </c>
      <c r="D4" s="8" t="s">
        <v>216</v>
      </c>
      <c r="E4" s="8" t="s">
        <v>217</v>
      </c>
      <c r="F4" s="8" t="s">
        <v>218</v>
      </c>
      <c r="G4" s="8" t="s">
        <v>219</v>
      </c>
      <c r="H4" s="8" t="s">
        <v>220</v>
      </c>
      <c r="I4" s="8" t="s">
        <v>221</v>
      </c>
      <c r="J4" s="8" t="s">
        <v>30</v>
      </c>
      <c r="K4" s="8" t="s">
        <v>222</v>
      </c>
      <c r="L4" s="8" t="s">
        <v>223</v>
      </c>
      <c r="M4" s="8" t="s">
        <v>224</v>
      </c>
      <c r="N4" s="8" t="s">
        <v>225</v>
      </c>
      <c r="O4" s="8" t="s">
        <v>226</v>
      </c>
      <c r="P4" s="8" t="s">
        <v>227</v>
      </c>
      <c r="Q4" s="8" t="s">
        <v>228</v>
      </c>
      <c r="R4" s="8" t="s">
        <v>229</v>
      </c>
      <c r="S4" s="8" t="s">
        <v>230</v>
      </c>
      <c r="T4" s="8" t="s">
        <v>231</v>
      </c>
      <c r="U4" s="8" t="s">
        <v>232</v>
      </c>
      <c r="V4" s="8" t="s">
        <v>233</v>
      </c>
      <c r="W4" s="8" t="s">
        <v>234</v>
      </c>
      <c r="X4" s="8" t="s">
        <v>235</v>
      </c>
      <c r="Y4" s="8" t="s">
        <v>236</v>
      </c>
      <c r="Z4" s="8" t="s">
        <v>237</v>
      </c>
      <c r="AA4" s="8" t="s">
        <v>238</v>
      </c>
      <c r="AB4" s="8" t="s">
        <v>239</v>
      </c>
      <c r="AC4" s="18" t="s">
        <v>240</v>
      </c>
      <c r="AD4" s="18" t="s">
        <v>241</v>
      </c>
      <c r="AE4" s="18" t="s">
        <v>242</v>
      </c>
      <c r="AF4" s="18" t="s">
        <v>243</v>
      </c>
      <c r="AG4" s="18" t="s">
        <v>244</v>
      </c>
      <c r="AH4" s="18" t="s">
        <v>245</v>
      </c>
      <c r="AI4" s="18" t="s">
        <v>246</v>
      </c>
      <c r="AJ4" s="18" t="s">
        <v>247</v>
      </c>
      <c r="AK4" s="18" t="s">
        <v>248</v>
      </c>
      <c r="AL4" s="18" t="s">
        <v>249</v>
      </c>
      <c r="AM4" s="18" t="s">
        <v>250</v>
      </c>
      <c r="AN4" s="18" t="s">
        <v>251</v>
      </c>
      <c r="AO4" s="18" t="s">
        <v>252</v>
      </c>
      <c r="AP4" s="18" t="s">
        <v>253</v>
      </c>
      <c r="AQ4" s="18" t="s">
        <v>44</v>
      </c>
      <c r="AR4" s="18" t="s">
        <v>254</v>
      </c>
    </row>
    <row r="5" spans="1:44" ht="36" customHeight="1" x14ac:dyDescent="0.3">
      <c r="A5" s="17" t="s">
        <v>255</v>
      </c>
      <c r="B5" s="17" t="s">
        <v>256</v>
      </c>
      <c r="C5" s="17" t="s">
        <v>257</v>
      </c>
      <c r="D5" s="17" t="s">
        <v>258</v>
      </c>
      <c r="E5" s="17" t="s">
        <v>259</v>
      </c>
      <c r="F5" s="17" t="s">
        <v>260</v>
      </c>
      <c r="G5" s="17" t="s">
        <v>261</v>
      </c>
      <c r="H5" s="17" t="s">
        <v>262</v>
      </c>
      <c r="I5" s="17" t="s">
        <v>263</v>
      </c>
      <c r="J5" s="17" t="s">
        <v>264</v>
      </c>
      <c r="K5" s="19">
        <v>791</v>
      </c>
      <c r="L5" s="19">
        <v>120</v>
      </c>
      <c r="M5" s="20">
        <v>5</v>
      </c>
      <c r="N5" s="17" t="s">
        <v>265</v>
      </c>
      <c r="O5" s="17" t="s">
        <v>266</v>
      </c>
      <c r="P5" s="17" t="s">
        <v>267</v>
      </c>
      <c r="Q5" s="17" t="s">
        <v>268</v>
      </c>
      <c r="R5" s="17" t="s">
        <v>269</v>
      </c>
      <c r="S5" s="17" t="s">
        <v>270</v>
      </c>
      <c r="T5" s="17" t="s">
        <v>271</v>
      </c>
      <c r="U5" s="17" t="s">
        <v>113</v>
      </c>
      <c r="V5" s="17" t="s">
        <v>271</v>
      </c>
      <c r="W5" s="17" t="s">
        <v>271</v>
      </c>
      <c r="X5" s="17" t="s">
        <v>271</v>
      </c>
      <c r="Y5" s="17" t="s">
        <v>272</v>
      </c>
      <c r="Z5" s="17" t="s">
        <v>273</v>
      </c>
      <c r="AA5" s="21">
        <v>43565</v>
      </c>
      <c r="AB5" s="13">
        <v>0.4</v>
      </c>
      <c r="AC5" s="22">
        <f t="shared" ref="AC5:AC36" si="0">IF(A5="","",N(K5)*N(AB5))</f>
        <v>316.40000000000003</v>
      </c>
      <c r="AD5" s="23" t="str">
        <f t="shared" ref="AD5:AD36" si="1">IF(A5="","",";"&amp;SUBSTITUTE(SUBSTITUTE(O5," ",""),",",";")&amp;";")</f>
        <v>;H226;H332;H315;H318;H411;</v>
      </c>
      <c r="AE5" s="23" t="str">
        <f>IF(A5="","",IF(SUMPRODUCT(--ISNUMBER(SEARCH(";"&amp;tbl_frases_h[Codigo]&amp;";",AD5)))&gt;0,"Sim","Não"))</f>
        <v>Sim</v>
      </c>
      <c r="AF5" s="10">
        <f>IF(A5="","",MAX(1,IFERROR(_xlfn.AGGREGATE(14,6,tbl_frases_h[Classe_Perigo_Saude]/ISNUMBER(SEARCH(";"&amp;tbl_frases_h[Codigo]&amp;";",AD5)),1),1)))</f>
        <v>3</v>
      </c>
      <c r="AG5" s="23" t="str">
        <f>IF(A5="","",IF(SUMPRODUCT(ISNUMBER(SEARCH(";"&amp;tbl_frases_h[Codigo]&amp;";",AD5))*(tbl_frases_h[CMR_Categoria]="1"))&gt;0,"Cat. 1A/1B",IF(SUMPRODUCT(ISNUMBER(SEARCH(";"&amp;tbl_frases_h[Codigo]&amp;";",AD5))*(tbl_frases_h[CMR_Categoria]="2"))&gt;0,"Cat. 2","Não")))</f>
        <v>Não</v>
      </c>
      <c r="AH5" s="23" t="str">
        <f>IF(A5="","",IF(SUMPRODUCT(ISNUMBER(SEARCH(";"&amp;tbl_frases_h[Codigo]&amp;";",AD5))*(tbl_frases_h[Grupo]="Sensibilizante"))&gt;0,"Sim","Não"))</f>
        <v>Não</v>
      </c>
      <c r="AI5" s="23" t="str">
        <f>IF(A5="","",IF(SUMPRODUCT(ISNUMBER(SEARCH(";"&amp;tbl_frases_h[Codigo]&amp;";",AD5))*(tbl_frases_h[Grupo]="Toxicidade aguda (cat. 1-3)"))&gt;0,"Sim","Não"))</f>
        <v>Não</v>
      </c>
      <c r="AJ5" s="23" t="str">
        <f>IF(A5="","",IF(SUMPRODUCT(ISNUMBER(SEARCH(";"&amp;tbl_frases_h[Codigo]&amp;";",AD5))*ISNUMBER(SEARCH("STOT",tbl_frases_h[Grupo])))&gt;0,"Sim","Não"))</f>
        <v>Não</v>
      </c>
      <c r="AK5" s="23" t="str">
        <f>IF(A5="","",IF(SUMPRODUCT(ISNUMBER(SEARCH(";"&amp;tbl_frases_h[Codigo]&amp;";",AD5))*(tbl_frases_h[Tipo]="Ambiente"))&gt;0,"Sim","Não"))</f>
        <v>Sim</v>
      </c>
      <c r="AL5" s="23" t="str">
        <f>IF(A5="","",IF(SUMPRODUCT(ISNUMBER(SEARCH(";"&amp;tbl_frases_h[Codigo]&amp;";",AD5))*(tbl_frases_h[Grupo]="Inflamável"))&gt;0,"Sim","Não"))</f>
        <v>Sim</v>
      </c>
      <c r="AM5" s="23" t="str">
        <f>IF(A5="","",IF(SUMPRODUCT(ISNUMBER(SEARCH(";"&amp;tbl_frases_h[Codigo]&amp;";",AD5))*(tbl_frases_h[Protecao_Maternidade]="S"))&gt;0,"Sim","Não"))</f>
        <v>Não</v>
      </c>
      <c r="AN5" s="23" t="str">
        <f>IF(A5="","",IF(COUNTIFS(tbl_componentes[ID_Quimico],A5,tbl_componentes[SVHC_Acima_Limiar],"Sim")&gt;0,"Sim","Não"))</f>
        <v>Não</v>
      </c>
      <c r="AO5" s="24">
        <f>IF(A5="","",IFERROR(INDEX(tbl_fds[Data_FDS],MATCH(A5,tbl_fds[Chave_Vigor],0)),""))</f>
        <v>46154</v>
      </c>
      <c r="AP5" s="23" t="str">
        <f>IF(A5="","",IFERROR(INDEX(tbl_fds[Estado_FDS],MATCH(A5,tbl_fds[Chave_Vigor],0)),IF(C5="Artigo","N.A. (artigo)",IF(AE5="Sim","Sem FDS","Sem FDS (não obrigatória)"))))</f>
        <v>OK</v>
      </c>
      <c r="AQ5" s="23" t="str">
        <f>IF(A5="","",IF(COUNTIF(tbl_risco_quimico[ID_Quimico],A5)&gt;0,"Feita",IF(AE5="Não","N.A.",IF(AF5=1,"N.A. (só perigo físico — ATEX/SCIE)","Em falta"))))</f>
        <v>Feita</v>
      </c>
      <c r="AR5" s="23" t="str">
        <f t="shared" ref="AR5:AR36" si="2">IF(A5="","",IF(OR(Z5="Suspenso",Z5="Proibido"),"Uso bloqueado — "&amp;Z5,IF(AG5="Cat. 1A/1B","CMR 1A/1B — substituir (DL 301/2000)",IF(OR(T5="Sim",AN5="Sim"),"SVHC — plano de substituição",IF(OR(T5="Por confirmar",W5="Por confirmar"),"Pedir declaração (SVHC/PFAS)",IF(ISNUMBER(SEARCH("Pedir",AP5)),"FDS — "&amp;AP5,IF(AP5="Sem FDS","FDS em falta",IF(AQ5="Em falta","Avaliação de risco em falta",IF(I5="Não","Importação — ver registo","OK")))))))))</f>
        <v>OK</v>
      </c>
    </row>
    <row r="6" spans="1:44" ht="36" customHeight="1" x14ac:dyDescent="0.3">
      <c r="A6" s="17" t="s">
        <v>274</v>
      </c>
      <c r="B6" s="17" t="s">
        <v>275</v>
      </c>
      <c r="C6" s="17" t="s">
        <v>257</v>
      </c>
      <c r="D6" s="17" t="s">
        <v>276</v>
      </c>
      <c r="E6" s="17" t="s">
        <v>259</v>
      </c>
      <c r="F6" s="17" t="s">
        <v>260</v>
      </c>
      <c r="G6" s="17" t="s">
        <v>261</v>
      </c>
      <c r="H6" s="17" t="s">
        <v>262</v>
      </c>
      <c r="I6" s="17" t="s">
        <v>263</v>
      </c>
      <c r="J6" s="17" t="s">
        <v>264</v>
      </c>
      <c r="K6" s="19">
        <v>308</v>
      </c>
      <c r="L6" s="19">
        <v>50</v>
      </c>
      <c r="M6" s="20">
        <v>5</v>
      </c>
      <c r="N6" s="17" t="s">
        <v>265</v>
      </c>
      <c r="O6" s="17" t="s">
        <v>277</v>
      </c>
      <c r="P6" s="17" t="s">
        <v>278</v>
      </c>
      <c r="Q6" s="17" t="s">
        <v>268</v>
      </c>
      <c r="R6" s="17" t="s">
        <v>270</v>
      </c>
      <c r="S6" s="17" t="s">
        <v>113</v>
      </c>
      <c r="T6" s="17" t="s">
        <v>263</v>
      </c>
      <c r="U6" s="17" t="s">
        <v>279</v>
      </c>
      <c r="V6" s="17" t="s">
        <v>271</v>
      </c>
      <c r="W6" s="17" t="s">
        <v>271</v>
      </c>
      <c r="X6" s="17" t="s">
        <v>271</v>
      </c>
      <c r="Y6" s="17" t="s">
        <v>280</v>
      </c>
      <c r="Z6" s="17" t="s">
        <v>281</v>
      </c>
      <c r="AA6" s="21">
        <v>45818</v>
      </c>
      <c r="AB6" s="13">
        <v>0</v>
      </c>
      <c r="AC6" s="22">
        <f t="shared" si="0"/>
        <v>0</v>
      </c>
      <c r="AD6" s="23" t="str">
        <f t="shared" si="1"/>
        <v>;H360FD;H317;H302;H411;</v>
      </c>
      <c r="AE6" s="23" t="str">
        <f>IF(A6="","",IF(SUMPRODUCT(--ISNUMBER(SEARCH(";"&amp;tbl_frases_h[Codigo]&amp;";",AD6)))&gt;0,"Sim","Não"))</f>
        <v>Sim</v>
      </c>
      <c r="AF6" s="10">
        <f>IF(A6="","",MAX(1,IFERROR(_xlfn.AGGREGATE(14,6,tbl_frases_h[Classe_Perigo_Saude]/ISNUMBER(SEARCH(";"&amp;tbl_frases_h[Codigo]&amp;";",AD6)),1),1)))</f>
        <v>5</v>
      </c>
      <c r="AG6" s="23" t="str">
        <f>IF(A6="","",IF(SUMPRODUCT(ISNUMBER(SEARCH(";"&amp;tbl_frases_h[Codigo]&amp;";",AD6))*(tbl_frases_h[CMR_Categoria]="1"))&gt;0,"Cat. 1A/1B",IF(SUMPRODUCT(ISNUMBER(SEARCH(";"&amp;tbl_frases_h[Codigo]&amp;";",AD6))*(tbl_frases_h[CMR_Categoria]="2"))&gt;0,"Cat. 2","Não")))</f>
        <v>Cat. 1A/1B</v>
      </c>
      <c r="AH6" s="23" t="str">
        <f>IF(A6="","",IF(SUMPRODUCT(ISNUMBER(SEARCH(";"&amp;tbl_frases_h[Codigo]&amp;";",AD6))*(tbl_frases_h[Grupo]="Sensibilizante"))&gt;0,"Sim","Não"))</f>
        <v>Sim</v>
      </c>
      <c r="AI6" s="23" t="str">
        <f>IF(A6="","",IF(SUMPRODUCT(ISNUMBER(SEARCH(";"&amp;tbl_frases_h[Codigo]&amp;";",AD6))*(tbl_frases_h[Grupo]="Toxicidade aguda (cat. 1-3)"))&gt;0,"Sim","Não"))</f>
        <v>Não</v>
      </c>
      <c r="AJ6" s="23" t="str">
        <f>IF(A6="","",IF(SUMPRODUCT(ISNUMBER(SEARCH(";"&amp;tbl_frases_h[Codigo]&amp;";",AD6))*ISNUMBER(SEARCH("STOT",tbl_frases_h[Grupo])))&gt;0,"Sim","Não"))</f>
        <v>Não</v>
      </c>
      <c r="AK6" s="23" t="str">
        <f>IF(A6="","",IF(SUMPRODUCT(ISNUMBER(SEARCH(";"&amp;tbl_frases_h[Codigo]&amp;";",AD6))*(tbl_frases_h[Tipo]="Ambiente"))&gt;0,"Sim","Não"))</f>
        <v>Sim</v>
      </c>
      <c r="AL6" s="23" t="str">
        <f>IF(A6="","",IF(SUMPRODUCT(ISNUMBER(SEARCH(";"&amp;tbl_frases_h[Codigo]&amp;";",AD6))*(tbl_frases_h[Grupo]="Inflamável"))&gt;0,"Sim","Não"))</f>
        <v>Não</v>
      </c>
      <c r="AM6" s="23" t="str">
        <f>IF(A6="","",IF(SUMPRODUCT(ISNUMBER(SEARCH(";"&amp;tbl_frases_h[Codigo]&amp;";",AD6))*(tbl_frases_h[Protecao_Maternidade]="S"))&gt;0,"Sim","Não"))</f>
        <v>Sim</v>
      </c>
      <c r="AN6" s="23" t="str">
        <f>IF(A6="","",IF(COUNTIFS(tbl_componentes[ID_Quimico],A6,tbl_componentes[SVHC_Acima_Limiar],"Sim")&gt;0,"Sim","Não"))</f>
        <v>Sim</v>
      </c>
      <c r="AO6" s="24">
        <f>IF(A6="","",IFERROR(INDEX(tbl_fds[Data_FDS],MATCH(A6,tbl_fds[Chave_Vigor],0)),""))</f>
        <v>46154</v>
      </c>
      <c r="AP6" s="23" t="str">
        <f>IF(A6="","",IFERROR(INDEX(tbl_fds[Estado_FDS],MATCH(A6,tbl_fds[Chave_Vigor],0)),IF(C6="Artigo","N.A. (artigo)",IF(AE6="Sim","Sem FDS","Sem FDS (não obrigatória)"))))</f>
        <v>OK</v>
      </c>
      <c r="AQ6" s="23" t="str">
        <f>IF(A6="","",IF(COUNTIF(tbl_risco_quimico[ID_Quimico],A6)&gt;0,"Feita",IF(AE6="Não","N.A.",IF(AF6=1,"N.A. (só perigo físico — ATEX/SCIE)","Em falta"))))</f>
        <v>Feita</v>
      </c>
      <c r="AR6" s="23" t="str">
        <f t="shared" si="2"/>
        <v>CMR 1A/1B — substituir (DL 301/2000)</v>
      </c>
    </row>
    <row r="7" spans="1:44" ht="36" customHeight="1" x14ac:dyDescent="0.3">
      <c r="A7" s="17" t="s">
        <v>282</v>
      </c>
      <c r="B7" s="17" t="s">
        <v>283</v>
      </c>
      <c r="C7" s="17" t="s">
        <v>257</v>
      </c>
      <c r="D7" s="17" t="s">
        <v>284</v>
      </c>
      <c r="E7" s="17" t="s">
        <v>259</v>
      </c>
      <c r="F7" s="17" t="s">
        <v>260</v>
      </c>
      <c r="G7" s="17" t="s">
        <v>261</v>
      </c>
      <c r="H7" s="17" t="s">
        <v>262</v>
      </c>
      <c r="I7" s="17" t="s">
        <v>263</v>
      </c>
      <c r="J7" s="17" t="s">
        <v>264</v>
      </c>
      <c r="K7" s="19">
        <v>70</v>
      </c>
      <c r="L7" s="19">
        <v>10</v>
      </c>
      <c r="M7" s="20">
        <v>1</v>
      </c>
      <c r="N7" s="17" t="s">
        <v>265</v>
      </c>
      <c r="O7" s="17" t="s">
        <v>285</v>
      </c>
      <c r="P7" s="17" t="s">
        <v>286</v>
      </c>
      <c r="Q7" s="17" t="s">
        <v>287</v>
      </c>
      <c r="R7" s="17" t="s">
        <v>269</v>
      </c>
      <c r="S7" s="17" t="s">
        <v>113</v>
      </c>
      <c r="T7" s="17" t="s">
        <v>271</v>
      </c>
      <c r="U7" s="17" t="s">
        <v>288</v>
      </c>
      <c r="V7" s="17" t="s">
        <v>263</v>
      </c>
      <c r="W7" s="17" t="s">
        <v>271</v>
      </c>
      <c r="X7" s="17" t="s">
        <v>271</v>
      </c>
      <c r="Y7" s="17" t="s">
        <v>280</v>
      </c>
      <c r="Z7" s="17" t="s">
        <v>281</v>
      </c>
      <c r="AA7" s="21">
        <v>45139</v>
      </c>
      <c r="AB7" s="13">
        <v>0.3</v>
      </c>
      <c r="AC7" s="22">
        <f t="shared" si="0"/>
        <v>21</v>
      </c>
      <c r="AD7" s="23" t="str">
        <f t="shared" si="1"/>
        <v>;H226;H317;H332;H335;H412;EUH204;</v>
      </c>
      <c r="AE7" s="23" t="str">
        <f>IF(A7="","",IF(SUMPRODUCT(--ISNUMBER(SEARCH(";"&amp;tbl_frases_h[Codigo]&amp;";",AD7)))&gt;0,"Sim","Não"))</f>
        <v>Sim</v>
      </c>
      <c r="AF7" s="10">
        <f>IF(A7="","",MAX(1,IFERROR(_xlfn.AGGREGATE(14,6,tbl_frases_h[Classe_Perigo_Saude]/ISNUMBER(SEARCH(";"&amp;tbl_frases_h[Codigo]&amp;";",AD7)),1),1)))</f>
        <v>3</v>
      </c>
      <c r="AG7" s="23" t="str">
        <f>IF(A7="","",IF(SUMPRODUCT(ISNUMBER(SEARCH(";"&amp;tbl_frases_h[Codigo]&amp;";",AD7))*(tbl_frases_h[CMR_Categoria]="1"))&gt;0,"Cat. 1A/1B",IF(SUMPRODUCT(ISNUMBER(SEARCH(";"&amp;tbl_frases_h[Codigo]&amp;";",AD7))*(tbl_frases_h[CMR_Categoria]="2"))&gt;0,"Cat. 2","Não")))</f>
        <v>Não</v>
      </c>
      <c r="AH7" s="23" t="str">
        <f>IF(A7="","",IF(SUMPRODUCT(ISNUMBER(SEARCH(";"&amp;tbl_frases_h[Codigo]&amp;";",AD7))*(tbl_frases_h[Grupo]="Sensibilizante"))&gt;0,"Sim","Não"))</f>
        <v>Sim</v>
      </c>
      <c r="AI7" s="23" t="str">
        <f>IF(A7="","",IF(SUMPRODUCT(ISNUMBER(SEARCH(";"&amp;tbl_frases_h[Codigo]&amp;";",AD7))*(tbl_frases_h[Grupo]="Toxicidade aguda (cat. 1-3)"))&gt;0,"Sim","Não"))</f>
        <v>Não</v>
      </c>
      <c r="AJ7" s="23" t="str">
        <f>IF(A7="","",IF(SUMPRODUCT(ISNUMBER(SEARCH(";"&amp;tbl_frases_h[Codigo]&amp;";",AD7))*ISNUMBER(SEARCH("STOT",tbl_frases_h[Grupo])))&gt;0,"Sim","Não"))</f>
        <v>Sim</v>
      </c>
      <c r="AK7" s="23" t="str">
        <f>IF(A7="","",IF(SUMPRODUCT(ISNUMBER(SEARCH(";"&amp;tbl_frases_h[Codigo]&amp;";",AD7))*(tbl_frases_h[Tipo]="Ambiente"))&gt;0,"Sim","Não"))</f>
        <v>Sim</v>
      </c>
      <c r="AL7" s="23" t="str">
        <f>IF(A7="","",IF(SUMPRODUCT(ISNUMBER(SEARCH(";"&amp;tbl_frases_h[Codigo]&amp;";",AD7))*(tbl_frases_h[Grupo]="Inflamável"))&gt;0,"Sim","Não"))</f>
        <v>Sim</v>
      </c>
      <c r="AM7" s="23" t="str">
        <f>IF(A7="","",IF(SUMPRODUCT(ISNUMBER(SEARCH(";"&amp;tbl_frases_h[Codigo]&amp;";",AD7))*(tbl_frases_h[Protecao_Maternidade]="S"))&gt;0,"Sim","Não"))</f>
        <v>Não</v>
      </c>
      <c r="AN7" s="23" t="str">
        <f>IF(A7="","",IF(COUNTIFS(tbl_componentes[ID_Quimico],A7,tbl_componentes[SVHC_Acima_Limiar],"Sim")&gt;0,"Sim","Não"))</f>
        <v>Não</v>
      </c>
      <c r="AO7" s="24">
        <f>IF(A7="","",IFERROR(INDEX(tbl_fds[Data_FDS],MATCH(A7,tbl_fds[Chave_Vigor],0)),""))</f>
        <v>45897</v>
      </c>
      <c r="AP7" s="23" t="str">
        <f>IF(A7="","",IFERROR(INDEX(tbl_fds[Estado_FDS],MATCH(A7,tbl_fds[Chave_Vigor],0)),IF(C7="Artigo","N.A. (artigo)",IF(AE7="Sim","Sem FDS","Sem FDS (não obrigatória)"))))</f>
        <v>OK</v>
      </c>
      <c r="AQ7" s="23" t="str">
        <f>IF(A7="","",IF(COUNTIF(tbl_risco_quimico[ID_Quimico],A7)&gt;0,"Feita",IF(AE7="Não","N.A.",IF(AF7=1,"N.A. (só perigo físico — ATEX/SCIE)","Em falta"))))</f>
        <v>Feita</v>
      </c>
      <c r="AR7" s="23" t="str">
        <f t="shared" si="2"/>
        <v>OK</v>
      </c>
    </row>
    <row r="8" spans="1:44" ht="36" customHeight="1" x14ac:dyDescent="0.3">
      <c r="A8" s="17" t="s">
        <v>289</v>
      </c>
      <c r="B8" s="17" t="s">
        <v>290</v>
      </c>
      <c r="C8" s="17" t="s">
        <v>257</v>
      </c>
      <c r="D8" s="17" t="s">
        <v>291</v>
      </c>
      <c r="E8" s="17" t="s">
        <v>259</v>
      </c>
      <c r="F8" s="17" t="s">
        <v>260</v>
      </c>
      <c r="G8" s="17" t="s">
        <v>261</v>
      </c>
      <c r="H8" s="17" t="s">
        <v>262</v>
      </c>
      <c r="I8" s="17" t="s">
        <v>263</v>
      </c>
      <c r="J8" s="17" t="s">
        <v>264</v>
      </c>
      <c r="K8" s="19">
        <v>350</v>
      </c>
      <c r="L8" s="19">
        <v>60</v>
      </c>
      <c r="M8" s="20">
        <v>5</v>
      </c>
      <c r="N8" s="17" t="s">
        <v>265</v>
      </c>
      <c r="O8" s="17" t="s">
        <v>292</v>
      </c>
      <c r="P8" s="17" t="s">
        <v>286</v>
      </c>
      <c r="Q8" s="17" t="s">
        <v>287</v>
      </c>
      <c r="R8" s="17" t="s">
        <v>269</v>
      </c>
      <c r="S8" s="17" t="s">
        <v>113</v>
      </c>
      <c r="T8" s="17" t="s">
        <v>271</v>
      </c>
      <c r="U8" s="17" t="s">
        <v>113</v>
      </c>
      <c r="V8" s="17" t="s">
        <v>271</v>
      </c>
      <c r="W8" s="17" t="s">
        <v>271</v>
      </c>
      <c r="X8" s="17" t="s">
        <v>271</v>
      </c>
      <c r="Y8" s="17" t="s">
        <v>293</v>
      </c>
      <c r="Z8" s="17" t="s">
        <v>273</v>
      </c>
      <c r="AA8" s="21">
        <v>43565</v>
      </c>
      <c r="AB8" s="13">
        <v>1</v>
      </c>
      <c r="AC8" s="22">
        <f t="shared" si="0"/>
        <v>350</v>
      </c>
      <c r="AD8" s="23" t="str">
        <f t="shared" si="1"/>
        <v>;H226;H332;H319;H336;</v>
      </c>
      <c r="AE8" s="23" t="str">
        <f>IF(A8="","",IF(SUMPRODUCT(--ISNUMBER(SEARCH(";"&amp;tbl_frases_h[Codigo]&amp;";",AD8)))&gt;0,"Sim","Não"))</f>
        <v>Sim</v>
      </c>
      <c r="AF8" s="10">
        <f>IF(A8="","",MAX(1,IFERROR(_xlfn.AGGREGATE(14,6,tbl_frases_h[Classe_Perigo_Saude]/ISNUMBER(SEARCH(";"&amp;tbl_frases_h[Codigo]&amp;";",AD8)),1),1)))</f>
        <v>3</v>
      </c>
      <c r="AG8" s="23" t="str">
        <f>IF(A8="","",IF(SUMPRODUCT(ISNUMBER(SEARCH(";"&amp;tbl_frases_h[Codigo]&amp;";",AD8))*(tbl_frases_h[CMR_Categoria]="1"))&gt;0,"Cat. 1A/1B",IF(SUMPRODUCT(ISNUMBER(SEARCH(";"&amp;tbl_frases_h[Codigo]&amp;";",AD8))*(tbl_frases_h[CMR_Categoria]="2"))&gt;0,"Cat. 2","Não")))</f>
        <v>Não</v>
      </c>
      <c r="AH8" s="23" t="str">
        <f>IF(A8="","",IF(SUMPRODUCT(ISNUMBER(SEARCH(";"&amp;tbl_frases_h[Codigo]&amp;";",AD8))*(tbl_frases_h[Grupo]="Sensibilizante"))&gt;0,"Sim","Não"))</f>
        <v>Não</v>
      </c>
      <c r="AI8" s="23" t="str">
        <f>IF(A8="","",IF(SUMPRODUCT(ISNUMBER(SEARCH(";"&amp;tbl_frases_h[Codigo]&amp;";",AD8))*(tbl_frases_h[Grupo]="Toxicidade aguda (cat. 1-3)"))&gt;0,"Sim","Não"))</f>
        <v>Não</v>
      </c>
      <c r="AJ8" s="23" t="str">
        <f>IF(A8="","",IF(SUMPRODUCT(ISNUMBER(SEARCH(";"&amp;tbl_frases_h[Codigo]&amp;";",AD8))*ISNUMBER(SEARCH("STOT",tbl_frases_h[Grupo])))&gt;0,"Sim","Não"))</f>
        <v>Sim</v>
      </c>
      <c r="AK8" s="23" t="str">
        <f>IF(A8="","",IF(SUMPRODUCT(ISNUMBER(SEARCH(";"&amp;tbl_frases_h[Codigo]&amp;";",AD8))*(tbl_frases_h[Tipo]="Ambiente"))&gt;0,"Sim","Não"))</f>
        <v>Não</v>
      </c>
      <c r="AL8" s="23" t="str">
        <f>IF(A8="","",IF(SUMPRODUCT(ISNUMBER(SEARCH(";"&amp;tbl_frases_h[Codigo]&amp;";",AD8))*(tbl_frases_h[Grupo]="Inflamável"))&gt;0,"Sim","Não"))</f>
        <v>Sim</v>
      </c>
      <c r="AM8" s="23" t="str">
        <f>IF(A8="","",IF(SUMPRODUCT(ISNUMBER(SEARCH(";"&amp;tbl_frases_h[Codigo]&amp;";",AD8))*(tbl_frases_h[Protecao_Maternidade]="S"))&gt;0,"Sim","Não"))</f>
        <v>Não</v>
      </c>
      <c r="AN8" s="23" t="str">
        <f>IF(A8="","",IF(COUNTIFS(tbl_componentes[ID_Quimico],A8,tbl_componentes[SVHC_Acima_Limiar],"Sim")&gt;0,"Sim","Não"))</f>
        <v>Não</v>
      </c>
      <c r="AO8" s="24">
        <f>IF(A8="","",IFERROR(INDEX(tbl_fds[Data_FDS],MATCH(A8,tbl_fds[Chave_Vigor],0)),""))</f>
        <v>44270</v>
      </c>
      <c r="AP8" s="23" t="str">
        <f>IF(A8="","",IFERROR(INDEX(tbl_fds[Estado_FDS],MATCH(A8,tbl_fds[Chave_Vigor],0)),IF(C8="Artigo","N.A. (artigo)",IF(AE8="Sim","Sem FDS","Sem FDS (não obrigatória)"))))</f>
        <v>Pedir correção ao fornecedor</v>
      </c>
      <c r="AQ8" s="23" t="str">
        <f>IF(A8="","",IF(COUNTIF(tbl_risco_quimico[ID_Quimico],A8)&gt;0,"Feita",IF(AE8="Não","N.A.",IF(AF8=1,"N.A. (só perigo físico — ATEX/SCIE)","Em falta"))))</f>
        <v>Feita</v>
      </c>
      <c r="AR8" s="23" t="str">
        <f t="shared" si="2"/>
        <v>FDS — Pedir correção ao fornecedor</v>
      </c>
    </row>
    <row r="9" spans="1:44" ht="36" customHeight="1" x14ac:dyDescent="0.3">
      <c r="A9" s="17" t="s">
        <v>294</v>
      </c>
      <c r="B9" s="17" t="s">
        <v>295</v>
      </c>
      <c r="C9" s="17" t="s">
        <v>296</v>
      </c>
      <c r="D9" s="17" t="s">
        <v>297</v>
      </c>
      <c r="E9" s="17" t="s">
        <v>259</v>
      </c>
      <c r="F9" s="17" t="s">
        <v>260</v>
      </c>
      <c r="G9" s="17" t="s">
        <v>261</v>
      </c>
      <c r="H9" s="17" t="s">
        <v>262</v>
      </c>
      <c r="I9" s="17" t="s">
        <v>263</v>
      </c>
      <c r="J9" s="17" t="s">
        <v>264</v>
      </c>
      <c r="K9" s="19">
        <v>40</v>
      </c>
      <c r="L9" s="19">
        <v>10</v>
      </c>
      <c r="M9" s="20">
        <v>1</v>
      </c>
      <c r="N9" s="17" t="s">
        <v>265</v>
      </c>
      <c r="O9" s="17" t="s">
        <v>298</v>
      </c>
      <c r="P9" s="17" t="s">
        <v>299</v>
      </c>
      <c r="Q9" s="17" t="s">
        <v>287</v>
      </c>
      <c r="R9" s="17" t="s">
        <v>113</v>
      </c>
      <c r="S9" s="17" t="s">
        <v>113</v>
      </c>
      <c r="T9" s="17" t="s">
        <v>271</v>
      </c>
      <c r="U9" s="17" t="s">
        <v>113</v>
      </c>
      <c r="V9" s="17" t="s">
        <v>271</v>
      </c>
      <c r="W9" s="17" t="s">
        <v>271</v>
      </c>
      <c r="X9" s="17" t="s">
        <v>271</v>
      </c>
      <c r="Y9" s="17" t="s">
        <v>280</v>
      </c>
      <c r="Z9" s="17" t="s">
        <v>273</v>
      </c>
      <c r="AA9" s="21">
        <v>43565</v>
      </c>
      <c r="AB9" s="13">
        <v>1</v>
      </c>
      <c r="AC9" s="22">
        <f t="shared" si="0"/>
        <v>40</v>
      </c>
      <c r="AD9" s="23" t="str">
        <f t="shared" si="1"/>
        <v>;H312;H332;</v>
      </c>
      <c r="AE9" s="23" t="str">
        <f>IF(A9="","",IF(SUMPRODUCT(--ISNUMBER(SEARCH(";"&amp;tbl_frases_h[Codigo]&amp;";",AD9)))&gt;0,"Sim","Não"))</f>
        <v>Sim</v>
      </c>
      <c r="AF9" s="10">
        <f>IF(A9="","",MAX(1,IFERROR(_xlfn.AGGREGATE(14,6,tbl_frases_h[Classe_Perigo_Saude]/ISNUMBER(SEARCH(";"&amp;tbl_frases_h[Codigo]&amp;";",AD9)),1),1)))</f>
        <v>3</v>
      </c>
      <c r="AG9" s="23" t="str">
        <f>IF(A9="","",IF(SUMPRODUCT(ISNUMBER(SEARCH(";"&amp;tbl_frases_h[Codigo]&amp;";",AD9))*(tbl_frases_h[CMR_Categoria]="1"))&gt;0,"Cat. 1A/1B",IF(SUMPRODUCT(ISNUMBER(SEARCH(";"&amp;tbl_frases_h[Codigo]&amp;";",AD9))*(tbl_frases_h[CMR_Categoria]="2"))&gt;0,"Cat. 2","Não")))</f>
        <v>Não</v>
      </c>
      <c r="AH9" s="23" t="str">
        <f>IF(A9="","",IF(SUMPRODUCT(ISNUMBER(SEARCH(";"&amp;tbl_frases_h[Codigo]&amp;";",AD9))*(tbl_frases_h[Grupo]="Sensibilizante"))&gt;0,"Sim","Não"))</f>
        <v>Não</v>
      </c>
      <c r="AI9" s="23" t="str">
        <f>IF(A9="","",IF(SUMPRODUCT(ISNUMBER(SEARCH(";"&amp;tbl_frases_h[Codigo]&amp;";",AD9))*(tbl_frases_h[Grupo]="Toxicidade aguda (cat. 1-3)"))&gt;0,"Sim","Não"))</f>
        <v>Não</v>
      </c>
      <c r="AJ9" s="23" t="str">
        <f>IF(A9="","",IF(SUMPRODUCT(ISNUMBER(SEARCH(";"&amp;tbl_frases_h[Codigo]&amp;";",AD9))*ISNUMBER(SEARCH("STOT",tbl_frases_h[Grupo])))&gt;0,"Sim","Não"))</f>
        <v>Não</v>
      </c>
      <c r="AK9" s="23" t="str">
        <f>IF(A9="","",IF(SUMPRODUCT(ISNUMBER(SEARCH(";"&amp;tbl_frases_h[Codigo]&amp;";",AD9))*(tbl_frases_h[Tipo]="Ambiente"))&gt;0,"Sim","Não"))</f>
        <v>Não</v>
      </c>
      <c r="AL9" s="23" t="str">
        <f>IF(A9="","",IF(SUMPRODUCT(ISNUMBER(SEARCH(";"&amp;tbl_frases_h[Codigo]&amp;";",AD9))*(tbl_frases_h[Grupo]="Inflamável"))&gt;0,"Sim","Não"))</f>
        <v>Não</v>
      </c>
      <c r="AM9" s="23" t="str">
        <f>IF(A9="","",IF(SUMPRODUCT(ISNUMBER(SEARCH(";"&amp;tbl_frases_h[Codigo]&amp;";",AD9))*(tbl_frases_h[Protecao_Maternidade]="S"))&gt;0,"Sim","Não"))</f>
        <v>Não</v>
      </c>
      <c r="AN9" s="23" t="str">
        <f>IF(A9="","",IF(COUNTIFS(tbl_componentes[ID_Quimico],A9,tbl_componentes[SVHC_Acima_Limiar],"Sim")&gt;0,"Sim","Não"))</f>
        <v>Não</v>
      </c>
      <c r="AO9" s="24">
        <f>IF(A9="","",IFERROR(INDEX(tbl_fds[Data_FDS],MATCH(A9,tbl_fds[Chave_Vigor],0)),""))</f>
        <v>44247</v>
      </c>
      <c r="AP9" s="23" t="str">
        <f>IF(A9="","",IFERROR(INDEX(tbl_fds[Estado_FDS],MATCH(A9,tbl_fds[Chave_Vigor],0)),IF(C9="Artigo","N.A. (artigo)",IF(AE9="Sim","Sem FDS","Sem FDS (não obrigatória)"))))</f>
        <v>Pedir correção ao fornecedor</v>
      </c>
      <c r="AQ9" s="23" t="str">
        <f>IF(A9="","",IF(COUNTIF(tbl_risco_quimico[ID_Quimico],A9)&gt;0,"Feita",IF(AE9="Não","N.A.",IF(AF9=1,"N.A. (só perigo físico — ATEX/SCIE)","Em falta"))))</f>
        <v>Em falta</v>
      </c>
      <c r="AR9" s="23" t="str">
        <f t="shared" si="2"/>
        <v>FDS — Pedir correção ao fornecedor</v>
      </c>
    </row>
    <row r="10" spans="1:44" ht="36" customHeight="1" x14ac:dyDescent="0.3">
      <c r="A10" s="17" t="s">
        <v>300</v>
      </c>
      <c r="B10" s="17" t="s">
        <v>301</v>
      </c>
      <c r="C10" s="17" t="s">
        <v>257</v>
      </c>
      <c r="D10" s="17" t="s">
        <v>302</v>
      </c>
      <c r="E10" s="17" t="s">
        <v>259</v>
      </c>
      <c r="F10" s="17" t="s">
        <v>303</v>
      </c>
      <c r="G10" s="17" t="s">
        <v>304</v>
      </c>
      <c r="H10" s="17" t="s">
        <v>305</v>
      </c>
      <c r="I10" s="17" t="s">
        <v>263</v>
      </c>
      <c r="J10" s="17" t="s">
        <v>264</v>
      </c>
      <c r="K10" s="19">
        <v>759</v>
      </c>
      <c r="L10" s="19">
        <v>150</v>
      </c>
      <c r="M10" s="20">
        <v>25</v>
      </c>
      <c r="N10" s="17" t="s">
        <v>265</v>
      </c>
      <c r="O10" s="17" t="s">
        <v>306</v>
      </c>
      <c r="P10" s="17" t="s">
        <v>286</v>
      </c>
      <c r="Q10" s="17" t="s">
        <v>268</v>
      </c>
      <c r="R10" s="17" t="s">
        <v>269</v>
      </c>
      <c r="S10" s="17" t="s">
        <v>113</v>
      </c>
      <c r="T10" s="17" t="s">
        <v>271</v>
      </c>
      <c r="U10" s="17" t="s">
        <v>113</v>
      </c>
      <c r="V10" s="17" t="s">
        <v>271</v>
      </c>
      <c r="W10" s="17" t="s">
        <v>271</v>
      </c>
      <c r="X10" s="17" t="s">
        <v>271</v>
      </c>
      <c r="Y10" s="17" t="s">
        <v>307</v>
      </c>
      <c r="Z10" s="17" t="s">
        <v>273</v>
      </c>
      <c r="AA10" s="21">
        <v>43873</v>
      </c>
      <c r="AB10" s="13">
        <v>1</v>
      </c>
      <c r="AC10" s="22">
        <f t="shared" si="0"/>
        <v>759</v>
      </c>
      <c r="AD10" s="23" t="str">
        <f t="shared" si="1"/>
        <v>;H225;H319;H336;EUH066;</v>
      </c>
      <c r="AE10" s="23" t="str">
        <f>IF(A10="","",IF(SUMPRODUCT(--ISNUMBER(SEARCH(";"&amp;tbl_frases_h[Codigo]&amp;";",AD10)))&gt;0,"Sim","Não"))</f>
        <v>Sim</v>
      </c>
      <c r="AF10" s="10">
        <f>IF(A10="","",MAX(1,IFERROR(_xlfn.AGGREGATE(14,6,tbl_frases_h[Classe_Perigo_Saude]/ISNUMBER(SEARCH(";"&amp;tbl_frases_h[Codigo]&amp;";",AD10)),1),1)))</f>
        <v>2</v>
      </c>
      <c r="AG10" s="23" t="str">
        <f>IF(A10="","",IF(SUMPRODUCT(ISNUMBER(SEARCH(";"&amp;tbl_frases_h[Codigo]&amp;";",AD10))*(tbl_frases_h[CMR_Categoria]="1"))&gt;0,"Cat. 1A/1B",IF(SUMPRODUCT(ISNUMBER(SEARCH(";"&amp;tbl_frases_h[Codigo]&amp;";",AD10))*(tbl_frases_h[CMR_Categoria]="2"))&gt;0,"Cat. 2","Não")))</f>
        <v>Não</v>
      </c>
      <c r="AH10" s="23" t="str">
        <f>IF(A10="","",IF(SUMPRODUCT(ISNUMBER(SEARCH(";"&amp;tbl_frases_h[Codigo]&amp;";",AD10))*(tbl_frases_h[Grupo]="Sensibilizante"))&gt;0,"Sim","Não"))</f>
        <v>Não</v>
      </c>
      <c r="AI10" s="23" t="str">
        <f>IF(A10="","",IF(SUMPRODUCT(ISNUMBER(SEARCH(";"&amp;tbl_frases_h[Codigo]&amp;";",AD10))*(tbl_frases_h[Grupo]="Toxicidade aguda (cat. 1-3)"))&gt;0,"Sim","Não"))</f>
        <v>Não</v>
      </c>
      <c r="AJ10" s="23" t="str">
        <f>IF(A10="","",IF(SUMPRODUCT(ISNUMBER(SEARCH(";"&amp;tbl_frases_h[Codigo]&amp;";",AD10))*ISNUMBER(SEARCH("STOT",tbl_frases_h[Grupo])))&gt;0,"Sim","Não"))</f>
        <v>Sim</v>
      </c>
      <c r="AK10" s="23" t="str">
        <f>IF(A10="","",IF(SUMPRODUCT(ISNUMBER(SEARCH(";"&amp;tbl_frases_h[Codigo]&amp;";",AD10))*(tbl_frases_h[Tipo]="Ambiente"))&gt;0,"Sim","Não"))</f>
        <v>Não</v>
      </c>
      <c r="AL10" s="23" t="str">
        <f>IF(A10="","",IF(SUMPRODUCT(ISNUMBER(SEARCH(";"&amp;tbl_frases_h[Codigo]&amp;";",AD10))*(tbl_frases_h[Grupo]="Inflamável"))&gt;0,"Sim","Não"))</f>
        <v>Sim</v>
      </c>
      <c r="AM10" s="23" t="str">
        <f>IF(A10="","",IF(SUMPRODUCT(ISNUMBER(SEARCH(";"&amp;tbl_frases_h[Codigo]&amp;";",AD10))*(tbl_frases_h[Protecao_Maternidade]="S"))&gt;0,"Sim","Não"))</f>
        <v>Não</v>
      </c>
      <c r="AN10" s="23" t="str">
        <f>IF(A10="","",IF(COUNTIFS(tbl_componentes[ID_Quimico],A10,tbl_componentes[SVHC_Acima_Limiar],"Sim")&gt;0,"Sim","Não"))</f>
        <v>Não</v>
      </c>
      <c r="AO10" s="24">
        <f>IF(A10="","",IFERROR(INDEX(tbl_fds[Data_FDS],MATCH(A10,tbl_fds[Chave_Vigor],0)),""))</f>
        <v>46073</v>
      </c>
      <c r="AP10" s="23" t="str">
        <f>IF(A10="","",IFERROR(INDEX(tbl_fds[Estado_FDS],MATCH(A10,tbl_fds[Chave_Vigor],0)),IF(C10="Artigo","N.A. (artigo)",IF(AE10="Sim","Sem FDS","Sem FDS (não obrigatória)"))))</f>
        <v>OK</v>
      </c>
      <c r="AQ10" s="23" t="str">
        <f>IF(A10="","",IF(COUNTIF(tbl_risco_quimico[ID_Quimico],A10)&gt;0,"Feita",IF(AE10="Não","N.A.",IF(AF10=1,"N.A. (só perigo físico — ATEX/SCIE)","Em falta"))))</f>
        <v>Feita</v>
      </c>
      <c r="AR10" s="23" t="str">
        <f t="shared" si="2"/>
        <v>OK</v>
      </c>
    </row>
    <row r="11" spans="1:44" ht="36" customHeight="1" x14ac:dyDescent="0.3">
      <c r="A11" s="17" t="s">
        <v>308</v>
      </c>
      <c r="B11" s="17" t="s">
        <v>309</v>
      </c>
      <c r="C11" s="17" t="s">
        <v>257</v>
      </c>
      <c r="D11" s="17" t="s">
        <v>310</v>
      </c>
      <c r="E11" s="17" t="s">
        <v>259</v>
      </c>
      <c r="F11" s="17" t="s">
        <v>260</v>
      </c>
      <c r="G11" s="17" t="s">
        <v>261</v>
      </c>
      <c r="H11" s="17" t="s">
        <v>262</v>
      </c>
      <c r="I11" s="17" t="s">
        <v>263</v>
      </c>
      <c r="J11" s="17" t="s">
        <v>264</v>
      </c>
      <c r="K11" s="19">
        <v>30</v>
      </c>
      <c r="L11" s="19">
        <v>10</v>
      </c>
      <c r="M11" s="20">
        <v>1</v>
      </c>
      <c r="N11" s="17" t="s">
        <v>265</v>
      </c>
      <c r="O11" s="17" t="s">
        <v>311</v>
      </c>
      <c r="P11" s="17" t="s">
        <v>299</v>
      </c>
      <c r="Q11" s="17" t="s">
        <v>287</v>
      </c>
      <c r="R11" s="17" t="s">
        <v>113</v>
      </c>
      <c r="S11" s="17" t="s">
        <v>113</v>
      </c>
      <c r="T11" s="17" t="s">
        <v>271</v>
      </c>
      <c r="U11" s="17" t="s">
        <v>113</v>
      </c>
      <c r="V11" s="17" t="s">
        <v>271</v>
      </c>
      <c r="W11" s="17" t="s">
        <v>271</v>
      </c>
      <c r="X11" s="17" t="s">
        <v>271</v>
      </c>
      <c r="Y11" s="17" t="s">
        <v>312</v>
      </c>
      <c r="Z11" s="17" t="s">
        <v>273</v>
      </c>
      <c r="AA11" s="21">
        <v>43565</v>
      </c>
      <c r="AB11" s="13">
        <v>0</v>
      </c>
      <c r="AC11" s="22">
        <f t="shared" si="0"/>
        <v>0</v>
      </c>
      <c r="AD11" s="23" t="str">
        <f t="shared" si="1"/>
        <v>;H317;H319;</v>
      </c>
      <c r="AE11" s="23" t="str">
        <f>IF(A11="","",IF(SUMPRODUCT(--ISNUMBER(SEARCH(";"&amp;tbl_frases_h[Codigo]&amp;";",AD11)))&gt;0,"Sim","Não"))</f>
        <v>Sim</v>
      </c>
      <c r="AF11" s="10">
        <f>IF(A11="","",MAX(1,IFERROR(_xlfn.AGGREGATE(14,6,tbl_frases_h[Classe_Perigo_Saude]/ISNUMBER(SEARCH(";"&amp;tbl_frases_h[Codigo]&amp;";",AD11)),1),1)))</f>
        <v>3</v>
      </c>
      <c r="AG11" s="23" t="str">
        <f>IF(A11="","",IF(SUMPRODUCT(ISNUMBER(SEARCH(";"&amp;tbl_frases_h[Codigo]&amp;";",AD11))*(tbl_frases_h[CMR_Categoria]="1"))&gt;0,"Cat. 1A/1B",IF(SUMPRODUCT(ISNUMBER(SEARCH(";"&amp;tbl_frases_h[Codigo]&amp;";",AD11))*(tbl_frases_h[CMR_Categoria]="2"))&gt;0,"Cat. 2","Não")))</f>
        <v>Não</v>
      </c>
      <c r="AH11" s="23" t="str">
        <f>IF(A11="","",IF(SUMPRODUCT(ISNUMBER(SEARCH(";"&amp;tbl_frases_h[Codigo]&amp;";",AD11))*(tbl_frases_h[Grupo]="Sensibilizante"))&gt;0,"Sim","Não"))</f>
        <v>Sim</v>
      </c>
      <c r="AI11" s="23" t="str">
        <f>IF(A11="","",IF(SUMPRODUCT(ISNUMBER(SEARCH(";"&amp;tbl_frases_h[Codigo]&amp;";",AD11))*(tbl_frases_h[Grupo]="Toxicidade aguda (cat. 1-3)"))&gt;0,"Sim","Não"))</f>
        <v>Não</v>
      </c>
      <c r="AJ11" s="23" t="str">
        <f>IF(A11="","",IF(SUMPRODUCT(ISNUMBER(SEARCH(";"&amp;tbl_frases_h[Codigo]&amp;";",AD11))*ISNUMBER(SEARCH("STOT",tbl_frases_h[Grupo])))&gt;0,"Sim","Não"))</f>
        <v>Não</v>
      </c>
      <c r="AK11" s="23" t="str">
        <f>IF(A11="","",IF(SUMPRODUCT(ISNUMBER(SEARCH(";"&amp;tbl_frases_h[Codigo]&amp;";",AD11))*(tbl_frases_h[Tipo]="Ambiente"))&gt;0,"Sim","Não"))</f>
        <v>Não</v>
      </c>
      <c r="AL11" s="23" t="str">
        <f>IF(A11="","",IF(SUMPRODUCT(ISNUMBER(SEARCH(";"&amp;tbl_frases_h[Codigo]&amp;";",AD11))*(tbl_frases_h[Grupo]="Inflamável"))&gt;0,"Sim","Não"))</f>
        <v>Não</v>
      </c>
      <c r="AM11" s="23" t="str">
        <f>IF(A11="","",IF(SUMPRODUCT(ISNUMBER(SEARCH(";"&amp;tbl_frases_h[Codigo]&amp;";",AD11))*(tbl_frases_h[Protecao_Maternidade]="S"))&gt;0,"Sim","Não"))</f>
        <v>Não</v>
      </c>
      <c r="AN11" s="23" t="str">
        <f>IF(A11="","",IF(COUNTIFS(tbl_componentes[ID_Quimico],A11,tbl_componentes[SVHC_Acima_Limiar],"Sim")&gt;0,"Sim","Não"))</f>
        <v>Não</v>
      </c>
      <c r="AO11" s="24">
        <f>IF(A11="","",IFERROR(INDEX(tbl_fds[Data_FDS],MATCH(A11,tbl_fds[Chave_Vigor],0)),""))</f>
        <v>45727</v>
      </c>
      <c r="AP11" s="23" t="str">
        <f>IF(A11="","",IFERROR(INDEX(tbl_fds[Estado_FDS],MATCH(A11,tbl_fds[Chave_Vigor],0)),IF(C11="Artigo","N.A. (artigo)",IF(AE11="Sim","Sem FDS","Sem FDS (não obrigatória)"))))</f>
        <v>OK</v>
      </c>
      <c r="AQ11" s="23" t="str">
        <f>IF(A11="","",IF(COUNTIF(tbl_risco_quimico[ID_Quimico],A11)&gt;0,"Feita",IF(AE11="Não","N.A.",IF(AF11=1,"N.A. (só perigo físico — ATEX/SCIE)","Em falta"))))</f>
        <v>Feita</v>
      </c>
      <c r="AR11" s="23" t="str">
        <f t="shared" si="2"/>
        <v>OK</v>
      </c>
    </row>
    <row r="12" spans="1:44" ht="36" customHeight="1" x14ac:dyDescent="0.3">
      <c r="A12" s="17" t="s">
        <v>313</v>
      </c>
      <c r="B12" s="17" t="s">
        <v>314</v>
      </c>
      <c r="C12" s="17" t="s">
        <v>257</v>
      </c>
      <c r="D12" s="17" t="s">
        <v>315</v>
      </c>
      <c r="E12" s="17" t="s">
        <v>259</v>
      </c>
      <c r="F12" s="17" t="s">
        <v>260</v>
      </c>
      <c r="G12" s="17" t="s">
        <v>261</v>
      </c>
      <c r="H12" s="17" t="s">
        <v>262</v>
      </c>
      <c r="I12" s="17" t="s">
        <v>263</v>
      </c>
      <c r="J12" s="17" t="s">
        <v>264</v>
      </c>
      <c r="K12" s="19">
        <v>60</v>
      </c>
      <c r="L12" s="19">
        <v>20</v>
      </c>
      <c r="M12" s="20">
        <v>5</v>
      </c>
      <c r="N12" s="17" t="s">
        <v>316</v>
      </c>
      <c r="O12" s="17" t="s">
        <v>317</v>
      </c>
      <c r="P12" s="17" t="s">
        <v>299</v>
      </c>
      <c r="Q12" s="17" t="s">
        <v>287</v>
      </c>
      <c r="R12" s="17" t="s">
        <v>113</v>
      </c>
      <c r="S12" s="17" t="s">
        <v>113</v>
      </c>
      <c r="T12" s="17" t="s">
        <v>271</v>
      </c>
      <c r="U12" s="17" t="s">
        <v>113</v>
      </c>
      <c r="V12" s="17" t="s">
        <v>271</v>
      </c>
      <c r="W12" s="17" t="s">
        <v>271</v>
      </c>
      <c r="X12" s="17" t="s">
        <v>271</v>
      </c>
      <c r="Y12" s="17" t="s">
        <v>312</v>
      </c>
      <c r="Z12" s="17" t="s">
        <v>273</v>
      </c>
      <c r="AA12" s="21">
        <v>43565</v>
      </c>
      <c r="AB12" s="13">
        <v>0</v>
      </c>
      <c r="AC12" s="22">
        <f t="shared" si="0"/>
        <v>0</v>
      </c>
      <c r="AD12" s="23" t="str">
        <f t="shared" si="1"/>
        <v>;H315;H319;</v>
      </c>
      <c r="AE12" s="23" t="str">
        <f>IF(A12="","",IF(SUMPRODUCT(--ISNUMBER(SEARCH(";"&amp;tbl_frases_h[Codigo]&amp;";",AD12)))&gt;0,"Sim","Não"))</f>
        <v>Sim</v>
      </c>
      <c r="AF12" s="10">
        <f>IF(A12="","",MAX(1,IFERROR(_xlfn.AGGREGATE(14,6,tbl_frases_h[Classe_Perigo_Saude]/ISNUMBER(SEARCH(";"&amp;tbl_frases_h[Codigo]&amp;";",AD12)),1),1)))</f>
        <v>2</v>
      </c>
      <c r="AG12" s="23" t="str">
        <f>IF(A12="","",IF(SUMPRODUCT(ISNUMBER(SEARCH(";"&amp;tbl_frases_h[Codigo]&amp;";",AD12))*(tbl_frases_h[CMR_Categoria]="1"))&gt;0,"Cat. 1A/1B",IF(SUMPRODUCT(ISNUMBER(SEARCH(";"&amp;tbl_frases_h[Codigo]&amp;";",AD12))*(tbl_frases_h[CMR_Categoria]="2"))&gt;0,"Cat. 2","Não")))</f>
        <v>Não</v>
      </c>
      <c r="AH12" s="23" t="str">
        <f>IF(A12="","",IF(SUMPRODUCT(ISNUMBER(SEARCH(";"&amp;tbl_frases_h[Codigo]&amp;";",AD12))*(tbl_frases_h[Grupo]="Sensibilizante"))&gt;0,"Sim","Não"))</f>
        <v>Não</v>
      </c>
      <c r="AI12" s="23" t="str">
        <f>IF(A12="","",IF(SUMPRODUCT(ISNUMBER(SEARCH(";"&amp;tbl_frases_h[Codigo]&amp;";",AD12))*(tbl_frases_h[Grupo]="Toxicidade aguda (cat. 1-3)"))&gt;0,"Sim","Não"))</f>
        <v>Não</v>
      </c>
      <c r="AJ12" s="23" t="str">
        <f>IF(A12="","",IF(SUMPRODUCT(ISNUMBER(SEARCH(";"&amp;tbl_frases_h[Codigo]&amp;";",AD12))*ISNUMBER(SEARCH("STOT",tbl_frases_h[Grupo])))&gt;0,"Sim","Não"))</f>
        <v>Não</v>
      </c>
      <c r="AK12" s="23" t="str">
        <f>IF(A12="","",IF(SUMPRODUCT(ISNUMBER(SEARCH(";"&amp;tbl_frases_h[Codigo]&amp;";",AD12))*(tbl_frases_h[Tipo]="Ambiente"))&gt;0,"Sim","Não"))</f>
        <v>Não</v>
      </c>
      <c r="AL12" s="23" t="str">
        <f>IF(A12="","",IF(SUMPRODUCT(ISNUMBER(SEARCH(";"&amp;tbl_frases_h[Codigo]&amp;";",AD12))*(tbl_frases_h[Grupo]="Inflamável"))&gt;0,"Sim","Não"))</f>
        <v>Não</v>
      </c>
      <c r="AM12" s="23" t="str">
        <f>IF(A12="","",IF(SUMPRODUCT(ISNUMBER(SEARCH(";"&amp;tbl_frases_h[Codigo]&amp;";",AD12))*(tbl_frases_h[Protecao_Maternidade]="S"))&gt;0,"Sim","Não"))</f>
        <v>Não</v>
      </c>
      <c r="AN12" s="23" t="str">
        <f>IF(A12="","",IF(COUNTIFS(tbl_componentes[ID_Quimico],A12,tbl_componentes[SVHC_Acima_Limiar],"Sim")&gt;0,"Sim","Não"))</f>
        <v>Não</v>
      </c>
      <c r="AO12" s="24">
        <f>IF(A12="","",IFERROR(INDEX(tbl_fds[Data_FDS],MATCH(A12,tbl_fds[Chave_Vigor],0)),""))</f>
        <v>45473</v>
      </c>
      <c r="AP12" s="23" t="str">
        <f>IF(A12="","",IFERROR(INDEX(tbl_fds[Estado_FDS],MATCH(A12,tbl_fds[Chave_Vigor],0)),IF(C12="Artigo","N.A. (artigo)",IF(AE12="Sim","Sem FDS","Sem FDS (não obrigatória)"))))</f>
        <v>OK</v>
      </c>
      <c r="AQ12" s="23" t="str">
        <f>IF(A12="","",IF(COUNTIF(tbl_risco_quimico[ID_Quimico],A12)&gt;0,"Feita",IF(AE12="Não","N.A.",IF(AF12=1,"N.A. (só perigo físico — ATEX/SCIE)","Em falta"))))</f>
        <v>Em falta</v>
      </c>
      <c r="AR12" s="23" t="str">
        <f t="shared" si="2"/>
        <v>Avaliação de risco em falta</v>
      </c>
    </row>
    <row r="13" spans="1:44" ht="36" customHeight="1" x14ac:dyDescent="0.3">
      <c r="A13" s="17" t="s">
        <v>318</v>
      </c>
      <c r="B13" s="17" t="s">
        <v>319</v>
      </c>
      <c r="C13" s="17" t="s">
        <v>257</v>
      </c>
      <c r="D13" s="17" t="s">
        <v>315</v>
      </c>
      <c r="E13" s="17" t="s">
        <v>259</v>
      </c>
      <c r="F13" s="17" t="s">
        <v>260</v>
      </c>
      <c r="G13" s="17" t="s">
        <v>261</v>
      </c>
      <c r="H13" s="17" t="s">
        <v>262</v>
      </c>
      <c r="I13" s="17" t="s">
        <v>263</v>
      </c>
      <c r="J13" s="17" t="s">
        <v>264</v>
      </c>
      <c r="K13" s="19">
        <v>25</v>
      </c>
      <c r="L13" s="19">
        <v>10</v>
      </c>
      <c r="M13" s="20">
        <v>1</v>
      </c>
      <c r="N13" s="17" t="s">
        <v>316</v>
      </c>
      <c r="O13" s="17" t="s">
        <v>320</v>
      </c>
      <c r="P13" s="17" t="s">
        <v>321</v>
      </c>
      <c r="Q13" s="17" t="s">
        <v>268</v>
      </c>
      <c r="R13" s="17" t="s">
        <v>113</v>
      </c>
      <c r="S13" s="17" t="s">
        <v>113</v>
      </c>
      <c r="T13" s="17" t="s">
        <v>271</v>
      </c>
      <c r="U13" s="17" t="s">
        <v>113</v>
      </c>
      <c r="V13" s="17" t="s">
        <v>271</v>
      </c>
      <c r="W13" s="17" t="s">
        <v>271</v>
      </c>
      <c r="X13" s="17" t="s">
        <v>271</v>
      </c>
      <c r="Y13" s="17" t="s">
        <v>312</v>
      </c>
      <c r="Z13" s="17" t="s">
        <v>273</v>
      </c>
      <c r="AA13" s="21">
        <v>43565</v>
      </c>
      <c r="AB13" s="13">
        <v>0</v>
      </c>
      <c r="AC13" s="22">
        <f t="shared" si="0"/>
        <v>0</v>
      </c>
      <c r="AD13" s="23" t="str">
        <f t="shared" si="1"/>
        <v>;H290;H314;</v>
      </c>
      <c r="AE13" s="23" t="str">
        <f>IF(A13="","",IF(SUMPRODUCT(--ISNUMBER(SEARCH(";"&amp;tbl_frases_h[Codigo]&amp;";",AD13)))&gt;0,"Sim","Não"))</f>
        <v>Sim</v>
      </c>
      <c r="AF13" s="10">
        <f>IF(A13="","",MAX(1,IFERROR(_xlfn.AGGREGATE(14,6,tbl_frases_h[Classe_Perigo_Saude]/ISNUMBER(SEARCH(";"&amp;tbl_frases_h[Codigo]&amp;";",AD13)),1),1)))</f>
        <v>4</v>
      </c>
      <c r="AG13" s="23" t="str">
        <f>IF(A13="","",IF(SUMPRODUCT(ISNUMBER(SEARCH(";"&amp;tbl_frases_h[Codigo]&amp;";",AD13))*(tbl_frases_h[CMR_Categoria]="1"))&gt;0,"Cat. 1A/1B",IF(SUMPRODUCT(ISNUMBER(SEARCH(";"&amp;tbl_frases_h[Codigo]&amp;";",AD13))*(tbl_frases_h[CMR_Categoria]="2"))&gt;0,"Cat. 2","Não")))</f>
        <v>Não</v>
      </c>
      <c r="AH13" s="23" t="str">
        <f>IF(A13="","",IF(SUMPRODUCT(ISNUMBER(SEARCH(";"&amp;tbl_frases_h[Codigo]&amp;";",AD13))*(tbl_frases_h[Grupo]="Sensibilizante"))&gt;0,"Sim","Não"))</f>
        <v>Não</v>
      </c>
      <c r="AI13" s="23" t="str">
        <f>IF(A13="","",IF(SUMPRODUCT(ISNUMBER(SEARCH(";"&amp;tbl_frases_h[Codigo]&amp;";",AD13))*(tbl_frases_h[Grupo]="Toxicidade aguda (cat. 1-3)"))&gt;0,"Sim","Não"))</f>
        <v>Não</v>
      </c>
      <c r="AJ13" s="23" t="str">
        <f>IF(A13="","",IF(SUMPRODUCT(ISNUMBER(SEARCH(";"&amp;tbl_frases_h[Codigo]&amp;";",AD13))*ISNUMBER(SEARCH("STOT",tbl_frases_h[Grupo])))&gt;0,"Sim","Não"))</f>
        <v>Não</v>
      </c>
      <c r="AK13" s="23" t="str">
        <f>IF(A13="","",IF(SUMPRODUCT(ISNUMBER(SEARCH(";"&amp;tbl_frases_h[Codigo]&amp;";",AD13))*(tbl_frases_h[Tipo]="Ambiente"))&gt;0,"Sim","Não"))</f>
        <v>Não</v>
      </c>
      <c r="AL13" s="23" t="str">
        <f>IF(A13="","",IF(SUMPRODUCT(ISNUMBER(SEARCH(";"&amp;tbl_frases_h[Codigo]&amp;";",AD13))*(tbl_frases_h[Grupo]="Inflamável"))&gt;0,"Sim","Não"))</f>
        <v>Não</v>
      </c>
      <c r="AM13" s="23" t="str">
        <f>IF(A13="","",IF(SUMPRODUCT(ISNUMBER(SEARCH(";"&amp;tbl_frases_h[Codigo]&amp;";",AD13))*(tbl_frases_h[Protecao_Maternidade]="S"))&gt;0,"Sim","Não"))</f>
        <v>Não</v>
      </c>
      <c r="AN13" s="23" t="str">
        <f>IF(A13="","",IF(COUNTIFS(tbl_componentes[ID_Quimico],A13,tbl_componentes[SVHC_Acima_Limiar],"Sim")&gt;0,"Sim","Não"))</f>
        <v>Não</v>
      </c>
      <c r="AO13" s="24">
        <f>IF(A13="","",IFERROR(INDEX(tbl_fds[Data_FDS],MATCH(A13,tbl_fds[Chave_Vigor],0)),""))</f>
        <v>45473</v>
      </c>
      <c r="AP13" s="23" t="str">
        <f>IF(A13="","",IFERROR(INDEX(tbl_fds[Estado_FDS],MATCH(A13,tbl_fds[Chave_Vigor],0)),IF(C13="Artigo","N.A. (artigo)",IF(AE13="Sim","Sem FDS","Sem FDS (não obrigatória)"))))</f>
        <v>OK</v>
      </c>
      <c r="AQ13" s="23" t="str">
        <f>IF(A13="","",IF(COUNTIF(tbl_risco_quimico[ID_Quimico],A13)&gt;0,"Feita",IF(AE13="Não","N.A.",IF(AF13=1,"N.A. (só perigo físico — ATEX/SCIE)","Em falta"))))</f>
        <v>Feita</v>
      </c>
      <c r="AR13" s="23" t="str">
        <f t="shared" si="2"/>
        <v>OK</v>
      </c>
    </row>
    <row r="14" spans="1:44" ht="36" customHeight="1" x14ac:dyDescent="0.3">
      <c r="A14" s="17" t="s">
        <v>322</v>
      </c>
      <c r="B14" s="17" t="s">
        <v>323</v>
      </c>
      <c r="C14" s="17" t="s">
        <v>324</v>
      </c>
      <c r="D14" s="17" t="s">
        <v>325</v>
      </c>
      <c r="E14" s="17" t="s">
        <v>259</v>
      </c>
      <c r="F14" s="17" t="s">
        <v>326</v>
      </c>
      <c r="G14" s="17" t="s">
        <v>327</v>
      </c>
      <c r="H14" s="17" t="s">
        <v>305</v>
      </c>
      <c r="I14" s="17" t="s">
        <v>263</v>
      </c>
      <c r="J14" s="17" t="s">
        <v>264</v>
      </c>
      <c r="K14" s="19">
        <v>1400</v>
      </c>
      <c r="L14" s="19">
        <v>180</v>
      </c>
      <c r="M14" s="20"/>
      <c r="N14" s="17" t="s">
        <v>328</v>
      </c>
      <c r="O14" s="17" t="s">
        <v>329</v>
      </c>
      <c r="P14" s="17" t="s">
        <v>330</v>
      </c>
      <c r="Q14" s="17" t="s">
        <v>268</v>
      </c>
      <c r="R14" s="17" t="s">
        <v>331</v>
      </c>
      <c r="S14" s="17" t="s">
        <v>113</v>
      </c>
      <c r="T14" s="17" t="s">
        <v>271</v>
      </c>
      <c r="U14" s="17" t="s">
        <v>113</v>
      </c>
      <c r="V14" s="17" t="s">
        <v>271</v>
      </c>
      <c r="W14" s="17" t="s">
        <v>271</v>
      </c>
      <c r="X14" s="17" t="s">
        <v>271</v>
      </c>
      <c r="Y14" s="17" t="s">
        <v>280</v>
      </c>
      <c r="Z14" s="17" t="s">
        <v>273</v>
      </c>
      <c r="AA14" s="21">
        <v>43115</v>
      </c>
      <c r="AB14" s="13">
        <v>0</v>
      </c>
      <c r="AC14" s="22">
        <f t="shared" si="0"/>
        <v>0</v>
      </c>
      <c r="AD14" s="23" t="str">
        <f t="shared" si="1"/>
        <v>;H220;H280;</v>
      </c>
      <c r="AE14" s="23" t="str">
        <f>IF(A14="","",IF(SUMPRODUCT(--ISNUMBER(SEARCH(";"&amp;tbl_frases_h[Codigo]&amp;";",AD14)))&gt;0,"Sim","Não"))</f>
        <v>Sim</v>
      </c>
      <c r="AF14" s="10">
        <f>IF(A14="","",MAX(1,IFERROR(_xlfn.AGGREGATE(14,6,tbl_frases_h[Classe_Perigo_Saude]/ISNUMBER(SEARCH(";"&amp;tbl_frases_h[Codigo]&amp;";",AD14)),1),1)))</f>
        <v>1</v>
      </c>
      <c r="AG14" s="23" t="str">
        <f>IF(A14="","",IF(SUMPRODUCT(ISNUMBER(SEARCH(";"&amp;tbl_frases_h[Codigo]&amp;";",AD14))*(tbl_frases_h[CMR_Categoria]="1"))&gt;0,"Cat. 1A/1B",IF(SUMPRODUCT(ISNUMBER(SEARCH(";"&amp;tbl_frases_h[Codigo]&amp;";",AD14))*(tbl_frases_h[CMR_Categoria]="2"))&gt;0,"Cat. 2","Não")))</f>
        <v>Não</v>
      </c>
      <c r="AH14" s="23" t="str">
        <f>IF(A14="","",IF(SUMPRODUCT(ISNUMBER(SEARCH(";"&amp;tbl_frases_h[Codigo]&amp;";",AD14))*(tbl_frases_h[Grupo]="Sensibilizante"))&gt;0,"Sim","Não"))</f>
        <v>Não</v>
      </c>
      <c r="AI14" s="23" t="str">
        <f>IF(A14="","",IF(SUMPRODUCT(ISNUMBER(SEARCH(";"&amp;tbl_frases_h[Codigo]&amp;";",AD14))*(tbl_frases_h[Grupo]="Toxicidade aguda (cat. 1-3)"))&gt;0,"Sim","Não"))</f>
        <v>Não</v>
      </c>
      <c r="AJ14" s="23" t="str">
        <f>IF(A14="","",IF(SUMPRODUCT(ISNUMBER(SEARCH(";"&amp;tbl_frases_h[Codigo]&amp;";",AD14))*ISNUMBER(SEARCH("STOT",tbl_frases_h[Grupo])))&gt;0,"Sim","Não"))</f>
        <v>Não</v>
      </c>
      <c r="AK14" s="23" t="str">
        <f>IF(A14="","",IF(SUMPRODUCT(ISNUMBER(SEARCH(";"&amp;tbl_frases_h[Codigo]&amp;";",AD14))*(tbl_frases_h[Tipo]="Ambiente"))&gt;0,"Sim","Não"))</f>
        <v>Não</v>
      </c>
      <c r="AL14" s="23" t="str">
        <f>IF(A14="","",IF(SUMPRODUCT(ISNUMBER(SEARCH(";"&amp;tbl_frases_h[Codigo]&amp;";",AD14))*(tbl_frases_h[Grupo]="Inflamável"))&gt;0,"Sim","Não"))</f>
        <v>Sim</v>
      </c>
      <c r="AM14" s="23" t="str">
        <f>IF(A14="","",IF(SUMPRODUCT(ISNUMBER(SEARCH(";"&amp;tbl_frases_h[Codigo]&amp;";",AD14))*(tbl_frases_h[Protecao_Maternidade]="S"))&gt;0,"Sim","Não"))</f>
        <v>Não</v>
      </c>
      <c r="AN14" s="23" t="str">
        <f>IF(A14="","",IF(COUNTIFS(tbl_componentes[ID_Quimico],A14,tbl_componentes[SVHC_Acima_Limiar],"Sim")&gt;0,"Sim","Não"))</f>
        <v>Não</v>
      </c>
      <c r="AO14" s="24">
        <f>IF(A14="","",IFERROR(INDEX(tbl_fds[Data_FDS],MATCH(A14,tbl_fds[Chave_Vigor],0)),""))</f>
        <v>45601</v>
      </c>
      <c r="AP14" s="23" t="str">
        <f>IF(A14="","",IFERROR(INDEX(tbl_fds[Estado_FDS],MATCH(A14,tbl_fds[Chave_Vigor],0)),IF(C14="Artigo","N.A. (artigo)",IF(AE14="Sim","Sem FDS","Sem FDS (não obrigatória)"))))</f>
        <v>OK</v>
      </c>
      <c r="AQ14" s="23" t="str">
        <f>IF(A14="","",IF(COUNTIF(tbl_risco_quimico[ID_Quimico],A14)&gt;0,"Feita",IF(AE14="Não","N.A.",IF(AF14=1,"N.A. (só perigo físico — ATEX/SCIE)","Em falta"))))</f>
        <v>N.A. (só perigo físico — ATEX/SCIE)</v>
      </c>
      <c r="AR14" s="23" t="str">
        <f t="shared" si="2"/>
        <v>OK</v>
      </c>
    </row>
    <row r="15" spans="1:44" ht="36" customHeight="1" x14ac:dyDescent="0.3">
      <c r="A15" s="17" t="s">
        <v>332</v>
      </c>
      <c r="B15" s="17" t="s">
        <v>333</v>
      </c>
      <c r="C15" s="17" t="s">
        <v>334</v>
      </c>
      <c r="D15" s="17" t="s">
        <v>335</v>
      </c>
      <c r="E15" s="17" t="s">
        <v>336</v>
      </c>
      <c r="F15" s="17" t="s">
        <v>337</v>
      </c>
      <c r="G15" s="17" t="s">
        <v>338</v>
      </c>
      <c r="H15" s="17" t="s">
        <v>339</v>
      </c>
      <c r="I15" s="17" t="s">
        <v>263</v>
      </c>
      <c r="J15" s="17" t="s">
        <v>340</v>
      </c>
      <c r="K15" s="19">
        <v>12040</v>
      </c>
      <c r="L15" s="19">
        <v>2000</v>
      </c>
      <c r="M15" s="20"/>
      <c r="N15" s="17" t="s">
        <v>341</v>
      </c>
      <c r="O15" s="17"/>
      <c r="P15" s="17" t="s">
        <v>113</v>
      </c>
      <c r="Q15" s="17" t="s">
        <v>113</v>
      </c>
      <c r="R15" s="17" t="s">
        <v>113</v>
      </c>
      <c r="S15" s="17" t="s">
        <v>113</v>
      </c>
      <c r="T15" s="17" t="s">
        <v>271</v>
      </c>
      <c r="U15" s="17" t="s">
        <v>113</v>
      </c>
      <c r="V15" s="17" t="s">
        <v>271</v>
      </c>
      <c r="W15" s="17" t="s">
        <v>342</v>
      </c>
      <c r="X15" s="17" t="s">
        <v>263</v>
      </c>
      <c r="Y15" s="17" t="s">
        <v>343</v>
      </c>
      <c r="Z15" s="17" t="s">
        <v>281</v>
      </c>
      <c r="AA15" s="21">
        <v>43956</v>
      </c>
      <c r="AB15" s="13">
        <v>0</v>
      </c>
      <c r="AC15" s="22">
        <f t="shared" si="0"/>
        <v>0</v>
      </c>
      <c r="AD15" s="23" t="str">
        <f t="shared" si="1"/>
        <v>;;</v>
      </c>
      <c r="AE15" s="23" t="str">
        <f>IF(A15="","",IF(SUMPRODUCT(--ISNUMBER(SEARCH(";"&amp;tbl_frases_h[Codigo]&amp;";",AD15)))&gt;0,"Sim","Não"))</f>
        <v>Não</v>
      </c>
      <c r="AF15" s="10">
        <f>IF(A15="","",MAX(1,IFERROR(_xlfn.AGGREGATE(14,6,tbl_frases_h[Classe_Perigo_Saude]/ISNUMBER(SEARCH(";"&amp;tbl_frases_h[Codigo]&amp;";",AD15)),1),1)))</f>
        <v>1</v>
      </c>
      <c r="AG15" s="23" t="str">
        <f>IF(A15="","",IF(SUMPRODUCT(ISNUMBER(SEARCH(";"&amp;tbl_frases_h[Codigo]&amp;";",AD15))*(tbl_frases_h[CMR_Categoria]="1"))&gt;0,"Cat. 1A/1B",IF(SUMPRODUCT(ISNUMBER(SEARCH(";"&amp;tbl_frases_h[Codigo]&amp;";",AD15))*(tbl_frases_h[CMR_Categoria]="2"))&gt;0,"Cat. 2","Não")))</f>
        <v>Não</v>
      </c>
      <c r="AH15" s="23" t="str">
        <f>IF(A15="","",IF(SUMPRODUCT(ISNUMBER(SEARCH(";"&amp;tbl_frases_h[Codigo]&amp;";",AD15))*(tbl_frases_h[Grupo]="Sensibilizante"))&gt;0,"Sim","Não"))</f>
        <v>Não</v>
      </c>
      <c r="AI15" s="23" t="str">
        <f>IF(A15="","",IF(SUMPRODUCT(ISNUMBER(SEARCH(";"&amp;tbl_frases_h[Codigo]&amp;";",AD15))*(tbl_frases_h[Grupo]="Toxicidade aguda (cat. 1-3)"))&gt;0,"Sim","Não"))</f>
        <v>Não</v>
      </c>
      <c r="AJ15" s="23" t="str">
        <f>IF(A15="","",IF(SUMPRODUCT(ISNUMBER(SEARCH(";"&amp;tbl_frases_h[Codigo]&amp;";",AD15))*ISNUMBER(SEARCH("STOT",tbl_frases_h[Grupo])))&gt;0,"Sim","Não"))</f>
        <v>Não</v>
      </c>
      <c r="AK15" s="23" t="str">
        <f>IF(A15="","",IF(SUMPRODUCT(ISNUMBER(SEARCH(";"&amp;tbl_frases_h[Codigo]&amp;";",AD15))*(tbl_frases_h[Tipo]="Ambiente"))&gt;0,"Sim","Não"))</f>
        <v>Não</v>
      </c>
      <c r="AL15" s="23" t="str">
        <f>IF(A15="","",IF(SUMPRODUCT(ISNUMBER(SEARCH(";"&amp;tbl_frases_h[Codigo]&amp;";",AD15))*(tbl_frases_h[Grupo]="Inflamável"))&gt;0,"Sim","Não"))</f>
        <v>Não</v>
      </c>
      <c r="AM15" s="23" t="str">
        <f>IF(A15="","",IF(SUMPRODUCT(ISNUMBER(SEARCH(";"&amp;tbl_frases_h[Codigo]&amp;";",AD15))*(tbl_frases_h[Protecao_Maternidade]="S"))&gt;0,"Sim","Não"))</f>
        <v>Não</v>
      </c>
      <c r="AN15" s="23" t="str">
        <f>IF(A15="","",IF(COUNTIFS(tbl_componentes[ID_Quimico],A15,tbl_componentes[SVHC_Acima_Limiar],"Sim")&gt;0,"Sim","Não"))</f>
        <v>Não</v>
      </c>
      <c r="AO15" s="24" t="str">
        <f>IF(A15="","",IFERROR(INDEX(tbl_fds[Data_FDS],MATCH(A15,tbl_fds[Chave_Vigor],0)),""))</f>
        <v/>
      </c>
      <c r="AP15" s="23" t="str">
        <f>IF(A15="","",IFERROR(INDEX(tbl_fds[Estado_FDS],MATCH(A15,tbl_fds[Chave_Vigor],0)),IF(C15="Artigo","N.A. (artigo)",IF(AE15="Sim","Sem FDS","Sem FDS (não obrigatória)"))))</f>
        <v>N.A. (artigo)</v>
      </c>
      <c r="AQ15" s="23" t="str">
        <f>IF(A15="","",IF(COUNTIF(tbl_risco_quimico[ID_Quimico],A15)&gt;0,"Feita",IF(AE15="Não","N.A.",IF(AF15=1,"N.A. (só perigo físico — ATEX/SCIE)","Em falta"))))</f>
        <v>N.A.</v>
      </c>
      <c r="AR15" s="23" t="str">
        <f t="shared" si="2"/>
        <v>Pedir declaração (SVHC/PFAS)</v>
      </c>
    </row>
    <row r="16" spans="1:44" ht="36" customHeight="1" x14ac:dyDescent="0.3">
      <c r="A16" s="17" t="s">
        <v>344</v>
      </c>
      <c r="B16" s="17" t="s">
        <v>345</v>
      </c>
      <c r="C16" s="17" t="s">
        <v>346</v>
      </c>
      <c r="D16" s="17" t="s">
        <v>347</v>
      </c>
      <c r="E16" s="17" t="s">
        <v>348</v>
      </c>
      <c r="F16" s="17" t="s">
        <v>349</v>
      </c>
      <c r="G16" s="17" t="s">
        <v>350</v>
      </c>
      <c r="H16" s="17" t="s">
        <v>262</v>
      </c>
      <c r="I16" s="17" t="s">
        <v>263</v>
      </c>
      <c r="J16" s="17" t="s">
        <v>264</v>
      </c>
      <c r="K16" s="19">
        <v>180000</v>
      </c>
      <c r="L16" s="19">
        <v>30000</v>
      </c>
      <c r="M16" s="20"/>
      <c r="N16" s="17" t="s">
        <v>351</v>
      </c>
      <c r="O16" s="17"/>
      <c r="P16" s="17" t="s">
        <v>113</v>
      </c>
      <c r="Q16" s="17" t="s">
        <v>113</v>
      </c>
      <c r="R16" s="17" t="s">
        <v>113</v>
      </c>
      <c r="S16" s="17" t="s">
        <v>113</v>
      </c>
      <c r="T16" s="17" t="s">
        <v>271</v>
      </c>
      <c r="U16" s="17" t="s">
        <v>113</v>
      </c>
      <c r="V16" s="17" t="s">
        <v>271</v>
      </c>
      <c r="W16" s="17" t="s">
        <v>271</v>
      </c>
      <c r="X16" s="17" t="s">
        <v>263</v>
      </c>
      <c r="Y16" s="17" t="s">
        <v>352</v>
      </c>
      <c r="Z16" s="17" t="s">
        <v>273</v>
      </c>
      <c r="AA16" s="21">
        <v>43115</v>
      </c>
      <c r="AB16" s="13">
        <v>0</v>
      </c>
      <c r="AC16" s="22">
        <f t="shared" si="0"/>
        <v>0</v>
      </c>
      <c r="AD16" s="23" t="str">
        <f t="shared" si="1"/>
        <v>;;</v>
      </c>
      <c r="AE16" s="23" t="str">
        <f>IF(A16="","",IF(SUMPRODUCT(--ISNUMBER(SEARCH(";"&amp;tbl_frases_h[Codigo]&amp;";",AD16)))&gt;0,"Sim","Não"))</f>
        <v>Não</v>
      </c>
      <c r="AF16" s="10">
        <f>IF(A16="","",MAX(1,IFERROR(_xlfn.AGGREGATE(14,6,tbl_frases_h[Classe_Perigo_Saude]/ISNUMBER(SEARCH(";"&amp;tbl_frases_h[Codigo]&amp;";",AD16)),1),1)))</f>
        <v>1</v>
      </c>
      <c r="AG16" s="23" t="str">
        <f>IF(A16="","",IF(SUMPRODUCT(ISNUMBER(SEARCH(";"&amp;tbl_frases_h[Codigo]&amp;";",AD16))*(tbl_frases_h[CMR_Categoria]="1"))&gt;0,"Cat. 1A/1B",IF(SUMPRODUCT(ISNUMBER(SEARCH(";"&amp;tbl_frases_h[Codigo]&amp;";",AD16))*(tbl_frases_h[CMR_Categoria]="2"))&gt;0,"Cat. 2","Não")))</f>
        <v>Não</v>
      </c>
      <c r="AH16" s="23" t="str">
        <f>IF(A16="","",IF(SUMPRODUCT(ISNUMBER(SEARCH(";"&amp;tbl_frases_h[Codigo]&amp;";",AD16))*(tbl_frases_h[Grupo]="Sensibilizante"))&gt;0,"Sim","Não"))</f>
        <v>Não</v>
      </c>
      <c r="AI16" s="23" t="str">
        <f>IF(A16="","",IF(SUMPRODUCT(ISNUMBER(SEARCH(";"&amp;tbl_frases_h[Codigo]&amp;";",AD16))*(tbl_frases_h[Grupo]="Toxicidade aguda (cat. 1-3)"))&gt;0,"Sim","Não"))</f>
        <v>Não</v>
      </c>
      <c r="AJ16" s="23" t="str">
        <f>IF(A16="","",IF(SUMPRODUCT(ISNUMBER(SEARCH(";"&amp;tbl_frases_h[Codigo]&amp;";",AD16))*ISNUMBER(SEARCH("STOT",tbl_frases_h[Grupo])))&gt;0,"Sim","Não"))</f>
        <v>Não</v>
      </c>
      <c r="AK16" s="23" t="str">
        <f>IF(A16="","",IF(SUMPRODUCT(ISNUMBER(SEARCH(";"&amp;tbl_frases_h[Codigo]&amp;";",AD16))*(tbl_frases_h[Tipo]="Ambiente"))&gt;0,"Sim","Não"))</f>
        <v>Não</v>
      </c>
      <c r="AL16" s="23" t="str">
        <f>IF(A16="","",IF(SUMPRODUCT(ISNUMBER(SEARCH(";"&amp;tbl_frases_h[Codigo]&amp;";",AD16))*(tbl_frases_h[Grupo]="Inflamável"))&gt;0,"Sim","Não"))</f>
        <v>Não</v>
      </c>
      <c r="AM16" s="23" t="str">
        <f>IF(A16="","",IF(SUMPRODUCT(ISNUMBER(SEARCH(";"&amp;tbl_frases_h[Codigo]&amp;";",AD16))*(tbl_frases_h[Protecao_Maternidade]="S"))&gt;0,"Sim","Não"))</f>
        <v>Não</v>
      </c>
      <c r="AN16" s="23" t="str">
        <f>IF(A16="","",IF(COUNTIFS(tbl_componentes[ID_Quimico],A16,tbl_componentes[SVHC_Acima_Limiar],"Sim")&gt;0,"Sim","Não"))</f>
        <v>Não</v>
      </c>
      <c r="AO16" s="24">
        <f>IF(A16="","",IFERROR(INDEX(tbl_fds[Data_FDS],MATCH(A16,tbl_fds[Chave_Vigor],0)),""))</f>
        <v>45779</v>
      </c>
      <c r="AP16" s="23" t="str">
        <f>IF(A16="","",IFERROR(INDEX(tbl_fds[Estado_FDS],MATCH(A16,tbl_fds[Chave_Vigor],0)),IF(C16="Artigo","N.A. (artigo)",IF(AE16="Sim","Sem FDS","Sem FDS (não obrigatória)"))))</f>
        <v>OK</v>
      </c>
      <c r="AQ16" s="23" t="str">
        <f>IF(A16="","",IF(COUNTIF(tbl_risco_quimico[ID_Quimico],A16)&gt;0,"Feita",IF(AE16="Não","N.A.",IF(AF16=1,"N.A. (só perigo físico — ATEX/SCIE)","Em falta"))))</f>
        <v>N.A.</v>
      </c>
      <c r="AR16" s="23" t="str">
        <f t="shared" si="2"/>
        <v>OK</v>
      </c>
    </row>
    <row r="17" spans="1:44" ht="36" customHeight="1" x14ac:dyDescent="0.3">
      <c r="A17" s="17" t="s">
        <v>353</v>
      </c>
      <c r="B17" s="17" t="s">
        <v>354</v>
      </c>
      <c r="C17" s="17" t="s">
        <v>346</v>
      </c>
      <c r="D17" s="17" t="s">
        <v>355</v>
      </c>
      <c r="E17" s="17" t="s">
        <v>356</v>
      </c>
      <c r="F17" s="17" t="s">
        <v>357</v>
      </c>
      <c r="G17" s="17" t="s">
        <v>358</v>
      </c>
      <c r="H17" s="17" t="s">
        <v>359</v>
      </c>
      <c r="I17" s="17" t="s">
        <v>271</v>
      </c>
      <c r="J17" s="17" t="s">
        <v>360</v>
      </c>
      <c r="K17" s="19">
        <v>120000</v>
      </c>
      <c r="L17" s="19">
        <v>20000</v>
      </c>
      <c r="M17" s="20"/>
      <c r="N17" s="17" t="s">
        <v>351</v>
      </c>
      <c r="O17" s="17"/>
      <c r="P17" s="17" t="s">
        <v>113</v>
      </c>
      <c r="Q17" s="17" t="s">
        <v>113</v>
      </c>
      <c r="R17" s="17" t="s">
        <v>113</v>
      </c>
      <c r="S17" s="17" t="s">
        <v>113</v>
      </c>
      <c r="T17" s="17" t="s">
        <v>271</v>
      </c>
      <c r="U17" s="17" t="s">
        <v>113</v>
      </c>
      <c r="V17" s="17" t="s">
        <v>271</v>
      </c>
      <c r="W17" s="17" t="s">
        <v>271</v>
      </c>
      <c r="X17" s="17" t="s">
        <v>263</v>
      </c>
      <c r="Y17" s="17" t="s">
        <v>352</v>
      </c>
      <c r="Z17" s="17" t="s">
        <v>273</v>
      </c>
      <c r="AA17" s="21">
        <v>43115</v>
      </c>
      <c r="AB17" s="13">
        <v>0</v>
      </c>
      <c r="AC17" s="22">
        <f t="shared" si="0"/>
        <v>0</v>
      </c>
      <c r="AD17" s="23" t="str">
        <f t="shared" si="1"/>
        <v>;;</v>
      </c>
      <c r="AE17" s="23" t="str">
        <f>IF(A17="","",IF(SUMPRODUCT(--ISNUMBER(SEARCH(";"&amp;tbl_frases_h[Codigo]&amp;";",AD17)))&gt;0,"Sim","Não"))</f>
        <v>Não</v>
      </c>
      <c r="AF17" s="10">
        <f>IF(A17="","",MAX(1,IFERROR(_xlfn.AGGREGATE(14,6,tbl_frases_h[Classe_Perigo_Saude]/ISNUMBER(SEARCH(";"&amp;tbl_frases_h[Codigo]&amp;";",AD17)),1),1)))</f>
        <v>1</v>
      </c>
      <c r="AG17" s="23" t="str">
        <f>IF(A17="","",IF(SUMPRODUCT(ISNUMBER(SEARCH(";"&amp;tbl_frases_h[Codigo]&amp;";",AD17))*(tbl_frases_h[CMR_Categoria]="1"))&gt;0,"Cat. 1A/1B",IF(SUMPRODUCT(ISNUMBER(SEARCH(";"&amp;tbl_frases_h[Codigo]&amp;";",AD17))*(tbl_frases_h[CMR_Categoria]="2"))&gt;0,"Cat. 2","Não")))</f>
        <v>Não</v>
      </c>
      <c r="AH17" s="23" t="str">
        <f>IF(A17="","",IF(SUMPRODUCT(ISNUMBER(SEARCH(";"&amp;tbl_frases_h[Codigo]&amp;";",AD17))*(tbl_frases_h[Grupo]="Sensibilizante"))&gt;0,"Sim","Não"))</f>
        <v>Não</v>
      </c>
      <c r="AI17" s="23" t="str">
        <f>IF(A17="","",IF(SUMPRODUCT(ISNUMBER(SEARCH(";"&amp;tbl_frases_h[Codigo]&amp;";",AD17))*(tbl_frases_h[Grupo]="Toxicidade aguda (cat. 1-3)"))&gt;0,"Sim","Não"))</f>
        <v>Não</v>
      </c>
      <c r="AJ17" s="23" t="str">
        <f>IF(A17="","",IF(SUMPRODUCT(ISNUMBER(SEARCH(";"&amp;tbl_frases_h[Codigo]&amp;";",AD17))*ISNUMBER(SEARCH("STOT",tbl_frases_h[Grupo])))&gt;0,"Sim","Não"))</f>
        <v>Não</v>
      </c>
      <c r="AK17" s="23" t="str">
        <f>IF(A17="","",IF(SUMPRODUCT(ISNUMBER(SEARCH(";"&amp;tbl_frases_h[Codigo]&amp;";",AD17))*(tbl_frases_h[Tipo]="Ambiente"))&gt;0,"Sim","Não"))</f>
        <v>Não</v>
      </c>
      <c r="AL17" s="23" t="str">
        <f>IF(A17="","",IF(SUMPRODUCT(ISNUMBER(SEARCH(";"&amp;tbl_frases_h[Codigo]&amp;";",AD17))*(tbl_frases_h[Grupo]="Inflamável"))&gt;0,"Sim","Não"))</f>
        <v>Não</v>
      </c>
      <c r="AM17" s="23" t="str">
        <f>IF(A17="","",IF(SUMPRODUCT(ISNUMBER(SEARCH(";"&amp;tbl_frases_h[Codigo]&amp;";",AD17))*(tbl_frases_h[Protecao_Maternidade]="S"))&gt;0,"Sim","Não"))</f>
        <v>Não</v>
      </c>
      <c r="AN17" s="23" t="str">
        <f>IF(A17="","",IF(COUNTIFS(tbl_componentes[ID_Quimico],A17,tbl_componentes[SVHC_Acima_Limiar],"Sim")&gt;0,"Sim","Não"))</f>
        <v>Não</v>
      </c>
      <c r="AO17" s="24">
        <f>IF(A17="","",IFERROR(INDEX(tbl_fds[Data_FDS],MATCH(A17,tbl_fds[Chave_Vigor],0)),""))</f>
        <v>46032</v>
      </c>
      <c r="AP17" s="23" t="str">
        <f>IF(A17="","",IFERROR(INDEX(tbl_fds[Estado_FDS],MATCH(A17,tbl_fds[Chave_Vigor],0)),IF(C17="Artigo","N.A. (artigo)",IF(AE17="Sim","Sem FDS","Sem FDS (não obrigatória)"))))</f>
        <v>Pedir correção ao fornecedor</v>
      </c>
      <c r="AQ17" s="23" t="str">
        <f>IF(A17="","",IF(COUNTIF(tbl_risco_quimico[ID_Quimico],A17)&gt;0,"Feita",IF(AE17="Não","N.A.",IF(AF17=1,"N.A. (só perigo físico — ATEX/SCIE)","Em falta"))))</f>
        <v>Feita</v>
      </c>
      <c r="AR17" s="23" t="str">
        <f t="shared" si="2"/>
        <v>FDS — Pedir correção ao fornecedor</v>
      </c>
    </row>
    <row r="18" spans="1:44" ht="36" customHeight="1" x14ac:dyDescent="0.3">
      <c r="A18" s="17" t="s">
        <v>361</v>
      </c>
      <c r="B18" s="17" t="s">
        <v>362</v>
      </c>
      <c r="C18" s="17" t="s">
        <v>346</v>
      </c>
      <c r="D18" s="17" t="s">
        <v>363</v>
      </c>
      <c r="E18" s="17" t="s">
        <v>356</v>
      </c>
      <c r="F18" s="17" t="s">
        <v>364</v>
      </c>
      <c r="G18" s="17" t="s">
        <v>365</v>
      </c>
      <c r="H18" s="17" t="s">
        <v>359</v>
      </c>
      <c r="I18" s="17" t="s">
        <v>271</v>
      </c>
      <c r="J18" s="17" t="s">
        <v>366</v>
      </c>
      <c r="K18" s="19">
        <v>140000</v>
      </c>
      <c r="L18" s="19">
        <v>25000</v>
      </c>
      <c r="M18" s="20"/>
      <c r="N18" s="17" t="s">
        <v>351</v>
      </c>
      <c r="O18" s="17"/>
      <c r="P18" s="17" t="s">
        <v>113</v>
      </c>
      <c r="Q18" s="17" t="s">
        <v>113</v>
      </c>
      <c r="R18" s="17" t="s">
        <v>113</v>
      </c>
      <c r="S18" s="17" t="s">
        <v>113</v>
      </c>
      <c r="T18" s="17" t="s">
        <v>271</v>
      </c>
      <c r="U18" s="17" t="s">
        <v>113</v>
      </c>
      <c r="V18" s="17" t="s">
        <v>271</v>
      </c>
      <c r="W18" s="17" t="s">
        <v>271</v>
      </c>
      <c r="X18" s="17" t="s">
        <v>263</v>
      </c>
      <c r="Y18" s="17" t="s">
        <v>352</v>
      </c>
      <c r="Z18" s="17" t="s">
        <v>273</v>
      </c>
      <c r="AA18" s="21">
        <v>43115</v>
      </c>
      <c r="AB18" s="13">
        <v>0</v>
      </c>
      <c r="AC18" s="22">
        <f t="shared" si="0"/>
        <v>0</v>
      </c>
      <c r="AD18" s="23" t="str">
        <f t="shared" si="1"/>
        <v>;;</v>
      </c>
      <c r="AE18" s="23" t="str">
        <f>IF(A18="","",IF(SUMPRODUCT(--ISNUMBER(SEARCH(";"&amp;tbl_frases_h[Codigo]&amp;";",AD18)))&gt;0,"Sim","Não"))</f>
        <v>Não</v>
      </c>
      <c r="AF18" s="10">
        <f>IF(A18="","",MAX(1,IFERROR(_xlfn.AGGREGATE(14,6,tbl_frases_h[Classe_Perigo_Saude]/ISNUMBER(SEARCH(";"&amp;tbl_frases_h[Codigo]&amp;";",AD18)),1),1)))</f>
        <v>1</v>
      </c>
      <c r="AG18" s="23" t="str">
        <f>IF(A18="","",IF(SUMPRODUCT(ISNUMBER(SEARCH(";"&amp;tbl_frases_h[Codigo]&amp;";",AD18))*(tbl_frases_h[CMR_Categoria]="1"))&gt;0,"Cat. 1A/1B",IF(SUMPRODUCT(ISNUMBER(SEARCH(";"&amp;tbl_frases_h[Codigo]&amp;";",AD18))*(tbl_frases_h[CMR_Categoria]="2"))&gt;0,"Cat. 2","Não")))</f>
        <v>Não</v>
      </c>
      <c r="AH18" s="23" t="str">
        <f>IF(A18="","",IF(SUMPRODUCT(ISNUMBER(SEARCH(";"&amp;tbl_frases_h[Codigo]&amp;";",AD18))*(tbl_frases_h[Grupo]="Sensibilizante"))&gt;0,"Sim","Não"))</f>
        <v>Não</v>
      </c>
      <c r="AI18" s="23" t="str">
        <f>IF(A18="","",IF(SUMPRODUCT(ISNUMBER(SEARCH(";"&amp;tbl_frases_h[Codigo]&amp;";",AD18))*(tbl_frases_h[Grupo]="Toxicidade aguda (cat. 1-3)"))&gt;0,"Sim","Não"))</f>
        <v>Não</v>
      </c>
      <c r="AJ18" s="23" t="str">
        <f>IF(A18="","",IF(SUMPRODUCT(ISNUMBER(SEARCH(";"&amp;tbl_frases_h[Codigo]&amp;";",AD18))*ISNUMBER(SEARCH("STOT",tbl_frases_h[Grupo])))&gt;0,"Sim","Não"))</f>
        <v>Não</v>
      </c>
      <c r="AK18" s="23" t="str">
        <f>IF(A18="","",IF(SUMPRODUCT(ISNUMBER(SEARCH(";"&amp;tbl_frases_h[Codigo]&amp;";",AD18))*(tbl_frases_h[Tipo]="Ambiente"))&gt;0,"Sim","Não"))</f>
        <v>Não</v>
      </c>
      <c r="AL18" s="23" t="str">
        <f>IF(A18="","",IF(SUMPRODUCT(ISNUMBER(SEARCH(";"&amp;tbl_frases_h[Codigo]&amp;";",AD18))*(tbl_frases_h[Grupo]="Inflamável"))&gt;0,"Sim","Não"))</f>
        <v>Não</v>
      </c>
      <c r="AM18" s="23" t="str">
        <f>IF(A18="","",IF(SUMPRODUCT(ISNUMBER(SEARCH(";"&amp;tbl_frases_h[Codigo]&amp;";",AD18))*(tbl_frases_h[Protecao_Maternidade]="S"))&gt;0,"Sim","Não"))</f>
        <v>Não</v>
      </c>
      <c r="AN18" s="23" t="str">
        <f>IF(A18="","",IF(COUNTIFS(tbl_componentes[ID_Quimico],A18,tbl_componentes[SVHC_Acima_Limiar],"Sim")&gt;0,"Sim","Não"))</f>
        <v>Não</v>
      </c>
      <c r="AO18" s="24">
        <f>IF(A18="","",IFERROR(INDEX(tbl_fds[Data_FDS],MATCH(A18,tbl_fds[Chave_Vigor],0)),""))</f>
        <v>45992</v>
      </c>
      <c r="AP18" s="23" t="str">
        <f>IF(A18="","",IFERROR(INDEX(tbl_fds[Estado_FDS],MATCH(A18,tbl_fds[Chave_Vigor],0)),IF(C18="Artigo","N.A. (artigo)",IF(AE18="Sim","Sem FDS","Sem FDS (não obrigatória)"))))</f>
        <v>OK</v>
      </c>
      <c r="AQ18" s="23" t="str">
        <f>IF(A18="","",IF(COUNTIF(tbl_risco_quimico[ID_Quimico],A18)&gt;0,"Feita",IF(AE18="Não","N.A.",IF(AF18=1,"N.A. (só perigo físico — ATEX/SCIE)","Em falta"))))</f>
        <v>N.A.</v>
      </c>
      <c r="AR18" s="23" t="str">
        <f t="shared" si="2"/>
        <v>Importação — ver registo</v>
      </c>
    </row>
    <row r="19" spans="1:44" ht="36" customHeight="1" x14ac:dyDescent="0.3">
      <c r="A19" s="17" t="s">
        <v>367</v>
      </c>
      <c r="B19" s="17" t="s">
        <v>368</v>
      </c>
      <c r="C19" s="17" t="s">
        <v>346</v>
      </c>
      <c r="D19" s="17" t="s">
        <v>369</v>
      </c>
      <c r="E19" s="17" t="s">
        <v>356</v>
      </c>
      <c r="F19" s="17" t="s">
        <v>370</v>
      </c>
      <c r="G19" s="17" t="s">
        <v>371</v>
      </c>
      <c r="H19" s="17" t="s">
        <v>372</v>
      </c>
      <c r="I19" s="17" t="s">
        <v>271</v>
      </c>
      <c r="J19" s="17" t="s">
        <v>373</v>
      </c>
      <c r="K19" s="19">
        <v>60000</v>
      </c>
      <c r="L19" s="19">
        <v>10000</v>
      </c>
      <c r="M19" s="20"/>
      <c r="N19" s="17" t="s">
        <v>351</v>
      </c>
      <c r="O19" s="17"/>
      <c r="P19" s="17" t="s">
        <v>113</v>
      </c>
      <c r="Q19" s="17" t="s">
        <v>113</v>
      </c>
      <c r="R19" s="17" t="s">
        <v>113</v>
      </c>
      <c r="S19" s="17" t="s">
        <v>113</v>
      </c>
      <c r="T19" s="17" t="s">
        <v>271</v>
      </c>
      <c r="U19" s="17" t="s">
        <v>113</v>
      </c>
      <c r="V19" s="17" t="s">
        <v>271</v>
      </c>
      <c r="W19" s="17" t="s">
        <v>271</v>
      </c>
      <c r="X19" s="17" t="s">
        <v>271</v>
      </c>
      <c r="Y19" s="17" t="s">
        <v>352</v>
      </c>
      <c r="Z19" s="17" t="s">
        <v>281</v>
      </c>
      <c r="AA19" s="21">
        <v>44256</v>
      </c>
      <c r="AB19" s="13">
        <v>0</v>
      </c>
      <c r="AC19" s="22">
        <f t="shared" si="0"/>
        <v>0</v>
      </c>
      <c r="AD19" s="23" t="str">
        <f t="shared" si="1"/>
        <v>;;</v>
      </c>
      <c r="AE19" s="23" t="str">
        <f>IF(A19="","",IF(SUMPRODUCT(--ISNUMBER(SEARCH(";"&amp;tbl_frases_h[Codigo]&amp;";",AD19)))&gt;0,"Sim","Não"))</f>
        <v>Não</v>
      </c>
      <c r="AF19" s="10">
        <f>IF(A19="","",MAX(1,IFERROR(_xlfn.AGGREGATE(14,6,tbl_frases_h[Classe_Perigo_Saude]/ISNUMBER(SEARCH(";"&amp;tbl_frases_h[Codigo]&amp;";",AD19)),1),1)))</f>
        <v>1</v>
      </c>
      <c r="AG19" s="23" t="str">
        <f>IF(A19="","",IF(SUMPRODUCT(ISNUMBER(SEARCH(";"&amp;tbl_frases_h[Codigo]&amp;";",AD19))*(tbl_frases_h[CMR_Categoria]="1"))&gt;0,"Cat. 1A/1B",IF(SUMPRODUCT(ISNUMBER(SEARCH(";"&amp;tbl_frases_h[Codigo]&amp;";",AD19))*(tbl_frases_h[CMR_Categoria]="2"))&gt;0,"Cat. 2","Não")))</f>
        <v>Não</v>
      </c>
      <c r="AH19" s="23" t="str">
        <f>IF(A19="","",IF(SUMPRODUCT(ISNUMBER(SEARCH(";"&amp;tbl_frases_h[Codigo]&amp;";",AD19))*(tbl_frases_h[Grupo]="Sensibilizante"))&gt;0,"Sim","Não"))</f>
        <v>Não</v>
      </c>
      <c r="AI19" s="23" t="str">
        <f>IF(A19="","",IF(SUMPRODUCT(ISNUMBER(SEARCH(";"&amp;tbl_frases_h[Codigo]&amp;";",AD19))*(tbl_frases_h[Grupo]="Toxicidade aguda (cat. 1-3)"))&gt;0,"Sim","Não"))</f>
        <v>Não</v>
      </c>
      <c r="AJ19" s="23" t="str">
        <f>IF(A19="","",IF(SUMPRODUCT(ISNUMBER(SEARCH(";"&amp;tbl_frases_h[Codigo]&amp;";",AD19))*ISNUMBER(SEARCH("STOT",tbl_frases_h[Grupo])))&gt;0,"Sim","Não"))</f>
        <v>Não</v>
      </c>
      <c r="AK19" s="23" t="str">
        <f>IF(A19="","",IF(SUMPRODUCT(ISNUMBER(SEARCH(";"&amp;tbl_frases_h[Codigo]&amp;";",AD19))*(tbl_frases_h[Tipo]="Ambiente"))&gt;0,"Sim","Não"))</f>
        <v>Não</v>
      </c>
      <c r="AL19" s="23" t="str">
        <f>IF(A19="","",IF(SUMPRODUCT(ISNUMBER(SEARCH(";"&amp;tbl_frases_h[Codigo]&amp;";",AD19))*(tbl_frases_h[Grupo]="Inflamável"))&gt;0,"Sim","Não"))</f>
        <v>Não</v>
      </c>
      <c r="AM19" s="23" t="str">
        <f>IF(A19="","",IF(SUMPRODUCT(ISNUMBER(SEARCH(";"&amp;tbl_frases_h[Codigo]&amp;";",AD19))*(tbl_frases_h[Protecao_Maternidade]="S"))&gt;0,"Sim","Não"))</f>
        <v>Não</v>
      </c>
      <c r="AN19" s="23" t="str">
        <f>IF(A19="","",IF(COUNTIFS(tbl_componentes[ID_Quimico],A19,tbl_componentes[SVHC_Acima_Limiar],"Sim")&gt;0,"Sim","Não"))</f>
        <v>Não</v>
      </c>
      <c r="AO19" s="24">
        <f>IF(A19="","",IFERROR(INDEX(tbl_fds[Data_FDS],MATCH(A19,tbl_fds[Chave_Vigor],0)),""))</f>
        <v>45638</v>
      </c>
      <c r="AP19" s="23" t="str">
        <f>IF(A19="","",IFERROR(INDEX(tbl_fds[Estado_FDS],MATCH(A19,tbl_fds[Chave_Vigor],0)),IF(C19="Artigo","N.A. (artigo)",IF(AE19="Sim","Sem FDS","Sem FDS (não obrigatória)"))))</f>
        <v>Pedir correção ao fornecedor</v>
      </c>
      <c r="AQ19" s="23" t="str">
        <f>IF(A19="","",IF(COUNTIF(tbl_risco_quimico[ID_Quimico],A19)&gt;0,"Feita",IF(AE19="Não","N.A.",IF(AF19=1,"N.A. (só perigo físico — ATEX/SCIE)","Em falta"))))</f>
        <v>N.A.</v>
      </c>
      <c r="AR19" s="23" t="str">
        <f t="shared" si="2"/>
        <v>FDS — Pedir correção ao fornecedor</v>
      </c>
    </row>
    <row r="20" spans="1:44" ht="36" customHeight="1" x14ac:dyDescent="0.3">
      <c r="A20" s="17" t="s">
        <v>374</v>
      </c>
      <c r="B20" s="17" t="s">
        <v>375</v>
      </c>
      <c r="C20" s="17" t="s">
        <v>346</v>
      </c>
      <c r="D20" s="17" t="s">
        <v>376</v>
      </c>
      <c r="E20" s="17" t="s">
        <v>356</v>
      </c>
      <c r="F20" s="17" t="s">
        <v>377</v>
      </c>
      <c r="G20" s="17" t="s">
        <v>378</v>
      </c>
      <c r="H20" s="17" t="s">
        <v>379</v>
      </c>
      <c r="I20" s="17" t="s">
        <v>271</v>
      </c>
      <c r="J20" s="17" t="s">
        <v>373</v>
      </c>
      <c r="K20" s="19">
        <v>18000</v>
      </c>
      <c r="L20" s="19">
        <v>6000</v>
      </c>
      <c r="M20" s="20"/>
      <c r="N20" s="17" t="s">
        <v>351</v>
      </c>
      <c r="O20" s="17"/>
      <c r="P20" s="17" t="s">
        <v>113</v>
      </c>
      <c r="Q20" s="17" t="s">
        <v>113</v>
      </c>
      <c r="R20" s="17" t="s">
        <v>113</v>
      </c>
      <c r="S20" s="17" t="s">
        <v>113</v>
      </c>
      <c r="T20" s="17" t="s">
        <v>342</v>
      </c>
      <c r="U20" s="17" t="s">
        <v>380</v>
      </c>
      <c r="V20" s="17" t="s">
        <v>271</v>
      </c>
      <c r="W20" s="17" t="s">
        <v>271</v>
      </c>
      <c r="X20" s="17" t="s">
        <v>271</v>
      </c>
      <c r="Y20" s="17" t="s">
        <v>381</v>
      </c>
      <c r="Z20" s="17" t="s">
        <v>382</v>
      </c>
      <c r="AA20" s="21">
        <v>44732</v>
      </c>
      <c r="AB20" s="13">
        <v>0</v>
      </c>
      <c r="AC20" s="22">
        <f t="shared" si="0"/>
        <v>0</v>
      </c>
      <c r="AD20" s="23" t="str">
        <f t="shared" si="1"/>
        <v>;;</v>
      </c>
      <c r="AE20" s="23" t="str">
        <f>IF(A20="","",IF(SUMPRODUCT(--ISNUMBER(SEARCH(";"&amp;tbl_frases_h[Codigo]&amp;";",AD20)))&gt;0,"Sim","Não"))</f>
        <v>Não</v>
      </c>
      <c r="AF20" s="10">
        <f>IF(A20="","",MAX(1,IFERROR(_xlfn.AGGREGATE(14,6,tbl_frases_h[Classe_Perigo_Saude]/ISNUMBER(SEARCH(";"&amp;tbl_frases_h[Codigo]&amp;";",AD20)),1),1)))</f>
        <v>1</v>
      </c>
      <c r="AG20" s="23" t="str">
        <f>IF(A20="","",IF(SUMPRODUCT(ISNUMBER(SEARCH(";"&amp;tbl_frases_h[Codigo]&amp;";",AD20))*(tbl_frases_h[CMR_Categoria]="1"))&gt;0,"Cat. 1A/1B",IF(SUMPRODUCT(ISNUMBER(SEARCH(";"&amp;tbl_frases_h[Codigo]&amp;";",AD20))*(tbl_frases_h[CMR_Categoria]="2"))&gt;0,"Cat. 2","Não")))</f>
        <v>Não</v>
      </c>
      <c r="AH20" s="23" t="str">
        <f>IF(A20="","",IF(SUMPRODUCT(ISNUMBER(SEARCH(";"&amp;tbl_frases_h[Codigo]&amp;";",AD20))*(tbl_frases_h[Grupo]="Sensibilizante"))&gt;0,"Sim","Não"))</f>
        <v>Não</v>
      </c>
      <c r="AI20" s="23" t="str">
        <f>IF(A20="","",IF(SUMPRODUCT(ISNUMBER(SEARCH(";"&amp;tbl_frases_h[Codigo]&amp;";",AD20))*(tbl_frases_h[Grupo]="Toxicidade aguda (cat. 1-3)"))&gt;0,"Sim","Não"))</f>
        <v>Não</v>
      </c>
      <c r="AJ20" s="23" t="str">
        <f>IF(A20="","",IF(SUMPRODUCT(ISNUMBER(SEARCH(";"&amp;tbl_frases_h[Codigo]&amp;";",AD20))*ISNUMBER(SEARCH("STOT",tbl_frases_h[Grupo])))&gt;0,"Sim","Não"))</f>
        <v>Não</v>
      </c>
      <c r="AK20" s="23" t="str">
        <f>IF(A20="","",IF(SUMPRODUCT(ISNUMBER(SEARCH(";"&amp;tbl_frases_h[Codigo]&amp;";",AD20))*(tbl_frases_h[Tipo]="Ambiente"))&gt;0,"Sim","Não"))</f>
        <v>Não</v>
      </c>
      <c r="AL20" s="23" t="str">
        <f>IF(A20="","",IF(SUMPRODUCT(ISNUMBER(SEARCH(";"&amp;tbl_frases_h[Codigo]&amp;";",AD20))*(tbl_frases_h[Grupo]="Inflamável"))&gt;0,"Sim","Não"))</f>
        <v>Não</v>
      </c>
      <c r="AM20" s="23" t="str">
        <f>IF(A20="","",IF(SUMPRODUCT(ISNUMBER(SEARCH(";"&amp;tbl_frases_h[Codigo]&amp;";",AD20))*(tbl_frases_h[Protecao_Maternidade]="S"))&gt;0,"Sim","Não"))</f>
        <v>Não</v>
      </c>
      <c r="AN20" s="23" t="str">
        <f>IF(A20="","",IF(COUNTIFS(tbl_componentes[ID_Quimico],A20,tbl_componentes[SVHC_Acima_Limiar],"Sim")&gt;0,"Sim","Não"))</f>
        <v>Não</v>
      </c>
      <c r="AO20" s="24" t="str">
        <f>IF(A20="","",IFERROR(INDEX(tbl_fds[Data_FDS],MATCH(A20,tbl_fds[Chave_Vigor],0)),""))</f>
        <v/>
      </c>
      <c r="AP20" s="23" t="str">
        <f>IF(A20="","",IFERROR(INDEX(tbl_fds[Estado_FDS],MATCH(A20,tbl_fds[Chave_Vigor],0)),IF(C20="Artigo","N.A. (artigo)",IF(AE20="Sim","Sem FDS","Sem FDS (não obrigatória)"))))</f>
        <v>Sem FDS (não obrigatória)</v>
      </c>
      <c r="AQ20" s="23" t="str">
        <f>IF(A20="","",IF(COUNTIF(tbl_risco_quimico[ID_Quimico],A20)&gt;0,"Feita",IF(AE20="Não","N.A.",IF(AF20=1,"N.A. (só perigo físico — ATEX/SCIE)","Em falta"))))</f>
        <v>N.A.</v>
      </c>
      <c r="AR20" s="23" t="str">
        <f t="shared" si="2"/>
        <v>Uso bloqueado — Suspenso</v>
      </c>
    </row>
    <row r="21" spans="1:44" ht="36" customHeight="1" x14ac:dyDescent="0.3">
      <c r="A21" s="17" t="s">
        <v>383</v>
      </c>
      <c r="B21" s="17" t="s">
        <v>384</v>
      </c>
      <c r="C21" s="17" t="s">
        <v>346</v>
      </c>
      <c r="D21" s="17" t="s">
        <v>385</v>
      </c>
      <c r="E21" s="17" t="s">
        <v>356</v>
      </c>
      <c r="F21" s="17" t="s">
        <v>386</v>
      </c>
      <c r="G21" s="17" t="s">
        <v>387</v>
      </c>
      <c r="H21" s="17" t="s">
        <v>388</v>
      </c>
      <c r="I21" s="17" t="s">
        <v>263</v>
      </c>
      <c r="J21" s="17" t="s">
        <v>264</v>
      </c>
      <c r="K21" s="19">
        <v>150000</v>
      </c>
      <c r="L21" s="19">
        <v>25000</v>
      </c>
      <c r="M21" s="20"/>
      <c r="N21" s="17" t="s">
        <v>351</v>
      </c>
      <c r="O21" s="17"/>
      <c r="P21" s="17" t="s">
        <v>113</v>
      </c>
      <c r="Q21" s="17" t="s">
        <v>113</v>
      </c>
      <c r="R21" s="17" t="s">
        <v>113</v>
      </c>
      <c r="S21" s="17" t="s">
        <v>113</v>
      </c>
      <c r="T21" s="17" t="s">
        <v>271</v>
      </c>
      <c r="U21" s="17" t="s">
        <v>113</v>
      </c>
      <c r="V21" s="17" t="s">
        <v>271</v>
      </c>
      <c r="W21" s="17" t="s">
        <v>271</v>
      </c>
      <c r="X21" s="17" t="s">
        <v>263</v>
      </c>
      <c r="Y21" s="17" t="s">
        <v>352</v>
      </c>
      <c r="Z21" s="17" t="s">
        <v>273</v>
      </c>
      <c r="AA21" s="21">
        <v>43115</v>
      </c>
      <c r="AB21" s="13">
        <v>0</v>
      </c>
      <c r="AC21" s="22">
        <f t="shared" si="0"/>
        <v>0</v>
      </c>
      <c r="AD21" s="23" t="str">
        <f t="shared" si="1"/>
        <v>;;</v>
      </c>
      <c r="AE21" s="23" t="str">
        <f>IF(A21="","",IF(SUMPRODUCT(--ISNUMBER(SEARCH(";"&amp;tbl_frases_h[Codigo]&amp;";",AD21)))&gt;0,"Sim","Não"))</f>
        <v>Não</v>
      </c>
      <c r="AF21" s="10">
        <f>IF(A21="","",MAX(1,IFERROR(_xlfn.AGGREGATE(14,6,tbl_frases_h[Classe_Perigo_Saude]/ISNUMBER(SEARCH(";"&amp;tbl_frases_h[Codigo]&amp;";",AD21)),1),1)))</f>
        <v>1</v>
      </c>
      <c r="AG21" s="23" t="str">
        <f>IF(A21="","",IF(SUMPRODUCT(ISNUMBER(SEARCH(";"&amp;tbl_frases_h[Codigo]&amp;";",AD21))*(tbl_frases_h[CMR_Categoria]="1"))&gt;0,"Cat. 1A/1B",IF(SUMPRODUCT(ISNUMBER(SEARCH(";"&amp;tbl_frases_h[Codigo]&amp;";",AD21))*(tbl_frases_h[CMR_Categoria]="2"))&gt;0,"Cat. 2","Não")))</f>
        <v>Não</v>
      </c>
      <c r="AH21" s="23" t="str">
        <f>IF(A21="","",IF(SUMPRODUCT(ISNUMBER(SEARCH(";"&amp;tbl_frases_h[Codigo]&amp;";",AD21))*(tbl_frases_h[Grupo]="Sensibilizante"))&gt;0,"Sim","Não"))</f>
        <v>Não</v>
      </c>
      <c r="AI21" s="23" t="str">
        <f>IF(A21="","",IF(SUMPRODUCT(ISNUMBER(SEARCH(";"&amp;tbl_frases_h[Codigo]&amp;";",AD21))*(tbl_frases_h[Grupo]="Toxicidade aguda (cat. 1-3)"))&gt;0,"Sim","Não"))</f>
        <v>Não</v>
      </c>
      <c r="AJ21" s="23" t="str">
        <f>IF(A21="","",IF(SUMPRODUCT(ISNUMBER(SEARCH(";"&amp;tbl_frases_h[Codigo]&amp;";",AD21))*ISNUMBER(SEARCH("STOT",tbl_frases_h[Grupo])))&gt;0,"Sim","Não"))</f>
        <v>Não</v>
      </c>
      <c r="AK21" s="23" t="str">
        <f>IF(A21="","",IF(SUMPRODUCT(ISNUMBER(SEARCH(";"&amp;tbl_frases_h[Codigo]&amp;";",AD21))*(tbl_frases_h[Tipo]="Ambiente"))&gt;0,"Sim","Não"))</f>
        <v>Não</v>
      </c>
      <c r="AL21" s="23" t="str">
        <f>IF(A21="","",IF(SUMPRODUCT(ISNUMBER(SEARCH(";"&amp;tbl_frases_h[Codigo]&amp;";",AD21))*(tbl_frases_h[Grupo]="Inflamável"))&gt;0,"Sim","Não"))</f>
        <v>Não</v>
      </c>
      <c r="AM21" s="23" t="str">
        <f>IF(A21="","",IF(SUMPRODUCT(ISNUMBER(SEARCH(";"&amp;tbl_frases_h[Codigo]&amp;";",AD21))*(tbl_frases_h[Protecao_Maternidade]="S"))&gt;0,"Sim","Não"))</f>
        <v>Não</v>
      </c>
      <c r="AN21" s="23" t="str">
        <f>IF(A21="","",IF(COUNTIFS(tbl_componentes[ID_Quimico],A21,tbl_componentes[SVHC_Acima_Limiar],"Sim")&gt;0,"Sim","Não"))</f>
        <v>Não</v>
      </c>
      <c r="AO21" s="24">
        <f>IF(A21="","",IFERROR(INDEX(tbl_fds[Data_FDS],MATCH(A21,tbl_fds[Chave_Vigor],0)),""))</f>
        <v>46037</v>
      </c>
      <c r="AP21" s="23" t="str">
        <f>IF(A21="","",IFERROR(INDEX(tbl_fds[Estado_FDS],MATCH(A21,tbl_fds[Chave_Vigor],0)),IF(C21="Artigo","N.A. (artigo)",IF(AE21="Sim","Sem FDS","Sem FDS (não obrigatória)"))))</f>
        <v>OK</v>
      </c>
      <c r="AQ21" s="23" t="str">
        <f>IF(A21="","",IF(COUNTIF(tbl_risco_quimico[ID_Quimico],A21)&gt;0,"Feita",IF(AE21="Não","N.A.",IF(AF21=1,"N.A. (só perigo físico — ATEX/SCIE)","Em falta"))))</f>
        <v>N.A.</v>
      </c>
      <c r="AR21" s="23" t="str">
        <f t="shared" si="2"/>
        <v>OK</v>
      </c>
    </row>
    <row r="22" spans="1:44" ht="36" customHeight="1" x14ac:dyDescent="0.3">
      <c r="A22" s="17" t="s">
        <v>389</v>
      </c>
      <c r="B22" s="17" t="s">
        <v>390</v>
      </c>
      <c r="C22" s="17" t="s">
        <v>346</v>
      </c>
      <c r="D22" s="17" t="s">
        <v>391</v>
      </c>
      <c r="E22" s="17" t="s">
        <v>348</v>
      </c>
      <c r="F22" s="17" t="s">
        <v>392</v>
      </c>
      <c r="G22" s="17" t="s">
        <v>393</v>
      </c>
      <c r="H22" s="17" t="s">
        <v>394</v>
      </c>
      <c r="I22" s="17" t="s">
        <v>263</v>
      </c>
      <c r="J22" s="17" t="s">
        <v>264</v>
      </c>
      <c r="K22" s="19">
        <v>110000</v>
      </c>
      <c r="L22" s="19">
        <v>20000</v>
      </c>
      <c r="M22" s="20"/>
      <c r="N22" s="17" t="s">
        <v>351</v>
      </c>
      <c r="O22" s="17"/>
      <c r="P22" s="17" t="s">
        <v>113</v>
      </c>
      <c r="Q22" s="17" t="s">
        <v>113</v>
      </c>
      <c r="R22" s="17" t="s">
        <v>113</v>
      </c>
      <c r="S22" s="17" t="s">
        <v>113</v>
      </c>
      <c r="T22" s="17" t="s">
        <v>271</v>
      </c>
      <c r="U22" s="17" t="s">
        <v>113</v>
      </c>
      <c r="V22" s="17" t="s">
        <v>271</v>
      </c>
      <c r="W22" s="17" t="s">
        <v>271</v>
      </c>
      <c r="X22" s="17" t="s">
        <v>263</v>
      </c>
      <c r="Y22" s="17" t="s">
        <v>352</v>
      </c>
      <c r="Z22" s="17" t="s">
        <v>273</v>
      </c>
      <c r="AA22" s="21">
        <v>43115</v>
      </c>
      <c r="AB22" s="13">
        <v>0</v>
      </c>
      <c r="AC22" s="22">
        <f t="shared" si="0"/>
        <v>0</v>
      </c>
      <c r="AD22" s="23" t="str">
        <f t="shared" si="1"/>
        <v>;;</v>
      </c>
      <c r="AE22" s="23" t="str">
        <f>IF(A22="","",IF(SUMPRODUCT(--ISNUMBER(SEARCH(";"&amp;tbl_frases_h[Codigo]&amp;";",AD22)))&gt;0,"Sim","Não"))</f>
        <v>Não</v>
      </c>
      <c r="AF22" s="10">
        <f>IF(A22="","",MAX(1,IFERROR(_xlfn.AGGREGATE(14,6,tbl_frases_h[Classe_Perigo_Saude]/ISNUMBER(SEARCH(";"&amp;tbl_frases_h[Codigo]&amp;";",AD22)),1),1)))</f>
        <v>1</v>
      </c>
      <c r="AG22" s="23" t="str">
        <f>IF(A22="","",IF(SUMPRODUCT(ISNUMBER(SEARCH(";"&amp;tbl_frases_h[Codigo]&amp;";",AD22))*(tbl_frases_h[CMR_Categoria]="1"))&gt;0,"Cat. 1A/1B",IF(SUMPRODUCT(ISNUMBER(SEARCH(";"&amp;tbl_frases_h[Codigo]&amp;";",AD22))*(tbl_frases_h[CMR_Categoria]="2"))&gt;0,"Cat. 2","Não")))</f>
        <v>Não</v>
      </c>
      <c r="AH22" s="23" t="str">
        <f>IF(A22="","",IF(SUMPRODUCT(ISNUMBER(SEARCH(";"&amp;tbl_frases_h[Codigo]&amp;";",AD22))*(tbl_frases_h[Grupo]="Sensibilizante"))&gt;0,"Sim","Não"))</f>
        <v>Não</v>
      </c>
      <c r="AI22" s="23" t="str">
        <f>IF(A22="","",IF(SUMPRODUCT(ISNUMBER(SEARCH(";"&amp;tbl_frases_h[Codigo]&amp;";",AD22))*(tbl_frases_h[Grupo]="Toxicidade aguda (cat. 1-3)"))&gt;0,"Sim","Não"))</f>
        <v>Não</v>
      </c>
      <c r="AJ22" s="23" t="str">
        <f>IF(A22="","",IF(SUMPRODUCT(ISNUMBER(SEARCH(";"&amp;tbl_frases_h[Codigo]&amp;";",AD22))*ISNUMBER(SEARCH("STOT",tbl_frases_h[Grupo])))&gt;0,"Sim","Não"))</f>
        <v>Não</v>
      </c>
      <c r="AK22" s="23" t="str">
        <f>IF(A22="","",IF(SUMPRODUCT(ISNUMBER(SEARCH(";"&amp;tbl_frases_h[Codigo]&amp;";",AD22))*(tbl_frases_h[Tipo]="Ambiente"))&gt;0,"Sim","Não"))</f>
        <v>Não</v>
      </c>
      <c r="AL22" s="23" t="str">
        <f>IF(A22="","",IF(SUMPRODUCT(ISNUMBER(SEARCH(";"&amp;tbl_frases_h[Codigo]&amp;";",AD22))*(tbl_frases_h[Grupo]="Inflamável"))&gt;0,"Sim","Não"))</f>
        <v>Não</v>
      </c>
      <c r="AM22" s="23" t="str">
        <f>IF(A22="","",IF(SUMPRODUCT(ISNUMBER(SEARCH(";"&amp;tbl_frases_h[Codigo]&amp;";",AD22))*(tbl_frases_h[Protecao_Maternidade]="S"))&gt;0,"Sim","Não"))</f>
        <v>Não</v>
      </c>
      <c r="AN22" s="23" t="str">
        <f>IF(A22="","",IF(COUNTIFS(tbl_componentes[ID_Quimico],A22,tbl_componentes[SVHC_Acima_Limiar],"Sim")&gt;0,"Sim","Não"))</f>
        <v>Não</v>
      </c>
      <c r="AO22" s="24">
        <f>IF(A22="","",IFERROR(INDEX(tbl_fds[Data_FDS],MATCH(A22,tbl_fds[Chave_Vigor],0)),""))</f>
        <v>45838</v>
      </c>
      <c r="AP22" s="23" t="str">
        <f>IF(A22="","",IFERROR(INDEX(tbl_fds[Estado_FDS],MATCH(A22,tbl_fds[Chave_Vigor],0)),IF(C22="Artigo","N.A. (artigo)",IF(AE22="Sim","Sem FDS","Sem FDS (não obrigatória)"))))</f>
        <v>OK</v>
      </c>
      <c r="AQ22" s="23" t="str">
        <f>IF(A22="","",IF(COUNTIF(tbl_risco_quimico[ID_Quimico],A22)&gt;0,"Feita",IF(AE22="Não","N.A.",IF(AF22=1,"N.A. (só perigo físico — ATEX/SCIE)","Em falta"))))</f>
        <v>N.A.</v>
      </c>
      <c r="AR22" s="23" t="str">
        <f t="shared" si="2"/>
        <v>OK</v>
      </c>
    </row>
    <row r="23" spans="1:44" ht="36" customHeight="1" x14ac:dyDescent="0.3">
      <c r="A23" s="17" t="s">
        <v>395</v>
      </c>
      <c r="B23" s="17" t="s">
        <v>396</v>
      </c>
      <c r="C23" s="17" t="s">
        <v>346</v>
      </c>
      <c r="D23" s="17" t="s">
        <v>397</v>
      </c>
      <c r="E23" s="17" t="s">
        <v>348</v>
      </c>
      <c r="F23" s="17" t="s">
        <v>398</v>
      </c>
      <c r="G23" s="17" t="s">
        <v>399</v>
      </c>
      <c r="H23" s="17" t="s">
        <v>400</v>
      </c>
      <c r="I23" s="17" t="s">
        <v>271</v>
      </c>
      <c r="J23" s="17" t="s">
        <v>360</v>
      </c>
      <c r="K23" s="19">
        <v>25000</v>
      </c>
      <c r="L23" s="19">
        <v>5000</v>
      </c>
      <c r="M23" s="20"/>
      <c r="N23" s="17" t="s">
        <v>351</v>
      </c>
      <c r="O23" s="17"/>
      <c r="P23" s="17" t="s">
        <v>113</v>
      </c>
      <c r="Q23" s="17" t="s">
        <v>113</v>
      </c>
      <c r="R23" s="17" t="s">
        <v>113</v>
      </c>
      <c r="S23" s="17" t="s">
        <v>113</v>
      </c>
      <c r="T23" s="17" t="s">
        <v>271</v>
      </c>
      <c r="U23" s="17" t="s">
        <v>113</v>
      </c>
      <c r="V23" s="17" t="s">
        <v>271</v>
      </c>
      <c r="W23" s="17" t="s">
        <v>271</v>
      </c>
      <c r="X23" s="17" t="s">
        <v>263</v>
      </c>
      <c r="Y23" s="17" t="s">
        <v>381</v>
      </c>
      <c r="Z23" s="17" t="s">
        <v>273</v>
      </c>
      <c r="AA23" s="21">
        <v>46127</v>
      </c>
      <c r="AB23" s="13">
        <v>0</v>
      </c>
      <c r="AC23" s="22">
        <f t="shared" si="0"/>
        <v>0</v>
      </c>
      <c r="AD23" s="23" t="str">
        <f t="shared" si="1"/>
        <v>;;</v>
      </c>
      <c r="AE23" s="23" t="str">
        <f>IF(A23="","",IF(SUMPRODUCT(--ISNUMBER(SEARCH(";"&amp;tbl_frases_h[Codigo]&amp;";",AD23)))&gt;0,"Sim","Não"))</f>
        <v>Não</v>
      </c>
      <c r="AF23" s="10">
        <f>IF(A23="","",MAX(1,IFERROR(_xlfn.AGGREGATE(14,6,tbl_frases_h[Classe_Perigo_Saude]/ISNUMBER(SEARCH(";"&amp;tbl_frases_h[Codigo]&amp;";",AD23)),1),1)))</f>
        <v>1</v>
      </c>
      <c r="AG23" s="23" t="str">
        <f>IF(A23="","",IF(SUMPRODUCT(ISNUMBER(SEARCH(";"&amp;tbl_frases_h[Codigo]&amp;";",AD23))*(tbl_frases_h[CMR_Categoria]="1"))&gt;0,"Cat. 1A/1B",IF(SUMPRODUCT(ISNUMBER(SEARCH(";"&amp;tbl_frases_h[Codigo]&amp;";",AD23))*(tbl_frases_h[CMR_Categoria]="2"))&gt;0,"Cat. 2","Não")))</f>
        <v>Não</v>
      </c>
      <c r="AH23" s="23" t="str">
        <f>IF(A23="","",IF(SUMPRODUCT(ISNUMBER(SEARCH(";"&amp;tbl_frases_h[Codigo]&amp;";",AD23))*(tbl_frases_h[Grupo]="Sensibilizante"))&gt;0,"Sim","Não"))</f>
        <v>Não</v>
      </c>
      <c r="AI23" s="23" t="str">
        <f>IF(A23="","",IF(SUMPRODUCT(ISNUMBER(SEARCH(";"&amp;tbl_frases_h[Codigo]&amp;";",AD23))*(tbl_frases_h[Grupo]="Toxicidade aguda (cat. 1-3)"))&gt;0,"Sim","Não"))</f>
        <v>Não</v>
      </c>
      <c r="AJ23" s="23" t="str">
        <f>IF(A23="","",IF(SUMPRODUCT(ISNUMBER(SEARCH(";"&amp;tbl_frases_h[Codigo]&amp;";",AD23))*ISNUMBER(SEARCH("STOT",tbl_frases_h[Grupo])))&gt;0,"Sim","Não"))</f>
        <v>Não</v>
      </c>
      <c r="AK23" s="23" t="str">
        <f>IF(A23="","",IF(SUMPRODUCT(ISNUMBER(SEARCH(";"&amp;tbl_frases_h[Codigo]&amp;";",AD23))*(tbl_frases_h[Tipo]="Ambiente"))&gt;0,"Sim","Não"))</f>
        <v>Não</v>
      </c>
      <c r="AL23" s="23" t="str">
        <f>IF(A23="","",IF(SUMPRODUCT(ISNUMBER(SEARCH(";"&amp;tbl_frases_h[Codigo]&amp;";",AD23))*(tbl_frases_h[Grupo]="Inflamável"))&gt;0,"Sim","Não"))</f>
        <v>Não</v>
      </c>
      <c r="AM23" s="23" t="str">
        <f>IF(A23="","",IF(SUMPRODUCT(ISNUMBER(SEARCH(";"&amp;tbl_frases_h[Codigo]&amp;";",AD23))*(tbl_frases_h[Protecao_Maternidade]="S"))&gt;0,"Sim","Não"))</f>
        <v>Não</v>
      </c>
      <c r="AN23" s="23" t="str">
        <f>IF(A23="","",IF(COUNTIFS(tbl_componentes[ID_Quimico],A23,tbl_componentes[SVHC_Acima_Limiar],"Sim")&gt;0,"Sim","Não"))</f>
        <v>Não</v>
      </c>
      <c r="AO23" s="24">
        <f>IF(A23="","",IFERROR(INDEX(tbl_fds[Data_FDS],MATCH(A23,tbl_fds[Chave_Vigor],0)),""))</f>
        <v>46063</v>
      </c>
      <c r="AP23" s="23" t="str">
        <f>IF(A23="","",IFERROR(INDEX(tbl_fds[Estado_FDS],MATCH(A23,tbl_fds[Chave_Vigor],0)),IF(C23="Artigo","N.A. (artigo)",IF(AE23="Sim","Sem FDS","Sem FDS (não obrigatória)"))))</f>
        <v>OK</v>
      </c>
      <c r="AQ23" s="23" t="str">
        <f>IF(A23="","",IF(COUNTIF(tbl_risco_quimico[ID_Quimico],A23)&gt;0,"Feita",IF(AE23="Não","N.A.",IF(AF23=1,"N.A. (só perigo físico — ATEX/SCIE)","Em falta"))))</f>
        <v>N.A.</v>
      </c>
      <c r="AR23" s="23" t="str">
        <f t="shared" si="2"/>
        <v>Importação — ver registo</v>
      </c>
    </row>
    <row r="24" spans="1:44" ht="36" customHeight="1" x14ac:dyDescent="0.3">
      <c r="A24" s="17" t="s">
        <v>401</v>
      </c>
      <c r="B24" s="17" t="s">
        <v>402</v>
      </c>
      <c r="C24" s="17" t="s">
        <v>346</v>
      </c>
      <c r="D24" s="17" t="s">
        <v>403</v>
      </c>
      <c r="E24" s="17" t="s">
        <v>348</v>
      </c>
      <c r="F24" s="17" t="s">
        <v>404</v>
      </c>
      <c r="G24" s="17" t="s">
        <v>405</v>
      </c>
      <c r="H24" s="17" t="s">
        <v>394</v>
      </c>
      <c r="I24" s="17" t="s">
        <v>263</v>
      </c>
      <c r="J24" s="17" t="s">
        <v>264</v>
      </c>
      <c r="K24" s="19">
        <v>45000</v>
      </c>
      <c r="L24" s="19">
        <v>8000</v>
      </c>
      <c r="M24" s="20"/>
      <c r="N24" s="17" t="s">
        <v>351</v>
      </c>
      <c r="O24" s="17"/>
      <c r="P24" s="17" t="s">
        <v>113</v>
      </c>
      <c r="Q24" s="17" t="s">
        <v>113</v>
      </c>
      <c r="R24" s="17" t="s">
        <v>113</v>
      </c>
      <c r="S24" s="17" t="s">
        <v>113</v>
      </c>
      <c r="T24" s="17" t="s">
        <v>271</v>
      </c>
      <c r="U24" s="17" t="s">
        <v>113</v>
      </c>
      <c r="V24" s="17" t="s">
        <v>271</v>
      </c>
      <c r="W24" s="17" t="s">
        <v>271</v>
      </c>
      <c r="X24" s="17" t="s">
        <v>263</v>
      </c>
      <c r="Y24" s="17" t="s">
        <v>381</v>
      </c>
      <c r="Z24" s="17" t="s">
        <v>273</v>
      </c>
      <c r="AA24" s="21">
        <v>46127</v>
      </c>
      <c r="AB24" s="13">
        <v>0</v>
      </c>
      <c r="AC24" s="22">
        <f t="shared" si="0"/>
        <v>0</v>
      </c>
      <c r="AD24" s="23" t="str">
        <f t="shared" si="1"/>
        <v>;;</v>
      </c>
      <c r="AE24" s="23" t="str">
        <f>IF(A24="","",IF(SUMPRODUCT(--ISNUMBER(SEARCH(";"&amp;tbl_frases_h[Codigo]&amp;";",AD24)))&gt;0,"Sim","Não"))</f>
        <v>Não</v>
      </c>
      <c r="AF24" s="10">
        <f>IF(A24="","",MAX(1,IFERROR(_xlfn.AGGREGATE(14,6,tbl_frases_h[Classe_Perigo_Saude]/ISNUMBER(SEARCH(";"&amp;tbl_frases_h[Codigo]&amp;";",AD24)),1),1)))</f>
        <v>1</v>
      </c>
      <c r="AG24" s="23" t="str">
        <f>IF(A24="","",IF(SUMPRODUCT(ISNUMBER(SEARCH(";"&amp;tbl_frases_h[Codigo]&amp;";",AD24))*(tbl_frases_h[CMR_Categoria]="1"))&gt;0,"Cat. 1A/1B",IF(SUMPRODUCT(ISNUMBER(SEARCH(";"&amp;tbl_frases_h[Codigo]&amp;";",AD24))*(tbl_frases_h[CMR_Categoria]="2"))&gt;0,"Cat. 2","Não")))</f>
        <v>Não</v>
      </c>
      <c r="AH24" s="23" t="str">
        <f>IF(A24="","",IF(SUMPRODUCT(ISNUMBER(SEARCH(";"&amp;tbl_frases_h[Codigo]&amp;";",AD24))*(tbl_frases_h[Grupo]="Sensibilizante"))&gt;0,"Sim","Não"))</f>
        <v>Não</v>
      </c>
      <c r="AI24" s="23" t="str">
        <f>IF(A24="","",IF(SUMPRODUCT(ISNUMBER(SEARCH(";"&amp;tbl_frases_h[Codigo]&amp;";",AD24))*(tbl_frases_h[Grupo]="Toxicidade aguda (cat. 1-3)"))&gt;0,"Sim","Não"))</f>
        <v>Não</v>
      </c>
      <c r="AJ24" s="23" t="str">
        <f>IF(A24="","",IF(SUMPRODUCT(ISNUMBER(SEARCH(";"&amp;tbl_frases_h[Codigo]&amp;";",AD24))*ISNUMBER(SEARCH("STOT",tbl_frases_h[Grupo])))&gt;0,"Sim","Não"))</f>
        <v>Não</v>
      </c>
      <c r="AK24" s="23" t="str">
        <f>IF(A24="","",IF(SUMPRODUCT(ISNUMBER(SEARCH(";"&amp;tbl_frases_h[Codigo]&amp;";",AD24))*(tbl_frases_h[Tipo]="Ambiente"))&gt;0,"Sim","Não"))</f>
        <v>Não</v>
      </c>
      <c r="AL24" s="23" t="str">
        <f>IF(A24="","",IF(SUMPRODUCT(ISNUMBER(SEARCH(";"&amp;tbl_frases_h[Codigo]&amp;";",AD24))*(tbl_frases_h[Grupo]="Inflamável"))&gt;0,"Sim","Não"))</f>
        <v>Não</v>
      </c>
      <c r="AM24" s="23" t="str">
        <f>IF(A24="","",IF(SUMPRODUCT(ISNUMBER(SEARCH(";"&amp;tbl_frases_h[Codigo]&amp;";",AD24))*(tbl_frases_h[Protecao_Maternidade]="S"))&gt;0,"Sim","Não"))</f>
        <v>Não</v>
      </c>
      <c r="AN24" s="23" t="str">
        <f>IF(A24="","",IF(COUNTIFS(tbl_componentes[ID_Quimico],A24,tbl_componentes[SVHC_Acima_Limiar],"Sim")&gt;0,"Sim","Não"))</f>
        <v>Não</v>
      </c>
      <c r="AO24" s="24">
        <f>IF(A24="","",IFERROR(INDEX(tbl_fds[Data_FDS],MATCH(A24,tbl_fds[Chave_Vigor],0)),""))</f>
        <v>46188</v>
      </c>
      <c r="AP24" s="23" t="str">
        <f>IF(A24="","",IFERROR(INDEX(tbl_fds[Estado_FDS],MATCH(A24,tbl_fds[Chave_Vigor],0)),IF(C24="Artigo","N.A. (artigo)",IF(AE24="Sim","Sem FDS","Sem FDS (não obrigatória)"))))</f>
        <v>OK</v>
      </c>
      <c r="AQ24" s="23" t="str">
        <f>IF(A24="","",IF(COUNTIF(tbl_risco_quimico[ID_Quimico],A24)&gt;0,"Feita",IF(AE24="Não","N.A.",IF(AF24=1,"N.A. (só perigo físico — ATEX/SCIE)","Em falta"))))</f>
        <v>N.A.</v>
      </c>
      <c r="AR24" s="23" t="str">
        <f t="shared" si="2"/>
        <v>OK</v>
      </c>
    </row>
    <row r="25" spans="1:44" ht="36" customHeight="1" x14ac:dyDescent="0.3">
      <c r="A25" s="17" t="s">
        <v>406</v>
      </c>
      <c r="B25" s="17" t="s">
        <v>407</v>
      </c>
      <c r="C25" s="17" t="s">
        <v>257</v>
      </c>
      <c r="D25" s="17" t="s">
        <v>408</v>
      </c>
      <c r="E25" s="17" t="s">
        <v>348</v>
      </c>
      <c r="F25" s="17" t="s">
        <v>409</v>
      </c>
      <c r="G25" s="17" t="s">
        <v>410</v>
      </c>
      <c r="H25" s="17" t="s">
        <v>305</v>
      </c>
      <c r="I25" s="17" t="s">
        <v>263</v>
      </c>
      <c r="J25" s="17" t="s">
        <v>264</v>
      </c>
      <c r="K25" s="19">
        <v>16000</v>
      </c>
      <c r="L25" s="19">
        <v>3000</v>
      </c>
      <c r="M25" s="20"/>
      <c r="N25" s="17" t="s">
        <v>351</v>
      </c>
      <c r="O25" s="17"/>
      <c r="P25" s="17" t="s">
        <v>113</v>
      </c>
      <c r="Q25" s="17" t="s">
        <v>113</v>
      </c>
      <c r="R25" s="17" t="s">
        <v>113</v>
      </c>
      <c r="S25" s="17" t="s">
        <v>113</v>
      </c>
      <c r="T25" s="17" t="s">
        <v>271</v>
      </c>
      <c r="U25" s="17" t="s">
        <v>113</v>
      </c>
      <c r="V25" s="17" t="s">
        <v>271</v>
      </c>
      <c r="W25" s="17" t="s">
        <v>271</v>
      </c>
      <c r="X25" s="17" t="s">
        <v>263</v>
      </c>
      <c r="Y25" s="17" t="s">
        <v>381</v>
      </c>
      <c r="Z25" s="17" t="s">
        <v>273</v>
      </c>
      <c r="AA25" s="21">
        <v>43115</v>
      </c>
      <c r="AB25" s="13">
        <v>0</v>
      </c>
      <c r="AC25" s="22">
        <f t="shared" si="0"/>
        <v>0</v>
      </c>
      <c r="AD25" s="23" t="str">
        <f t="shared" si="1"/>
        <v>;;</v>
      </c>
      <c r="AE25" s="23" t="str">
        <f>IF(A25="","",IF(SUMPRODUCT(--ISNUMBER(SEARCH(";"&amp;tbl_frases_h[Codigo]&amp;";",AD25)))&gt;0,"Sim","Não"))</f>
        <v>Não</v>
      </c>
      <c r="AF25" s="10">
        <f>IF(A25="","",MAX(1,IFERROR(_xlfn.AGGREGATE(14,6,tbl_frases_h[Classe_Perigo_Saude]/ISNUMBER(SEARCH(";"&amp;tbl_frases_h[Codigo]&amp;";",AD25)),1),1)))</f>
        <v>1</v>
      </c>
      <c r="AG25" s="23" t="str">
        <f>IF(A25="","",IF(SUMPRODUCT(ISNUMBER(SEARCH(";"&amp;tbl_frases_h[Codigo]&amp;";",AD25))*(tbl_frases_h[CMR_Categoria]="1"))&gt;0,"Cat. 1A/1B",IF(SUMPRODUCT(ISNUMBER(SEARCH(";"&amp;tbl_frases_h[Codigo]&amp;";",AD25))*(tbl_frases_h[CMR_Categoria]="2"))&gt;0,"Cat. 2","Não")))</f>
        <v>Não</v>
      </c>
      <c r="AH25" s="23" t="str">
        <f>IF(A25="","",IF(SUMPRODUCT(ISNUMBER(SEARCH(";"&amp;tbl_frases_h[Codigo]&amp;";",AD25))*(tbl_frases_h[Grupo]="Sensibilizante"))&gt;0,"Sim","Não"))</f>
        <v>Não</v>
      </c>
      <c r="AI25" s="23" t="str">
        <f>IF(A25="","",IF(SUMPRODUCT(ISNUMBER(SEARCH(";"&amp;tbl_frases_h[Codigo]&amp;";",AD25))*(tbl_frases_h[Grupo]="Toxicidade aguda (cat. 1-3)"))&gt;0,"Sim","Não"))</f>
        <v>Não</v>
      </c>
      <c r="AJ25" s="23" t="str">
        <f>IF(A25="","",IF(SUMPRODUCT(ISNUMBER(SEARCH(";"&amp;tbl_frases_h[Codigo]&amp;";",AD25))*ISNUMBER(SEARCH("STOT",tbl_frases_h[Grupo])))&gt;0,"Sim","Não"))</f>
        <v>Não</v>
      </c>
      <c r="AK25" s="23" t="str">
        <f>IF(A25="","",IF(SUMPRODUCT(ISNUMBER(SEARCH(";"&amp;tbl_frases_h[Codigo]&amp;";",AD25))*(tbl_frases_h[Tipo]="Ambiente"))&gt;0,"Sim","Não"))</f>
        <v>Não</v>
      </c>
      <c r="AL25" s="23" t="str">
        <f>IF(A25="","",IF(SUMPRODUCT(ISNUMBER(SEARCH(";"&amp;tbl_frases_h[Codigo]&amp;";",AD25))*(tbl_frases_h[Grupo]="Inflamável"))&gt;0,"Sim","Não"))</f>
        <v>Não</v>
      </c>
      <c r="AM25" s="23" t="str">
        <f>IF(A25="","",IF(SUMPRODUCT(ISNUMBER(SEARCH(";"&amp;tbl_frases_h[Codigo]&amp;";",AD25))*(tbl_frases_h[Protecao_Maternidade]="S"))&gt;0,"Sim","Não"))</f>
        <v>Não</v>
      </c>
      <c r="AN25" s="23" t="str">
        <f>IF(A25="","",IF(COUNTIFS(tbl_componentes[ID_Quimico],A25,tbl_componentes[SVHC_Acima_Limiar],"Sim")&gt;0,"Sim","Não"))</f>
        <v>Não</v>
      </c>
      <c r="AO25" s="24">
        <f>IF(A25="","",IFERROR(INDEX(tbl_fds[Data_FDS],MATCH(A25,tbl_fds[Chave_Vigor],0)),""))</f>
        <v>46009</v>
      </c>
      <c r="AP25" s="23" t="str">
        <f>IF(A25="","",IFERROR(INDEX(tbl_fds[Estado_FDS],MATCH(A25,tbl_fds[Chave_Vigor],0)),IF(C25="Artigo","N.A. (artigo)",IF(AE25="Sim","Sem FDS","Sem FDS (não obrigatória)"))))</f>
        <v>OK</v>
      </c>
      <c r="AQ25" s="23" t="str">
        <f>IF(A25="","",IF(COUNTIF(tbl_risco_quimico[ID_Quimico],A25)&gt;0,"Feita",IF(AE25="Não","N.A.",IF(AF25=1,"N.A. (só perigo físico — ATEX/SCIE)","Em falta"))))</f>
        <v>N.A.</v>
      </c>
      <c r="AR25" s="23" t="str">
        <f t="shared" si="2"/>
        <v>OK</v>
      </c>
    </row>
    <row r="26" spans="1:44" ht="36" customHeight="1" x14ac:dyDescent="0.3">
      <c r="A26" s="17" t="s">
        <v>411</v>
      </c>
      <c r="B26" s="17" t="s">
        <v>412</v>
      </c>
      <c r="C26" s="17" t="s">
        <v>257</v>
      </c>
      <c r="D26" s="17" t="s">
        <v>413</v>
      </c>
      <c r="E26" s="17" t="s">
        <v>348</v>
      </c>
      <c r="F26" s="17" t="s">
        <v>409</v>
      </c>
      <c r="G26" s="17" t="s">
        <v>410</v>
      </c>
      <c r="H26" s="17" t="s">
        <v>305</v>
      </c>
      <c r="I26" s="17" t="s">
        <v>263</v>
      </c>
      <c r="J26" s="17" t="s">
        <v>264</v>
      </c>
      <c r="K26" s="19">
        <v>800</v>
      </c>
      <c r="L26" s="19">
        <v>200</v>
      </c>
      <c r="M26" s="20"/>
      <c r="N26" s="17" t="s">
        <v>351</v>
      </c>
      <c r="O26" s="17"/>
      <c r="P26" s="17" t="s">
        <v>113</v>
      </c>
      <c r="Q26" s="17" t="s">
        <v>113</v>
      </c>
      <c r="R26" s="17" t="s">
        <v>113</v>
      </c>
      <c r="S26" s="17" t="s">
        <v>113</v>
      </c>
      <c r="T26" s="17" t="s">
        <v>342</v>
      </c>
      <c r="U26" s="17" t="s">
        <v>113</v>
      </c>
      <c r="V26" s="17" t="s">
        <v>271</v>
      </c>
      <c r="W26" s="17" t="s">
        <v>342</v>
      </c>
      <c r="X26" s="17" t="s">
        <v>263</v>
      </c>
      <c r="Y26" s="17" t="s">
        <v>381</v>
      </c>
      <c r="Z26" s="17" t="s">
        <v>281</v>
      </c>
      <c r="AA26" s="21">
        <v>43709</v>
      </c>
      <c r="AB26" s="13">
        <v>0</v>
      </c>
      <c r="AC26" s="22">
        <f t="shared" si="0"/>
        <v>0</v>
      </c>
      <c r="AD26" s="23" t="str">
        <f t="shared" si="1"/>
        <v>;;</v>
      </c>
      <c r="AE26" s="23" t="str">
        <f>IF(A26="","",IF(SUMPRODUCT(--ISNUMBER(SEARCH(";"&amp;tbl_frases_h[Codigo]&amp;";",AD26)))&gt;0,"Sim","Não"))</f>
        <v>Não</v>
      </c>
      <c r="AF26" s="10">
        <f>IF(A26="","",MAX(1,IFERROR(_xlfn.AGGREGATE(14,6,tbl_frases_h[Classe_Perigo_Saude]/ISNUMBER(SEARCH(";"&amp;tbl_frases_h[Codigo]&amp;";",AD26)),1),1)))</f>
        <v>1</v>
      </c>
      <c r="AG26" s="23" t="str">
        <f>IF(A26="","",IF(SUMPRODUCT(ISNUMBER(SEARCH(";"&amp;tbl_frases_h[Codigo]&amp;";",AD26))*(tbl_frases_h[CMR_Categoria]="1"))&gt;0,"Cat. 1A/1B",IF(SUMPRODUCT(ISNUMBER(SEARCH(";"&amp;tbl_frases_h[Codigo]&amp;";",AD26))*(tbl_frases_h[CMR_Categoria]="2"))&gt;0,"Cat. 2","Não")))</f>
        <v>Não</v>
      </c>
      <c r="AH26" s="23" t="str">
        <f>IF(A26="","",IF(SUMPRODUCT(ISNUMBER(SEARCH(";"&amp;tbl_frases_h[Codigo]&amp;";",AD26))*(tbl_frases_h[Grupo]="Sensibilizante"))&gt;0,"Sim","Não"))</f>
        <v>Não</v>
      </c>
      <c r="AI26" s="23" t="str">
        <f>IF(A26="","",IF(SUMPRODUCT(ISNUMBER(SEARCH(";"&amp;tbl_frases_h[Codigo]&amp;";",AD26))*(tbl_frases_h[Grupo]="Toxicidade aguda (cat. 1-3)"))&gt;0,"Sim","Não"))</f>
        <v>Não</v>
      </c>
      <c r="AJ26" s="23" t="str">
        <f>IF(A26="","",IF(SUMPRODUCT(ISNUMBER(SEARCH(";"&amp;tbl_frases_h[Codigo]&amp;";",AD26))*ISNUMBER(SEARCH("STOT",tbl_frases_h[Grupo])))&gt;0,"Sim","Não"))</f>
        <v>Não</v>
      </c>
      <c r="AK26" s="23" t="str">
        <f>IF(A26="","",IF(SUMPRODUCT(ISNUMBER(SEARCH(";"&amp;tbl_frases_h[Codigo]&amp;";",AD26))*(tbl_frases_h[Tipo]="Ambiente"))&gt;0,"Sim","Não"))</f>
        <v>Não</v>
      </c>
      <c r="AL26" s="23" t="str">
        <f>IF(A26="","",IF(SUMPRODUCT(ISNUMBER(SEARCH(";"&amp;tbl_frases_h[Codigo]&amp;";",AD26))*(tbl_frases_h[Grupo]="Inflamável"))&gt;0,"Sim","Não"))</f>
        <v>Não</v>
      </c>
      <c r="AM26" s="23" t="str">
        <f>IF(A26="","",IF(SUMPRODUCT(ISNUMBER(SEARCH(";"&amp;tbl_frases_h[Codigo]&amp;";",AD26))*(tbl_frases_h[Protecao_Maternidade]="S"))&gt;0,"Sim","Não"))</f>
        <v>Não</v>
      </c>
      <c r="AN26" s="23" t="str">
        <f>IF(A26="","",IF(COUNTIFS(tbl_componentes[ID_Quimico],A26,tbl_componentes[SVHC_Acima_Limiar],"Sim")&gt;0,"Sim","Não"))</f>
        <v>Não</v>
      </c>
      <c r="AO26" s="24">
        <f>IF(A26="","",IFERROR(INDEX(tbl_fds[Data_FDS],MATCH(A26,tbl_fds[Chave_Vigor],0)),""))</f>
        <v>43628</v>
      </c>
      <c r="AP26" s="23" t="str">
        <f>IF(A26="","",IFERROR(INDEX(tbl_fds[Estado_FDS],MATCH(A26,tbl_fds[Chave_Vigor],0)),IF(C26="Artigo","N.A. (artigo)",IF(AE26="Sim","Sem FDS","Sem FDS (não obrigatória)"))))</f>
        <v>Pedir correção ao fornecedor</v>
      </c>
      <c r="AQ26" s="23" t="str">
        <f>IF(A26="","",IF(COUNTIF(tbl_risco_quimico[ID_Quimico],A26)&gt;0,"Feita",IF(AE26="Não","N.A.",IF(AF26=1,"N.A. (só perigo físico — ATEX/SCIE)","Em falta"))))</f>
        <v>N.A.</v>
      </c>
      <c r="AR26" s="23" t="str">
        <f t="shared" si="2"/>
        <v>Pedir declaração (SVHC/PFAS)</v>
      </c>
    </row>
    <row r="27" spans="1:44" ht="36" customHeight="1" x14ac:dyDescent="0.3">
      <c r="A27" s="17" t="s">
        <v>414</v>
      </c>
      <c r="B27" s="17" t="s">
        <v>415</v>
      </c>
      <c r="C27" s="17" t="s">
        <v>257</v>
      </c>
      <c r="D27" s="17" t="s">
        <v>416</v>
      </c>
      <c r="E27" s="17" t="s">
        <v>356</v>
      </c>
      <c r="F27" s="17" t="s">
        <v>409</v>
      </c>
      <c r="G27" s="17" t="s">
        <v>410</v>
      </c>
      <c r="H27" s="17" t="s">
        <v>305</v>
      </c>
      <c r="I27" s="17" t="s">
        <v>263</v>
      </c>
      <c r="J27" s="17" t="s">
        <v>264</v>
      </c>
      <c r="K27" s="19">
        <v>400</v>
      </c>
      <c r="L27" s="19">
        <v>100</v>
      </c>
      <c r="M27" s="20"/>
      <c r="N27" s="17" t="s">
        <v>351</v>
      </c>
      <c r="O27" s="17"/>
      <c r="P27" s="17" t="s">
        <v>113</v>
      </c>
      <c r="Q27" s="17" t="s">
        <v>113</v>
      </c>
      <c r="R27" s="17" t="s">
        <v>113</v>
      </c>
      <c r="S27" s="17" t="s">
        <v>113</v>
      </c>
      <c r="T27" s="17" t="s">
        <v>271</v>
      </c>
      <c r="U27" s="17" t="s">
        <v>113</v>
      </c>
      <c r="V27" s="17" t="s">
        <v>271</v>
      </c>
      <c r="W27" s="17" t="s">
        <v>271</v>
      </c>
      <c r="X27" s="17" t="s">
        <v>271</v>
      </c>
      <c r="Y27" s="17" t="s">
        <v>381</v>
      </c>
      <c r="Z27" s="17" t="s">
        <v>273</v>
      </c>
      <c r="AA27" s="21">
        <v>46132</v>
      </c>
      <c r="AB27" s="13">
        <v>0</v>
      </c>
      <c r="AC27" s="22">
        <f t="shared" si="0"/>
        <v>0</v>
      </c>
      <c r="AD27" s="23" t="str">
        <f t="shared" si="1"/>
        <v>;;</v>
      </c>
      <c r="AE27" s="23" t="str">
        <f>IF(A27="","",IF(SUMPRODUCT(--ISNUMBER(SEARCH(";"&amp;tbl_frases_h[Codigo]&amp;";",AD27)))&gt;0,"Sim","Não"))</f>
        <v>Não</v>
      </c>
      <c r="AF27" s="10">
        <f>IF(A27="","",MAX(1,IFERROR(_xlfn.AGGREGATE(14,6,tbl_frases_h[Classe_Perigo_Saude]/ISNUMBER(SEARCH(";"&amp;tbl_frases_h[Codigo]&amp;";",AD27)),1),1)))</f>
        <v>1</v>
      </c>
      <c r="AG27" s="23" t="str">
        <f>IF(A27="","",IF(SUMPRODUCT(ISNUMBER(SEARCH(";"&amp;tbl_frases_h[Codigo]&amp;";",AD27))*(tbl_frases_h[CMR_Categoria]="1"))&gt;0,"Cat. 1A/1B",IF(SUMPRODUCT(ISNUMBER(SEARCH(";"&amp;tbl_frases_h[Codigo]&amp;";",AD27))*(tbl_frases_h[CMR_Categoria]="2"))&gt;0,"Cat. 2","Não")))</f>
        <v>Não</v>
      </c>
      <c r="AH27" s="23" t="str">
        <f>IF(A27="","",IF(SUMPRODUCT(ISNUMBER(SEARCH(";"&amp;tbl_frases_h[Codigo]&amp;";",AD27))*(tbl_frases_h[Grupo]="Sensibilizante"))&gt;0,"Sim","Não"))</f>
        <v>Não</v>
      </c>
      <c r="AI27" s="23" t="str">
        <f>IF(A27="","",IF(SUMPRODUCT(ISNUMBER(SEARCH(";"&amp;tbl_frases_h[Codigo]&amp;";",AD27))*(tbl_frases_h[Grupo]="Toxicidade aguda (cat. 1-3)"))&gt;0,"Sim","Não"))</f>
        <v>Não</v>
      </c>
      <c r="AJ27" s="23" t="str">
        <f>IF(A27="","",IF(SUMPRODUCT(ISNUMBER(SEARCH(";"&amp;tbl_frases_h[Codigo]&amp;";",AD27))*ISNUMBER(SEARCH("STOT",tbl_frases_h[Grupo])))&gt;0,"Sim","Não"))</f>
        <v>Não</v>
      </c>
      <c r="AK27" s="23" t="str">
        <f>IF(A27="","",IF(SUMPRODUCT(ISNUMBER(SEARCH(";"&amp;tbl_frases_h[Codigo]&amp;";",AD27))*(tbl_frases_h[Tipo]="Ambiente"))&gt;0,"Sim","Não"))</f>
        <v>Não</v>
      </c>
      <c r="AL27" s="23" t="str">
        <f>IF(A27="","",IF(SUMPRODUCT(ISNUMBER(SEARCH(";"&amp;tbl_frases_h[Codigo]&amp;";",AD27))*(tbl_frases_h[Grupo]="Inflamável"))&gt;0,"Sim","Não"))</f>
        <v>Não</v>
      </c>
      <c r="AM27" s="23" t="str">
        <f>IF(A27="","",IF(SUMPRODUCT(ISNUMBER(SEARCH(";"&amp;tbl_frases_h[Codigo]&amp;";",AD27))*(tbl_frases_h[Protecao_Maternidade]="S"))&gt;0,"Sim","Não"))</f>
        <v>Não</v>
      </c>
      <c r="AN27" s="23" t="str">
        <f>IF(A27="","",IF(COUNTIFS(tbl_componentes[ID_Quimico],A27,tbl_componentes[SVHC_Acima_Limiar],"Sim")&gt;0,"Sim","Não"))</f>
        <v>Não</v>
      </c>
      <c r="AO27" s="24">
        <f>IF(A27="","",IFERROR(INDEX(tbl_fds[Data_FDS],MATCH(A27,tbl_fds[Chave_Vigor],0)),""))</f>
        <v>46111</v>
      </c>
      <c r="AP27" s="23" t="str">
        <f>IF(A27="","",IFERROR(INDEX(tbl_fds[Estado_FDS],MATCH(A27,tbl_fds[Chave_Vigor],0)),IF(C27="Artigo","N.A. (artigo)",IF(AE27="Sim","Sem FDS","Sem FDS (não obrigatória)"))))</f>
        <v>OK</v>
      </c>
      <c r="AQ27" s="23" t="str">
        <f>IF(A27="","",IF(COUNTIF(tbl_risco_quimico[ID_Quimico],A27)&gt;0,"Feita",IF(AE27="Não","N.A.",IF(AF27=1,"N.A. (só perigo físico — ATEX/SCIE)","Em falta"))))</f>
        <v>N.A.</v>
      </c>
      <c r="AR27" s="23" t="str">
        <f t="shared" si="2"/>
        <v>OK</v>
      </c>
    </row>
    <row r="28" spans="1:44" ht="36" customHeight="1" x14ac:dyDescent="0.3">
      <c r="A28" s="17" t="s">
        <v>417</v>
      </c>
      <c r="B28" s="17" t="s">
        <v>418</v>
      </c>
      <c r="C28" s="17" t="s">
        <v>419</v>
      </c>
      <c r="D28" s="17" t="s">
        <v>420</v>
      </c>
      <c r="E28" s="17" t="s">
        <v>348</v>
      </c>
      <c r="F28" s="17" t="s">
        <v>421</v>
      </c>
      <c r="G28" s="17" t="s">
        <v>422</v>
      </c>
      <c r="H28" s="17" t="s">
        <v>305</v>
      </c>
      <c r="I28" s="17" t="s">
        <v>263</v>
      </c>
      <c r="J28" s="17" t="s">
        <v>264</v>
      </c>
      <c r="K28" s="19">
        <v>90</v>
      </c>
      <c r="L28" s="19">
        <v>12</v>
      </c>
      <c r="M28" s="20">
        <v>0.5</v>
      </c>
      <c r="N28" s="17" t="s">
        <v>423</v>
      </c>
      <c r="O28" s="17" t="s">
        <v>424</v>
      </c>
      <c r="P28" s="17" t="s">
        <v>425</v>
      </c>
      <c r="Q28" s="17" t="s">
        <v>268</v>
      </c>
      <c r="R28" s="17" t="s">
        <v>426</v>
      </c>
      <c r="S28" s="17" t="s">
        <v>113</v>
      </c>
      <c r="T28" s="17" t="s">
        <v>342</v>
      </c>
      <c r="U28" s="17" t="s">
        <v>427</v>
      </c>
      <c r="V28" s="17" t="s">
        <v>271</v>
      </c>
      <c r="W28" s="17" t="s">
        <v>271</v>
      </c>
      <c r="X28" s="17" t="s">
        <v>271</v>
      </c>
      <c r="Y28" s="17" t="s">
        <v>428</v>
      </c>
      <c r="Z28" s="17" t="s">
        <v>281</v>
      </c>
      <c r="AA28" s="21">
        <v>43160</v>
      </c>
      <c r="AB28" s="13">
        <v>0.6</v>
      </c>
      <c r="AC28" s="22">
        <f t="shared" si="0"/>
        <v>54</v>
      </c>
      <c r="AD28" s="23" t="str">
        <f t="shared" si="1"/>
        <v>;H222;H229;H315;H336;H411;</v>
      </c>
      <c r="AE28" s="23" t="str">
        <f>IF(A28="","",IF(SUMPRODUCT(--ISNUMBER(SEARCH(";"&amp;tbl_frases_h[Codigo]&amp;";",AD28)))&gt;0,"Sim","Não"))</f>
        <v>Sim</v>
      </c>
      <c r="AF28" s="10">
        <f>IF(A28="","",MAX(1,IFERROR(_xlfn.AGGREGATE(14,6,tbl_frases_h[Classe_Perigo_Saude]/ISNUMBER(SEARCH(";"&amp;tbl_frases_h[Codigo]&amp;";",AD28)),1),1)))</f>
        <v>2</v>
      </c>
      <c r="AG28" s="23" t="str">
        <f>IF(A28="","",IF(SUMPRODUCT(ISNUMBER(SEARCH(";"&amp;tbl_frases_h[Codigo]&amp;";",AD28))*(tbl_frases_h[CMR_Categoria]="1"))&gt;0,"Cat. 1A/1B",IF(SUMPRODUCT(ISNUMBER(SEARCH(";"&amp;tbl_frases_h[Codigo]&amp;";",AD28))*(tbl_frases_h[CMR_Categoria]="2"))&gt;0,"Cat. 2","Não")))</f>
        <v>Não</v>
      </c>
      <c r="AH28" s="23" t="str">
        <f>IF(A28="","",IF(SUMPRODUCT(ISNUMBER(SEARCH(";"&amp;tbl_frases_h[Codigo]&amp;";",AD28))*(tbl_frases_h[Grupo]="Sensibilizante"))&gt;0,"Sim","Não"))</f>
        <v>Não</v>
      </c>
      <c r="AI28" s="23" t="str">
        <f>IF(A28="","",IF(SUMPRODUCT(ISNUMBER(SEARCH(";"&amp;tbl_frases_h[Codigo]&amp;";",AD28))*(tbl_frases_h[Grupo]="Toxicidade aguda (cat. 1-3)"))&gt;0,"Sim","Não"))</f>
        <v>Não</v>
      </c>
      <c r="AJ28" s="23" t="str">
        <f>IF(A28="","",IF(SUMPRODUCT(ISNUMBER(SEARCH(";"&amp;tbl_frases_h[Codigo]&amp;";",AD28))*ISNUMBER(SEARCH("STOT",tbl_frases_h[Grupo])))&gt;0,"Sim","Não"))</f>
        <v>Sim</v>
      </c>
      <c r="AK28" s="23" t="str">
        <f>IF(A28="","",IF(SUMPRODUCT(ISNUMBER(SEARCH(";"&amp;tbl_frases_h[Codigo]&amp;";",AD28))*(tbl_frases_h[Tipo]="Ambiente"))&gt;0,"Sim","Não"))</f>
        <v>Sim</v>
      </c>
      <c r="AL28" s="23" t="str">
        <f>IF(A28="","",IF(SUMPRODUCT(ISNUMBER(SEARCH(";"&amp;tbl_frases_h[Codigo]&amp;";",AD28))*(tbl_frases_h[Grupo]="Inflamável"))&gt;0,"Sim","Não"))</f>
        <v>Sim</v>
      </c>
      <c r="AM28" s="23" t="str">
        <f>IF(A28="","",IF(SUMPRODUCT(ISNUMBER(SEARCH(";"&amp;tbl_frases_h[Codigo]&amp;";",AD28))*(tbl_frases_h[Protecao_Maternidade]="S"))&gt;0,"Sim","Não"))</f>
        <v>Não</v>
      </c>
      <c r="AN28" s="23" t="str">
        <f>IF(A28="","",IF(COUNTIFS(tbl_componentes[ID_Quimico],A28,tbl_componentes[SVHC_Acima_Limiar],"Sim")&gt;0,"Sim","Não"))</f>
        <v>Não</v>
      </c>
      <c r="AO28" s="24">
        <f>IF(A28="","",IFERROR(INDEX(tbl_fds[Data_FDS],MATCH(A28,tbl_fds[Chave_Vigor],0)),""))</f>
        <v>45250</v>
      </c>
      <c r="AP28" s="23" t="str">
        <f>IF(A28="","",IFERROR(INDEX(tbl_fds[Estado_FDS],MATCH(A28,tbl_fds[Chave_Vigor],0)),IF(C28="Artigo","N.A. (artigo)",IF(AE28="Sim","Sem FDS","Sem FDS (não obrigatória)"))))</f>
        <v>Pedir correção ao fornecedor</v>
      </c>
      <c r="AQ28" s="23" t="str">
        <f>IF(A28="","",IF(COUNTIF(tbl_risco_quimico[ID_Quimico],A28)&gt;0,"Feita",IF(AE28="Não","N.A.",IF(AF28=1,"N.A. (só perigo físico — ATEX/SCIE)","Em falta"))))</f>
        <v>Feita</v>
      </c>
      <c r="AR28" s="23" t="str">
        <f t="shared" si="2"/>
        <v>Pedir declaração (SVHC/PFAS)</v>
      </c>
    </row>
    <row r="29" spans="1:44" ht="36" customHeight="1" x14ac:dyDescent="0.3">
      <c r="A29" s="17" t="s">
        <v>429</v>
      </c>
      <c r="B29" s="17" t="s">
        <v>430</v>
      </c>
      <c r="C29" s="17" t="s">
        <v>419</v>
      </c>
      <c r="D29" s="17" t="s">
        <v>431</v>
      </c>
      <c r="E29" s="17" t="s">
        <v>432</v>
      </c>
      <c r="F29" s="17" t="s">
        <v>421</v>
      </c>
      <c r="G29" s="17" t="s">
        <v>422</v>
      </c>
      <c r="H29" s="17" t="s">
        <v>305</v>
      </c>
      <c r="I29" s="17" t="s">
        <v>263</v>
      </c>
      <c r="J29" s="17" t="s">
        <v>264</v>
      </c>
      <c r="K29" s="19">
        <v>60</v>
      </c>
      <c r="L29" s="19">
        <v>10</v>
      </c>
      <c r="M29" s="20">
        <v>0.5</v>
      </c>
      <c r="N29" s="17" t="s">
        <v>423</v>
      </c>
      <c r="O29" s="17" t="s">
        <v>433</v>
      </c>
      <c r="P29" s="17" t="s">
        <v>286</v>
      </c>
      <c r="Q29" s="17" t="s">
        <v>268</v>
      </c>
      <c r="R29" s="17" t="s">
        <v>426</v>
      </c>
      <c r="S29" s="17" t="s">
        <v>113</v>
      </c>
      <c r="T29" s="17" t="s">
        <v>271</v>
      </c>
      <c r="U29" s="17" t="s">
        <v>113</v>
      </c>
      <c r="V29" s="17" t="s">
        <v>271</v>
      </c>
      <c r="W29" s="17" t="s">
        <v>271</v>
      </c>
      <c r="X29" s="17" t="s">
        <v>271</v>
      </c>
      <c r="Y29" s="17" t="s">
        <v>434</v>
      </c>
      <c r="Z29" s="17" t="s">
        <v>273</v>
      </c>
      <c r="AA29" s="21">
        <v>43160</v>
      </c>
      <c r="AB29" s="13">
        <v>0.7</v>
      </c>
      <c r="AC29" s="22">
        <f t="shared" si="0"/>
        <v>42</v>
      </c>
      <c r="AD29" s="23" t="str">
        <f t="shared" si="1"/>
        <v>;H222;H229;H336;H412;EUH066;</v>
      </c>
      <c r="AE29" s="23" t="str">
        <f>IF(A29="","",IF(SUMPRODUCT(--ISNUMBER(SEARCH(";"&amp;tbl_frases_h[Codigo]&amp;";",AD29)))&gt;0,"Sim","Não"))</f>
        <v>Sim</v>
      </c>
      <c r="AF29" s="10">
        <f>IF(A29="","",MAX(1,IFERROR(_xlfn.AGGREGATE(14,6,tbl_frases_h[Classe_Perigo_Saude]/ISNUMBER(SEARCH(";"&amp;tbl_frases_h[Codigo]&amp;";",AD29)),1),1)))</f>
        <v>2</v>
      </c>
      <c r="AG29" s="23" t="str">
        <f>IF(A29="","",IF(SUMPRODUCT(ISNUMBER(SEARCH(";"&amp;tbl_frases_h[Codigo]&amp;";",AD29))*(tbl_frases_h[CMR_Categoria]="1"))&gt;0,"Cat. 1A/1B",IF(SUMPRODUCT(ISNUMBER(SEARCH(";"&amp;tbl_frases_h[Codigo]&amp;";",AD29))*(tbl_frases_h[CMR_Categoria]="2"))&gt;0,"Cat. 2","Não")))</f>
        <v>Não</v>
      </c>
      <c r="AH29" s="23" t="str">
        <f>IF(A29="","",IF(SUMPRODUCT(ISNUMBER(SEARCH(";"&amp;tbl_frases_h[Codigo]&amp;";",AD29))*(tbl_frases_h[Grupo]="Sensibilizante"))&gt;0,"Sim","Não"))</f>
        <v>Não</v>
      </c>
      <c r="AI29" s="23" t="str">
        <f>IF(A29="","",IF(SUMPRODUCT(ISNUMBER(SEARCH(";"&amp;tbl_frases_h[Codigo]&amp;";",AD29))*(tbl_frases_h[Grupo]="Toxicidade aguda (cat. 1-3)"))&gt;0,"Sim","Não"))</f>
        <v>Não</v>
      </c>
      <c r="AJ29" s="23" t="str">
        <f>IF(A29="","",IF(SUMPRODUCT(ISNUMBER(SEARCH(";"&amp;tbl_frases_h[Codigo]&amp;";",AD29))*ISNUMBER(SEARCH("STOT",tbl_frases_h[Grupo])))&gt;0,"Sim","Não"))</f>
        <v>Sim</v>
      </c>
      <c r="AK29" s="23" t="str">
        <f>IF(A29="","",IF(SUMPRODUCT(ISNUMBER(SEARCH(";"&amp;tbl_frases_h[Codigo]&amp;";",AD29))*(tbl_frases_h[Tipo]="Ambiente"))&gt;0,"Sim","Não"))</f>
        <v>Sim</v>
      </c>
      <c r="AL29" s="23" t="str">
        <f>IF(A29="","",IF(SUMPRODUCT(ISNUMBER(SEARCH(";"&amp;tbl_frases_h[Codigo]&amp;";",AD29))*(tbl_frases_h[Grupo]="Inflamável"))&gt;0,"Sim","Não"))</f>
        <v>Sim</v>
      </c>
      <c r="AM29" s="23" t="str">
        <f>IF(A29="","",IF(SUMPRODUCT(ISNUMBER(SEARCH(";"&amp;tbl_frases_h[Codigo]&amp;";",AD29))*(tbl_frases_h[Protecao_Maternidade]="S"))&gt;0,"Sim","Não"))</f>
        <v>Não</v>
      </c>
      <c r="AN29" s="23" t="str">
        <f>IF(A29="","",IF(COUNTIFS(tbl_componentes[ID_Quimico],A29,tbl_componentes[SVHC_Acima_Limiar],"Sim")&gt;0,"Sim","Não"))</f>
        <v>Não</v>
      </c>
      <c r="AO29" s="24">
        <f>IF(A29="","",IFERROR(INDEX(tbl_fds[Data_FDS],MATCH(A29,tbl_fds[Chave_Vigor],0)),""))</f>
        <v>45250</v>
      </c>
      <c r="AP29" s="23" t="str">
        <f>IF(A29="","",IFERROR(INDEX(tbl_fds[Estado_FDS],MATCH(A29,tbl_fds[Chave_Vigor],0)),IF(C29="Artigo","N.A. (artigo)",IF(AE29="Sim","Sem FDS","Sem FDS (não obrigatória)"))))</f>
        <v>Pedir confirmação (&gt; 36 meses)</v>
      </c>
      <c r="AQ29" s="23" t="str">
        <f>IF(A29="","",IF(COUNTIF(tbl_risco_quimico[ID_Quimico],A29)&gt;0,"Feita",IF(AE29="Não","N.A.",IF(AF29=1,"N.A. (só perigo físico — ATEX/SCIE)","Em falta"))))</f>
        <v>Feita</v>
      </c>
      <c r="AR29" s="23" t="str">
        <f t="shared" si="2"/>
        <v>FDS — Pedir confirmação (&gt; 36 meses)</v>
      </c>
    </row>
    <row r="30" spans="1:44" ht="36" customHeight="1" x14ac:dyDescent="0.3">
      <c r="A30" s="17" t="s">
        <v>435</v>
      </c>
      <c r="B30" s="17" t="s">
        <v>436</v>
      </c>
      <c r="C30" s="17" t="s">
        <v>419</v>
      </c>
      <c r="D30" s="17" t="s">
        <v>437</v>
      </c>
      <c r="E30" s="17" t="s">
        <v>432</v>
      </c>
      <c r="F30" s="17" t="s">
        <v>421</v>
      </c>
      <c r="G30" s="17" t="s">
        <v>422</v>
      </c>
      <c r="H30" s="17" t="s">
        <v>305</v>
      </c>
      <c r="I30" s="17" t="s">
        <v>263</v>
      </c>
      <c r="J30" s="17" t="s">
        <v>264</v>
      </c>
      <c r="K30" s="19">
        <v>120</v>
      </c>
      <c r="L30" s="19">
        <v>15</v>
      </c>
      <c r="M30" s="20">
        <v>0.5</v>
      </c>
      <c r="N30" s="17" t="s">
        <v>423</v>
      </c>
      <c r="O30" s="17" t="s">
        <v>438</v>
      </c>
      <c r="P30" s="17" t="s">
        <v>439</v>
      </c>
      <c r="Q30" s="17" t="s">
        <v>268</v>
      </c>
      <c r="R30" s="17" t="s">
        <v>426</v>
      </c>
      <c r="S30" s="17" t="s">
        <v>113</v>
      </c>
      <c r="T30" s="17" t="s">
        <v>263</v>
      </c>
      <c r="U30" s="17" t="s">
        <v>113</v>
      </c>
      <c r="V30" s="17" t="s">
        <v>271</v>
      </c>
      <c r="W30" s="17" t="s">
        <v>271</v>
      </c>
      <c r="X30" s="17" t="s">
        <v>271</v>
      </c>
      <c r="Y30" s="17" t="s">
        <v>434</v>
      </c>
      <c r="Z30" s="17" t="s">
        <v>281</v>
      </c>
      <c r="AA30" s="21">
        <v>42857</v>
      </c>
      <c r="AB30" s="13">
        <v>0.9</v>
      </c>
      <c r="AC30" s="22">
        <f t="shared" si="0"/>
        <v>108</v>
      </c>
      <c r="AD30" s="23" t="str">
        <f t="shared" si="1"/>
        <v>;H222;H229;H315;H336;H361f;H373;H411;</v>
      </c>
      <c r="AE30" s="23" t="str">
        <f>IF(A30="","",IF(SUMPRODUCT(--ISNUMBER(SEARCH(";"&amp;tbl_frases_h[Codigo]&amp;";",AD30)))&gt;0,"Sim","Não"))</f>
        <v>Sim</v>
      </c>
      <c r="AF30" s="10">
        <f>IF(A30="","",MAX(1,IFERROR(_xlfn.AGGREGATE(14,6,tbl_frases_h[Classe_Perigo_Saude]/ISNUMBER(SEARCH(";"&amp;tbl_frases_h[Codigo]&amp;";",AD30)),1),1)))</f>
        <v>4</v>
      </c>
      <c r="AG30" s="23" t="str">
        <f>IF(A30="","",IF(SUMPRODUCT(ISNUMBER(SEARCH(";"&amp;tbl_frases_h[Codigo]&amp;";",AD30))*(tbl_frases_h[CMR_Categoria]="1"))&gt;0,"Cat. 1A/1B",IF(SUMPRODUCT(ISNUMBER(SEARCH(";"&amp;tbl_frases_h[Codigo]&amp;";",AD30))*(tbl_frases_h[CMR_Categoria]="2"))&gt;0,"Cat. 2","Não")))</f>
        <v>Cat. 2</v>
      </c>
      <c r="AH30" s="23" t="str">
        <f>IF(A30="","",IF(SUMPRODUCT(ISNUMBER(SEARCH(";"&amp;tbl_frases_h[Codigo]&amp;";",AD30))*(tbl_frases_h[Grupo]="Sensibilizante"))&gt;0,"Sim","Não"))</f>
        <v>Não</v>
      </c>
      <c r="AI30" s="23" t="str">
        <f>IF(A30="","",IF(SUMPRODUCT(ISNUMBER(SEARCH(";"&amp;tbl_frases_h[Codigo]&amp;";",AD30))*(tbl_frases_h[Grupo]="Toxicidade aguda (cat. 1-3)"))&gt;0,"Sim","Não"))</f>
        <v>Não</v>
      </c>
      <c r="AJ30" s="23" t="str">
        <f>IF(A30="","",IF(SUMPRODUCT(ISNUMBER(SEARCH(";"&amp;tbl_frases_h[Codigo]&amp;";",AD30))*ISNUMBER(SEARCH("STOT",tbl_frases_h[Grupo])))&gt;0,"Sim","Não"))</f>
        <v>Sim</v>
      </c>
      <c r="AK30" s="23" t="str">
        <f>IF(A30="","",IF(SUMPRODUCT(ISNUMBER(SEARCH(";"&amp;tbl_frases_h[Codigo]&amp;";",AD30))*(tbl_frases_h[Tipo]="Ambiente"))&gt;0,"Sim","Não"))</f>
        <v>Sim</v>
      </c>
      <c r="AL30" s="23" t="str">
        <f>IF(A30="","",IF(SUMPRODUCT(ISNUMBER(SEARCH(";"&amp;tbl_frases_h[Codigo]&amp;";",AD30))*(tbl_frases_h[Grupo]="Inflamável"))&gt;0,"Sim","Não"))</f>
        <v>Sim</v>
      </c>
      <c r="AM30" s="23" t="str">
        <f>IF(A30="","",IF(SUMPRODUCT(ISNUMBER(SEARCH(";"&amp;tbl_frases_h[Codigo]&amp;";",AD30))*(tbl_frases_h[Protecao_Maternidade]="S"))&gt;0,"Sim","Não"))</f>
        <v>Sim</v>
      </c>
      <c r="AN30" s="23" t="str">
        <f>IF(A30="","",IF(COUNTIFS(tbl_componentes[ID_Quimico],A30,tbl_componentes[SVHC_Acima_Limiar],"Sim")&gt;0,"Sim","Não"))</f>
        <v>Sim</v>
      </c>
      <c r="AO30" s="24">
        <f>IF(A30="","",IFERROR(INDEX(tbl_fds[Data_FDS],MATCH(A30,tbl_fds[Chave_Vigor],0)),""))</f>
        <v>46082</v>
      </c>
      <c r="AP30" s="23" t="str">
        <f>IF(A30="","",IFERROR(INDEX(tbl_fds[Estado_FDS],MATCH(A30,tbl_fds[Chave_Vigor],0)),IF(C30="Artigo","N.A. (artigo)",IF(AE30="Sim","Sem FDS","Sem FDS (não obrigatória)"))))</f>
        <v>OK</v>
      </c>
      <c r="AQ30" s="23" t="str">
        <f>IF(A30="","",IF(COUNTIF(tbl_risco_quimico[ID_Quimico],A30)&gt;0,"Feita",IF(AE30="Não","N.A.",IF(AF30=1,"N.A. (só perigo físico — ATEX/SCIE)","Em falta"))))</f>
        <v>Feita</v>
      </c>
      <c r="AR30" s="23" t="str">
        <f t="shared" si="2"/>
        <v>SVHC — plano de substituição</v>
      </c>
    </row>
    <row r="31" spans="1:44" ht="36" customHeight="1" x14ac:dyDescent="0.3">
      <c r="A31" s="17" t="s">
        <v>440</v>
      </c>
      <c r="B31" s="17" t="s">
        <v>441</v>
      </c>
      <c r="C31" s="17" t="s">
        <v>257</v>
      </c>
      <c r="D31" s="17" t="s">
        <v>442</v>
      </c>
      <c r="E31" s="17" t="s">
        <v>432</v>
      </c>
      <c r="F31" s="17" t="s">
        <v>421</v>
      </c>
      <c r="G31" s="17" t="s">
        <v>422</v>
      </c>
      <c r="H31" s="17" t="s">
        <v>305</v>
      </c>
      <c r="I31" s="17" t="s">
        <v>263</v>
      </c>
      <c r="J31" s="17" t="s">
        <v>264</v>
      </c>
      <c r="K31" s="19">
        <v>1800</v>
      </c>
      <c r="L31" s="19">
        <v>1000</v>
      </c>
      <c r="M31" s="20">
        <v>200</v>
      </c>
      <c r="N31" s="17" t="s">
        <v>443</v>
      </c>
      <c r="O31" s="17"/>
      <c r="P31" s="17" t="s">
        <v>113</v>
      </c>
      <c r="Q31" s="17" t="s">
        <v>113</v>
      </c>
      <c r="R31" s="17" t="s">
        <v>113</v>
      </c>
      <c r="S31" s="17" t="s">
        <v>113</v>
      </c>
      <c r="T31" s="17" t="s">
        <v>271</v>
      </c>
      <c r="U31" s="17" t="s">
        <v>113</v>
      </c>
      <c r="V31" s="17" t="s">
        <v>271</v>
      </c>
      <c r="W31" s="17" t="s">
        <v>271</v>
      </c>
      <c r="X31" s="17" t="s">
        <v>271</v>
      </c>
      <c r="Y31" s="17" t="s">
        <v>444</v>
      </c>
      <c r="Z31" s="17" t="s">
        <v>273</v>
      </c>
      <c r="AA31" s="21">
        <v>43115</v>
      </c>
      <c r="AB31" s="13">
        <v>0</v>
      </c>
      <c r="AC31" s="22">
        <f t="shared" si="0"/>
        <v>0</v>
      </c>
      <c r="AD31" s="23" t="str">
        <f t="shared" si="1"/>
        <v>;;</v>
      </c>
      <c r="AE31" s="23" t="str">
        <f>IF(A31="","",IF(SUMPRODUCT(--ISNUMBER(SEARCH(";"&amp;tbl_frases_h[Codigo]&amp;";",AD31)))&gt;0,"Sim","Não"))</f>
        <v>Não</v>
      </c>
      <c r="AF31" s="10">
        <f>IF(A31="","",MAX(1,IFERROR(_xlfn.AGGREGATE(14,6,tbl_frases_h[Classe_Perigo_Saude]/ISNUMBER(SEARCH(";"&amp;tbl_frases_h[Codigo]&amp;";",AD31)),1),1)))</f>
        <v>1</v>
      </c>
      <c r="AG31" s="23" t="str">
        <f>IF(A31="","",IF(SUMPRODUCT(ISNUMBER(SEARCH(";"&amp;tbl_frases_h[Codigo]&amp;";",AD31))*(tbl_frases_h[CMR_Categoria]="1"))&gt;0,"Cat. 1A/1B",IF(SUMPRODUCT(ISNUMBER(SEARCH(";"&amp;tbl_frases_h[Codigo]&amp;";",AD31))*(tbl_frases_h[CMR_Categoria]="2"))&gt;0,"Cat. 2","Não")))</f>
        <v>Não</v>
      </c>
      <c r="AH31" s="23" t="str">
        <f>IF(A31="","",IF(SUMPRODUCT(ISNUMBER(SEARCH(";"&amp;tbl_frases_h[Codigo]&amp;";",AD31))*(tbl_frases_h[Grupo]="Sensibilizante"))&gt;0,"Sim","Não"))</f>
        <v>Não</v>
      </c>
      <c r="AI31" s="23" t="str">
        <f>IF(A31="","",IF(SUMPRODUCT(ISNUMBER(SEARCH(";"&amp;tbl_frases_h[Codigo]&amp;";",AD31))*(tbl_frases_h[Grupo]="Toxicidade aguda (cat. 1-3)"))&gt;0,"Sim","Não"))</f>
        <v>Não</v>
      </c>
      <c r="AJ31" s="23" t="str">
        <f>IF(A31="","",IF(SUMPRODUCT(ISNUMBER(SEARCH(";"&amp;tbl_frases_h[Codigo]&amp;";",AD31))*ISNUMBER(SEARCH("STOT",tbl_frases_h[Grupo])))&gt;0,"Sim","Não"))</f>
        <v>Não</v>
      </c>
      <c r="AK31" s="23" t="str">
        <f>IF(A31="","",IF(SUMPRODUCT(ISNUMBER(SEARCH(";"&amp;tbl_frases_h[Codigo]&amp;";",AD31))*(tbl_frases_h[Tipo]="Ambiente"))&gt;0,"Sim","Não"))</f>
        <v>Não</v>
      </c>
      <c r="AL31" s="23" t="str">
        <f>IF(A31="","",IF(SUMPRODUCT(ISNUMBER(SEARCH(";"&amp;tbl_frases_h[Codigo]&amp;";",AD31))*(tbl_frases_h[Grupo]="Inflamável"))&gt;0,"Sim","Não"))</f>
        <v>Não</v>
      </c>
      <c r="AM31" s="23" t="str">
        <f>IF(A31="","",IF(SUMPRODUCT(ISNUMBER(SEARCH(";"&amp;tbl_frases_h[Codigo]&amp;";",AD31))*(tbl_frases_h[Protecao_Maternidade]="S"))&gt;0,"Sim","Não"))</f>
        <v>Não</v>
      </c>
      <c r="AN31" s="23" t="str">
        <f>IF(A31="","",IF(COUNTIFS(tbl_componentes[ID_Quimico],A31,tbl_componentes[SVHC_Acima_Limiar],"Sim")&gt;0,"Sim","Não"))</f>
        <v>Não</v>
      </c>
      <c r="AO31" s="24">
        <f>IF(A31="","",IFERROR(INDEX(tbl_fds[Data_FDS],MATCH(A31,tbl_fds[Chave_Vigor],0)),""))</f>
        <v>45912</v>
      </c>
      <c r="AP31" s="23" t="str">
        <f>IF(A31="","",IFERROR(INDEX(tbl_fds[Estado_FDS],MATCH(A31,tbl_fds[Chave_Vigor],0)),IF(C31="Artigo","N.A. (artigo)",IF(AE31="Sim","Sem FDS","Sem FDS (não obrigatória)"))))</f>
        <v>OK</v>
      </c>
      <c r="AQ31" s="23" t="str">
        <f>IF(A31="","",IF(COUNTIF(tbl_risco_quimico[ID_Quimico],A31)&gt;0,"Feita",IF(AE31="Não","N.A.",IF(AF31=1,"N.A. (só perigo físico — ATEX/SCIE)","Em falta"))))</f>
        <v>N.A.</v>
      </c>
      <c r="AR31" s="23" t="str">
        <f t="shared" si="2"/>
        <v>OK</v>
      </c>
    </row>
    <row r="32" spans="1:44" ht="36" customHeight="1" x14ac:dyDescent="0.3">
      <c r="A32" s="17" t="s">
        <v>445</v>
      </c>
      <c r="B32" s="17" t="s">
        <v>446</v>
      </c>
      <c r="C32" s="17" t="s">
        <v>257</v>
      </c>
      <c r="D32" s="17" t="s">
        <v>447</v>
      </c>
      <c r="E32" s="17" t="s">
        <v>448</v>
      </c>
      <c r="F32" s="17" t="s">
        <v>421</v>
      </c>
      <c r="G32" s="17" t="s">
        <v>422</v>
      </c>
      <c r="H32" s="17" t="s">
        <v>305</v>
      </c>
      <c r="I32" s="17" t="s">
        <v>263</v>
      </c>
      <c r="J32" s="17" t="s">
        <v>264</v>
      </c>
      <c r="K32" s="19">
        <v>200</v>
      </c>
      <c r="L32" s="19">
        <v>200</v>
      </c>
      <c r="M32" s="20">
        <v>20</v>
      </c>
      <c r="N32" s="17" t="s">
        <v>443</v>
      </c>
      <c r="O32" s="17"/>
      <c r="P32" s="17" t="s">
        <v>113</v>
      </c>
      <c r="Q32" s="17" t="s">
        <v>113</v>
      </c>
      <c r="R32" s="17" t="s">
        <v>113</v>
      </c>
      <c r="S32" s="17" t="s">
        <v>113</v>
      </c>
      <c r="T32" s="17" t="s">
        <v>271</v>
      </c>
      <c r="U32" s="17" t="s">
        <v>113</v>
      </c>
      <c r="V32" s="17" t="s">
        <v>271</v>
      </c>
      <c r="W32" s="17" t="s">
        <v>271</v>
      </c>
      <c r="X32" s="17" t="s">
        <v>271</v>
      </c>
      <c r="Y32" s="17" t="s">
        <v>449</v>
      </c>
      <c r="Z32" s="17" t="s">
        <v>273</v>
      </c>
      <c r="AA32" s="21">
        <v>46055</v>
      </c>
      <c r="AB32" s="13">
        <v>0</v>
      </c>
      <c r="AC32" s="22">
        <f t="shared" si="0"/>
        <v>0</v>
      </c>
      <c r="AD32" s="23" t="str">
        <f t="shared" si="1"/>
        <v>;;</v>
      </c>
      <c r="AE32" s="23" t="str">
        <f>IF(A32="","",IF(SUMPRODUCT(--ISNUMBER(SEARCH(";"&amp;tbl_frases_h[Codigo]&amp;";",AD32)))&gt;0,"Sim","Não"))</f>
        <v>Não</v>
      </c>
      <c r="AF32" s="10">
        <f>IF(A32="","",MAX(1,IFERROR(_xlfn.AGGREGATE(14,6,tbl_frases_h[Classe_Perigo_Saude]/ISNUMBER(SEARCH(";"&amp;tbl_frases_h[Codigo]&amp;";",AD32)),1),1)))</f>
        <v>1</v>
      </c>
      <c r="AG32" s="23" t="str">
        <f>IF(A32="","",IF(SUMPRODUCT(ISNUMBER(SEARCH(";"&amp;tbl_frases_h[Codigo]&amp;";",AD32))*(tbl_frases_h[CMR_Categoria]="1"))&gt;0,"Cat. 1A/1B",IF(SUMPRODUCT(ISNUMBER(SEARCH(";"&amp;tbl_frases_h[Codigo]&amp;";",AD32))*(tbl_frases_h[CMR_Categoria]="2"))&gt;0,"Cat. 2","Não")))</f>
        <v>Não</v>
      </c>
      <c r="AH32" s="23" t="str">
        <f>IF(A32="","",IF(SUMPRODUCT(ISNUMBER(SEARCH(";"&amp;tbl_frases_h[Codigo]&amp;";",AD32))*(tbl_frases_h[Grupo]="Sensibilizante"))&gt;0,"Sim","Não"))</f>
        <v>Não</v>
      </c>
      <c r="AI32" s="23" t="str">
        <f>IF(A32="","",IF(SUMPRODUCT(ISNUMBER(SEARCH(";"&amp;tbl_frases_h[Codigo]&amp;";",AD32))*(tbl_frases_h[Grupo]="Toxicidade aguda (cat. 1-3)"))&gt;0,"Sim","Não"))</f>
        <v>Não</v>
      </c>
      <c r="AJ32" s="23" t="str">
        <f>IF(A32="","",IF(SUMPRODUCT(ISNUMBER(SEARCH(";"&amp;tbl_frases_h[Codigo]&amp;";",AD32))*ISNUMBER(SEARCH("STOT",tbl_frases_h[Grupo])))&gt;0,"Sim","Não"))</f>
        <v>Não</v>
      </c>
      <c r="AK32" s="23" t="str">
        <f>IF(A32="","",IF(SUMPRODUCT(ISNUMBER(SEARCH(";"&amp;tbl_frases_h[Codigo]&amp;";",AD32))*(tbl_frases_h[Tipo]="Ambiente"))&gt;0,"Sim","Não"))</f>
        <v>Não</v>
      </c>
      <c r="AL32" s="23" t="str">
        <f>IF(A32="","",IF(SUMPRODUCT(ISNUMBER(SEARCH(";"&amp;tbl_frases_h[Codigo]&amp;";",AD32))*(tbl_frases_h[Grupo]="Inflamável"))&gt;0,"Sim","Não"))</f>
        <v>Não</v>
      </c>
      <c r="AM32" s="23" t="str">
        <f>IF(A32="","",IF(SUMPRODUCT(ISNUMBER(SEARCH(";"&amp;tbl_frases_h[Codigo]&amp;";",AD32))*(tbl_frases_h[Protecao_Maternidade]="S"))&gt;0,"Sim","Não"))</f>
        <v>Não</v>
      </c>
      <c r="AN32" s="23" t="str">
        <f>IF(A32="","",IF(COUNTIFS(tbl_componentes[ID_Quimico],A32,tbl_componentes[SVHC_Acima_Limiar],"Sim")&gt;0,"Sim","Não"))</f>
        <v>Não</v>
      </c>
      <c r="AO32" s="24">
        <f>IF(A32="","",IFERROR(INDEX(tbl_fds[Data_FDS],MATCH(A32,tbl_fds[Chave_Vigor],0)),""))</f>
        <v>45991</v>
      </c>
      <c r="AP32" s="23" t="str">
        <f>IF(A32="","",IFERROR(INDEX(tbl_fds[Estado_FDS],MATCH(A32,tbl_fds[Chave_Vigor],0)),IF(C32="Artigo","N.A. (artigo)",IF(AE32="Sim","Sem FDS","Sem FDS (não obrigatória)"))))</f>
        <v>OK</v>
      </c>
      <c r="AQ32" s="23" t="str">
        <f>IF(A32="","",IF(COUNTIF(tbl_risco_quimico[ID_Quimico],A32)&gt;0,"Feita",IF(AE32="Não","N.A.",IF(AF32=1,"N.A. (só perigo físico — ATEX/SCIE)","Em falta"))))</f>
        <v>N.A.</v>
      </c>
      <c r="AR32" s="23" t="str">
        <f t="shared" si="2"/>
        <v>OK</v>
      </c>
    </row>
    <row r="33" spans="1:44" ht="36" customHeight="1" x14ac:dyDescent="0.3">
      <c r="A33" s="17" t="s">
        <v>450</v>
      </c>
      <c r="B33" s="17" t="s">
        <v>451</v>
      </c>
      <c r="C33" s="17" t="s">
        <v>257</v>
      </c>
      <c r="D33" s="17" t="s">
        <v>452</v>
      </c>
      <c r="E33" s="17" t="s">
        <v>448</v>
      </c>
      <c r="F33" s="17" t="s">
        <v>421</v>
      </c>
      <c r="G33" s="17" t="s">
        <v>422</v>
      </c>
      <c r="H33" s="17" t="s">
        <v>305</v>
      </c>
      <c r="I33" s="17" t="s">
        <v>263</v>
      </c>
      <c r="J33" s="17" t="s">
        <v>264</v>
      </c>
      <c r="K33" s="19">
        <v>400</v>
      </c>
      <c r="L33" s="19">
        <v>400</v>
      </c>
      <c r="M33" s="20">
        <v>200</v>
      </c>
      <c r="N33" s="17" t="s">
        <v>443</v>
      </c>
      <c r="O33" s="17" t="s">
        <v>453</v>
      </c>
      <c r="P33" s="17" t="s">
        <v>454</v>
      </c>
      <c r="Q33" s="17" t="s">
        <v>287</v>
      </c>
      <c r="R33" s="17" t="s">
        <v>113</v>
      </c>
      <c r="S33" s="17" t="s">
        <v>113</v>
      </c>
      <c r="T33" s="17" t="s">
        <v>271</v>
      </c>
      <c r="U33" s="17" t="s">
        <v>113</v>
      </c>
      <c r="V33" s="17" t="s">
        <v>271</v>
      </c>
      <c r="W33" s="17" t="s">
        <v>271</v>
      </c>
      <c r="X33" s="17" t="s">
        <v>271</v>
      </c>
      <c r="Y33" s="17" t="s">
        <v>455</v>
      </c>
      <c r="Z33" s="17" t="s">
        <v>273</v>
      </c>
      <c r="AA33" s="21">
        <v>43115</v>
      </c>
      <c r="AB33" s="13">
        <v>0</v>
      </c>
      <c r="AC33" s="22">
        <f t="shared" si="0"/>
        <v>0</v>
      </c>
      <c r="AD33" s="23" t="str">
        <f t="shared" si="1"/>
        <v>;H302;H373;</v>
      </c>
      <c r="AE33" s="23" t="str">
        <f>IF(A33="","",IF(SUMPRODUCT(--ISNUMBER(SEARCH(";"&amp;tbl_frases_h[Codigo]&amp;";",AD33)))&gt;0,"Sim","Não"))</f>
        <v>Sim</v>
      </c>
      <c r="AF33" s="10">
        <f>IF(A33="","",MAX(1,IFERROR(_xlfn.AGGREGATE(14,6,tbl_frases_h[Classe_Perigo_Saude]/ISNUMBER(SEARCH(";"&amp;tbl_frases_h[Codigo]&amp;";",AD33)),1),1)))</f>
        <v>4</v>
      </c>
      <c r="AG33" s="23" t="str">
        <f>IF(A33="","",IF(SUMPRODUCT(ISNUMBER(SEARCH(";"&amp;tbl_frases_h[Codigo]&amp;";",AD33))*(tbl_frases_h[CMR_Categoria]="1"))&gt;0,"Cat. 1A/1B",IF(SUMPRODUCT(ISNUMBER(SEARCH(";"&amp;tbl_frases_h[Codigo]&amp;";",AD33))*(tbl_frases_h[CMR_Categoria]="2"))&gt;0,"Cat. 2","Não")))</f>
        <v>Não</v>
      </c>
      <c r="AH33" s="23" t="str">
        <f>IF(A33="","",IF(SUMPRODUCT(ISNUMBER(SEARCH(";"&amp;tbl_frases_h[Codigo]&amp;";",AD33))*(tbl_frases_h[Grupo]="Sensibilizante"))&gt;0,"Sim","Não"))</f>
        <v>Não</v>
      </c>
      <c r="AI33" s="23" t="str">
        <f>IF(A33="","",IF(SUMPRODUCT(ISNUMBER(SEARCH(";"&amp;tbl_frases_h[Codigo]&amp;";",AD33))*(tbl_frases_h[Grupo]="Toxicidade aguda (cat. 1-3)"))&gt;0,"Sim","Não"))</f>
        <v>Não</v>
      </c>
      <c r="AJ33" s="23" t="str">
        <f>IF(A33="","",IF(SUMPRODUCT(ISNUMBER(SEARCH(";"&amp;tbl_frases_h[Codigo]&amp;";",AD33))*ISNUMBER(SEARCH("STOT",tbl_frases_h[Grupo])))&gt;0,"Sim","Não"))</f>
        <v>Sim</v>
      </c>
      <c r="AK33" s="23" t="str">
        <f>IF(A33="","",IF(SUMPRODUCT(ISNUMBER(SEARCH(";"&amp;tbl_frases_h[Codigo]&amp;";",AD33))*(tbl_frases_h[Tipo]="Ambiente"))&gt;0,"Sim","Não"))</f>
        <v>Não</v>
      </c>
      <c r="AL33" s="23" t="str">
        <f>IF(A33="","",IF(SUMPRODUCT(ISNUMBER(SEARCH(";"&amp;tbl_frases_h[Codigo]&amp;";",AD33))*(tbl_frases_h[Grupo]="Inflamável"))&gt;0,"Sim","Não"))</f>
        <v>Não</v>
      </c>
      <c r="AM33" s="23" t="str">
        <f>IF(A33="","",IF(SUMPRODUCT(ISNUMBER(SEARCH(";"&amp;tbl_frases_h[Codigo]&amp;";",AD33))*(tbl_frases_h[Protecao_Maternidade]="S"))&gt;0,"Sim","Não"))</f>
        <v>Não</v>
      </c>
      <c r="AN33" s="23" t="str">
        <f>IF(A33="","",IF(COUNTIFS(tbl_componentes[ID_Quimico],A33,tbl_componentes[SVHC_Acima_Limiar],"Sim")&gt;0,"Sim","Não"))</f>
        <v>Não</v>
      </c>
      <c r="AO33" s="24">
        <f>IF(A33="","",IFERROR(INDEX(tbl_fds[Data_FDS],MATCH(A33,tbl_fds[Chave_Vigor],0)),""))</f>
        <v>45677</v>
      </c>
      <c r="AP33" s="23" t="str">
        <f>IF(A33="","",IFERROR(INDEX(tbl_fds[Estado_FDS],MATCH(A33,tbl_fds[Chave_Vigor],0)),IF(C33="Artigo","N.A. (artigo)",IF(AE33="Sim","Sem FDS","Sem FDS (não obrigatória)"))))</f>
        <v>OK</v>
      </c>
      <c r="AQ33" s="23" t="str">
        <f>IF(A33="","",IF(COUNTIF(tbl_risco_quimico[ID_Quimico],A33)&gt;0,"Feita",IF(AE33="Não","N.A.",IF(AF33=1,"N.A. (só perigo físico — ATEX/SCIE)","Em falta"))))</f>
        <v>Feita</v>
      </c>
      <c r="AR33" s="23" t="str">
        <f t="shared" si="2"/>
        <v>OK</v>
      </c>
    </row>
    <row r="34" spans="1:44" ht="36" customHeight="1" x14ac:dyDescent="0.3">
      <c r="A34" s="17" t="s">
        <v>456</v>
      </c>
      <c r="B34" s="17" t="s">
        <v>457</v>
      </c>
      <c r="C34" s="17" t="s">
        <v>257</v>
      </c>
      <c r="D34" s="17" t="s">
        <v>458</v>
      </c>
      <c r="E34" s="17" t="s">
        <v>432</v>
      </c>
      <c r="F34" s="17" t="s">
        <v>421</v>
      </c>
      <c r="G34" s="17" t="s">
        <v>422</v>
      </c>
      <c r="H34" s="17" t="s">
        <v>305</v>
      </c>
      <c r="I34" s="17" t="s">
        <v>263</v>
      </c>
      <c r="J34" s="17" t="s">
        <v>264</v>
      </c>
      <c r="K34" s="19">
        <v>3</v>
      </c>
      <c r="L34" s="19">
        <v>1</v>
      </c>
      <c r="M34" s="20">
        <v>0.05</v>
      </c>
      <c r="N34" s="17" t="s">
        <v>423</v>
      </c>
      <c r="O34" s="17" t="s">
        <v>459</v>
      </c>
      <c r="P34" s="17" t="s">
        <v>299</v>
      </c>
      <c r="Q34" s="17" t="s">
        <v>287</v>
      </c>
      <c r="R34" s="17" t="s">
        <v>113</v>
      </c>
      <c r="S34" s="17" t="s">
        <v>113</v>
      </c>
      <c r="T34" s="17" t="s">
        <v>271</v>
      </c>
      <c r="U34" s="17" t="s">
        <v>113</v>
      </c>
      <c r="V34" s="17" t="s">
        <v>271</v>
      </c>
      <c r="W34" s="17" t="s">
        <v>271</v>
      </c>
      <c r="X34" s="17" t="s">
        <v>271</v>
      </c>
      <c r="Y34" s="17" t="s">
        <v>434</v>
      </c>
      <c r="Z34" s="17" t="s">
        <v>273</v>
      </c>
      <c r="AA34" s="21">
        <v>43115</v>
      </c>
      <c r="AB34" s="13">
        <v>0</v>
      </c>
      <c r="AC34" s="22">
        <f t="shared" si="0"/>
        <v>0</v>
      </c>
      <c r="AD34" s="23" t="str">
        <f t="shared" si="1"/>
        <v>;H317;H319;H335;H412;</v>
      </c>
      <c r="AE34" s="23" t="str">
        <f>IF(A34="","",IF(SUMPRODUCT(--ISNUMBER(SEARCH(";"&amp;tbl_frases_h[Codigo]&amp;";",AD34)))&gt;0,"Sim","Não"))</f>
        <v>Sim</v>
      </c>
      <c r="AF34" s="10">
        <f>IF(A34="","",MAX(1,IFERROR(_xlfn.AGGREGATE(14,6,tbl_frases_h[Classe_Perigo_Saude]/ISNUMBER(SEARCH(";"&amp;tbl_frases_h[Codigo]&amp;";",AD34)),1),1)))</f>
        <v>3</v>
      </c>
      <c r="AG34" s="23" t="str">
        <f>IF(A34="","",IF(SUMPRODUCT(ISNUMBER(SEARCH(";"&amp;tbl_frases_h[Codigo]&amp;";",AD34))*(tbl_frases_h[CMR_Categoria]="1"))&gt;0,"Cat. 1A/1B",IF(SUMPRODUCT(ISNUMBER(SEARCH(";"&amp;tbl_frases_h[Codigo]&amp;";",AD34))*(tbl_frases_h[CMR_Categoria]="2"))&gt;0,"Cat. 2","Não")))</f>
        <v>Não</v>
      </c>
      <c r="AH34" s="23" t="str">
        <f>IF(A34="","",IF(SUMPRODUCT(ISNUMBER(SEARCH(";"&amp;tbl_frases_h[Codigo]&amp;";",AD34))*(tbl_frases_h[Grupo]="Sensibilizante"))&gt;0,"Sim","Não"))</f>
        <v>Sim</v>
      </c>
      <c r="AI34" s="23" t="str">
        <f>IF(A34="","",IF(SUMPRODUCT(ISNUMBER(SEARCH(";"&amp;tbl_frases_h[Codigo]&amp;";",AD34))*(tbl_frases_h[Grupo]="Toxicidade aguda (cat. 1-3)"))&gt;0,"Sim","Não"))</f>
        <v>Não</v>
      </c>
      <c r="AJ34" s="23" t="str">
        <f>IF(A34="","",IF(SUMPRODUCT(ISNUMBER(SEARCH(";"&amp;tbl_frases_h[Codigo]&amp;";",AD34))*ISNUMBER(SEARCH("STOT",tbl_frases_h[Grupo])))&gt;0,"Sim","Não"))</f>
        <v>Sim</v>
      </c>
      <c r="AK34" s="23" t="str">
        <f>IF(A34="","",IF(SUMPRODUCT(ISNUMBER(SEARCH(";"&amp;tbl_frases_h[Codigo]&amp;";",AD34))*(tbl_frases_h[Tipo]="Ambiente"))&gt;0,"Sim","Não"))</f>
        <v>Sim</v>
      </c>
      <c r="AL34" s="23" t="str">
        <f>IF(A34="","",IF(SUMPRODUCT(ISNUMBER(SEARCH(";"&amp;tbl_frases_h[Codigo]&amp;";",AD34))*(tbl_frases_h[Grupo]="Inflamável"))&gt;0,"Sim","Não"))</f>
        <v>Não</v>
      </c>
      <c r="AM34" s="23" t="str">
        <f>IF(A34="","",IF(SUMPRODUCT(ISNUMBER(SEARCH(";"&amp;tbl_frases_h[Codigo]&amp;";",AD34))*(tbl_frases_h[Protecao_Maternidade]="S"))&gt;0,"Sim","Não"))</f>
        <v>Não</v>
      </c>
      <c r="AN34" s="23" t="str">
        <f>IF(A34="","",IF(COUNTIFS(tbl_componentes[ID_Quimico],A34,tbl_componentes[SVHC_Acima_Limiar],"Sim")&gt;0,"Sim","Não"))</f>
        <v>Não</v>
      </c>
      <c r="AO34" s="24">
        <f>IF(A34="","",IFERROR(INDEX(tbl_fds[Data_FDS],MATCH(A34,tbl_fds[Chave_Vigor],0)),""))</f>
        <v>45352</v>
      </c>
      <c r="AP34" s="23" t="str">
        <f>IF(A34="","",IFERROR(INDEX(tbl_fds[Estado_FDS],MATCH(A34,tbl_fds[Chave_Vigor],0)),IF(C34="Artigo","N.A. (artigo)",IF(AE34="Sim","Sem FDS","Sem FDS (não obrigatória)"))))</f>
        <v>OK</v>
      </c>
      <c r="AQ34" s="23" t="str">
        <f>IF(A34="","",IF(COUNTIF(tbl_risco_quimico[ID_Quimico],A34)&gt;0,"Feita",IF(AE34="Não","N.A.",IF(AF34=1,"N.A. (só perigo físico — ATEX/SCIE)","Em falta"))))</f>
        <v>Em falta</v>
      </c>
      <c r="AR34" s="23" t="str">
        <f t="shared" si="2"/>
        <v>Avaliação de risco em falta</v>
      </c>
    </row>
    <row r="35" spans="1:44" ht="36" customHeight="1" x14ac:dyDescent="0.3">
      <c r="A35" s="17" t="s">
        <v>460</v>
      </c>
      <c r="B35" s="17" t="s">
        <v>461</v>
      </c>
      <c r="C35" s="17" t="s">
        <v>257</v>
      </c>
      <c r="D35" s="17" t="s">
        <v>462</v>
      </c>
      <c r="E35" s="17" t="s">
        <v>432</v>
      </c>
      <c r="F35" s="17" t="s">
        <v>421</v>
      </c>
      <c r="G35" s="17" t="s">
        <v>422</v>
      </c>
      <c r="H35" s="17" t="s">
        <v>305</v>
      </c>
      <c r="I35" s="17" t="s">
        <v>263</v>
      </c>
      <c r="J35" s="17" t="s">
        <v>264</v>
      </c>
      <c r="K35" s="19">
        <v>2</v>
      </c>
      <c r="L35" s="19">
        <v>0.5</v>
      </c>
      <c r="M35" s="20">
        <v>0.02</v>
      </c>
      <c r="N35" s="17" t="s">
        <v>423</v>
      </c>
      <c r="O35" s="17" t="s">
        <v>463</v>
      </c>
      <c r="P35" s="17" t="s">
        <v>299</v>
      </c>
      <c r="Q35" s="17" t="s">
        <v>287</v>
      </c>
      <c r="R35" s="17" t="s">
        <v>113</v>
      </c>
      <c r="S35" s="17" t="s">
        <v>113</v>
      </c>
      <c r="T35" s="17" t="s">
        <v>271</v>
      </c>
      <c r="U35" s="17" t="s">
        <v>113</v>
      </c>
      <c r="V35" s="17" t="s">
        <v>271</v>
      </c>
      <c r="W35" s="17" t="s">
        <v>271</v>
      </c>
      <c r="X35" s="17" t="s">
        <v>271</v>
      </c>
      <c r="Y35" s="17" t="s">
        <v>434</v>
      </c>
      <c r="Z35" s="17" t="s">
        <v>273</v>
      </c>
      <c r="AA35" s="21">
        <v>43115</v>
      </c>
      <c r="AB35" s="13">
        <v>0</v>
      </c>
      <c r="AC35" s="22">
        <f t="shared" si="0"/>
        <v>0</v>
      </c>
      <c r="AD35" s="23" t="str">
        <f t="shared" si="1"/>
        <v>;H315;H319;H335;EUH202;</v>
      </c>
      <c r="AE35" s="23" t="str">
        <f>IF(A35="","",IF(SUMPRODUCT(--ISNUMBER(SEARCH(";"&amp;tbl_frases_h[Codigo]&amp;";",AD35)))&gt;0,"Sim","Não"))</f>
        <v>Sim</v>
      </c>
      <c r="AF35" s="10">
        <f>IF(A35="","",MAX(1,IFERROR(_xlfn.AGGREGATE(14,6,tbl_frases_h[Classe_Perigo_Saude]/ISNUMBER(SEARCH(";"&amp;tbl_frases_h[Codigo]&amp;";",AD35)),1),1)))</f>
        <v>3</v>
      </c>
      <c r="AG35" s="23" t="str">
        <f>IF(A35="","",IF(SUMPRODUCT(ISNUMBER(SEARCH(";"&amp;tbl_frases_h[Codigo]&amp;";",AD35))*(tbl_frases_h[CMR_Categoria]="1"))&gt;0,"Cat. 1A/1B",IF(SUMPRODUCT(ISNUMBER(SEARCH(";"&amp;tbl_frases_h[Codigo]&amp;";",AD35))*(tbl_frases_h[CMR_Categoria]="2"))&gt;0,"Cat. 2","Não")))</f>
        <v>Não</v>
      </c>
      <c r="AH35" s="23" t="str">
        <f>IF(A35="","",IF(SUMPRODUCT(ISNUMBER(SEARCH(";"&amp;tbl_frases_h[Codigo]&amp;";",AD35))*(tbl_frases_h[Grupo]="Sensibilizante"))&gt;0,"Sim","Não"))</f>
        <v>Não</v>
      </c>
      <c r="AI35" s="23" t="str">
        <f>IF(A35="","",IF(SUMPRODUCT(ISNUMBER(SEARCH(";"&amp;tbl_frases_h[Codigo]&amp;";",AD35))*(tbl_frases_h[Grupo]="Toxicidade aguda (cat. 1-3)"))&gt;0,"Sim","Não"))</f>
        <v>Não</v>
      </c>
      <c r="AJ35" s="23" t="str">
        <f>IF(A35="","",IF(SUMPRODUCT(ISNUMBER(SEARCH(";"&amp;tbl_frases_h[Codigo]&amp;";",AD35))*ISNUMBER(SEARCH("STOT",tbl_frases_h[Grupo])))&gt;0,"Sim","Não"))</f>
        <v>Sim</v>
      </c>
      <c r="AK35" s="23" t="str">
        <f>IF(A35="","",IF(SUMPRODUCT(ISNUMBER(SEARCH(";"&amp;tbl_frases_h[Codigo]&amp;";",AD35))*(tbl_frases_h[Tipo]="Ambiente"))&gt;0,"Sim","Não"))</f>
        <v>Não</v>
      </c>
      <c r="AL35" s="23" t="str">
        <f>IF(A35="","",IF(SUMPRODUCT(ISNUMBER(SEARCH(";"&amp;tbl_frases_h[Codigo]&amp;";",AD35))*(tbl_frases_h[Grupo]="Inflamável"))&gt;0,"Sim","Não"))</f>
        <v>Não</v>
      </c>
      <c r="AM35" s="23" t="str">
        <f>IF(A35="","",IF(SUMPRODUCT(ISNUMBER(SEARCH(";"&amp;tbl_frases_h[Codigo]&amp;";",AD35))*(tbl_frases_h[Protecao_Maternidade]="S"))&gt;0,"Sim","Não"))</f>
        <v>Não</v>
      </c>
      <c r="AN35" s="23" t="str">
        <f>IF(A35="","",IF(COUNTIFS(tbl_componentes[ID_Quimico],A35,tbl_componentes[SVHC_Acima_Limiar],"Sim")&gt;0,"Sim","Não"))</f>
        <v>Não</v>
      </c>
      <c r="AO35" s="24">
        <f>IF(A35="","",IFERROR(INDEX(tbl_fds[Data_FDS],MATCH(A35,tbl_fds[Chave_Vigor],0)),""))</f>
        <v>45337</v>
      </c>
      <c r="AP35" s="23" t="str">
        <f>IF(A35="","",IFERROR(INDEX(tbl_fds[Estado_FDS],MATCH(A35,tbl_fds[Chave_Vigor],0)),IF(C35="Artigo","N.A. (artigo)",IF(AE35="Sim","Sem FDS","Sem FDS (não obrigatória)"))))</f>
        <v>OK</v>
      </c>
      <c r="AQ35" s="23" t="str">
        <f>IF(A35="","",IF(COUNTIF(tbl_risco_quimico[ID_Quimico],A35)&gt;0,"Feita",IF(AE35="Não","N.A.",IF(AF35=1,"N.A. (só perigo físico — ATEX/SCIE)","Em falta"))))</f>
        <v>Em falta</v>
      </c>
      <c r="AR35" s="23" t="str">
        <f t="shared" si="2"/>
        <v>Avaliação de risco em falta</v>
      </c>
    </row>
    <row r="36" spans="1:44" ht="36" customHeight="1" x14ac:dyDescent="0.3">
      <c r="A36" s="17" t="s">
        <v>464</v>
      </c>
      <c r="B36" s="17" t="s">
        <v>465</v>
      </c>
      <c r="C36" s="17" t="s">
        <v>296</v>
      </c>
      <c r="D36" s="17" t="s">
        <v>466</v>
      </c>
      <c r="E36" s="17" t="s">
        <v>467</v>
      </c>
      <c r="F36" s="17" t="s">
        <v>468</v>
      </c>
      <c r="G36" s="17" t="s">
        <v>469</v>
      </c>
      <c r="H36" s="17" t="s">
        <v>305</v>
      </c>
      <c r="I36" s="17" t="s">
        <v>263</v>
      </c>
      <c r="J36" s="17" t="s">
        <v>264</v>
      </c>
      <c r="K36" s="19">
        <v>2600</v>
      </c>
      <c r="L36" s="19">
        <v>2500</v>
      </c>
      <c r="M36" s="20">
        <v>3000</v>
      </c>
      <c r="N36" s="17" t="s">
        <v>470</v>
      </c>
      <c r="O36" s="17" t="s">
        <v>471</v>
      </c>
      <c r="P36" s="17" t="s">
        <v>439</v>
      </c>
      <c r="Q36" s="17" t="s">
        <v>268</v>
      </c>
      <c r="R36" s="17" t="s">
        <v>472</v>
      </c>
      <c r="S36" s="17" t="s">
        <v>113</v>
      </c>
      <c r="T36" s="17" t="s">
        <v>271</v>
      </c>
      <c r="U36" s="17" t="s">
        <v>113</v>
      </c>
      <c r="V36" s="17" t="s">
        <v>271</v>
      </c>
      <c r="W36" s="17" t="s">
        <v>271</v>
      </c>
      <c r="X36" s="17" t="s">
        <v>271</v>
      </c>
      <c r="Y36" s="17" t="s">
        <v>473</v>
      </c>
      <c r="Z36" s="17" t="s">
        <v>273</v>
      </c>
      <c r="AA36" s="21">
        <v>43115</v>
      </c>
      <c r="AB36" s="13">
        <v>0</v>
      </c>
      <c r="AC36" s="22">
        <f t="shared" si="0"/>
        <v>0</v>
      </c>
      <c r="AD36" s="23" t="str">
        <f t="shared" si="1"/>
        <v>;H226;H304;H315;H332;H351;H373;H411;</v>
      </c>
      <c r="AE36" s="23" t="str">
        <f>IF(A36="","",IF(SUMPRODUCT(--ISNUMBER(SEARCH(";"&amp;tbl_frases_h[Codigo]&amp;";",AD36)))&gt;0,"Sim","Não"))</f>
        <v>Sim</v>
      </c>
      <c r="AF36" s="10">
        <f>IF(A36="","",MAX(1,IFERROR(_xlfn.AGGREGATE(14,6,tbl_frases_h[Classe_Perigo_Saude]/ISNUMBER(SEARCH(";"&amp;tbl_frases_h[Codigo]&amp;";",AD36)),1),1)))</f>
        <v>4</v>
      </c>
      <c r="AG36" s="23" t="str">
        <f>IF(A36="","",IF(SUMPRODUCT(ISNUMBER(SEARCH(";"&amp;tbl_frases_h[Codigo]&amp;";",AD36))*(tbl_frases_h[CMR_Categoria]="1"))&gt;0,"Cat. 1A/1B",IF(SUMPRODUCT(ISNUMBER(SEARCH(";"&amp;tbl_frases_h[Codigo]&amp;";",AD36))*(tbl_frases_h[CMR_Categoria]="2"))&gt;0,"Cat. 2","Não")))</f>
        <v>Cat. 2</v>
      </c>
      <c r="AH36" s="23" t="str">
        <f>IF(A36="","",IF(SUMPRODUCT(ISNUMBER(SEARCH(";"&amp;tbl_frases_h[Codigo]&amp;";",AD36))*(tbl_frases_h[Grupo]="Sensibilizante"))&gt;0,"Sim","Não"))</f>
        <v>Não</v>
      </c>
      <c r="AI36" s="23" t="str">
        <f>IF(A36="","",IF(SUMPRODUCT(ISNUMBER(SEARCH(";"&amp;tbl_frases_h[Codigo]&amp;";",AD36))*(tbl_frases_h[Grupo]="Toxicidade aguda (cat. 1-3)"))&gt;0,"Sim","Não"))</f>
        <v>Não</v>
      </c>
      <c r="AJ36" s="23" t="str">
        <f>IF(A36="","",IF(SUMPRODUCT(ISNUMBER(SEARCH(";"&amp;tbl_frases_h[Codigo]&amp;";",AD36))*ISNUMBER(SEARCH("STOT",tbl_frases_h[Grupo])))&gt;0,"Sim","Não"))</f>
        <v>Sim</v>
      </c>
      <c r="AK36" s="23" t="str">
        <f>IF(A36="","",IF(SUMPRODUCT(ISNUMBER(SEARCH(";"&amp;tbl_frases_h[Codigo]&amp;";",AD36))*(tbl_frases_h[Tipo]="Ambiente"))&gt;0,"Sim","Não"))</f>
        <v>Sim</v>
      </c>
      <c r="AL36" s="23" t="str">
        <f>IF(A36="","",IF(SUMPRODUCT(ISNUMBER(SEARCH(";"&amp;tbl_frases_h[Codigo]&amp;";",AD36))*(tbl_frases_h[Grupo]="Inflamável"))&gt;0,"Sim","Não"))</f>
        <v>Sim</v>
      </c>
      <c r="AM36" s="23" t="str">
        <f>IF(A36="","",IF(SUMPRODUCT(ISNUMBER(SEARCH(";"&amp;tbl_frases_h[Codigo]&amp;";",AD36))*(tbl_frases_h[Protecao_Maternidade]="S"))&gt;0,"Sim","Não"))</f>
        <v>Sim</v>
      </c>
      <c r="AN36" s="23" t="str">
        <f>IF(A36="","",IF(COUNTIFS(tbl_componentes[ID_Quimico],A36,tbl_componentes[SVHC_Acima_Limiar],"Sim")&gt;0,"Sim","Não"))</f>
        <v>Não</v>
      </c>
      <c r="AO36" s="24">
        <f>IF(A36="","",IFERROR(INDEX(tbl_fds[Data_FDS],MATCH(A36,tbl_fds[Chave_Vigor],0)),""))</f>
        <v>45797</v>
      </c>
      <c r="AP36" s="23" t="str">
        <f>IF(A36="","",IFERROR(INDEX(tbl_fds[Estado_FDS],MATCH(A36,tbl_fds[Chave_Vigor],0)),IF(C36="Artigo","N.A. (artigo)",IF(AE36="Sim","Sem FDS","Sem FDS (não obrigatória)"))))</f>
        <v>OK</v>
      </c>
      <c r="AQ36" s="23" t="str">
        <f>IF(A36="","",IF(COUNTIF(tbl_risco_quimico[ID_Quimico],A36)&gt;0,"Feita",IF(AE36="Não","N.A.",IF(AF36=1,"N.A. (só perigo físico — ATEX/SCIE)","Em falta"))))</f>
        <v>Feita</v>
      </c>
      <c r="AR36" s="23" t="str">
        <f t="shared" si="2"/>
        <v>OK</v>
      </c>
    </row>
    <row r="37" spans="1:44" ht="36" customHeight="1" x14ac:dyDescent="0.3">
      <c r="A37" s="17" t="s">
        <v>474</v>
      </c>
      <c r="B37" s="17" t="s">
        <v>475</v>
      </c>
      <c r="C37" s="17" t="s">
        <v>324</v>
      </c>
      <c r="D37" s="17" t="s">
        <v>476</v>
      </c>
      <c r="E37" s="17" t="s">
        <v>432</v>
      </c>
      <c r="F37" s="17" t="s">
        <v>326</v>
      </c>
      <c r="G37" s="17" t="s">
        <v>327</v>
      </c>
      <c r="H37" s="17" t="s">
        <v>305</v>
      </c>
      <c r="I37" s="17" t="s">
        <v>263</v>
      </c>
      <c r="J37" s="17" t="s">
        <v>264</v>
      </c>
      <c r="K37" s="19">
        <v>40</v>
      </c>
      <c r="L37" s="19">
        <v>16</v>
      </c>
      <c r="M37" s="20"/>
      <c r="N37" s="17" t="s">
        <v>328</v>
      </c>
      <c r="O37" s="17" t="s">
        <v>477</v>
      </c>
      <c r="P37" s="17" t="s">
        <v>330</v>
      </c>
      <c r="Q37" s="17" t="s">
        <v>268</v>
      </c>
      <c r="R37" s="17" t="s">
        <v>478</v>
      </c>
      <c r="S37" s="17" t="s">
        <v>113</v>
      </c>
      <c r="T37" s="17" t="s">
        <v>271</v>
      </c>
      <c r="U37" s="17" t="s">
        <v>113</v>
      </c>
      <c r="V37" s="17" t="s">
        <v>271</v>
      </c>
      <c r="W37" s="17" t="s">
        <v>271</v>
      </c>
      <c r="X37" s="17" t="s">
        <v>271</v>
      </c>
      <c r="Y37" s="17" t="s">
        <v>434</v>
      </c>
      <c r="Z37" s="17" t="s">
        <v>273</v>
      </c>
      <c r="AA37" s="21">
        <v>43115</v>
      </c>
      <c r="AB37" s="13">
        <v>0</v>
      </c>
      <c r="AC37" s="22">
        <f t="shared" ref="AC37:AC68" si="3">IF(A37="","",N(K37)*N(AB37))</f>
        <v>0</v>
      </c>
      <c r="AD37" s="23" t="str">
        <f t="shared" ref="AD37:AD68" si="4">IF(A37="","",";"&amp;SUBSTITUTE(SUBSTITUTE(O37," ",""),",",";")&amp;";")</f>
        <v>;H220;H230;H280;</v>
      </c>
      <c r="AE37" s="23" t="str">
        <f>IF(A37="","",IF(SUMPRODUCT(--ISNUMBER(SEARCH(";"&amp;tbl_frases_h[Codigo]&amp;";",AD37)))&gt;0,"Sim","Não"))</f>
        <v>Sim</v>
      </c>
      <c r="AF37" s="10">
        <f>IF(A37="","",MAX(1,IFERROR(_xlfn.AGGREGATE(14,6,tbl_frases_h[Classe_Perigo_Saude]/ISNUMBER(SEARCH(";"&amp;tbl_frases_h[Codigo]&amp;";",AD37)),1),1)))</f>
        <v>1</v>
      </c>
      <c r="AG37" s="23" t="str">
        <f>IF(A37="","",IF(SUMPRODUCT(ISNUMBER(SEARCH(";"&amp;tbl_frases_h[Codigo]&amp;";",AD37))*(tbl_frases_h[CMR_Categoria]="1"))&gt;0,"Cat. 1A/1B",IF(SUMPRODUCT(ISNUMBER(SEARCH(";"&amp;tbl_frases_h[Codigo]&amp;";",AD37))*(tbl_frases_h[CMR_Categoria]="2"))&gt;0,"Cat. 2","Não")))</f>
        <v>Não</v>
      </c>
      <c r="AH37" s="23" t="str">
        <f>IF(A37="","",IF(SUMPRODUCT(ISNUMBER(SEARCH(";"&amp;tbl_frases_h[Codigo]&amp;";",AD37))*(tbl_frases_h[Grupo]="Sensibilizante"))&gt;0,"Sim","Não"))</f>
        <v>Não</v>
      </c>
      <c r="AI37" s="23" t="str">
        <f>IF(A37="","",IF(SUMPRODUCT(ISNUMBER(SEARCH(";"&amp;tbl_frases_h[Codigo]&amp;";",AD37))*(tbl_frases_h[Grupo]="Toxicidade aguda (cat. 1-3)"))&gt;0,"Sim","Não"))</f>
        <v>Não</v>
      </c>
      <c r="AJ37" s="23" t="str">
        <f>IF(A37="","",IF(SUMPRODUCT(ISNUMBER(SEARCH(";"&amp;tbl_frases_h[Codigo]&amp;";",AD37))*ISNUMBER(SEARCH("STOT",tbl_frases_h[Grupo])))&gt;0,"Sim","Não"))</f>
        <v>Não</v>
      </c>
      <c r="AK37" s="23" t="str">
        <f>IF(A37="","",IF(SUMPRODUCT(ISNUMBER(SEARCH(";"&amp;tbl_frases_h[Codigo]&amp;";",AD37))*(tbl_frases_h[Tipo]="Ambiente"))&gt;0,"Sim","Não"))</f>
        <v>Não</v>
      </c>
      <c r="AL37" s="23" t="str">
        <f>IF(A37="","",IF(SUMPRODUCT(ISNUMBER(SEARCH(";"&amp;tbl_frases_h[Codigo]&amp;";",AD37))*(tbl_frases_h[Grupo]="Inflamável"))&gt;0,"Sim","Não"))</f>
        <v>Sim</v>
      </c>
      <c r="AM37" s="23" t="str">
        <f>IF(A37="","",IF(SUMPRODUCT(ISNUMBER(SEARCH(";"&amp;tbl_frases_h[Codigo]&amp;";",AD37))*(tbl_frases_h[Protecao_Maternidade]="S"))&gt;0,"Sim","Não"))</f>
        <v>Não</v>
      </c>
      <c r="AN37" s="23" t="str">
        <f>IF(A37="","",IF(COUNTIFS(tbl_componentes[ID_Quimico],A37,tbl_componentes[SVHC_Acima_Limiar],"Sim")&gt;0,"Sim","Não"))</f>
        <v>Não</v>
      </c>
      <c r="AO37" s="24">
        <f>IF(A37="","",IFERROR(INDEX(tbl_fds[Data_FDS],MATCH(A37,tbl_fds[Chave_Vigor],0)),""))</f>
        <v>45575</v>
      </c>
      <c r="AP37" s="23" t="str">
        <f>IF(A37="","",IFERROR(INDEX(tbl_fds[Estado_FDS],MATCH(A37,tbl_fds[Chave_Vigor],0)),IF(C37="Artigo","N.A. (artigo)",IF(AE37="Sim","Sem FDS","Sem FDS (não obrigatória)"))))</f>
        <v>OK</v>
      </c>
      <c r="AQ37" s="23" t="str">
        <f>IF(A37="","",IF(COUNTIF(tbl_risco_quimico[ID_Quimico],A37)&gt;0,"Feita",IF(AE37="Não","N.A.",IF(AF37=1,"N.A. (só perigo físico — ATEX/SCIE)","Em falta"))))</f>
        <v>N.A. (só perigo físico — ATEX/SCIE)</v>
      </c>
      <c r="AR37" s="23" t="str">
        <f t="shared" ref="AR37:AR68" si="5">IF(A37="","",IF(OR(Z37="Suspenso",Z37="Proibido"),"Uso bloqueado — "&amp;Z37,IF(AG37="Cat. 1A/1B","CMR 1A/1B — substituir (DL 301/2000)",IF(OR(T37="Sim",AN37="Sim"),"SVHC — plano de substituição",IF(OR(T37="Por confirmar",W37="Por confirmar"),"Pedir declaração (SVHC/PFAS)",IF(ISNUMBER(SEARCH("Pedir",AP37)),"FDS — "&amp;AP37,IF(AP37="Sem FDS","FDS em falta",IF(AQ37="Em falta","Avaliação de risco em falta",IF(I37="Não","Importação — ver registo","OK")))))))))</f>
        <v>OK</v>
      </c>
    </row>
    <row r="38" spans="1:44" ht="36" customHeight="1" x14ac:dyDescent="0.3">
      <c r="A38" s="17" t="s">
        <v>479</v>
      </c>
      <c r="B38" s="17" t="s">
        <v>480</v>
      </c>
      <c r="C38" s="17" t="s">
        <v>324</v>
      </c>
      <c r="D38" s="17" t="s">
        <v>476</v>
      </c>
      <c r="E38" s="17" t="s">
        <v>432</v>
      </c>
      <c r="F38" s="17" t="s">
        <v>326</v>
      </c>
      <c r="G38" s="17" t="s">
        <v>327</v>
      </c>
      <c r="H38" s="17" t="s">
        <v>305</v>
      </c>
      <c r="I38" s="17" t="s">
        <v>263</v>
      </c>
      <c r="J38" s="17" t="s">
        <v>264</v>
      </c>
      <c r="K38" s="19">
        <v>60</v>
      </c>
      <c r="L38" s="19">
        <v>20</v>
      </c>
      <c r="M38" s="20"/>
      <c r="N38" s="17" t="s">
        <v>328</v>
      </c>
      <c r="O38" s="17" t="s">
        <v>481</v>
      </c>
      <c r="P38" s="17" t="s">
        <v>482</v>
      </c>
      <c r="Q38" s="17" t="s">
        <v>268</v>
      </c>
      <c r="R38" s="17" t="s">
        <v>483</v>
      </c>
      <c r="S38" s="17" t="s">
        <v>113</v>
      </c>
      <c r="T38" s="17" t="s">
        <v>271</v>
      </c>
      <c r="U38" s="17" t="s">
        <v>113</v>
      </c>
      <c r="V38" s="17" t="s">
        <v>271</v>
      </c>
      <c r="W38" s="17" t="s">
        <v>271</v>
      </c>
      <c r="X38" s="17" t="s">
        <v>271</v>
      </c>
      <c r="Y38" s="17" t="s">
        <v>434</v>
      </c>
      <c r="Z38" s="17" t="s">
        <v>273</v>
      </c>
      <c r="AA38" s="21">
        <v>43115</v>
      </c>
      <c r="AB38" s="13">
        <v>0</v>
      </c>
      <c r="AC38" s="22">
        <f t="shared" si="3"/>
        <v>0</v>
      </c>
      <c r="AD38" s="23" t="str">
        <f t="shared" si="4"/>
        <v>;H270;H280;</v>
      </c>
      <c r="AE38" s="23" t="str">
        <f>IF(A38="","",IF(SUMPRODUCT(--ISNUMBER(SEARCH(";"&amp;tbl_frases_h[Codigo]&amp;";",AD38)))&gt;0,"Sim","Não"))</f>
        <v>Sim</v>
      </c>
      <c r="AF38" s="10">
        <f>IF(A38="","",MAX(1,IFERROR(_xlfn.AGGREGATE(14,6,tbl_frases_h[Classe_Perigo_Saude]/ISNUMBER(SEARCH(";"&amp;tbl_frases_h[Codigo]&amp;";",AD38)),1),1)))</f>
        <v>1</v>
      </c>
      <c r="AG38" s="23" t="str">
        <f>IF(A38="","",IF(SUMPRODUCT(ISNUMBER(SEARCH(";"&amp;tbl_frases_h[Codigo]&amp;";",AD38))*(tbl_frases_h[CMR_Categoria]="1"))&gt;0,"Cat. 1A/1B",IF(SUMPRODUCT(ISNUMBER(SEARCH(";"&amp;tbl_frases_h[Codigo]&amp;";",AD38))*(tbl_frases_h[CMR_Categoria]="2"))&gt;0,"Cat. 2","Não")))</f>
        <v>Não</v>
      </c>
      <c r="AH38" s="23" t="str">
        <f>IF(A38="","",IF(SUMPRODUCT(ISNUMBER(SEARCH(";"&amp;tbl_frases_h[Codigo]&amp;";",AD38))*(tbl_frases_h[Grupo]="Sensibilizante"))&gt;0,"Sim","Não"))</f>
        <v>Não</v>
      </c>
      <c r="AI38" s="23" t="str">
        <f>IF(A38="","",IF(SUMPRODUCT(ISNUMBER(SEARCH(";"&amp;tbl_frases_h[Codigo]&amp;";",AD38))*(tbl_frases_h[Grupo]="Toxicidade aguda (cat. 1-3)"))&gt;0,"Sim","Não"))</f>
        <v>Não</v>
      </c>
      <c r="AJ38" s="23" t="str">
        <f>IF(A38="","",IF(SUMPRODUCT(ISNUMBER(SEARCH(";"&amp;tbl_frases_h[Codigo]&amp;";",AD38))*ISNUMBER(SEARCH("STOT",tbl_frases_h[Grupo])))&gt;0,"Sim","Não"))</f>
        <v>Não</v>
      </c>
      <c r="AK38" s="23" t="str">
        <f>IF(A38="","",IF(SUMPRODUCT(ISNUMBER(SEARCH(";"&amp;tbl_frases_h[Codigo]&amp;";",AD38))*(tbl_frases_h[Tipo]="Ambiente"))&gt;0,"Sim","Não"))</f>
        <v>Não</v>
      </c>
      <c r="AL38" s="23" t="str">
        <f>IF(A38="","",IF(SUMPRODUCT(ISNUMBER(SEARCH(";"&amp;tbl_frases_h[Codigo]&amp;";",AD38))*(tbl_frases_h[Grupo]="Inflamável"))&gt;0,"Sim","Não"))</f>
        <v>Não</v>
      </c>
      <c r="AM38" s="23" t="str">
        <f>IF(A38="","",IF(SUMPRODUCT(ISNUMBER(SEARCH(";"&amp;tbl_frases_h[Codigo]&amp;";",AD38))*(tbl_frases_h[Protecao_Maternidade]="S"))&gt;0,"Sim","Não"))</f>
        <v>Não</v>
      </c>
      <c r="AN38" s="23" t="str">
        <f>IF(A38="","",IF(COUNTIFS(tbl_componentes[ID_Quimico],A38,tbl_componentes[SVHC_Acima_Limiar],"Sim")&gt;0,"Sim","Não"))</f>
        <v>Não</v>
      </c>
      <c r="AO38" s="24">
        <f>IF(A38="","",IFERROR(INDEX(tbl_fds[Data_FDS],MATCH(A38,tbl_fds[Chave_Vigor],0)),""))</f>
        <v>45575</v>
      </c>
      <c r="AP38" s="23" t="str">
        <f>IF(A38="","",IFERROR(INDEX(tbl_fds[Estado_FDS],MATCH(A38,tbl_fds[Chave_Vigor],0)),IF(C38="Artigo","N.A. (artigo)",IF(AE38="Sim","Sem FDS","Sem FDS (não obrigatória)"))))</f>
        <v>OK</v>
      </c>
      <c r="AQ38" s="23" t="str">
        <f>IF(A38="","",IF(COUNTIF(tbl_risco_quimico[ID_Quimico],A38)&gt;0,"Feita",IF(AE38="Não","N.A.",IF(AF38=1,"N.A. (só perigo físico — ATEX/SCIE)","Em falta"))))</f>
        <v>N.A. (só perigo físico — ATEX/SCIE)</v>
      </c>
      <c r="AR38" s="23" t="str">
        <f t="shared" si="5"/>
        <v>OK</v>
      </c>
    </row>
    <row r="39" spans="1:44" ht="36" customHeight="1" x14ac:dyDescent="0.3">
      <c r="A39" s="17" t="s">
        <v>484</v>
      </c>
      <c r="B39" s="17" t="s">
        <v>485</v>
      </c>
      <c r="C39" s="17" t="s">
        <v>257</v>
      </c>
      <c r="D39" s="17" t="s">
        <v>486</v>
      </c>
      <c r="E39" s="17" t="s">
        <v>432</v>
      </c>
      <c r="F39" s="17" t="s">
        <v>421</v>
      </c>
      <c r="G39" s="17" t="s">
        <v>422</v>
      </c>
      <c r="H39" s="17" t="s">
        <v>305</v>
      </c>
      <c r="I39" s="17" t="s">
        <v>263</v>
      </c>
      <c r="J39" s="17" t="s">
        <v>264</v>
      </c>
      <c r="K39" s="19">
        <v>60</v>
      </c>
      <c r="L39" s="19">
        <v>50</v>
      </c>
      <c r="M39" s="20">
        <v>25</v>
      </c>
      <c r="N39" s="17" t="s">
        <v>487</v>
      </c>
      <c r="O39" s="17" t="s">
        <v>320</v>
      </c>
      <c r="P39" s="17" t="s">
        <v>321</v>
      </c>
      <c r="Q39" s="17" t="s">
        <v>268</v>
      </c>
      <c r="R39" s="17" t="s">
        <v>113</v>
      </c>
      <c r="S39" s="17" t="s">
        <v>113</v>
      </c>
      <c r="T39" s="17" t="s">
        <v>271</v>
      </c>
      <c r="U39" s="17" t="s">
        <v>113</v>
      </c>
      <c r="V39" s="17" t="s">
        <v>271</v>
      </c>
      <c r="W39" s="17" t="s">
        <v>271</v>
      </c>
      <c r="X39" s="17" t="s">
        <v>271</v>
      </c>
      <c r="Y39" s="17" t="s">
        <v>434</v>
      </c>
      <c r="Z39" s="17" t="s">
        <v>273</v>
      </c>
      <c r="AA39" s="21">
        <v>43115</v>
      </c>
      <c r="AB39" s="13">
        <v>0</v>
      </c>
      <c r="AC39" s="22">
        <f t="shared" si="3"/>
        <v>0</v>
      </c>
      <c r="AD39" s="23" t="str">
        <f t="shared" si="4"/>
        <v>;H290;H314;</v>
      </c>
      <c r="AE39" s="23" t="str">
        <f>IF(A39="","",IF(SUMPRODUCT(--ISNUMBER(SEARCH(";"&amp;tbl_frases_h[Codigo]&amp;";",AD39)))&gt;0,"Sim","Não"))</f>
        <v>Sim</v>
      </c>
      <c r="AF39" s="10">
        <f>IF(A39="","",MAX(1,IFERROR(_xlfn.AGGREGATE(14,6,tbl_frases_h[Classe_Perigo_Saude]/ISNUMBER(SEARCH(";"&amp;tbl_frases_h[Codigo]&amp;";",AD39)),1),1)))</f>
        <v>4</v>
      </c>
      <c r="AG39" s="23" t="str">
        <f>IF(A39="","",IF(SUMPRODUCT(ISNUMBER(SEARCH(";"&amp;tbl_frases_h[Codigo]&amp;";",AD39))*(tbl_frases_h[CMR_Categoria]="1"))&gt;0,"Cat. 1A/1B",IF(SUMPRODUCT(ISNUMBER(SEARCH(";"&amp;tbl_frases_h[Codigo]&amp;";",AD39))*(tbl_frases_h[CMR_Categoria]="2"))&gt;0,"Cat. 2","Não")))</f>
        <v>Não</v>
      </c>
      <c r="AH39" s="23" t="str">
        <f>IF(A39="","",IF(SUMPRODUCT(ISNUMBER(SEARCH(";"&amp;tbl_frases_h[Codigo]&amp;";",AD39))*(tbl_frases_h[Grupo]="Sensibilizante"))&gt;0,"Sim","Não"))</f>
        <v>Não</v>
      </c>
      <c r="AI39" s="23" t="str">
        <f>IF(A39="","",IF(SUMPRODUCT(ISNUMBER(SEARCH(";"&amp;tbl_frases_h[Codigo]&amp;";",AD39))*(tbl_frases_h[Grupo]="Toxicidade aguda (cat. 1-3)"))&gt;0,"Sim","Não"))</f>
        <v>Não</v>
      </c>
      <c r="AJ39" s="23" t="str">
        <f>IF(A39="","",IF(SUMPRODUCT(ISNUMBER(SEARCH(";"&amp;tbl_frases_h[Codigo]&amp;";",AD39))*ISNUMBER(SEARCH("STOT",tbl_frases_h[Grupo])))&gt;0,"Sim","Não"))</f>
        <v>Não</v>
      </c>
      <c r="AK39" s="23" t="str">
        <f>IF(A39="","",IF(SUMPRODUCT(ISNUMBER(SEARCH(";"&amp;tbl_frases_h[Codigo]&amp;";",AD39))*(tbl_frases_h[Tipo]="Ambiente"))&gt;0,"Sim","Não"))</f>
        <v>Não</v>
      </c>
      <c r="AL39" s="23" t="str">
        <f>IF(A39="","",IF(SUMPRODUCT(ISNUMBER(SEARCH(";"&amp;tbl_frases_h[Codigo]&amp;";",AD39))*(tbl_frases_h[Grupo]="Inflamável"))&gt;0,"Sim","Não"))</f>
        <v>Não</v>
      </c>
      <c r="AM39" s="23" t="str">
        <f>IF(A39="","",IF(SUMPRODUCT(ISNUMBER(SEARCH(";"&amp;tbl_frases_h[Codigo]&amp;";",AD39))*(tbl_frases_h[Protecao_Maternidade]="S"))&gt;0,"Sim","Não"))</f>
        <v>Não</v>
      </c>
      <c r="AN39" s="23" t="str">
        <f>IF(A39="","",IF(COUNTIFS(tbl_componentes[ID_Quimico],A39,tbl_componentes[SVHC_Acima_Limiar],"Sim")&gt;0,"Sim","Não"))</f>
        <v>Não</v>
      </c>
      <c r="AO39" s="24">
        <f>IF(A39="","",IFERROR(INDEX(tbl_fds[Data_FDS],MATCH(A39,tbl_fds[Chave_Vigor],0)),""))</f>
        <v>45627</v>
      </c>
      <c r="AP39" s="23" t="str">
        <f>IF(A39="","",IFERROR(INDEX(tbl_fds[Estado_FDS],MATCH(A39,tbl_fds[Chave_Vigor],0)),IF(C39="Artigo","N.A. (artigo)",IF(AE39="Sim","Sem FDS","Sem FDS (não obrigatória)"))))</f>
        <v>OK</v>
      </c>
      <c r="AQ39" s="23" t="str">
        <f>IF(A39="","",IF(COUNTIF(tbl_risco_quimico[ID_Quimico],A39)&gt;0,"Feita",IF(AE39="Não","N.A.",IF(AF39=1,"N.A. (só perigo físico — ATEX/SCIE)","Em falta"))))</f>
        <v>Feita</v>
      </c>
      <c r="AR39" s="23" t="str">
        <f t="shared" si="5"/>
        <v>OK</v>
      </c>
    </row>
    <row r="40" spans="1:44" ht="36" customHeight="1" x14ac:dyDescent="0.3">
      <c r="A40" s="17" t="s">
        <v>488</v>
      </c>
      <c r="B40" s="17" t="s">
        <v>489</v>
      </c>
      <c r="C40" s="17" t="s">
        <v>257</v>
      </c>
      <c r="D40" s="17" t="s">
        <v>490</v>
      </c>
      <c r="E40" s="17" t="s">
        <v>448</v>
      </c>
      <c r="F40" s="17" t="s">
        <v>491</v>
      </c>
      <c r="G40" s="17" t="s">
        <v>492</v>
      </c>
      <c r="H40" s="17" t="s">
        <v>305</v>
      </c>
      <c r="I40" s="17" t="s">
        <v>263</v>
      </c>
      <c r="J40" s="17" t="s">
        <v>264</v>
      </c>
      <c r="K40" s="19">
        <v>600</v>
      </c>
      <c r="L40" s="19">
        <v>1000</v>
      </c>
      <c r="M40" s="20">
        <v>1000</v>
      </c>
      <c r="N40" s="17" t="s">
        <v>493</v>
      </c>
      <c r="O40" s="17" t="s">
        <v>494</v>
      </c>
      <c r="P40" s="17" t="s">
        <v>495</v>
      </c>
      <c r="Q40" s="17" t="s">
        <v>268</v>
      </c>
      <c r="R40" s="17" t="s">
        <v>496</v>
      </c>
      <c r="S40" s="17" t="s">
        <v>113</v>
      </c>
      <c r="T40" s="17" t="s">
        <v>271</v>
      </c>
      <c r="U40" s="17" t="s">
        <v>113</v>
      </c>
      <c r="V40" s="17" t="s">
        <v>271</v>
      </c>
      <c r="W40" s="17" t="s">
        <v>271</v>
      </c>
      <c r="X40" s="17" t="s">
        <v>271</v>
      </c>
      <c r="Y40" s="17" t="s">
        <v>497</v>
      </c>
      <c r="Z40" s="17" t="s">
        <v>273</v>
      </c>
      <c r="AA40" s="21">
        <v>43115</v>
      </c>
      <c r="AB40" s="13">
        <v>0</v>
      </c>
      <c r="AC40" s="22">
        <f t="shared" si="3"/>
        <v>0</v>
      </c>
      <c r="AD40" s="23" t="str">
        <f t="shared" si="4"/>
        <v>;H314;H317;H410;EUH071;</v>
      </c>
      <c r="AE40" s="23" t="str">
        <f>IF(A40="","",IF(SUMPRODUCT(--ISNUMBER(SEARCH(";"&amp;tbl_frases_h[Codigo]&amp;";",AD40)))&gt;0,"Sim","Não"))</f>
        <v>Sim</v>
      </c>
      <c r="AF40" s="10">
        <f>IF(A40="","",MAX(1,IFERROR(_xlfn.AGGREGATE(14,6,tbl_frases_h[Classe_Perigo_Saude]/ISNUMBER(SEARCH(";"&amp;tbl_frases_h[Codigo]&amp;";",AD40)),1),1)))</f>
        <v>4</v>
      </c>
      <c r="AG40" s="23" t="str">
        <f>IF(A40="","",IF(SUMPRODUCT(ISNUMBER(SEARCH(";"&amp;tbl_frases_h[Codigo]&amp;";",AD40))*(tbl_frases_h[CMR_Categoria]="1"))&gt;0,"Cat. 1A/1B",IF(SUMPRODUCT(ISNUMBER(SEARCH(";"&amp;tbl_frases_h[Codigo]&amp;";",AD40))*(tbl_frases_h[CMR_Categoria]="2"))&gt;0,"Cat. 2","Não")))</f>
        <v>Não</v>
      </c>
      <c r="AH40" s="23" t="str">
        <f>IF(A40="","",IF(SUMPRODUCT(ISNUMBER(SEARCH(";"&amp;tbl_frases_h[Codigo]&amp;";",AD40))*(tbl_frases_h[Grupo]="Sensibilizante"))&gt;0,"Sim","Não"))</f>
        <v>Sim</v>
      </c>
      <c r="AI40" s="23" t="str">
        <f>IF(A40="","",IF(SUMPRODUCT(ISNUMBER(SEARCH(";"&amp;tbl_frases_h[Codigo]&amp;";",AD40))*(tbl_frases_h[Grupo]="Toxicidade aguda (cat. 1-3)"))&gt;0,"Sim","Não"))</f>
        <v>Não</v>
      </c>
      <c r="AJ40" s="23" t="str">
        <f>IF(A40="","",IF(SUMPRODUCT(ISNUMBER(SEARCH(";"&amp;tbl_frases_h[Codigo]&amp;";",AD40))*ISNUMBER(SEARCH("STOT",tbl_frases_h[Grupo])))&gt;0,"Sim","Não"))</f>
        <v>Não</v>
      </c>
      <c r="AK40" s="23" t="str">
        <f>IF(A40="","",IF(SUMPRODUCT(ISNUMBER(SEARCH(";"&amp;tbl_frases_h[Codigo]&amp;";",AD40))*(tbl_frases_h[Tipo]="Ambiente"))&gt;0,"Sim","Não"))</f>
        <v>Sim</v>
      </c>
      <c r="AL40" s="23" t="str">
        <f>IF(A40="","",IF(SUMPRODUCT(ISNUMBER(SEARCH(";"&amp;tbl_frases_h[Codigo]&amp;";",AD40))*(tbl_frases_h[Grupo]="Inflamável"))&gt;0,"Sim","Não"))</f>
        <v>Não</v>
      </c>
      <c r="AM40" s="23" t="str">
        <f>IF(A40="","",IF(SUMPRODUCT(ISNUMBER(SEARCH(";"&amp;tbl_frases_h[Codigo]&amp;";",AD40))*(tbl_frases_h[Protecao_Maternidade]="S"))&gt;0,"Sim","Não"))</f>
        <v>Não</v>
      </c>
      <c r="AN40" s="23" t="str">
        <f>IF(A40="","",IF(COUNTIFS(tbl_componentes[ID_Quimico],A40,tbl_componentes[SVHC_Acima_Limiar],"Sim")&gt;0,"Sim","Não"))</f>
        <v>Não</v>
      </c>
      <c r="AO40" s="24">
        <f>IF(A40="","",IFERROR(INDEX(tbl_fds[Data_FDS],MATCH(A40,tbl_fds[Chave_Vigor],0)),""))</f>
        <v>46157</v>
      </c>
      <c r="AP40" s="23" t="str">
        <f>IF(A40="","",IFERROR(INDEX(tbl_fds[Estado_FDS],MATCH(A40,tbl_fds[Chave_Vigor],0)),IF(C40="Artigo","N.A. (artigo)",IF(AE40="Sim","Sem FDS","Sem FDS (não obrigatória)"))))</f>
        <v>OK</v>
      </c>
      <c r="AQ40" s="23" t="str">
        <f>IF(A40="","",IF(COUNTIF(tbl_risco_quimico[ID_Quimico],A40)&gt;0,"Feita",IF(AE40="Não","N.A.",IF(AF40=1,"N.A. (só perigo físico — ATEX/SCIE)","Em falta"))))</f>
        <v>Feita</v>
      </c>
      <c r="AR40" s="23" t="str">
        <f t="shared" si="5"/>
        <v>OK</v>
      </c>
    </row>
    <row r="41" spans="1:44" ht="36" customHeight="1" x14ac:dyDescent="0.3">
      <c r="A41" s="17" t="s">
        <v>498</v>
      </c>
      <c r="B41" s="17" t="s">
        <v>499</v>
      </c>
      <c r="C41" s="17" t="s">
        <v>257</v>
      </c>
      <c r="D41" s="17" t="s">
        <v>490</v>
      </c>
      <c r="E41" s="17" t="s">
        <v>448</v>
      </c>
      <c r="F41" s="17" t="s">
        <v>491</v>
      </c>
      <c r="G41" s="17" t="s">
        <v>492</v>
      </c>
      <c r="H41" s="17" t="s">
        <v>305</v>
      </c>
      <c r="I41" s="17" t="s">
        <v>263</v>
      </c>
      <c r="J41" s="17" t="s">
        <v>264</v>
      </c>
      <c r="K41" s="19">
        <v>900</v>
      </c>
      <c r="L41" s="19">
        <v>200</v>
      </c>
      <c r="M41" s="20">
        <v>25</v>
      </c>
      <c r="N41" s="17" t="s">
        <v>493</v>
      </c>
      <c r="O41" s="17" t="s">
        <v>500</v>
      </c>
      <c r="P41" s="17" t="s">
        <v>299</v>
      </c>
      <c r="Q41" s="17" t="s">
        <v>287</v>
      </c>
      <c r="R41" s="17" t="s">
        <v>113</v>
      </c>
      <c r="S41" s="17" t="s">
        <v>113</v>
      </c>
      <c r="T41" s="17" t="s">
        <v>271</v>
      </c>
      <c r="U41" s="17" t="s">
        <v>113</v>
      </c>
      <c r="V41" s="17" t="s">
        <v>271</v>
      </c>
      <c r="W41" s="17" t="s">
        <v>271</v>
      </c>
      <c r="X41" s="17" t="s">
        <v>271</v>
      </c>
      <c r="Y41" s="17" t="s">
        <v>455</v>
      </c>
      <c r="Z41" s="17" t="s">
        <v>273</v>
      </c>
      <c r="AA41" s="21">
        <v>43115</v>
      </c>
      <c r="AB41" s="13">
        <v>0</v>
      </c>
      <c r="AC41" s="22">
        <f t="shared" si="3"/>
        <v>0</v>
      </c>
      <c r="AD41" s="23" t="str">
        <f t="shared" si="4"/>
        <v>;H319;</v>
      </c>
      <c r="AE41" s="23" t="str">
        <f>IF(A41="","",IF(SUMPRODUCT(--ISNUMBER(SEARCH(";"&amp;tbl_frases_h[Codigo]&amp;";",AD41)))&gt;0,"Sim","Não"))</f>
        <v>Sim</v>
      </c>
      <c r="AF41" s="10">
        <f>IF(A41="","",MAX(1,IFERROR(_xlfn.AGGREGATE(14,6,tbl_frases_h[Classe_Perigo_Saude]/ISNUMBER(SEARCH(";"&amp;tbl_frases_h[Codigo]&amp;";",AD41)),1),1)))</f>
        <v>2</v>
      </c>
      <c r="AG41" s="23" t="str">
        <f>IF(A41="","",IF(SUMPRODUCT(ISNUMBER(SEARCH(";"&amp;tbl_frases_h[Codigo]&amp;";",AD41))*(tbl_frases_h[CMR_Categoria]="1"))&gt;0,"Cat. 1A/1B",IF(SUMPRODUCT(ISNUMBER(SEARCH(";"&amp;tbl_frases_h[Codigo]&amp;";",AD41))*(tbl_frases_h[CMR_Categoria]="2"))&gt;0,"Cat. 2","Não")))</f>
        <v>Não</v>
      </c>
      <c r="AH41" s="23" t="str">
        <f>IF(A41="","",IF(SUMPRODUCT(ISNUMBER(SEARCH(";"&amp;tbl_frases_h[Codigo]&amp;";",AD41))*(tbl_frases_h[Grupo]="Sensibilizante"))&gt;0,"Sim","Não"))</f>
        <v>Não</v>
      </c>
      <c r="AI41" s="23" t="str">
        <f>IF(A41="","",IF(SUMPRODUCT(ISNUMBER(SEARCH(";"&amp;tbl_frases_h[Codigo]&amp;";",AD41))*(tbl_frases_h[Grupo]="Toxicidade aguda (cat. 1-3)"))&gt;0,"Sim","Não"))</f>
        <v>Não</v>
      </c>
      <c r="AJ41" s="23" t="str">
        <f>IF(A41="","",IF(SUMPRODUCT(ISNUMBER(SEARCH(";"&amp;tbl_frases_h[Codigo]&amp;";",AD41))*ISNUMBER(SEARCH("STOT",tbl_frases_h[Grupo])))&gt;0,"Sim","Não"))</f>
        <v>Não</v>
      </c>
      <c r="AK41" s="23" t="str">
        <f>IF(A41="","",IF(SUMPRODUCT(ISNUMBER(SEARCH(";"&amp;tbl_frases_h[Codigo]&amp;";",AD41))*(tbl_frases_h[Tipo]="Ambiente"))&gt;0,"Sim","Não"))</f>
        <v>Não</v>
      </c>
      <c r="AL41" s="23" t="str">
        <f>IF(A41="","",IF(SUMPRODUCT(ISNUMBER(SEARCH(";"&amp;tbl_frases_h[Codigo]&amp;";",AD41))*(tbl_frases_h[Grupo]="Inflamável"))&gt;0,"Sim","Não"))</f>
        <v>Não</v>
      </c>
      <c r="AM41" s="23" t="str">
        <f>IF(A41="","",IF(SUMPRODUCT(ISNUMBER(SEARCH(";"&amp;tbl_frases_h[Codigo]&amp;";",AD41))*(tbl_frases_h[Protecao_Maternidade]="S"))&gt;0,"Sim","Não"))</f>
        <v>Não</v>
      </c>
      <c r="AN41" s="23" t="str">
        <f>IF(A41="","",IF(COUNTIFS(tbl_componentes[ID_Quimico],A41,tbl_componentes[SVHC_Acima_Limiar],"Sim")&gt;0,"Sim","Não"))</f>
        <v>Não</v>
      </c>
      <c r="AO41" s="24">
        <f>IF(A41="","",IFERROR(INDEX(tbl_fds[Data_FDS],MATCH(A41,tbl_fds[Chave_Vigor],0)),""))</f>
        <v>46157</v>
      </c>
      <c r="AP41" s="23" t="str">
        <f>IF(A41="","",IFERROR(INDEX(tbl_fds[Estado_FDS],MATCH(A41,tbl_fds[Chave_Vigor],0)),IF(C41="Artigo","N.A. (artigo)",IF(AE41="Sim","Sem FDS","Sem FDS (não obrigatória)"))))</f>
        <v>OK</v>
      </c>
      <c r="AQ41" s="23" t="str">
        <f>IF(A41="","",IF(COUNTIF(tbl_risco_quimico[ID_Quimico],A41)&gt;0,"Feita",IF(AE41="Não","N.A.",IF(AF41=1,"N.A. (só perigo físico — ATEX/SCIE)","Em falta"))))</f>
        <v>Em falta</v>
      </c>
      <c r="AR41" s="23" t="str">
        <f t="shared" si="5"/>
        <v>Avaliação de risco em falta</v>
      </c>
    </row>
    <row r="42" spans="1:44" ht="36" customHeight="1" x14ac:dyDescent="0.3">
      <c r="A42" s="17" t="s">
        <v>501</v>
      </c>
      <c r="B42" s="17" t="s">
        <v>502</v>
      </c>
      <c r="C42" s="17" t="s">
        <v>257</v>
      </c>
      <c r="D42" s="17" t="s">
        <v>503</v>
      </c>
      <c r="E42" s="17" t="s">
        <v>448</v>
      </c>
      <c r="F42" s="17" t="s">
        <v>491</v>
      </c>
      <c r="G42" s="17" t="s">
        <v>492</v>
      </c>
      <c r="H42" s="17" t="s">
        <v>305</v>
      </c>
      <c r="I42" s="17" t="s">
        <v>263</v>
      </c>
      <c r="J42" s="17" t="s">
        <v>264</v>
      </c>
      <c r="K42" s="19">
        <v>500</v>
      </c>
      <c r="L42" s="19">
        <v>250</v>
      </c>
      <c r="M42" s="20">
        <v>25</v>
      </c>
      <c r="N42" s="17" t="s">
        <v>493</v>
      </c>
      <c r="O42" s="17" t="s">
        <v>504</v>
      </c>
      <c r="P42" s="17" t="s">
        <v>505</v>
      </c>
      <c r="Q42" s="17" t="s">
        <v>268</v>
      </c>
      <c r="R42" s="17" t="s">
        <v>496</v>
      </c>
      <c r="S42" s="17" t="s">
        <v>113</v>
      </c>
      <c r="T42" s="17" t="s">
        <v>271</v>
      </c>
      <c r="U42" s="17" t="s">
        <v>113</v>
      </c>
      <c r="V42" s="17" t="s">
        <v>271</v>
      </c>
      <c r="W42" s="17" t="s">
        <v>271</v>
      </c>
      <c r="X42" s="17" t="s">
        <v>271</v>
      </c>
      <c r="Y42" s="17" t="s">
        <v>455</v>
      </c>
      <c r="Z42" s="17" t="s">
        <v>273</v>
      </c>
      <c r="AA42" s="21">
        <v>44378</v>
      </c>
      <c r="AB42" s="13">
        <v>0</v>
      </c>
      <c r="AC42" s="22">
        <f t="shared" si="3"/>
        <v>0</v>
      </c>
      <c r="AD42" s="23" t="str">
        <f t="shared" si="4"/>
        <v>;H290;H314;H400;EUH031;</v>
      </c>
      <c r="AE42" s="23" t="str">
        <f>IF(A42="","",IF(SUMPRODUCT(--ISNUMBER(SEARCH(";"&amp;tbl_frases_h[Codigo]&amp;";",AD42)))&gt;0,"Sim","Não"))</f>
        <v>Sim</v>
      </c>
      <c r="AF42" s="10">
        <f>IF(A42="","",MAX(1,IFERROR(_xlfn.AGGREGATE(14,6,tbl_frases_h[Classe_Perigo_Saude]/ISNUMBER(SEARCH(";"&amp;tbl_frases_h[Codigo]&amp;";",AD42)),1),1)))</f>
        <v>4</v>
      </c>
      <c r="AG42" s="23" t="str">
        <f>IF(A42="","",IF(SUMPRODUCT(ISNUMBER(SEARCH(";"&amp;tbl_frases_h[Codigo]&amp;";",AD42))*(tbl_frases_h[CMR_Categoria]="1"))&gt;0,"Cat. 1A/1B",IF(SUMPRODUCT(ISNUMBER(SEARCH(";"&amp;tbl_frases_h[Codigo]&amp;";",AD42))*(tbl_frases_h[CMR_Categoria]="2"))&gt;0,"Cat. 2","Não")))</f>
        <v>Não</v>
      </c>
      <c r="AH42" s="23" t="str">
        <f>IF(A42="","",IF(SUMPRODUCT(ISNUMBER(SEARCH(";"&amp;tbl_frases_h[Codigo]&amp;";",AD42))*(tbl_frases_h[Grupo]="Sensibilizante"))&gt;0,"Sim","Não"))</f>
        <v>Não</v>
      </c>
      <c r="AI42" s="23" t="str">
        <f>IF(A42="","",IF(SUMPRODUCT(ISNUMBER(SEARCH(";"&amp;tbl_frases_h[Codigo]&amp;";",AD42))*(tbl_frases_h[Grupo]="Toxicidade aguda (cat. 1-3)"))&gt;0,"Sim","Não"))</f>
        <v>Não</v>
      </c>
      <c r="AJ42" s="23" t="str">
        <f>IF(A42="","",IF(SUMPRODUCT(ISNUMBER(SEARCH(";"&amp;tbl_frases_h[Codigo]&amp;";",AD42))*ISNUMBER(SEARCH("STOT",tbl_frases_h[Grupo])))&gt;0,"Sim","Não"))</f>
        <v>Não</v>
      </c>
      <c r="AK42" s="23" t="str">
        <f>IF(A42="","",IF(SUMPRODUCT(ISNUMBER(SEARCH(";"&amp;tbl_frases_h[Codigo]&amp;";",AD42))*(tbl_frases_h[Tipo]="Ambiente"))&gt;0,"Sim","Não"))</f>
        <v>Sim</v>
      </c>
      <c r="AL42" s="23" t="str">
        <f>IF(A42="","",IF(SUMPRODUCT(ISNUMBER(SEARCH(";"&amp;tbl_frases_h[Codigo]&amp;";",AD42))*(tbl_frases_h[Grupo]="Inflamável"))&gt;0,"Sim","Não"))</f>
        <v>Não</v>
      </c>
      <c r="AM42" s="23" t="str">
        <f>IF(A42="","",IF(SUMPRODUCT(ISNUMBER(SEARCH(";"&amp;tbl_frases_h[Codigo]&amp;";",AD42))*(tbl_frases_h[Protecao_Maternidade]="S"))&gt;0,"Sim","Não"))</f>
        <v>Não</v>
      </c>
      <c r="AN42" s="23" t="str">
        <f>IF(A42="","",IF(COUNTIFS(tbl_componentes[ID_Quimico],A42,tbl_componentes[SVHC_Acima_Limiar],"Sim")&gt;0,"Sim","Não"))</f>
        <v>Não</v>
      </c>
      <c r="AO42" s="24">
        <f>IF(A42="","",IFERROR(INDEX(tbl_fds[Data_FDS],MATCH(A42,tbl_fds[Chave_Vigor],0)),""))</f>
        <v>46114</v>
      </c>
      <c r="AP42" s="23" t="str">
        <f>IF(A42="","",IFERROR(INDEX(tbl_fds[Estado_FDS],MATCH(A42,tbl_fds[Chave_Vigor],0)),IF(C42="Artigo","N.A. (artigo)",IF(AE42="Sim","Sem FDS","Sem FDS (não obrigatória)"))))</f>
        <v>OK</v>
      </c>
      <c r="AQ42" s="23" t="str">
        <f>IF(A42="","",IF(COUNTIF(tbl_risco_quimico[ID_Quimico],A42)&gt;0,"Feita",IF(AE42="Não","N.A.",IF(AF42=1,"N.A. (só perigo físico — ATEX/SCIE)","Em falta"))))</f>
        <v>Feita</v>
      </c>
      <c r="AR42" s="23" t="str">
        <f t="shared" si="5"/>
        <v>OK</v>
      </c>
    </row>
    <row r="43" spans="1:44" ht="36" customHeight="1" x14ac:dyDescent="0.3">
      <c r="A43" s="17" t="s">
        <v>506</v>
      </c>
      <c r="B43" s="17" t="s">
        <v>507</v>
      </c>
      <c r="C43" s="17" t="s">
        <v>324</v>
      </c>
      <c r="D43" s="17" t="s">
        <v>508</v>
      </c>
      <c r="E43" s="17" t="s">
        <v>448</v>
      </c>
      <c r="F43" s="17" t="s">
        <v>509</v>
      </c>
      <c r="G43" s="17" t="s">
        <v>510</v>
      </c>
      <c r="H43" s="17" t="s">
        <v>305</v>
      </c>
      <c r="I43" s="17" t="s">
        <v>263</v>
      </c>
      <c r="J43" s="17" t="s">
        <v>264</v>
      </c>
      <c r="K43" s="19">
        <v>3.2</v>
      </c>
      <c r="L43" s="19">
        <v>30</v>
      </c>
      <c r="M43" s="20"/>
      <c r="N43" s="17" t="s">
        <v>511</v>
      </c>
      <c r="O43" s="17" t="s">
        <v>512</v>
      </c>
      <c r="P43" s="17" t="s">
        <v>513</v>
      </c>
      <c r="Q43" s="17" t="s">
        <v>287</v>
      </c>
      <c r="R43" s="17" t="s">
        <v>113</v>
      </c>
      <c r="S43" s="17" t="s">
        <v>113</v>
      </c>
      <c r="T43" s="17" t="s">
        <v>271</v>
      </c>
      <c r="U43" s="17" t="s">
        <v>113</v>
      </c>
      <c r="V43" s="17" t="s">
        <v>271</v>
      </c>
      <c r="W43" s="17" t="s">
        <v>514</v>
      </c>
      <c r="X43" s="17" t="s">
        <v>271</v>
      </c>
      <c r="Y43" s="17" t="s">
        <v>515</v>
      </c>
      <c r="Z43" s="17" t="s">
        <v>281</v>
      </c>
      <c r="AA43" s="21">
        <v>42156</v>
      </c>
      <c r="AB43" s="13">
        <v>0</v>
      </c>
      <c r="AC43" s="22">
        <f t="shared" si="3"/>
        <v>0</v>
      </c>
      <c r="AD43" s="23" t="str">
        <f t="shared" si="4"/>
        <v>;H280;</v>
      </c>
      <c r="AE43" s="23" t="str">
        <f>IF(A43="","",IF(SUMPRODUCT(--ISNUMBER(SEARCH(";"&amp;tbl_frases_h[Codigo]&amp;";",AD43)))&gt;0,"Sim","Não"))</f>
        <v>Sim</v>
      </c>
      <c r="AF43" s="10">
        <f>IF(A43="","",MAX(1,IFERROR(_xlfn.AGGREGATE(14,6,tbl_frases_h[Classe_Perigo_Saude]/ISNUMBER(SEARCH(";"&amp;tbl_frases_h[Codigo]&amp;";",AD43)),1),1)))</f>
        <v>1</v>
      </c>
      <c r="AG43" s="23" t="str">
        <f>IF(A43="","",IF(SUMPRODUCT(ISNUMBER(SEARCH(";"&amp;tbl_frases_h[Codigo]&amp;";",AD43))*(tbl_frases_h[CMR_Categoria]="1"))&gt;0,"Cat. 1A/1B",IF(SUMPRODUCT(ISNUMBER(SEARCH(";"&amp;tbl_frases_h[Codigo]&amp;";",AD43))*(tbl_frases_h[CMR_Categoria]="2"))&gt;0,"Cat. 2","Não")))</f>
        <v>Não</v>
      </c>
      <c r="AH43" s="23" t="str">
        <f>IF(A43="","",IF(SUMPRODUCT(ISNUMBER(SEARCH(";"&amp;tbl_frases_h[Codigo]&amp;";",AD43))*(tbl_frases_h[Grupo]="Sensibilizante"))&gt;0,"Sim","Não"))</f>
        <v>Não</v>
      </c>
      <c r="AI43" s="23" t="str">
        <f>IF(A43="","",IF(SUMPRODUCT(ISNUMBER(SEARCH(";"&amp;tbl_frases_h[Codigo]&amp;";",AD43))*(tbl_frases_h[Grupo]="Toxicidade aguda (cat. 1-3)"))&gt;0,"Sim","Não"))</f>
        <v>Não</v>
      </c>
      <c r="AJ43" s="23" t="str">
        <f>IF(A43="","",IF(SUMPRODUCT(ISNUMBER(SEARCH(";"&amp;tbl_frases_h[Codigo]&amp;";",AD43))*ISNUMBER(SEARCH("STOT",tbl_frases_h[Grupo])))&gt;0,"Sim","Não"))</f>
        <v>Não</v>
      </c>
      <c r="AK43" s="23" t="str">
        <f>IF(A43="","",IF(SUMPRODUCT(ISNUMBER(SEARCH(";"&amp;tbl_frases_h[Codigo]&amp;";",AD43))*(tbl_frases_h[Tipo]="Ambiente"))&gt;0,"Sim","Não"))</f>
        <v>Não</v>
      </c>
      <c r="AL43" s="23" t="str">
        <f>IF(A43="","",IF(SUMPRODUCT(ISNUMBER(SEARCH(";"&amp;tbl_frases_h[Codigo]&amp;";",AD43))*(tbl_frases_h[Grupo]="Inflamável"))&gt;0,"Sim","Não"))</f>
        <v>Não</v>
      </c>
      <c r="AM43" s="23" t="str">
        <f>IF(A43="","",IF(SUMPRODUCT(ISNUMBER(SEARCH(";"&amp;tbl_frases_h[Codigo]&amp;";",AD43))*(tbl_frases_h[Protecao_Maternidade]="S"))&gt;0,"Sim","Não"))</f>
        <v>Não</v>
      </c>
      <c r="AN43" s="23" t="str">
        <f>IF(A43="","",IF(COUNTIFS(tbl_componentes[ID_Quimico],A43,tbl_componentes[SVHC_Acima_Limiar],"Sim")&gt;0,"Sim","Não"))</f>
        <v>Não</v>
      </c>
      <c r="AO43" s="24">
        <f>IF(A43="","",IFERROR(INDEX(tbl_fds[Data_FDS],MATCH(A43,tbl_fds[Chave_Vigor],0)),""))</f>
        <v>45901</v>
      </c>
      <c r="AP43" s="23" t="str">
        <f>IF(A43="","",IFERROR(INDEX(tbl_fds[Estado_FDS],MATCH(A43,tbl_fds[Chave_Vigor],0)),IF(C43="Artigo","N.A. (artigo)",IF(AE43="Sim","Sem FDS","Sem FDS (não obrigatória)"))))</f>
        <v>OK</v>
      </c>
      <c r="AQ43" s="23" t="str">
        <f>IF(A43="","",IF(COUNTIF(tbl_risco_quimico[ID_Quimico],A43)&gt;0,"Feita",IF(AE43="Não","N.A.",IF(AF43=1,"N.A. (só perigo físico — ATEX/SCIE)","Em falta"))))</f>
        <v>N.A. (só perigo físico — ATEX/SCIE)</v>
      </c>
      <c r="AR43" s="23" t="str">
        <f t="shared" si="5"/>
        <v>OK</v>
      </c>
    </row>
    <row r="44" spans="1:44" ht="36" customHeight="1" x14ac:dyDescent="0.3">
      <c r="A44" s="17" t="s">
        <v>516</v>
      </c>
      <c r="B44" s="17" t="s">
        <v>517</v>
      </c>
      <c r="C44" s="17" t="s">
        <v>296</v>
      </c>
      <c r="D44" s="17" t="s">
        <v>518</v>
      </c>
      <c r="E44" s="17" t="s">
        <v>519</v>
      </c>
      <c r="F44" s="17" t="s">
        <v>520</v>
      </c>
      <c r="G44" s="17" t="s">
        <v>521</v>
      </c>
      <c r="H44" s="17" t="s">
        <v>305</v>
      </c>
      <c r="I44" s="17" t="s">
        <v>263</v>
      </c>
      <c r="J44" s="17" t="s">
        <v>264</v>
      </c>
      <c r="K44" s="19">
        <v>50</v>
      </c>
      <c r="L44" s="19">
        <v>20</v>
      </c>
      <c r="M44" s="20">
        <v>5</v>
      </c>
      <c r="N44" s="17" t="s">
        <v>522</v>
      </c>
      <c r="O44" s="17" t="s">
        <v>523</v>
      </c>
      <c r="P44" s="17" t="s">
        <v>286</v>
      </c>
      <c r="Q44" s="17" t="s">
        <v>268</v>
      </c>
      <c r="R44" s="17" t="s">
        <v>269</v>
      </c>
      <c r="S44" s="17" t="s">
        <v>113</v>
      </c>
      <c r="T44" s="17" t="s">
        <v>271</v>
      </c>
      <c r="U44" s="17" t="s">
        <v>113</v>
      </c>
      <c r="V44" s="17" t="s">
        <v>271</v>
      </c>
      <c r="W44" s="17" t="s">
        <v>271</v>
      </c>
      <c r="X44" s="17" t="s">
        <v>271</v>
      </c>
      <c r="Y44" s="17" t="s">
        <v>473</v>
      </c>
      <c r="Z44" s="17" t="s">
        <v>273</v>
      </c>
      <c r="AA44" s="21">
        <v>46144</v>
      </c>
      <c r="AB44" s="13">
        <v>1</v>
      </c>
      <c r="AC44" s="22">
        <f t="shared" si="3"/>
        <v>50</v>
      </c>
      <c r="AD44" s="23" t="str">
        <f t="shared" si="4"/>
        <v>;H225;H319;</v>
      </c>
      <c r="AE44" s="23" t="str">
        <f>IF(A44="","",IF(SUMPRODUCT(--ISNUMBER(SEARCH(";"&amp;tbl_frases_h[Codigo]&amp;";",AD44)))&gt;0,"Sim","Não"))</f>
        <v>Sim</v>
      </c>
      <c r="AF44" s="10">
        <f>IF(A44="","",MAX(1,IFERROR(_xlfn.AGGREGATE(14,6,tbl_frases_h[Classe_Perigo_Saude]/ISNUMBER(SEARCH(";"&amp;tbl_frases_h[Codigo]&amp;";",AD44)),1),1)))</f>
        <v>2</v>
      </c>
      <c r="AG44" s="23" t="str">
        <f>IF(A44="","",IF(SUMPRODUCT(ISNUMBER(SEARCH(";"&amp;tbl_frases_h[Codigo]&amp;";",AD44))*(tbl_frases_h[CMR_Categoria]="1"))&gt;0,"Cat. 1A/1B",IF(SUMPRODUCT(ISNUMBER(SEARCH(";"&amp;tbl_frases_h[Codigo]&amp;";",AD44))*(tbl_frases_h[CMR_Categoria]="2"))&gt;0,"Cat. 2","Não")))</f>
        <v>Não</v>
      </c>
      <c r="AH44" s="23" t="str">
        <f>IF(A44="","",IF(SUMPRODUCT(ISNUMBER(SEARCH(";"&amp;tbl_frases_h[Codigo]&amp;";",AD44))*(tbl_frases_h[Grupo]="Sensibilizante"))&gt;0,"Sim","Não"))</f>
        <v>Não</v>
      </c>
      <c r="AI44" s="23" t="str">
        <f>IF(A44="","",IF(SUMPRODUCT(ISNUMBER(SEARCH(";"&amp;tbl_frases_h[Codigo]&amp;";",AD44))*(tbl_frases_h[Grupo]="Toxicidade aguda (cat. 1-3)"))&gt;0,"Sim","Não"))</f>
        <v>Não</v>
      </c>
      <c r="AJ44" s="23" t="str">
        <f>IF(A44="","",IF(SUMPRODUCT(ISNUMBER(SEARCH(";"&amp;tbl_frases_h[Codigo]&amp;";",AD44))*ISNUMBER(SEARCH("STOT",tbl_frases_h[Grupo])))&gt;0,"Sim","Não"))</f>
        <v>Não</v>
      </c>
      <c r="AK44" s="23" t="str">
        <f>IF(A44="","",IF(SUMPRODUCT(ISNUMBER(SEARCH(";"&amp;tbl_frases_h[Codigo]&amp;";",AD44))*(tbl_frases_h[Tipo]="Ambiente"))&gt;0,"Sim","Não"))</f>
        <v>Não</v>
      </c>
      <c r="AL44" s="23" t="str">
        <f>IF(A44="","",IF(SUMPRODUCT(ISNUMBER(SEARCH(";"&amp;tbl_frases_h[Codigo]&amp;";",AD44))*(tbl_frases_h[Grupo]="Inflamável"))&gt;0,"Sim","Não"))</f>
        <v>Sim</v>
      </c>
      <c r="AM44" s="23" t="str">
        <f>IF(A44="","",IF(SUMPRODUCT(ISNUMBER(SEARCH(";"&amp;tbl_frases_h[Codigo]&amp;";",AD44))*(tbl_frases_h[Protecao_Maternidade]="S"))&gt;0,"Sim","Não"))</f>
        <v>Não</v>
      </c>
      <c r="AN44" s="23" t="str">
        <f>IF(A44="","",IF(COUNTIFS(tbl_componentes[ID_Quimico],A44,tbl_componentes[SVHC_Acima_Limiar],"Sim")&gt;0,"Sim","Não"))</f>
        <v>Não</v>
      </c>
      <c r="AO44" s="24">
        <f>IF(A44="","",IFERROR(INDEX(tbl_fds[Data_FDS],MATCH(A44,tbl_fds[Chave_Vigor],0)),""))</f>
        <v>46034</v>
      </c>
      <c r="AP44" s="23" t="str">
        <f>IF(A44="","",IFERROR(INDEX(tbl_fds[Estado_FDS],MATCH(A44,tbl_fds[Chave_Vigor],0)),IF(C44="Artigo","N.A. (artigo)",IF(AE44="Sim","Sem FDS","Sem FDS (não obrigatória)"))))</f>
        <v>OK</v>
      </c>
      <c r="AQ44" s="23" t="str">
        <f>IF(A44="","",IF(COUNTIF(tbl_risco_quimico[ID_Quimico],A44)&gt;0,"Feita",IF(AE44="Não","N.A.",IF(AF44=1,"N.A. (só perigo físico — ATEX/SCIE)","Em falta"))))</f>
        <v>Feita</v>
      </c>
      <c r="AR44" s="23" t="str">
        <f t="shared" si="5"/>
        <v>OK</v>
      </c>
    </row>
    <row r="45" spans="1:44" ht="36" customHeight="1" x14ac:dyDescent="0.3">
      <c r="A45" s="17" t="s">
        <v>524</v>
      </c>
      <c r="B45" s="17" t="s">
        <v>525</v>
      </c>
      <c r="C45" s="17" t="s">
        <v>296</v>
      </c>
      <c r="D45" s="17" t="s">
        <v>526</v>
      </c>
      <c r="E45" s="17" t="s">
        <v>519</v>
      </c>
      <c r="F45" s="17" t="s">
        <v>520</v>
      </c>
      <c r="G45" s="17" t="s">
        <v>521</v>
      </c>
      <c r="H45" s="17" t="s">
        <v>305</v>
      </c>
      <c r="I45" s="17" t="s">
        <v>263</v>
      </c>
      <c r="J45" s="17" t="s">
        <v>264</v>
      </c>
      <c r="K45" s="19">
        <v>10</v>
      </c>
      <c r="L45" s="19">
        <v>5</v>
      </c>
      <c r="M45" s="20">
        <v>2.5</v>
      </c>
      <c r="N45" s="17" t="s">
        <v>522</v>
      </c>
      <c r="O45" s="17" t="s">
        <v>527</v>
      </c>
      <c r="P45" s="17" t="s">
        <v>528</v>
      </c>
      <c r="Q45" s="17" t="s">
        <v>268</v>
      </c>
      <c r="R45" s="17" t="s">
        <v>269</v>
      </c>
      <c r="S45" s="17" t="s">
        <v>113</v>
      </c>
      <c r="T45" s="17" t="s">
        <v>271</v>
      </c>
      <c r="U45" s="17" t="s">
        <v>113</v>
      </c>
      <c r="V45" s="17" t="s">
        <v>271</v>
      </c>
      <c r="W45" s="17" t="s">
        <v>271</v>
      </c>
      <c r="X45" s="17" t="s">
        <v>271</v>
      </c>
      <c r="Y45" s="17" t="s">
        <v>473</v>
      </c>
      <c r="Z45" s="17" t="s">
        <v>273</v>
      </c>
      <c r="AA45" s="21">
        <v>46144</v>
      </c>
      <c r="AB45" s="13">
        <v>1</v>
      </c>
      <c r="AC45" s="22">
        <f t="shared" si="3"/>
        <v>10</v>
      </c>
      <c r="AD45" s="23" t="str">
        <f t="shared" si="4"/>
        <v>;H226;H314;</v>
      </c>
      <c r="AE45" s="23" t="str">
        <f>IF(A45="","",IF(SUMPRODUCT(--ISNUMBER(SEARCH(";"&amp;tbl_frases_h[Codigo]&amp;";",AD45)))&gt;0,"Sim","Não"))</f>
        <v>Sim</v>
      </c>
      <c r="AF45" s="10">
        <f>IF(A45="","",MAX(1,IFERROR(_xlfn.AGGREGATE(14,6,tbl_frases_h[Classe_Perigo_Saude]/ISNUMBER(SEARCH(";"&amp;tbl_frases_h[Codigo]&amp;";",AD45)),1),1)))</f>
        <v>4</v>
      </c>
      <c r="AG45" s="23" t="str">
        <f>IF(A45="","",IF(SUMPRODUCT(ISNUMBER(SEARCH(";"&amp;tbl_frases_h[Codigo]&amp;";",AD45))*(tbl_frases_h[CMR_Categoria]="1"))&gt;0,"Cat. 1A/1B",IF(SUMPRODUCT(ISNUMBER(SEARCH(";"&amp;tbl_frases_h[Codigo]&amp;";",AD45))*(tbl_frases_h[CMR_Categoria]="2"))&gt;0,"Cat. 2","Não")))</f>
        <v>Não</v>
      </c>
      <c r="AH45" s="23" t="str">
        <f>IF(A45="","",IF(SUMPRODUCT(ISNUMBER(SEARCH(";"&amp;tbl_frases_h[Codigo]&amp;";",AD45))*(tbl_frases_h[Grupo]="Sensibilizante"))&gt;0,"Sim","Não"))</f>
        <v>Não</v>
      </c>
      <c r="AI45" s="23" t="str">
        <f>IF(A45="","",IF(SUMPRODUCT(ISNUMBER(SEARCH(";"&amp;tbl_frases_h[Codigo]&amp;";",AD45))*(tbl_frases_h[Grupo]="Toxicidade aguda (cat. 1-3)"))&gt;0,"Sim","Não"))</f>
        <v>Não</v>
      </c>
      <c r="AJ45" s="23" t="str">
        <f>IF(A45="","",IF(SUMPRODUCT(ISNUMBER(SEARCH(";"&amp;tbl_frases_h[Codigo]&amp;";",AD45))*ISNUMBER(SEARCH("STOT",tbl_frases_h[Grupo])))&gt;0,"Sim","Não"))</f>
        <v>Não</v>
      </c>
      <c r="AK45" s="23" t="str">
        <f>IF(A45="","",IF(SUMPRODUCT(ISNUMBER(SEARCH(";"&amp;tbl_frases_h[Codigo]&amp;";",AD45))*(tbl_frases_h[Tipo]="Ambiente"))&gt;0,"Sim","Não"))</f>
        <v>Não</v>
      </c>
      <c r="AL45" s="23" t="str">
        <f>IF(A45="","",IF(SUMPRODUCT(ISNUMBER(SEARCH(";"&amp;tbl_frases_h[Codigo]&amp;";",AD45))*(tbl_frases_h[Grupo]="Inflamável"))&gt;0,"Sim","Não"))</f>
        <v>Sim</v>
      </c>
      <c r="AM45" s="23" t="str">
        <f>IF(A45="","",IF(SUMPRODUCT(ISNUMBER(SEARCH(";"&amp;tbl_frases_h[Codigo]&amp;";",AD45))*(tbl_frases_h[Protecao_Maternidade]="S"))&gt;0,"Sim","Não"))</f>
        <v>Não</v>
      </c>
      <c r="AN45" s="23" t="str">
        <f>IF(A45="","",IF(COUNTIFS(tbl_componentes[ID_Quimico],A45,tbl_componentes[SVHC_Acima_Limiar],"Sim")&gt;0,"Sim","Não"))</f>
        <v>Não</v>
      </c>
      <c r="AO45" s="24">
        <f>IF(A45="","",IFERROR(INDEX(tbl_fds[Data_FDS],MATCH(A45,tbl_fds[Chave_Vigor],0)),""))</f>
        <v>45964</v>
      </c>
      <c r="AP45" s="23" t="str">
        <f>IF(A45="","",IFERROR(INDEX(tbl_fds[Estado_FDS],MATCH(A45,tbl_fds[Chave_Vigor],0)),IF(C45="Artigo","N.A. (artigo)",IF(AE45="Sim","Sem FDS","Sem FDS (não obrigatória)"))))</f>
        <v>OK</v>
      </c>
      <c r="AQ45" s="23" t="str">
        <f>IF(A45="","",IF(COUNTIF(tbl_risco_quimico[ID_Quimico],A45)&gt;0,"Feita",IF(AE45="Não","N.A.",IF(AF45=1,"N.A. (só perigo físico — ATEX/SCIE)","Em falta"))))</f>
        <v>Feita</v>
      </c>
      <c r="AR45" s="23" t="str">
        <f t="shared" si="5"/>
        <v>OK</v>
      </c>
    </row>
    <row r="46" spans="1:44" ht="36" customHeight="1" x14ac:dyDescent="0.3">
      <c r="A46" s="17" t="s">
        <v>529</v>
      </c>
      <c r="B46" s="17" t="s">
        <v>530</v>
      </c>
      <c r="C46" s="17" t="s">
        <v>296</v>
      </c>
      <c r="D46" s="17" t="s">
        <v>531</v>
      </c>
      <c r="E46" s="17" t="s">
        <v>259</v>
      </c>
      <c r="F46" s="17" t="s">
        <v>303</v>
      </c>
      <c r="G46" s="17" t="s">
        <v>304</v>
      </c>
      <c r="H46" s="17" t="s">
        <v>305</v>
      </c>
      <c r="I46" s="17" t="s">
        <v>263</v>
      </c>
      <c r="J46" s="17" t="s">
        <v>264</v>
      </c>
      <c r="K46" s="19">
        <v>200</v>
      </c>
      <c r="L46" s="19">
        <v>50</v>
      </c>
      <c r="M46" s="20">
        <v>25</v>
      </c>
      <c r="N46" s="17" t="s">
        <v>265</v>
      </c>
      <c r="O46" s="17" t="s">
        <v>532</v>
      </c>
      <c r="P46" s="17" t="s">
        <v>286</v>
      </c>
      <c r="Q46" s="17" t="s">
        <v>268</v>
      </c>
      <c r="R46" s="17" t="s">
        <v>269</v>
      </c>
      <c r="S46" s="17" t="s">
        <v>113</v>
      </c>
      <c r="T46" s="17" t="s">
        <v>271</v>
      </c>
      <c r="U46" s="17" t="s">
        <v>113</v>
      </c>
      <c r="V46" s="17" t="s">
        <v>271</v>
      </c>
      <c r="W46" s="17" t="s">
        <v>271</v>
      </c>
      <c r="X46" s="17" t="s">
        <v>271</v>
      </c>
      <c r="Y46" s="17" t="s">
        <v>533</v>
      </c>
      <c r="Z46" s="17" t="s">
        <v>273</v>
      </c>
      <c r="AA46" s="21">
        <v>43873</v>
      </c>
      <c r="AB46" s="13">
        <v>1</v>
      </c>
      <c r="AC46" s="22">
        <f t="shared" si="3"/>
        <v>200</v>
      </c>
      <c r="AD46" s="23" t="str">
        <f t="shared" si="4"/>
        <v>;H225;H319;H336;</v>
      </c>
      <c r="AE46" s="23" t="str">
        <f>IF(A46="","",IF(SUMPRODUCT(--ISNUMBER(SEARCH(";"&amp;tbl_frases_h[Codigo]&amp;";",AD46)))&gt;0,"Sim","Não"))</f>
        <v>Sim</v>
      </c>
      <c r="AF46" s="10">
        <f>IF(A46="","",MAX(1,IFERROR(_xlfn.AGGREGATE(14,6,tbl_frases_h[Classe_Perigo_Saude]/ISNUMBER(SEARCH(";"&amp;tbl_frases_h[Codigo]&amp;";",AD46)),1),1)))</f>
        <v>2</v>
      </c>
      <c r="AG46" s="23" t="str">
        <f>IF(A46="","",IF(SUMPRODUCT(ISNUMBER(SEARCH(";"&amp;tbl_frases_h[Codigo]&amp;";",AD46))*(tbl_frases_h[CMR_Categoria]="1"))&gt;0,"Cat. 1A/1B",IF(SUMPRODUCT(ISNUMBER(SEARCH(";"&amp;tbl_frases_h[Codigo]&amp;";",AD46))*(tbl_frases_h[CMR_Categoria]="2"))&gt;0,"Cat. 2","Não")))</f>
        <v>Não</v>
      </c>
      <c r="AH46" s="23" t="str">
        <f>IF(A46="","",IF(SUMPRODUCT(ISNUMBER(SEARCH(";"&amp;tbl_frases_h[Codigo]&amp;";",AD46))*(tbl_frases_h[Grupo]="Sensibilizante"))&gt;0,"Sim","Não"))</f>
        <v>Não</v>
      </c>
      <c r="AI46" s="23" t="str">
        <f>IF(A46="","",IF(SUMPRODUCT(ISNUMBER(SEARCH(";"&amp;tbl_frases_h[Codigo]&amp;";",AD46))*(tbl_frases_h[Grupo]="Toxicidade aguda (cat. 1-3)"))&gt;0,"Sim","Não"))</f>
        <v>Não</v>
      </c>
      <c r="AJ46" s="23" t="str">
        <f>IF(A46="","",IF(SUMPRODUCT(ISNUMBER(SEARCH(";"&amp;tbl_frases_h[Codigo]&amp;";",AD46))*ISNUMBER(SEARCH("STOT",tbl_frases_h[Grupo])))&gt;0,"Sim","Não"))</f>
        <v>Sim</v>
      </c>
      <c r="AK46" s="23" t="str">
        <f>IF(A46="","",IF(SUMPRODUCT(ISNUMBER(SEARCH(";"&amp;tbl_frases_h[Codigo]&amp;";",AD46))*(tbl_frases_h[Tipo]="Ambiente"))&gt;0,"Sim","Não"))</f>
        <v>Não</v>
      </c>
      <c r="AL46" s="23" t="str">
        <f>IF(A46="","",IF(SUMPRODUCT(ISNUMBER(SEARCH(";"&amp;tbl_frases_h[Codigo]&amp;";",AD46))*(tbl_frases_h[Grupo]="Inflamável"))&gt;0,"Sim","Não"))</f>
        <v>Sim</v>
      </c>
      <c r="AM46" s="23" t="str">
        <f>IF(A46="","",IF(SUMPRODUCT(ISNUMBER(SEARCH(";"&amp;tbl_frases_h[Codigo]&amp;";",AD46))*(tbl_frases_h[Protecao_Maternidade]="S"))&gt;0,"Sim","Não"))</f>
        <v>Não</v>
      </c>
      <c r="AN46" s="23" t="str">
        <f>IF(A46="","",IF(COUNTIFS(tbl_componentes[ID_Quimico],A46,tbl_componentes[SVHC_Acima_Limiar],"Sim")&gt;0,"Sim","Não"))</f>
        <v>Não</v>
      </c>
      <c r="AO46" s="24">
        <f>IF(A46="","",IFERROR(INDEX(tbl_fds[Data_FDS],MATCH(A46,tbl_fds[Chave_Vigor],0)),""))</f>
        <v>45950</v>
      </c>
      <c r="AP46" s="23" t="str">
        <f>IF(A46="","",IFERROR(INDEX(tbl_fds[Estado_FDS],MATCH(A46,tbl_fds[Chave_Vigor],0)),IF(C46="Artigo","N.A. (artigo)",IF(AE46="Sim","Sem FDS","Sem FDS (não obrigatória)"))))</f>
        <v>OK</v>
      </c>
      <c r="AQ46" s="23" t="str">
        <f>IF(A46="","",IF(COUNTIF(tbl_risco_quimico[ID_Quimico],A46)&gt;0,"Feita",IF(AE46="Não","N.A.",IF(AF46=1,"N.A. (só perigo físico — ATEX/SCIE)","Em falta"))))</f>
        <v>Feita</v>
      </c>
      <c r="AR46" s="23" t="str">
        <f t="shared" si="5"/>
        <v>OK</v>
      </c>
    </row>
    <row r="47" spans="1:44" ht="36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9"/>
      <c r="L47" s="19"/>
      <c r="M47" s="20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21"/>
      <c r="AB47" s="13"/>
      <c r="AC47" s="22" t="str">
        <f t="shared" si="3"/>
        <v/>
      </c>
      <c r="AD47" s="23" t="str">
        <f t="shared" si="4"/>
        <v/>
      </c>
      <c r="AE47" s="23" t="str">
        <f>IF(A47="","",IF(SUMPRODUCT(--ISNUMBER(SEARCH(";"&amp;tbl_frases_h[Codigo]&amp;";",AD47)))&gt;0,"Sim","Não"))</f>
        <v/>
      </c>
      <c r="AF47" s="10" t="str">
        <f>IF(A47="","",MAX(1,IFERROR(_xlfn.AGGREGATE(14,6,tbl_frases_h[Classe_Perigo_Saude]/ISNUMBER(SEARCH(";"&amp;tbl_frases_h[Codigo]&amp;";",AD47)),1),1)))</f>
        <v/>
      </c>
      <c r="AG47" s="23" t="str">
        <f>IF(A47="","",IF(SUMPRODUCT(ISNUMBER(SEARCH(";"&amp;tbl_frases_h[Codigo]&amp;";",AD47))*(tbl_frases_h[CMR_Categoria]="1"))&gt;0,"Cat. 1A/1B",IF(SUMPRODUCT(ISNUMBER(SEARCH(";"&amp;tbl_frases_h[Codigo]&amp;";",AD47))*(tbl_frases_h[CMR_Categoria]="2"))&gt;0,"Cat. 2","Não")))</f>
        <v/>
      </c>
      <c r="AH47" s="23" t="str">
        <f>IF(A47="","",IF(SUMPRODUCT(ISNUMBER(SEARCH(";"&amp;tbl_frases_h[Codigo]&amp;";",AD47))*(tbl_frases_h[Grupo]="Sensibilizante"))&gt;0,"Sim","Não"))</f>
        <v/>
      </c>
      <c r="AI47" s="23" t="str">
        <f>IF(A47="","",IF(SUMPRODUCT(ISNUMBER(SEARCH(";"&amp;tbl_frases_h[Codigo]&amp;";",AD47))*(tbl_frases_h[Grupo]="Toxicidade aguda (cat. 1-3)"))&gt;0,"Sim","Não"))</f>
        <v/>
      </c>
      <c r="AJ47" s="23" t="str">
        <f>IF(A47="","",IF(SUMPRODUCT(ISNUMBER(SEARCH(";"&amp;tbl_frases_h[Codigo]&amp;";",AD47))*ISNUMBER(SEARCH("STOT",tbl_frases_h[Grupo])))&gt;0,"Sim","Não"))</f>
        <v/>
      </c>
      <c r="AK47" s="23" t="str">
        <f>IF(A47="","",IF(SUMPRODUCT(ISNUMBER(SEARCH(";"&amp;tbl_frases_h[Codigo]&amp;";",AD47))*(tbl_frases_h[Tipo]="Ambiente"))&gt;0,"Sim","Não"))</f>
        <v/>
      </c>
      <c r="AL47" s="23" t="str">
        <f>IF(A47="","",IF(SUMPRODUCT(ISNUMBER(SEARCH(";"&amp;tbl_frases_h[Codigo]&amp;";",AD47))*(tbl_frases_h[Grupo]="Inflamável"))&gt;0,"Sim","Não"))</f>
        <v/>
      </c>
      <c r="AM47" s="23" t="str">
        <f>IF(A47="","",IF(SUMPRODUCT(ISNUMBER(SEARCH(";"&amp;tbl_frases_h[Codigo]&amp;";",AD47))*(tbl_frases_h[Protecao_Maternidade]="S"))&gt;0,"Sim","Não"))</f>
        <v/>
      </c>
      <c r="AN47" s="23" t="str">
        <f>IF(A47="","",IF(COUNTIFS(tbl_componentes[ID_Quimico],A47,tbl_componentes[SVHC_Acima_Limiar],"Sim")&gt;0,"Sim","Não"))</f>
        <v/>
      </c>
      <c r="AO47" s="24" t="str">
        <f>IF(A47="","",IFERROR(INDEX(tbl_fds[Data_FDS],MATCH(A47,tbl_fds[Chave_Vigor],0)),""))</f>
        <v/>
      </c>
      <c r="AP47" s="23" t="str">
        <f>IF(A47="","",IFERROR(INDEX(tbl_fds[Estado_FDS],MATCH(A47,tbl_fds[Chave_Vigor],0)),IF(C47="Artigo","N.A. (artigo)",IF(AE47="Sim","Sem FDS","Sem FDS (não obrigatória)"))))</f>
        <v/>
      </c>
      <c r="AQ47" s="23" t="str">
        <f>IF(A47="","",IF(COUNTIF(tbl_risco_quimico[ID_Quimico],A47)&gt;0,"Feita",IF(AE47="Não","N.A.",IF(AF47=1,"N.A. (só perigo físico — ATEX/SCIE)","Em falta"))))</f>
        <v/>
      </c>
      <c r="AR47" s="23" t="str">
        <f t="shared" si="5"/>
        <v/>
      </c>
    </row>
    <row r="48" spans="1:44" ht="36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9"/>
      <c r="L48" s="19"/>
      <c r="M48" s="20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21"/>
      <c r="AB48" s="13"/>
      <c r="AC48" s="22" t="str">
        <f t="shared" si="3"/>
        <v/>
      </c>
      <c r="AD48" s="23" t="str">
        <f t="shared" si="4"/>
        <v/>
      </c>
      <c r="AE48" s="23" t="str">
        <f>IF(A48="","",IF(SUMPRODUCT(--ISNUMBER(SEARCH(";"&amp;tbl_frases_h[Codigo]&amp;";",AD48)))&gt;0,"Sim","Não"))</f>
        <v/>
      </c>
      <c r="AF48" s="10" t="str">
        <f>IF(A48="","",MAX(1,IFERROR(_xlfn.AGGREGATE(14,6,tbl_frases_h[Classe_Perigo_Saude]/ISNUMBER(SEARCH(";"&amp;tbl_frases_h[Codigo]&amp;";",AD48)),1),1)))</f>
        <v/>
      </c>
      <c r="AG48" s="23" t="str">
        <f>IF(A48="","",IF(SUMPRODUCT(ISNUMBER(SEARCH(";"&amp;tbl_frases_h[Codigo]&amp;";",AD48))*(tbl_frases_h[CMR_Categoria]="1"))&gt;0,"Cat. 1A/1B",IF(SUMPRODUCT(ISNUMBER(SEARCH(";"&amp;tbl_frases_h[Codigo]&amp;";",AD48))*(tbl_frases_h[CMR_Categoria]="2"))&gt;0,"Cat. 2","Não")))</f>
        <v/>
      </c>
      <c r="AH48" s="23" t="str">
        <f>IF(A48="","",IF(SUMPRODUCT(ISNUMBER(SEARCH(";"&amp;tbl_frases_h[Codigo]&amp;";",AD48))*(tbl_frases_h[Grupo]="Sensibilizante"))&gt;0,"Sim","Não"))</f>
        <v/>
      </c>
      <c r="AI48" s="23" t="str">
        <f>IF(A48="","",IF(SUMPRODUCT(ISNUMBER(SEARCH(";"&amp;tbl_frases_h[Codigo]&amp;";",AD48))*(tbl_frases_h[Grupo]="Toxicidade aguda (cat. 1-3)"))&gt;0,"Sim","Não"))</f>
        <v/>
      </c>
      <c r="AJ48" s="23" t="str">
        <f>IF(A48="","",IF(SUMPRODUCT(ISNUMBER(SEARCH(";"&amp;tbl_frases_h[Codigo]&amp;";",AD48))*ISNUMBER(SEARCH("STOT",tbl_frases_h[Grupo])))&gt;0,"Sim","Não"))</f>
        <v/>
      </c>
      <c r="AK48" s="23" t="str">
        <f>IF(A48="","",IF(SUMPRODUCT(ISNUMBER(SEARCH(";"&amp;tbl_frases_h[Codigo]&amp;";",AD48))*(tbl_frases_h[Tipo]="Ambiente"))&gt;0,"Sim","Não"))</f>
        <v/>
      </c>
      <c r="AL48" s="23" t="str">
        <f>IF(A48="","",IF(SUMPRODUCT(ISNUMBER(SEARCH(";"&amp;tbl_frases_h[Codigo]&amp;";",AD48))*(tbl_frases_h[Grupo]="Inflamável"))&gt;0,"Sim","Não"))</f>
        <v/>
      </c>
      <c r="AM48" s="23" t="str">
        <f>IF(A48="","",IF(SUMPRODUCT(ISNUMBER(SEARCH(";"&amp;tbl_frases_h[Codigo]&amp;";",AD48))*(tbl_frases_h[Protecao_Maternidade]="S"))&gt;0,"Sim","Não"))</f>
        <v/>
      </c>
      <c r="AN48" s="23" t="str">
        <f>IF(A48="","",IF(COUNTIFS(tbl_componentes[ID_Quimico],A48,tbl_componentes[SVHC_Acima_Limiar],"Sim")&gt;0,"Sim","Não"))</f>
        <v/>
      </c>
      <c r="AO48" s="24" t="str">
        <f>IF(A48="","",IFERROR(INDEX(tbl_fds[Data_FDS],MATCH(A48,tbl_fds[Chave_Vigor],0)),""))</f>
        <v/>
      </c>
      <c r="AP48" s="23" t="str">
        <f>IF(A48="","",IFERROR(INDEX(tbl_fds[Estado_FDS],MATCH(A48,tbl_fds[Chave_Vigor],0)),IF(C48="Artigo","N.A. (artigo)",IF(AE48="Sim","Sem FDS","Sem FDS (não obrigatória)"))))</f>
        <v/>
      </c>
      <c r="AQ48" s="23" t="str">
        <f>IF(A48="","",IF(COUNTIF(tbl_risco_quimico[ID_Quimico],A48)&gt;0,"Feita",IF(AE48="Não","N.A.",IF(AF48=1,"N.A. (só perigo físico — ATEX/SCIE)","Em falta"))))</f>
        <v/>
      </c>
      <c r="AR48" s="23" t="str">
        <f t="shared" si="5"/>
        <v/>
      </c>
    </row>
    <row r="49" spans="1:44" ht="36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9"/>
      <c r="L49" s="19"/>
      <c r="M49" s="20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21"/>
      <c r="AB49" s="13"/>
      <c r="AC49" s="22" t="str">
        <f t="shared" si="3"/>
        <v/>
      </c>
      <c r="AD49" s="23" t="str">
        <f t="shared" si="4"/>
        <v/>
      </c>
      <c r="AE49" s="23" t="str">
        <f>IF(A49="","",IF(SUMPRODUCT(--ISNUMBER(SEARCH(";"&amp;tbl_frases_h[Codigo]&amp;";",AD49)))&gt;0,"Sim","Não"))</f>
        <v/>
      </c>
      <c r="AF49" s="10" t="str">
        <f>IF(A49="","",MAX(1,IFERROR(_xlfn.AGGREGATE(14,6,tbl_frases_h[Classe_Perigo_Saude]/ISNUMBER(SEARCH(";"&amp;tbl_frases_h[Codigo]&amp;";",AD49)),1),1)))</f>
        <v/>
      </c>
      <c r="AG49" s="23" t="str">
        <f>IF(A49="","",IF(SUMPRODUCT(ISNUMBER(SEARCH(";"&amp;tbl_frases_h[Codigo]&amp;";",AD49))*(tbl_frases_h[CMR_Categoria]="1"))&gt;0,"Cat. 1A/1B",IF(SUMPRODUCT(ISNUMBER(SEARCH(";"&amp;tbl_frases_h[Codigo]&amp;";",AD49))*(tbl_frases_h[CMR_Categoria]="2"))&gt;0,"Cat. 2","Não")))</f>
        <v/>
      </c>
      <c r="AH49" s="23" t="str">
        <f>IF(A49="","",IF(SUMPRODUCT(ISNUMBER(SEARCH(";"&amp;tbl_frases_h[Codigo]&amp;";",AD49))*(tbl_frases_h[Grupo]="Sensibilizante"))&gt;0,"Sim","Não"))</f>
        <v/>
      </c>
      <c r="AI49" s="23" t="str">
        <f>IF(A49="","",IF(SUMPRODUCT(ISNUMBER(SEARCH(";"&amp;tbl_frases_h[Codigo]&amp;";",AD49))*(tbl_frases_h[Grupo]="Toxicidade aguda (cat. 1-3)"))&gt;0,"Sim","Não"))</f>
        <v/>
      </c>
      <c r="AJ49" s="23" t="str">
        <f>IF(A49="","",IF(SUMPRODUCT(ISNUMBER(SEARCH(";"&amp;tbl_frases_h[Codigo]&amp;";",AD49))*ISNUMBER(SEARCH("STOT",tbl_frases_h[Grupo])))&gt;0,"Sim","Não"))</f>
        <v/>
      </c>
      <c r="AK49" s="23" t="str">
        <f>IF(A49="","",IF(SUMPRODUCT(ISNUMBER(SEARCH(";"&amp;tbl_frases_h[Codigo]&amp;";",AD49))*(tbl_frases_h[Tipo]="Ambiente"))&gt;0,"Sim","Não"))</f>
        <v/>
      </c>
      <c r="AL49" s="23" t="str">
        <f>IF(A49="","",IF(SUMPRODUCT(ISNUMBER(SEARCH(";"&amp;tbl_frases_h[Codigo]&amp;";",AD49))*(tbl_frases_h[Grupo]="Inflamável"))&gt;0,"Sim","Não"))</f>
        <v/>
      </c>
      <c r="AM49" s="23" t="str">
        <f>IF(A49="","",IF(SUMPRODUCT(ISNUMBER(SEARCH(";"&amp;tbl_frases_h[Codigo]&amp;";",AD49))*(tbl_frases_h[Protecao_Maternidade]="S"))&gt;0,"Sim","Não"))</f>
        <v/>
      </c>
      <c r="AN49" s="23" t="str">
        <f>IF(A49="","",IF(COUNTIFS(tbl_componentes[ID_Quimico],A49,tbl_componentes[SVHC_Acima_Limiar],"Sim")&gt;0,"Sim","Não"))</f>
        <v/>
      </c>
      <c r="AO49" s="24" t="str">
        <f>IF(A49="","",IFERROR(INDEX(tbl_fds[Data_FDS],MATCH(A49,tbl_fds[Chave_Vigor],0)),""))</f>
        <v/>
      </c>
      <c r="AP49" s="23" t="str">
        <f>IF(A49="","",IFERROR(INDEX(tbl_fds[Estado_FDS],MATCH(A49,tbl_fds[Chave_Vigor],0)),IF(C49="Artigo","N.A. (artigo)",IF(AE49="Sim","Sem FDS","Sem FDS (não obrigatória)"))))</f>
        <v/>
      </c>
      <c r="AQ49" s="23" t="str">
        <f>IF(A49="","",IF(COUNTIF(tbl_risco_quimico[ID_Quimico],A49)&gt;0,"Feita",IF(AE49="Não","N.A.",IF(AF49=1,"N.A. (só perigo físico — ATEX/SCIE)","Em falta"))))</f>
        <v/>
      </c>
      <c r="AR49" s="23" t="str">
        <f t="shared" si="5"/>
        <v/>
      </c>
    </row>
    <row r="50" spans="1:44" ht="36" customHeight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9"/>
      <c r="L50" s="19"/>
      <c r="M50" s="20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21"/>
      <c r="AB50" s="13"/>
      <c r="AC50" s="22" t="str">
        <f t="shared" si="3"/>
        <v/>
      </c>
      <c r="AD50" s="23" t="str">
        <f t="shared" si="4"/>
        <v/>
      </c>
      <c r="AE50" s="23" t="str">
        <f>IF(A50="","",IF(SUMPRODUCT(--ISNUMBER(SEARCH(";"&amp;tbl_frases_h[Codigo]&amp;";",AD50)))&gt;0,"Sim","Não"))</f>
        <v/>
      </c>
      <c r="AF50" s="10" t="str">
        <f>IF(A50="","",MAX(1,IFERROR(_xlfn.AGGREGATE(14,6,tbl_frases_h[Classe_Perigo_Saude]/ISNUMBER(SEARCH(";"&amp;tbl_frases_h[Codigo]&amp;";",AD50)),1),1)))</f>
        <v/>
      </c>
      <c r="AG50" s="23" t="str">
        <f>IF(A50="","",IF(SUMPRODUCT(ISNUMBER(SEARCH(";"&amp;tbl_frases_h[Codigo]&amp;";",AD50))*(tbl_frases_h[CMR_Categoria]="1"))&gt;0,"Cat. 1A/1B",IF(SUMPRODUCT(ISNUMBER(SEARCH(";"&amp;tbl_frases_h[Codigo]&amp;";",AD50))*(tbl_frases_h[CMR_Categoria]="2"))&gt;0,"Cat. 2","Não")))</f>
        <v/>
      </c>
      <c r="AH50" s="23" t="str">
        <f>IF(A50="","",IF(SUMPRODUCT(ISNUMBER(SEARCH(";"&amp;tbl_frases_h[Codigo]&amp;";",AD50))*(tbl_frases_h[Grupo]="Sensibilizante"))&gt;0,"Sim","Não"))</f>
        <v/>
      </c>
      <c r="AI50" s="23" t="str">
        <f>IF(A50="","",IF(SUMPRODUCT(ISNUMBER(SEARCH(";"&amp;tbl_frases_h[Codigo]&amp;";",AD50))*(tbl_frases_h[Grupo]="Toxicidade aguda (cat. 1-3)"))&gt;0,"Sim","Não"))</f>
        <v/>
      </c>
      <c r="AJ50" s="23" t="str">
        <f>IF(A50="","",IF(SUMPRODUCT(ISNUMBER(SEARCH(";"&amp;tbl_frases_h[Codigo]&amp;";",AD50))*ISNUMBER(SEARCH("STOT",tbl_frases_h[Grupo])))&gt;0,"Sim","Não"))</f>
        <v/>
      </c>
      <c r="AK50" s="23" t="str">
        <f>IF(A50="","",IF(SUMPRODUCT(ISNUMBER(SEARCH(";"&amp;tbl_frases_h[Codigo]&amp;";",AD50))*(tbl_frases_h[Tipo]="Ambiente"))&gt;0,"Sim","Não"))</f>
        <v/>
      </c>
      <c r="AL50" s="23" t="str">
        <f>IF(A50="","",IF(SUMPRODUCT(ISNUMBER(SEARCH(";"&amp;tbl_frases_h[Codigo]&amp;";",AD50))*(tbl_frases_h[Grupo]="Inflamável"))&gt;0,"Sim","Não"))</f>
        <v/>
      </c>
      <c r="AM50" s="23" t="str">
        <f>IF(A50="","",IF(SUMPRODUCT(ISNUMBER(SEARCH(";"&amp;tbl_frases_h[Codigo]&amp;";",AD50))*(tbl_frases_h[Protecao_Maternidade]="S"))&gt;0,"Sim","Não"))</f>
        <v/>
      </c>
      <c r="AN50" s="23" t="str">
        <f>IF(A50="","",IF(COUNTIFS(tbl_componentes[ID_Quimico],A50,tbl_componentes[SVHC_Acima_Limiar],"Sim")&gt;0,"Sim","Não"))</f>
        <v/>
      </c>
      <c r="AO50" s="24" t="str">
        <f>IF(A50="","",IFERROR(INDEX(tbl_fds[Data_FDS],MATCH(A50,tbl_fds[Chave_Vigor],0)),""))</f>
        <v/>
      </c>
      <c r="AP50" s="23" t="str">
        <f>IF(A50="","",IFERROR(INDEX(tbl_fds[Estado_FDS],MATCH(A50,tbl_fds[Chave_Vigor],0)),IF(C50="Artigo","N.A. (artigo)",IF(AE50="Sim","Sem FDS","Sem FDS (não obrigatória)"))))</f>
        <v/>
      </c>
      <c r="AQ50" s="23" t="str">
        <f>IF(A50="","",IF(COUNTIF(tbl_risco_quimico[ID_Quimico],A50)&gt;0,"Feita",IF(AE50="Não","N.A.",IF(AF50=1,"N.A. (só perigo físico — ATEX/SCIE)","Em falta"))))</f>
        <v/>
      </c>
      <c r="AR50" s="23" t="str">
        <f t="shared" si="5"/>
        <v/>
      </c>
    </row>
    <row r="51" spans="1:44" ht="36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9"/>
      <c r="L51" s="19"/>
      <c r="M51" s="20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21"/>
      <c r="AB51" s="13"/>
      <c r="AC51" s="22" t="str">
        <f t="shared" si="3"/>
        <v/>
      </c>
      <c r="AD51" s="23" t="str">
        <f t="shared" si="4"/>
        <v/>
      </c>
      <c r="AE51" s="23" t="str">
        <f>IF(A51="","",IF(SUMPRODUCT(--ISNUMBER(SEARCH(";"&amp;tbl_frases_h[Codigo]&amp;";",AD51)))&gt;0,"Sim","Não"))</f>
        <v/>
      </c>
      <c r="AF51" s="10" t="str">
        <f>IF(A51="","",MAX(1,IFERROR(_xlfn.AGGREGATE(14,6,tbl_frases_h[Classe_Perigo_Saude]/ISNUMBER(SEARCH(";"&amp;tbl_frases_h[Codigo]&amp;";",AD51)),1),1)))</f>
        <v/>
      </c>
      <c r="AG51" s="23" t="str">
        <f>IF(A51="","",IF(SUMPRODUCT(ISNUMBER(SEARCH(";"&amp;tbl_frases_h[Codigo]&amp;";",AD51))*(tbl_frases_h[CMR_Categoria]="1"))&gt;0,"Cat. 1A/1B",IF(SUMPRODUCT(ISNUMBER(SEARCH(";"&amp;tbl_frases_h[Codigo]&amp;";",AD51))*(tbl_frases_h[CMR_Categoria]="2"))&gt;0,"Cat. 2","Não")))</f>
        <v/>
      </c>
      <c r="AH51" s="23" t="str">
        <f>IF(A51="","",IF(SUMPRODUCT(ISNUMBER(SEARCH(";"&amp;tbl_frases_h[Codigo]&amp;";",AD51))*(tbl_frases_h[Grupo]="Sensibilizante"))&gt;0,"Sim","Não"))</f>
        <v/>
      </c>
      <c r="AI51" s="23" t="str">
        <f>IF(A51="","",IF(SUMPRODUCT(ISNUMBER(SEARCH(";"&amp;tbl_frases_h[Codigo]&amp;";",AD51))*(tbl_frases_h[Grupo]="Toxicidade aguda (cat. 1-3)"))&gt;0,"Sim","Não"))</f>
        <v/>
      </c>
      <c r="AJ51" s="23" t="str">
        <f>IF(A51="","",IF(SUMPRODUCT(ISNUMBER(SEARCH(";"&amp;tbl_frases_h[Codigo]&amp;";",AD51))*ISNUMBER(SEARCH("STOT",tbl_frases_h[Grupo])))&gt;0,"Sim","Não"))</f>
        <v/>
      </c>
      <c r="AK51" s="23" t="str">
        <f>IF(A51="","",IF(SUMPRODUCT(ISNUMBER(SEARCH(";"&amp;tbl_frases_h[Codigo]&amp;";",AD51))*(tbl_frases_h[Tipo]="Ambiente"))&gt;0,"Sim","Não"))</f>
        <v/>
      </c>
      <c r="AL51" s="23" t="str">
        <f>IF(A51="","",IF(SUMPRODUCT(ISNUMBER(SEARCH(";"&amp;tbl_frases_h[Codigo]&amp;";",AD51))*(tbl_frases_h[Grupo]="Inflamável"))&gt;0,"Sim","Não"))</f>
        <v/>
      </c>
      <c r="AM51" s="23" t="str">
        <f>IF(A51="","",IF(SUMPRODUCT(ISNUMBER(SEARCH(";"&amp;tbl_frases_h[Codigo]&amp;";",AD51))*(tbl_frases_h[Protecao_Maternidade]="S"))&gt;0,"Sim","Não"))</f>
        <v/>
      </c>
      <c r="AN51" s="23" t="str">
        <f>IF(A51="","",IF(COUNTIFS(tbl_componentes[ID_Quimico],A51,tbl_componentes[SVHC_Acima_Limiar],"Sim")&gt;0,"Sim","Não"))</f>
        <v/>
      </c>
      <c r="AO51" s="24" t="str">
        <f>IF(A51="","",IFERROR(INDEX(tbl_fds[Data_FDS],MATCH(A51,tbl_fds[Chave_Vigor],0)),""))</f>
        <v/>
      </c>
      <c r="AP51" s="23" t="str">
        <f>IF(A51="","",IFERROR(INDEX(tbl_fds[Estado_FDS],MATCH(A51,tbl_fds[Chave_Vigor],0)),IF(C51="Artigo","N.A. (artigo)",IF(AE51="Sim","Sem FDS","Sem FDS (não obrigatória)"))))</f>
        <v/>
      </c>
      <c r="AQ51" s="23" t="str">
        <f>IF(A51="","",IF(COUNTIF(tbl_risco_quimico[ID_Quimico],A51)&gt;0,"Feita",IF(AE51="Não","N.A.",IF(AF51=1,"N.A. (só perigo físico — ATEX/SCIE)","Em falta"))))</f>
        <v/>
      </c>
      <c r="AR51" s="23" t="str">
        <f t="shared" si="5"/>
        <v/>
      </c>
    </row>
    <row r="52" spans="1:44" ht="36" customHeight="1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9"/>
      <c r="L52" s="19"/>
      <c r="M52" s="20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21"/>
      <c r="AB52" s="13"/>
      <c r="AC52" s="22" t="str">
        <f t="shared" si="3"/>
        <v/>
      </c>
      <c r="AD52" s="23" t="str">
        <f t="shared" si="4"/>
        <v/>
      </c>
      <c r="AE52" s="23" t="str">
        <f>IF(A52="","",IF(SUMPRODUCT(--ISNUMBER(SEARCH(";"&amp;tbl_frases_h[Codigo]&amp;";",AD52)))&gt;0,"Sim","Não"))</f>
        <v/>
      </c>
      <c r="AF52" s="10" t="str">
        <f>IF(A52="","",MAX(1,IFERROR(_xlfn.AGGREGATE(14,6,tbl_frases_h[Classe_Perigo_Saude]/ISNUMBER(SEARCH(";"&amp;tbl_frases_h[Codigo]&amp;";",AD52)),1),1)))</f>
        <v/>
      </c>
      <c r="AG52" s="23" t="str">
        <f>IF(A52="","",IF(SUMPRODUCT(ISNUMBER(SEARCH(";"&amp;tbl_frases_h[Codigo]&amp;";",AD52))*(tbl_frases_h[CMR_Categoria]="1"))&gt;0,"Cat. 1A/1B",IF(SUMPRODUCT(ISNUMBER(SEARCH(";"&amp;tbl_frases_h[Codigo]&amp;";",AD52))*(tbl_frases_h[CMR_Categoria]="2"))&gt;0,"Cat. 2","Não")))</f>
        <v/>
      </c>
      <c r="AH52" s="23" t="str">
        <f>IF(A52="","",IF(SUMPRODUCT(ISNUMBER(SEARCH(";"&amp;tbl_frases_h[Codigo]&amp;";",AD52))*(tbl_frases_h[Grupo]="Sensibilizante"))&gt;0,"Sim","Não"))</f>
        <v/>
      </c>
      <c r="AI52" s="23" t="str">
        <f>IF(A52="","",IF(SUMPRODUCT(ISNUMBER(SEARCH(";"&amp;tbl_frases_h[Codigo]&amp;";",AD52))*(tbl_frases_h[Grupo]="Toxicidade aguda (cat. 1-3)"))&gt;0,"Sim","Não"))</f>
        <v/>
      </c>
      <c r="AJ52" s="23" t="str">
        <f>IF(A52="","",IF(SUMPRODUCT(ISNUMBER(SEARCH(";"&amp;tbl_frases_h[Codigo]&amp;";",AD52))*ISNUMBER(SEARCH("STOT",tbl_frases_h[Grupo])))&gt;0,"Sim","Não"))</f>
        <v/>
      </c>
      <c r="AK52" s="23" t="str">
        <f>IF(A52="","",IF(SUMPRODUCT(ISNUMBER(SEARCH(";"&amp;tbl_frases_h[Codigo]&amp;";",AD52))*(tbl_frases_h[Tipo]="Ambiente"))&gt;0,"Sim","Não"))</f>
        <v/>
      </c>
      <c r="AL52" s="23" t="str">
        <f>IF(A52="","",IF(SUMPRODUCT(ISNUMBER(SEARCH(";"&amp;tbl_frases_h[Codigo]&amp;";",AD52))*(tbl_frases_h[Grupo]="Inflamável"))&gt;0,"Sim","Não"))</f>
        <v/>
      </c>
      <c r="AM52" s="23" t="str">
        <f>IF(A52="","",IF(SUMPRODUCT(ISNUMBER(SEARCH(";"&amp;tbl_frases_h[Codigo]&amp;";",AD52))*(tbl_frases_h[Protecao_Maternidade]="S"))&gt;0,"Sim","Não"))</f>
        <v/>
      </c>
      <c r="AN52" s="23" t="str">
        <f>IF(A52="","",IF(COUNTIFS(tbl_componentes[ID_Quimico],A52,tbl_componentes[SVHC_Acima_Limiar],"Sim")&gt;0,"Sim","Não"))</f>
        <v/>
      </c>
      <c r="AO52" s="24" t="str">
        <f>IF(A52="","",IFERROR(INDEX(tbl_fds[Data_FDS],MATCH(A52,tbl_fds[Chave_Vigor],0)),""))</f>
        <v/>
      </c>
      <c r="AP52" s="23" t="str">
        <f>IF(A52="","",IFERROR(INDEX(tbl_fds[Estado_FDS],MATCH(A52,tbl_fds[Chave_Vigor],0)),IF(C52="Artigo","N.A. (artigo)",IF(AE52="Sim","Sem FDS","Sem FDS (não obrigatória)"))))</f>
        <v/>
      </c>
      <c r="AQ52" s="23" t="str">
        <f>IF(A52="","",IF(COUNTIF(tbl_risco_quimico[ID_Quimico],A52)&gt;0,"Feita",IF(AE52="Não","N.A.",IF(AF52=1,"N.A. (só perigo físico — ATEX/SCIE)","Em falta"))))</f>
        <v/>
      </c>
      <c r="AR52" s="23" t="str">
        <f t="shared" si="5"/>
        <v/>
      </c>
    </row>
    <row r="53" spans="1:44" ht="36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9"/>
      <c r="L53" s="19"/>
      <c r="M53" s="20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21"/>
      <c r="AB53" s="13"/>
      <c r="AC53" s="22" t="str">
        <f t="shared" si="3"/>
        <v/>
      </c>
      <c r="AD53" s="23" t="str">
        <f t="shared" si="4"/>
        <v/>
      </c>
      <c r="AE53" s="23" t="str">
        <f>IF(A53="","",IF(SUMPRODUCT(--ISNUMBER(SEARCH(";"&amp;tbl_frases_h[Codigo]&amp;";",AD53)))&gt;0,"Sim","Não"))</f>
        <v/>
      </c>
      <c r="AF53" s="10" t="str">
        <f>IF(A53="","",MAX(1,IFERROR(_xlfn.AGGREGATE(14,6,tbl_frases_h[Classe_Perigo_Saude]/ISNUMBER(SEARCH(";"&amp;tbl_frases_h[Codigo]&amp;";",AD53)),1),1)))</f>
        <v/>
      </c>
      <c r="AG53" s="23" t="str">
        <f>IF(A53="","",IF(SUMPRODUCT(ISNUMBER(SEARCH(";"&amp;tbl_frases_h[Codigo]&amp;";",AD53))*(tbl_frases_h[CMR_Categoria]="1"))&gt;0,"Cat. 1A/1B",IF(SUMPRODUCT(ISNUMBER(SEARCH(";"&amp;tbl_frases_h[Codigo]&amp;";",AD53))*(tbl_frases_h[CMR_Categoria]="2"))&gt;0,"Cat. 2","Não")))</f>
        <v/>
      </c>
      <c r="AH53" s="23" t="str">
        <f>IF(A53="","",IF(SUMPRODUCT(ISNUMBER(SEARCH(";"&amp;tbl_frases_h[Codigo]&amp;";",AD53))*(tbl_frases_h[Grupo]="Sensibilizante"))&gt;0,"Sim","Não"))</f>
        <v/>
      </c>
      <c r="AI53" s="23" t="str">
        <f>IF(A53="","",IF(SUMPRODUCT(ISNUMBER(SEARCH(";"&amp;tbl_frases_h[Codigo]&amp;";",AD53))*(tbl_frases_h[Grupo]="Toxicidade aguda (cat. 1-3)"))&gt;0,"Sim","Não"))</f>
        <v/>
      </c>
      <c r="AJ53" s="23" t="str">
        <f>IF(A53="","",IF(SUMPRODUCT(ISNUMBER(SEARCH(";"&amp;tbl_frases_h[Codigo]&amp;";",AD53))*ISNUMBER(SEARCH("STOT",tbl_frases_h[Grupo])))&gt;0,"Sim","Não"))</f>
        <v/>
      </c>
      <c r="AK53" s="23" t="str">
        <f>IF(A53="","",IF(SUMPRODUCT(ISNUMBER(SEARCH(";"&amp;tbl_frases_h[Codigo]&amp;";",AD53))*(tbl_frases_h[Tipo]="Ambiente"))&gt;0,"Sim","Não"))</f>
        <v/>
      </c>
      <c r="AL53" s="23" t="str">
        <f>IF(A53="","",IF(SUMPRODUCT(ISNUMBER(SEARCH(";"&amp;tbl_frases_h[Codigo]&amp;";",AD53))*(tbl_frases_h[Grupo]="Inflamável"))&gt;0,"Sim","Não"))</f>
        <v/>
      </c>
      <c r="AM53" s="23" t="str">
        <f>IF(A53="","",IF(SUMPRODUCT(ISNUMBER(SEARCH(";"&amp;tbl_frases_h[Codigo]&amp;";",AD53))*(tbl_frases_h[Protecao_Maternidade]="S"))&gt;0,"Sim","Não"))</f>
        <v/>
      </c>
      <c r="AN53" s="23" t="str">
        <f>IF(A53="","",IF(COUNTIFS(tbl_componentes[ID_Quimico],A53,tbl_componentes[SVHC_Acima_Limiar],"Sim")&gt;0,"Sim","Não"))</f>
        <v/>
      </c>
      <c r="AO53" s="24" t="str">
        <f>IF(A53="","",IFERROR(INDEX(tbl_fds[Data_FDS],MATCH(A53,tbl_fds[Chave_Vigor],0)),""))</f>
        <v/>
      </c>
      <c r="AP53" s="23" t="str">
        <f>IF(A53="","",IFERROR(INDEX(tbl_fds[Estado_FDS],MATCH(A53,tbl_fds[Chave_Vigor],0)),IF(C53="Artigo","N.A. (artigo)",IF(AE53="Sim","Sem FDS","Sem FDS (não obrigatória)"))))</f>
        <v/>
      </c>
      <c r="AQ53" s="23" t="str">
        <f>IF(A53="","",IF(COUNTIF(tbl_risco_quimico[ID_Quimico],A53)&gt;0,"Feita",IF(AE53="Não","N.A.",IF(AF53=1,"N.A. (só perigo físico — ATEX/SCIE)","Em falta"))))</f>
        <v/>
      </c>
      <c r="AR53" s="23" t="str">
        <f t="shared" si="5"/>
        <v/>
      </c>
    </row>
    <row r="54" spans="1:44" ht="36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9"/>
      <c r="L54" s="19"/>
      <c r="M54" s="20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21"/>
      <c r="AB54" s="13"/>
      <c r="AC54" s="22" t="str">
        <f t="shared" si="3"/>
        <v/>
      </c>
      <c r="AD54" s="23" t="str">
        <f t="shared" si="4"/>
        <v/>
      </c>
      <c r="AE54" s="23" t="str">
        <f>IF(A54="","",IF(SUMPRODUCT(--ISNUMBER(SEARCH(";"&amp;tbl_frases_h[Codigo]&amp;";",AD54)))&gt;0,"Sim","Não"))</f>
        <v/>
      </c>
      <c r="AF54" s="10" t="str">
        <f>IF(A54="","",MAX(1,IFERROR(_xlfn.AGGREGATE(14,6,tbl_frases_h[Classe_Perigo_Saude]/ISNUMBER(SEARCH(";"&amp;tbl_frases_h[Codigo]&amp;";",AD54)),1),1)))</f>
        <v/>
      </c>
      <c r="AG54" s="23" t="str">
        <f>IF(A54="","",IF(SUMPRODUCT(ISNUMBER(SEARCH(";"&amp;tbl_frases_h[Codigo]&amp;";",AD54))*(tbl_frases_h[CMR_Categoria]="1"))&gt;0,"Cat. 1A/1B",IF(SUMPRODUCT(ISNUMBER(SEARCH(";"&amp;tbl_frases_h[Codigo]&amp;";",AD54))*(tbl_frases_h[CMR_Categoria]="2"))&gt;0,"Cat. 2","Não")))</f>
        <v/>
      </c>
      <c r="AH54" s="23" t="str">
        <f>IF(A54="","",IF(SUMPRODUCT(ISNUMBER(SEARCH(";"&amp;tbl_frases_h[Codigo]&amp;";",AD54))*(tbl_frases_h[Grupo]="Sensibilizante"))&gt;0,"Sim","Não"))</f>
        <v/>
      </c>
      <c r="AI54" s="23" t="str">
        <f>IF(A54="","",IF(SUMPRODUCT(ISNUMBER(SEARCH(";"&amp;tbl_frases_h[Codigo]&amp;";",AD54))*(tbl_frases_h[Grupo]="Toxicidade aguda (cat. 1-3)"))&gt;0,"Sim","Não"))</f>
        <v/>
      </c>
      <c r="AJ54" s="23" t="str">
        <f>IF(A54="","",IF(SUMPRODUCT(ISNUMBER(SEARCH(";"&amp;tbl_frases_h[Codigo]&amp;";",AD54))*ISNUMBER(SEARCH("STOT",tbl_frases_h[Grupo])))&gt;0,"Sim","Não"))</f>
        <v/>
      </c>
      <c r="AK54" s="23" t="str">
        <f>IF(A54="","",IF(SUMPRODUCT(ISNUMBER(SEARCH(";"&amp;tbl_frases_h[Codigo]&amp;";",AD54))*(tbl_frases_h[Tipo]="Ambiente"))&gt;0,"Sim","Não"))</f>
        <v/>
      </c>
      <c r="AL54" s="23" t="str">
        <f>IF(A54="","",IF(SUMPRODUCT(ISNUMBER(SEARCH(";"&amp;tbl_frases_h[Codigo]&amp;";",AD54))*(tbl_frases_h[Grupo]="Inflamável"))&gt;0,"Sim","Não"))</f>
        <v/>
      </c>
      <c r="AM54" s="23" t="str">
        <f>IF(A54="","",IF(SUMPRODUCT(ISNUMBER(SEARCH(";"&amp;tbl_frases_h[Codigo]&amp;";",AD54))*(tbl_frases_h[Protecao_Maternidade]="S"))&gt;0,"Sim","Não"))</f>
        <v/>
      </c>
      <c r="AN54" s="23" t="str">
        <f>IF(A54="","",IF(COUNTIFS(tbl_componentes[ID_Quimico],A54,tbl_componentes[SVHC_Acima_Limiar],"Sim")&gt;0,"Sim","Não"))</f>
        <v/>
      </c>
      <c r="AO54" s="24" t="str">
        <f>IF(A54="","",IFERROR(INDEX(tbl_fds[Data_FDS],MATCH(A54,tbl_fds[Chave_Vigor],0)),""))</f>
        <v/>
      </c>
      <c r="AP54" s="23" t="str">
        <f>IF(A54="","",IFERROR(INDEX(tbl_fds[Estado_FDS],MATCH(A54,tbl_fds[Chave_Vigor],0)),IF(C54="Artigo","N.A. (artigo)",IF(AE54="Sim","Sem FDS","Sem FDS (não obrigatória)"))))</f>
        <v/>
      </c>
      <c r="AQ54" s="23" t="str">
        <f>IF(A54="","",IF(COUNTIF(tbl_risco_quimico[ID_Quimico],A54)&gt;0,"Feita",IF(AE54="Não","N.A.",IF(AF54=1,"N.A. (só perigo físico — ATEX/SCIE)","Em falta"))))</f>
        <v/>
      </c>
      <c r="AR54" s="23" t="str">
        <f t="shared" si="5"/>
        <v/>
      </c>
    </row>
    <row r="55" spans="1:44" ht="36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9"/>
      <c r="L55" s="19"/>
      <c r="M55" s="20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21"/>
      <c r="AB55" s="13"/>
      <c r="AC55" s="22" t="str">
        <f t="shared" si="3"/>
        <v/>
      </c>
      <c r="AD55" s="23" t="str">
        <f t="shared" si="4"/>
        <v/>
      </c>
      <c r="AE55" s="23" t="str">
        <f>IF(A55="","",IF(SUMPRODUCT(--ISNUMBER(SEARCH(";"&amp;tbl_frases_h[Codigo]&amp;";",AD55)))&gt;0,"Sim","Não"))</f>
        <v/>
      </c>
      <c r="AF55" s="10" t="str">
        <f>IF(A55="","",MAX(1,IFERROR(_xlfn.AGGREGATE(14,6,tbl_frases_h[Classe_Perigo_Saude]/ISNUMBER(SEARCH(";"&amp;tbl_frases_h[Codigo]&amp;";",AD55)),1),1)))</f>
        <v/>
      </c>
      <c r="AG55" s="23" t="str">
        <f>IF(A55="","",IF(SUMPRODUCT(ISNUMBER(SEARCH(";"&amp;tbl_frases_h[Codigo]&amp;";",AD55))*(tbl_frases_h[CMR_Categoria]="1"))&gt;0,"Cat. 1A/1B",IF(SUMPRODUCT(ISNUMBER(SEARCH(";"&amp;tbl_frases_h[Codigo]&amp;";",AD55))*(tbl_frases_h[CMR_Categoria]="2"))&gt;0,"Cat. 2","Não")))</f>
        <v/>
      </c>
      <c r="AH55" s="23" t="str">
        <f>IF(A55="","",IF(SUMPRODUCT(ISNUMBER(SEARCH(";"&amp;tbl_frases_h[Codigo]&amp;";",AD55))*(tbl_frases_h[Grupo]="Sensibilizante"))&gt;0,"Sim","Não"))</f>
        <v/>
      </c>
      <c r="AI55" s="23" t="str">
        <f>IF(A55="","",IF(SUMPRODUCT(ISNUMBER(SEARCH(";"&amp;tbl_frases_h[Codigo]&amp;";",AD55))*(tbl_frases_h[Grupo]="Toxicidade aguda (cat. 1-3)"))&gt;0,"Sim","Não"))</f>
        <v/>
      </c>
      <c r="AJ55" s="23" t="str">
        <f>IF(A55="","",IF(SUMPRODUCT(ISNUMBER(SEARCH(";"&amp;tbl_frases_h[Codigo]&amp;";",AD55))*ISNUMBER(SEARCH("STOT",tbl_frases_h[Grupo])))&gt;0,"Sim","Não"))</f>
        <v/>
      </c>
      <c r="AK55" s="23" t="str">
        <f>IF(A55="","",IF(SUMPRODUCT(ISNUMBER(SEARCH(";"&amp;tbl_frases_h[Codigo]&amp;";",AD55))*(tbl_frases_h[Tipo]="Ambiente"))&gt;0,"Sim","Não"))</f>
        <v/>
      </c>
      <c r="AL55" s="23" t="str">
        <f>IF(A55="","",IF(SUMPRODUCT(ISNUMBER(SEARCH(";"&amp;tbl_frases_h[Codigo]&amp;";",AD55))*(tbl_frases_h[Grupo]="Inflamável"))&gt;0,"Sim","Não"))</f>
        <v/>
      </c>
      <c r="AM55" s="23" t="str">
        <f>IF(A55="","",IF(SUMPRODUCT(ISNUMBER(SEARCH(";"&amp;tbl_frases_h[Codigo]&amp;";",AD55))*(tbl_frases_h[Protecao_Maternidade]="S"))&gt;0,"Sim","Não"))</f>
        <v/>
      </c>
      <c r="AN55" s="23" t="str">
        <f>IF(A55="","",IF(COUNTIFS(tbl_componentes[ID_Quimico],A55,tbl_componentes[SVHC_Acima_Limiar],"Sim")&gt;0,"Sim","Não"))</f>
        <v/>
      </c>
      <c r="AO55" s="24" t="str">
        <f>IF(A55="","",IFERROR(INDEX(tbl_fds[Data_FDS],MATCH(A55,tbl_fds[Chave_Vigor],0)),""))</f>
        <v/>
      </c>
      <c r="AP55" s="23" t="str">
        <f>IF(A55="","",IFERROR(INDEX(tbl_fds[Estado_FDS],MATCH(A55,tbl_fds[Chave_Vigor],0)),IF(C55="Artigo","N.A. (artigo)",IF(AE55="Sim","Sem FDS","Sem FDS (não obrigatória)"))))</f>
        <v/>
      </c>
      <c r="AQ55" s="23" t="str">
        <f>IF(A55="","",IF(COUNTIF(tbl_risco_quimico[ID_Quimico],A55)&gt;0,"Feita",IF(AE55="Não","N.A.",IF(AF55=1,"N.A. (só perigo físico — ATEX/SCIE)","Em falta"))))</f>
        <v/>
      </c>
      <c r="AR55" s="23" t="str">
        <f t="shared" si="5"/>
        <v/>
      </c>
    </row>
    <row r="56" spans="1:44" ht="36" customHeight="1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9"/>
      <c r="L56" s="19"/>
      <c r="M56" s="20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21"/>
      <c r="AB56" s="13"/>
      <c r="AC56" s="22" t="str">
        <f t="shared" si="3"/>
        <v/>
      </c>
      <c r="AD56" s="23" t="str">
        <f t="shared" si="4"/>
        <v/>
      </c>
      <c r="AE56" s="23" t="str">
        <f>IF(A56="","",IF(SUMPRODUCT(--ISNUMBER(SEARCH(";"&amp;tbl_frases_h[Codigo]&amp;";",AD56)))&gt;0,"Sim","Não"))</f>
        <v/>
      </c>
      <c r="AF56" s="10" t="str">
        <f>IF(A56="","",MAX(1,IFERROR(_xlfn.AGGREGATE(14,6,tbl_frases_h[Classe_Perigo_Saude]/ISNUMBER(SEARCH(";"&amp;tbl_frases_h[Codigo]&amp;";",AD56)),1),1)))</f>
        <v/>
      </c>
      <c r="AG56" s="23" t="str">
        <f>IF(A56="","",IF(SUMPRODUCT(ISNUMBER(SEARCH(";"&amp;tbl_frases_h[Codigo]&amp;";",AD56))*(tbl_frases_h[CMR_Categoria]="1"))&gt;0,"Cat. 1A/1B",IF(SUMPRODUCT(ISNUMBER(SEARCH(";"&amp;tbl_frases_h[Codigo]&amp;";",AD56))*(tbl_frases_h[CMR_Categoria]="2"))&gt;0,"Cat. 2","Não")))</f>
        <v/>
      </c>
      <c r="AH56" s="23" t="str">
        <f>IF(A56="","",IF(SUMPRODUCT(ISNUMBER(SEARCH(";"&amp;tbl_frases_h[Codigo]&amp;";",AD56))*(tbl_frases_h[Grupo]="Sensibilizante"))&gt;0,"Sim","Não"))</f>
        <v/>
      </c>
      <c r="AI56" s="23" t="str">
        <f>IF(A56="","",IF(SUMPRODUCT(ISNUMBER(SEARCH(";"&amp;tbl_frases_h[Codigo]&amp;";",AD56))*(tbl_frases_h[Grupo]="Toxicidade aguda (cat. 1-3)"))&gt;0,"Sim","Não"))</f>
        <v/>
      </c>
      <c r="AJ56" s="23" t="str">
        <f>IF(A56="","",IF(SUMPRODUCT(ISNUMBER(SEARCH(";"&amp;tbl_frases_h[Codigo]&amp;";",AD56))*ISNUMBER(SEARCH("STOT",tbl_frases_h[Grupo])))&gt;0,"Sim","Não"))</f>
        <v/>
      </c>
      <c r="AK56" s="23" t="str">
        <f>IF(A56="","",IF(SUMPRODUCT(ISNUMBER(SEARCH(";"&amp;tbl_frases_h[Codigo]&amp;";",AD56))*(tbl_frases_h[Tipo]="Ambiente"))&gt;0,"Sim","Não"))</f>
        <v/>
      </c>
      <c r="AL56" s="23" t="str">
        <f>IF(A56="","",IF(SUMPRODUCT(ISNUMBER(SEARCH(";"&amp;tbl_frases_h[Codigo]&amp;";",AD56))*(tbl_frases_h[Grupo]="Inflamável"))&gt;0,"Sim","Não"))</f>
        <v/>
      </c>
      <c r="AM56" s="23" t="str">
        <f>IF(A56="","",IF(SUMPRODUCT(ISNUMBER(SEARCH(";"&amp;tbl_frases_h[Codigo]&amp;";",AD56))*(tbl_frases_h[Protecao_Maternidade]="S"))&gt;0,"Sim","Não"))</f>
        <v/>
      </c>
      <c r="AN56" s="23" t="str">
        <f>IF(A56="","",IF(COUNTIFS(tbl_componentes[ID_Quimico],A56,tbl_componentes[SVHC_Acima_Limiar],"Sim")&gt;0,"Sim","Não"))</f>
        <v/>
      </c>
      <c r="AO56" s="24" t="str">
        <f>IF(A56="","",IFERROR(INDEX(tbl_fds[Data_FDS],MATCH(A56,tbl_fds[Chave_Vigor],0)),""))</f>
        <v/>
      </c>
      <c r="AP56" s="23" t="str">
        <f>IF(A56="","",IFERROR(INDEX(tbl_fds[Estado_FDS],MATCH(A56,tbl_fds[Chave_Vigor],0)),IF(C56="Artigo","N.A. (artigo)",IF(AE56="Sim","Sem FDS","Sem FDS (não obrigatória)"))))</f>
        <v/>
      </c>
      <c r="AQ56" s="23" t="str">
        <f>IF(A56="","",IF(COUNTIF(tbl_risco_quimico[ID_Quimico],A56)&gt;0,"Feita",IF(AE56="Não","N.A.",IF(AF56=1,"N.A. (só perigo físico — ATEX/SCIE)","Em falta"))))</f>
        <v/>
      </c>
      <c r="AR56" s="23" t="str">
        <f t="shared" si="5"/>
        <v/>
      </c>
    </row>
    <row r="57" spans="1:44" ht="36" customHeigh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9"/>
      <c r="L57" s="19"/>
      <c r="M57" s="20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21"/>
      <c r="AB57" s="13"/>
      <c r="AC57" s="22" t="str">
        <f t="shared" si="3"/>
        <v/>
      </c>
      <c r="AD57" s="23" t="str">
        <f t="shared" si="4"/>
        <v/>
      </c>
      <c r="AE57" s="23" t="str">
        <f>IF(A57="","",IF(SUMPRODUCT(--ISNUMBER(SEARCH(";"&amp;tbl_frases_h[Codigo]&amp;";",AD57)))&gt;0,"Sim","Não"))</f>
        <v/>
      </c>
      <c r="AF57" s="10" t="str">
        <f>IF(A57="","",MAX(1,IFERROR(_xlfn.AGGREGATE(14,6,tbl_frases_h[Classe_Perigo_Saude]/ISNUMBER(SEARCH(";"&amp;tbl_frases_h[Codigo]&amp;";",AD57)),1),1)))</f>
        <v/>
      </c>
      <c r="AG57" s="23" t="str">
        <f>IF(A57="","",IF(SUMPRODUCT(ISNUMBER(SEARCH(";"&amp;tbl_frases_h[Codigo]&amp;";",AD57))*(tbl_frases_h[CMR_Categoria]="1"))&gt;0,"Cat. 1A/1B",IF(SUMPRODUCT(ISNUMBER(SEARCH(";"&amp;tbl_frases_h[Codigo]&amp;";",AD57))*(tbl_frases_h[CMR_Categoria]="2"))&gt;0,"Cat. 2","Não")))</f>
        <v/>
      </c>
      <c r="AH57" s="23" t="str">
        <f>IF(A57="","",IF(SUMPRODUCT(ISNUMBER(SEARCH(";"&amp;tbl_frases_h[Codigo]&amp;";",AD57))*(tbl_frases_h[Grupo]="Sensibilizante"))&gt;0,"Sim","Não"))</f>
        <v/>
      </c>
      <c r="AI57" s="23" t="str">
        <f>IF(A57="","",IF(SUMPRODUCT(ISNUMBER(SEARCH(";"&amp;tbl_frases_h[Codigo]&amp;";",AD57))*(tbl_frases_h[Grupo]="Toxicidade aguda (cat. 1-3)"))&gt;0,"Sim","Não"))</f>
        <v/>
      </c>
      <c r="AJ57" s="23" t="str">
        <f>IF(A57="","",IF(SUMPRODUCT(ISNUMBER(SEARCH(";"&amp;tbl_frases_h[Codigo]&amp;";",AD57))*ISNUMBER(SEARCH("STOT",tbl_frases_h[Grupo])))&gt;0,"Sim","Não"))</f>
        <v/>
      </c>
      <c r="AK57" s="23" t="str">
        <f>IF(A57="","",IF(SUMPRODUCT(ISNUMBER(SEARCH(";"&amp;tbl_frases_h[Codigo]&amp;";",AD57))*(tbl_frases_h[Tipo]="Ambiente"))&gt;0,"Sim","Não"))</f>
        <v/>
      </c>
      <c r="AL57" s="23" t="str">
        <f>IF(A57="","",IF(SUMPRODUCT(ISNUMBER(SEARCH(";"&amp;tbl_frases_h[Codigo]&amp;";",AD57))*(tbl_frases_h[Grupo]="Inflamável"))&gt;0,"Sim","Não"))</f>
        <v/>
      </c>
      <c r="AM57" s="23" t="str">
        <f>IF(A57="","",IF(SUMPRODUCT(ISNUMBER(SEARCH(";"&amp;tbl_frases_h[Codigo]&amp;";",AD57))*(tbl_frases_h[Protecao_Maternidade]="S"))&gt;0,"Sim","Não"))</f>
        <v/>
      </c>
      <c r="AN57" s="23" t="str">
        <f>IF(A57="","",IF(COUNTIFS(tbl_componentes[ID_Quimico],A57,tbl_componentes[SVHC_Acima_Limiar],"Sim")&gt;0,"Sim","Não"))</f>
        <v/>
      </c>
      <c r="AO57" s="24" t="str">
        <f>IF(A57="","",IFERROR(INDEX(tbl_fds[Data_FDS],MATCH(A57,tbl_fds[Chave_Vigor],0)),""))</f>
        <v/>
      </c>
      <c r="AP57" s="23" t="str">
        <f>IF(A57="","",IFERROR(INDEX(tbl_fds[Estado_FDS],MATCH(A57,tbl_fds[Chave_Vigor],0)),IF(C57="Artigo","N.A. (artigo)",IF(AE57="Sim","Sem FDS","Sem FDS (não obrigatória)"))))</f>
        <v/>
      </c>
      <c r="AQ57" s="23" t="str">
        <f>IF(A57="","",IF(COUNTIF(tbl_risco_quimico[ID_Quimico],A57)&gt;0,"Feita",IF(AE57="Não","N.A.",IF(AF57=1,"N.A. (só perigo físico — ATEX/SCIE)","Em falta"))))</f>
        <v/>
      </c>
      <c r="AR57" s="23" t="str">
        <f t="shared" si="5"/>
        <v/>
      </c>
    </row>
    <row r="58" spans="1:44" ht="36" customHeight="1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9"/>
      <c r="L58" s="19"/>
      <c r="M58" s="20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21"/>
      <c r="AB58" s="13"/>
      <c r="AC58" s="22" t="str">
        <f t="shared" si="3"/>
        <v/>
      </c>
      <c r="AD58" s="23" t="str">
        <f t="shared" si="4"/>
        <v/>
      </c>
      <c r="AE58" s="23" t="str">
        <f>IF(A58="","",IF(SUMPRODUCT(--ISNUMBER(SEARCH(";"&amp;tbl_frases_h[Codigo]&amp;";",AD58)))&gt;0,"Sim","Não"))</f>
        <v/>
      </c>
      <c r="AF58" s="10" t="str">
        <f>IF(A58="","",MAX(1,IFERROR(_xlfn.AGGREGATE(14,6,tbl_frases_h[Classe_Perigo_Saude]/ISNUMBER(SEARCH(";"&amp;tbl_frases_h[Codigo]&amp;";",AD58)),1),1)))</f>
        <v/>
      </c>
      <c r="AG58" s="23" t="str">
        <f>IF(A58="","",IF(SUMPRODUCT(ISNUMBER(SEARCH(";"&amp;tbl_frases_h[Codigo]&amp;";",AD58))*(tbl_frases_h[CMR_Categoria]="1"))&gt;0,"Cat. 1A/1B",IF(SUMPRODUCT(ISNUMBER(SEARCH(";"&amp;tbl_frases_h[Codigo]&amp;";",AD58))*(tbl_frases_h[CMR_Categoria]="2"))&gt;0,"Cat. 2","Não")))</f>
        <v/>
      </c>
      <c r="AH58" s="23" t="str">
        <f>IF(A58="","",IF(SUMPRODUCT(ISNUMBER(SEARCH(";"&amp;tbl_frases_h[Codigo]&amp;";",AD58))*(tbl_frases_h[Grupo]="Sensibilizante"))&gt;0,"Sim","Não"))</f>
        <v/>
      </c>
      <c r="AI58" s="23" t="str">
        <f>IF(A58="","",IF(SUMPRODUCT(ISNUMBER(SEARCH(";"&amp;tbl_frases_h[Codigo]&amp;";",AD58))*(tbl_frases_h[Grupo]="Toxicidade aguda (cat. 1-3)"))&gt;0,"Sim","Não"))</f>
        <v/>
      </c>
      <c r="AJ58" s="23" t="str">
        <f>IF(A58="","",IF(SUMPRODUCT(ISNUMBER(SEARCH(";"&amp;tbl_frases_h[Codigo]&amp;";",AD58))*ISNUMBER(SEARCH("STOT",tbl_frases_h[Grupo])))&gt;0,"Sim","Não"))</f>
        <v/>
      </c>
      <c r="AK58" s="23" t="str">
        <f>IF(A58="","",IF(SUMPRODUCT(ISNUMBER(SEARCH(";"&amp;tbl_frases_h[Codigo]&amp;";",AD58))*(tbl_frases_h[Tipo]="Ambiente"))&gt;0,"Sim","Não"))</f>
        <v/>
      </c>
      <c r="AL58" s="23" t="str">
        <f>IF(A58="","",IF(SUMPRODUCT(ISNUMBER(SEARCH(";"&amp;tbl_frases_h[Codigo]&amp;";",AD58))*(tbl_frases_h[Grupo]="Inflamável"))&gt;0,"Sim","Não"))</f>
        <v/>
      </c>
      <c r="AM58" s="23" t="str">
        <f>IF(A58="","",IF(SUMPRODUCT(ISNUMBER(SEARCH(";"&amp;tbl_frases_h[Codigo]&amp;";",AD58))*(tbl_frases_h[Protecao_Maternidade]="S"))&gt;0,"Sim","Não"))</f>
        <v/>
      </c>
      <c r="AN58" s="23" t="str">
        <f>IF(A58="","",IF(COUNTIFS(tbl_componentes[ID_Quimico],A58,tbl_componentes[SVHC_Acima_Limiar],"Sim")&gt;0,"Sim","Não"))</f>
        <v/>
      </c>
      <c r="AO58" s="24" t="str">
        <f>IF(A58="","",IFERROR(INDEX(tbl_fds[Data_FDS],MATCH(A58,tbl_fds[Chave_Vigor],0)),""))</f>
        <v/>
      </c>
      <c r="AP58" s="23" t="str">
        <f>IF(A58="","",IFERROR(INDEX(tbl_fds[Estado_FDS],MATCH(A58,tbl_fds[Chave_Vigor],0)),IF(C58="Artigo","N.A. (artigo)",IF(AE58="Sim","Sem FDS","Sem FDS (não obrigatória)"))))</f>
        <v/>
      </c>
      <c r="AQ58" s="23" t="str">
        <f>IF(A58="","",IF(COUNTIF(tbl_risco_quimico[ID_Quimico],A58)&gt;0,"Feita",IF(AE58="Não","N.A.",IF(AF58=1,"N.A. (só perigo físico — ATEX/SCIE)","Em falta"))))</f>
        <v/>
      </c>
      <c r="AR58" s="23" t="str">
        <f t="shared" si="5"/>
        <v/>
      </c>
    </row>
    <row r="59" spans="1:44" ht="36" customHeight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9"/>
      <c r="L59" s="19"/>
      <c r="M59" s="20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21"/>
      <c r="AB59" s="13"/>
      <c r="AC59" s="22" t="str">
        <f t="shared" si="3"/>
        <v/>
      </c>
      <c r="AD59" s="23" t="str">
        <f t="shared" si="4"/>
        <v/>
      </c>
      <c r="AE59" s="23" t="str">
        <f>IF(A59="","",IF(SUMPRODUCT(--ISNUMBER(SEARCH(";"&amp;tbl_frases_h[Codigo]&amp;";",AD59)))&gt;0,"Sim","Não"))</f>
        <v/>
      </c>
      <c r="AF59" s="10" t="str">
        <f>IF(A59="","",MAX(1,IFERROR(_xlfn.AGGREGATE(14,6,tbl_frases_h[Classe_Perigo_Saude]/ISNUMBER(SEARCH(";"&amp;tbl_frases_h[Codigo]&amp;";",AD59)),1),1)))</f>
        <v/>
      </c>
      <c r="AG59" s="23" t="str">
        <f>IF(A59="","",IF(SUMPRODUCT(ISNUMBER(SEARCH(";"&amp;tbl_frases_h[Codigo]&amp;";",AD59))*(tbl_frases_h[CMR_Categoria]="1"))&gt;0,"Cat. 1A/1B",IF(SUMPRODUCT(ISNUMBER(SEARCH(";"&amp;tbl_frases_h[Codigo]&amp;";",AD59))*(tbl_frases_h[CMR_Categoria]="2"))&gt;0,"Cat. 2","Não")))</f>
        <v/>
      </c>
      <c r="AH59" s="23" t="str">
        <f>IF(A59="","",IF(SUMPRODUCT(ISNUMBER(SEARCH(";"&amp;tbl_frases_h[Codigo]&amp;";",AD59))*(tbl_frases_h[Grupo]="Sensibilizante"))&gt;0,"Sim","Não"))</f>
        <v/>
      </c>
      <c r="AI59" s="23" t="str">
        <f>IF(A59="","",IF(SUMPRODUCT(ISNUMBER(SEARCH(";"&amp;tbl_frases_h[Codigo]&amp;";",AD59))*(tbl_frases_h[Grupo]="Toxicidade aguda (cat. 1-3)"))&gt;0,"Sim","Não"))</f>
        <v/>
      </c>
      <c r="AJ59" s="23" t="str">
        <f>IF(A59="","",IF(SUMPRODUCT(ISNUMBER(SEARCH(";"&amp;tbl_frases_h[Codigo]&amp;";",AD59))*ISNUMBER(SEARCH("STOT",tbl_frases_h[Grupo])))&gt;0,"Sim","Não"))</f>
        <v/>
      </c>
      <c r="AK59" s="23" t="str">
        <f>IF(A59="","",IF(SUMPRODUCT(ISNUMBER(SEARCH(";"&amp;tbl_frases_h[Codigo]&amp;";",AD59))*(tbl_frases_h[Tipo]="Ambiente"))&gt;0,"Sim","Não"))</f>
        <v/>
      </c>
      <c r="AL59" s="23" t="str">
        <f>IF(A59="","",IF(SUMPRODUCT(ISNUMBER(SEARCH(";"&amp;tbl_frases_h[Codigo]&amp;";",AD59))*(tbl_frases_h[Grupo]="Inflamável"))&gt;0,"Sim","Não"))</f>
        <v/>
      </c>
      <c r="AM59" s="23" t="str">
        <f>IF(A59="","",IF(SUMPRODUCT(ISNUMBER(SEARCH(";"&amp;tbl_frases_h[Codigo]&amp;";",AD59))*(tbl_frases_h[Protecao_Maternidade]="S"))&gt;0,"Sim","Não"))</f>
        <v/>
      </c>
      <c r="AN59" s="23" t="str">
        <f>IF(A59="","",IF(COUNTIFS(tbl_componentes[ID_Quimico],A59,tbl_componentes[SVHC_Acima_Limiar],"Sim")&gt;0,"Sim","Não"))</f>
        <v/>
      </c>
      <c r="AO59" s="24" t="str">
        <f>IF(A59="","",IFERROR(INDEX(tbl_fds[Data_FDS],MATCH(A59,tbl_fds[Chave_Vigor],0)),""))</f>
        <v/>
      </c>
      <c r="AP59" s="23" t="str">
        <f>IF(A59="","",IFERROR(INDEX(tbl_fds[Estado_FDS],MATCH(A59,tbl_fds[Chave_Vigor],0)),IF(C59="Artigo","N.A. (artigo)",IF(AE59="Sim","Sem FDS","Sem FDS (não obrigatória)"))))</f>
        <v/>
      </c>
      <c r="AQ59" s="23" t="str">
        <f>IF(A59="","",IF(COUNTIF(tbl_risco_quimico[ID_Quimico],A59)&gt;0,"Feita",IF(AE59="Não","N.A.",IF(AF59=1,"N.A. (só perigo físico — ATEX/SCIE)","Em falta"))))</f>
        <v/>
      </c>
      <c r="AR59" s="23" t="str">
        <f t="shared" si="5"/>
        <v/>
      </c>
    </row>
    <row r="60" spans="1:44" ht="36" customHeight="1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9"/>
      <c r="L60" s="19"/>
      <c r="M60" s="20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21"/>
      <c r="AB60" s="13"/>
      <c r="AC60" s="22" t="str">
        <f t="shared" si="3"/>
        <v/>
      </c>
      <c r="AD60" s="23" t="str">
        <f t="shared" si="4"/>
        <v/>
      </c>
      <c r="AE60" s="23" t="str">
        <f>IF(A60="","",IF(SUMPRODUCT(--ISNUMBER(SEARCH(";"&amp;tbl_frases_h[Codigo]&amp;";",AD60)))&gt;0,"Sim","Não"))</f>
        <v/>
      </c>
      <c r="AF60" s="10" t="str">
        <f>IF(A60="","",MAX(1,IFERROR(_xlfn.AGGREGATE(14,6,tbl_frases_h[Classe_Perigo_Saude]/ISNUMBER(SEARCH(";"&amp;tbl_frases_h[Codigo]&amp;";",AD60)),1),1)))</f>
        <v/>
      </c>
      <c r="AG60" s="23" t="str">
        <f>IF(A60="","",IF(SUMPRODUCT(ISNUMBER(SEARCH(";"&amp;tbl_frases_h[Codigo]&amp;";",AD60))*(tbl_frases_h[CMR_Categoria]="1"))&gt;0,"Cat. 1A/1B",IF(SUMPRODUCT(ISNUMBER(SEARCH(";"&amp;tbl_frases_h[Codigo]&amp;";",AD60))*(tbl_frases_h[CMR_Categoria]="2"))&gt;0,"Cat. 2","Não")))</f>
        <v/>
      </c>
      <c r="AH60" s="23" t="str">
        <f>IF(A60="","",IF(SUMPRODUCT(ISNUMBER(SEARCH(";"&amp;tbl_frases_h[Codigo]&amp;";",AD60))*(tbl_frases_h[Grupo]="Sensibilizante"))&gt;0,"Sim","Não"))</f>
        <v/>
      </c>
      <c r="AI60" s="23" t="str">
        <f>IF(A60="","",IF(SUMPRODUCT(ISNUMBER(SEARCH(";"&amp;tbl_frases_h[Codigo]&amp;";",AD60))*(tbl_frases_h[Grupo]="Toxicidade aguda (cat. 1-3)"))&gt;0,"Sim","Não"))</f>
        <v/>
      </c>
      <c r="AJ60" s="23" t="str">
        <f>IF(A60="","",IF(SUMPRODUCT(ISNUMBER(SEARCH(";"&amp;tbl_frases_h[Codigo]&amp;";",AD60))*ISNUMBER(SEARCH("STOT",tbl_frases_h[Grupo])))&gt;0,"Sim","Não"))</f>
        <v/>
      </c>
      <c r="AK60" s="23" t="str">
        <f>IF(A60="","",IF(SUMPRODUCT(ISNUMBER(SEARCH(";"&amp;tbl_frases_h[Codigo]&amp;";",AD60))*(tbl_frases_h[Tipo]="Ambiente"))&gt;0,"Sim","Não"))</f>
        <v/>
      </c>
      <c r="AL60" s="23" t="str">
        <f>IF(A60="","",IF(SUMPRODUCT(ISNUMBER(SEARCH(";"&amp;tbl_frases_h[Codigo]&amp;";",AD60))*(tbl_frases_h[Grupo]="Inflamável"))&gt;0,"Sim","Não"))</f>
        <v/>
      </c>
      <c r="AM60" s="23" t="str">
        <f>IF(A60="","",IF(SUMPRODUCT(ISNUMBER(SEARCH(";"&amp;tbl_frases_h[Codigo]&amp;";",AD60))*(tbl_frases_h[Protecao_Maternidade]="S"))&gt;0,"Sim","Não"))</f>
        <v/>
      </c>
      <c r="AN60" s="23" t="str">
        <f>IF(A60="","",IF(COUNTIFS(tbl_componentes[ID_Quimico],A60,tbl_componentes[SVHC_Acima_Limiar],"Sim")&gt;0,"Sim","Não"))</f>
        <v/>
      </c>
      <c r="AO60" s="24" t="str">
        <f>IF(A60="","",IFERROR(INDEX(tbl_fds[Data_FDS],MATCH(A60,tbl_fds[Chave_Vigor],0)),""))</f>
        <v/>
      </c>
      <c r="AP60" s="23" t="str">
        <f>IF(A60="","",IFERROR(INDEX(tbl_fds[Estado_FDS],MATCH(A60,tbl_fds[Chave_Vigor],0)),IF(C60="Artigo","N.A. (artigo)",IF(AE60="Sim","Sem FDS","Sem FDS (não obrigatória)"))))</f>
        <v/>
      </c>
      <c r="AQ60" s="23" t="str">
        <f>IF(A60="","",IF(COUNTIF(tbl_risco_quimico[ID_Quimico],A60)&gt;0,"Feita",IF(AE60="Não","N.A.",IF(AF60=1,"N.A. (só perigo físico — ATEX/SCIE)","Em falta"))))</f>
        <v/>
      </c>
      <c r="AR60" s="23" t="str">
        <f t="shared" si="5"/>
        <v/>
      </c>
    </row>
    <row r="61" spans="1:44" ht="36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9"/>
      <c r="L61" s="19"/>
      <c r="M61" s="20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21"/>
      <c r="AB61" s="13"/>
      <c r="AC61" s="22" t="str">
        <f t="shared" si="3"/>
        <v/>
      </c>
      <c r="AD61" s="23" t="str">
        <f t="shared" si="4"/>
        <v/>
      </c>
      <c r="AE61" s="23" t="str">
        <f>IF(A61="","",IF(SUMPRODUCT(--ISNUMBER(SEARCH(";"&amp;tbl_frases_h[Codigo]&amp;";",AD61)))&gt;0,"Sim","Não"))</f>
        <v/>
      </c>
      <c r="AF61" s="10" t="str">
        <f>IF(A61="","",MAX(1,IFERROR(_xlfn.AGGREGATE(14,6,tbl_frases_h[Classe_Perigo_Saude]/ISNUMBER(SEARCH(";"&amp;tbl_frases_h[Codigo]&amp;";",AD61)),1),1)))</f>
        <v/>
      </c>
      <c r="AG61" s="23" t="str">
        <f>IF(A61="","",IF(SUMPRODUCT(ISNUMBER(SEARCH(";"&amp;tbl_frases_h[Codigo]&amp;";",AD61))*(tbl_frases_h[CMR_Categoria]="1"))&gt;0,"Cat. 1A/1B",IF(SUMPRODUCT(ISNUMBER(SEARCH(";"&amp;tbl_frases_h[Codigo]&amp;";",AD61))*(tbl_frases_h[CMR_Categoria]="2"))&gt;0,"Cat. 2","Não")))</f>
        <v/>
      </c>
      <c r="AH61" s="23" t="str">
        <f>IF(A61="","",IF(SUMPRODUCT(ISNUMBER(SEARCH(";"&amp;tbl_frases_h[Codigo]&amp;";",AD61))*(tbl_frases_h[Grupo]="Sensibilizante"))&gt;0,"Sim","Não"))</f>
        <v/>
      </c>
      <c r="AI61" s="23" t="str">
        <f>IF(A61="","",IF(SUMPRODUCT(ISNUMBER(SEARCH(";"&amp;tbl_frases_h[Codigo]&amp;";",AD61))*(tbl_frases_h[Grupo]="Toxicidade aguda (cat. 1-3)"))&gt;0,"Sim","Não"))</f>
        <v/>
      </c>
      <c r="AJ61" s="23" t="str">
        <f>IF(A61="","",IF(SUMPRODUCT(ISNUMBER(SEARCH(";"&amp;tbl_frases_h[Codigo]&amp;";",AD61))*ISNUMBER(SEARCH("STOT",tbl_frases_h[Grupo])))&gt;0,"Sim","Não"))</f>
        <v/>
      </c>
      <c r="AK61" s="23" t="str">
        <f>IF(A61="","",IF(SUMPRODUCT(ISNUMBER(SEARCH(";"&amp;tbl_frases_h[Codigo]&amp;";",AD61))*(tbl_frases_h[Tipo]="Ambiente"))&gt;0,"Sim","Não"))</f>
        <v/>
      </c>
      <c r="AL61" s="23" t="str">
        <f>IF(A61="","",IF(SUMPRODUCT(ISNUMBER(SEARCH(";"&amp;tbl_frases_h[Codigo]&amp;";",AD61))*(tbl_frases_h[Grupo]="Inflamável"))&gt;0,"Sim","Não"))</f>
        <v/>
      </c>
      <c r="AM61" s="23" t="str">
        <f>IF(A61="","",IF(SUMPRODUCT(ISNUMBER(SEARCH(";"&amp;tbl_frases_h[Codigo]&amp;";",AD61))*(tbl_frases_h[Protecao_Maternidade]="S"))&gt;0,"Sim","Não"))</f>
        <v/>
      </c>
      <c r="AN61" s="23" t="str">
        <f>IF(A61="","",IF(COUNTIFS(tbl_componentes[ID_Quimico],A61,tbl_componentes[SVHC_Acima_Limiar],"Sim")&gt;0,"Sim","Não"))</f>
        <v/>
      </c>
      <c r="AO61" s="24" t="str">
        <f>IF(A61="","",IFERROR(INDEX(tbl_fds[Data_FDS],MATCH(A61,tbl_fds[Chave_Vigor],0)),""))</f>
        <v/>
      </c>
      <c r="AP61" s="23" t="str">
        <f>IF(A61="","",IFERROR(INDEX(tbl_fds[Estado_FDS],MATCH(A61,tbl_fds[Chave_Vigor],0)),IF(C61="Artigo","N.A. (artigo)",IF(AE61="Sim","Sem FDS","Sem FDS (não obrigatória)"))))</f>
        <v/>
      </c>
      <c r="AQ61" s="23" t="str">
        <f>IF(A61="","",IF(COUNTIF(tbl_risco_quimico[ID_Quimico],A61)&gt;0,"Feita",IF(AE61="Não","N.A.",IF(AF61=1,"N.A. (só perigo físico — ATEX/SCIE)","Em falta"))))</f>
        <v/>
      </c>
      <c r="AR61" s="23" t="str">
        <f t="shared" si="5"/>
        <v/>
      </c>
    </row>
    <row r="62" spans="1:44" ht="36" customHeight="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9"/>
      <c r="L62" s="19"/>
      <c r="M62" s="20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21"/>
      <c r="AB62" s="13"/>
      <c r="AC62" s="22" t="str">
        <f t="shared" si="3"/>
        <v/>
      </c>
      <c r="AD62" s="23" t="str">
        <f t="shared" si="4"/>
        <v/>
      </c>
      <c r="AE62" s="23" t="str">
        <f>IF(A62="","",IF(SUMPRODUCT(--ISNUMBER(SEARCH(";"&amp;tbl_frases_h[Codigo]&amp;";",AD62)))&gt;0,"Sim","Não"))</f>
        <v/>
      </c>
      <c r="AF62" s="10" t="str">
        <f>IF(A62="","",MAX(1,IFERROR(_xlfn.AGGREGATE(14,6,tbl_frases_h[Classe_Perigo_Saude]/ISNUMBER(SEARCH(";"&amp;tbl_frases_h[Codigo]&amp;";",AD62)),1),1)))</f>
        <v/>
      </c>
      <c r="AG62" s="23" t="str">
        <f>IF(A62="","",IF(SUMPRODUCT(ISNUMBER(SEARCH(";"&amp;tbl_frases_h[Codigo]&amp;";",AD62))*(tbl_frases_h[CMR_Categoria]="1"))&gt;0,"Cat. 1A/1B",IF(SUMPRODUCT(ISNUMBER(SEARCH(";"&amp;tbl_frases_h[Codigo]&amp;";",AD62))*(tbl_frases_h[CMR_Categoria]="2"))&gt;0,"Cat. 2","Não")))</f>
        <v/>
      </c>
      <c r="AH62" s="23" t="str">
        <f>IF(A62="","",IF(SUMPRODUCT(ISNUMBER(SEARCH(";"&amp;tbl_frases_h[Codigo]&amp;";",AD62))*(tbl_frases_h[Grupo]="Sensibilizante"))&gt;0,"Sim","Não"))</f>
        <v/>
      </c>
      <c r="AI62" s="23" t="str">
        <f>IF(A62="","",IF(SUMPRODUCT(ISNUMBER(SEARCH(";"&amp;tbl_frases_h[Codigo]&amp;";",AD62))*(tbl_frases_h[Grupo]="Toxicidade aguda (cat. 1-3)"))&gt;0,"Sim","Não"))</f>
        <v/>
      </c>
      <c r="AJ62" s="23" t="str">
        <f>IF(A62="","",IF(SUMPRODUCT(ISNUMBER(SEARCH(";"&amp;tbl_frases_h[Codigo]&amp;";",AD62))*ISNUMBER(SEARCH("STOT",tbl_frases_h[Grupo])))&gt;0,"Sim","Não"))</f>
        <v/>
      </c>
      <c r="AK62" s="23" t="str">
        <f>IF(A62="","",IF(SUMPRODUCT(ISNUMBER(SEARCH(";"&amp;tbl_frases_h[Codigo]&amp;";",AD62))*(tbl_frases_h[Tipo]="Ambiente"))&gt;0,"Sim","Não"))</f>
        <v/>
      </c>
      <c r="AL62" s="23" t="str">
        <f>IF(A62="","",IF(SUMPRODUCT(ISNUMBER(SEARCH(";"&amp;tbl_frases_h[Codigo]&amp;";",AD62))*(tbl_frases_h[Grupo]="Inflamável"))&gt;0,"Sim","Não"))</f>
        <v/>
      </c>
      <c r="AM62" s="23" t="str">
        <f>IF(A62="","",IF(SUMPRODUCT(ISNUMBER(SEARCH(";"&amp;tbl_frases_h[Codigo]&amp;";",AD62))*(tbl_frases_h[Protecao_Maternidade]="S"))&gt;0,"Sim","Não"))</f>
        <v/>
      </c>
      <c r="AN62" s="23" t="str">
        <f>IF(A62="","",IF(COUNTIFS(tbl_componentes[ID_Quimico],A62,tbl_componentes[SVHC_Acima_Limiar],"Sim")&gt;0,"Sim","Não"))</f>
        <v/>
      </c>
      <c r="AO62" s="24" t="str">
        <f>IF(A62="","",IFERROR(INDEX(tbl_fds[Data_FDS],MATCH(A62,tbl_fds[Chave_Vigor],0)),""))</f>
        <v/>
      </c>
      <c r="AP62" s="23" t="str">
        <f>IF(A62="","",IFERROR(INDEX(tbl_fds[Estado_FDS],MATCH(A62,tbl_fds[Chave_Vigor],0)),IF(C62="Artigo","N.A. (artigo)",IF(AE62="Sim","Sem FDS","Sem FDS (não obrigatória)"))))</f>
        <v/>
      </c>
      <c r="AQ62" s="23" t="str">
        <f>IF(A62="","",IF(COUNTIF(tbl_risco_quimico[ID_Quimico],A62)&gt;0,"Feita",IF(AE62="Não","N.A.",IF(AF62=1,"N.A. (só perigo físico — ATEX/SCIE)","Em falta"))))</f>
        <v/>
      </c>
      <c r="AR62" s="23" t="str">
        <f t="shared" si="5"/>
        <v/>
      </c>
    </row>
    <row r="63" spans="1:44" ht="36" customHeigh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9"/>
      <c r="L63" s="19"/>
      <c r="M63" s="20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21"/>
      <c r="AB63" s="13"/>
      <c r="AC63" s="22" t="str">
        <f t="shared" si="3"/>
        <v/>
      </c>
      <c r="AD63" s="23" t="str">
        <f t="shared" si="4"/>
        <v/>
      </c>
      <c r="AE63" s="23" t="str">
        <f>IF(A63="","",IF(SUMPRODUCT(--ISNUMBER(SEARCH(";"&amp;tbl_frases_h[Codigo]&amp;";",AD63)))&gt;0,"Sim","Não"))</f>
        <v/>
      </c>
      <c r="AF63" s="10" t="str">
        <f>IF(A63="","",MAX(1,IFERROR(_xlfn.AGGREGATE(14,6,tbl_frases_h[Classe_Perigo_Saude]/ISNUMBER(SEARCH(";"&amp;tbl_frases_h[Codigo]&amp;";",AD63)),1),1)))</f>
        <v/>
      </c>
      <c r="AG63" s="23" t="str">
        <f>IF(A63="","",IF(SUMPRODUCT(ISNUMBER(SEARCH(";"&amp;tbl_frases_h[Codigo]&amp;";",AD63))*(tbl_frases_h[CMR_Categoria]="1"))&gt;0,"Cat. 1A/1B",IF(SUMPRODUCT(ISNUMBER(SEARCH(";"&amp;tbl_frases_h[Codigo]&amp;";",AD63))*(tbl_frases_h[CMR_Categoria]="2"))&gt;0,"Cat. 2","Não")))</f>
        <v/>
      </c>
      <c r="AH63" s="23" t="str">
        <f>IF(A63="","",IF(SUMPRODUCT(ISNUMBER(SEARCH(";"&amp;tbl_frases_h[Codigo]&amp;";",AD63))*(tbl_frases_h[Grupo]="Sensibilizante"))&gt;0,"Sim","Não"))</f>
        <v/>
      </c>
      <c r="AI63" s="23" t="str">
        <f>IF(A63="","",IF(SUMPRODUCT(ISNUMBER(SEARCH(";"&amp;tbl_frases_h[Codigo]&amp;";",AD63))*(tbl_frases_h[Grupo]="Toxicidade aguda (cat. 1-3)"))&gt;0,"Sim","Não"))</f>
        <v/>
      </c>
      <c r="AJ63" s="23" t="str">
        <f>IF(A63="","",IF(SUMPRODUCT(ISNUMBER(SEARCH(";"&amp;tbl_frases_h[Codigo]&amp;";",AD63))*ISNUMBER(SEARCH("STOT",tbl_frases_h[Grupo])))&gt;0,"Sim","Não"))</f>
        <v/>
      </c>
      <c r="AK63" s="23" t="str">
        <f>IF(A63="","",IF(SUMPRODUCT(ISNUMBER(SEARCH(";"&amp;tbl_frases_h[Codigo]&amp;";",AD63))*(tbl_frases_h[Tipo]="Ambiente"))&gt;0,"Sim","Não"))</f>
        <v/>
      </c>
      <c r="AL63" s="23" t="str">
        <f>IF(A63="","",IF(SUMPRODUCT(ISNUMBER(SEARCH(";"&amp;tbl_frases_h[Codigo]&amp;";",AD63))*(tbl_frases_h[Grupo]="Inflamável"))&gt;0,"Sim","Não"))</f>
        <v/>
      </c>
      <c r="AM63" s="23" t="str">
        <f>IF(A63="","",IF(SUMPRODUCT(ISNUMBER(SEARCH(";"&amp;tbl_frases_h[Codigo]&amp;";",AD63))*(tbl_frases_h[Protecao_Maternidade]="S"))&gt;0,"Sim","Não"))</f>
        <v/>
      </c>
      <c r="AN63" s="23" t="str">
        <f>IF(A63="","",IF(COUNTIFS(tbl_componentes[ID_Quimico],A63,tbl_componentes[SVHC_Acima_Limiar],"Sim")&gt;0,"Sim","Não"))</f>
        <v/>
      </c>
      <c r="AO63" s="24" t="str">
        <f>IF(A63="","",IFERROR(INDEX(tbl_fds[Data_FDS],MATCH(A63,tbl_fds[Chave_Vigor],0)),""))</f>
        <v/>
      </c>
      <c r="AP63" s="23" t="str">
        <f>IF(A63="","",IFERROR(INDEX(tbl_fds[Estado_FDS],MATCH(A63,tbl_fds[Chave_Vigor],0)),IF(C63="Artigo","N.A. (artigo)",IF(AE63="Sim","Sem FDS","Sem FDS (não obrigatória)"))))</f>
        <v/>
      </c>
      <c r="AQ63" s="23" t="str">
        <f>IF(A63="","",IF(COUNTIF(tbl_risco_quimico[ID_Quimico],A63)&gt;0,"Feita",IF(AE63="Não","N.A.",IF(AF63=1,"N.A. (só perigo físico — ATEX/SCIE)","Em falta"))))</f>
        <v/>
      </c>
      <c r="AR63" s="23" t="str">
        <f t="shared" si="5"/>
        <v/>
      </c>
    </row>
    <row r="64" spans="1:44" ht="36" customHeigh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9"/>
      <c r="L64" s="19"/>
      <c r="M64" s="20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21"/>
      <c r="AB64" s="13"/>
      <c r="AC64" s="22" t="str">
        <f t="shared" si="3"/>
        <v/>
      </c>
      <c r="AD64" s="23" t="str">
        <f t="shared" si="4"/>
        <v/>
      </c>
      <c r="AE64" s="23" t="str">
        <f>IF(A64="","",IF(SUMPRODUCT(--ISNUMBER(SEARCH(";"&amp;tbl_frases_h[Codigo]&amp;";",AD64)))&gt;0,"Sim","Não"))</f>
        <v/>
      </c>
      <c r="AF64" s="10" t="str">
        <f>IF(A64="","",MAX(1,IFERROR(_xlfn.AGGREGATE(14,6,tbl_frases_h[Classe_Perigo_Saude]/ISNUMBER(SEARCH(";"&amp;tbl_frases_h[Codigo]&amp;";",AD64)),1),1)))</f>
        <v/>
      </c>
      <c r="AG64" s="23" t="str">
        <f>IF(A64="","",IF(SUMPRODUCT(ISNUMBER(SEARCH(";"&amp;tbl_frases_h[Codigo]&amp;";",AD64))*(tbl_frases_h[CMR_Categoria]="1"))&gt;0,"Cat. 1A/1B",IF(SUMPRODUCT(ISNUMBER(SEARCH(";"&amp;tbl_frases_h[Codigo]&amp;";",AD64))*(tbl_frases_h[CMR_Categoria]="2"))&gt;0,"Cat. 2","Não")))</f>
        <v/>
      </c>
      <c r="AH64" s="23" t="str">
        <f>IF(A64="","",IF(SUMPRODUCT(ISNUMBER(SEARCH(";"&amp;tbl_frases_h[Codigo]&amp;";",AD64))*(tbl_frases_h[Grupo]="Sensibilizante"))&gt;0,"Sim","Não"))</f>
        <v/>
      </c>
      <c r="AI64" s="23" t="str">
        <f>IF(A64="","",IF(SUMPRODUCT(ISNUMBER(SEARCH(";"&amp;tbl_frases_h[Codigo]&amp;";",AD64))*(tbl_frases_h[Grupo]="Toxicidade aguda (cat. 1-3)"))&gt;0,"Sim","Não"))</f>
        <v/>
      </c>
      <c r="AJ64" s="23" t="str">
        <f>IF(A64="","",IF(SUMPRODUCT(ISNUMBER(SEARCH(";"&amp;tbl_frases_h[Codigo]&amp;";",AD64))*ISNUMBER(SEARCH("STOT",tbl_frases_h[Grupo])))&gt;0,"Sim","Não"))</f>
        <v/>
      </c>
      <c r="AK64" s="23" t="str">
        <f>IF(A64="","",IF(SUMPRODUCT(ISNUMBER(SEARCH(";"&amp;tbl_frases_h[Codigo]&amp;";",AD64))*(tbl_frases_h[Tipo]="Ambiente"))&gt;0,"Sim","Não"))</f>
        <v/>
      </c>
      <c r="AL64" s="23" t="str">
        <f>IF(A64="","",IF(SUMPRODUCT(ISNUMBER(SEARCH(";"&amp;tbl_frases_h[Codigo]&amp;";",AD64))*(tbl_frases_h[Grupo]="Inflamável"))&gt;0,"Sim","Não"))</f>
        <v/>
      </c>
      <c r="AM64" s="23" t="str">
        <f>IF(A64="","",IF(SUMPRODUCT(ISNUMBER(SEARCH(";"&amp;tbl_frases_h[Codigo]&amp;";",AD64))*(tbl_frases_h[Protecao_Maternidade]="S"))&gt;0,"Sim","Não"))</f>
        <v/>
      </c>
      <c r="AN64" s="23" t="str">
        <f>IF(A64="","",IF(COUNTIFS(tbl_componentes[ID_Quimico],A64,tbl_componentes[SVHC_Acima_Limiar],"Sim")&gt;0,"Sim","Não"))</f>
        <v/>
      </c>
      <c r="AO64" s="24" t="str">
        <f>IF(A64="","",IFERROR(INDEX(tbl_fds[Data_FDS],MATCH(A64,tbl_fds[Chave_Vigor],0)),""))</f>
        <v/>
      </c>
      <c r="AP64" s="23" t="str">
        <f>IF(A64="","",IFERROR(INDEX(tbl_fds[Estado_FDS],MATCH(A64,tbl_fds[Chave_Vigor],0)),IF(C64="Artigo","N.A. (artigo)",IF(AE64="Sim","Sem FDS","Sem FDS (não obrigatória)"))))</f>
        <v/>
      </c>
      <c r="AQ64" s="23" t="str">
        <f>IF(A64="","",IF(COUNTIF(tbl_risco_quimico[ID_Quimico],A64)&gt;0,"Feita",IF(AE64="Não","N.A.",IF(AF64=1,"N.A. (só perigo físico — ATEX/SCIE)","Em falta"))))</f>
        <v/>
      </c>
      <c r="AR64" s="23" t="str">
        <f t="shared" si="5"/>
        <v/>
      </c>
    </row>
    <row r="65" spans="1:44" ht="36" customHeigh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9"/>
      <c r="L65" s="19"/>
      <c r="M65" s="20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21"/>
      <c r="AB65" s="13"/>
      <c r="AC65" s="22" t="str">
        <f t="shared" si="3"/>
        <v/>
      </c>
      <c r="AD65" s="23" t="str">
        <f t="shared" si="4"/>
        <v/>
      </c>
      <c r="AE65" s="23" t="str">
        <f>IF(A65="","",IF(SUMPRODUCT(--ISNUMBER(SEARCH(";"&amp;tbl_frases_h[Codigo]&amp;";",AD65)))&gt;0,"Sim","Não"))</f>
        <v/>
      </c>
      <c r="AF65" s="10" t="str">
        <f>IF(A65="","",MAX(1,IFERROR(_xlfn.AGGREGATE(14,6,tbl_frases_h[Classe_Perigo_Saude]/ISNUMBER(SEARCH(";"&amp;tbl_frases_h[Codigo]&amp;";",AD65)),1),1)))</f>
        <v/>
      </c>
      <c r="AG65" s="23" t="str">
        <f>IF(A65="","",IF(SUMPRODUCT(ISNUMBER(SEARCH(";"&amp;tbl_frases_h[Codigo]&amp;";",AD65))*(tbl_frases_h[CMR_Categoria]="1"))&gt;0,"Cat. 1A/1B",IF(SUMPRODUCT(ISNUMBER(SEARCH(";"&amp;tbl_frases_h[Codigo]&amp;";",AD65))*(tbl_frases_h[CMR_Categoria]="2"))&gt;0,"Cat. 2","Não")))</f>
        <v/>
      </c>
      <c r="AH65" s="23" t="str">
        <f>IF(A65="","",IF(SUMPRODUCT(ISNUMBER(SEARCH(";"&amp;tbl_frases_h[Codigo]&amp;";",AD65))*(tbl_frases_h[Grupo]="Sensibilizante"))&gt;0,"Sim","Não"))</f>
        <v/>
      </c>
      <c r="AI65" s="23" t="str">
        <f>IF(A65="","",IF(SUMPRODUCT(ISNUMBER(SEARCH(";"&amp;tbl_frases_h[Codigo]&amp;";",AD65))*(tbl_frases_h[Grupo]="Toxicidade aguda (cat. 1-3)"))&gt;0,"Sim","Não"))</f>
        <v/>
      </c>
      <c r="AJ65" s="23" t="str">
        <f>IF(A65="","",IF(SUMPRODUCT(ISNUMBER(SEARCH(";"&amp;tbl_frases_h[Codigo]&amp;";",AD65))*ISNUMBER(SEARCH("STOT",tbl_frases_h[Grupo])))&gt;0,"Sim","Não"))</f>
        <v/>
      </c>
      <c r="AK65" s="23" t="str">
        <f>IF(A65="","",IF(SUMPRODUCT(ISNUMBER(SEARCH(";"&amp;tbl_frases_h[Codigo]&amp;";",AD65))*(tbl_frases_h[Tipo]="Ambiente"))&gt;0,"Sim","Não"))</f>
        <v/>
      </c>
      <c r="AL65" s="23" t="str">
        <f>IF(A65="","",IF(SUMPRODUCT(ISNUMBER(SEARCH(";"&amp;tbl_frases_h[Codigo]&amp;";",AD65))*(tbl_frases_h[Grupo]="Inflamável"))&gt;0,"Sim","Não"))</f>
        <v/>
      </c>
      <c r="AM65" s="23" t="str">
        <f>IF(A65="","",IF(SUMPRODUCT(ISNUMBER(SEARCH(";"&amp;tbl_frases_h[Codigo]&amp;";",AD65))*(tbl_frases_h[Protecao_Maternidade]="S"))&gt;0,"Sim","Não"))</f>
        <v/>
      </c>
      <c r="AN65" s="23" t="str">
        <f>IF(A65="","",IF(COUNTIFS(tbl_componentes[ID_Quimico],A65,tbl_componentes[SVHC_Acima_Limiar],"Sim")&gt;0,"Sim","Não"))</f>
        <v/>
      </c>
      <c r="AO65" s="24" t="str">
        <f>IF(A65="","",IFERROR(INDEX(tbl_fds[Data_FDS],MATCH(A65,tbl_fds[Chave_Vigor],0)),""))</f>
        <v/>
      </c>
      <c r="AP65" s="23" t="str">
        <f>IF(A65="","",IFERROR(INDEX(tbl_fds[Estado_FDS],MATCH(A65,tbl_fds[Chave_Vigor],0)),IF(C65="Artigo","N.A. (artigo)",IF(AE65="Sim","Sem FDS","Sem FDS (não obrigatória)"))))</f>
        <v/>
      </c>
      <c r="AQ65" s="23" t="str">
        <f>IF(A65="","",IF(COUNTIF(tbl_risco_quimico[ID_Quimico],A65)&gt;0,"Feita",IF(AE65="Não","N.A.",IF(AF65=1,"N.A. (só perigo físico — ATEX/SCIE)","Em falta"))))</f>
        <v/>
      </c>
      <c r="AR65" s="23" t="str">
        <f t="shared" si="5"/>
        <v/>
      </c>
    </row>
    <row r="66" spans="1:44" ht="36" customHeight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9"/>
      <c r="L66" s="19"/>
      <c r="M66" s="20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21"/>
      <c r="AB66" s="13"/>
      <c r="AC66" s="22" t="str">
        <f t="shared" si="3"/>
        <v/>
      </c>
      <c r="AD66" s="23" t="str">
        <f t="shared" si="4"/>
        <v/>
      </c>
      <c r="AE66" s="23" t="str">
        <f>IF(A66="","",IF(SUMPRODUCT(--ISNUMBER(SEARCH(";"&amp;tbl_frases_h[Codigo]&amp;";",AD66)))&gt;0,"Sim","Não"))</f>
        <v/>
      </c>
      <c r="AF66" s="10" t="str">
        <f>IF(A66="","",MAX(1,IFERROR(_xlfn.AGGREGATE(14,6,tbl_frases_h[Classe_Perigo_Saude]/ISNUMBER(SEARCH(";"&amp;tbl_frases_h[Codigo]&amp;";",AD66)),1),1)))</f>
        <v/>
      </c>
      <c r="AG66" s="23" t="str">
        <f>IF(A66="","",IF(SUMPRODUCT(ISNUMBER(SEARCH(";"&amp;tbl_frases_h[Codigo]&amp;";",AD66))*(tbl_frases_h[CMR_Categoria]="1"))&gt;0,"Cat. 1A/1B",IF(SUMPRODUCT(ISNUMBER(SEARCH(";"&amp;tbl_frases_h[Codigo]&amp;";",AD66))*(tbl_frases_h[CMR_Categoria]="2"))&gt;0,"Cat. 2","Não")))</f>
        <v/>
      </c>
      <c r="AH66" s="23" t="str">
        <f>IF(A66="","",IF(SUMPRODUCT(ISNUMBER(SEARCH(";"&amp;tbl_frases_h[Codigo]&amp;";",AD66))*(tbl_frases_h[Grupo]="Sensibilizante"))&gt;0,"Sim","Não"))</f>
        <v/>
      </c>
      <c r="AI66" s="23" t="str">
        <f>IF(A66="","",IF(SUMPRODUCT(ISNUMBER(SEARCH(";"&amp;tbl_frases_h[Codigo]&amp;";",AD66))*(tbl_frases_h[Grupo]="Toxicidade aguda (cat. 1-3)"))&gt;0,"Sim","Não"))</f>
        <v/>
      </c>
      <c r="AJ66" s="23" t="str">
        <f>IF(A66="","",IF(SUMPRODUCT(ISNUMBER(SEARCH(";"&amp;tbl_frases_h[Codigo]&amp;";",AD66))*ISNUMBER(SEARCH("STOT",tbl_frases_h[Grupo])))&gt;0,"Sim","Não"))</f>
        <v/>
      </c>
      <c r="AK66" s="23" t="str">
        <f>IF(A66="","",IF(SUMPRODUCT(ISNUMBER(SEARCH(";"&amp;tbl_frases_h[Codigo]&amp;";",AD66))*(tbl_frases_h[Tipo]="Ambiente"))&gt;0,"Sim","Não"))</f>
        <v/>
      </c>
      <c r="AL66" s="23" t="str">
        <f>IF(A66="","",IF(SUMPRODUCT(ISNUMBER(SEARCH(";"&amp;tbl_frases_h[Codigo]&amp;";",AD66))*(tbl_frases_h[Grupo]="Inflamável"))&gt;0,"Sim","Não"))</f>
        <v/>
      </c>
      <c r="AM66" s="23" t="str">
        <f>IF(A66="","",IF(SUMPRODUCT(ISNUMBER(SEARCH(";"&amp;tbl_frases_h[Codigo]&amp;";",AD66))*(tbl_frases_h[Protecao_Maternidade]="S"))&gt;0,"Sim","Não"))</f>
        <v/>
      </c>
      <c r="AN66" s="23" t="str">
        <f>IF(A66="","",IF(COUNTIFS(tbl_componentes[ID_Quimico],A66,tbl_componentes[SVHC_Acima_Limiar],"Sim")&gt;0,"Sim","Não"))</f>
        <v/>
      </c>
      <c r="AO66" s="24" t="str">
        <f>IF(A66="","",IFERROR(INDEX(tbl_fds[Data_FDS],MATCH(A66,tbl_fds[Chave_Vigor],0)),""))</f>
        <v/>
      </c>
      <c r="AP66" s="23" t="str">
        <f>IF(A66="","",IFERROR(INDEX(tbl_fds[Estado_FDS],MATCH(A66,tbl_fds[Chave_Vigor],0)),IF(C66="Artigo","N.A. (artigo)",IF(AE66="Sim","Sem FDS","Sem FDS (não obrigatória)"))))</f>
        <v/>
      </c>
      <c r="AQ66" s="23" t="str">
        <f>IF(A66="","",IF(COUNTIF(tbl_risco_quimico[ID_Quimico],A66)&gt;0,"Feita",IF(AE66="Não","N.A.",IF(AF66=1,"N.A. (só perigo físico — ATEX/SCIE)","Em falta"))))</f>
        <v/>
      </c>
      <c r="AR66" s="23" t="str">
        <f t="shared" si="5"/>
        <v/>
      </c>
    </row>
    <row r="67" spans="1:44" ht="36" customHeigh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9"/>
      <c r="L67" s="19"/>
      <c r="M67" s="20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21"/>
      <c r="AB67" s="13"/>
      <c r="AC67" s="22" t="str">
        <f t="shared" si="3"/>
        <v/>
      </c>
      <c r="AD67" s="23" t="str">
        <f t="shared" si="4"/>
        <v/>
      </c>
      <c r="AE67" s="23" t="str">
        <f>IF(A67="","",IF(SUMPRODUCT(--ISNUMBER(SEARCH(";"&amp;tbl_frases_h[Codigo]&amp;";",AD67)))&gt;0,"Sim","Não"))</f>
        <v/>
      </c>
      <c r="AF67" s="10" t="str">
        <f>IF(A67="","",MAX(1,IFERROR(_xlfn.AGGREGATE(14,6,tbl_frases_h[Classe_Perigo_Saude]/ISNUMBER(SEARCH(";"&amp;tbl_frases_h[Codigo]&amp;";",AD67)),1),1)))</f>
        <v/>
      </c>
      <c r="AG67" s="23" t="str">
        <f>IF(A67="","",IF(SUMPRODUCT(ISNUMBER(SEARCH(";"&amp;tbl_frases_h[Codigo]&amp;";",AD67))*(tbl_frases_h[CMR_Categoria]="1"))&gt;0,"Cat. 1A/1B",IF(SUMPRODUCT(ISNUMBER(SEARCH(";"&amp;tbl_frases_h[Codigo]&amp;";",AD67))*(tbl_frases_h[CMR_Categoria]="2"))&gt;0,"Cat. 2","Não")))</f>
        <v/>
      </c>
      <c r="AH67" s="23" t="str">
        <f>IF(A67="","",IF(SUMPRODUCT(ISNUMBER(SEARCH(";"&amp;tbl_frases_h[Codigo]&amp;";",AD67))*(tbl_frases_h[Grupo]="Sensibilizante"))&gt;0,"Sim","Não"))</f>
        <v/>
      </c>
      <c r="AI67" s="23" t="str">
        <f>IF(A67="","",IF(SUMPRODUCT(ISNUMBER(SEARCH(";"&amp;tbl_frases_h[Codigo]&amp;";",AD67))*(tbl_frases_h[Grupo]="Toxicidade aguda (cat. 1-3)"))&gt;0,"Sim","Não"))</f>
        <v/>
      </c>
      <c r="AJ67" s="23" t="str">
        <f>IF(A67="","",IF(SUMPRODUCT(ISNUMBER(SEARCH(";"&amp;tbl_frases_h[Codigo]&amp;";",AD67))*ISNUMBER(SEARCH("STOT",tbl_frases_h[Grupo])))&gt;0,"Sim","Não"))</f>
        <v/>
      </c>
      <c r="AK67" s="23" t="str">
        <f>IF(A67="","",IF(SUMPRODUCT(ISNUMBER(SEARCH(";"&amp;tbl_frases_h[Codigo]&amp;";",AD67))*(tbl_frases_h[Tipo]="Ambiente"))&gt;0,"Sim","Não"))</f>
        <v/>
      </c>
      <c r="AL67" s="23" t="str">
        <f>IF(A67="","",IF(SUMPRODUCT(ISNUMBER(SEARCH(";"&amp;tbl_frases_h[Codigo]&amp;";",AD67))*(tbl_frases_h[Grupo]="Inflamável"))&gt;0,"Sim","Não"))</f>
        <v/>
      </c>
      <c r="AM67" s="23" t="str">
        <f>IF(A67="","",IF(SUMPRODUCT(ISNUMBER(SEARCH(";"&amp;tbl_frases_h[Codigo]&amp;";",AD67))*(tbl_frases_h[Protecao_Maternidade]="S"))&gt;0,"Sim","Não"))</f>
        <v/>
      </c>
      <c r="AN67" s="23" t="str">
        <f>IF(A67="","",IF(COUNTIFS(tbl_componentes[ID_Quimico],A67,tbl_componentes[SVHC_Acima_Limiar],"Sim")&gt;0,"Sim","Não"))</f>
        <v/>
      </c>
      <c r="AO67" s="24" t="str">
        <f>IF(A67="","",IFERROR(INDEX(tbl_fds[Data_FDS],MATCH(A67,tbl_fds[Chave_Vigor],0)),""))</f>
        <v/>
      </c>
      <c r="AP67" s="23" t="str">
        <f>IF(A67="","",IFERROR(INDEX(tbl_fds[Estado_FDS],MATCH(A67,tbl_fds[Chave_Vigor],0)),IF(C67="Artigo","N.A. (artigo)",IF(AE67="Sim","Sem FDS","Sem FDS (não obrigatória)"))))</f>
        <v/>
      </c>
      <c r="AQ67" s="23" t="str">
        <f>IF(A67="","",IF(COUNTIF(tbl_risco_quimico[ID_Quimico],A67)&gt;0,"Feita",IF(AE67="Não","N.A.",IF(AF67=1,"N.A. (só perigo físico — ATEX/SCIE)","Em falta"))))</f>
        <v/>
      </c>
      <c r="AR67" s="23" t="str">
        <f t="shared" si="5"/>
        <v/>
      </c>
    </row>
    <row r="68" spans="1:44" ht="36" customHeight="1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9"/>
      <c r="L68" s="19"/>
      <c r="M68" s="20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21"/>
      <c r="AB68" s="13"/>
      <c r="AC68" s="22" t="str">
        <f t="shared" si="3"/>
        <v/>
      </c>
      <c r="AD68" s="23" t="str">
        <f t="shared" si="4"/>
        <v/>
      </c>
      <c r="AE68" s="23" t="str">
        <f>IF(A68="","",IF(SUMPRODUCT(--ISNUMBER(SEARCH(";"&amp;tbl_frases_h[Codigo]&amp;";",AD68)))&gt;0,"Sim","Não"))</f>
        <v/>
      </c>
      <c r="AF68" s="10" t="str">
        <f>IF(A68="","",MAX(1,IFERROR(_xlfn.AGGREGATE(14,6,tbl_frases_h[Classe_Perigo_Saude]/ISNUMBER(SEARCH(";"&amp;tbl_frases_h[Codigo]&amp;";",AD68)),1),1)))</f>
        <v/>
      </c>
      <c r="AG68" s="23" t="str">
        <f>IF(A68="","",IF(SUMPRODUCT(ISNUMBER(SEARCH(";"&amp;tbl_frases_h[Codigo]&amp;";",AD68))*(tbl_frases_h[CMR_Categoria]="1"))&gt;0,"Cat. 1A/1B",IF(SUMPRODUCT(ISNUMBER(SEARCH(";"&amp;tbl_frases_h[Codigo]&amp;";",AD68))*(tbl_frases_h[CMR_Categoria]="2"))&gt;0,"Cat. 2","Não")))</f>
        <v/>
      </c>
      <c r="AH68" s="23" t="str">
        <f>IF(A68="","",IF(SUMPRODUCT(ISNUMBER(SEARCH(";"&amp;tbl_frases_h[Codigo]&amp;";",AD68))*(tbl_frases_h[Grupo]="Sensibilizante"))&gt;0,"Sim","Não"))</f>
        <v/>
      </c>
      <c r="AI68" s="23" t="str">
        <f>IF(A68="","",IF(SUMPRODUCT(ISNUMBER(SEARCH(";"&amp;tbl_frases_h[Codigo]&amp;";",AD68))*(tbl_frases_h[Grupo]="Toxicidade aguda (cat. 1-3)"))&gt;0,"Sim","Não"))</f>
        <v/>
      </c>
      <c r="AJ68" s="23" t="str">
        <f>IF(A68="","",IF(SUMPRODUCT(ISNUMBER(SEARCH(";"&amp;tbl_frases_h[Codigo]&amp;";",AD68))*ISNUMBER(SEARCH("STOT",tbl_frases_h[Grupo])))&gt;0,"Sim","Não"))</f>
        <v/>
      </c>
      <c r="AK68" s="23" t="str">
        <f>IF(A68="","",IF(SUMPRODUCT(ISNUMBER(SEARCH(";"&amp;tbl_frases_h[Codigo]&amp;";",AD68))*(tbl_frases_h[Tipo]="Ambiente"))&gt;0,"Sim","Não"))</f>
        <v/>
      </c>
      <c r="AL68" s="23" t="str">
        <f>IF(A68="","",IF(SUMPRODUCT(ISNUMBER(SEARCH(";"&amp;tbl_frases_h[Codigo]&amp;";",AD68))*(tbl_frases_h[Grupo]="Inflamável"))&gt;0,"Sim","Não"))</f>
        <v/>
      </c>
      <c r="AM68" s="23" t="str">
        <f>IF(A68="","",IF(SUMPRODUCT(ISNUMBER(SEARCH(";"&amp;tbl_frases_h[Codigo]&amp;";",AD68))*(tbl_frases_h[Protecao_Maternidade]="S"))&gt;0,"Sim","Não"))</f>
        <v/>
      </c>
      <c r="AN68" s="23" t="str">
        <f>IF(A68="","",IF(COUNTIFS(tbl_componentes[ID_Quimico],A68,tbl_componentes[SVHC_Acima_Limiar],"Sim")&gt;0,"Sim","Não"))</f>
        <v/>
      </c>
      <c r="AO68" s="24" t="str">
        <f>IF(A68="","",IFERROR(INDEX(tbl_fds[Data_FDS],MATCH(A68,tbl_fds[Chave_Vigor],0)),""))</f>
        <v/>
      </c>
      <c r="AP68" s="23" t="str">
        <f>IF(A68="","",IFERROR(INDEX(tbl_fds[Estado_FDS],MATCH(A68,tbl_fds[Chave_Vigor],0)),IF(C68="Artigo","N.A. (artigo)",IF(AE68="Sim","Sem FDS","Sem FDS (não obrigatória)"))))</f>
        <v/>
      </c>
      <c r="AQ68" s="23" t="str">
        <f>IF(A68="","",IF(COUNTIF(tbl_risco_quimico[ID_Quimico],A68)&gt;0,"Feita",IF(AE68="Não","N.A.",IF(AF68=1,"N.A. (só perigo físico — ATEX/SCIE)","Em falta"))))</f>
        <v/>
      </c>
      <c r="AR68" s="23" t="str">
        <f t="shared" si="5"/>
        <v/>
      </c>
    </row>
    <row r="69" spans="1:44" ht="36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9"/>
      <c r="L69" s="19"/>
      <c r="M69" s="20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21"/>
      <c r="AB69" s="13"/>
      <c r="AC69" s="22" t="str">
        <f t="shared" ref="AC69:AC100" si="6">IF(A69="","",N(K69)*N(AB69))</f>
        <v/>
      </c>
      <c r="AD69" s="23" t="str">
        <f t="shared" ref="AD69:AD76" si="7">IF(A69="","",";"&amp;SUBSTITUTE(SUBSTITUTE(O69," ",""),",",";")&amp;";")</f>
        <v/>
      </c>
      <c r="AE69" s="23" t="str">
        <f>IF(A69="","",IF(SUMPRODUCT(--ISNUMBER(SEARCH(";"&amp;tbl_frases_h[Codigo]&amp;";",AD69)))&gt;0,"Sim","Não"))</f>
        <v/>
      </c>
      <c r="AF69" s="10" t="str">
        <f>IF(A69="","",MAX(1,IFERROR(_xlfn.AGGREGATE(14,6,tbl_frases_h[Classe_Perigo_Saude]/ISNUMBER(SEARCH(";"&amp;tbl_frases_h[Codigo]&amp;";",AD69)),1),1)))</f>
        <v/>
      </c>
      <c r="AG69" s="23" t="str">
        <f>IF(A69="","",IF(SUMPRODUCT(ISNUMBER(SEARCH(";"&amp;tbl_frases_h[Codigo]&amp;";",AD69))*(tbl_frases_h[CMR_Categoria]="1"))&gt;0,"Cat. 1A/1B",IF(SUMPRODUCT(ISNUMBER(SEARCH(";"&amp;tbl_frases_h[Codigo]&amp;";",AD69))*(tbl_frases_h[CMR_Categoria]="2"))&gt;0,"Cat. 2","Não")))</f>
        <v/>
      </c>
      <c r="AH69" s="23" t="str">
        <f>IF(A69="","",IF(SUMPRODUCT(ISNUMBER(SEARCH(";"&amp;tbl_frases_h[Codigo]&amp;";",AD69))*(tbl_frases_h[Grupo]="Sensibilizante"))&gt;0,"Sim","Não"))</f>
        <v/>
      </c>
      <c r="AI69" s="23" t="str">
        <f>IF(A69="","",IF(SUMPRODUCT(ISNUMBER(SEARCH(";"&amp;tbl_frases_h[Codigo]&amp;";",AD69))*(tbl_frases_h[Grupo]="Toxicidade aguda (cat. 1-3)"))&gt;0,"Sim","Não"))</f>
        <v/>
      </c>
      <c r="AJ69" s="23" t="str">
        <f>IF(A69="","",IF(SUMPRODUCT(ISNUMBER(SEARCH(";"&amp;tbl_frases_h[Codigo]&amp;";",AD69))*ISNUMBER(SEARCH("STOT",tbl_frases_h[Grupo])))&gt;0,"Sim","Não"))</f>
        <v/>
      </c>
      <c r="AK69" s="23" t="str">
        <f>IF(A69="","",IF(SUMPRODUCT(ISNUMBER(SEARCH(";"&amp;tbl_frases_h[Codigo]&amp;";",AD69))*(tbl_frases_h[Tipo]="Ambiente"))&gt;0,"Sim","Não"))</f>
        <v/>
      </c>
      <c r="AL69" s="23" t="str">
        <f>IF(A69="","",IF(SUMPRODUCT(ISNUMBER(SEARCH(";"&amp;tbl_frases_h[Codigo]&amp;";",AD69))*(tbl_frases_h[Grupo]="Inflamável"))&gt;0,"Sim","Não"))</f>
        <v/>
      </c>
      <c r="AM69" s="23" t="str">
        <f>IF(A69="","",IF(SUMPRODUCT(ISNUMBER(SEARCH(";"&amp;tbl_frases_h[Codigo]&amp;";",AD69))*(tbl_frases_h[Protecao_Maternidade]="S"))&gt;0,"Sim","Não"))</f>
        <v/>
      </c>
      <c r="AN69" s="23" t="str">
        <f>IF(A69="","",IF(COUNTIFS(tbl_componentes[ID_Quimico],A69,tbl_componentes[SVHC_Acima_Limiar],"Sim")&gt;0,"Sim","Não"))</f>
        <v/>
      </c>
      <c r="AO69" s="24" t="str">
        <f>IF(A69="","",IFERROR(INDEX(tbl_fds[Data_FDS],MATCH(A69,tbl_fds[Chave_Vigor],0)),""))</f>
        <v/>
      </c>
      <c r="AP69" s="23" t="str">
        <f>IF(A69="","",IFERROR(INDEX(tbl_fds[Estado_FDS],MATCH(A69,tbl_fds[Chave_Vigor],0)),IF(C69="Artigo","N.A. (artigo)",IF(AE69="Sim","Sem FDS","Sem FDS (não obrigatória)"))))</f>
        <v/>
      </c>
      <c r="AQ69" s="23" t="str">
        <f>IF(A69="","",IF(COUNTIF(tbl_risco_quimico[ID_Quimico],A69)&gt;0,"Feita",IF(AE69="Não","N.A.",IF(AF69=1,"N.A. (só perigo físico — ATEX/SCIE)","Em falta"))))</f>
        <v/>
      </c>
      <c r="AR69" s="23" t="str">
        <f t="shared" ref="AR69:AR100" si="8">IF(A69="","",IF(OR(Z69="Suspenso",Z69="Proibido"),"Uso bloqueado — "&amp;Z69,IF(AG69="Cat. 1A/1B","CMR 1A/1B — substituir (DL 301/2000)",IF(OR(T69="Sim",AN69="Sim"),"SVHC — plano de substituição",IF(OR(T69="Por confirmar",W69="Por confirmar"),"Pedir declaração (SVHC/PFAS)",IF(ISNUMBER(SEARCH("Pedir",AP69)),"FDS — "&amp;AP69,IF(AP69="Sem FDS","FDS em falta",IF(AQ69="Em falta","Avaliação de risco em falta",IF(I69="Não","Importação — ver registo","OK")))))))))</f>
        <v/>
      </c>
    </row>
    <row r="70" spans="1:44" ht="36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9"/>
      <c r="L70" s="19"/>
      <c r="M70" s="20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21"/>
      <c r="AB70" s="13"/>
      <c r="AC70" s="22" t="str">
        <f t="shared" si="6"/>
        <v/>
      </c>
      <c r="AD70" s="23" t="str">
        <f t="shared" si="7"/>
        <v/>
      </c>
      <c r="AE70" s="23" t="str">
        <f>IF(A70="","",IF(SUMPRODUCT(--ISNUMBER(SEARCH(";"&amp;tbl_frases_h[Codigo]&amp;";",AD70)))&gt;0,"Sim","Não"))</f>
        <v/>
      </c>
      <c r="AF70" s="10" t="str">
        <f>IF(A70="","",MAX(1,IFERROR(_xlfn.AGGREGATE(14,6,tbl_frases_h[Classe_Perigo_Saude]/ISNUMBER(SEARCH(";"&amp;tbl_frases_h[Codigo]&amp;";",AD70)),1),1)))</f>
        <v/>
      </c>
      <c r="AG70" s="23" t="str">
        <f>IF(A70="","",IF(SUMPRODUCT(ISNUMBER(SEARCH(";"&amp;tbl_frases_h[Codigo]&amp;";",AD70))*(tbl_frases_h[CMR_Categoria]="1"))&gt;0,"Cat. 1A/1B",IF(SUMPRODUCT(ISNUMBER(SEARCH(";"&amp;tbl_frases_h[Codigo]&amp;";",AD70))*(tbl_frases_h[CMR_Categoria]="2"))&gt;0,"Cat. 2","Não")))</f>
        <v/>
      </c>
      <c r="AH70" s="23" t="str">
        <f>IF(A70="","",IF(SUMPRODUCT(ISNUMBER(SEARCH(";"&amp;tbl_frases_h[Codigo]&amp;";",AD70))*(tbl_frases_h[Grupo]="Sensibilizante"))&gt;0,"Sim","Não"))</f>
        <v/>
      </c>
      <c r="AI70" s="23" t="str">
        <f>IF(A70="","",IF(SUMPRODUCT(ISNUMBER(SEARCH(";"&amp;tbl_frases_h[Codigo]&amp;";",AD70))*(tbl_frases_h[Grupo]="Toxicidade aguda (cat. 1-3)"))&gt;0,"Sim","Não"))</f>
        <v/>
      </c>
      <c r="AJ70" s="23" t="str">
        <f>IF(A70="","",IF(SUMPRODUCT(ISNUMBER(SEARCH(";"&amp;tbl_frases_h[Codigo]&amp;";",AD70))*ISNUMBER(SEARCH("STOT",tbl_frases_h[Grupo])))&gt;0,"Sim","Não"))</f>
        <v/>
      </c>
      <c r="AK70" s="23" t="str">
        <f>IF(A70="","",IF(SUMPRODUCT(ISNUMBER(SEARCH(";"&amp;tbl_frases_h[Codigo]&amp;";",AD70))*(tbl_frases_h[Tipo]="Ambiente"))&gt;0,"Sim","Não"))</f>
        <v/>
      </c>
      <c r="AL70" s="23" t="str">
        <f>IF(A70="","",IF(SUMPRODUCT(ISNUMBER(SEARCH(";"&amp;tbl_frases_h[Codigo]&amp;";",AD70))*(tbl_frases_h[Grupo]="Inflamável"))&gt;0,"Sim","Não"))</f>
        <v/>
      </c>
      <c r="AM70" s="23" t="str">
        <f>IF(A70="","",IF(SUMPRODUCT(ISNUMBER(SEARCH(";"&amp;tbl_frases_h[Codigo]&amp;";",AD70))*(tbl_frases_h[Protecao_Maternidade]="S"))&gt;0,"Sim","Não"))</f>
        <v/>
      </c>
      <c r="AN70" s="23" t="str">
        <f>IF(A70="","",IF(COUNTIFS(tbl_componentes[ID_Quimico],A70,tbl_componentes[SVHC_Acima_Limiar],"Sim")&gt;0,"Sim","Não"))</f>
        <v/>
      </c>
      <c r="AO70" s="24" t="str">
        <f>IF(A70="","",IFERROR(INDEX(tbl_fds[Data_FDS],MATCH(A70,tbl_fds[Chave_Vigor],0)),""))</f>
        <v/>
      </c>
      <c r="AP70" s="23" t="str">
        <f>IF(A70="","",IFERROR(INDEX(tbl_fds[Estado_FDS],MATCH(A70,tbl_fds[Chave_Vigor],0)),IF(C70="Artigo","N.A. (artigo)",IF(AE70="Sim","Sem FDS","Sem FDS (não obrigatória)"))))</f>
        <v/>
      </c>
      <c r="AQ70" s="23" t="str">
        <f>IF(A70="","",IF(COUNTIF(tbl_risco_quimico[ID_Quimico],A70)&gt;0,"Feita",IF(AE70="Não","N.A.",IF(AF70=1,"N.A. (só perigo físico — ATEX/SCIE)","Em falta"))))</f>
        <v/>
      </c>
      <c r="AR70" s="23" t="str">
        <f t="shared" si="8"/>
        <v/>
      </c>
    </row>
    <row r="71" spans="1:44" ht="36" customHeigh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9"/>
      <c r="L71" s="19"/>
      <c r="M71" s="20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21"/>
      <c r="AB71" s="13"/>
      <c r="AC71" s="22" t="str">
        <f t="shared" si="6"/>
        <v/>
      </c>
      <c r="AD71" s="23" t="str">
        <f t="shared" si="7"/>
        <v/>
      </c>
      <c r="AE71" s="23" t="str">
        <f>IF(A71="","",IF(SUMPRODUCT(--ISNUMBER(SEARCH(";"&amp;tbl_frases_h[Codigo]&amp;";",AD71)))&gt;0,"Sim","Não"))</f>
        <v/>
      </c>
      <c r="AF71" s="10" t="str">
        <f>IF(A71="","",MAX(1,IFERROR(_xlfn.AGGREGATE(14,6,tbl_frases_h[Classe_Perigo_Saude]/ISNUMBER(SEARCH(";"&amp;tbl_frases_h[Codigo]&amp;";",AD71)),1),1)))</f>
        <v/>
      </c>
      <c r="AG71" s="23" t="str">
        <f>IF(A71="","",IF(SUMPRODUCT(ISNUMBER(SEARCH(";"&amp;tbl_frases_h[Codigo]&amp;";",AD71))*(tbl_frases_h[CMR_Categoria]="1"))&gt;0,"Cat. 1A/1B",IF(SUMPRODUCT(ISNUMBER(SEARCH(";"&amp;tbl_frases_h[Codigo]&amp;";",AD71))*(tbl_frases_h[CMR_Categoria]="2"))&gt;0,"Cat. 2","Não")))</f>
        <v/>
      </c>
      <c r="AH71" s="23" t="str">
        <f>IF(A71="","",IF(SUMPRODUCT(ISNUMBER(SEARCH(";"&amp;tbl_frases_h[Codigo]&amp;";",AD71))*(tbl_frases_h[Grupo]="Sensibilizante"))&gt;0,"Sim","Não"))</f>
        <v/>
      </c>
      <c r="AI71" s="23" t="str">
        <f>IF(A71="","",IF(SUMPRODUCT(ISNUMBER(SEARCH(";"&amp;tbl_frases_h[Codigo]&amp;";",AD71))*(tbl_frases_h[Grupo]="Toxicidade aguda (cat. 1-3)"))&gt;0,"Sim","Não"))</f>
        <v/>
      </c>
      <c r="AJ71" s="23" t="str">
        <f>IF(A71="","",IF(SUMPRODUCT(ISNUMBER(SEARCH(";"&amp;tbl_frases_h[Codigo]&amp;";",AD71))*ISNUMBER(SEARCH("STOT",tbl_frases_h[Grupo])))&gt;0,"Sim","Não"))</f>
        <v/>
      </c>
      <c r="AK71" s="23" t="str">
        <f>IF(A71="","",IF(SUMPRODUCT(ISNUMBER(SEARCH(";"&amp;tbl_frases_h[Codigo]&amp;";",AD71))*(tbl_frases_h[Tipo]="Ambiente"))&gt;0,"Sim","Não"))</f>
        <v/>
      </c>
      <c r="AL71" s="23" t="str">
        <f>IF(A71="","",IF(SUMPRODUCT(ISNUMBER(SEARCH(";"&amp;tbl_frases_h[Codigo]&amp;";",AD71))*(tbl_frases_h[Grupo]="Inflamável"))&gt;0,"Sim","Não"))</f>
        <v/>
      </c>
      <c r="AM71" s="23" t="str">
        <f>IF(A71="","",IF(SUMPRODUCT(ISNUMBER(SEARCH(";"&amp;tbl_frases_h[Codigo]&amp;";",AD71))*(tbl_frases_h[Protecao_Maternidade]="S"))&gt;0,"Sim","Não"))</f>
        <v/>
      </c>
      <c r="AN71" s="23" t="str">
        <f>IF(A71="","",IF(COUNTIFS(tbl_componentes[ID_Quimico],A71,tbl_componentes[SVHC_Acima_Limiar],"Sim")&gt;0,"Sim","Não"))</f>
        <v/>
      </c>
      <c r="AO71" s="24" t="str">
        <f>IF(A71="","",IFERROR(INDEX(tbl_fds[Data_FDS],MATCH(A71,tbl_fds[Chave_Vigor],0)),""))</f>
        <v/>
      </c>
      <c r="AP71" s="23" t="str">
        <f>IF(A71="","",IFERROR(INDEX(tbl_fds[Estado_FDS],MATCH(A71,tbl_fds[Chave_Vigor],0)),IF(C71="Artigo","N.A. (artigo)",IF(AE71="Sim","Sem FDS","Sem FDS (não obrigatória)"))))</f>
        <v/>
      </c>
      <c r="AQ71" s="23" t="str">
        <f>IF(A71="","",IF(COUNTIF(tbl_risco_quimico[ID_Quimico],A71)&gt;0,"Feita",IF(AE71="Não","N.A.",IF(AF71=1,"N.A. (só perigo físico — ATEX/SCIE)","Em falta"))))</f>
        <v/>
      </c>
      <c r="AR71" s="23" t="str">
        <f t="shared" si="8"/>
        <v/>
      </c>
    </row>
    <row r="72" spans="1:44" ht="36" customHeight="1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9"/>
      <c r="L72" s="19"/>
      <c r="M72" s="20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21"/>
      <c r="AB72" s="13"/>
      <c r="AC72" s="22" t="str">
        <f t="shared" si="6"/>
        <v/>
      </c>
      <c r="AD72" s="23" t="str">
        <f t="shared" si="7"/>
        <v/>
      </c>
      <c r="AE72" s="23" t="str">
        <f>IF(A72="","",IF(SUMPRODUCT(--ISNUMBER(SEARCH(";"&amp;tbl_frases_h[Codigo]&amp;";",AD72)))&gt;0,"Sim","Não"))</f>
        <v/>
      </c>
      <c r="AF72" s="10" t="str">
        <f>IF(A72="","",MAX(1,IFERROR(_xlfn.AGGREGATE(14,6,tbl_frases_h[Classe_Perigo_Saude]/ISNUMBER(SEARCH(";"&amp;tbl_frases_h[Codigo]&amp;";",AD72)),1),1)))</f>
        <v/>
      </c>
      <c r="AG72" s="23" t="str">
        <f>IF(A72="","",IF(SUMPRODUCT(ISNUMBER(SEARCH(";"&amp;tbl_frases_h[Codigo]&amp;";",AD72))*(tbl_frases_h[CMR_Categoria]="1"))&gt;0,"Cat. 1A/1B",IF(SUMPRODUCT(ISNUMBER(SEARCH(";"&amp;tbl_frases_h[Codigo]&amp;";",AD72))*(tbl_frases_h[CMR_Categoria]="2"))&gt;0,"Cat. 2","Não")))</f>
        <v/>
      </c>
      <c r="AH72" s="23" t="str">
        <f>IF(A72="","",IF(SUMPRODUCT(ISNUMBER(SEARCH(";"&amp;tbl_frases_h[Codigo]&amp;";",AD72))*(tbl_frases_h[Grupo]="Sensibilizante"))&gt;0,"Sim","Não"))</f>
        <v/>
      </c>
      <c r="AI72" s="23" t="str">
        <f>IF(A72="","",IF(SUMPRODUCT(ISNUMBER(SEARCH(";"&amp;tbl_frases_h[Codigo]&amp;";",AD72))*(tbl_frases_h[Grupo]="Toxicidade aguda (cat. 1-3)"))&gt;0,"Sim","Não"))</f>
        <v/>
      </c>
      <c r="AJ72" s="23" t="str">
        <f>IF(A72="","",IF(SUMPRODUCT(ISNUMBER(SEARCH(";"&amp;tbl_frases_h[Codigo]&amp;";",AD72))*ISNUMBER(SEARCH("STOT",tbl_frases_h[Grupo])))&gt;0,"Sim","Não"))</f>
        <v/>
      </c>
      <c r="AK72" s="23" t="str">
        <f>IF(A72="","",IF(SUMPRODUCT(ISNUMBER(SEARCH(";"&amp;tbl_frases_h[Codigo]&amp;";",AD72))*(tbl_frases_h[Tipo]="Ambiente"))&gt;0,"Sim","Não"))</f>
        <v/>
      </c>
      <c r="AL72" s="23" t="str">
        <f>IF(A72="","",IF(SUMPRODUCT(ISNUMBER(SEARCH(";"&amp;tbl_frases_h[Codigo]&amp;";",AD72))*(tbl_frases_h[Grupo]="Inflamável"))&gt;0,"Sim","Não"))</f>
        <v/>
      </c>
      <c r="AM72" s="23" t="str">
        <f>IF(A72="","",IF(SUMPRODUCT(ISNUMBER(SEARCH(";"&amp;tbl_frases_h[Codigo]&amp;";",AD72))*(tbl_frases_h[Protecao_Maternidade]="S"))&gt;0,"Sim","Não"))</f>
        <v/>
      </c>
      <c r="AN72" s="23" t="str">
        <f>IF(A72="","",IF(COUNTIFS(tbl_componentes[ID_Quimico],A72,tbl_componentes[SVHC_Acima_Limiar],"Sim")&gt;0,"Sim","Não"))</f>
        <v/>
      </c>
      <c r="AO72" s="24" t="str">
        <f>IF(A72="","",IFERROR(INDEX(tbl_fds[Data_FDS],MATCH(A72,tbl_fds[Chave_Vigor],0)),""))</f>
        <v/>
      </c>
      <c r="AP72" s="23" t="str">
        <f>IF(A72="","",IFERROR(INDEX(tbl_fds[Estado_FDS],MATCH(A72,tbl_fds[Chave_Vigor],0)),IF(C72="Artigo","N.A. (artigo)",IF(AE72="Sim","Sem FDS","Sem FDS (não obrigatória)"))))</f>
        <v/>
      </c>
      <c r="AQ72" s="23" t="str">
        <f>IF(A72="","",IF(COUNTIF(tbl_risco_quimico[ID_Quimico],A72)&gt;0,"Feita",IF(AE72="Não","N.A.",IF(AF72=1,"N.A. (só perigo físico — ATEX/SCIE)","Em falta"))))</f>
        <v/>
      </c>
      <c r="AR72" s="23" t="str">
        <f t="shared" si="8"/>
        <v/>
      </c>
    </row>
    <row r="73" spans="1:44" ht="36" customHeigh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9"/>
      <c r="L73" s="19"/>
      <c r="M73" s="20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21"/>
      <c r="AB73" s="13"/>
      <c r="AC73" s="22" t="str">
        <f t="shared" si="6"/>
        <v/>
      </c>
      <c r="AD73" s="23" t="str">
        <f t="shared" si="7"/>
        <v/>
      </c>
      <c r="AE73" s="23" t="str">
        <f>IF(A73="","",IF(SUMPRODUCT(--ISNUMBER(SEARCH(";"&amp;tbl_frases_h[Codigo]&amp;";",AD73)))&gt;0,"Sim","Não"))</f>
        <v/>
      </c>
      <c r="AF73" s="10" t="str">
        <f>IF(A73="","",MAX(1,IFERROR(_xlfn.AGGREGATE(14,6,tbl_frases_h[Classe_Perigo_Saude]/ISNUMBER(SEARCH(";"&amp;tbl_frases_h[Codigo]&amp;";",AD73)),1),1)))</f>
        <v/>
      </c>
      <c r="AG73" s="23" t="str">
        <f>IF(A73="","",IF(SUMPRODUCT(ISNUMBER(SEARCH(";"&amp;tbl_frases_h[Codigo]&amp;";",AD73))*(tbl_frases_h[CMR_Categoria]="1"))&gt;0,"Cat. 1A/1B",IF(SUMPRODUCT(ISNUMBER(SEARCH(";"&amp;tbl_frases_h[Codigo]&amp;";",AD73))*(tbl_frases_h[CMR_Categoria]="2"))&gt;0,"Cat. 2","Não")))</f>
        <v/>
      </c>
      <c r="AH73" s="23" t="str">
        <f>IF(A73="","",IF(SUMPRODUCT(ISNUMBER(SEARCH(";"&amp;tbl_frases_h[Codigo]&amp;";",AD73))*(tbl_frases_h[Grupo]="Sensibilizante"))&gt;0,"Sim","Não"))</f>
        <v/>
      </c>
      <c r="AI73" s="23" t="str">
        <f>IF(A73="","",IF(SUMPRODUCT(ISNUMBER(SEARCH(";"&amp;tbl_frases_h[Codigo]&amp;";",AD73))*(tbl_frases_h[Grupo]="Toxicidade aguda (cat. 1-3)"))&gt;0,"Sim","Não"))</f>
        <v/>
      </c>
      <c r="AJ73" s="23" t="str">
        <f>IF(A73="","",IF(SUMPRODUCT(ISNUMBER(SEARCH(";"&amp;tbl_frases_h[Codigo]&amp;";",AD73))*ISNUMBER(SEARCH("STOT",tbl_frases_h[Grupo])))&gt;0,"Sim","Não"))</f>
        <v/>
      </c>
      <c r="AK73" s="23" t="str">
        <f>IF(A73="","",IF(SUMPRODUCT(ISNUMBER(SEARCH(";"&amp;tbl_frases_h[Codigo]&amp;";",AD73))*(tbl_frases_h[Tipo]="Ambiente"))&gt;0,"Sim","Não"))</f>
        <v/>
      </c>
      <c r="AL73" s="23" t="str">
        <f>IF(A73="","",IF(SUMPRODUCT(ISNUMBER(SEARCH(";"&amp;tbl_frases_h[Codigo]&amp;";",AD73))*(tbl_frases_h[Grupo]="Inflamável"))&gt;0,"Sim","Não"))</f>
        <v/>
      </c>
      <c r="AM73" s="23" t="str">
        <f>IF(A73="","",IF(SUMPRODUCT(ISNUMBER(SEARCH(";"&amp;tbl_frases_h[Codigo]&amp;";",AD73))*(tbl_frases_h[Protecao_Maternidade]="S"))&gt;0,"Sim","Não"))</f>
        <v/>
      </c>
      <c r="AN73" s="23" t="str">
        <f>IF(A73="","",IF(COUNTIFS(tbl_componentes[ID_Quimico],A73,tbl_componentes[SVHC_Acima_Limiar],"Sim")&gt;0,"Sim","Não"))</f>
        <v/>
      </c>
      <c r="AO73" s="24" t="str">
        <f>IF(A73="","",IFERROR(INDEX(tbl_fds[Data_FDS],MATCH(A73,tbl_fds[Chave_Vigor],0)),""))</f>
        <v/>
      </c>
      <c r="AP73" s="23" t="str">
        <f>IF(A73="","",IFERROR(INDEX(tbl_fds[Estado_FDS],MATCH(A73,tbl_fds[Chave_Vigor],0)),IF(C73="Artigo","N.A. (artigo)",IF(AE73="Sim","Sem FDS","Sem FDS (não obrigatória)"))))</f>
        <v/>
      </c>
      <c r="AQ73" s="23" t="str">
        <f>IF(A73="","",IF(COUNTIF(tbl_risco_quimico[ID_Quimico],A73)&gt;0,"Feita",IF(AE73="Não","N.A.",IF(AF73=1,"N.A. (só perigo físico — ATEX/SCIE)","Em falta"))))</f>
        <v/>
      </c>
      <c r="AR73" s="23" t="str">
        <f t="shared" si="8"/>
        <v/>
      </c>
    </row>
    <row r="74" spans="1:44" ht="36" customHeight="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9"/>
      <c r="L74" s="19"/>
      <c r="M74" s="20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21"/>
      <c r="AB74" s="13"/>
      <c r="AC74" s="22" t="str">
        <f t="shared" si="6"/>
        <v/>
      </c>
      <c r="AD74" s="23" t="str">
        <f t="shared" si="7"/>
        <v/>
      </c>
      <c r="AE74" s="23" t="str">
        <f>IF(A74="","",IF(SUMPRODUCT(--ISNUMBER(SEARCH(";"&amp;tbl_frases_h[Codigo]&amp;";",AD74)))&gt;0,"Sim","Não"))</f>
        <v/>
      </c>
      <c r="AF74" s="10" t="str">
        <f>IF(A74="","",MAX(1,IFERROR(_xlfn.AGGREGATE(14,6,tbl_frases_h[Classe_Perigo_Saude]/ISNUMBER(SEARCH(";"&amp;tbl_frases_h[Codigo]&amp;";",AD74)),1),1)))</f>
        <v/>
      </c>
      <c r="AG74" s="23" t="str">
        <f>IF(A74="","",IF(SUMPRODUCT(ISNUMBER(SEARCH(";"&amp;tbl_frases_h[Codigo]&amp;";",AD74))*(tbl_frases_h[CMR_Categoria]="1"))&gt;0,"Cat. 1A/1B",IF(SUMPRODUCT(ISNUMBER(SEARCH(";"&amp;tbl_frases_h[Codigo]&amp;";",AD74))*(tbl_frases_h[CMR_Categoria]="2"))&gt;0,"Cat. 2","Não")))</f>
        <v/>
      </c>
      <c r="AH74" s="23" t="str">
        <f>IF(A74="","",IF(SUMPRODUCT(ISNUMBER(SEARCH(";"&amp;tbl_frases_h[Codigo]&amp;";",AD74))*(tbl_frases_h[Grupo]="Sensibilizante"))&gt;0,"Sim","Não"))</f>
        <v/>
      </c>
      <c r="AI74" s="23" t="str">
        <f>IF(A74="","",IF(SUMPRODUCT(ISNUMBER(SEARCH(";"&amp;tbl_frases_h[Codigo]&amp;";",AD74))*(tbl_frases_h[Grupo]="Toxicidade aguda (cat. 1-3)"))&gt;0,"Sim","Não"))</f>
        <v/>
      </c>
      <c r="AJ74" s="23" t="str">
        <f>IF(A74="","",IF(SUMPRODUCT(ISNUMBER(SEARCH(";"&amp;tbl_frases_h[Codigo]&amp;";",AD74))*ISNUMBER(SEARCH("STOT",tbl_frases_h[Grupo])))&gt;0,"Sim","Não"))</f>
        <v/>
      </c>
      <c r="AK74" s="23" t="str">
        <f>IF(A74="","",IF(SUMPRODUCT(ISNUMBER(SEARCH(";"&amp;tbl_frases_h[Codigo]&amp;";",AD74))*(tbl_frases_h[Tipo]="Ambiente"))&gt;0,"Sim","Não"))</f>
        <v/>
      </c>
      <c r="AL74" s="23" t="str">
        <f>IF(A74="","",IF(SUMPRODUCT(ISNUMBER(SEARCH(";"&amp;tbl_frases_h[Codigo]&amp;";",AD74))*(tbl_frases_h[Grupo]="Inflamável"))&gt;0,"Sim","Não"))</f>
        <v/>
      </c>
      <c r="AM74" s="23" t="str">
        <f>IF(A74="","",IF(SUMPRODUCT(ISNUMBER(SEARCH(";"&amp;tbl_frases_h[Codigo]&amp;";",AD74))*(tbl_frases_h[Protecao_Maternidade]="S"))&gt;0,"Sim","Não"))</f>
        <v/>
      </c>
      <c r="AN74" s="23" t="str">
        <f>IF(A74="","",IF(COUNTIFS(tbl_componentes[ID_Quimico],A74,tbl_componentes[SVHC_Acima_Limiar],"Sim")&gt;0,"Sim","Não"))</f>
        <v/>
      </c>
      <c r="AO74" s="24" t="str">
        <f>IF(A74="","",IFERROR(INDEX(tbl_fds[Data_FDS],MATCH(A74,tbl_fds[Chave_Vigor],0)),""))</f>
        <v/>
      </c>
      <c r="AP74" s="23" t="str">
        <f>IF(A74="","",IFERROR(INDEX(tbl_fds[Estado_FDS],MATCH(A74,tbl_fds[Chave_Vigor],0)),IF(C74="Artigo","N.A. (artigo)",IF(AE74="Sim","Sem FDS","Sem FDS (não obrigatória)"))))</f>
        <v/>
      </c>
      <c r="AQ74" s="23" t="str">
        <f>IF(A74="","",IF(COUNTIF(tbl_risco_quimico[ID_Quimico],A74)&gt;0,"Feita",IF(AE74="Não","N.A.",IF(AF74=1,"N.A. (só perigo físico — ATEX/SCIE)","Em falta"))))</f>
        <v/>
      </c>
      <c r="AR74" s="23" t="str">
        <f t="shared" si="8"/>
        <v/>
      </c>
    </row>
    <row r="75" spans="1:44" ht="36" customHeigh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9"/>
      <c r="L75" s="19"/>
      <c r="M75" s="20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21"/>
      <c r="AB75" s="13"/>
      <c r="AC75" s="22" t="str">
        <f t="shared" si="6"/>
        <v/>
      </c>
      <c r="AD75" s="23" t="str">
        <f t="shared" si="7"/>
        <v/>
      </c>
      <c r="AE75" s="23" t="str">
        <f>IF(A75="","",IF(SUMPRODUCT(--ISNUMBER(SEARCH(";"&amp;tbl_frases_h[Codigo]&amp;";",AD75)))&gt;0,"Sim","Não"))</f>
        <v/>
      </c>
      <c r="AF75" s="10" t="str">
        <f>IF(A75="","",MAX(1,IFERROR(_xlfn.AGGREGATE(14,6,tbl_frases_h[Classe_Perigo_Saude]/ISNUMBER(SEARCH(";"&amp;tbl_frases_h[Codigo]&amp;";",AD75)),1),1)))</f>
        <v/>
      </c>
      <c r="AG75" s="23" t="str">
        <f>IF(A75="","",IF(SUMPRODUCT(ISNUMBER(SEARCH(";"&amp;tbl_frases_h[Codigo]&amp;";",AD75))*(tbl_frases_h[CMR_Categoria]="1"))&gt;0,"Cat. 1A/1B",IF(SUMPRODUCT(ISNUMBER(SEARCH(";"&amp;tbl_frases_h[Codigo]&amp;";",AD75))*(tbl_frases_h[CMR_Categoria]="2"))&gt;0,"Cat. 2","Não")))</f>
        <v/>
      </c>
      <c r="AH75" s="23" t="str">
        <f>IF(A75="","",IF(SUMPRODUCT(ISNUMBER(SEARCH(";"&amp;tbl_frases_h[Codigo]&amp;";",AD75))*(tbl_frases_h[Grupo]="Sensibilizante"))&gt;0,"Sim","Não"))</f>
        <v/>
      </c>
      <c r="AI75" s="23" t="str">
        <f>IF(A75="","",IF(SUMPRODUCT(ISNUMBER(SEARCH(";"&amp;tbl_frases_h[Codigo]&amp;";",AD75))*(tbl_frases_h[Grupo]="Toxicidade aguda (cat. 1-3)"))&gt;0,"Sim","Não"))</f>
        <v/>
      </c>
      <c r="AJ75" s="23" t="str">
        <f>IF(A75="","",IF(SUMPRODUCT(ISNUMBER(SEARCH(";"&amp;tbl_frases_h[Codigo]&amp;";",AD75))*ISNUMBER(SEARCH("STOT",tbl_frases_h[Grupo])))&gt;0,"Sim","Não"))</f>
        <v/>
      </c>
      <c r="AK75" s="23" t="str">
        <f>IF(A75="","",IF(SUMPRODUCT(ISNUMBER(SEARCH(";"&amp;tbl_frases_h[Codigo]&amp;";",AD75))*(tbl_frases_h[Tipo]="Ambiente"))&gt;0,"Sim","Não"))</f>
        <v/>
      </c>
      <c r="AL75" s="23" t="str">
        <f>IF(A75="","",IF(SUMPRODUCT(ISNUMBER(SEARCH(";"&amp;tbl_frases_h[Codigo]&amp;";",AD75))*(tbl_frases_h[Grupo]="Inflamável"))&gt;0,"Sim","Não"))</f>
        <v/>
      </c>
      <c r="AM75" s="23" t="str">
        <f>IF(A75="","",IF(SUMPRODUCT(ISNUMBER(SEARCH(";"&amp;tbl_frases_h[Codigo]&amp;";",AD75))*(tbl_frases_h[Protecao_Maternidade]="S"))&gt;0,"Sim","Não"))</f>
        <v/>
      </c>
      <c r="AN75" s="23" t="str">
        <f>IF(A75="","",IF(COUNTIFS(tbl_componentes[ID_Quimico],A75,tbl_componentes[SVHC_Acima_Limiar],"Sim")&gt;0,"Sim","Não"))</f>
        <v/>
      </c>
      <c r="AO75" s="24" t="str">
        <f>IF(A75="","",IFERROR(INDEX(tbl_fds[Data_FDS],MATCH(A75,tbl_fds[Chave_Vigor],0)),""))</f>
        <v/>
      </c>
      <c r="AP75" s="23" t="str">
        <f>IF(A75="","",IFERROR(INDEX(tbl_fds[Estado_FDS],MATCH(A75,tbl_fds[Chave_Vigor],0)),IF(C75="Artigo","N.A. (artigo)",IF(AE75="Sim","Sem FDS","Sem FDS (não obrigatória)"))))</f>
        <v/>
      </c>
      <c r="AQ75" s="23" t="str">
        <f>IF(A75="","",IF(COUNTIF(tbl_risco_quimico[ID_Quimico],A75)&gt;0,"Feita",IF(AE75="Não","N.A.",IF(AF75=1,"N.A. (só perigo físico — ATEX/SCIE)","Em falta"))))</f>
        <v/>
      </c>
      <c r="AR75" s="23" t="str">
        <f t="shared" si="8"/>
        <v/>
      </c>
    </row>
    <row r="76" spans="1:44" ht="36" customHeight="1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9"/>
      <c r="L76" s="19"/>
      <c r="M76" s="20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21"/>
      <c r="AB76" s="13"/>
      <c r="AC76" s="22" t="str">
        <f t="shared" si="6"/>
        <v/>
      </c>
      <c r="AD76" s="23" t="str">
        <f t="shared" si="7"/>
        <v/>
      </c>
      <c r="AE76" s="23" t="str">
        <f>IF(A76="","",IF(SUMPRODUCT(--ISNUMBER(SEARCH(";"&amp;tbl_frases_h[Codigo]&amp;";",AD76)))&gt;0,"Sim","Não"))</f>
        <v/>
      </c>
      <c r="AF76" s="10" t="str">
        <f>IF(A76="","",MAX(1,IFERROR(_xlfn.AGGREGATE(14,6,tbl_frases_h[Classe_Perigo_Saude]/ISNUMBER(SEARCH(";"&amp;tbl_frases_h[Codigo]&amp;";",AD76)),1),1)))</f>
        <v/>
      </c>
      <c r="AG76" s="23" t="str">
        <f>IF(A76="","",IF(SUMPRODUCT(ISNUMBER(SEARCH(";"&amp;tbl_frases_h[Codigo]&amp;";",AD76))*(tbl_frases_h[CMR_Categoria]="1"))&gt;0,"Cat. 1A/1B",IF(SUMPRODUCT(ISNUMBER(SEARCH(";"&amp;tbl_frases_h[Codigo]&amp;";",AD76))*(tbl_frases_h[CMR_Categoria]="2"))&gt;0,"Cat. 2","Não")))</f>
        <v/>
      </c>
      <c r="AH76" s="23" t="str">
        <f>IF(A76="","",IF(SUMPRODUCT(ISNUMBER(SEARCH(";"&amp;tbl_frases_h[Codigo]&amp;";",AD76))*(tbl_frases_h[Grupo]="Sensibilizante"))&gt;0,"Sim","Não"))</f>
        <v/>
      </c>
      <c r="AI76" s="23" t="str">
        <f>IF(A76="","",IF(SUMPRODUCT(ISNUMBER(SEARCH(";"&amp;tbl_frases_h[Codigo]&amp;";",AD76))*(tbl_frases_h[Grupo]="Toxicidade aguda (cat. 1-3)"))&gt;0,"Sim","Não"))</f>
        <v/>
      </c>
      <c r="AJ76" s="23" t="str">
        <f>IF(A76="","",IF(SUMPRODUCT(ISNUMBER(SEARCH(";"&amp;tbl_frases_h[Codigo]&amp;";",AD76))*ISNUMBER(SEARCH("STOT",tbl_frases_h[Grupo])))&gt;0,"Sim","Não"))</f>
        <v/>
      </c>
      <c r="AK76" s="23" t="str">
        <f>IF(A76="","",IF(SUMPRODUCT(ISNUMBER(SEARCH(";"&amp;tbl_frases_h[Codigo]&amp;";",AD76))*(tbl_frases_h[Tipo]="Ambiente"))&gt;0,"Sim","Não"))</f>
        <v/>
      </c>
      <c r="AL76" s="23" t="str">
        <f>IF(A76="","",IF(SUMPRODUCT(ISNUMBER(SEARCH(";"&amp;tbl_frases_h[Codigo]&amp;";",AD76))*(tbl_frases_h[Grupo]="Inflamável"))&gt;0,"Sim","Não"))</f>
        <v/>
      </c>
      <c r="AM76" s="23" t="str">
        <f>IF(A76="","",IF(SUMPRODUCT(ISNUMBER(SEARCH(";"&amp;tbl_frases_h[Codigo]&amp;";",AD76))*(tbl_frases_h[Protecao_Maternidade]="S"))&gt;0,"Sim","Não"))</f>
        <v/>
      </c>
      <c r="AN76" s="23" t="str">
        <f>IF(A76="","",IF(COUNTIFS(tbl_componentes[ID_Quimico],A76,tbl_componentes[SVHC_Acima_Limiar],"Sim")&gt;0,"Sim","Não"))</f>
        <v/>
      </c>
      <c r="AO76" s="24" t="str">
        <f>IF(A76="","",IFERROR(INDEX(tbl_fds[Data_FDS],MATCH(A76,tbl_fds[Chave_Vigor],0)),""))</f>
        <v/>
      </c>
      <c r="AP76" s="23" t="str">
        <f>IF(A76="","",IFERROR(INDEX(tbl_fds[Estado_FDS],MATCH(A76,tbl_fds[Chave_Vigor],0)),IF(C76="Artigo","N.A. (artigo)",IF(AE76="Sim","Sem FDS","Sem FDS (não obrigatória)"))))</f>
        <v/>
      </c>
      <c r="AQ76" s="23" t="str">
        <f>IF(A76="","",IF(COUNTIF(tbl_risco_quimico[ID_Quimico],A76)&gt;0,"Feita",IF(AE76="Não","N.A.",IF(AF76=1,"N.A. (só perigo físico — ATEX/SCIE)","Em falta"))))</f>
        <v/>
      </c>
      <c r="AR76" s="23" t="str">
        <f t="shared" si="8"/>
        <v/>
      </c>
    </row>
  </sheetData>
  <conditionalFormatting sqref="Z5:Z276">
    <cfRule type="expression" dxfId="72" priority="10">
      <formula>ISNUMBER(SEARCH("Suspenso",Z5))</formula>
    </cfRule>
    <cfRule type="expression" dxfId="71" priority="11">
      <formula>ISNUMBER(SEARCH("condicionado",Z5))</formula>
    </cfRule>
    <cfRule type="expression" dxfId="70" priority="12">
      <formula>ISNUMBER(SEARCH("Aprovado",Z5))</formula>
    </cfRule>
  </conditionalFormatting>
  <conditionalFormatting sqref="AG5:AG276">
    <cfRule type="expression" dxfId="69" priority="8">
      <formula>ISNUMBER(SEARCH("1A/1B",AG5))</formula>
    </cfRule>
    <cfRule type="expression" dxfId="68" priority="9">
      <formula>ISNUMBER(SEARCH("Cat. 2",AG5))</formula>
    </cfRule>
  </conditionalFormatting>
  <conditionalFormatting sqref="AH5:AH276">
    <cfRule type="expression" dxfId="67" priority="13">
      <formula>ISNUMBER(SEARCH("Sim",AH5))</formula>
    </cfRule>
  </conditionalFormatting>
  <conditionalFormatting sqref="AK5:AK276">
    <cfRule type="expression" dxfId="66" priority="14">
      <formula>ISNUMBER(SEARCH("Sim",AK5))</formula>
    </cfRule>
  </conditionalFormatting>
  <conditionalFormatting sqref="AM5:AM276">
    <cfRule type="expression" dxfId="65" priority="15">
      <formula>ISNUMBER(SEARCH("Sim",AM5))</formula>
    </cfRule>
  </conditionalFormatting>
  <conditionalFormatting sqref="AR5:AR276">
    <cfRule type="expression" dxfId="64" priority="1">
      <formula>ISNUMBER(SEARCH("bloqueado",AR5))</formula>
    </cfRule>
    <cfRule type="expression" dxfId="63" priority="2">
      <formula>ISNUMBER(SEARCH("CMR",AR5))</formula>
    </cfRule>
    <cfRule type="expression" dxfId="62" priority="3">
      <formula>ISNUMBER(SEARCH("SVHC",AR5))</formula>
    </cfRule>
    <cfRule type="expression" dxfId="61" priority="4">
      <formula>ISNUMBER(SEARCH("Pedir",AR5))</formula>
    </cfRule>
    <cfRule type="expression" dxfId="60" priority="5">
      <formula>ISNUMBER(SEARCH("falta",AR5))</formula>
    </cfRule>
    <cfRule type="expression" dxfId="59" priority="6">
      <formula>ISNUMBER(SEARCH("Importação",AR5))</formula>
    </cfRule>
    <cfRule type="expression" dxfId="58" priority="7">
      <formula>ISNUMBER(SEARCH("OK",AR5))</formula>
    </cfRule>
  </conditionalFormatting>
  <dataValidations count="8">
    <dataValidation type="list" allowBlank="1" showErrorMessage="1" errorTitle="Valor inválido" error="Valor fora da lista controlada (ver folha Listas)." sqref="C5:C276" xr:uid="{00000000-0002-0000-0300-000000000000}">
      <formula1>lst_TipoProduto</formula1>
    </dataValidation>
    <dataValidation type="list" allowBlank="1" showErrorMessage="1" errorTitle="Valor inválido" error="Valor fora da lista controlada (ver folha Listas)." sqref="E5:E276" xr:uid="{00000000-0002-0000-0300-000001000000}">
      <formula1>lst_Processo</formula1>
    </dataValidation>
    <dataValidation type="list" allowBlank="1" showErrorMessage="1" errorTitle="Valor inválido" error="Valor fora da lista controlada (ver folha Listas)." sqref="I5:I276 X5:X276 V5:V276" xr:uid="{00000000-0002-0000-0300-000002000000}">
      <formula1>lst_SimNao</formula1>
    </dataValidation>
    <dataValidation type="list" allowBlank="1" showErrorMessage="1" errorTitle="Valor inválido" error="Valor fora da lista controlada (ver folha Listas)." sqref="J5:J276" xr:uid="{00000000-0002-0000-0300-000003000000}">
      <formula1>lst_PapelREACH</formula1>
    </dataValidation>
    <dataValidation type="list" allowBlank="1" showErrorMessage="1" errorTitle="Valor inválido" error="Valor fora da lista controlada (ver folha Listas)." sqref="N5:N276" xr:uid="{00000000-0002-0000-0300-000004000000}">
      <formula1>lst_Local</formula1>
    </dataValidation>
    <dataValidation type="list" allowBlank="1" showErrorMessage="1" errorTitle="Valor inválido" error="Valor fora da lista controlada (ver folha Listas)." sqref="R5:S276" xr:uid="{00000000-0002-0000-0300-000005000000}">
      <formula1>lst_Seveso</formula1>
    </dataValidation>
    <dataValidation type="list" allowBlank="1" showErrorMessage="1" errorTitle="Valor inválido" error="Valor fora da lista controlada (ver folha Listas)." sqref="T5:T276" xr:uid="{00000000-0002-0000-0300-000007000000}">
      <formula1>lst_SimNaoPC</formula1>
    </dataValidation>
    <dataValidation type="list" allowBlank="1" showErrorMessage="1" errorTitle="Valor inválido" error="Valor fora da lista controlada (ver folha Listas)." sqref="Z5:Z276" xr:uid="{00000000-0002-0000-0300-00000A000000}">
      <formula1>lst_EstadoAprov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7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9" customWidth="1"/>
    <col min="3" max="3" width="42" customWidth="1"/>
    <col min="4" max="4" width="12" customWidth="1"/>
    <col min="5" max="5" width="11" customWidth="1"/>
    <col min="6" max="7" width="8" customWidth="1"/>
    <col min="8" max="8" width="24" customWidth="1"/>
    <col min="9" max="9" width="40" customWidth="1"/>
    <col min="10" max="11" width="8" customWidth="1"/>
    <col min="12" max="12" width="16" customWidth="1"/>
  </cols>
  <sheetData>
    <row r="1" spans="1:12" ht="17.399999999999999" x14ac:dyDescent="0.3">
      <c r="A1" s="1" t="s">
        <v>534</v>
      </c>
    </row>
    <row r="2" spans="1:12" x14ac:dyDescent="0.3">
      <c r="A2" s="2" t="s">
        <v>535</v>
      </c>
    </row>
    <row r="4" spans="1:12" ht="39.6" x14ac:dyDescent="0.3">
      <c r="A4" s="8" t="s">
        <v>536</v>
      </c>
      <c r="B4" s="8" t="s">
        <v>213</v>
      </c>
      <c r="C4" s="8" t="s">
        <v>537</v>
      </c>
      <c r="D4" s="8" t="s">
        <v>538</v>
      </c>
      <c r="E4" s="8" t="s">
        <v>539</v>
      </c>
      <c r="F4" s="8" t="s">
        <v>540</v>
      </c>
      <c r="G4" s="8" t="s">
        <v>541</v>
      </c>
      <c r="H4" s="8" t="s">
        <v>542</v>
      </c>
      <c r="I4" s="8" t="s">
        <v>543</v>
      </c>
      <c r="J4" s="18" t="s">
        <v>544</v>
      </c>
      <c r="K4" s="18" t="s">
        <v>545</v>
      </c>
      <c r="L4" s="18" t="s">
        <v>546</v>
      </c>
    </row>
    <row r="5" spans="1:12" ht="30" customHeight="1" x14ac:dyDescent="0.3">
      <c r="A5" s="17" t="s">
        <v>547</v>
      </c>
      <c r="B5" s="17" t="s">
        <v>255</v>
      </c>
      <c r="C5" s="17" t="s">
        <v>548</v>
      </c>
      <c r="D5" s="17" t="s">
        <v>549</v>
      </c>
      <c r="E5" s="17" t="s">
        <v>550</v>
      </c>
      <c r="F5" s="20">
        <v>10</v>
      </c>
      <c r="G5" s="20">
        <v>25</v>
      </c>
      <c r="H5" s="17" t="s">
        <v>551</v>
      </c>
      <c r="I5" s="17" t="s">
        <v>552</v>
      </c>
      <c r="J5" s="23" t="str">
        <f>IF(A5="","",IF(COUNTIF(tbl_svhc_vigiadas[CAS],D5)&gt;0,"Sim","Não"))</f>
        <v>Não</v>
      </c>
      <c r="K5" s="23" t="str">
        <f t="shared" ref="K5:K36" si="0">IF(A5="","",IF(AND(J5="Sim",G5/100&gt;=p_Limiar_SVHC),"Sim","Não"))</f>
        <v>Não</v>
      </c>
      <c r="L5" s="23" t="str">
        <f t="shared" ref="L5:L36" si="1">IF(D5="","",IF(D5="—","",HYPERLINK("https://chem.echa.europa.eu/","ECHA CHEM — pesquisar "&amp;D5)))</f>
        <v>ECHA CHEM — pesquisar 108-94-1</v>
      </c>
    </row>
    <row r="6" spans="1:12" ht="30" customHeight="1" x14ac:dyDescent="0.3">
      <c r="A6" s="17" t="s">
        <v>553</v>
      </c>
      <c r="B6" s="17" t="s">
        <v>255</v>
      </c>
      <c r="C6" s="17" t="s">
        <v>554</v>
      </c>
      <c r="D6" s="17" t="s">
        <v>555</v>
      </c>
      <c r="E6" s="17" t="s">
        <v>556</v>
      </c>
      <c r="F6" s="20">
        <v>10</v>
      </c>
      <c r="G6" s="20">
        <v>20</v>
      </c>
      <c r="H6" s="17" t="s">
        <v>551</v>
      </c>
      <c r="I6" s="17" t="s">
        <v>557</v>
      </c>
      <c r="J6" s="23" t="str">
        <f>IF(A6="","",IF(COUNTIF(tbl_svhc_vigiadas[CAS],D6)&gt;0,"Sim","Não"))</f>
        <v>Não</v>
      </c>
      <c r="K6" s="23" t="str">
        <f t="shared" si="0"/>
        <v>Não</v>
      </c>
      <c r="L6" s="23" t="str">
        <f t="shared" si="1"/>
        <v>ECHA CHEM — pesquisar 108-65-6</v>
      </c>
    </row>
    <row r="7" spans="1:12" ht="30" customHeight="1" x14ac:dyDescent="0.3">
      <c r="A7" s="17" t="s">
        <v>558</v>
      </c>
      <c r="B7" s="17" t="s">
        <v>255</v>
      </c>
      <c r="C7" s="17" t="s">
        <v>559</v>
      </c>
      <c r="D7" s="17" t="s">
        <v>113</v>
      </c>
      <c r="E7" s="17" t="s">
        <v>113</v>
      </c>
      <c r="F7" s="20">
        <v>5</v>
      </c>
      <c r="G7" s="20">
        <v>15</v>
      </c>
      <c r="H7" s="17" t="s">
        <v>551</v>
      </c>
      <c r="I7" s="17"/>
      <c r="J7" s="23" t="str">
        <f>IF(A7="","",IF(COUNTIF(tbl_svhc_vigiadas[CAS],D7)&gt;0,"Sim","Não"))</f>
        <v>Não</v>
      </c>
      <c r="K7" s="23" t="str">
        <f t="shared" si="0"/>
        <v>Não</v>
      </c>
      <c r="L7" s="23" t="str">
        <f t="shared" si="1"/>
        <v/>
      </c>
    </row>
    <row r="8" spans="1:12" ht="30" customHeight="1" x14ac:dyDescent="0.3">
      <c r="A8" s="17" t="s">
        <v>560</v>
      </c>
      <c r="B8" s="17" t="s">
        <v>274</v>
      </c>
      <c r="C8" s="17" t="s">
        <v>561</v>
      </c>
      <c r="D8" s="17" t="s">
        <v>562</v>
      </c>
      <c r="E8" s="17" t="s">
        <v>563</v>
      </c>
      <c r="F8" s="20">
        <v>1</v>
      </c>
      <c r="G8" s="20">
        <v>3</v>
      </c>
      <c r="H8" s="17" t="s">
        <v>551</v>
      </c>
      <c r="I8" s="17"/>
      <c r="J8" s="23" t="str">
        <f>IF(A8="","",IF(COUNTIF(tbl_svhc_vigiadas[CAS],D8)&gt;0,"Sim","Não"))</f>
        <v>Sim</v>
      </c>
      <c r="K8" s="23" t="str">
        <f t="shared" si="0"/>
        <v>Sim</v>
      </c>
      <c r="L8" s="23" t="str">
        <f t="shared" si="1"/>
        <v>ECHA CHEM — pesquisar 71868-10-5</v>
      </c>
    </row>
    <row r="9" spans="1:12" ht="30" customHeight="1" x14ac:dyDescent="0.3">
      <c r="A9" s="17" t="s">
        <v>564</v>
      </c>
      <c r="B9" s="17" t="s">
        <v>274</v>
      </c>
      <c r="C9" s="17" t="s">
        <v>565</v>
      </c>
      <c r="D9" s="17" t="s">
        <v>566</v>
      </c>
      <c r="E9" s="17" t="s">
        <v>567</v>
      </c>
      <c r="F9" s="20">
        <v>10</v>
      </c>
      <c r="G9" s="20">
        <v>25</v>
      </c>
      <c r="H9" s="17" t="s">
        <v>551</v>
      </c>
      <c r="I9" s="17"/>
      <c r="J9" s="23" t="str">
        <f>IF(A9="","",IF(COUNTIF(tbl_svhc_vigiadas[CAS],D9)&gt;0,"Sim","Não"))</f>
        <v>Não</v>
      </c>
      <c r="K9" s="23" t="str">
        <f t="shared" si="0"/>
        <v>Não</v>
      </c>
      <c r="L9" s="23" t="str">
        <f t="shared" si="1"/>
        <v>ECHA CHEM — pesquisar 42978-66-5</v>
      </c>
    </row>
    <row r="10" spans="1:12" ht="30" customHeight="1" x14ac:dyDescent="0.3">
      <c r="A10" s="17" t="s">
        <v>568</v>
      </c>
      <c r="B10" s="17" t="s">
        <v>274</v>
      </c>
      <c r="C10" s="17" t="s">
        <v>569</v>
      </c>
      <c r="D10" s="17" t="s">
        <v>570</v>
      </c>
      <c r="E10" s="17" t="s">
        <v>571</v>
      </c>
      <c r="F10" s="20">
        <v>5</v>
      </c>
      <c r="G10" s="20">
        <v>10</v>
      </c>
      <c r="H10" s="17" t="s">
        <v>551</v>
      </c>
      <c r="I10" s="17"/>
      <c r="J10" s="23" t="str">
        <f>IF(A10="","",IF(COUNTIF(tbl_svhc_vigiadas[CAS],D10)&gt;0,"Sim","Não"))</f>
        <v>Não</v>
      </c>
      <c r="K10" s="23" t="str">
        <f t="shared" si="0"/>
        <v>Não</v>
      </c>
      <c r="L10" s="23" t="str">
        <f t="shared" si="1"/>
        <v>ECHA CHEM — pesquisar 5888-33-5</v>
      </c>
    </row>
    <row r="11" spans="1:12" ht="30" customHeight="1" x14ac:dyDescent="0.3">
      <c r="A11" s="17" t="s">
        <v>572</v>
      </c>
      <c r="B11" s="17" t="s">
        <v>282</v>
      </c>
      <c r="C11" s="17" t="s">
        <v>573</v>
      </c>
      <c r="D11" s="17" t="s">
        <v>574</v>
      </c>
      <c r="E11" s="17" t="s">
        <v>575</v>
      </c>
      <c r="F11" s="20">
        <v>60</v>
      </c>
      <c r="G11" s="20">
        <v>80</v>
      </c>
      <c r="H11" s="17" t="s">
        <v>576</v>
      </c>
      <c r="I11" s="17"/>
      <c r="J11" s="23" t="str">
        <f>IF(A11="","",IF(COUNTIF(tbl_svhc_vigiadas[CAS],D11)&gt;0,"Sim","Não"))</f>
        <v>Não</v>
      </c>
      <c r="K11" s="23" t="str">
        <f t="shared" si="0"/>
        <v>Não</v>
      </c>
      <c r="L11" s="23" t="str">
        <f t="shared" si="1"/>
        <v>ECHA CHEM — pesquisar 28182-81-2</v>
      </c>
    </row>
    <row r="12" spans="1:12" ht="30" customHeight="1" x14ac:dyDescent="0.3">
      <c r="A12" s="17" t="s">
        <v>577</v>
      </c>
      <c r="B12" s="17" t="s">
        <v>282</v>
      </c>
      <c r="C12" s="17" t="s">
        <v>578</v>
      </c>
      <c r="D12" s="17" t="s">
        <v>579</v>
      </c>
      <c r="E12" s="17" t="s">
        <v>580</v>
      </c>
      <c r="F12" s="20">
        <v>0.1</v>
      </c>
      <c r="G12" s="20">
        <v>0.5</v>
      </c>
      <c r="H12" s="17" t="s">
        <v>551</v>
      </c>
      <c r="I12" s="17" t="s">
        <v>581</v>
      </c>
      <c r="J12" s="23" t="str">
        <f>IF(A12="","",IF(COUNTIF(tbl_svhc_vigiadas[CAS],D12)&gt;0,"Sim","Não"))</f>
        <v>Não</v>
      </c>
      <c r="K12" s="23" t="str">
        <f t="shared" si="0"/>
        <v>Não</v>
      </c>
      <c r="L12" s="23" t="str">
        <f t="shared" si="1"/>
        <v>ECHA CHEM — pesquisar 822-06-0</v>
      </c>
    </row>
    <row r="13" spans="1:12" ht="30" customHeight="1" x14ac:dyDescent="0.3">
      <c r="A13" s="17" t="s">
        <v>582</v>
      </c>
      <c r="B13" s="17" t="s">
        <v>282</v>
      </c>
      <c r="C13" s="17" t="s">
        <v>583</v>
      </c>
      <c r="D13" s="17" t="s">
        <v>584</v>
      </c>
      <c r="E13" s="17" t="s">
        <v>585</v>
      </c>
      <c r="F13" s="20">
        <v>15</v>
      </c>
      <c r="G13" s="20">
        <v>30</v>
      </c>
      <c r="H13" s="17" t="s">
        <v>551</v>
      </c>
      <c r="I13" s="17" t="s">
        <v>586</v>
      </c>
      <c r="J13" s="23" t="str">
        <f>IF(A13="","",IF(COUNTIF(tbl_svhc_vigiadas[CAS],D13)&gt;0,"Sim","Não"))</f>
        <v>Não</v>
      </c>
      <c r="K13" s="23" t="str">
        <f t="shared" si="0"/>
        <v>Não</v>
      </c>
      <c r="L13" s="23" t="str">
        <f t="shared" si="1"/>
        <v>ECHA CHEM — pesquisar 123-86-4</v>
      </c>
    </row>
    <row r="14" spans="1:12" ht="30" customHeight="1" x14ac:dyDescent="0.3">
      <c r="A14" s="17" t="s">
        <v>587</v>
      </c>
      <c r="B14" s="17" t="s">
        <v>289</v>
      </c>
      <c r="C14" s="17" t="s">
        <v>548</v>
      </c>
      <c r="D14" s="17" t="s">
        <v>549</v>
      </c>
      <c r="E14" s="17" t="s">
        <v>550</v>
      </c>
      <c r="F14" s="20">
        <v>40</v>
      </c>
      <c r="G14" s="20">
        <v>60</v>
      </c>
      <c r="H14" s="17" t="s">
        <v>551</v>
      </c>
      <c r="I14" s="17" t="s">
        <v>552</v>
      </c>
      <c r="J14" s="23" t="str">
        <f>IF(A14="","",IF(COUNTIF(tbl_svhc_vigiadas[CAS],D14)&gt;0,"Sim","Não"))</f>
        <v>Não</v>
      </c>
      <c r="K14" s="23" t="str">
        <f t="shared" si="0"/>
        <v>Não</v>
      </c>
      <c r="L14" s="23" t="str">
        <f t="shared" si="1"/>
        <v>ECHA CHEM — pesquisar 108-94-1</v>
      </c>
    </row>
    <row r="15" spans="1:12" ht="30" customHeight="1" x14ac:dyDescent="0.3">
      <c r="A15" s="17" t="s">
        <v>588</v>
      </c>
      <c r="B15" s="17" t="s">
        <v>289</v>
      </c>
      <c r="C15" s="17" t="s">
        <v>554</v>
      </c>
      <c r="D15" s="17" t="s">
        <v>555</v>
      </c>
      <c r="E15" s="17" t="s">
        <v>556</v>
      </c>
      <c r="F15" s="20">
        <v>40</v>
      </c>
      <c r="G15" s="20">
        <v>60</v>
      </c>
      <c r="H15" s="17" t="s">
        <v>551</v>
      </c>
      <c r="I15" s="17" t="s">
        <v>557</v>
      </c>
      <c r="J15" s="23" t="str">
        <f>IF(A15="","",IF(COUNTIF(tbl_svhc_vigiadas[CAS],D15)&gt;0,"Sim","Não"))</f>
        <v>Não</v>
      </c>
      <c r="K15" s="23" t="str">
        <f t="shared" si="0"/>
        <v>Não</v>
      </c>
      <c r="L15" s="23" t="str">
        <f t="shared" si="1"/>
        <v>ECHA CHEM — pesquisar 108-65-6</v>
      </c>
    </row>
    <row r="16" spans="1:12" ht="30" customHeight="1" x14ac:dyDescent="0.3">
      <c r="A16" s="17" t="s">
        <v>589</v>
      </c>
      <c r="B16" s="17" t="s">
        <v>294</v>
      </c>
      <c r="C16" s="17" t="s">
        <v>590</v>
      </c>
      <c r="D16" s="17" t="s">
        <v>591</v>
      </c>
      <c r="E16" s="17" t="s">
        <v>592</v>
      </c>
      <c r="F16" s="20">
        <v>99</v>
      </c>
      <c r="G16" s="20">
        <v>100</v>
      </c>
      <c r="H16" s="17" t="s">
        <v>551</v>
      </c>
      <c r="I16" s="17" t="s">
        <v>593</v>
      </c>
      <c r="J16" s="23" t="str">
        <f>IF(A16="","",IF(COUNTIF(tbl_svhc_vigiadas[CAS],D16)&gt;0,"Sim","Não"))</f>
        <v>Não</v>
      </c>
      <c r="K16" s="23" t="str">
        <f t="shared" si="0"/>
        <v>Não</v>
      </c>
      <c r="L16" s="23" t="str">
        <f t="shared" si="1"/>
        <v>ECHA CHEM — pesquisar 112-07-2</v>
      </c>
    </row>
    <row r="17" spans="1:12" ht="30" customHeight="1" x14ac:dyDescent="0.3">
      <c r="A17" s="17" t="s">
        <v>594</v>
      </c>
      <c r="B17" s="17" t="s">
        <v>300</v>
      </c>
      <c r="C17" s="17" t="s">
        <v>595</v>
      </c>
      <c r="D17" s="17" t="s">
        <v>596</v>
      </c>
      <c r="E17" s="17" t="s">
        <v>597</v>
      </c>
      <c r="F17" s="20">
        <v>30</v>
      </c>
      <c r="G17" s="20">
        <v>50</v>
      </c>
      <c r="H17" s="17" t="s">
        <v>551</v>
      </c>
      <c r="I17" s="17" t="s">
        <v>598</v>
      </c>
      <c r="J17" s="23" t="str">
        <f>IF(A17="","",IF(COUNTIF(tbl_svhc_vigiadas[CAS],D17)&gt;0,"Sim","Não"))</f>
        <v>Não</v>
      </c>
      <c r="K17" s="23" t="str">
        <f t="shared" si="0"/>
        <v>Não</v>
      </c>
      <c r="L17" s="23" t="str">
        <f t="shared" si="1"/>
        <v>ECHA CHEM — pesquisar 141-78-6</v>
      </c>
    </row>
    <row r="18" spans="1:12" ht="30" customHeight="1" x14ac:dyDescent="0.3">
      <c r="A18" s="17" t="s">
        <v>599</v>
      </c>
      <c r="B18" s="17" t="s">
        <v>300</v>
      </c>
      <c r="C18" s="17" t="s">
        <v>600</v>
      </c>
      <c r="D18" s="17" t="s">
        <v>601</v>
      </c>
      <c r="E18" s="17" t="s">
        <v>602</v>
      </c>
      <c r="F18" s="20">
        <v>20</v>
      </c>
      <c r="G18" s="20">
        <v>30</v>
      </c>
      <c r="H18" s="17" t="s">
        <v>551</v>
      </c>
      <c r="I18" s="17" t="s">
        <v>603</v>
      </c>
      <c r="J18" s="23" t="str">
        <f>IF(A18="","",IF(COUNTIF(tbl_svhc_vigiadas[CAS],D18)&gt;0,"Sim","Não"))</f>
        <v>Não</v>
      </c>
      <c r="K18" s="23" t="str">
        <f t="shared" si="0"/>
        <v>Não</v>
      </c>
      <c r="L18" s="23" t="str">
        <f t="shared" si="1"/>
        <v>ECHA CHEM — pesquisar 78-93-3</v>
      </c>
    </row>
    <row r="19" spans="1:12" ht="30" customHeight="1" x14ac:dyDescent="0.3">
      <c r="A19" s="17" t="s">
        <v>604</v>
      </c>
      <c r="B19" s="17" t="s">
        <v>300</v>
      </c>
      <c r="C19" s="17" t="s">
        <v>554</v>
      </c>
      <c r="D19" s="17" t="s">
        <v>555</v>
      </c>
      <c r="E19" s="17" t="s">
        <v>556</v>
      </c>
      <c r="F19" s="20">
        <v>20</v>
      </c>
      <c r="G19" s="20">
        <v>30</v>
      </c>
      <c r="H19" s="17" t="s">
        <v>551</v>
      </c>
      <c r="I19" s="17" t="s">
        <v>557</v>
      </c>
      <c r="J19" s="23" t="str">
        <f>IF(A19="","",IF(COUNTIF(tbl_svhc_vigiadas[CAS],D19)&gt;0,"Sim","Não"))</f>
        <v>Não</v>
      </c>
      <c r="K19" s="23" t="str">
        <f t="shared" si="0"/>
        <v>Não</v>
      </c>
      <c r="L19" s="23" t="str">
        <f t="shared" si="1"/>
        <v>ECHA CHEM — pesquisar 108-65-6</v>
      </c>
    </row>
    <row r="20" spans="1:12" ht="30" customHeight="1" x14ac:dyDescent="0.3">
      <c r="A20" s="17" t="s">
        <v>605</v>
      </c>
      <c r="B20" s="17" t="s">
        <v>318</v>
      </c>
      <c r="C20" s="17" t="s">
        <v>606</v>
      </c>
      <c r="D20" s="17" t="s">
        <v>607</v>
      </c>
      <c r="E20" s="17" t="s">
        <v>608</v>
      </c>
      <c r="F20" s="20">
        <v>5</v>
      </c>
      <c r="G20" s="20">
        <v>10</v>
      </c>
      <c r="H20" s="17" t="s">
        <v>551</v>
      </c>
      <c r="I20" s="17" t="s">
        <v>609</v>
      </c>
      <c r="J20" s="23" t="str">
        <f>IF(A20="","",IF(COUNTIF(tbl_svhc_vigiadas[CAS],D20)&gt;0,"Sim","Não"))</f>
        <v>Não</v>
      </c>
      <c r="K20" s="23" t="str">
        <f t="shared" si="0"/>
        <v>Não</v>
      </c>
      <c r="L20" s="23" t="str">
        <f t="shared" si="1"/>
        <v>ECHA CHEM — pesquisar 1310-73-2</v>
      </c>
    </row>
    <row r="21" spans="1:12" ht="30" customHeight="1" x14ac:dyDescent="0.3">
      <c r="A21" s="17" t="s">
        <v>610</v>
      </c>
      <c r="B21" s="17" t="s">
        <v>322</v>
      </c>
      <c r="C21" s="17" t="s">
        <v>611</v>
      </c>
      <c r="D21" s="17" t="s">
        <v>612</v>
      </c>
      <c r="E21" s="17" t="s">
        <v>613</v>
      </c>
      <c r="F21" s="20">
        <v>95</v>
      </c>
      <c r="G21" s="20">
        <v>100</v>
      </c>
      <c r="H21" s="17" t="s">
        <v>551</v>
      </c>
      <c r="I21" s="17"/>
      <c r="J21" s="23" t="str">
        <f>IF(A21="","",IF(COUNTIF(tbl_svhc_vigiadas[CAS],D21)&gt;0,"Sim","Não"))</f>
        <v>Não</v>
      </c>
      <c r="K21" s="23" t="str">
        <f t="shared" si="0"/>
        <v>Não</v>
      </c>
      <c r="L21" s="23" t="str">
        <f t="shared" si="1"/>
        <v>ECHA CHEM — pesquisar 74-98-6</v>
      </c>
    </row>
    <row r="22" spans="1:12" ht="30" customHeight="1" x14ac:dyDescent="0.3">
      <c r="A22" s="17" t="s">
        <v>614</v>
      </c>
      <c r="B22" s="17" t="s">
        <v>411</v>
      </c>
      <c r="C22" s="17" t="s">
        <v>615</v>
      </c>
      <c r="D22" s="17" t="s">
        <v>113</v>
      </c>
      <c r="E22" s="17" t="s">
        <v>113</v>
      </c>
      <c r="F22" s="20">
        <v>5</v>
      </c>
      <c r="G22" s="20">
        <v>20</v>
      </c>
      <c r="H22" s="17" t="s">
        <v>616</v>
      </c>
      <c r="I22" s="17"/>
      <c r="J22" s="23" t="str">
        <f>IF(A22="","",IF(COUNTIF(tbl_svhc_vigiadas[CAS],D22)&gt;0,"Sim","Não"))</f>
        <v>Não</v>
      </c>
      <c r="K22" s="23" t="str">
        <f t="shared" si="0"/>
        <v>Não</v>
      </c>
      <c r="L22" s="23" t="str">
        <f t="shared" si="1"/>
        <v/>
      </c>
    </row>
    <row r="23" spans="1:12" ht="30" customHeight="1" x14ac:dyDescent="0.3">
      <c r="A23" s="17" t="s">
        <v>617</v>
      </c>
      <c r="B23" s="17" t="s">
        <v>414</v>
      </c>
      <c r="C23" s="17" t="s">
        <v>618</v>
      </c>
      <c r="D23" s="17" t="s">
        <v>619</v>
      </c>
      <c r="E23" s="17" t="s">
        <v>620</v>
      </c>
      <c r="F23" s="20">
        <v>10</v>
      </c>
      <c r="G23" s="20">
        <v>20</v>
      </c>
      <c r="H23" s="17" t="s">
        <v>551</v>
      </c>
      <c r="I23" s="17"/>
      <c r="J23" s="23" t="str">
        <f>IF(A23="","",IF(COUNTIF(tbl_svhc_vigiadas[CAS],D23)&gt;0,"Sim","Não"))</f>
        <v>Não</v>
      </c>
      <c r="K23" s="23" t="str">
        <f t="shared" si="0"/>
        <v>Não</v>
      </c>
      <c r="L23" s="23" t="str">
        <f t="shared" si="1"/>
        <v>ECHA CHEM — pesquisar 3147-75-9</v>
      </c>
    </row>
    <row r="24" spans="1:12" ht="30" customHeight="1" x14ac:dyDescent="0.3">
      <c r="A24" s="17" t="s">
        <v>621</v>
      </c>
      <c r="B24" s="17" t="s">
        <v>417</v>
      </c>
      <c r="C24" s="17" t="s">
        <v>622</v>
      </c>
      <c r="D24" s="17" t="s">
        <v>113</v>
      </c>
      <c r="E24" s="17" t="s">
        <v>623</v>
      </c>
      <c r="F24" s="20">
        <v>30</v>
      </c>
      <c r="G24" s="20">
        <v>50</v>
      </c>
      <c r="H24" s="17" t="s">
        <v>551</v>
      </c>
      <c r="I24" s="17"/>
      <c r="J24" s="23" t="str">
        <f>IF(A24="","",IF(COUNTIF(tbl_svhc_vigiadas[CAS],D24)&gt;0,"Sim","Não"))</f>
        <v>Não</v>
      </c>
      <c r="K24" s="23" t="str">
        <f t="shared" si="0"/>
        <v>Não</v>
      </c>
      <c r="L24" s="23" t="str">
        <f t="shared" si="1"/>
        <v/>
      </c>
    </row>
    <row r="25" spans="1:12" ht="30" customHeight="1" x14ac:dyDescent="0.3">
      <c r="A25" s="17" t="s">
        <v>624</v>
      </c>
      <c r="B25" s="17" t="s">
        <v>417</v>
      </c>
      <c r="C25" s="17" t="s">
        <v>625</v>
      </c>
      <c r="D25" s="17" t="s">
        <v>626</v>
      </c>
      <c r="E25" s="17" t="s">
        <v>113</v>
      </c>
      <c r="F25" s="20">
        <v>1</v>
      </c>
      <c r="G25" s="20">
        <v>5</v>
      </c>
      <c r="H25" s="17" t="s">
        <v>576</v>
      </c>
      <c r="I25" s="17"/>
      <c r="J25" s="23" t="str">
        <f>IF(A25="","",IF(COUNTIF(tbl_svhc_vigiadas[CAS],D25)&gt;0,"Sim","Não"))</f>
        <v>Não</v>
      </c>
      <c r="K25" s="23" t="str">
        <f t="shared" si="0"/>
        <v>Não</v>
      </c>
      <c r="L25" s="23" t="str">
        <f t="shared" si="1"/>
        <v>ECHA CHEM — pesquisar 63148-62-9</v>
      </c>
    </row>
    <row r="26" spans="1:12" ht="30" customHeight="1" x14ac:dyDescent="0.3">
      <c r="A26" s="17" t="s">
        <v>627</v>
      </c>
      <c r="B26" s="17" t="s">
        <v>417</v>
      </c>
      <c r="C26" s="17" t="s">
        <v>628</v>
      </c>
      <c r="D26" s="17" t="s">
        <v>629</v>
      </c>
      <c r="E26" s="17" t="s">
        <v>630</v>
      </c>
      <c r="F26" s="20">
        <v>0</v>
      </c>
      <c r="G26" s="20">
        <v>0.09</v>
      </c>
      <c r="H26" s="17" t="s">
        <v>551</v>
      </c>
      <c r="I26" s="17"/>
      <c r="J26" s="23" t="str">
        <f>IF(A26="","",IF(COUNTIF(tbl_svhc_vigiadas[CAS],D26)&gt;0,"Sim","Não"))</f>
        <v>Sim</v>
      </c>
      <c r="K26" s="23" t="str">
        <f t="shared" si="0"/>
        <v>Não</v>
      </c>
      <c r="L26" s="23" t="str">
        <f t="shared" si="1"/>
        <v>ECHA CHEM — pesquisar 541-02-6</v>
      </c>
    </row>
    <row r="27" spans="1:12" ht="30" customHeight="1" x14ac:dyDescent="0.3">
      <c r="A27" s="17" t="s">
        <v>631</v>
      </c>
      <c r="B27" s="17" t="s">
        <v>435</v>
      </c>
      <c r="C27" s="17" t="s">
        <v>632</v>
      </c>
      <c r="D27" s="17" t="s">
        <v>633</v>
      </c>
      <c r="E27" s="17" t="s">
        <v>634</v>
      </c>
      <c r="F27" s="20">
        <v>5</v>
      </c>
      <c r="G27" s="20">
        <v>10</v>
      </c>
      <c r="H27" s="17" t="s">
        <v>551</v>
      </c>
      <c r="I27" s="17" t="s">
        <v>635</v>
      </c>
      <c r="J27" s="23" t="str">
        <f>IF(A27="","",IF(COUNTIF(tbl_svhc_vigiadas[CAS],D27)&gt;0,"Sim","Não"))</f>
        <v>Sim</v>
      </c>
      <c r="K27" s="23" t="str">
        <f t="shared" si="0"/>
        <v>Sim</v>
      </c>
      <c r="L27" s="23" t="str">
        <f t="shared" si="1"/>
        <v>ECHA CHEM — pesquisar 110-54-3</v>
      </c>
    </row>
    <row r="28" spans="1:12" ht="30" customHeight="1" x14ac:dyDescent="0.3">
      <c r="A28" s="17" t="s">
        <v>636</v>
      </c>
      <c r="B28" s="17" t="s">
        <v>435</v>
      </c>
      <c r="C28" s="17" t="s">
        <v>637</v>
      </c>
      <c r="D28" s="17" t="s">
        <v>638</v>
      </c>
      <c r="E28" s="17" t="s">
        <v>639</v>
      </c>
      <c r="F28" s="20">
        <v>30</v>
      </c>
      <c r="G28" s="20">
        <v>50</v>
      </c>
      <c r="H28" s="17" t="s">
        <v>551</v>
      </c>
      <c r="I28" s="17" t="s">
        <v>640</v>
      </c>
      <c r="J28" s="23" t="str">
        <f>IF(A28="","",IF(COUNTIF(tbl_svhc_vigiadas[CAS],D28)&gt;0,"Sim","Não"))</f>
        <v>Não</v>
      </c>
      <c r="K28" s="23" t="str">
        <f t="shared" si="0"/>
        <v>Não</v>
      </c>
      <c r="L28" s="23" t="str">
        <f t="shared" si="1"/>
        <v>ECHA CHEM — pesquisar 67-64-1</v>
      </c>
    </row>
    <row r="29" spans="1:12" ht="30" customHeight="1" x14ac:dyDescent="0.3">
      <c r="A29" s="17" t="s">
        <v>641</v>
      </c>
      <c r="B29" s="17" t="s">
        <v>435</v>
      </c>
      <c r="C29" s="17" t="s">
        <v>642</v>
      </c>
      <c r="D29" s="17" t="s">
        <v>643</v>
      </c>
      <c r="E29" s="17" t="s">
        <v>644</v>
      </c>
      <c r="F29" s="20">
        <v>30</v>
      </c>
      <c r="G29" s="20">
        <v>40</v>
      </c>
      <c r="H29" s="17" t="s">
        <v>551</v>
      </c>
      <c r="I29" s="17"/>
      <c r="J29" s="23" t="str">
        <f>IF(A29="","",IF(COUNTIF(tbl_svhc_vigiadas[CAS],D29)&gt;0,"Sim","Não"))</f>
        <v>Não</v>
      </c>
      <c r="K29" s="23" t="str">
        <f t="shared" si="0"/>
        <v>Não</v>
      </c>
      <c r="L29" s="23" t="str">
        <f t="shared" si="1"/>
        <v>ECHA CHEM — pesquisar 68476-85-7</v>
      </c>
    </row>
    <row r="30" spans="1:12" ht="30" customHeight="1" x14ac:dyDescent="0.3">
      <c r="A30" s="17" t="s">
        <v>645</v>
      </c>
      <c r="B30" s="17" t="s">
        <v>450</v>
      </c>
      <c r="C30" s="17" t="s">
        <v>646</v>
      </c>
      <c r="D30" s="17" t="s">
        <v>647</v>
      </c>
      <c r="E30" s="17" t="s">
        <v>648</v>
      </c>
      <c r="F30" s="20">
        <v>30</v>
      </c>
      <c r="G30" s="20">
        <v>50</v>
      </c>
      <c r="H30" s="17" t="s">
        <v>551</v>
      </c>
      <c r="I30" s="17" t="s">
        <v>649</v>
      </c>
      <c r="J30" s="23" t="str">
        <f>IF(A30="","",IF(COUNTIF(tbl_svhc_vigiadas[CAS],D30)&gt;0,"Sim","Não"))</f>
        <v>Não</v>
      </c>
      <c r="K30" s="23" t="str">
        <f t="shared" si="0"/>
        <v>Não</v>
      </c>
      <c r="L30" s="23" t="str">
        <f t="shared" si="1"/>
        <v>ECHA CHEM — pesquisar 107-21-1</v>
      </c>
    </row>
    <row r="31" spans="1:12" ht="30" customHeight="1" x14ac:dyDescent="0.3">
      <c r="A31" s="17" t="s">
        <v>650</v>
      </c>
      <c r="B31" s="17" t="s">
        <v>464</v>
      </c>
      <c r="C31" s="17" t="s">
        <v>651</v>
      </c>
      <c r="D31" s="17" t="s">
        <v>652</v>
      </c>
      <c r="E31" s="17" t="s">
        <v>653</v>
      </c>
      <c r="F31" s="20">
        <v>93</v>
      </c>
      <c r="G31" s="20">
        <v>100</v>
      </c>
      <c r="H31" s="17" t="s">
        <v>551</v>
      </c>
      <c r="I31" s="17"/>
      <c r="J31" s="23" t="str">
        <f>IF(A31="","",IF(COUNTIF(tbl_svhc_vigiadas[CAS],D31)&gt;0,"Sim","Não"))</f>
        <v>Não</v>
      </c>
      <c r="K31" s="23" t="str">
        <f t="shared" si="0"/>
        <v>Não</v>
      </c>
      <c r="L31" s="23" t="str">
        <f t="shared" si="1"/>
        <v>ECHA CHEM — pesquisar 68334-30-5</v>
      </c>
    </row>
    <row r="32" spans="1:12" ht="30" customHeight="1" x14ac:dyDescent="0.3">
      <c r="A32" s="17" t="s">
        <v>654</v>
      </c>
      <c r="B32" s="17" t="s">
        <v>484</v>
      </c>
      <c r="C32" s="17" t="s">
        <v>655</v>
      </c>
      <c r="D32" s="17" t="s">
        <v>656</v>
      </c>
      <c r="E32" s="17" t="s">
        <v>657</v>
      </c>
      <c r="F32" s="20">
        <v>35</v>
      </c>
      <c r="G32" s="20">
        <v>38</v>
      </c>
      <c r="H32" s="17" t="s">
        <v>551</v>
      </c>
      <c r="I32" s="17" t="s">
        <v>658</v>
      </c>
      <c r="J32" s="23" t="str">
        <f>IF(A32="","",IF(COUNTIF(tbl_svhc_vigiadas[CAS],D32)&gt;0,"Sim","Não"))</f>
        <v>Não</v>
      </c>
      <c r="K32" s="23" t="str">
        <f t="shared" si="0"/>
        <v>Não</v>
      </c>
      <c r="L32" s="23" t="str">
        <f t="shared" si="1"/>
        <v>ECHA CHEM — pesquisar 7664-93-9</v>
      </c>
    </row>
    <row r="33" spans="1:12" ht="30" customHeight="1" x14ac:dyDescent="0.3">
      <c r="A33" s="17" t="s">
        <v>659</v>
      </c>
      <c r="B33" s="17" t="s">
        <v>488</v>
      </c>
      <c r="C33" s="17" t="s">
        <v>660</v>
      </c>
      <c r="D33" s="17" t="s">
        <v>661</v>
      </c>
      <c r="E33" s="17" t="s">
        <v>662</v>
      </c>
      <c r="F33" s="20">
        <v>1</v>
      </c>
      <c r="G33" s="20">
        <v>1.5</v>
      </c>
      <c r="H33" s="17" t="s">
        <v>663</v>
      </c>
      <c r="I33" s="17"/>
      <c r="J33" s="23" t="str">
        <f>IF(A33="","",IF(COUNTIF(tbl_svhc_vigiadas[CAS],D33)&gt;0,"Sim","Não"))</f>
        <v>Não</v>
      </c>
      <c r="K33" s="23" t="str">
        <f t="shared" si="0"/>
        <v>Não</v>
      </c>
      <c r="L33" s="23" t="str">
        <f t="shared" si="1"/>
        <v>ECHA CHEM — pesquisar 55965-84-9</v>
      </c>
    </row>
    <row r="34" spans="1:12" ht="30" customHeight="1" x14ac:dyDescent="0.3">
      <c r="A34" s="17" t="s">
        <v>664</v>
      </c>
      <c r="B34" s="17" t="s">
        <v>501</v>
      </c>
      <c r="C34" s="17" t="s">
        <v>665</v>
      </c>
      <c r="D34" s="17" t="s">
        <v>666</v>
      </c>
      <c r="E34" s="17" t="s">
        <v>667</v>
      </c>
      <c r="F34" s="20">
        <v>12</v>
      </c>
      <c r="G34" s="20">
        <v>14</v>
      </c>
      <c r="H34" s="17" t="s">
        <v>551</v>
      </c>
      <c r="I34" s="17"/>
      <c r="J34" s="23" t="str">
        <f>IF(A34="","",IF(COUNTIF(tbl_svhc_vigiadas[CAS],D34)&gt;0,"Sim","Não"))</f>
        <v>Não</v>
      </c>
      <c r="K34" s="23" t="str">
        <f t="shared" si="0"/>
        <v>Não</v>
      </c>
      <c r="L34" s="23" t="str">
        <f t="shared" si="1"/>
        <v>ECHA CHEM — pesquisar 7681-52-9</v>
      </c>
    </row>
    <row r="35" spans="1:12" ht="30" customHeight="1" x14ac:dyDescent="0.3">
      <c r="A35" s="17" t="s">
        <v>668</v>
      </c>
      <c r="B35" s="17" t="s">
        <v>516</v>
      </c>
      <c r="C35" s="17" t="s">
        <v>669</v>
      </c>
      <c r="D35" s="17" t="s">
        <v>670</v>
      </c>
      <c r="E35" s="17" t="s">
        <v>671</v>
      </c>
      <c r="F35" s="20">
        <v>96</v>
      </c>
      <c r="G35" s="20">
        <v>100</v>
      </c>
      <c r="H35" s="17" t="s">
        <v>551</v>
      </c>
      <c r="I35" s="17" t="s">
        <v>609</v>
      </c>
      <c r="J35" s="23" t="str">
        <f>IF(A35="","",IF(COUNTIF(tbl_svhc_vigiadas[CAS],D35)&gt;0,"Sim","Não"))</f>
        <v>Não</v>
      </c>
      <c r="K35" s="23" t="str">
        <f t="shared" si="0"/>
        <v>Não</v>
      </c>
      <c r="L35" s="23" t="str">
        <f t="shared" si="1"/>
        <v>ECHA CHEM — pesquisar 64-17-5</v>
      </c>
    </row>
    <row r="36" spans="1:12" ht="30" customHeight="1" x14ac:dyDescent="0.3">
      <c r="A36" s="17" t="s">
        <v>672</v>
      </c>
      <c r="B36" s="17" t="s">
        <v>524</v>
      </c>
      <c r="C36" s="17" t="s">
        <v>673</v>
      </c>
      <c r="D36" s="17" t="s">
        <v>674</v>
      </c>
      <c r="E36" s="17" t="s">
        <v>675</v>
      </c>
      <c r="F36" s="20">
        <v>99</v>
      </c>
      <c r="G36" s="20">
        <v>100</v>
      </c>
      <c r="H36" s="17" t="s">
        <v>551</v>
      </c>
      <c r="I36" s="17" t="s">
        <v>676</v>
      </c>
      <c r="J36" s="23" t="str">
        <f>IF(A36="","",IF(COUNTIF(tbl_svhc_vigiadas[CAS],D36)&gt;0,"Sim","Não"))</f>
        <v>Não</v>
      </c>
      <c r="K36" s="23" t="str">
        <f t="shared" si="0"/>
        <v>Não</v>
      </c>
      <c r="L36" s="23" t="str">
        <f t="shared" si="1"/>
        <v>ECHA CHEM — pesquisar 64-19-7</v>
      </c>
    </row>
    <row r="37" spans="1:12" ht="30" customHeight="1" x14ac:dyDescent="0.3">
      <c r="A37" s="17" t="s">
        <v>677</v>
      </c>
      <c r="B37" s="17" t="s">
        <v>529</v>
      </c>
      <c r="C37" s="17" t="s">
        <v>678</v>
      </c>
      <c r="D37" s="17" t="s">
        <v>679</v>
      </c>
      <c r="E37" s="17" t="s">
        <v>680</v>
      </c>
      <c r="F37" s="20">
        <v>99</v>
      </c>
      <c r="G37" s="20">
        <v>100</v>
      </c>
      <c r="H37" s="17" t="s">
        <v>551</v>
      </c>
      <c r="I37" s="17" t="s">
        <v>609</v>
      </c>
      <c r="J37" s="23" t="str">
        <f>IF(A37="","",IF(COUNTIF(tbl_svhc_vigiadas[CAS],D37)&gt;0,"Sim","Não"))</f>
        <v>Não</v>
      </c>
      <c r="K37" s="23" t="str">
        <f t="shared" ref="K37:K68" si="2">IF(A37="","",IF(AND(J37="Sim",G37/100&gt;=p_Limiar_SVHC),"Sim","Não"))</f>
        <v>Não</v>
      </c>
      <c r="L37" s="23" t="str">
        <f t="shared" ref="L37:L68" si="3">IF(D37="","",IF(D37="—","",HYPERLINK("https://chem.echa.europa.eu/","ECHA CHEM — pesquisar "&amp;D37)))</f>
        <v>ECHA CHEM — pesquisar 67-63-0</v>
      </c>
    </row>
    <row r="38" spans="1:12" ht="30" customHeight="1" x14ac:dyDescent="0.3">
      <c r="A38" s="17"/>
      <c r="B38" s="17"/>
      <c r="C38" s="17"/>
      <c r="D38" s="17"/>
      <c r="E38" s="17"/>
      <c r="F38" s="20"/>
      <c r="G38" s="20"/>
      <c r="H38" s="17"/>
      <c r="I38" s="17"/>
      <c r="J38" s="23" t="str">
        <f>IF(A38="","",IF(COUNTIF(tbl_svhc_vigiadas[CAS],D38)&gt;0,"Sim","Não"))</f>
        <v/>
      </c>
      <c r="K38" s="23" t="str">
        <f t="shared" si="2"/>
        <v/>
      </c>
      <c r="L38" s="23" t="str">
        <f t="shared" si="3"/>
        <v/>
      </c>
    </row>
    <row r="39" spans="1:12" ht="30" customHeight="1" x14ac:dyDescent="0.3">
      <c r="A39" s="17"/>
      <c r="B39" s="17"/>
      <c r="C39" s="17"/>
      <c r="D39" s="17"/>
      <c r="E39" s="17"/>
      <c r="F39" s="20"/>
      <c r="G39" s="20"/>
      <c r="H39" s="17"/>
      <c r="I39" s="17"/>
      <c r="J39" s="23" t="str">
        <f>IF(A39="","",IF(COUNTIF(tbl_svhc_vigiadas[CAS],D39)&gt;0,"Sim","Não"))</f>
        <v/>
      </c>
      <c r="K39" s="23" t="str">
        <f t="shared" si="2"/>
        <v/>
      </c>
      <c r="L39" s="23" t="str">
        <f t="shared" si="3"/>
        <v/>
      </c>
    </row>
    <row r="40" spans="1:12" ht="30" customHeight="1" x14ac:dyDescent="0.3">
      <c r="A40" s="17"/>
      <c r="B40" s="17"/>
      <c r="C40" s="17"/>
      <c r="D40" s="17"/>
      <c r="E40" s="17"/>
      <c r="F40" s="20"/>
      <c r="G40" s="20"/>
      <c r="H40" s="17"/>
      <c r="I40" s="17"/>
      <c r="J40" s="23" t="str">
        <f>IF(A40="","",IF(COUNTIF(tbl_svhc_vigiadas[CAS],D40)&gt;0,"Sim","Não"))</f>
        <v/>
      </c>
      <c r="K40" s="23" t="str">
        <f t="shared" si="2"/>
        <v/>
      </c>
      <c r="L40" s="23" t="str">
        <f t="shared" si="3"/>
        <v/>
      </c>
    </row>
    <row r="41" spans="1:12" ht="30" customHeight="1" x14ac:dyDescent="0.3">
      <c r="A41" s="17"/>
      <c r="B41" s="17"/>
      <c r="C41" s="17"/>
      <c r="D41" s="17"/>
      <c r="E41" s="17"/>
      <c r="F41" s="20"/>
      <c r="G41" s="20"/>
      <c r="H41" s="17"/>
      <c r="I41" s="17"/>
      <c r="J41" s="23" t="str">
        <f>IF(A41="","",IF(COUNTIF(tbl_svhc_vigiadas[CAS],D41)&gt;0,"Sim","Não"))</f>
        <v/>
      </c>
      <c r="K41" s="23" t="str">
        <f t="shared" si="2"/>
        <v/>
      </c>
      <c r="L41" s="23" t="str">
        <f t="shared" si="3"/>
        <v/>
      </c>
    </row>
    <row r="42" spans="1:12" ht="30" customHeight="1" x14ac:dyDescent="0.3">
      <c r="A42" s="17"/>
      <c r="B42" s="17"/>
      <c r="C42" s="17"/>
      <c r="D42" s="17"/>
      <c r="E42" s="17"/>
      <c r="F42" s="20"/>
      <c r="G42" s="20"/>
      <c r="H42" s="17"/>
      <c r="I42" s="17"/>
      <c r="J42" s="23" t="str">
        <f>IF(A42="","",IF(COUNTIF(tbl_svhc_vigiadas[CAS],D42)&gt;0,"Sim","Não"))</f>
        <v/>
      </c>
      <c r="K42" s="23" t="str">
        <f t="shared" si="2"/>
        <v/>
      </c>
      <c r="L42" s="23" t="str">
        <f t="shared" si="3"/>
        <v/>
      </c>
    </row>
    <row r="43" spans="1:12" ht="30" customHeight="1" x14ac:dyDescent="0.3">
      <c r="A43" s="17"/>
      <c r="B43" s="17"/>
      <c r="C43" s="17"/>
      <c r="D43" s="17"/>
      <c r="E43" s="17"/>
      <c r="F43" s="20"/>
      <c r="G43" s="20"/>
      <c r="H43" s="17"/>
      <c r="I43" s="17"/>
      <c r="J43" s="23" t="str">
        <f>IF(A43="","",IF(COUNTIF(tbl_svhc_vigiadas[CAS],D43)&gt;0,"Sim","Não"))</f>
        <v/>
      </c>
      <c r="K43" s="23" t="str">
        <f t="shared" si="2"/>
        <v/>
      </c>
      <c r="L43" s="23" t="str">
        <f t="shared" si="3"/>
        <v/>
      </c>
    </row>
    <row r="44" spans="1:12" ht="30" customHeight="1" x14ac:dyDescent="0.3">
      <c r="A44" s="17"/>
      <c r="B44" s="17"/>
      <c r="C44" s="17"/>
      <c r="D44" s="17"/>
      <c r="E44" s="17"/>
      <c r="F44" s="20"/>
      <c r="G44" s="20"/>
      <c r="H44" s="17"/>
      <c r="I44" s="17"/>
      <c r="J44" s="23" t="str">
        <f>IF(A44="","",IF(COUNTIF(tbl_svhc_vigiadas[CAS],D44)&gt;0,"Sim","Não"))</f>
        <v/>
      </c>
      <c r="K44" s="23" t="str">
        <f t="shared" si="2"/>
        <v/>
      </c>
      <c r="L44" s="23" t="str">
        <f t="shared" si="3"/>
        <v/>
      </c>
    </row>
    <row r="45" spans="1:12" ht="30" customHeight="1" x14ac:dyDescent="0.3">
      <c r="A45" s="17"/>
      <c r="B45" s="17"/>
      <c r="C45" s="17"/>
      <c r="D45" s="17"/>
      <c r="E45" s="17"/>
      <c r="F45" s="20"/>
      <c r="G45" s="20"/>
      <c r="H45" s="17"/>
      <c r="I45" s="17"/>
      <c r="J45" s="23" t="str">
        <f>IF(A45="","",IF(COUNTIF(tbl_svhc_vigiadas[CAS],D45)&gt;0,"Sim","Não"))</f>
        <v/>
      </c>
      <c r="K45" s="23" t="str">
        <f t="shared" si="2"/>
        <v/>
      </c>
      <c r="L45" s="23" t="str">
        <f t="shared" si="3"/>
        <v/>
      </c>
    </row>
    <row r="46" spans="1:12" ht="30" customHeight="1" x14ac:dyDescent="0.3">
      <c r="A46" s="17"/>
      <c r="B46" s="17"/>
      <c r="C46" s="17"/>
      <c r="D46" s="17"/>
      <c r="E46" s="17"/>
      <c r="F46" s="20"/>
      <c r="G46" s="20"/>
      <c r="H46" s="17"/>
      <c r="I46" s="17"/>
      <c r="J46" s="23" t="str">
        <f>IF(A46="","",IF(COUNTIF(tbl_svhc_vigiadas[CAS],D46)&gt;0,"Sim","Não"))</f>
        <v/>
      </c>
      <c r="K46" s="23" t="str">
        <f t="shared" si="2"/>
        <v/>
      </c>
      <c r="L46" s="23" t="str">
        <f t="shared" si="3"/>
        <v/>
      </c>
    </row>
    <row r="47" spans="1:12" ht="30" customHeight="1" x14ac:dyDescent="0.3">
      <c r="A47" s="17"/>
      <c r="B47" s="17"/>
      <c r="C47" s="17"/>
      <c r="D47" s="17"/>
      <c r="E47" s="17"/>
      <c r="F47" s="20"/>
      <c r="G47" s="20"/>
      <c r="H47" s="17"/>
      <c r="I47" s="17"/>
      <c r="J47" s="23" t="str">
        <f>IF(A47="","",IF(COUNTIF(tbl_svhc_vigiadas[CAS],D47)&gt;0,"Sim","Não"))</f>
        <v/>
      </c>
      <c r="K47" s="23" t="str">
        <f t="shared" si="2"/>
        <v/>
      </c>
      <c r="L47" s="23" t="str">
        <f t="shared" si="3"/>
        <v/>
      </c>
    </row>
    <row r="48" spans="1:12" ht="30" customHeight="1" x14ac:dyDescent="0.3">
      <c r="A48" s="17"/>
      <c r="B48" s="17"/>
      <c r="C48" s="17"/>
      <c r="D48" s="17"/>
      <c r="E48" s="17"/>
      <c r="F48" s="20"/>
      <c r="G48" s="20"/>
      <c r="H48" s="17"/>
      <c r="I48" s="17"/>
      <c r="J48" s="23" t="str">
        <f>IF(A48="","",IF(COUNTIF(tbl_svhc_vigiadas[CAS],D48)&gt;0,"Sim","Não"))</f>
        <v/>
      </c>
      <c r="K48" s="23" t="str">
        <f t="shared" si="2"/>
        <v/>
      </c>
      <c r="L48" s="23" t="str">
        <f t="shared" si="3"/>
        <v/>
      </c>
    </row>
    <row r="49" spans="1:12" ht="30" customHeight="1" x14ac:dyDescent="0.3">
      <c r="A49" s="17"/>
      <c r="B49" s="17"/>
      <c r="C49" s="17"/>
      <c r="D49" s="17"/>
      <c r="E49" s="17"/>
      <c r="F49" s="20"/>
      <c r="G49" s="20"/>
      <c r="H49" s="17"/>
      <c r="I49" s="17"/>
      <c r="J49" s="23" t="str">
        <f>IF(A49="","",IF(COUNTIF(tbl_svhc_vigiadas[CAS],D49)&gt;0,"Sim","Não"))</f>
        <v/>
      </c>
      <c r="K49" s="23" t="str">
        <f t="shared" si="2"/>
        <v/>
      </c>
      <c r="L49" s="23" t="str">
        <f t="shared" si="3"/>
        <v/>
      </c>
    </row>
    <row r="50" spans="1:12" ht="30" customHeight="1" x14ac:dyDescent="0.3">
      <c r="A50" s="17"/>
      <c r="B50" s="17"/>
      <c r="C50" s="17"/>
      <c r="D50" s="17"/>
      <c r="E50" s="17"/>
      <c r="F50" s="20"/>
      <c r="G50" s="20"/>
      <c r="H50" s="17"/>
      <c r="I50" s="17"/>
      <c r="J50" s="23" t="str">
        <f>IF(A50="","",IF(COUNTIF(tbl_svhc_vigiadas[CAS],D50)&gt;0,"Sim","Não"))</f>
        <v/>
      </c>
      <c r="K50" s="23" t="str">
        <f t="shared" si="2"/>
        <v/>
      </c>
      <c r="L50" s="23" t="str">
        <f t="shared" si="3"/>
        <v/>
      </c>
    </row>
    <row r="51" spans="1:12" ht="30" customHeight="1" x14ac:dyDescent="0.3">
      <c r="A51" s="17"/>
      <c r="B51" s="17"/>
      <c r="C51" s="17"/>
      <c r="D51" s="17"/>
      <c r="E51" s="17"/>
      <c r="F51" s="20"/>
      <c r="G51" s="20"/>
      <c r="H51" s="17"/>
      <c r="I51" s="17"/>
      <c r="J51" s="23" t="str">
        <f>IF(A51="","",IF(COUNTIF(tbl_svhc_vigiadas[CAS],D51)&gt;0,"Sim","Não"))</f>
        <v/>
      </c>
      <c r="K51" s="23" t="str">
        <f t="shared" si="2"/>
        <v/>
      </c>
      <c r="L51" s="23" t="str">
        <f t="shared" si="3"/>
        <v/>
      </c>
    </row>
    <row r="52" spans="1:12" ht="30" customHeight="1" x14ac:dyDescent="0.3">
      <c r="A52" s="17"/>
      <c r="B52" s="17"/>
      <c r="C52" s="17"/>
      <c r="D52" s="17"/>
      <c r="E52" s="17"/>
      <c r="F52" s="20"/>
      <c r="G52" s="20"/>
      <c r="H52" s="17"/>
      <c r="I52" s="17"/>
      <c r="J52" s="23" t="str">
        <f>IF(A52="","",IF(COUNTIF(tbl_svhc_vigiadas[CAS],D52)&gt;0,"Sim","Não"))</f>
        <v/>
      </c>
      <c r="K52" s="23" t="str">
        <f t="shared" si="2"/>
        <v/>
      </c>
      <c r="L52" s="23" t="str">
        <f t="shared" si="3"/>
        <v/>
      </c>
    </row>
    <row r="53" spans="1:12" ht="30" customHeight="1" x14ac:dyDescent="0.3">
      <c r="A53" s="17"/>
      <c r="B53" s="17"/>
      <c r="C53" s="17"/>
      <c r="D53" s="17"/>
      <c r="E53" s="17"/>
      <c r="F53" s="20"/>
      <c r="G53" s="20"/>
      <c r="H53" s="17"/>
      <c r="I53" s="17"/>
      <c r="J53" s="23" t="str">
        <f>IF(A53="","",IF(COUNTIF(tbl_svhc_vigiadas[CAS],D53)&gt;0,"Sim","Não"))</f>
        <v/>
      </c>
      <c r="K53" s="23" t="str">
        <f t="shared" si="2"/>
        <v/>
      </c>
      <c r="L53" s="23" t="str">
        <f t="shared" si="3"/>
        <v/>
      </c>
    </row>
    <row r="54" spans="1:12" ht="30" customHeight="1" x14ac:dyDescent="0.3">
      <c r="A54" s="17"/>
      <c r="B54" s="17"/>
      <c r="C54" s="17"/>
      <c r="D54" s="17"/>
      <c r="E54" s="17"/>
      <c r="F54" s="20"/>
      <c r="G54" s="20"/>
      <c r="H54" s="17"/>
      <c r="I54" s="17"/>
      <c r="J54" s="23" t="str">
        <f>IF(A54="","",IF(COUNTIF(tbl_svhc_vigiadas[CAS],D54)&gt;0,"Sim","Não"))</f>
        <v/>
      </c>
      <c r="K54" s="23" t="str">
        <f t="shared" si="2"/>
        <v/>
      </c>
      <c r="L54" s="23" t="str">
        <f t="shared" si="3"/>
        <v/>
      </c>
    </row>
    <row r="55" spans="1:12" ht="30" customHeight="1" x14ac:dyDescent="0.3">
      <c r="A55" s="17"/>
      <c r="B55" s="17"/>
      <c r="C55" s="17"/>
      <c r="D55" s="17"/>
      <c r="E55" s="17"/>
      <c r="F55" s="20"/>
      <c r="G55" s="20"/>
      <c r="H55" s="17"/>
      <c r="I55" s="17"/>
      <c r="J55" s="23" t="str">
        <f>IF(A55="","",IF(COUNTIF(tbl_svhc_vigiadas[CAS],D55)&gt;0,"Sim","Não"))</f>
        <v/>
      </c>
      <c r="K55" s="23" t="str">
        <f t="shared" si="2"/>
        <v/>
      </c>
      <c r="L55" s="23" t="str">
        <f t="shared" si="3"/>
        <v/>
      </c>
    </row>
    <row r="56" spans="1:12" ht="30" customHeight="1" x14ac:dyDescent="0.3">
      <c r="A56" s="17"/>
      <c r="B56" s="17"/>
      <c r="C56" s="17"/>
      <c r="D56" s="17"/>
      <c r="E56" s="17"/>
      <c r="F56" s="20"/>
      <c r="G56" s="20"/>
      <c r="H56" s="17"/>
      <c r="I56" s="17"/>
      <c r="J56" s="23" t="str">
        <f>IF(A56="","",IF(COUNTIF(tbl_svhc_vigiadas[CAS],D56)&gt;0,"Sim","Não"))</f>
        <v/>
      </c>
      <c r="K56" s="23" t="str">
        <f t="shared" si="2"/>
        <v/>
      </c>
      <c r="L56" s="23" t="str">
        <f t="shared" si="3"/>
        <v/>
      </c>
    </row>
    <row r="57" spans="1:12" ht="30" customHeight="1" x14ac:dyDescent="0.3">
      <c r="A57" s="17"/>
      <c r="B57" s="17"/>
      <c r="C57" s="17"/>
      <c r="D57" s="17"/>
      <c r="E57" s="17"/>
      <c r="F57" s="20"/>
      <c r="G57" s="20"/>
      <c r="H57" s="17"/>
      <c r="I57" s="17"/>
      <c r="J57" s="23" t="str">
        <f>IF(A57="","",IF(COUNTIF(tbl_svhc_vigiadas[CAS],D57)&gt;0,"Sim","Não"))</f>
        <v/>
      </c>
      <c r="K57" s="23" t="str">
        <f t="shared" si="2"/>
        <v/>
      </c>
      <c r="L57" s="23" t="str">
        <f t="shared" si="3"/>
        <v/>
      </c>
    </row>
    <row r="58" spans="1:12" ht="30" customHeight="1" x14ac:dyDescent="0.3">
      <c r="A58" s="17"/>
      <c r="B58" s="17"/>
      <c r="C58" s="17"/>
      <c r="D58" s="17"/>
      <c r="E58" s="17"/>
      <c r="F58" s="20"/>
      <c r="G58" s="20"/>
      <c r="H58" s="17"/>
      <c r="I58" s="17"/>
      <c r="J58" s="23" t="str">
        <f>IF(A58="","",IF(COUNTIF(tbl_svhc_vigiadas[CAS],D58)&gt;0,"Sim","Não"))</f>
        <v/>
      </c>
      <c r="K58" s="23" t="str">
        <f t="shared" si="2"/>
        <v/>
      </c>
      <c r="L58" s="23" t="str">
        <f t="shared" si="3"/>
        <v/>
      </c>
    </row>
    <row r="59" spans="1:12" ht="30" customHeight="1" x14ac:dyDescent="0.3">
      <c r="A59" s="17"/>
      <c r="B59" s="17"/>
      <c r="C59" s="17"/>
      <c r="D59" s="17"/>
      <c r="E59" s="17"/>
      <c r="F59" s="20"/>
      <c r="G59" s="20"/>
      <c r="H59" s="17"/>
      <c r="I59" s="17"/>
      <c r="J59" s="23" t="str">
        <f>IF(A59="","",IF(COUNTIF(tbl_svhc_vigiadas[CAS],D59)&gt;0,"Sim","Não"))</f>
        <v/>
      </c>
      <c r="K59" s="23" t="str">
        <f t="shared" si="2"/>
        <v/>
      </c>
      <c r="L59" s="23" t="str">
        <f t="shared" si="3"/>
        <v/>
      </c>
    </row>
    <row r="60" spans="1:12" ht="30" customHeight="1" x14ac:dyDescent="0.3">
      <c r="A60" s="17"/>
      <c r="B60" s="17"/>
      <c r="C60" s="17"/>
      <c r="D60" s="17"/>
      <c r="E60" s="17"/>
      <c r="F60" s="20"/>
      <c r="G60" s="20"/>
      <c r="H60" s="17"/>
      <c r="I60" s="17"/>
      <c r="J60" s="23" t="str">
        <f>IF(A60="","",IF(COUNTIF(tbl_svhc_vigiadas[CAS],D60)&gt;0,"Sim","Não"))</f>
        <v/>
      </c>
      <c r="K60" s="23" t="str">
        <f t="shared" si="2"/>
        <v/>
      </c>
      <c r="L60" s="23" t="str">
        <f t="shared" si="3"/>
        <v/>
      </c>
    </row>
    <row r="61" spans="1:12" ht="30" customHeight="1" x14ac:dyDescent="0.3">
      <c r="A61" s="17"/>
      <c r="B61" s="17"/>
      <c r="C61" s="17"/>
      <c r="D61" s="17"/>
      <c r="E61" s="17"/>
      <c r="F61" s="20"/>
      <c r="G61" s="20"/>
      <c r="H61" s="17"/>
      <c r="I61" s="17"/>
      <c r="J61" s="23" t="str">
        <f>IF(A61="","",IF(COUNTIF(tbl_svhc_vigiadas[CAS],D61)&gt;0,"Sim","Não"))</f>
        <v/>
      </c>
      <c r="K61" s="23" t="str">
        <f t="shared" si="2"/>
        <v/>
      </c>
      <c r="L61" s="23" t="str">
        <f t="shared" si="3"/>
        <v/>
      </c>
    </row>
    <row r="62" spans="1:12" ht="30" customHeight="1" x14ac:dyDescent="0.3">
      <c r="A62" s="17"/>
      <c r="B62" s="17"/>
      <c r="C62" s="17"/>
      <c r="D62" s="17"/>
      <c r="E62" s="17"/>
      <c r="F62" s="20"/>
      <c r="G62" s="20"/>
      <c r="H62" s="17"/>
      <c r="I62" s="17"/>
      <c r="J62" s="23" t="str">
        <f>IF(A62="","",IF(COUNTIF(tbl_svhc_vigiadas[CAS],D62)&gt;0,"Sim","Não"))</f>
        <v/>
      </c>
      <c r="K62" s="23" t="str">
        <f t="shared" si="2"/>
        <v/>
      </c>
      <c r="L62" s="23" t="str">
        <f t="shared" si="3"/>
        <v/>
      </c>
    </row>
    <row r="63" spans="1:12" ht="30" customHeight="1" x14ac:dyDescent="0.3">
      <c r="A63" s="17"/>
      <c r="B63" s="17"/>
      <c r="C63" s="17"/>
      <c r="D63" s="17"/>
      <c r="E63" s="17"/>
      <c r="F63" s="20"/>
      <c r="G63" s="20"/>
      <c r="H63" s="17"/>
      <c r="I63" s="17"/>
      <c r="J63" s="23" t="str">
        <f>IF(A63="","",IF(COUNTIF(tbl_svhc_vigiadas[CAS],D63)&gt;0,"Sim","Não"))</f>
        <v/>
      </c>
      <c r="K63" s="23" t="str">
        <f t="shared" si="2"/>
        <v/>
      </c>
      <c r="L63" s="23" t="str">
        <f t="shared" si="3"/>
        <v/>
      </c>
    </row>
    <row r="64" spans="1:12" ht="30" customHeight="1" x14ac:dyDescent="0.3">
      <c r="A64" s="17"/>
      <c r="B64" s="17"/>
      <c r="C64" s="17"/>
      <c r="D64" s="17"/>
      <c r="E64" s="17"/>
      <c r="F64" s="20"/>
      <c r="G64" s="20"/>
      <c r="H64" s="17"/>
      <c r="I64" s="17"/>
      <c r="J64" s="23" t="str">
        <f>IF(A64="","",IF(COUNTIF(tbl_svhc_vigiadas[CAS],D64)&gt;0,"Sim","Não"))</f>
        <v/>
      </c>
      <c r="K64" s="23" t="str">
        <f t="shared" si="2"/>
        <v/>
      </c>
      <c r="L64" s="23" t="str">
        <f t="shared" si="3"/>
        <v/>
      </c>
    </row>
    <row r="65" spans="1:12" ht="30" customHeight="1" x14ac:dyDescent="0.3">
      <c r="A65" s="17"/>
      <c r="B65" s="17"/>
      <c r="C65" s="17"/>
      <c r="D65" s="17"/>
      <c r="E65" s="17"/>
      <c r="F65" s="20"/>
      <c r="G65" s="20"/>
      <c r="H65" s="17"/>
      <c r="I65" s="17"/>
      <c r="J65" s="23" t="str">
        <f>IF(A65="","",IF(COUNTIF(tbl_svhc_vigiadas[CAS],D65)&gt;0,"Sim","Não"))</f>
        <v/>
      </c>
      <c r="K65" s="23" t="str">
        <f t="shared" si="2"/>
        <v/>
      </c>
      <c r="L65" s="23" t="str">
        <f t="shared" si="3"/>
        <v/>
      </c>
    </row>
    <row r="66" spans="1:12" ht="30" customHeight="1" x14ac:dyDescent="0.3">
      <c r="A66" s="17"/>
      <c r="B66" s="17"/>
      <c r="C66" s="17"/>
      <c r="D66" s="17"/>
      <c r="E66" s="17"/>
      <c r="F66" s="20"/>
      <c r="G66" s="20"/>
      <c r="H66" s="17"/>
      <c r="I66" s="17"/>
      <c r="J66" s="23" t="str">
        <f>IF(A66="","",IF(COUNTIF(tbl_svhc_vigiadas[CAS],D66)&gt;0,"Sim","Não"))</f>
        <v/>
      </c>
      <c r="K66" s="23" t="str">
        <f t="shared" si="2"/>
        <v/>
      </c>
      <c r="L66" s="23" t="str">
        <f t="shared" si="3"/>
        <v/>
      </c>
    </row>
    <row r="67" spans="1:12" ht="30" customHeight="1" x14ac:dyDescent="0.3">
      <c r="A67" s="17"/>
      <c r="B67" s="17"/>
      <c r="C67" s="17"/>
      <c r="D67" s="17"/>
      <c r="E67" s="17"/>
      <c r="F67" s="20"/>
      <c r="G67" s="20"/>
      <c r="H67" s="17"/>
      <c r="I67" s="17"/>
      <c r="J67" s="23" t="str">
        <f>IF(A67="","",IF(COUNTIF(tbl_svhc_vigiadas[CAS],D67)&gt;0,"Sim","Não"))</f>
        <v/>
      </c>
      <c r="K67" s="23" t="str">
        <f t="shared" si="2"/>
        <v/>
      </c>
      <c r="L67" s="23" t="str">
        <f t="shared" si="3"/>
        <v/>
      </c>
    </row>
    <row r="68" spans="1:12" ht="30" customHeight="1" x14ac:dyDescent="0.3">
      <c r="A68" s="17"/>
      <c r="B68" s="17"/>
      <c r="C68" s="17"/>
      <c r="D68" s="17"/>
      <c r="E68" s="17"/>
      <c r="F68" s="20"/>
      <c r="G68" s="20"/>
      <c r="H68" s="17"/>
      <c r="I68" s="17"/>
      <c r="J68" s="23" t="str">
        <f>IF(A68="","",IF(COUNTIF(tbl_svhc_vigiadas[CAS],D68)&gt;0,"Sim","Não"))</f>
        <v/>
      </c>
      <c r="K68" s="23" t="str">
        <f t="shared" si="2"/>
        <v/>
      </c>
      <c r="L68" s="23" t="str">
        <f t="shared" si="3"/>
        <v/>
      </c>
    </row>
    <row r="69" spans="1:12" ht="30" customHeight="1" x14ac:dyDescent="0.3">
      <c r="A69" s="17"/>
      <c r="B69" s="17"/>
      <c r="C69" s="17"/>
      <c r="D69" s="17"/>
      <c r="E69" s="17"/>
      <c r="F69" s="20"/>
      <c r="G69" s="20"/>
      <c r="H69" s="17"/>
      <c r="I69" s="17"/>
      <c r="J69" s="23" t="str">
        <f>IF(A69="","",IF(COUNTIF(tbl_svhc_vigiadas[CAS],D69)&gt;0,"Sim","Não"))</f>
        <v/>
      </c>
      <c r="K69" s="23" t="str">
        <f t="shared" ref="K69:K100" si="4">IF(A69="","",IF(AND(J69="Sim",G69/100&gt;=p_Limiar_SVHC),"Sim","Não"))</f>
        <v/>
      </c>
      <c r="L69" s="23" t="str">
        <f t="shared" ref="L69:L77" si="5">IF(D69="","",IF(D69="—","",HYPERLINK("https://chem.echa.europa.eu/","ECHA CHEM — pesquisar "&amp;D69)))</f>
        <v/>
      </c>
    </row>
    <row r="70" spans="1:12" ht="30" customHeight="1" x14ac:dyDescent="0.3">
      <c r="A70" s="17"/>
      <c r="B70" s="17"/>
      <c r="C70" s="17"/>
      <c r="D70" s="17"/>
      <c r="E70" s="17"/>
      <c r="F70" s="20"/>
      <c r="G70" s="20"/>
      <c r="H70" s="17"/>
      <c r="I70" s="17"/>
      <c r="J70" s="23" t="str">
        <f>IF(A70="","",IF(COUNTIF(tbl_svhc_vigiadas[CAS],D70)&gt;0,"Sim","Não"))</f>
        <v/>
      </c>
      <c r="K70" s="23" t="str">
        <f t="shared" si="4"/>
        <v/>
      </c>
      <c r="L70" s="23" t="str">
        <f t="shared" si="5"/>
        <v/>
      </c>
    </row>
    <row r="71" spans="1:12" ht="30" customHeight="1" x14ac:dyDescent="0.3">
      <c r="A71" s="17"/>
      <c r="B71" s="17"/>
      <c r="C71" s="17"/>
      <c r="D71" s="17"/>
      <c r="E71" s="17"/>
      <c r="F71" s="20"/>
      <c r="G71" s="20"/>
      <c r="H71" s="17"/>
      <c r="I71" s="17"/>
      <c r="J71" s="23" t="str">
        <f>IF(A71="","",IF(COUNTIF(tbl_svhc_vigiadas[CAS],D71)&gt;0,"Sim","Não"))</f>
        <v/>
      </c>
      <c r="K71" s="23" t="str">
        <f t="shared" si="4"/>
        <v/>
      </c>
      <c r="L71" s="23" t="str">
        <f t="shared" si="5"/>
        <v/>
      </c>
    </row>
    <row r="72" spans="1:12" ht="30" customHeight="1" x14ac:dyDescent="0.3">
      <c r="A72" s="17"/>
      <c r="B72" s="17"/>
      <c r="C72" s="17"/>
      <c r="D72" s="17"/>
      <c r="E72" s="17"/>
      <c r="F72" s="20"/>
      <c r="G72" s="20"/>
      <c r="H72" s="17"/>
      <c r="I72" s="17"/>
      <c r="J72" s="23" t="str">
        <f>IF(A72="","",IF(COUNTIF(tbl_svhc_vigiadas[CAS],D72)&gt;0,"Sim","Não"))</f>
        <v/>
      </c>
      <c r="K72" s="23" t="str">
        <f t="shared" si="4"/>
        <v/>
      </c>
      <c r="L72" s="23" t="str">
        <f t="shared" si="5"/>
        <v/>
      </c>
    </row>
    <row r="73" spans="1:12" ht="30" customHeight="1" x14ac:dyDescent="0.3">
      <c r="A73" s="17"/>
      <c r="B73" s="17"/>
      <c r="C73" s="17"/>
      <c r="D73" s="17"/>
      <c r="E73" s="17"/>
      <c r="F73" s="20"/>
      <c r="G73" s="20"/>
      <c r="H73" s="17"/>
      <c r="I73" s="17"/>
      <c r="J73" s="23" t="str">
        <f>IF(A73="","",IF(COUNTIF(tbl_svhc_vigiadas[CAS],D73)&gt;0,"Sim","Não"))</f>
        <v/>
      </c>
      <c r="K73" s="23" t="str">
        <f t="shared" si="4"/>
        <v/>
      </c>
      <c r="L73" s="23" t="str">
        <f t="shared" si="5"/>
        <v/>
      </c>
    </row>
    <row r="74" spans="1:12" ht="30" customHeight="1" x14ac:dyDescent="0.3">
      <c r="A74" s="17"/>
      <c r="B74" s="17"/>
      <c r="C74" s="17"/>
      <c r="D74" s="17"/>
      <c r="E74" s="17"/>
      <c r="F74" s="20"/>
      <c r="G74" s="20"/>
      <c r="H74" s="17"/>
      <c r="I74" s="17"/>
      <c r="J74" s="23" t="str">
        <f>IF(A74="","",IF(COUNTIF(tbl_svhc_vigiadas[CAS],D74)&gt;0,"Sim","Não"))</f>
        <v/>
      </c>
      <c r="K74" s="23" t="str">
        <f t="shared" si="4"/>
        <v/>
      </c>
      <c r="L74" s="23" t="str">
        <f t="shared" si="5"/>
        <v/>
      </c>
    </row>
    <row r="75" spans="1:12" ht="30" customHeight="1" x14ac:dyDescent="0.3">
      <c r="A75" s="17"/>
      <c r="B75" s="17"/>
      <c r="C75" s="17"/>
      <c r="D75" s="17"/>
      <c r="E75" s="17"/>
      <c r="F75" s="20"/>
      <c r="G75" s="20"/>
      <c r="H75" s="17"/>
      <c r="I75" s="17"/>
      <c r="J75" s="23" t="str">
        <f>IF(A75="","",IF(COUNTIF(tbl_svhc_vigiadas[CAS],D75)&gt;0,"Sim","Não"))</f>
        <v/>
      </c>
      <c r="K75" s="23" t="str">
        <f t="shared" si="4"/>
        <v/>
      </c>
      <c r="L75" s="23" t="str">
        <f t="shared" si="5"/>
        <v/>
      </c>
    </row>
    <row r="76" spans="1:12" ht="30" customHeight="1" x14ac:dyDescent="0.3">
      <c r="A76" s="17"/>
      <c r="B76" s="17"/>
      <c r="C76" s="17"/>
      <c r="D76" s="17"/>
      <c r="E76" s="17"/>
      <c r="F76" s="20"/>
      <c r="G76" s="20"/>
      <c r="H76" s="17"/>
      <c r="I76" s="17"/>
      <c r="J76" s="23" t="str">
        <f>IF(A76="","",IF(COUNTIF(tbl_svhc_vigiadas[CAS],D76)&gt;0,"Sim","Não"))</f>
        <v/>
      </c>
      <c r="K76" s="23" t="str">
        <f t="shared" si="4"/>
        <v/>
      </c>
      <c r="L76" s="23" t="str">
        <f t="shared" si="5"/>
        <v/>
      </c>
    </row>
    <row r="77" spans="1:12" ht="30" customHeight="1" x14ac:dyDescent="0.3">
      <c r="A77" s="17"/>
      <c r="B77" s="17"/>
      <c r="C77" s="17"/>
      <c r="D77" s="17"/>
      <c r="E77" s="17"/>
      <c r="F77" s="20"/>
      <c r="G77" s="20"/>
      <c r="H77" s="17"/>
      <c r="I77" s="17"/>
      <c r="J77" s="23" t="str">
        <f>IF(A77="","",IF(COUNTIF(tbl_svhc_vigiadas[CAS],D77)&gt;0,"Sim","Não"))</f>
        <v/>
      </c>
      <c r="K77" s="23" t="str">
        <f t="shared" si="4"/>
        <v/>
      </c>
      <c r="L77" s="23" t="str">
        <f t="shared" si="5"/>
        <v/>
      </c>
    </row>
  </sheetData>
  <conditionalFormatting sqref="J5:J277">
    <cfRule type="expression" dxfId="57" priority="2">
      <formula>ISNUMBER(SEARCH("Sim",J5))</formula>
    </cfRule>
  </conditionalFormatting>
  <conditionalFormatting sqref="K5:K277">
    <cfRule type="expression" dxfId="56" priority="1">
      <formula>ISNUMBER(SEARCH("Sim",K5))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85"/>
  <sheetViews>
    <sheetView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9" customWidth="1"/>
    <col min="3" max="3" width="30" customWidth="1"/>
    <col min="4" max="5" width="11" customWidth="1"/>
    <col min="6" max="6" width="7" customWidth="1"/>
    <col min="7" max="19" width="9" customWidth="1"/>
    <col min="20" max="20" width="11" customWidth="1"/>
    <col min="21" max="21" width="22" customWidth="1"/>
    <col min="22" max="22" width="6" customWidth="1"/>
    <col min="23" max="23" width="16" customWidth="1"/>
    <col min="24" max="25" width="7" customWidth="1"/>
    <col min="26" max="26" width="9" customWidth="1"/>
    <col min="27" max="27" width="22" customWidth="1"/>
  </cols>
  <sheetData>
    <row r="1" spans="1:27" ht="17.399999999999999" x14ac:dyDescent="0.3">
      <c r="A1" s="1" t="s">
        <v>681</v>
      </c>
    </row>
    <row r="2" spans="1:27" x14ac:dyDescent="0.3">
      <c r="A2" s="2" t="s">
        <v>682</v>
      </c>
    </row>
    <row r="4" spans="1:27" ht="52.8" x14ac:dyDescent="0.3">
      <c r="A4" s="8" t="s">
        <v>683</v>
      </c>
      <c r="B4" s="8" t="s">
        <v>213</v>
      </c>
      <c r="C4" s="18" t="s">
        <v>684</v>
      </c>
      <c r="D4" s="8" t="s">
        <v>685</v>
      </c>
      <c r="E4" s="8" t="s">
        <v>686</v>
      </c>
      <c r="F4" s="8" t="s">
        <v>687</v>
      </c>
      <c r="G4" s="8" t="s">
        <v>688</v>
      </c>
      <c r="H4" s="8" t="s">
        <v>689</v>
      </c>
      <c r="I4" s="8" t="s">
        <v>690</v>
      </c>
      <c r="J4" s="8" t="s">
        <v>691</v>
      </c>
      <c r="K4" s="8" t="s">
        <v>692</v>
      </c>
      <c r="L4" s="8" t="s">
        <v>693</v>
      </c>
      <c r="M4" s="8" t="s">
        <v>694</v>
      </c>
      <c r="N4" s="8" t="s">
        <v>695</v>
      </c>
      <c r="O4" s="8" t="s">
        <v>696</v>
      </c>
      <c r="P4" s="8" t="s">
        <v>697</v>
      </c>
      <c r="Q4" s="8" t="s">
        <v>698</v>
      </c>
      <c r="R4" s="8" t="s">
        <v>699</v>
      </c>
      <c r="S4" s="8" t="s">
        <v>700</v>
      </c>
      <c r="T4" s="8" t="s">
        <v>701</v>
      </c>
      <c r="U4" s="8" t="s">
        <v>702</v>
      </c>
      <c r="V4" s="18" t="s">
        <v>703</v>
      </c>
      <c r="W4" s="18" t="s">
        <v>704</v>
      </c>
      <c r="X4" s="18" t="s">
        <v>705</v>
      </c>
      <c r="Y4" s="18" t="s">
        <v>706</v>
      </c>
      <c r="Z4" s="18" t="s">
        <v>707</v>
      </c>
      <c r="AA4" s="18" t="s">
        <v>253</v>
      </c>
    </row>
    <row r="5" spans="1:27" ht="30" customHeight="1" x14ac:dyDescent="0.3">
      <c r="A5" s="17" t="s">
        <v>708</v>
      </c>
      <c r="B5" s="17" t="s">
        <v>255</v>
      </c>
      <c r="C5" s="23" t="str">
        <f>IF(B5="","",IFERROR(INDEX(tbl_quimicos[Nome_Comercial],MATCH(B5,tbl_quimicos[ID_Quimico],0)),"ID inválido"))</f>
        <v>Tinta serigráfica base solvente (PP/PE)</v>
      </c>
      <c r="D5" s="21">
        <v>46156</v>
      </c>
      <c r="E5" s="21">
        <v>46154</v>
      </c>
      <c r="F5" s="17" t="s">
        <v>709</v>
      </c>
      <c r="G5" s="17" t="s">
        <v>263</v>
      </c>
      <c r="H5" s="17" t="s">
        <v>263</v>
      </c>
      <c r="I5" s="17" t="s">
        <v>263</v>
      </c>
      <c r="J5" s="17" t="s">
        <v>263</v>
      </c>
      <c r="K5" s="17" t="s">
        <v>263</v>
      </c>
      <c r="L5" s="17" t="s">
        <v>263</v>
      </c>
      <c r="M5" s="17" t="s">
        <v>263</v>
      </c>
      <c r="N5" s="17" t="s">
        <v>263</v>
      </c>
      <c r="O5" s="17" t="s">
        <v>263</v>
      </c>
      <c r="P5" s="17" t="s">
        <v>263</v>
      </c>
      <c r="Q5" s="17" t="s">
        <v>710</v>
      </c>
      <c r="R5" s="17" t="s">
        <v>263</v>
      </c>
      <c r="S5" s="17" t="s">
        <v>263</v>
      </c>
      <c r="T5" s="21"/>
      <c r="U5" s="17" t="s">
        <v>711</v>
      </c>
      <c r="V5" s="10">
        <f t="shared" ref="V5:V36" si="0">IF(A5="","",(G5="Não")+(H5="Não")+(I5="Não")+(J5="Não")+(K5="Não")+(L5="Não")+(M5="Não")+(N5="Não")+(O5="Não")+(P5="Não")+(Q5="Não")+(R5="Não"))</f>
        <v>0</v>
      </c>
      <c r="W5" s="23" t="str">
        <f t="shared" ref="W5:W36" si="1">IF(A5="","",IF(V5=0,"Conforme","Pedir correção"))</f>
        <v>Conforme</v>
      </c>
      <c r="X5" s="10">
        <f t="shared" ref="X5:X36" si="2">IF(OR(A5="",E5=""),"",DATEDIF(E5,DataRef,"m"))</f>
        <v>7</v>
      </c>
      <c r="Y5" s="23" t="str">
        <f t="shared" ref="Y5:Y36" si="3">IF(A5="","",IF(E5=_xlfn.MAXIFS($E$5:$E$85,$B$5:$B$85,B5),"Sim","Não"))</f>
        <v>Sim</v>
      </c>
      <c r="Z5" s="23" t="str">
        <f t="shared" ref="Z5:Z36" si="4">IF(Y5="Sim",B5,"")</f>
        <v>QUI-001</v>
      </c>
      <c r="AA5" s="23" t="str">
        <f t="shared" ref="AA5:AA36" si="5">IF(A5="","",IF(Y5="Não","Substituída (conservar 10 anos)",IF(V5&gt;0,"Pedir correção ao fornecedor",IF(X5&gt;p_Meses_FDS,"Pedir confirmação (&gt; "&amp;p_Meses_FDS&amp;" meses)","OK"))))</f>
        <v>OK</v>
      </c>
    </row>
    <row r="6" spans="1:27" ht="30" customHeight="1" x14ac:dyDescent="0.3">
      <c r="A6" s="17" t="s">
        <v>712</v>
      </c>
      <c r="B6" s="17" t="s">
        <v>274</v>
      </c>
      <c r="C6" s="23" t="str">
        <f>IF(B6="","",IFERROR(INDEX(tbl_quimicos[Nome_Comercial],MATCH(B6,tbl_quimicos[ID_Quimico],0)),"ID inválido"))</f>
        <v>Tinta serigráfica UV (PET) — ensaio SS-002</v>
      </c>
      <c r="D6" s="21">
        <v>46156</v>
      </c>
      <c r="E6" s="21">
        <v>46154</v>
      </c>
      <c r="F6" s="17" t="s">
        <v>713</v>
      </c>
      <c r="G6" s="17" t="s">
        <v>263</v>
      </c>
      <c r="H6" s="17" t="s">
        <v>263</v>
      </c>
      <c r="I6" s="17" t="s">
        <v>263</v>
      </c>
      <c r="J6" s="17" t="s">
        <v>263</v>
      </c>
      <c r="K6" s="17" t="s">
        <v>263</v>
      </c>
      <c r="L6" s="17" t="s">
        <v>263</v>
      </c>
      <c r="M6" s="17" t="s">
        <v>263</v>
      </c>
      <c r="N6" s="17" t="s">
        <v>263</v>
      </c>
      <c r="O6" s="17" t="s">
        <v>263</v>
      </c>
      <c r="P6" s="17" t="s">
        <v>263</v>
      </c>
      <c r="Q6" s="17" t="s">
        <v>710</v>
      </c>
      <c r="R6" s="17" t="s">
        <v>263</v>
      </c>
      <c r="S6" s="17" t="s">
        <v>263</v>
      </c>
      <c r="T6" s="21"/>
      <c r="U6" s="17" t="s">
        <v>711</v>
      </c>
      <c r="V6" s="10">
        <f t="shared" si="0"/>
        <v>0</v>
      </c>
      <c r="W6" s="23" t="str">
        <f t="shared" si="1"/>
        <v>Conforme</v>
      </c>
      <c r="X6" s="10">
        <f t="shared" si="2"/>
        <v>7</v>
      </c>
      <c r="Y6" s="23" t="str">
        <f t="shared" si="3"/>
        <v>Sim</v>
      </c>
      <c r="Z6" s="23" t="str">
        <f t="shared" si="4"/>
        <v>QUI-002</v>
      </c>
      <c r="AA6" s="23" t="str">
        <f t="shared" si="5"/>
        <v>OK</v>
      </c>
    </row>
    <row r="7" spans="1:27" ht="30" customHeight="1" x14ac:dyDescent="0.3">
      <c r="A7" s="17" t="s">
        <v>714</v>
      </c>
      <c r="B7" s="17" t="s">
        <v>282</v>
      </c>
      <c r="C7" s="23" t="str">
        <f>IF(B7="","",IFERROR(INDEX(tbl_quimicos[Nome_Comercial],MATCH(B7,tbl_quimicos[ID_Quimico],0)),"ID inválido"))</f>
        <v>Endurecedor poli-isocianato alifático (tinta 2K)</v>
      </c>
      <c r="D7" s="21">
        <v>45910</v>
      </c>
      <c r="E7" s="21">
        <v>45897</v>
      </c>
      <c r="F7" s="17" t="s">
        <v>715</v>
      </c>
      <c r="G7" s="17" t="s">
        <v>263</v>
      </c>
      <c r="H7" s="17" t="s">
        <v>263</v>
      </c>
      <c r="I7" s="17" t="s">
        <v>263</v>
      </c>
      <c r="J7" s="17" t="s">
        <v>263</v>
      </c>
      <c r="K7" s="17" t="s">
        <v>263</v>
      </c>
      <c r="L7" s="17" t="s">
        <v>263</v>
      </c>
      <c r="M7" s="17" t="s">
        <v>263</v>
      </c>
      <c r="N7" s="17" t="s">
        <v>263</v>
      </c>
      <c r="O7" s="17" t="s">
        <v>263</v>
      </c>
      <c r="P7" s="17" t="s">
        <v>263</v>
      </c>
      <c r="Q7" s="17" t="s">
        <v>710</v>
      </c>
      <c r="R7" s="17" t="s">
        <v>263</v>
      </c>
      <c r="S7" s="17" t="s">
        <v>263</v>
      </c>
      <c r="T7" s="21"/>
      <c r="U7" s="17" t="s">
        <v>711</v>
      </c>
      <c r="V7" s="10">
        <f t="shared" si="0"/>
        <v>0</v>
      </c>
      <c r="W7" s="23" t="str">
        <f t="shared" si="1"/>
        <v>Conforme</v>
      </c>
      <c r="X7" s="10">
        <f t="shared" si="2"/>
        <v>16</v>
      </c>
      <c r="Y7" s="23" t="str">
        <f t="shared" si="3"/>
        <v>Sim</v>
      </c>
      <c r="Z7" s="23" t="str">
        <f t="shared" si="4"/>
        <v>QUI-003</v>
      </c>
      <c r="AA7" s="23" t="str">
        <f t="shared" si="5"/>
        <v>OK</v>
      </c>
    </row>
    <row r="8" spans="1:27" ht="30" customHeight="1" x14ac:dyDescent="0.3">
      <c r="A8" s="17" t="s">
        <v>716</v>
      </c>
      <c r="B8" s="17" t="s">
        <v>289</v>
      </c>
      <c r="C8" s="23" t="str">
        <f>IF(B8="","",IFERROR(INDEX(tbl_quimicos[Nome_Comercial],MATCH(B8,tbl_quimicos[ID_Quimico],0)),"ID inválido"))</f>
        <v>Diluente serigráfico (ciclo-hexanona / acetato de metoxipropilo)</v>
      </c>
      <c r="D8" s="21">
        <v>44348</v>
      </c>
      <c r="E8" s="21">
        <v>44270</v>
      </c>
      <c r="F8" s="17" t="s">
        <v>717</v>
      </c>
      <c r="G8" s="17" t="s">
        <v>263</v>
      </c>
      <c r="H8" s="17" t="s">
        <v>271</v>
      </c>
      <c r="I8" s="17" t="s">
        <v>263</v>
      </c>
      <c r="J8" s="17" t="s">
        <v>263</v>
      </c>
      <c r="K8" s="17" t="s">
        <v>263</v>
      </c>
      <c r="L8" s="17" t="s">
        <v>263</v>
      </c>
      <c r="M8" s="17" t="s">
        <v>263</v>
      </c>
      <c r="N8" s="17" t="s">
        <v>271</v>
      </c>
      <c r="O8" s="17" t="s">
        <v>271</v>
      </c>
      <c r="P8" s="17" t="s">
        <v>263</v>
      </c>
      <c r="Q8" s="17" t="s">
        <v>710</v>
      </c>
      <c r="R8" s="17" t="s">
        <v>263</v>
      </c>
      <c r="S8" s="17" t="s">
        <v>263</v>
      </c>
      <c r="T8" s="21">
        <v>46268</v>
      </c>
      <c r="U8" s="17" t="s">
        <v>711</v>
      </c>
      <c r="V8" s="10">
        <f t="shared" si="0"/>
        <v>3</v>
      </c>
      <c r="W8" s="23" t="str">
        <f t="shared" si="1"/>
        <v>Pedir correção</v>
      </c>
      <c r="X8" s="10">
        <f t="shared" si="2"/>
        <v>69</v>
      </c>
      <c r="Y8" s="23" t="str">
        <f t="shared" si="3"/>
        <v>Sim</v>
      </c>
      <c r="Z8" s="23" t="str">
        <f t="shared" si="4"/>
        <v>QUI-004</v>
      </c>
      <c r="AA8" s="23" t="str">
        <f t="shared" si="5"/>
        <v>Pedir correção ao fornecedor</v>
      </c>
    </row>
    <row r="9" spans="1:27" ht="30" customHeight="1" x14ac:dyDescent="0.3">
      <c r="A9" s="17" t="s">
        <v>718</v>
      </c>
      <c r="B9" s="17" t="s">
        <v>294</v>
      </c>
      <c r="C9" s="23" t="str">
        <f>IF(B9="","",IFERROR(INDEX(tbl_quimicos[Nome_Comercial],MATCH(B9,tbl_quimicos[ID_Quimico],0)),"ID inválido"))</f>
        <v>Retardador (acetato de 2-butoxietilo)</v>
      </c>
      <c r="D9" s="21">
        <v>44348</v>
      </c>
      <c r="E9" s="21">
        <v>44247</v>
      </c>
      <c r="F9" s="17" t="s">
        <v>719</v>
      </c>
      <c r="G9" s="17" t="s">
        <v>263</v>
      </c>
      <c r="H9" s="17" t="s">
        <v>271</v>
      </c>
      <c r="I9" s="17" t="s">
        <v>263</v>
      </c>
      <c r="J9" s="17" t="s">
        <v>263</v>
      </c>
      <c r="K9" s="17" t="s">
        <v>263</v>
      </c>
      <c r="L9" s="17" t="s">
        <v>263</v>
      </c>
      <c r="M9" s="17" t="s">
        <v>263</v>
      </c>
      <c r="N9" s="17" t="s">
        <v>271</v>
      </c>
      <c r="O9" s="17" t="s">
        <v>271</v>
      </c>
      <c r="P9" s="17" t="s">
        <v>263</v>
      </c>
      <c r="Q9" s="17" t="s">
        <v>710</v>
      </c>
      <c r="R9" s="17" t="s">
        <v>263</v>
      </c>
      <c r="S9" s="17" t="s">
        <v>263</v>
      </c>
      <c r="T9" s="21">
        <v>46268</v>
      </c>
      <c r="U9" s="17" t="s">
        <v>711</v>
      </c>
      <c r="V9" s="10">
        <f t="shared" si="0"/>
        <v>3</v>
      </c>
      <c r="W9" s="23" t="str">
        <f t="shared" si="1"/>
        <v>Pedir correção</v>
      </c>
      <c r="X9" s="10">
        <f t="shared" si="2"/>
        <v>70</v>
      </c>
      <c r="Y9" s="23" t="str">
        <f t="shared" si="3"/>
        <v>Sim</v>
      </c>
      <c r="Z9" s="23" t="str">
        <f t="shared" si="4"/>
        <v>QUI-005</v>
      </c>
      <c r="AA9" s="23" t="str">
        <f t="shared" si="5"/>
        <v>Pedir correção ao fornecedor</v>
      </c>
    </row>
    <row r="10" spans="1:27" ht="30" customHeight="1" x14ac:dyDescent="0.3">
      <c r="A10" s="17" t="s">
        <v>720</v>
      </c>
      <c r="B10" s="17" t="s">
        <v>300</v>
      </c>
      <c r="C10" s="23" t="str">
        <f>IF(B10="","",IFERROR(INDEX(tbl_quimicos[Nome_Comercial],MATCH(B10,tbl_quimicos[ID_Quimico],0)),"ID inválido"))</f>
        <v>Solvente de limpeza de ecrãs (ésteres e cetonas)</v>
      </c>
      <c r="D10" s="21">
        <v>44875</v>
      </c>
      <c r="E10" s="21">
        <v>44838</v>
      </c>
      <c r="F10" s="17" t="s">
        <v>721</v>
      </c>
      <c r="G10" s="17" t="s">
        <v>263</v>
      </c>
      <c r="H10" s="17" t="s">
        <v>271</v>
      </c>
      <c r="I10" s="17" t="s">
        <v>263</v>
      </c>
      <c r="J10" s="17" t="s">
        <v>263</v>
      </c>
      <c r="K10" s="17" t="s">
        <v>263</v>
      </c>
      <c r="L10" s="17" t="s">
        <v>263</v>
      </c>
      <c r="M10" s="17" t="s">
        <v>263</v>
      </c>
      <c r="N10" s="17" t="s">
        <v>271</v>
      </c>
      <c r="O10" s="17" t="s">
        <v>271</v>
      </c>
      <c r="P10" s="17" t="s">
        <v>263</v>
      </c>
      <c r="Q10" s="17" t="s">
        <v>263</v>
      </c>
      <c r="R10" s="17" t="s">
        <v>263</v>
      </c>
      <c r="S10" s="17" t="s">
        <v>271</v>
      </c>
      <c r="T10" s="21"/>
      <c r="U10" s="17" t="s">
        <v>711</v>
      </c>
      <c r="V10" s="10">
        <f t="shared" si="0"/>
        <v>3</v>
      </c>
      <c r="W10" s="23" t="str">
        <f t="shared" si="1"/>
        <v>Pedir correção</v>
      </c>
      <c r="X10" s="10">
        <f t="shared" si="2"/>
        <v>50</v>
      </c>
      <c r="Y10" s="23" t="str">
        <f t="shared" si="3"/>
        <v>Não</v>
      </c>
      <c r="Z10" s="23" t="str">
        <f t="shared" si="4"/>
        <v/>
      </c>
      <c r="AA10" s="23" t="str">
        <f t="shared" si="5"/>
        <v>Substituída (conservar 10 anos)</v>
      </c>
    </row>
    <row r="11" spans="1:27" ht="30" customHeight="1" x14ac:dyDescent="0.3">
      <c r="A11" s="17" t="s">
        <v>722</v>
      </c>
      <c r="B11" s="17" t="s">
        <v>300</v>
      </c>
      <c r="C11" s="23" t="str">
        <f>IF(B11="","",IFERROR(INDEX(tbl_quimicos[Nome_Comercial],MATCH(B11,tbl_quimicos[ID_Quimico],0)),"ID inválido"))</f>
        <v>Solvente de limpeza de ecrãs (ésteres e cetonas)</v>
      </c>
      <c r="D11" s="21">
        <v>46083</v>
      </c>
      <c r="E11" s="21">
        <v>46073</v>
      </c>
      <c r="F11" s="17" t="s">
        <v>715</v>
      </c>
      <c r="G11" s="17" t="s">
        <v>263</v>
      </c>
      <c r="H11" s="17" t="s">
        <v>263</v>
      </c>
      <c r="I11" s="17" t="s">
        <v>263</v>
      </c>
      <c r="J11" s="17" t="s">
        <v>263</v>
      </c>
      <c r="K11" s="17" t="s">
        <v>263</v>
      </c>
      <c r="L11" s="17" t="s">
        <v>263</v>
      </c>
      <c r="M11" s="17" t="s">
        <v>263</v>
      </c>
      <c r="N11" s="17" t="s">
        <v>263</v>
      </c>
      <c r="O11" s="17" t="s">
        <v>263</v>
      </c>
      <c r="P11" s="17" t="s">
        <v>263</v>
      </c>
      <c r="Q11" s="17" t="s">
        <v>263</v>
      </c>
      <c r="R11" s="17" t="s">
        <v>263</v>
      </c>
      <c r="S11" s="17" t="s">
        <v>263</v>
      </c>
      <c r="T11" s="21"/>
      <c r="U11" s="17" t="s">
        <v>711</v>
      </c>
      <c r="V11" s="10">
        <f t="shared" si="0"/>
        <v>0</v>
      </c>
      <c r="W11" s="23" t="str">
        <f t="shared" si="1"/>
        <v>Conforme</v>
      </c>
      <c r="X11" s="10">
        <f t="shared" si="2"/>
        <v>10</v>
      </c>
      <c r="Y11" s="23" t="str">
        <f t="shared" si="3"/>
        <v>Sim</v>
      </c>
      <c r="Z11" s="23" t="str">
        <f t="shared" si="4"/>
        <v>QUI-006</v>
      </c>
      <c r="AA11" s="23" t="str">
        <f t="shared" si="5"/>
        <v>OK</v>
      </c>
    </row>
    <row r="12" spans="1:27" ht="30" customHeight="1" x14ac:dyDescent="0.3">
      <c r="A12" s="17" t="s">
        <v>723</v>
      </c>
      <c r="B12" s="17" t="s">
        <v>308</v>
      </c>
      <c r="C12" s="23" t="str">
        <f>IF(B12="","",IFERROR(INDEX(tbl_quimicos[Nome_Comercial],MATCH(B12,tbl_quimicos[ID_Quimico],0)),"ID inválido"))</f>
        <v>Emulsão fotossensível diazo</v>
      </c>
      <c r="D12" s="21">
        <v>45749</v>
      </c>
      <c r="E12" s="21">
        <v>45727</v>
      </c>
      <c r="F12" s="17" t="s">
        <v>717</v>
      </c>
      <c r="G12" s="17" t="s">
        <v>263</v>
      </c>
      <c r="H12" s="17" t="s">
        <v>263</v>
      </c>
      <c r="I12" s="17" t="s">
        <v>263</v>
      </c>
      <c r="J12" s="17" t="s">
        <v>263</v>
      </c>
      <c r="K12" s="17" t="s">
        <v>263</v>
      </c>
      <c r="L12" s="17" t="s">
        <v>263</v>
      </c>
      <c r="M12" s="17" t="s">
        <v>263</v>
      </c>
      <c r="N12" s="17" t="s">
        <v>263</v>
      </c>
      <c r="O12" s="17" t="s">
        <v>263</v>
      </c>
      <c r="P12" s="17" t="s">
        <v>263</v>
      </c>
      <c r="Q12" s="17" t="s">
        <v>710</v>
      </c>
      <c r="R12" s="17" t="s">
        <v>263</v>
      </c>
      <c r="S12" s="17" t="s">
        <v>263</v>
      </c>
      <c r="T12" s="21"/>
      <c r="U12" s="17" t="s">
        <v>711</v>
      </c>
      <c r="V12" s="10">
        <f t="shared" si="0"/>
        <v>0</v>
      </c>
      <c r="W12" s="23" t="str">
        <f t="shared" si="1"/>
        <v>Conforme</v>
      </c>
      <c r="X12" s="10">
        <f t="shared" si="2"/>
        <v>21</v>
      </c>
      <c r="Y12" s="23" t="str">
        <f t="shared" si="3"/>
        <v>Sim</v>
      </c>
      <c r="Z12" s="23" t="str">
        <f t="shared" si="4"/>
        <v>QUI-007</v>
      </c>
      <c r="AA12" s="23" t="str">
        <f t="shared" si="5"/>
        <v>OK</v>
      </c>
    </row>
    <row r="13" spans="1:27" ht="30" customHeight="1" x14ac:dyDescent="0.3">
      <c r="A13" s="17" t="s">
        <v>724</v>
      </c>
      <c r="B13" s="17" t="s">
        <v>313</v>
      </c>
      <c r="C13" s="23" t="str">
        <f>IF(B13="","",IFERROR(INDEX(tbl_quimicos[Nome_Comercial],MATCH(B13,tbl_quimicos[ID_Quimico],0)),"ID inválido"))</f>
        <v>Removedor de emulsão (periodato de sódio &lt; 10%)</v>
      </c>
      <c r="D13" s="21">
        <v>45488</v>
      </c>
      <c r="E13" s="21">
        <v>45473</v>
      </c>
      <c r="F13" s="17" t="s">
        <v>725</v>
      </c>
      <c r="G13" s="17" t="s">
        <v>263</v>
      </c>
      <c r="H13" s="17" t="s">
        <v>263</v>
      </c>
      <c r="I13" s="17" t="s">
        <v>263</v>
      </c>
      <c r="J13" s="17" t="s">
        <v>263</v>
      </c>
      <c r="K13" s="17" t="s">
        <v>263</v>
      </c>
      <c r="L13" s="17" t="s">
        <v>263</v>
      </c>
      <c r="M13" s="17" t="s">
        <v>263</v>
      </c>
      <c r="N13" s="17" t="s">
        <v>263</v>
      </c>
      <c r="O13" s="17" t="s">
        <v>263</v>
      </c>
      <c r="P13" s="17" t="s">
        <v>263</v>
      </c>
      <c r="Q13" s="17" t="s">
        <v>710</v>
      </c>
      <c r="R13" s="17" t="s">
        <v>263</v>
      </c>
      <c r="S13" s="17" t="s">
        <v>263</v>
      </c>
      <c r="T13" s="21"/>
      <c r="U13" s="17" t="s">
        <v>711</v>
      </c>
      <c r="V13" s="10">
        <f t="shared" si="0"/>
        <v>0</v>
      </c>
      <c r="W13" s="23" t="str">
        <f t="shared" si="1"/>
        <v>Conforme</v>
      </c>
      <c r="X13" s="10">
        <f t="shared" si="2"/>
        <v>30</v>
      </c>
      <c r="Y13" s="23" t="str">
        <f t="shared" si="3"/>
        <v>Sim</v>
      </c>
      <c r="Z13" s="23" t="str">
        <f t="shared" si="4"/>
        <v>QUI-008</v>
      </c>
      <c r="AA13" s="23" t="str">
        <f t="shared" si="5"/>
        <v>OK</v>
      </c>
    </row>
    <row r="14" spans="1:27" ht="30" customHeight="1" x14ac:dyDescent="0.3">
      <c r="A14" s="17" t="s">
        <v>726</v>
      </c>
      <c r="B14" s="17" t="s">
        <v>318</v>
      </c>
      <c r="C14" s="23" t="str">
        <f>IF(B14="","",IFERROR(INDEX(tbl_quimicos[Nome_Comercial],MATCH(B14,tbl_quimicos[ID_Quimico],0)),"ID inválido"))</f>
        <v>Removedor de imagem fantasma (hidróxido de sódio 5–10%)</v>
      </c>
      <c r="D14" s="21">
        <v>45488</v>
      </c>
      <c r="E14" s="21">
        <v>45473</v>
      </c>
      <c r="F14" s="17" t="s">
        <v>725</v>
      </c>
      <c r="G14" s="17" t="s">
        <v>263</v>
      </c>
      <c r="H14" s="17" t="s">
        <v>263</v>
      </c>
      <c r="I14" s="17" t="s">
        <v>263</v>
      </c>
      <c r="J14" s="17" t="s">
        <v>263</v>
      </c>
      <c r="K14" s="17" t="s">
        <v>263</v>
      </c>
      <c r="L14" s="17" t="s">
        <v>263</v>
      </c>
      <c r="M14" s="17" t="s">
        <v>263</v>
      </c>
      <c r="N14" s="17" t="s">
        <v>263</v>
      </c>
      <c r="O14" s="17" t="s">
        <v>263</v>
      </c>
      <c r="P14" s="17" t="s">
        <v>263</v>
      </c>
      <c r="Q14" s="17" t="s">
        <v>710</v>
      </c>
      <c r="R14" s="17" t="s">
        <v>263</v>
      </c>
      <c r="S14" s="17" t="s">
        <v>263</v>
      </c>
      <c r="T14" s="21"/>
      <c r="U14" s="17" t="s">
        <v>711</v>
      </c>
      <c r="V14" s="10">
        <f t="shared" si="0"/>
        <v>0</v>
      </c>
      <c r="W14" s="23" t="str">
        <f t="shared" si="1"/>
        <v>Conforme</v>
      </c>
      <c r="X14" s="10">
        <f t="shared" si="2"/>
        <v>30</v>
      </c>
      <c r="Y14" s="23" t="str">
        <f t="shared" si="3"/>
        <v>Sim</v>
      </c>
      <c r="Z14" s="23" t="str">
        <f t="shared" si="4"/>
        <v>QUI-009</v>
      </c>
      <c r="AA14" s="23" t="str">
        <f t="shared" si="5"/>
        <v>OK</v>
      </c>
    </row>
    <row r="15" spans="1:27" ht="30" customHeight="1" x14ac:dyDescent="0.3">
      <c r="A15" s="17" t="s">
        <v>727</v>
      </c>
      <c r="B15" s="17" t="s">
        <v>322</v>
      </c>
      <c r="C15" s="23" t="str">
        <f>IF(B15="","",IFERROR(INDEX(tbl_quimicos[Nome_Comercial],MATCH(B15,tbl_quimicos[ID_Quimico],0)),"ID inválido"))</f>
        <v>Propano (flamejamento de PP/PE antes da serigrafia)</v>
      </c>
      <c r="D15" s="21">
        <v>45677</v>
      </c>
      <c r="E15" s="21">
        <v>45601</v>
      </c>
      <c r="F15" s="17" t="s">
        <v>728</v>
      </c>
      <c r="G15" s="17" t="s">
        <v>263</v>
      </c>
      <c r="H15" s="17" t="s">
        <v>263</v>
      </c>
      <c r="I15" s="17" t="s">
        <v>263</v>
      </c>
      <c r="J15" s="17" t="s">
        <v>263</v>
      </c>
      <c r="K15" s="17" t="s">
        <v>263</v>
      </c>
      <c r="L15" s="17" t="s">
        <v>263</v>
      </c>
      <c r="M15" s="17" t="s">
        <v>263</v>
      </c>
      <c r="N15" s="17" t="s">
        <v>263</v>
      </c>
      <c r="O15" s="17" t="s">
        <v>263</v>
      </c>
      <c r="P15" s="17" t="s">
        <v>263</v>
      </c>
      <c r="Q15" s="17" t="s">
        <v>263</v>
      </c>
      <c r="R15" s="17" t="s">
        <v>263</v>
      </c>
      <c r="S15" s="17" t="s">
        <v>263</v>
      </c>
      <c r="T15" s="21"/>
      <c r="U15" s="17" t="s">
        <v>711</v>
      </c>
      <c r="V15" s="10">
        <f t="shared" si="0"/>
        <v>0</v>
      </c>
      <c r="W15" s="23" t="str">
        <f t="shared" si="1"/>
        <v>Conforme</v>
      </c>
      <c r="X15" s="10">
        <f t="shared" si="2"/>
        <v>25</v>
      </c>
      <c r="Y15" s="23" t="str">
        <f t="shared" si="3"/>
        <v>Sim</v>
      </c>
      <c r="Z15" s="23" t="str">
        <f t="shared" si="4"/>
        <v>QUI-010</v>
      </c>
      <c r="AA15" s="23" t="str">
        <f t="shared" si="5"/>
        <v>OK</v>
      </c>
    </row>
    <row r="16" spans="1:27" ht="30" customHeight="1" x14ac:dyDescent="0.3">
      <c r="A16" s="17" t="s">
        <v>729</v>
      </c>
      <c r="B16" s="17" t="s">
        <v>344</v>
      </c>
      <c r="C16" s="23" t="str">
        <f>IF(B16="","",IFERROR(INDEX(tbl_quimicos[Nome_Comercial],MATCH(B16,tbl_quimicos[ID_Quimico],0)),"ID inválido"))</f>
        <v>PP homopolímero e copolímero (granulado)</v>
      </c>
      <c r="D16" s="21">
        <v>45848</v>
      </c>
      <c r="E16" s="21">
        <v>45779</v>
      </c>
      <c r="F16" s="17" t="s">
        <v>717</v>
      </c>
      <c r="G16" s="17" t="s">
        <v>263</v>
      </c>
      <c r="H16" s="17" t="s">
        <v>263</v>
      </c>
      <c r="I16" s="17" t="s">
        <v>263</v>
      </c>
      <c r="J16" s="17" t="s">
        <v>263</v>
      </c>
      <c r="K16" s="17" t="s">
        <v>263</v>
      </c>
      <c r="L16" s="17" t="s">
        <v>263</v>
      </c>
      <c r="M16" s="17" t="s">
        <v>263</v>
      </c>
      <c r="N16" s="17" t="s">
        <v>263</v>
      </c>
      <c r="O16" s="17" t="s">
        <v>263</v>
      </c>
      <c r="P16" s="17" t="s">
        <v>263</v>
      </c>
      <c r="Q16" s="17" t="s">
        <v>710</v>
      </c>
      <c r="R16" s="17" t="s">
        <v>263</v>
      </c>
      <c r="S16" s="17" t="s">
        <v>271</v>
      </c>
      <c r="T16" s="21"/>
      <c r="U16" s="17" t="s">
        <v>711</v>
      </c>
      <c r="V16" s="10">
        <f t="shared" si="0"/>
        <v>0</v>
      </c>
      <c r="W16" s="23" t="str">
        <f t="shared" si="1"/>
        <v>Conforme</v>
      </c>
      <c r="X16" s="10">
        <f t="shared" si="2"/>
        <v>19</v>
      </c>
      <c r="Y16" s="23" t="str">
        <f t="shared" si="3"/>
        <v>Sim</v>
      </c>
      <c r="Z16" s="23" t="str">
        <f t="shared" si="4"/>
        <v>QUI-012</v>
      </c>
      <c r="AA16" s="23" t="str">
        <f t="shared" si="5"/>
        <v>OK</v>
      </c>
    </row>
    <row r="17" spans="1:27" ht="30" customHeight="1" x14ac:dyDescent="0.3">
      <c r="A17" s="17" t="s">
        <v>730</v>
      </c>
      <c r="B17" s="17" t="s">
        <v>353</v>
      </c>
      <c r="C17" s="23" t="str">
        <f>IF(B17="","",IFERROR(INDEX(tbl_quimicos[Nome_Comercial],MATCH(B17,tbl_quimicos[ID_Quimico],0)),"ID inválido"))</f>
        <v>HDPE / LDPE / MDPE (granulado)</v>
      </c>
      <c r="D17" s="21">
        <v>46073</v>
      </c>
      <c r="E17" s="21">
        <v>46032</v>
      </c>
      <c r="F17" s="17" t="s">
        <v>731</v>
      </c>
      <c r="G17" s="17" t="s">
        <v>271</v>
      </c>
      <c r="H17" s="17" t="s">
        <v>263</v>
      </c>
      <c r="I17" s="17" t="s">
        <v>263</v>
      </c>
      <c r="J17" s="17" t="s">
        <v>263</v>
      </c>
      <c r="K17" s="17" t="s">
        <v>263</v>
      </c>
      <c r="L17" s="17" t="s">
        <v>263</v>
      </c>
      <c r="M17" s="17" t="s">
        <v>263</v>
      </c>
      <c r="N17" s="17" t="s">
        <v>263</v>
      </c>
      <c r="O17" s="17" t="s">
        <v>263</v>
      </c>
      <c r="P17" s="17" t="s">
        <v>263</v>
      </c>
      <c r="Q17" s="17" t="s">
        <v>710</v>
      </c>
      <c r="R17" s="17" t="s">
        <v>263</v>
      </c>
      <c r="S17" s="17" t="s">
        <v>271</v>
      </c>
      <c r="T17" s="21">
        <v>46078</v>
      </c>
      <c r="U17" s="17" t="s">
        <v>711</v>
      </c>
      <c r="V17" s="10">
        <f t="shared" si="0"/>
        <v>1</v>
      </c>
      <c r="W17" s="23" t="str">
        <f t="shared" si="1"/>
        <v>Pedir correção</v>
      </c>
      <c r="X17" s="10">
        <f t="shared" si="2"/>
        <v>11</v>
      </c>
      <c r="Y17" s="23" t="str">
        <f t="shared" si="3"/>
        <v>Sim</v>
      </c>
      <c r="Z17" s="23" t="str">
        <f t="shared" si="4"/>
        <v>QUI-013</v>
      </c>
      <c r="AA17" s="23" t="str">
        <f t="shared" si="5"/>
        <v>Pedir correção ao fornecedor</v>
      </c>
    </row>
    <row r="18" spans="1:27" ht="30" customHeight="1" x14ac:dyDescent="0.3">
      <c r="A18" s="17" t="s">
        <v>732</v>
      </c>
      <c r="B18" s="17" t="s">
        <v>361</v>
      </c>
      <c r="C18" s="23" t="str">
        <f>IF(B18="","",IFERROR(INDEX(tbl_quimicos[Nome_Comercial],MATCH(B18,tbl_quimicos[ID_Quimico],0)),"ID inválido"))</f>
        <v>PET e PETG (granulado)</v>
      </c>
      <c r="D18" s="21">
        <v>46086</v>
      </c>
      <c r="E18" s="21">
        <v>45992</v>
      </c>
      <c r="F18" s="17" t="s">
        <v>721</v>
      </c>
      <c r="G18" s="17" t="s">
        <v>263</v>
      </c>
      <c r="H18" s="17" t="s">
        <v>263</v>
      </c>
      <c r="I18" s="17" t="s">
        <v>263</v>
      </c>
      <c r="J18" s="17" t="s">
        <v>263</v>
      </c>
      <c r="K18" s="17" t="s">
        <v>263</v>
      </c>
      <c r="L18" s="17" t="s">
        <v>263</v>
      </c>
      <c r="M18" s="17" t="s">
        <v>263</v>
      </c>
      <c r="N18" s="17" t="s">
        <v>263</v>
      </c>
      <c r="O18" s="17" t="s">
        <v>263</v>
      </c>
      <c r="P18" s="17" t="s">
        <v>263</v>
      </c>
      <c r="Q18" s="17" t="s">
        <v>710</v>
      </c>
      <c r="R18" s="17" t="s">
        <v>263</v>
      </c>
      <c r="S18" s="17" t="s">
        <v>271</v>
      </c>
      <c r="T18" s="21"/>
      <c r="U18" s="17" t="s">
        <v>711</v>
      </c>
      <c r="V18" s="10">
        <f t="shared" si="0"/>
        <v>0</v>
      </c>
      <c r="W18" s="23" t="str">
        <f t="shared" si="1"/>
        <v>Conforme</v>
      </c>
      <c r="X18" s="10">
        <f t="shared" si="2"/>
        <v>12</v>
      </c>
      <c r="Y18" s="23" t="str">
        <f t="shared" si="3"/>
        <v>Sim</v>
      </c>
      <c r="Z18" s="23" t="str">
        <f t="shared" si="4"/>
        <v>QUI-014</v>
      </c>
      <c r="AA18" s="23" t="str">
        <f t="shared" si="5"/>
        <v>OK</v>
      </c>
    </row>
    <row r="19" spans="1:27" ht="30" customHeight="1" x14ac:dyDescent="0.3">
      <c r="A19" s="17" t="s">
        <v>733</v>
      </c>
      <c r="B19" s="17" t="s">
        <v>367</v>
      </c>
      <c r="C19" s="23" t="str">
        <f>IF(B19="","",IFERROR(INDEX(tbl_quimicos[Nome_Comercial],MATCH(B19,tbl_quimicos[ID_Quimico],0)),"ID inválido"))</f>
        <v>HDPE-PCR e rPET (reciclado pós-consumo)</v>
      </c>
      <c r="D19" s="21">
        <v>45672</v>
      </c>
      <c r="E19" s="21">
        <v>45638</v>
      </c>
      <c r="F19" s="17" t="s">
        <v>725</v>
      </c>
      <c r="G19" s="17" t="s">
        <v>263</v>
      </c>
      <c r="H19" s="17" t="s">
        <v>263</v>
      </c>
      <c r="I19" s="17" t="s">
        <v>263</v>
      </c>
      <c r="J19" s="17" t="s">
        <v>263</v>
      </c>
      <c r="K19" s="17" t="s">
        <v>263</v>
      </c>
      <c r="L19" s="17" t="s">
        <v>263</v>
      </c>
      <c r="M19" s="17" t="s">
        <v>263</v>
      </c>
      <c r="N19" s="17" t="s">
        <v>263</v>
      </c>
      <c r="O19" s="17" t="s">
        <v>263</v>
      </c>
      <c r="P19" s="17" t="s">
        <v>263</v>
      </c>
      <c r="Q19" s="17" t="s">
        <v>710</v>
      </c>
      <c r="R19" s="17" t="s">
        <v>271</v>
      </c>
      <c r="S19" s="17" t="s">
        <v>271</v>
      </c>
      <c r="T19" s="21">
        <v>46223</v>
      </c>
      <c r="U19" s="17" t="s">
        <v>711</v>
      </c>
      <c r="V19" s="10">
        <f t="shared" si="0"/>
        <v>1</v>
      </c>
      <c r="W19" s="23" t="str">
        <f t="shared" si="1"/>
        <v>Pedir correção</v>
      </c>
      <c r="X19" s="10">
        <f t="shared" si="2"/>
        <v>24</v>
      </c>
      <c r="Y19" s="23" t="str">
        <f t="shared" si="3"/>
        <v>Sim</v>
      </c>
      <c r="Z19" s="23" t="str">
        <f t="shared" si="4"/>
        <v>QUI-015</v>
      </c>
      <c r="AA19" s="23" t="str">
        <f t="shared" si="5"/>
        <v>Pedir correção ao fornecedor</v>
      </c>
    </row>
    <row r="20" spans="1:27" ht="30" customHeight="1" x14ac:dyDescent="0.3">
      <c r="A20" s="17" t="s">
        <v>734</v>
      </c>
      <c r="B20" s="17" t="s">
        <v>383</v>
      </c>
      <c r="C20" s="23" t="str">
        <f>IF(B20="","",IFERROR(INDEX(tbl_quimicos[Nome_Comercial],MATCH(B20,tbl_quimicos[ID_Quimico],0)),"ID inválido"))</f>
        <v>HDPE e PET (granulado)</v>
      </c>
      <c r="D20" s="21">
        <v>46081</v>
      </c>
      <c r="E20" s="21">
        <v>46037</v>
      </c>
      <c r="F20" s="17" t="s">
        <v>715</v>
      </c>
      <c r="G20" s="17" t="s">
        <v>263</v>
      </c>
      <c r="H20" s="17" t="s">
        <v>263</v>
      </c>
      <c r="I20" s="17" t="s">
        <v>263</v>
      </c>
      <c r="J20" s="17" t="s">
        <v>263</v>
      </c>
      <c r="K20" s="17" t="s">
        <v>263</v>
      </c>
      <c r="L20" s="17" t="s">
        <v>263</v>
      </c>
      <c r="M20" s="17" t="s">
        <v>263</v>
      </c>
      <c r="N20" s="17" t="s">
        <v>263</v>
      </c>
      <c r="O20" s="17" t="s">
        <v>263</v>
      </c>
      <c r="P20" s="17" t="s">
        <v>263</v>
      </c>
      <c r="Q20" s="17" t="s">
        <v>710</v>
      </c>
      <c r="R20" s="17" t="s">
        <v>263</v>
      </c>
      <c r="S20" s="17" t="s">
        <v>271</v>
      </c>
      <c r="T20" s="21"/>
      <c r="U20" s="17" t="s">
        <v>711</v>
      </c>
      <c r="V20" s="10">
        <f t="shared" si="0"/>
        <v>0</v>
      </c>
      <c r="W20" s="23" t="str">
        <f t="shared" si="1"/>
        <v>Conforme</v>
      </c>
      <c r="X20" s="10">
        <f t="shared" si="2"/>
        <v>11</v>
      </c>
      <c r="Y20" s="23" t="str">
        <f t="shared" si="3"/>
        <v>Sim</v>
      </c>
      <c r="Z20" s="23" t="str">
        <f t="shared" si="4"/>
        <v>QUI-017</v>
      </c>
      <c r="AA20" s="23" t="str">
        <f t="shared" si="5"/>
        <v>OK</v>
      </c>
    </row>
    <row r="21" spans="1:27" ht="30" customHeight="1" x14ac:dyDescent="0.3">
      <c r="A21" s="17" t="s">
        <v>735</v>
      </c>
      <c r="B21" s="17" t="s">
        <v>389</v>
      </c>
      <c r="C21" s="23" t="str">
        <f>IF(B21="","",IFERROR(INDEX(tbl_quimicos[Nome_Comercial],MATCH(B21,tbl_quimicos[ID_Quimico],0)),"ID inválido"))</f>
        <v>PP, HDPE e LDPE (granulado)</v>
      </c>
      <c r="D21" s="21">
        <v>45901</v>
      </c>
      <c r="E21" s="21">
        <v>45838</v>
      </c>
      <c r="F21" s="17" t="s">
        <v>717</v>
      </c>
      <c r="G21" s="17" t="s">
        <v>263</v>
      </c>
      <c r="H21" s="17" t="s">
        <v>263</v>
      </c>
      <c r="I21" s="17" t="s">
        <v>263</v>
      </c>
      <c r="J21" s="17" t="s">
        <v>263</v>
      </c>
      <c r="K21" s="17" t="s">
        <v>263</v>
      </c>
      <c r="L21" s="17" t="s">
        <v>263</v>
      </c>
      <c r="M21" s="17" t="s">
        <v>263</v>
      </c>
      <c r="N21" s="17" t="s">
        <v>263</v>
      </c>
      <c r="O21" s="17" t="s">
        <v>263</v>
      </c>
      <c r="P21" s="17" t="s">
        <v>263</v>
      </c>
      <c r="Q21" s="17" t="s">
        <v>710</v>
      </c>
      <c r="R21" s="17" t="s">
        <v>263</v>
      </c>
      <c r="S21" s="17" t="s">
        <v>271</v>
      </c>
      <c r="T21" s="21"/>
      <c r="U21" s="17" t="s">
        <v>711</v>
      </c>
      <c r="V21" s="10">
        <f t="shared" si="0"/>
        <v>0</v>
      </c>
      <c r="W21" s="23" t="str">
        <f t="shared" si="1"/>
        <v>Conforme</v>
      </c>
      <c r="X21" s="10">
        <f t="shared" si="2"/>
        <v>18</v>
      </c>
      <c r="Y21" s="23" t="str">
        <f t="shared" si="3"/>
        <v>Sim</v>
      </c>
      <c r="Z21" s="23" t="str">
        <f t="shared" si="4"/>
        <v>QUI-018</v>
      </c>
      <c r="AA21" s="23" t="str">
        <f t="shared" si="5"/>
        <v>OK</v>
      </c>
    </row>
    <row r="22" spans="1:27" ht="30" customHeight="1" x14ac:dyDescent="0.3">
      <c r="A22" s="17" t="s">
        <v>736</v>
      </c>
      <c r="B22" s="17" t="s">
        <v>395</v>
      </c>
      <c r="C22" s="23" t="str">
        <f>IF(B22="","",IFERROR(INDEX(tbl_quimicos[Nome_Comercial],MATCH(B22,tbl_quimicos[ID_Quimico],0)),"ID inválido"))</f>
        <v>PP-PG e PET-PG (grau farmacêutico)</v>
      </c>
      <c r="D22" s="21">
        <v>46101</v>
      </c>
      <c r="E22" s="21">
        <v>46063</v>
      </c>
      <c r="F22" s="17" t="s">
        <v>725</v>
      </c>
      <c r="G22" s="17" t="s">
        <v>263</v>
      </c>
      <c r="H22" s="17" t="s">
        <v>263</v>
      </c>
      <c r="I22" s="17" t="s">
        <v>263</v>
      </c>
      <c r="J22" s="17" t="s">
        <v>263</v>
      </c>
      <c r="K22" s="17" t="s">
        <v>263</v>
      </c>
      <c r="L22" s="17" t="s">
        <v>263</v>
      </c>
      <c r="M22" s="17" t="s">
        <v>263</v>
      </c>
      <c r="N22" s="17" t="s">
        <v>263</v>
      </c>
      <c r="O22" s="17" t="s">
        <v>263</v>
      </c>
      <c r="P22" s="17" t="s">
        <v>263</v>
      </c>
      <c r="Q22" s="17" t="s">
        <v>710</v>
      </c>
      <c r="R22" s="17" t="s">
        <v>263</v>
      </c>
      <c r="S22" s="17" t="s">
        <v>271</v>
      </c>
      <c r="T22" s="21"/>
      <c r="U22" s="17" t="s">
        <v>711</v>
      </c>
      <c r="V22" s="10">
        <f t="shared" si="0"/>
        <v>0</v>
      </c>
      <c r="W22" s="23" t="str">
        <f t="shared" si="1"/>
        <v>Conforme</v>
      </c>
      <c r="X22" s="10">
        <f t="shared" si="2"/>
        <v>10</v>
      </c>
      <c r="Y22" s="23" t="str">
        <f t="shared" si="3"/>
        <v>Sim</v>
      </c>
      <c r="Z22" s="23" t="str">
        <f t="shared" si="4"/>
        <v>QUI-019</v>
      </c>
      <c r="AA22" s="23" t="str">
        <f t="shared" si="5"/>
        <v>OK</v>
      </c>
    </row>
    <row r="23" spans="1:27" ht="30" customHeight="1" x14ac:dyDescent="0.3">
      <c r="A23" s="17" t="s">
        <v>737</v>
      </c>
      <c r="B23" s="17" t="s">
        <v>401</v>
      </c>
      <c r="C23" s="23" t="str">
        <f>IF(B23="","",IFERROR(INDEX(tbl_quimicos[Nome_Comercial],MATCH(B23,tbl_quimicos[ID_Quimico],0)),"ID inválido"))</f>
        <v>HDPE-FG e PP-FG (grau alimentar)</v>
      </c>
      <c r="D23" s="21">
        <v>46204</v>
      </c>
      <c r="E23" s="21">
        <v>46188</v>
      </c>
      <c r="F23" s="17" t="s">
        <v>717</v>
      </c>
      <c r="G23" s="17" t="s">
        <v>263</v>
      </c>
      <c r="H23" s="17" t="s">
        <v>263</v>
      </c>
      <c r="I23" s="17" t="s">
        <v>263</v>
      </c>
      <c r="J23" s="17" t="s">
        <v>263</v>
      </c>
      <c r="K23" s="17" t="s">
        <v>263</v>
      </c>
      <c r="L23" s="17" t="s">
        <v>263</v>
      </c>
      <c r="M23" s="17" t="s">
        <v>263</v>
      </c>
      <c r="N23" s="17" t="s">
        <v>263</v>
      </c>
      <c r="O23" s="17" t="s">
        <v>263</v>
      </c>
      <c r="P23" s="17" t="s">
        <v>263</v>
      </c>
      <c r="Q23" s="17" t="s">
        <v>710</v>
      </c>
      <c r="R23" s="17" t="s">
        <v>263</v>
      </c>
      <c r="S23" s="17" t="s">
        <v>271</v>
      </c>
      <c r="T23" s="21"/>
      <c r="U23" s="17" t="s">
        <v>711</v>
      </c>
      <c r="V23" s="10">
        <f t="shared" si="0"/>
        <v>0</v>
      </c>
      <c r="W23" s="23" t="str">
        <f t="shared" si="1"/>
        <v>Conforme</v>
      </c>
      <c r="X23" s="10">
        <f t="shared" si="2"/>
        <v>6</v>
      </c>
      <c r="Y23" s="23" t="str">
        <f t="shared" si="3"/>
        <v>Sim</v>
      </c>
      <c r="Z23" s="23" t="str">
        <f t="shared" si="4"/>
        <v>QUI-020</v>
      </c>
      <c r="AA23" s="23" t="str">
        <f t="shared" si="5"/>
        <v>OK</v>
      </c>
    </row>
    <row r="24" spans="1:27" ht="30" customHeight="1" x14ac:dyDescent="0.3">
      <c r="A24" s="17" t="s">
        <v>738</v>
      </c>
      <c r="B24" s="17" t="s">
        <v>406</v>
      </c>
      <c r="C24" s="23" t="str">
        <f>IF(B24="","",IFERROR(INDEX(tbl_quimicos[Nome_Comercial],MATCH(B24,tbl_quimicos[ID_Quimico],0)),"ID inválido"))</f>
        <v>Masterbatch de cor (pigmentos em PE/PP)</v>
      </c>
      <c r="D24" s="21">
        <v>46042</v>
      </c>
      <c r="E24" s="21">
        <v>46009</v>
      </c>
      <c r="F24" s="17" t="s">
        <v>739</v>
      </c>
      <c r="G24" s="17" t="s">
        <v>263</v>
      </c>
      <c r="H24" s="17" t="s">
        <v>263</v>
      </c>
      <c r="I24" s="17" t="s">
        <v>263</v>
      </c>
      <c r="J24" s="17" t="s">
        <v>263</v>
      </c>
      <c r="K24" s="17" t="s">
        <v>263</v>
      </c>
      <c r="L24" s="17" t="s">
        <v>263</v>
      </c>
      <c r="M24" s="17" t="s">
        <v>263</v>
      </c>
      <c r="N24" s="17" t="s">
        <v>263</v>
      </c>
      <c r="O24" s="17" t="s">
        <v>263</v>
      </c>
      <c r="P24" s="17" t="s">
        <v>263</v>
      </c>
      <c r="Q24" s="17" t="s">
        <v>710</v>
      </c>
      <c r="R24" s="17" t="s">
        <v>263</v>
      </c>
      <c r="S24" s="17" t="s">
        <v>271</v>
      </c>
      <c r="T24" s="21"/>
      <c r="U24" s="17" t="s">
        <v>711</v>
      </c>
      <c r="V24" s="10">
        <f t="shared" si="0"/>
        <v>0</v>
      </c>
      <c r="W24" s="23" t="str">
        <f t="shared" si="1"/>
        <v>Conforme</v>
      </c>
      <c r="X24" s="10">
        <f t="shared" si="2"/>
        <v>12</v>
      </c>
      <c r="Y24" s="23" t="str">
        <f t="shared" si="3"/>
        <v>Sim</v>
      </c>
      <c r="Z24" s="23" t="str">
        <f t="shared" si="4"/>
        <v>QUI-021</v>
      </c>
      <c r="AA24" s="23" t="str">
        <f t="shared" si="5"/>
        <v>OK</v>
      </c>
    </row>
    <row r="25" spans="1:27" ht="30" customHeight="1" x14ac:dyDescent="0.3">
      <c r="A25" s="17" t="s">
        <v>740</v>
      </c>
      <c r="B25" s="17" t="s">
        <v>411</v>
      </c>
      <c r="C25" s="23" t="str">
        <f>IF(B25="","",IFERROR(INDEX(tbl_quimicos[Nome_Comercial],MATCH(B25,tbl_quimicos[ID_Quimico],0)),"ID inválido"))</f>
        <v>Masterbatch aditivo deslizante / antiestático</v>
      </c>
      <c r="D25" s="21">
        <v>43709</v>
      </c>
      <c r="E25" s="21">
        <v>43628</v>
      </c>
      <c r="F25" s="17" t="s">
        <v>741</v>
      </c>
      <c r="G25" s="17" t="s">
        <v>263</v>
      </c>
      <c r="H25" s="17" t="s">
        <v>271</v>
      </c>
      <c r="I25" s="17" t="s">
        <v>263</v>
      </c>
      <c r="J25" s="17" t="s">
        <v>263</v>
      </c>
      <c r="K25" s="17" t="s">
        <v>263</v>
      </c>
      <c r="L25" s="17" t="s">
        <v>271</v>
      </c>
      <c r="M25" s="17" t="s">
        <v>263</v>
      </c>
      <c r="N25" s="17" t="s">
        <v>271</v>
      </c>
      <c r="O25" s="17" t="s">
        <v>271</v>
      </c>
      <c r="P25" s="17" t="s">
        <v>263</v>
      </c>
      <c r="Q25" s="17" t="s">
        <v>710</v>
      </c>
      <c r="R25" s="17" t="s">
        <v>271</v>
      </c>
      <c r="S25" s="17" t="s">
        <v>271</v>
      </c>
      <c r="T25" s="21">
        <v>46275</v>
      </c>
      <c r="U25" s="17" t="s">
        <v>711</v>
      </c>
      <c r="V25" s="10">
        <f t="shared" si="0"/>
        <v>5</v>
      </c>
      <c r="W25" s="23" t="str">
        <f t="shared" si="1"/>
        <v>Pedir correção</v>
      </c>
      <c r="X25" s="10">
        <f t="shared" si="2"/>
        <v>90</v>
      </c>
      <c r="Y25" s="23" t="str">
        <f t="shared" si="3"/>
        <v>Sim</v>
      </c>
      <c r="Z25" s="23" t="str">
        <f t="shared" si="4"/>
        <v>QUI-022</v>
      </c>
      <c r="AA25" s="23" t="str">
        <f t="shared" si="5"/>
        <v>Pedir correção ao fornecedor</v>
      </c>
    </row>
    <row r="26" spans="1:27" ht="30" customHeight="1" x14ac:dyDescent="0.3">
      <c r="A26" s="17" t="s">
        <v>742</v>
      </c>
      <c r="B26" s="17" t="s">
        <v>414</v>
      </c>
      <c r="C26" s="23" t="str">
        <f>IF(B26="","",IFERROR(INDEX(tbl_quimicos[Nome_Comercial],MATCH(B26,tbl_quimicos[ID_Quimico],0)),"ID inválido"))</f>
        <v>Masterbatch absorvedor UV (benzotriazol UV-329)</v>
      </c>
      <c r="D26" s="21">
        <v>46124</v>
      </c>
      <c r="E26" s="21">
        <v>46111</v>
      </c>
      <c r="F26" s="17" t="s">
        <v>741</v>
      </c>
      <c r="G26" s="17" t="s">
        <v>263</v>
      </c>
      <c r="H26" s="17" t="s">
        <v>263</v>
      </c>
      <c r="I26" s="17" t="s">
        <v>263</v>
      </c>
      <c r="J26" s="17" t="s">
        <v>263</v>
      </c>
      <c r="K26" s="17" t="s">
        <v>263</v>
      </c>
      <c r="L26" s="17" t="s">
        <v>263</v>
      </c>
      <c r="M26" s="17" t="s">
        <v>263</v>
      </c>
      <c r="N26" s="17" t="s">
        <v>263</v>
      </c>
      <c r="O26" s="17" t="s">
        <v>263</v>
      </c>
      <c r="P26" s="17" t="s">
        <v>263</v>
      </c>
      <c r="Q26" s="17" t="s">
        <v>710</v>
      </c>
      <c r="R26" s="17" t="s">
        <v>263</v>
      </c>
      <c r="S26" s="17" t="s">
        <v>271</v>
      </c>
      <c r="T26" s="21"/>
      <c r="U26" s="17" t="s">
        <v>711</v>
      </c>
      <c r="V26" s="10">
        <f t="shared" si="0"/>
        <v>0</v>
      </c>
      <c r="W26" s="23" t="str">
        <f t="shared" si="1"/>
        <v>Conforme</v>
      </c>
      <c r="X26" s="10">
        <f t="shared" si="2"/>
        <v>9</v>
      </c>
      <c r="Y26" s="23" t="str">
        <f t="shared" si="3"/>
        <v>Sim</v>
      </c>
      <c r="Z26" s="23" t="str">
        <f t="shared" si="4"/>
        <v>QUI-023</v>
      </c>
      <c r="AA26" s="23" t="str">
        <f t="shared" si="5"/>
        <v>OK</v>
      </c>
    </row>
    <row r="27" spans="1:27" ht="30" customHeight="1" x14ac:dyDescent="0.3">
      <c r="A27" s="17" t="s">
        <v>743</v>
      </c>
      <c r="B27" s="17" t="s">
        <v>417</v>
      </c>
      <c r="C27" s="23" t="str">
        <f>IF(B27="","",IFERROR(INDEX(tbl_quimicos[Nome_Comercial],MATCH(B27,tbl_quimicos[ID_Quimico],0)),"ID inválido"))</f>
        <v>Spray desmoldante de silicone</v>
      </c>
      <c r="D27" s="21">
        <v>45332</v>
      </c>
      <c r="E27" s="21">
        <v>45250</v>
      </c>
      <c r="F27" s="17" t="s">
        <v>731</v>
      </c>
      <c r="G27" s="17" t="s">
        <v>263</v>
      </c>
      <c r="H27" s="17" t="s">
        <v>263</v>
      </c>
      <c r="I27" s="17" t="s">
        <v>263</v>
      </c>
      <c r="J27" s="17" t="s">
        <v>263</v>
      </c>
      <c r="K27" s="17" t="s">
        <v>263</v>
      </c>
      <c r="L27" s="17" t="s">
        <v>271</v>
      </c>
      <c r="M27" s="17" t="s">
        <v>263</v>
      </c>
      <c r="N27" s="17" t="s">
        <v>263</v>
      </c>
      <c r="O27" s="17" t="s">
        <v>263</v>
      </c>
      <c r="P27" s="17" t="s">
        <v>263</v>
      </c>
      <c r="Q27" s="17" t="s">
        <v>710</v>
      </c>
      <c r="R27" s="17" t="s">
        <v>263</v>
      </c>
      <c r="S27" s="17" t="s">
        <v>263</v>
      </c>
      <c r="T27" s="21">
        <v>46275</v>
      </c>
      <c r="U27" s="17" t="s">
        <v>711</v>
      </c>
      <c r="V27" s="10">
        <f t="shared" si="0"/>
        <v>1</v>
      </c>
      <c r="W27" s="23" t="str">
        <f t="shared" si="1"/>
        <v>Pedir correção</v>
      </c>
      <c r="X27" s="10">
        <f t="shared" si="2"/>
        <v>37</v>
      </c>
      <c r="Y27" s="23" t="str">
        <f t="shared" si="3"/>
        <v>Sim</v>
      </c>
      <c r="Z27" s="23" t="str">
        <f t="shared" si="4"/>
        <v>QUI-024</v>
      </c>
      <c r="AA27" s="23" t="str">
        <f t="shared" si="5"/>
        <v>Pedir correção ao fornecedor</v>
      </c>
    </row>
    <row r="28" spans="1:27" ht="30" customHeight="1" x14ac:dyDescent="0.3">
      <c r="A28" s="17" t="s">
        <v>744</v>
      </c>
      <c r="B28" s="17" t="s">
        <v>429</v>
      </c>
      <c r="C28" s="23" t="str">
        <f>IF(B28="","",IFERROR(INDEX(tbl_quimicos[Nome_Comercial],MATCH(B28,tbl_quimicos[ID_Quimico],0)),"ID inválido"))</f>
        <v>Spray antioxidante para moldes</v>
      </c>
      <c r="D28" s="21">
        <v>45332</v>
      </c>
      <c r="E28" s="21">
        <v>45250</v>
      </c>
      <c r="F28" s="17" t="s">
        <v>721</v>
      </c>
      <c r="G28" s="17" t="s">
        <v>263</v>
      </c>
      <c r="H28" s="17" t="s">
        <v>263</v>
      </c>
      <c r="I28" s="17" t="s">
        <v>263</v>
      </c>
      <c r="J28" s="17" t="s">
        <v>263</v>
      </c>
      <c r="K28" s="17" t="s">
        <v>263</v>
      </c>
      <c r="L28" s="17" t="s">
        <v>263</v>
      </c>
      <c r="M28" s="17" t="s">
        <v>263</v>
      </c>
      <c r="N28" s="17" t="s">
        <v>263</v>
      </c>
      <c r="O28" s="17" t="s">
        <v>263</v>
      </c>
      <c r="P28" s="17" t="s">
        <v>263</v>
      </c>
      <c r="Q28" s="17" t="s">
        <v>710</v>
      </c>
      <c r="R28" s="17" t="s">
        <v>263</v>
      </c>
      <c r="S28" s="17" t="s">
        <v>263</v>
      </c>
      <c r="T28" s="21"/>
      <c r="U28" s="17" t="s">
        <v>711</v>
      </c>
      <c r="V28" s="10">
        <f t="shared" si="0"/>
        <v>0</v>
      </c>
      <c r="W28" s="23" t="str">
        <f t="shared" si="1"/>
        <v>Conforme</v>
      </c>
      <c r="X28" s="10">
        <f t="shared" si="2"/>
        <v>37</v>
      </c>
      <c r="Y28" s="23" t="str">
        <f t="shared" si="3"/>
        <v>Sim</v>
      </c>
      <c r="Z28" s="23" t="str">
        <f t="shared" si="4"/>
        <v>QUI-025</v>
      </c>
      <c r="AA28" s="23" t="str">
        <f t="shared" si="5"/>
        <v>Pedir confirmação (&gt; 36 meses)</v>
      </c>
    </row>
    <row r="29" spans="1:27" ht="30" customHeight="1" x14ac:dyDescent="0.3">
      <c r="A29" s="17" t="s">
        <v>745</v>
      </c>
      <c r="B29" s="17" t="s">
        <v>435</v>
      </c>
      <c r="C29" s="23" t="str">
        <f>IF(B29="","",IFERROR(INDEX(tbl_quimicos[Nome_Comercial],MATCH(B29,tbl_quimicos[ID_Quimico],0)),"ID inválido"))</f>
        <v>Limpa-moldes desengordurante em aerossol (contém n-hexano)</v>
      </c>
      <c r="D29" s="21">
        <v>46099</v>
      </c>
      <c r="E29" s="21">
        <v>46082</v>
      </c>
      <c r="F29" s="17" t="s">
        <v>709</v>
      </c>
      <c r="G29" s="17" t="s">
        <v>263</v>
      </c>
      <c r="H29" s="17" t="s">
        <v>263</v>
      </c>
      <c r="I29" s="17" t="s">
        <v>263</v>
      </c>
      <c r="J29" s="17" t="s">
        <v>263</v>
      </c>
      <c r="K29" s="17" t="s">
        <v>263</v>
      </c>
      <c r="L29" s="17" t="s">
        <v>263</v>
      </c>
      <c r="M29" s="17" t="s">
        <v>263</v>
      </c>
      <c r="N29" s="17" t="s">
        <v>263</v>
      </c>
      <c r="O29" s="17" t="s">
        <v>263</v>
      </c>
      <c r="P29" s="17" t="s">
        <v>263</v>
      </c>
      <c r="Q29" s="17" t="s">
        <v>710</v>
      </c>
      <c r="R29" s="17" t="s">
        <v>263</v>
      </c>
      <c r="S29" s="17" t="s">
        <v>263</v>
      </c>
      <c r="T29" s="21"/>
      <c r="U29" s="17" t="s">
        <v>711</v>
      </c>
      <c r="V29" s="10">
        <f t="shared" si="0"/>
        <v>0</v>
      </c>
      <c r="W29" s="23" t="str">
        <f t="shared" si="1"/>
        <v>Conforme</v>
      </c>
      <c r="X29" s="10">
        <f t="shared" si="2"/>
        <v>9</v>
      </c>
      <c r="Y29" s="23" t="str">
        <f t="shared" si="3"/>
        <v>Sim</v>
      </c>
      <c r="Z29" s="23" t="str">
        <f t="shared" si="4"/>
        <v>QUI-026</v>
      </c>
      <c r="AA29" s="23" t="str">
        <f t="shared" si="5"/>
        <v>OK</v>
      </c>
    </row>
    <row r="30" spans="1:27" ht="30" customHeight="1" x14ac:dyDescent="0.3">
      <c r="A30" s="17" t="s">
        <v>746</v>
      </c>
      <c r="B30" s="17" t="s">
        <v>440</v>
      </c>
      <c r="C30" s="23" t="str">
        <f>IF(B30="","",IFERROR(INDEX(tbl_quimicos[Nome_Comercial],MATCH(B30,tbl_quimicos[ID_Quimico],0)),"ID inválido"))</f>
        <v>Óleo hidráulico mineral ISO VG 46</v>
      </c>
      <c r="D30" s="21">
        <v>45931</v>
      </c>
      <c r="E30" s="21">
        <v>45912</v>
      </c>
      <c r="F30" s="17" t="s">
        <v>715</v>
      </c>
      <c r="G30" s="17" t="s">
        <v>263</v>
      </c>
      <c r="H30" s="17" t="s">
        <v>263</v>
      </c>
      <c r="I30" s="17" t="s">
        <v>263</v>
      </c>
      <c r="J30" s="17" t="s">
        <v>263</v>
      </c>
      <c r="K30" s="17" t="s">
        <v>263</v>
      </c>
      <c r="L30" s="17" t="s">
        <v>263</v>
      </c>
      <c r="M30" s="17" t="s">
        <v>263</v>
      </c>
      <c r="N30" s="17" t="s">
        <v>263</v>
      </c>
      <c r="O30" s="17" t="s">
        <v>263</v>
      </c>
      <c r="P30" s="17" t="s">
        <v>263</v>
      </c>
      <c r="Q30" s="17" t="s">
        <v>710</v>
      </c>
      <c r="R30" s="17" t="s">
        <v>263</v>
      </c>
      <c r="S30" s="17" t="s">
        <v>263</v>
      </c>
      <c r="T30" s="21"/>
      <c r="U30" s="17" t="s">
        <v>711</v>
      </c>
      <c r="V30" s="10">
        <f t="shared" si="0"/>
        <v>0</v>
      </c>
      <c r="W30" s="23" t="str">
        <f t="shared" si="1"/>
        <v>Conforme</v>
      </c>
      <c r="X30" s="10">
        <f t="shared" si="2"/>
        <v>15</v>
      </c>
      <c r="Y30" s="23" t="str">
        <f t="shared" si="3"/>
        <v>Sim</v>
      </c>
      <c r="Z30" s="23" t="str">
        <f t="shared" si="4"/>
        <v>QUI-027</v>
      </c>
      <c r="AA30" s="23" t="str">
        <f t="shared" si="5"/>
        <v>OK</v>
      </c>
    </row>
    <row r="31" spans="1:27" ht="30" customHeight="1" x14ac:dyDescent="0.3">
      <c r="A31" s="17" t="s">
        <v>747</v>
      </c>
      <c r="B31" s="17" t="s">
        <v>445</v>
      </c>
      <c r="C31" s="23" t="str">
        <f>IF(B31="","",IFERROR(INDEX(tbl_quimicos[Nome_Comercial],MATCH(B31,tbl_quimicos[ID_Quimico],0)),"ID inválido"))</f>
        <v>Óleo de compressor sintético</v>
      </c>
      <c r="D31" s="21">
        <v>46055</v>
      </c>
      <c r="E31" s="21">
        <v>45991</v>
      </c>
      <c r="F31" s="17" t="s">
        <v>725</v>
      </c>
      <c r="G31" s="17" t="s">
        <v>263</v>
      </c>
      <c r="H31" s="17" t="s">
        <v>263</v>
      </c>
      <c r="I31" s="17" t="s">
        <v>263</v>
      </c>
      <c r="J31" s="17" t="s">
        <v>263</v>
      </c>
      <c r="K31" s="17" t="s">
        <v>263</v>
      </c>
      <c r="L31" s="17" t="s">
        <v>263</v>
      </c>
      <c r="M31" s="17" t="s">
        <v>263</v>
      </c>
      <c r="N31" s="17" t="s">
        <v>263</v>
      </c>
      <c r="O31" s="17" t="s">
        <v>263</v>
      </c>
      <c r="P31" s="17" t="s">
        <v>263</v>
      </c>
      <c r="Q31" s="17" t="s">
        <v>710</v>
      </c>
      <c r="R31" s="17" t="s">
        <v>263</v>
      </c>
      <c r="S31" s="17" t="s">
        <v>263</v>
      </c>
      <c r="T31" s="21"/>
      <c r="U31" s="17" t="s">
        <v>711</v>
      </c>
      <c r="V31" s="10">
        <f t="shared" si="0"/>
        <v>0</v>
      </c>
      <c r="W31" s="23" t="str">
        <f t="shared" si="1"/>
        <v>Conforme</v>
      </c>
      <c r="X31" s="10">
        <f t="shared" si="2"/>
        <v>13</v>
      </c>
      <c r="Y31" s="23" t="str">
        <f t="shared" si="3"/>
        <v>Sim</v>
      </c>
      <c r="Z31" s="23" t="str">
        <f t="shared" si="4"/>
        <v>QUI-028</v>
      </c>
      <c r="AA31" s="23" t="str">
        <f t="shared" si="5"/>
        <v>OK</v>
      </c>
    </row>
    <row r="32" spans="1:27" ht="30" customHeight="1" x14ac:dyDescent="0.3">
      <c r="A32" s="17" t="s">
        <v>748</v>
      </c>
      <c r="B32" s="17" t="s">
        <v>450</v>
      </c>
      <c r="C32" s="23" t="str">
        <f>IF(B32="","",IFERROR(INDEX(tbl_quimicos[Nome_Comercial],MATCH(B32,tbl_quimicos[ID_Quimico],0)),"ID inválido"))</f>
        <v>Fluido de arrefecimento (monoetilenoglicol 30–50%)</v>
      </c>
      <c r="D32" s="21">
        <v>45719</v>
      </c>
      <c r="E32" s="21">
        <v>45677</v>
      </c>
      <c r="F32" s="17" t="s">
        <v>721</v>
      </c>
      <c r="G32" s="17" t="s">
        <v>263</v>
      </c>
      <c r="H32" s="17" t="s">
        <v>263</v>
      </c>
      <c r="I32" s="17" t="s">
        <v>263</v>
      </c>
      <c r="J32" s="17" t="s">
        <v>263</v>
      </c>
      <c r="K32" s="17" t="s">
        <v>263</v>
      </c>
      <c r="L32" s="17" t="s">
        <v>263</v>
      </c>
      <c r="M32" s="17" t="s">
        <v>263</v>
      </c>
      <c r="N32" s="17" t="s">
        <v>263</v>
      </c>
      <c r="O32" s="17" t="s">
        <v>263</v>
      </c>
      <c r="P32" s="17" t="s">
        <v>263</v>
      </c>
      <c r="Q32" s="17" t="s">
        <v>263</v>
      </c>
      <c r="R32" s="17" t="s">
        <v>263</v>
      </c>
      <c r="S32" s="17" t="s">
        <v>263</v>
      </c>
      <c r="T32" s="21"/>
      <c r="U32" s="17" t="s">
        <v>711</v>
      </c>
      <c r="V32" s="10">
        <f t="shared" si="0"/>
        <v>0</v>
      </c>
      <c r="W32" s="23" t="str">
        <f t="shared" si="1"/>
        <v>Conforme</v>
      </c>
      <c r="X32" s="10">
        <f t="shared" si="2"/>
        <v>23</v>
      </c>
      <c r="Y32" s="23" t="str">
        <f t="shared" si="3"/>
        <v>Sim</v>
      </c>
      <c r="Z32" s="23" t="str">
        <f t="shared" si="4"/>
        <v>QUI-029</v>
      </c>
      <c r="AA32" s="23" t="str">
        <f t="shared" si="5"/>
        <v>OK</v>
      </c>
    </row>
    <row r="33" spans="1:27" ht="30" customHeight="1" x14ac:dyDescent="0.3">
      <c r="A33" s="17" t="s">
        <v>749</v>
      </c>
      <c r="B33" s="17" t="s">
        <v>456</v>
      </c>
      <c r="C33" s="23" t="str">
        <f>IF(B33="","",IFERROR(INDEX(tbl_quimicos[Nome_Comercial],MATCH(B33,tbl_quimicos[ID_Quimico],0)),"ID inválido"))</f>
        <v>Trava-roscas anaeróbico (metacrilatos)</v>
      </c>
      <c r="D33" s="21">
        <v>45418</v>
      </c>
      <c r="E33" s="21">
        <v>45352</v>
      </c>
      <c r="F33" s="17" t="s">
        <v>715</v>
      </c>
      <c r="G33" s="17" t="s">
        <v>263</v>
      </c>
      <c r="H33" s="17" t="s">
        <v>263</v>
      </c>
      <c r="I33" s="17" t="s">
        <v>263</v>
      </c>
      <c r="J33" s="17" t="s">
        <v>263</v>
      </c>
      <c r="K33" s="17" t="s">
        <v>263</v>
      </c>
      <c r="L33" s="17" t="s">
        <v>263</v>
      </c>
      <c r="M33" s="17" t="s">
        <v>263</v>
      </c>
      <c r="N33" s="17" t="s">
        <v>263</v>
      </c>
      <c r="O33" s="17" t="s">
        <v>263</v>
      </c>
      <c r="P33" s="17" t="s">
        <v>263</v>
      </c>
      <c r="Q33" s="17" t="s">
        <v>710</v>
      </c>
      <c r="R33" s="17" t="s">
        <v>263</v>
      </c>
      <c r="S33" s="17" t="s">
        <v>263</v>
      </c>
      <c r="T33" s="21"/>
      <c r="U33" s="17" t="s">
        <v>711</v>
      </c>
      <c r="V33" s="10">
        <f t="shared" si="0"/>
        <v>0</v>
      </c>
      <c r="W33" s="23" t="str">
        <f t="shared" si="1"/>
        <v>Conforme</v>
      </c>
      <c r="X33" s="10">
        <f t="shared" si="2"/>
        <v>33</v>
      </c>
      <c r="Y33" s="23" t="str">
        <f t="shared" si="3"/>
        <v>Sim</v>
      </c>
      <c r="Z33" s="23" t="str">
        <f t="shared" si="4"/>
        <v>QUI-030</v>
      </c>
      <c r="AA33" s="23" t="str">
        <f t="shared" si="5"/>
        <v>OK</v>
      </c>
    </row>
    <row r="34" spans="1:27" ht="30" customHeight="1" x14ac:dyDescent="0.3">
      <c r="A34" s="17" t="s">
        <v>750</v>
      </c>
      <c r="B34" s="17" t="s">
        <v>460</v>
      </c>
      <c r="C34" s="23" t="str">
        <f>IF(B34="","",IFERROR(INDEX(tbl_quimicos[Nome_Comercial],MATCH(B34,tbl_quimicos[ID_Quimico],0)),"ID inválido"))</f>
        <v>Adesivo cianoacrilato</v>
      </c>
      <c r="D34" s="21">
        <v>45418</v>
      </c>
      <c r="E34" s="21">
        <v>45337</v>
      </c>
      <c r="F34" s="17" t="s">
        <v>717</v>
      </c>
      <c r="G34" s="17" t="s">
        <v>263</v>
      </c>
      <c r="H34" s="17" t="s">
        <v>263</v>
      </c>
      <c r="I34" s="17" t="s">
        <v>263</v>
      </c>
      <c r="J34" s="17" t="s">
        <v>263</v>
      </c>
      <c r="K34" s="17" t="s">
        <v>263</v>
      </c>
      <c r="L34" s="17" t="s">
        <v>263</v>
      </c>
      <c r="M34" s="17" t="s">
        <v>263</v>
      </c>
      <c r="N34" s="17" t="s">
        <v>263</v>
      </c>
      <c r="O34" s="17" t="s">
        <v>263</v>
      </c>
      <c r="P34" s="17" t="s">
        <v>263</v>
      </c>
      <c r="Q34" s="17" t="s">
        <v>710</v>
      </c>
      <c r="R34" s="17" t="s">
        <v>263</v>
      </c>
      <c r="S34" s="17" t="s">
        <v>263</v>
      </c>
      <c r="T34" s="21"/>
      <c r="U34" s="17" t="s">
        <v>711</v>
      </c>
      <c r="V34" s="10">
        <f t="shared" si="0"/>
        <v>0</v>
      </c>
      <c r="W34" s="23" t="str">
        <f t="shared" si="1"/>
        <v>Conforme</v>
      </c>
      <c r="X34" s="10">
        <f t="shared" si="2"/>
        <v>34</v>
      </c>
      <c r="Y34" s="23" t="str">
        <f t="shared" si="3"/>
        <v>Sim</v>
      </c>
      <c r="Z34" s="23" t="str">
        <f t="shared" si="4"/>
        <v>QUI-031</v>
      </c>
      <c r="AA34" s="23" t="str">
        <f t="shared" si="5"/>
        <v>OK</v>
      </c>
    </row>
    <row r="35" spans="1:27" ht="30" customHeight="1" x14ac:dyDescent="0.3">
      <c r="A35" s="17" t="s">
        <v>751</v>
      </c>
      <c r="B35" s="17" t="s">
        <v>464</v>
      </c>
      <c r="C35" s="23" t="str">
        <f>IF(B35="","",IFERROR(INDEX(tbl_quimicos[Nome_Comercial],MATCH(B35,tbl_quimicos[ID_Quimico],0)),"ID inválido"))</f>
        <v>Gasóleo (gerador e viaturas)</v>
      </c>
      <c r="D35" s="21">
        <v>45839</v>
      </c>
      <c r="E35" s="21">
        <v>45797</v>
      </c>
      <c r="F35" s="17" t="s">
        <v>752</v>
      </c>
      <c r="G35" s="17" t="s">
        <v>263</v>
      </c>
      <c r="H35" s="17" t="s">
        <v>263</v>
      </c>
      <c r="I35" s="17" t="s">
        <v>263</v>
      </c>
      <c r="J35" s="17" t="s">
        <v>263</v>
      </c>
      <c r="K35" s="17" t="s">
        <v>263</v>
      </c>
      <c r="L35" s="17" t="s">
        <v>263</v>
      </c>
      <c r="M35" s="17" t="s">
        <v>263</v>
      </c>
      <c r="N35" s="17" t="s">
        <v>263</v>
      </c>
      <c r="O35" s="17" t="s">
        <v>263</v>
      </c>
      <c r="P35" s="17" t="s">
        <v>263</v>
      </c>
      <c r="Q35" s="17" t="s">
        <v>263</v>
      </c>
      <c r="R35" s="17" t="s">
        <v>263</v>
      </c>
      <c r="S35" s="17" t="s">
        <v>263</v>
      </c>
      <c r="T35" s="21"/>
      <c r="U35" s="17" t="s">
        <v>711</v>
      </c>
      <c r="V35" s="10">
        <f t="shared" si="0"/>
        <v>0</v>
      </c>
      <c r="W35" s="23" t="str">
        <f t="shared" si="1"/>
        <v>Conforme</v>
      </c>
      <c r="X35" s="10">
        <f t="shared" si="2"/>
        <v>19</v>
      </c>
      <c r="Y35" s="23" t="str">
        <f t="shared" si="3"/>
        <v>Sim</v>
      </c>
      <c r="Z35" s="23" t="str">
        <f t="shared" si="4"/>
        <v>QUI-032</v>
      </c>
      <c r="AA35" s="23" t="str">
        <f t="shared" si="5"/>
        <v>OK</v>
      </c>
    </row>
    <row r="36" spans="1:27" ht="30" customHeight="1" x14ac:dyDescent="0.3">
      <c r="A36" s="17" t="s">
        <v>753</v>
      </c>
      <c r="B36" s="17" t="s">
        <v>474</v>
      </c>
      <c r="C36" s="23" t="str">
        <f>IF(B36="","",IFERROR(INDEX(tbl_quimicos[Nome_Comercial],MATCH(B36,tbl_quimicos[ID_Quimico],0)),"ID inválido"))</f>
        <v>Acetileno dissolvido (soldadura)</v>
      </c>
      <c r="D36" s="21">
        <v>45677</v>
      </c>
      <c r="E36" s="21">
        <v>45575</v>
      </c>
      <c r="F36" s="17" t="s">
        <v>731</v>
      </c>
      <c r="G36" s="17" t="s">
        <v>263</v>
      </c>
      <c r="H36" s="17" t="s">
        <v>263</v>
      </c>
      <c r="I36" s="17" t="s">
        <v>263</v>
      </c>
      <c r="J36" s="17" t="s">
        <v>263</v>
      </c>
      <c r="K36" s="17" t="s">
        <v>263</v>
      </c>
      <c r="L36" s="17" t="s">
        <v>263</v>
      </c>
      <c r="M36" s="17" t="s">
        <v>263</v>
      </c>
      <c r="N36" s="17" t="s">
        <v>263</v>
      </c>
      <c r="O36" s="17" t="s">
        <v>263</v>
      </c>
      <c r="P36" s="17" t="s">
        <v>263</v>
      </c>
      <c r="Q36" s="17" t="s">
        <v>710</v>
      </c>
      <c r="R36" s="17" t="s">
        <v>263</v>
      </c>
      <c r="S36" s="17" t="s">
        <v>263</v>
      </c>
      <c r="T36" s="21"/>
      <c r="U36" s="17" t="s">
        <v>711</v>
      </c>
      <c r="V36" s="10">
        <f t="shared" si="0"/>
        <v>0</v>
      </c>
      <c r="W36" s="23" t="str">
        <f t="shared" si="1"/>
        <v>Conforme</v>
      </c>
      <c r="X36" s="10">
        <f t="shared" si="2"/>
        <v>26</v>
      </c>
      <c r="Y36" s="23" t="str">
        <f t="shared" si="3"/>
        <v>Sim</v>
      </c>
      <c r="Z36" s="23" t="str">
        <f t="shared" si="4"/>
        <v>QUI-033</v>
      </c>
      <c r="AA36" s="23" t="str">
        <f t="shared" si="5"/>
        <v>OK</v>
      </c>
    </row>
    <row r="37" spans="1:27" ht="30" customHeight="1" x14ac:dyDescent="0.3">
      <c r="A37" s="17" t="s">
        <v>754</v>
      </c>
      <c r="B37" s="17" t="s">
        <v>479</v>
      </c>
      <c r="C37" s="23" t="str">
        <f>IF(B37="","",IFERROR(INDEX(tbl_quimicos[Nome_Comercial],MATCH(B37,tbl_quimicos[ID_Quimico],0)),"ID inválido"))</f>
        <v>Oxigénio comprimido (soldadura)</v>
      </c>
      <c r="D37" s="21">
        <v>45677</v>
      </c>
      <c r="E37" s="21">
        <v>45575</v>
      </c>
      <c r="F37" s="17" t="s">
        <v>731</v>
      </c>
      <c r="G37" s="17" t="s">
        <v>263</v>
      </c>
      <c r="H37" s="17" t="s">
        <v>263</v>
      </c>
      <c r="I37" s="17" t="s">
        <v>263</v>
      </c>
      <c r="J37" s="17" t="s">
        <v>263</v>
      </c>
      <c r="K37" s="17" t="s">
        <v>263</v>
      </c>
      <c r="L37" s="17" t="s">
        <v>263</v>
      </c>
      <c r="M37" s="17" t="s">
        <v>263</v>
      </c>
      <c r="N37" s="17" t="s">
        <v>263</v>
      </c>
      <c r="O37" s="17" t="s">
        <v>263</v>
      </c>
      <c r="P37" s="17" t="s">
        <v>263</v>
      </c>
      <c r="Q37" s="17" t="s">
        <v>710</v>
      </c>
      <c r="R37" s="17" t="s">
        <v>263</v>
      </c>
      <c r="S37" s="17" t="s">
        <v>263</v>
      </c>
      <c r="T37" s="21"/>
      <c r="U37" s="17" t="s">
        <v>711</v>
      </c>
      <c r="V37" s="10">
        <f t="shared" ref="V37:V68" si="6">IF(A37="","",(G37="Não")+(H37="Não")+(I37="Não")+(J37="Não")+(K37="Não")+(L37="Não")+(M37="Não")+(N37="Não")+(O37="Não")+(P37="Não")+(Q37="Não")+(R37="Não"))</f>
        <v>0</v>
      </c>
      <c r="W37" s="23" t="str">
        <f t="shared" ref="W37:W68" si="7">IF(A37="","",IF(V37=0,"Conforme","Pedir correção"))</f>
        <v>Conforme</v>
      </c>
      <c r="X37" s="10">
        <f t="shared" ref="X37:X68" si="8">IF(OR(A37="",E37=""),"",DATEDIF(E37,DataRef,"m"))</f>
        <v>26</v>
      </c>
      <c r="Y37" s="23" t="str">
        <f t="shared" ref="Y37:Y68" si="9">IF(A37="","",IF(E37=_xlfn.MAXIFS($E$5:$E$85,$B$5:$B$85,B37),"Sim","Não"))</f>
        <v>Sim</v>
      </c>
      <c r="Z37" s="23" t="str">
        <f t="shared" ref="Z37:Z68" si="10">IF(Y37="Sim",B37,"")</f>
        <v>QUI-034</v>
      </c>
      <c r="AA37" s="23" t="str">
        <f t="shared" ref="AA37:AA68" si="11">IF(A37="","",IF(Y37="Não","Substituída (conservar 10 anos)",IF(V37&gt;0,"Pedir correção ao fornecedor",IF(X37&gt;p_Meses_FDS,"Pedir confirmação (&gt; "&amp;p_Meses_FDS&amp;" meses)","OK"))))</f>
        <v>OK</v>
      </c>
    </row>
    <row r="38" spans="1:27" ht="30" customHeight="1" x14ac:dyDescent="0.3">
      <c r="A38" s="17" t="s">
        <v>755</v>
      </c>
      <c r="B38" s="17" t="s">
        <v>484</v>
      </c>
      <c r="C38" s="23" t="str">
        <f>IF(B38="","",IFERROR(INDEX(tbl_quimicos[Nome_Comercial],MATCH(B38,tbl_quimicos[ID_Quimico],0)),"ID inválido"))</f>
        <v>Eletrólito de baterias (ácido sulfúrico 35–38%)</v>
      </c>
      <c r="D38" s="21">
        <v>45699</v>
      </c>
      <c r="E38" s="21">
        <v>45627</v>
      </c>
      <c r="F38" s="17" t="s">
        <v>715</v>
      </c>
      <c r="G38" s="17" t="s">
        <v>263</v>
      </c>
      <c r="H38" s="17" t="s">
        <v>263</v>
      </c>
      <c r="I38" s="17" t="s">
        <v>263</v>
      </c>
      <c r="J38" s="17" t="s">
        <v>263</v>
      </c>
      <c r="K38" s="17" t="s">
        <v>263</v>
      </c>
      <c r="L38" s="17" t="s">
        <v>263</v>
      </c>
      <c r="M38" s="17" t="s">
        <v>263</v>
      </c>
      <c r="N38" s="17" t="s">
        <v>263</v>
      </c>
      <c r="O38" s="17" t="s">
        <v>263</v>
      </c>
      <c r="P38" s="17" t="s">
        <v>263</v>
      </c>
      <c r="Q38" s="17" t="s">
        <v>263</v>
      </c>
      <c r="R38" s="17" t="s">
        <v>263</v>
      </c>
      <c r="S38" s="17" t="s">
        <v>263</v>
      </c>
      <c r="T38" s="21"/>
      <c r="U38" s="17" t="s">
        <v>711</v>
      </c>
      <c r="V38" s="10">
        <f t="shared" si="6"/>
        <v>0</v>
      </c>
      <c r="W38" s="23" t="str">
        <f t="shared" si="7"/>
        <v>Conforme</v>
      </c>
      <c r="X38" s="10">
        <f t="shared" si="8"/>
        <v>24</v>
      </c>
      <c r="Y38" s="23" t="str">
        <f t="shared" si="9"/>
        <v>Sim</v>
      </c>
      <c r="Z38" s="23" t="str">
        <f t="shared" si="10"/>
        <v>QUI-035</v>
      </c>
      <c r="AA38" s="23" t="str">
        <f t="shared" si="11"/>
        <v>OK</v>
      </c>
    </row>
    <row r="39" spans="1:27" ht="30" customHeight="1" x14ac:dyDescent="0.3">
      <c r="A39" s="17" t="s">
        <v>756</v>
      </c>
      <c r="B39" s="17" t="s">
        <v>488</v>
      </c>
      <c r="C39" s="23" t="str">
        <f>IF(B39="","",IFERROR(INDEX(tbl_quimicos[Nome_Comercial],MATCH(B39,tbl_quimicos[ID_Quimico],0)),"ID inválido"))</f>
        <v>Biocida da torre (isotiazolinonas CMIT/MIT) — TP11</v>
      </c>
      <c r="D39" s="21">
        <v>46182</v>
      </c>
      <c r="E39" s="21">
        <v>46157</v>
      </c>
      <c r="F39" s="17" t="s">
        <v>731</v>
      </c>
      <c r="G39" s="17" t="s">
        <v>263</v>
      </c>
      <c r="H39" s="17" t="s">
        <v>263</v>
      </c>
      <c r="I39" s="17" t="s">
        <v>263</v>
      </c>
      <c r="J39" s="17" t="s">
        <v>263</v>
      </c>
      <c r="K39" s="17" t="s">
        <v>263</v>
      </c>
      <c r="L39" s="17" t="s">
        <v>263</v>
      </c>
      <c r="M39" s="17" t="s">
        <v>263</v>
      </c>
      <c r="N39" s="17" t="s">
        <v>263</v>
      </c>
      <c r="O39" s="17" t="s">
        <v>263</v>
      </c>
      <c r="P39" s="17" t="s">
        <v>263</v>
      </c>
      <c r="Q39" s="17" t="s">
        <v>710</v>
      </c>
      <c r="R39" s="17" t="s">
        <v>263</v>
      </c>
      <c r="S39" s="17" t="s">
        <v>263</v>
      </c>
      <c r="T39" s="21"/>
      <c r="U39" s="17" t="s">
        <v>711</v>
      </c>
      <c r="V39" s="10">
        <f t="shared" si="6"/>
        <v>0</v>
      </c>
      <c r="W39" s="23" t="str">
        <f t="shared" si="7"/>
        <v>Conforme</v>
      </c>
      <c r="X39" s="10">
        <f t="shared" si="8"/>
        <v>7</v>
      </c>
      <c r="Y39" s="23" t="str">
        <f t="shared" si="9"/>
        <v>Sim</v>
      </c>
      <c r="Z39" s="23" t="str">
        <f t="shared" si="10"/>
        <v>QUI-036</v>
      </c>
      <c r="AA39" s="23" t="str">
        <f t="shared" si="11"/>
        <v>OK</v>
      </c>
    </row>
    <row r="40" spans="1:27" ht="30" customHeight="1" x14ac:dyDescent="0.3">
      <c r="A40" s="17" t="s">
        <v>757</v>
      </c>
      <c r="B40" s="17" t="s">
        <v>498</v>
      </c>
      <c r="C40" s="23" t="str">
        <f>IF(B40="","",IFERROR(INDEX(tbl_quimicos[Nome_Comercial],MATCH(B40,tbl_quimicos[ID_Quimico],0)),"ID inválido"))</f>
        <v>Anti-incrustante / inibidor de corrosão (fosfonatos, pH ácido)</v>
      </c>
      <c r="D40" s="21">
        <v>46182</v>
      </c>
      <c r="E40" s="21">
        <v>46157</v>
      </c>
      <c r="F40" s="17" t="s">
        <v>717</v>
      </c>
      <c r="G40" s="17" t="s">
        <v>263</v>
      </c>
      <c r="H40" s="17" t="s">
        <v>263</v>
      </c>
      <c r="I40" s="17" t="s">
        <v>263</v>
      </c>
      <c r="J40" s="17" t="s">
        <v>263</v>
      </c>
      <c r="K40" s="17" t="s">
        <v>263</v>
      </c>
      <c r="L40" s="17" t="s">
        <v>263</v>
      </c>
      <c r="M40" s="17" t="s">
        <v>263</v>
      </c>
      <c r="N40" s="17" t="s">
        <v>263</v>
      </c>
      <c r="O40" s="17" t="s">
        <v>263</v>
      </c>
      <c r="P40" s="17" t="s">
        <v>263</v>
      </c>
      <c r="Q40" s="17" t="s">
        <v>710</v>
      </c>
      <c r="R40" s="17" t="s">
        <v>263</v>
      </c>
      <c r="S40" s="17" t="s">
        <v>263</v>
      </c>
      <c r="T40" s="21"/>
      <c r="U40" s="17" t="s">
        <v>711</v>
      </c>
      <c r="V40" s="10">
        <f t="shared" si="6"/>
        <v>0</v>
      </c>
      <c r="W40" s="23" t="str">
        <f t="shared" si="7"/>
        <v>Conforme</v>
      </c>
      <c r="X40" s="10">
        <f t="shared" si="8"/>
        <v>7</v>
      </c>
      <c r="Y40" s="23" t="str">
        <f t="shared" si="9"/>
        <v>Sim</v>
      </c>
      <c r="Z40" s="23" t="str">
        <f t="shared" si="10"/>
        <v>QUI-037</v>
      </c>
      <c r="AA40" s="23" t="str">
        <f t="shared" si="11"/>
        <v>OK</v>
      </c>
    </row>
    <row r="41" spans="1:27" ht="30" customHeight="1" x14ac:dyDescent="0.3">
      <c r="A41" s="17" t="s">
        <v>758</v>
      </c>
      <c r="B41" s="17" t="s">
        <v>501</v>
      </c>
      <c r="C41" s="23" t="str">
        <f>IF(B41="","",IFERROR(INDEX(tbl_quimicos[Nome_Comercial],MATCH(B41,tbl_quimicos[ID_Quimico],0)),"ID inválido"))</f>
        <v>Hipoclorito de sódio 12–14% (choque de Legionella)</v>
      </c>
      <c r="D41" s="21">
        <v>46182</v>
      </c>
      <c r="E41" s="21">
        <v>46114</v>
      </c>
      <c r="F41" s="17" t="s">
        <v>739</v>
      </c>
      <c r="G41" s="17" t="s">
        <v>263</v>
      </c>
      <c r="H41" s="17" t="s">
        <v>263</v>
      </c>
      <c r="I41" s="17" t="s">
        <v>263</v>
      </c>
      <c r="J41" s="17" t="s">
        <v>263</v>
      </c>
      <c r="K41" s="17" t="s">
        <v>263</v>
      </c>
      <c r="L41" s="17" t="s">
        <v>263</v>
      </c>
      <c r="M41" s="17" t="s">
        <v>263</v>
      </c>
      <c r="N41" s="17" t="s">
        <v>263</v>
      </c>
      <c r="O41" s="17" t="s">
        <v>263</v>
      </c>
      <c r="P41" s="17" t="s">
        <v>263</v>
      </c>
      <c r="Q41" s="17" t="s">
        <v>263</v>
      </c>
      <c r="R41" s="17" t="s">
        <v>263</v>
      </c>
      <c r="S41" s="17" t="s">
        <v>263</v>
      </c>
      <c r="T41" s="21"/>
      <c r="U41" s="17" t="s">
        <v>711</v>
      </c>
      <c r="V41" s="10">
        <f t="shared" si="6"/>
        <v>0</v>
      </c>
      <c r="W41" s="23" t="str">
        <f t="shared" si="7"/>
        <v>Conforme</v>
      </c>
      <c r="X41" s="10">
        <f t="shared" si="8"/>
        <v>8</v>
      </c>
      <c r="Y41" s="23" t="str">
        <f t="shared" si="9"/>
        <v>Sim</v>
      </c>
      <c r="Z41" s="23" t="str">
        <f t="shared" si="10"/>
        <v>QUI-038</v>
      </c>
      <c r="AA41" s="23" t="str">
        <f t="shared" si="11"/>
        <v>OK</v>
      </c>
    </row>
    <row r="42" spans="1:27" ht="30" customHeight="1" x14ac:dyDescent="0.3">
      <c r="A42" s="17" t="s">
        <v>759</v>
      </c>
      <c r="B42" s="17" t="s">
        <v>506</v>
      </c>
      <c r="C42" s="23" t="str">
        <f>IF(B42="","",IFERROR(INDEX(tbl_quimicos[Nome_Comercial],MATCH(B42,tbl_quimicos[ID_Quimico],0)),"ID inválido"))</f>
        <v>R410A (fluido do chiller CH-01)</v>
      </c>
      <c r="D42" s="21">
        <v>45979</v>
      </c>
      <c r="E42" s="21">
        <v>45901</v>
      </c>
      <c r="F42" s="17" t="s">
        <v>715</v>
      </c>
      <c r="G42" s="17" t="s">
        <v>263</v>
      </c>
      <c r="H42" s="17" t="s">
        <v>263</v>
      </c>
      <c r="I42" s="17" t="s">
        <v>263</v>
      </c>
      <c r="J42" s="17" t="s">
        <v>263</v>
      </c>
      <c r="K42" s="17" t="s">
        <v>263</v>
      </c>
      <c r="L42" s="17" t="s">
        <v>263</v>
      </c>
      <c r="M42" s="17" t="s">
        <v>263</v>
      </c>
      <c r="N42" s="17" t="s">
        <v>263</v>
      </c>
      <c r="O42" s="17" t="s">
        <v>263</v>
      </c>
      <c r="P42" s="17" t="s">
        <v>263</v>
      </c>
      <c r="Q42" s="17" t="s">
        <v>710</v>
      </c>
      <c r="R42" s="17" t="s">
        <v>263</v>
      </c>
      <c r="S42" s="17" t="s">
        <v>271</v>
      </c>
      <c r="T42" s="21"/>
      <c r="U42" s="17" t="s">
        <v>711</v>
      </c>
      <c r="V42" s="10">
        <f t="shared" si="6"/>
        <v>0</v>
      </c>
      <c r="W42" s="23" t="str">
        <f t="shared" si="7"/>
        <v>Conforme</v>
      </c>
      <c r="X42" s="10">
        <f t="shared" si="8"/>
        <v>15</v>
      </c>
      <c r="Y42" s="23" t="str">
        <f t="shared" si="9"/>
        <v>Sim</v>
      </c>
      <c r="Z42" s="23" t="str">
        <f t="shared" si="10"/>
        <v>QUI-039</v>
      </c>
      <c r="AA42" s="23" t="str">
        <f t="shared" si="11"/>
        <v>OK</v>
      </c>
    </row>
    <row r="43" spans="1:27" ht="30" customHeight="1" x14ac:dyDescent="0.3">
      <c r="A43" s="17" t="s">
        <v>760</v>
      </c>
      <c r="B43" s="17" t="s">
        <v>516</v>
      </c>
      <c r="C43" s="23" t="str">
        <f>IF(B43="","",IFERROR(INDEX(tbl_quimicos[Nome_Comercial],MATCH(B43,tbl_quimicos[ID_Quimico],0)),"ID inválido"))</f>
        <v>Etanol 96% (laboratório)</v>
      </c>
      <c r="D43" s="21">
        <v>46144</v>
      </c>
      <c r="E43" s="21">
        <v>46034</v>
      </c>
      <c r="F43" s="17" t="s">
        <v>761</v>
      </c>
      <c r="G43" s="17" t="s">
        <v>263</v>
      </c>
      <c r="H43" s="17" t="s">
        <v>263</v>
      </c>
      <c r="I43" s="17" t="s">
        <v>263</v>
      </c>
      <c r="J43" s="17" t="s">
        <v>263</v>
      </c>
      <c r="K43" s="17" t="s">
        <v>263</v>
      </c>
      <c r="L43" s="17" t="s">
        <v>263</v>
      </c>
      <c r="M43" s="17" t="s">
        <v>263</v>
      </c>
      <c r="N43" s="17" t="s">
        <v>263</v>
      </c>
      <c r="O43" s="17" t="s">
        <v>263</v>
      </c>
      <c r="P43" s="17" t="s">
        <v>263</v>
      </c>
      <c r="Q43" s="17" t="s">
        <v>263</v>
      </c>
      <c r="R43" s="17" t="s">
        <v>263</v>
      </c>
      <c r="S43" s="17" t="s">
        <v>263</v>
      </c>
      <c r="T43" s="21"/>
      <c r="U43" s="17" t="s">
        <v>711</v>
      </c>
      <c r="V43" s="10">
        <f t="shared" si="6"/>
        <v>0</v>
      </c>
      <c r="W43" s="23" t="str">
        <f t="shared" si="7"/>
        <v>Conforme</v>
      </c>
      <c r="X43" s="10">
        <f t="shared" si="8"/>
        <v>11</v>
      </c>
      <c r="Y43" s="23" t="str">
        <f t="shared" si="9"/>
        <v>Sim</v>
      </c>
      <c r="Z43" s="23" t="str">
        <f t="shared" si="10"/>
        <v>QUI-040</v>
      </c>
      <c r="AA43" s="23" t="str">
        <f t="shared" si="11"/>
        <v>OK</v>
      </c>
    </row>
    <row r="44" spans="1:27" ht="30" customHeight="1" x14ac:dyDescent="0.3">
      <c r="A44" s="17" t="s">
        <v>762</v>
      </c>
      <c r="B44" s="17" t="s">
        <v>524</v>
      </c>
      <c r="C44" s="23" t="str">
        <f>IF(B44="","",IFERROR(INDEX(tbl_quimicos[Nome_Comercial],MATCH(B44,tbl_quimicos[ID_Quimico],0)),"ID inválido"))</f>
        <v>Ácido acético glacial (simulante de migração 3%)</v>
      </c>
      <c r="D44" s="21">
        <v>46144</v>
      </c>
      <c r="E44" s="21">
        <v>45964</v>
      </c>
      <c r="F44" s="17" t="s">
        <v>709</v>
      </c>
      <c r="G44" s="17" t="s">
        <v>263</v>
      </c>
      <c r="H44" s="17" t="s">
        <v>263</v>
      </c>
      <c r="I44" s="17" t="s">
        <v>263</v>
      </c>
      <c r="J44" s="17" t="s">
        <v>263</v>
      </c>
      <c r="K44" s="17" t="s">
        <v>263</v>
      </c>
      <c r="L44" s="17" t="s">
        <v>263</v>
      </c>
      <c r="M44" s="17" t="s">
        <v>263</v>
      </c>
      <c r="N44" s="17" t="s">
        <v>263</v>
      </c>
      <c r="O44" s="17" t="s">
        <v>263</v>
      </c>
      <c r="P44" s="17" t="s">
        <v>263</v>
      </c>
      <c r="Q44" s="17" t="s">
        <v>263</v>
      </c>
      <c r="R44" s="17" t="s">
        <v>263</v>
      </c>
      <c r="S44" s="17" t="s">
        <v>263</v>
      </c>
      <c r="T44" s="21"/>
      <c r="U44" s="17" t="s">
        <v>711</v>
      </c>
      <c r="V44" s="10">
        <f t="shared" si="6"/>
        <v>0</v>
      </c>
      <c r="W44" s="23" t="str">
        <f t="shared" si="7"/>
        <v>Conforme</v>
      </c>
      <c r="X44" s="10">
        <f t="shared" si="8"/>
        <v>13</v>
      </c>
      <c r="Y44" s="23" t="str">
        <f t="shared" si="9"/>
        <v>Sim</v>
      </c>
      <c r="Z44" s="23" t="str">
        <f t="shared" si="10"/>
        <v>QUI-041</v>
      </c>
      <c r="AA44" s="23" t="str">
        <f t="shared" si="11"/>
        <v>OK</v>
      </c>
    </row>
    <row r="45" spans="1:27" ht="30" customHeight="1" x14ac:dyDescent="0.3">
      <c r="A45" s="17" t="s">
        <v>763</v>
      </c>
      <c r="B45" s="17" t="s">
        <v>529</v>
      </c>
      <c r="C45" s="23" t="str">
        <f>IF(B45="","",IFERROR(INDEX(tbl_quimicos[Nome_Comercial],MATCH(B45,tbl_quimicos[ID_Quimico],0)),"ID inválido"))</f>
        <v>Isopropanol (limpeza técnica e laboratório)</v>
      </c>
      <c r="D45" s="21">
        <v>46000</v>
      </c>
      <c r="E45" s="21">
        <v>45950</v>
      </c>
      <c r="F45" s="17" t="s">
        <v>728</v>
      </c>
      <c r="G45" s="17" t="s">
        <v>263</v>
      </c>
      <c r="H45" s="17" t="s">
        <v>263</v>
      </c>
      <c r="I45" s="17" t="s">
        <v>263</v>
      </c>
      <c r="J45" s="17" t="s">
        <v>263</v>
      </c>
      <c r="K45" s="17" t="s">
        <v>263</v>
      </c>
      <c r="L45" s="17" t="s">
        <v>263</v>
      </c>
      <c r="M45" s="17" t="s">
        <v>263</v>
      </c>
      <c r="N45" s="17" t="s">
        <v>263</v>
      </c>
      <c r="O45" s="17" t="s">
        <v>263</v>
      </c>
      <c r="P45" s="17" t="s">
        <v>263</v>
      </c>
      <c r="Q45" s="17" t="s">
        <v>263</v>
      </c>
      <c r="R45" s="17" t="s">
        <v>263</v>
      </c>
      <c r="S45" s="17" t="s">
        <v>263</v>
      </c>
      <c r="T45" s="21"/>
      <c r="U45" s="17" t="s">
        <v>711</v>
      </c>
      <c r="V45" s="10">
        <f t="shared" si="6"/>
        <v>0</v>
      </c>
      <c r="W45" s="23" t="str">
        <f t="shared" si="7"/>
        <v>Conforme</v>
      </c>
      <c r="X45" s="10">
        <f t="shared" si="8"/>
        <v>14</v>
      </c>
      <c r="Y45" s="23" t="str">
        <f t="shared" si="9"/>
        <v>Sim</v>
      </c>
      <c r="Z45" s="23" t="str">
        <f t="shared" si="10"/>
        <v>QUI-042</v>
      </c>
      <c r="AA45" s="23" t="str">
        <f t="shared" si="11"/>
        <v>OK</v>
      </c>
    </row>
    <row r="46" spans="1:27" ht="30" customHeight="1" x14ac:dyDescent="0.3">
      <c r="A46" s="17"/>
      <c r="B46" s="17"/>
      <c r="C46" s="23" t="str">
        <f>IF(B46="","",IFERROR(INDEX(tbl_quimicos[Nome_Comercial],MATCH(B46,tbl_quimicos[ID_Quimico],0)),"ID inválido"))</f>
        <v/>
      </c>
      <c r="D46" s="21"/>
      <c r="E46" s="21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1"/>
      <c r="U46" s="17"/>
      <c r="V46" s="10" t="str">
        <f t="shared" si="6"/>
        <v/>
      </c>
      <c r="W46" s="23" t="str">
        <f t="shared" si="7"/>
        <v/>
      </c>
      <c r="X46" s="10" t="str">
        <f t="shared" si="8"/>
        <v/>
      </c>
      <c r="Y46" s="23" t="str">
        <f t="shared" si="9"/>
        <v/>
      </c>
      <c r="Z46" s="23" t="str">
        <f t="shared" si="10"/>
        <v/>
      </c>
      <c r="AA46" s="23" t="str">
        <f t="shared" si="11"/>
        <v/>
      </c>
    </row>
    <row r="47" spans="1:27" ht="30" customHeight="1" x14ac:dyDescent="0.3">
      <c r="A47" s="17"/>
      <c r="B47" s="17"/>
      <c r="C47" s="23" t="str">
        <f>IF(B47="","",IFERROR(INDEX(tbl_quimicos[Nome_Comercial],MATCH(B47,tbl_quimicos[ID_Quimico],0)),"ID inválido"))</f>
        <v/>
      </c>
      <c r="D47" s="21"/>
      <c r="E47" s="21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1"/>
      <c r="U47" s="17"/>
      <c r="V47" s="10" t="str">
        <f t="shared" si="6"/>
        <v/>
      </c>
      <c r="W47" s="23" t="str">
        <f t="shared" si="7"/>
        <v/>
      </c>
      <c r="X47" s="10" t="str">
        <f t="shared" si="8"/>
        <v/>
      </c>
      <c r="Y47" s="23" t="str">
        <f t="shared" si="9"/>
        <v/>
      </c>
      <c r="Z47" s="23" t="str">
        <f t="shared" si="10"/>
        <v/>
      </c>
      <c r="AA47" s="23" t="str">
        <f t="shared" si="11"/>
        <v/>
      </c>
    </row>
    <row r="48" spans="1:27" ht="30" customHeight="1" x14ac:dyDescent="0.3">
      <c r="A48" s="17"/>
      <c r="B48" s="17"/>
      <c r="C48" s="23" t="str">
        <f>IF(B48="","",IFERROR(INDEX(tbl_quimicos[Nome_Comercial],MATCH(B48,tbl_quimicos[ID_Quimico],0)),"ID inválido"))</f>
        <v/>
      </c>
      <c r="D48" s="21"/>
      <c r="E48" s="21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1"/>
      <c r="U48" s="17"/>
      <c r="V48" s="10" t="str">
        <f t="shared" si="6"/>
        <v/>
      </c>
      <c r="W48" s="23" t="str">
        <f t="shared" si="7"/>
        <v/>
      </c>
      <c r="X48" s="10" t="str">
        <f t="shared" si="8"/>
        <v/>
      </c>
      <c r="Y48" s="23" t="str">
        <f t="shared" si="9"/>
        <v/>
      </c>
      <c r="Z48" s="23" t="str">
        <f t="shared" si="10"/>
        <v/>
      </c>
      <c r="AA48" s="23" t="str">
        <f t="shared" si="11"/>
        <v/>
      </c>
    </row>
    <row r="49" spans="1:27" ht="30" customHeight="1" x14ac:dyDescent="0.3">
      <c r="A49" s="17"/>
      <c r="B49" s="17"/>
      <c r="C49" s="23" t="str">
        <f>IF(B49="","",IFERROR(INDEX(tbl_quimicos[Nome_Comercial],MATCH(B49,tbl_quimicos[ID_Quimico],0)),"ID inválido"))</f>
        <v/>
      </c>
      <c r="D49" s="21"/>
      <c r="E49" s="21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1"/>
      <c r="U49" s="17"/>
      <c r="V49" s="10" t="str">
        <f t="shared" si="6"/>
        <v/>
      </c>
      <c r="W49" s="23" t="str">
        <f t="shared" si="7"/>
        <v/>
      </c>
      <c r="X49" s="10" t="str">
        <f t="shared" si="8"/>
        <v/>
      </c>
      <c r="Y49" s="23" t="str">
        <f t="shared" si="9"/>
        <v/>
      </c>
      <c r="Z49" s="23" t="str">
        <f t="shared" si="10"/>
        <v/>
      </c>
      <c r="AA49" s="23" t="str">
        <f t="shared" si="11"/>
        <v/>
      </c>
    </row>
    <row r="50" spans="1:27" ht="30" customHeight="1" x14ac:dyDescent="0.3">
      <c r="A50" s="17"/>
      <c r="B50" s="17"/>
      <c r="C50" s="23" t="str">
        <f>IF(B50="","",IFERROR(INDEX(tbl_quimicos[Nome_Comercial],MATCH(B50,tbl_quimicos[ID_Quimico],0)),"ID inválido"))</f>
        <v/>
      </c>
      <c r="D50" s="21"/>
      <c r="E50" s="21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1"/>
      <c r="U50" s="17"/>
      <c r="V50" s="10" t="str">
        <f t="shared" si="6"/>
        <v/>
      </c>
      <c r="W50" s="23" t="str">
        <f t="shared" si="7"/>
        <v/>
      </c>
      <c r="X50" s="10" t="str">
        <f t="shared" si="8"/>
        <v/>
      </c>
      <c r="Y50" s="23" t="str">
        <f t="shared" si="9"/>
        <v/>
      </c>
      <c r="Z50" s="23" t="str">
        <f t="shared" si="10"/>
        <v/>
      </c>
      <c r="AA50" s="23" t="str">
        <f t="shared" si="11"/>
        <v/>
      </c>
    </row>
    <row r="51" spans="1:27" ht="30" customHeight="1" x14ac:dyDescent="0.3">
      <c r="A51" s="17"/>
      <c r="B51" s="17"/>
      <c r="C51" s="23" t="str">
        <f>IF(B51="","",IFERROR(INDEX(tbl_quimicos[Nome_Comercial],MATCH(B51,tbl_quimicos[ID_Quimico],0)),"ID inválido"))</f>
        <v/>
      </c>
      <c r="D51" s="21"/>
      <c r="E51" s="21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1"/>
      <c r="U51" s="17"/>
      <c r="V51" s="10" t="str">
        <f t="shared" si="6"/>
        <v/>
      </c>
      <c r="W51" s="23" t="str">
        <f t="shared" si="7"/>
        <v/>
      </c>
      <c r="X51" s="10" t="str">
        <f t="shared" si="8"/>
        <v/>
      </c>
      <c r="Y51" s="23" t="str">
        <f t="shared" si="9"/>
        <v/>
      </c>
      <c r="Z51" s="23" t="str">
        <f t="shared" si="10"/>
        <v/>
      </c>
      <c r="AA51" s="23" t="str">
        <f t="shared" si="11"/>
        <v/>
      </c>
    </row>
    <row r="52" spans="1:27" ht="30" customHeight="1" x14ac:dyDescent="0.3">
      <c r="A52" s="17"/>
      <c r="B52" s="17"/>
      <c r="C52" s="23" t="str">
        <f>IF(B52="","",IFERROR(INDEX(tbl_quimicos[Nome_Comercial],MATCH(B52,tbl_quimicos[ID_Quimico],0)),"ID inválido"))</f>
        <v/>
      </c>
      <c r="D52" s="21"/>
      <c r="E52" s="21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1"/>
      <c r="U52" s="17"/>
      <c r="V52" s="10" t="str">
        <f t="shared" si="6"/>
        <v/>
      </c>
      <c r="W52" s="23" t="str">
        <f t="shared" si="7"/>
        <v/>
      </c>
      <c r="X52" s="10" t="str">
        <f t="shared" si="8"/>
        <v/>
      </c>
      <c r="Y52" s="23" t="str">
        <f t="shared" si="9"/>
        <v/>
      </c>
      <c r="Z52" s="23" t="str">
        <f t="shared" si="10"/>
        <v/>
      </c>
      <c r="AA52" s="23" t="str">
        <f t="shared" si="11"/>
        <v/>
      </c>
    </row>
    <row r="53" spans="1:27" ht="30" customHeight="1" x14ac:dyDescent="0.3">
      <c r="A53" s="17"/>
      <c r="B53" s="17"/>
      <c r="C53" s="23" t="str">
        <f>IF(B53="","",IFERROR(INDEX(tbl_quimicos[Nome_Comercial],MATCH(B53,tbl_quimicos[ID_Quimico],0)),"ID inválido"))</f>
        <v/>
      </c>
      <c r="D53" s="21"/>
      <c r="E53" s="21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1"/>
      <c r="U53" s="17"/>
      <c r="V53" s="10" t="str">
        <f t="shared" si="6"/>
        <v/>
      </c>
      <c r="W53" s="23" t="str">
        <f t="shared" si="7"/>
        <v/>
      </c>
      <c r="X53" s="10" t="str">
        <f t="shared" si="8"/>
        <v/>
      </c>
      <c r="Y53" s="23" t="str">
        <f t="shared" si="9"/>
        <v/>
      </c>
      <c r="Z53" s="23" t="str">
        <f t="shared" si="10"/>
        <v/>
      </c>
      <c r="AA53" s="23" t="str">
        <f t="shared" si="11"/>
        <v/>
      </c>
    </row>
    <row r="54" spans="1:27" ht="30" customHeight="1" x14ac:dyDescent="0.3">
      <c r="A54" s="17"/>
      <c r="B54" s="17"/>
      <c r="C54" s="23" t="str">
        <f>IF(B54="","",IFERROR(INDEX(tbl_quimicos[Nome_Comercial],MATCH(B54,tbl_quimicos[ID_Quimico],0)),"ID inválido"))</f>
        <v/>
      </c>
      <c r="D54" s="21"/>
      <c r="E54" s="21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1"/>
      <c r="U54" s="17"/>
      <c r="V54" s="10" t="str">
        <f t="shared" si="6"/>
        <v/>
      </c>
      <c r="W54" s="23" t="str">
        <f t="shared" si="7"/>
        <v/>
      </c>
      <c r="X54" s="10" t="str">
        <f t="shared" si="8"/>
        <v/>
      </c>
      <c r="Y54" s="23" t="str">
        <f t="shared" si="9"/>
        <v/>
      </c>
      <c r="Z54" s="23" t="str">
        <f t="shared" si="10"/>
        <v/>
      </c>
      <c r="AA54" s="23" t="str">
        <f t="shared" si="11"/>
        <v/>
      </c>
    </row>
    <row r="55" spans="1:27" ht="30" customHeight="1" x14ac:dyDescent="0.3">
      <c r="A55" s="17"/>
      <c r="B55" s="17"/>
      <c r="C55" s="23" t="str">
        <f>IF(B55="","",IFERROR(INDEX(tbl_quimicos[Nome_Comercial],MATCH(B55,tbl_quimicos[ID_Quimico],0)),"ID inválido"))</f>
        <v/>
      </c>
      <c r="D55" s="21"/>
      <c r="E55" s="21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1"/>
      <c r="U55" s="17"/>
      <c r="V55" s="10" t="str">
        <f t="shared" si="6"/>
        <v/>
      </c>
      <c r="W55" s="23" t="str">
        <f t="shared" si="7"/>
        <v/>
      </c>
      <c r="X55" s="10" t="str">
        <f t="shared" si="8"/>
        <v/>
      </c>
      <c r="Y55" s="23" t="str">
        <f t="shared" si="9"/>
        <v/>
      </c>
      <c r="Z55" s="23" t="str">
        <f t="shared" si="10"/>
        <v/>
      </c>
      <c r="AA55" s="23" t="str">
        <f t="shared" si="11"/>
        <v/>
      </c>
    </row>
    <row r="56" spans="1:27" ht="30" customHeight="1" x14ac:dyDescent="0.3">
      <c r="A56" s="17"/>
      <c r="B56" s="17"/>
      <c r="C56" s="23" t="str">
        <f>IF(B56="","",IFERROR(INDEX(tbl_quimicos[Nome_Comercial],MATCH(B56,tbl_quimicos[ID_Quimico],0)),"ID inválido"))</f>
        <v/>
      </c>
      <c r="D56" s="21"/>
      <c r="E56" s="21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1"/>
      <c r="U56" s="17"/>
      <c r="V56" s="10" t="str">
        <f t="shared" si="6"/>
        <v/>
      </c>
      <c r="W56" s="23" t="str">
        <f t="shared" si="7"/>
        <v/>
      </c>
      <c r="X56" s="10" t="str">
        <f t="shared" si="8"/>
        <v/>
      </c>
      <c r="Y56" s="23" t="str">
        <f t="shared" si="9"/>
        <v/>
      </c>
      <c r="Z56" s="23" t="str">
        <f t="shared" si="10"/>
        <v/>
      </c>
      <c r="AA56" s="23" t="str">
        <f t="shared" si="11"/>
        <v/>
      </c>
    </row>
    <row r="57" spans="1:27" ht="30" customHeight="1" x14ac:dyDescent="0.3">
      <c r="A57" s="17"/>
      <c r="B57" s="17"/>
      <c r="C57" s="23" t="str">
        <f>IF(B57="","",IFERROR(INDEX(tbl_quimicos[Nome_Comercial],MATCH(B57,tbl_quimicos[ID_Quimico],0)),"ID inválido"))</f>
        <v/>
      </c>
      <c r="D57" s="21"/>
      <c r="E57" s="2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1"/>
      <c r="U57" s="17"/>
      <c r="V57" s="10" t="str">
        <f t="shared" si="6"/>
        <v/>
      </c>
      <c r="W57" s="23" t="str">
        <f t="shared" si="7"/>
        <v/>
      </c>
      <c r="X57" s="10" t="str">
        <f t="shared" si="8"/>
        <v/>
      </c>
      <c r="Y57" s="23" t="str">
        <f t="shared" si="9"/>
        <v/>
      </c>
      <c r="Z57" s="23" t="str">
        <f t="shared" si="10"/>
        <v/>
      </c>
      <c r="AA57" s="23" t="str">
        <f t="shared" si="11"/>
        <v/>
      </c>
    </row>
    <row r="58" spans="1:27" ht="30" customHeight="1" x14ac:dyDescent="0.3">
      <c r="A58" s="17"/>
      <c r="B58" s="17"/>
      <c r="C58" s="23" t="str">
        <f>IF(B58="","",IFERROR(INDEX(tbl_quimicos[Nome_Comercial],MATCH(B58,tbl_quimicos[ID_Quimico],0)),"ID inválido"))</f>
        <v/>
      </c>
      <c r="D58" s="21"/>
      <c r="E58" s="21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1"/>
      <c r="U58" s="17"/>
      <c r="V58" s="10" t="str">
        <f t="shared" si="6"/>
        <v/>
      </c>
      <c r="W58" s="23" t="str">
        <f t="shared" si="7"/>
        <v/>
      </c>
      <c r="X58" s="10" t="str">
        <f t="shared" si="8"/>
        <v/>
      </c>
      <c r="Y58" s="23" t="str">
        <f t="shared" si="9"/>
        <v/>
      </c>
      <c r="Z58" s="23" t="str">
        <f t="shared" si="10"/>
        <v/>
      </c>
      <c r="AA58" s="23" t="str">
        <f t="shared" si="11"/>
        <v/>
      </c>
    </row>
    <row r="59" spans="1:27" ht="30" customHeight="1" x14ac:dyDescent="0.3">
      <c r="A59" s="17"/>
      <c r="B59" s="17"/>
      <c r="C59" s="23" t="str">
        <f>IF(B59="","",IFERROR(INDEX(tbl_quimicos[Nome_Comercial],MATCH(B59,tbl_quimicos[ID_Quimico],0)),"ID inválido"))</f>
        <v/>
      </c>
      <c r="D59" s="21"/>
      <c r="E59" s="21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1"/>
      <c r="U59" s="17"/>
      <c r="V59" s="10" t="str">
        <f t="shared" si="6"/>
        <v/>
      </c>
      <c r="W59" s="23" t="str">
        <f t="shared" si="7"/>
        <v/>
      </c>
      <c r="X59" s="10" t="str">
        <f t="shared" si="8"/>
        <v/>
      </c>
      <c r="Y59" s="23" t="str">
        <f t="shared" si="9"/>
        <v/>
      </c>
      <c r="Z59" s="23" t="str">
        <f t="shared" si="10"/>
        <v/>
      </c>
      <c r="AA59" s="23" t="str">
        <f t="shared" si="11"/>
        <v/>
      </c>
    </row>
    <row r="60" spans="1:27" ht="30" customHeight="1" x14ac:dyDescent="0.3">
      <c r="A60" s="17"/>
      <c r="B60" s="17"/>
      <c r="C60" s="23" t="str">
        <f>IF(B60="","",IFERROR(INDEX(tbl_quimicos[Nome_Comercial],MATCH(B60,tbl_quimicos[ID_Quimico],0)),"ID inválido"))</f>
        <v/>
      </c>
      <c r="D60" s="21"/>
      <c r="E60" s="21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1"/>
      <c r="U60" s="17"/>
      <c r="V60" s="10" t="str">
        <f t="shared" si="6"/>
        <v/>
      </c>
      <c r="W60" s="23" t="str">
        <f t="shared" si="7"/>
        <v/>
      </c>
      <c r="X60" s="10" t="str">
        <f t="shared" si="8"/>
        <v/>
      </c>
      <c r="Y60" s="23" t="str">
        <f t="shared" si="9"/>
        <v/>
      </c>
      <c r="Z60" s="23" t="str">
        <f t="shared" si="10"/>
        <v/>
      </c>
      <c r="AA60" s="23" t="str">
        <f t="shared" si="11"/>
        <v/>
      </c>
    </row>
    <row r="61" spans="1:27" ht="30" customHeight="1" x14ac:dyDescent="0.3">
      <c r="A61" s="17"/>
      <c r="B61" s="17"/>
      <c r="C61" s="23" t="str">
        <f>IF(B61="","",IFERROR(INDEX(tbl_quimicos[Nome_Comercial],MATCH(B61,tbl_quimicos[ID_Quimico],0)),"ID inválido"))</f>
        <v/>
      </c>
      <c r="D61" s="21"/>
      <c r="E61" s="21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1"/>
      <c r="U61" s="17"/>
      <c r="V61" s="10" t="str">
        <f t="shared" si="6"/>
        <v/>
      </c>
      <c r="W61" s="23" t="str">
        <f t="shared" si="7"/>
        <v/>
      </c>
      <c r="X61" s="10" t="str">
        <f t="shared" si="8"/>
        <v/>
      </c>
      <c r="Y61" s="23" t="str">
        <f t="shared" si="9"/>
        <v/>
      </c>
      <c r="Z61" s="23" t="str">
        <f t="shared" si="10"/>
        <v/>
      </c>
      <c r="AA61" s="23" t="str">
        <f t="shared" si="11"/>
        <v/>
      </c>
    </row>
    <row r="62" spans="1:27" ht="30" customHeight="1" x14ac:dyDescent="0.3">
      <c r="A62" s="17"/>
      <c r="B62" s="17"/>
      <c r="C62" s="23" t="str">
        <f>IF(B62="","",IFERROR(INDEX(tbl_quimicos[Nome_Comercial],MATCH(B62,tbl_quimicos[ID_Quimico],0)),"ID inválido"))</f>
        <v/>
      </c>
      <c r="D62" s="21"/>
      <c r="E62" s="21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21"/>
      <c r="U62" s="17"/>
      <c r="V62" s="10" t="str">
        <f t="shared" si="6"/>
        <v/>
      </c>
      <c r="W62" s="23" t="str">
        <f t="shared" si="7"/>
        <v/>
      </c>
      <c r="X62" s="10" t="str">
        <f t="shared" si="8"/>
        <v/>
      </c>
      <c r="Y62" s="23" t="str">
        <f t="shared" si="9"/>
        <v/>
      </c>
      <c r="Z62" s="23" t="str">
        <f t="shared" si="10"/>
        <v/>
      </c>
      <c r="AA62" s="23" t="str">
        <f t="shared" si="11"/>
        <v/>
      </c>
    </row>
    <row r="63" spans="1:27" ht="30" customHeight="1" x14ac:dyDescent="0.3">
      <c r="A63" s="17"/>
      <c r="B63" s="17"/>
      <c r="C63" s="23" t="str">
        <f>IF(B63="","",IFERROR(INDEX(tbl_quimicos[Nome_Comercial],MATCH(B63,tbl_quimicos[ID_Quimico],0)),"ID inválido"))</f>
        <v/>
      </c>
      <c r="D63" s="21"/>
      <c r="E63" s="21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1"/>
      <c r="U63" s="17"/>
      <c r="V63" s="10" t="str">
        <f t="shared" si="6"/>
        <v/>
      </c>
      <c r="W63" s="23" t="str">
        <f t="shared" si="7"/>
        <v/>
      </c>
      <c r="X63" s="10" t="str">
        <f t="shared" si="8"/>
        <v/>
      </c>
      <c r="Y63" s="23" t="str">
        <f t="shared" si="9"/>
        <v/>
      </c>
      <c r="Z63" s="23" t="str">
        <f t="shared" si="10"/>
        <v/>
      </c>
      <c r="AA63" s="23" t="str">
        <f t="shared" si="11"/>
        <v/>
      </c>
    </row>
    <row r="64" spans="1:27" ht="30" customHeight="1" x14ac:dyDescent="0.3">
      <c r="A64" s="17"/>
      <c r="B64" s="17"/>
      <c r="C64" s="23" t="str">
        <f>IF(B64="","",IFERROR(INDEX(tbl_quimicos[Nome_Comercial],MATCH(B64,tbl_quimicos[ID_Quimico],0)),"ID inválido"))</f>
        <v/>
      </c>
      <c r="D64" s="21"/>
      <c r="E64" s="21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21"/>
      <c r="U64" s="17"/>
      <c r="V64" s="10" t="str">
        <f t="shared" si="6"/>
        <v/>
      </c>
      <c r="W64" s="23" t="str">
        <f t="shared" si="7"/>
        <v/>
      </c>
      <c r="X64" s="10" t="str">
        <f t="shared" si="8"/>
        <v/>
      </c>
      <c r="Y64" s="23" t="str">
        <f t="shared" si="9"/>
        <v/>
      </c>
      <c r="Z64" s="23" t="str">
        <f t="shared" si="10"/>
        <v/>
      </c>
      <c r="AA64" s="23" t="str">
        <f t="shared" si="11"/>
        <v/>
      </c>
    </row>
    <row r="65" spans="1:27" ht="30" customHeight="1" x14ac:dyDescent="0.3">
      <c r="A65" s="17"/>
      <c r="B65" s="17"/>
      <c r="C65" s="23" t="str">
        <f>IF(B65="","",IFERROR(INDEX(tbl_quimicos[Nome_Comercial],MATCH(B65,tbl_quimicos[ID_Quimico],0)),"ID inválido"))</f>
        <v/>
      </c>
      <c r="D65" s="21"/>
      <c r="E65" s="2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21"/>
      <c r="U65" s="17"/>
      <c r="V65" s="10" t="str">
        <f t="shared" si="6"/>
        <v/>
      </c>
      <c r="W65" s="23" t="str">
        <f t="shared" si="7"/>
        <v/>
      </c>
      <c r="X65" s="10" t="str">
        <f t="shared" si="8"/>
        <v/>
      </c>
      <c r="Y65" s="23" t="str">
        <f t="shared" si="9"/>
        <v/>
      </c>
      <c r="Z65" s="23" t="str">
        <f t="shared" si="10"/>
        <v/>
      </c>
      <c r="AA65" s="23" t="str">
        <f t="shared" si="11"/>
        <v/>
      </c>
    </row>
    <row r="66" spans="1:27" ht="30" customHeight="1" x14ac:dyDescent="0.3">
      <c r="A66" s="17"/>
      <c r="B66" s="17"/>
      <c r="C66" s="23" t="str">
        <f>IF(B66="","",IFERROR(INDEX(tbl_quimicos[Nome_Comercial],MATCH(B66,tbl_quimicos[ID_Quimico],0)),"ID inválido"))</f>
        <v/>
      </c>
      <c r="D66" s="21"/>
      <c r="E66" s="21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21"/>
      <c r="U66" s="17"/>
      <c r="V66" s="10" t="str">
        <f t="shared" si="6"/>
        <v/>
      </c>
      <c r="W66" s="23" t="str">
        <f t="shared" si="7"/>
        <v/>
      </c>
      <c r="X66" s="10" t="str">
        <f t="shared" si="8"/>
        <v/>
      </c>
      <c r="Y66" s="23" t="str">
        <f t="shared" si="9"/>
        <v/>
      </c>
      <c r="Z66" s="23" t="str">
        <f t="shared" si="10"/>
        <v/>
      </c>
      <c r="AA66" s="23" t="str">
        <f t="shared" si="11"/>
        <v/>
      </c>
    </row>
    <row r="67" spans="1:27" ht="30" customHeight="1" x14ac:dyDescent="0.3">
      <c r="A67" s="17"/>
      <c r="B67" s="17"/>
      <c r="C67" s="23" t="str">
        <f>IF(B67="","",IFERROR(INDEX(tbl_quimicos[Nome_Comercial],MATCH(B67,tbl_quimicos[ID_Quimico],0)),"ID inválido"))</f>
        <v/>
      </c>
      <c r="D67" s="21"/>
      <c r="E67" s="2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1"/>
      <c r="U67" s="17"/>
      <c r="V67" s="10" t="str">
        <f t="shared" si="6"/>
        <v/>
      </c>
      <c r="W67" s="23" t="str">
        <f t="shared" si="7"/>
        <v/>
      </c>
      <c r="X67" s="10" t="str">
        <f t="shared" si="8"/>
        <v/>
      </c>
      <c r="Y67" s="23" t="str">
        <f t="shared" si="9"/>
        <v/>
      </c>
      <c r="Z67" s="23" t="str">
        <f t="shared" si="10"/>
        <v/>
      </c>
      <c r="AA67" s="23" t="str">
        <f t="shared" si="11"/>
        <v/>
      </c>
    </row>
    <row r="68" spans="1:27" ht="30" customHeight="1" x14ac:dyDescent="0.3">
      <c r="A68" s="17"/>
      <c r="B68" s="17"/>
      <c r="C68" s="23" t="str">
        <f>IF(B68="","",IFERROR(INDEX(tbl_quimicos[Nome_Comercial],MATCH(B68,tbl_quimicos[ID_Quimico],0)),"ID inválido"))</f>
        <v/>
      </c>
      <c r="D68" s="21"/>
      <c r="E68" s="21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1"/>
      <c r="U68" s="17"/>
      <c r="V68" s="10" t="str">
        <f t="shared" si="6"/>
        <v/>
      </c>
      <c r="W68" s="23" t="str">
        <f t="shared" si="7"/>
        <v/>
      </c>
      <c r="X68" s="10" t="str">
        <f t="shared" si="8"/>
        <v/>
      </c>
      <c r="Y68" s="23" t="str">
        <f t="shared" si="9"/>
        <v/>
      </c>
      <c r="Z68" s="23" t="str">
        <f t="shared" si="10"/>
        <v/>
      </c>
      <c r="AA68" s="23" t="str">
        <f t="shared" si="11"/>
        <v/>
      </c>
    </row>
    <row r="69" spans="1:27" ht="30" customHeight="1" x14ac:dyDescent="0.3">
      <c r="A69" s="17"/>
      <c r="B69" s="17"/>
      <c r="C69" s="23" t="str">
        <f>IF(B69="","",IFERROR(INDEX(tbl_quimicos[Nome_Comercial],MATCH(B69,tbl_quimicos[ID_Quimico],0)),"ID inválido"))</f>
        <v/>
      </c>
      <c r="D69" s="21"/>
      <c r="E69" s="2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1"/>
      <c r="U69" s="17"/>
      <c r="V69" s="10" t="str">
        <f t="shared" ref="V69:V85" si="12">IF(A69="","",(G69="Não")+(H69="Não")+(I69="Não")+(J69="Não")+(K69="Não")+(L69="Não")+(M69="Não")+(N69="Não")+(O69="Não")+(P69="Não")+(Q69="Não")+(R69="Não"))</f>
        <v/>
      </c>
      <c r="W69" s="23" t="str">
        <f t="shared" ref="W69:W100" si="13">IF(A69="","",IF(V69=0,"Conforme","Pedir correção"))</f>
        <v/>
      </c>
      <c r="X69" s="10" t="str">
        <f t="shared" ref="X69:X85" si="14">IF(OR(A69="",E69=""),"",DATEDIF(E69,DataRef,"m"))</f>
        <v/>
      </c>
      <c r="Y69" s="23" t="str">
        <f t="shared" ref="Y69:Y85" si="15">IF(A69="","",IF(E69=_xlfn.MAXIFS($E$5:$E$85,$B$5:$B$85,B69),"Sim","Não"))</f>
        <v/>
      </c>
      <c r="Z69" s="23" t="str">
        <f t="shared" ref="Z69:Z100" si="16">IF(Y69="Sim",B69,"")</f>
        <v/>
      </c>
      <c r="AA69" s="23" t="str">
        <f t="shared" ref="AA69:AA85" si="17">IF(A69="","",IF(Y69="Não","Substituída (conservar 10 anos)",IF(V69&gt;0,"Pedir correção ao fornecedor",IF(X69&gt;p_Meses_FDS,"Pedir confirmação (&gt; "&amp;p_Meses_FDS&amp;" meses)","OK"))))</f>
        <v/>
      </c>
    </row>
    <row r="70" spans="1:27" ht="30" customHeight="1" x14ac:dyDescent="0.3">
      <c r="A70" s="17"/>
      <c r="B70" s="17"/>
      <c r="C70" s="23" t="str">
        <f>IF(B70="","",IFERROR(INDEX(tbl_quimicos[Nome_Comercial],MATCH(B70,tbl_quimicos[ID_Quimico],0)),"ID inválido"))</f>
        <v/>
      </c>
      <c r="D70" s="21"/>
      <c r="E70" s="21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21"/>
      <c r="U70" s="17"/>
      <c r="V70" s="10" t="str">
        <f t="shared" si="12"/>
        <v/>
      </c>
      <c r="W70" s="23" t="str">
        <f t="shared" si="13"/>
        <v/>
      </c>
      <c r="X70" s="10" t="str">
        <f t="shared" si="14"/>
        <v/>
      </c>
      <c r="Y70" s="23" t="str">
        <f t="shared" si="15"/>
        <v/>
      </c>
      <c r="Z70" s="23" t="str">
        <f t="shared" si="16"/>
        <v/>
      </c>
      <c r="AA70" s="23" t="str">
        <f t="shared" si="17"/>
        <v/>
      </c>
    </row>
    <row r="71" spans="1:27" ht="30" customHeight="1" x14ac:dyDescent="0.3">
      <c r="A71" s="17"/>
      <c r="B71" s="17"/>
      <c r="C71" s="23" t="str">
        <f>IF(B71="","",IFERROR(INDEX(tbl_quimicos[Nome_Comercial],MATCH(B71,tbl_quimicos[ID_Quimico],0)),"ID inválido"))</f>
        <v/>
      </c>
      <c r="D71" s="21"/>
      <c r="E71" s="21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21"/>
      <c r="U71" s="17"/>
      <c r="V71" s="10" t="str">
        <f t="shared" si="12"/>
        <v/>
      </c>
      <c r="W71" s="23" t="str">
        <f t="shared" si="13"/>
        <v/>
      </c>
      <c r="X71" s="10" t="str">
        <f t="shared" si="14"/>
        <v/>
      </c>
      <c r="Y71" s="23" t="str">
        <f t="shared" si="15"/>
        <v/>
      </c>
      <c r="Z71" s="23" t="str">
        <f t="shared" si="16"/>
        <v/>
      </c>
      <c r="AA71" s="23" t="str">
        <f t="shared" si="17"/>
        <v/>
      </c>
    </row>
    <row r="72" spans="1:27" ht="30" customHeight="1" x14ac:dyDescent="0.3">
      <c r="A72" s="17"/>
      <c r="B72" s="17"/>
      <c r="C72" s="23" t="str">
        <f>IF(B72="","",IFERROR(INDEX(tbl_quimicos[Nome_Comercial],MATCH(B72,tbl_quimicos[ID_Quimico],0)),"ID inválido"))</f>
        <v/>
      </c>
      <c r="D72" s="21"/>
      <c r="E72" s="21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21"/>
      <c r="U72" s="17"/>
      <c r="V72" s="10" t="str">
        <f t="shared" si="12"/>
        <v/>
      </c>
      <c r="W72" s="23" t="str">
        <f t="shared" si="13"/>
        <v/>
      </c>
      <c r="X72" s="10" t="str">
        <f t="shared" si="14"/>
        <v/>
      </c>
      <c r="Y72" s="23" t="str">
        <f t="shared" si="15"/>
        <v/>
      </c>
      <c r="Z72" s="23" t="str">
        <f t="shared" si="16"/>
        <v/>
      </c>
      <c r="AA72" s="23" t="str">
        <f t="shared" si="17"/>
        <v/>
      </c>
    </row>
    <row r="73" spans="1:27" ht="30" customHeight="1" x14ac:dyDescent="0.3">
      <c r="A73" s="17"/>
      <c r="B73" s="17"/>
      <c r="C73" s="23" t="str">
        <f>IF(B73="","",IFERROR(INDEX(tbl_quimicos[Nome_Comercial],MATCH(B73,tbl_quimicos[ID_Quimico],0)),"ID inválido"))</f>
        <v/>
      </c>
      <c r="D73" s="21"/>
      <c r="E73" s="21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21"/>
      <c r="U73" s="17"/>
      <c r="V73" s="10" t="str">
        <f t="shared" si="12"/>
        <v/>
      </c>
      <c r="W73" s="23" t="str">
        <f t="shared" si="13"/>
        <v/>
      </c>
      <c r="X73" s="10" t="str">
        <f t="shared" si="14"/>
        <v/>
      </c>
      <c r="Y73" s="23" t="str">
        <f t="shared" si="15"/>
        <v/>
      </c>
      <c r="Z73" s="23" t="str">
        <f t="shared" si="16"/>
        <v/>
      </c>
      <c r="AA73" s="23" t="str">
        <f t="shared" si="17"/>
        <v/>
      </c>
    </row>
    <row r="74" spans="1:27" ht="30" customHeight="1" x14ac:dyDescent="0.3">
      <c r="A74" s="17"/>
      <c r="B74" s="17"/>
      <c r="C74" s="23" t="str">
        <f>IF(B74="","",IFERROR(INDEX(tbl_quimicos[Nome_Comercial],MATCH(B74,tbl_quimicos[ID_Quimico],0)),"ID inválido"))</f>
        <v/>
      </c>
      <c r="D74" s="21"/>
      <c r="E74" s="21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1"/>
      <c r="U74" s="17"/>
      <c r="V74" s="10" t="str">
        <f t="shared" si="12"/>
        <v/>
      </c>
      <c r="W74" s="23" t="str">
        <f t="shared" si="13"/>
        <v/>
      </c>
      <c r="X74" s="10" t="str">
        <f t="shared" si="14"/>
        <v/>
      </c>
      <c r="Y74" s="23" t="str">
        <f t="shared" si="15"/>
        <v/>
      </c>
      <c r="Z74" s="23" t="str">
        <f t="shared" si="16"/>
        <v/>
      </c>
      <c r="AA74" s="23" t="str">
        <f t="shared" si="17"/>
        <v/>
      </c>
    </row>
    <row r="75" spans="1:27" ht="30" customHeight="1" x14ac:dyDescent="0.3">
      <c r="A75" s="17"/>
      <c r="B75" s="17"/>
      <c r="C75" s="23" t="str">
        <f>IF(B75="","",IFERROR(INDEX(tbl_quimicos[Nome_Comercial],MATCH(B75,tbl_quimicos[ID_Quimico],0)),"ID inválido"))</f>
        <v/>
      </c>
      <c r="D75" s="21"/>
      <c r="E75" s="21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21"/>
      <c r="U75" s="17"/>
      <c r="V75" s="10" t="str">
        <f t="shared" si="12"/>
        <v/>
      </c>
      <c r="W75" s="23" t="str">
        <f t="shared" si="13"/>
        <v/>
      </c>
      <c r="X75" s="10" t="str">
        <f t="shared" si="14"/>
        <v/>
      </c>
      <c r="Y75" s="23" t="str">
        <f t="shared" si="15"/>
        <v/>
      </c>
      <c r="Z75" s="23" t="str">
        <f t="shared" si="16"/>
        <v/>
      </c>
      <c r="AA75" s="23" t="str">
        <f t="shared" si="17"/>
        <v/>
      </c>
    </row>
    <row r="76" spans="1:27" ht="30" customHeight="1" x14ac:dyDescent="0.3">
      <c r="A76" s="17"/>
      <c r="B76" s="17"/>
      <c r="C76" s="23" t="str">
        <f>IF(B76="","",IFERROR(INDEX(tbl_quimicos[Nome_Comercial],MATCH(B76,tbl_quimicos[ID_Quimico],0)),"ID inválido"))</f>
        <v/>
      </c>
      <c r="D76" s="21"/>
      <c r="E76" s="21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1"/>
      <c r="U76" s="17"/>
      <c r="V76" s="10" t="str">
        <f t="shared" si="12"/>
        <v/>
      </c>
      <c r="W76" s="23" t="str">
        <f t="shared" si="13"/>
        <v/>
      </c>
      <c r="X76" s="10" t="str">
        <f t="shared" si="14"/>
        <v/>
      </c>
      <c r="Y76" s="23" t="str">
        <f t="shared" si="15"/>
        <v/>
      </c>
      <c r="Z76" s="23" t="str">
        <f t="shared" si="16"/>
        <v/>
      </c>
      <c r="AA76" s="23" t="str">
        <f t="shared" si="17"/>
        <v/>
      </c>
    </row>
    <row r="77" spans="1:27" ht="30" customHeight="1" x14ac:dyDescent="0.3">
      <c r="A77" s="17"/>
      <c r="B77" s="17"/>
      <c r="C77" s="23" t="str">
        <f>IF(B77="","",IFERROR(INDEX(tbl_quimicos[Nome_Comercial],MATCH(B77,tbl_quimicos[ID_Quimico],0)),"ID inválido"))</f>
        <v/>
      </c>
      <c r="D77" s="21"/>
      <c r="E77" s="21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21"/>
      <c r="U77" s="17"/>
      <c r="V77" s="10" t="str">
        <f t="shared" si="12"/>
        <v/>
      </c>
      <c r="W77" s="23" t="str">
        <f t="shared" si="13"/>
        <v/>
      </c>
      <c r="X77" s="10" t="str">
        <f t="shared" si="14"/>
        <v/>
      </c>
      <c r="Y77" s="23" t="str">
        <f t="shared" si="15"/>
        <v/>
      </c>
      <c r="Z77" s="23" t="str">
        <f t="shared" si="16"/>
        <v/>
      </c>
      <c r="AA77" s="23" t="str">
        <f t="shared" si="17"/>
        <v/>
      </c>
    </row>
    <row r="78" spans="1:27" ht="30" customHeight="1" x14ac:dyDescent="0.3">
      <c r="A78" s="17"/>
      <c r="B78" s="17"/>
      <c r="C78" s="23" t="str">
        <f>IF(B78="","",IFERROR(INDEX(tbl_quimicos[Nome_Comercial],MATCH(B78,tbl_quimicos[ID_Quimico],0)),"ID inválido"))</f>
        <v/>
      </c>
      <c r="D78" s="21"/>
      <c r="E78" s="21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21"/>
      <c r="U78" s="17"/>
      <c r="V78" s="10" t="str">
        <f t="shared" si="12"/>
        <v/>
      </c>
      <c r="W78" s="23" t="str">
        <f t="shared" si="13"/>
        <v/>
      </c>
      <c r="X78" s="10" t="str">
        <f t="shared" si="14"/>
        <v/>
      </c>
      <c r="Y78" s="23" t="str">
        <f t="shared" si="15"/>
        <v/>
      </c>
      <c r="Z78" s="23" t="str">
        <f t="shared" si="16"/>
        <v/>
      </c>
      <c r="AA78" s="23" t="str">
        <f t="shared" si="17"/>
        <v/>
      </c>
    </row>
    <row r="79" spans="1:27" ht="30" customHeight="1" x14ac:dyDescent="0.3">
      <c r="A79" s="17"/>
      <c r="B79" s="17"/>
      <c r="C79" s="23" t="str">
        <f>IF(B79="","",IFERROR(INDEX(tbl_quimicos[Nome_Comercial],MATCH(B79,tbl_quimicos[ID_Quimico],0)),"ID inválido"))</f>
        <v/>
      </c>
      <c r="D79" s="21"/>
      <c r="E79" s="21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21"/>
      <c r="U79" s="17"/>
      <c r="V79" s="10" t="str">
        <f t="shared" si="12"/>
        <v/>
      </c>
      <c r="W79" s="23" t="str">
        <f t="shared" si="13"/>
        <v/>
      </c>
      <c r="X79" s="10" t="str">
        <f t="shared" si="14"/>
        <v/>
      </c>
      <c r="Y79" s="23" t="str">
        <f t="shared" si="15"/>
        <v/>
      </c>
      <c r="Z79" s="23" t="str">
        <f t="shared" si="16"/>
        <v/>
      </c>
      <c r="AA79" s="23" t="str">
        <f t="shared" si="17"/>
        <v/>
      </c>
    </row>
    <row r="80" spans="1:27" ht="30" customHeight="1" x14ac:dyDescent="0.3">
      <c r="A80" s="17"/>
      <c r="B80" s="17"/>
      <c r="C80" s="23" t="str">
        <f>IF(B80="","",IFERROR(INDEX(tbl_quimicos[Nome_Comercial],MATCH(B80,tbl_quimicos[ID_Quimico],0)),"ID inválido"))</f>
        <v/>
      </c>
      <c r="D80" s="21"/>
      <c r="E80" s="21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1"/>
      <c r="U80" s="17"/>
      <c r="V80" s="10" t="str">
        <f t="shared" si="12"/>
        <v/>
      </c>
      <c r="W80" s="23" t="str">
        <f t="shared" si="13"/>
        <v/>
      </c>
      <c r="X80" s="10" t="str">
        <f t="shared" si="14"/>
        <v/>
      </c>
      <c r="Y80" s="23" t="str">
        <f t="shared" si="15"/>
        <v/>
      </c>
      <c r="Z80" s="23" t="str">
        <f t="shared" si="16"/>
        <v/>
      </c>
      <c r="AA80" s="23" t="str">
        <f t="shared" si="17"/>
        <v/>
      </c>
    </row>
    <row r="81" spans="1:27" ht="30" customHeight="1" x14ac:dyDescent="0.3">
      <c r="A81" s="17"/>
      <c r="B81" s="17"/>
      <c r="C81" s="23" t="str">
        <f>IF(B81="","",IFERROR(INDEX(tbl_quimicos[Nome_Comercial],MATCH(B81,tbl_quimicos[ID_Quimico],0)),"ID inválido"))</f>
        <v/>
      </c>
      <c r="D81" s="21"/>
      <c r="E81" s="21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1"/>
      <c r="U81" s="17"/>
      <c r="V81" s="10" t="str">
        <f t="shared" si="12"/>
        <v/>
      </c>
      <c r="W81" s="23" t="str">
        <f t="shared" si="13"/>
        <v/>
      </c>
      <c r="X81" s="10" t="str">
        <f t="shared" si="14"/>
        <v/>
      </c>
      <c r="Y81" s="23" t="str">
        <f t="shared" si="15"/>
        <v/>
      </c>
      <c r="Z81" s="23" t="str">
        <f t="shared" si="16"/>
        <v/>
      </c>
      <c r="AA81" s="23" t="str">
        <f t="shared" si="17"/>
        <v/>
      </c>
    </row>
    <row r="82" spans="1:27" ht="30" customHeight="1" x14ac:dyDescent="0.3">
      <c r="A82" s="17"/>
      <c r="B82" s="17"/>
      <c r="C82" s="23" t="str">
        <f>IF(B82="","",IFERROR(INDEX(tbl_quimicos[Nome_Comercial],MATCH(B82,tbl_quimicos[ID_Quimico],0)),"ID inválido"))</f>
        <v/>
      </c>
      <c r="D82" s="21"/>
      <c r="E82" s="21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1"/>
      <c r="U82" s="17"/>
      <c r="V82" s="10" t="str">
        <f t="shared" si="12"/>
        <v/>
      </c>
      <c r="W82" s="23" t="str">
        <f t="shared" si="13"/>
        <v/>
      </c>
      <c r="X82" s="10" t="str">
        <f t="shared" si="14"/>
        <v/>
      </c>
      <c r="Y82" s="23" t="str">
        <f t="shared" si="15"/>
        <v/>
      </c>
      <c r="Z82" s="23" t="str">
        <f t="shared" si="16"/>
        <v/>
      </c>
      <c r="AA82" s="23" t="str">
        <f t="shared" si="17"/>
        <v/>
      </c>
    </row>
    <row r="83" spans="1:27" ht="30" customHeight="1" x14ac:dyDescent="0.3">
      <c r="A83" s="17"/>
      <c r="B83" s="17"/>
      <c r="C83" s="23" t="str">
        <f>IF(B83="","",IFERROR(INDEX(tbl_quimicos[Nome_Comercial],MATCH(B83,tbl_quimicos[ID_Quimico],0)),"ID inválido"))</f>
        <v/>
      </c>
      <c r="D83" s="21"/>
      <c r="E83" s="21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1"/>
      <c r="U83" s="17"/>
      <c r="V83" s="10" t="str">
        <f t="shared" si="12"/>
        <v/>
      </c>
      <c r="W83" s="23" t="str">
        <f t="shared" si="13"/>
        <v/>
      </c>
      <c r="X83" s="10" t="str">
        <f t="shared" si="14"/>
        <v/>
      </c>
      <c r="Y83" s="23" t="str">
        <f t="shared" si="15"/>
        <v/>
      </c>
      <c r="Z83" s="23" t="str">
        <f t="shared" si="16"/>
        <v/>
      </c>
      <c r="AA83" s="23" t="str">
        <f t="shared" si="17"/>
        <v/>
      </c>
    </row>
    <row r="84" spans="1:27" ht="30" customHeight="1" x14ac:dyDescent="0.3">
      <c r="A84" s="17"/>
      <c r="B84" s="17"/>
      <c r="C84" s="23" t="str">
        <f>IF(B84="","",IFERROR(INDEX(tbl_quimicos[Nome_Comercial],MATCH(B84,tbl_quimicos[ID_Quimico],0)),"ID inválido"))</f>
        <v/>
      </c>
      <c r="D84" s="21"/>
      <c r="E84" s="21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1"/>
      <c r="U84" s="17"/>
      <c r="V84" s="10" t="str">
        <f t="shared" si="12"/>
        <v/>
      </c>
      <c r="W84" s="23" t="str">
        <f t="shared" si="13"/>
        <v/>
      </c>
      <c r="X84" s="10" t="str">
        <f t="shared" si="14"/>
        <v/>
      </c>
      <c r="Y84" s="23" t="str">
        <f t="shared" si="15"/>
        <v/>
      </c>
      <c r="Z84" s="23" t="str">
        <f t="shared" si="16"/>
        <v/>
      </c>
      <c r="AA84" s="23" t="str">
        <f t="shared" si="17"/>
        <v/>
      </c>
    </row>
    <row r="85" spans="1:27" ht="30" customHeight="1" x14ac:dyDescent="0.3">
      <c r="A85" s="17"/>
      <c r="B85" s="17"/>
      <c r="C85" s="23" t="str">
        <f>IF(B85="","",IFERROR(INDEX(tbl_quimicos[Nome_Comercial],MATCH(B85,tbl_quimicos[ID_Quimico],0)),"ID inválido"))</f>
        <v/>
      </c>
      <c r="D85" s="21"/>
      <c r="E85" s="21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1"/>
      <c r="U85" s="17"/>
      <c r="V85" s="10" t="str">
        <f t="shared" si="12"/>
        <v/>
      </c>
      <c r="W85" s="23" t="str">
        <f t="shared" si="13"/>
        <v/>
      </c>
      <c r="X85" s="10" t="str">
        <f t="shared" si="14"/>
        <v/>
      </c>
      <c r="Y85" s="23" t="str">
        <f t="shared" si="15"/>
        <v/>
      </c>
      <c r="Z85" s="23" t="str">
        <f t="shared" si="16"/>
        <v/>
      </c>
      <c r="AA85" s="23" t="str">
        <f t="shared" si="17"/>
        <v/>
      </c>
    </row>
  </sheetData>
  <conditionalFormatting sqref="G5:R285">
    <cfRule type="expression" dxfId="55" priority="6">
      <formula>ISNUMBER(SEARCH("Não",G5))</formula>
    </cfRule>
  </conditionalFormatting>
  <conditionalFormatting sqref="W5:W285">
    <cfRule type="expression" dxfId="54" priority="4">
      <formula>ISNUMBER(SEARCH("Conforme",W5))</formula>
    </cfRule>
    <cfRule type="expression" dxfId="53" priority="5">
      <formula>ISNUMBER(SEARCH("Pedir",W5))</formula>
    </cfRule>
  </conditionalFormatting>
  <conditionalFormatting sqref="AA5:AA285">
    <cfRule type="expression" dxfId="52" priority="1">
      <formula>ISNUMBER(SEARCH("OK",AA5))</formula>
    </cfRule>
    <cfRule type="expression" dxfId="51" priority="2">
      <formula>ISNUMBER(SEARCH("Pedir",AA5))</formula>
    </cfRule>
    <cfRule type="expression" dxfId="50" priority="3">
      <formula>ISNUMBER(SEARCH("Substituída",AA5))</formula>
    </cfRule>
  </conditionalFormatting>
  <dataValidations count="3">
    <dataValidation type="list" allowBlank="1" showErrorMessage="1" errorTitle="Valor inválido" error="Valor fora da lista controlada (ver folha Listas)." sqref="G5:R285" xr:uid="{00000000-0002-0000-0500-000000000000}">
      <formula1>lst_SimNaoNA</formula1>
    </dataValidation>
    <dataValidation type="list" allowBlank="1" showErrorMessage="1" errorTitle="Valor inválido" error="Valor fora da lista controlada (ver folha Listas)." sqref="S5:S285" xr:uid="{00000000-0002-0000-0500-00000C000000}">
      <formula1>lst_SimNao</formula1>
    </dataValidation>
    <dataValidation type="list" allowBlank="1" showErrorMessage="1" errorTitle="Valor inválido" error="Valor fora da lista controlada (ver folha Listas)." sqref="U5:U285" xr:uid="{00000000-0002-0000-0500-00000D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34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3" width="9" customWidth="1"/>
    <col min="4" max="4" width="26" customWidth="1"/>
    <col min="5" max="5" width="30" customWidth="1"/>
    <col min="6" max="6" width="18" customWidth="1"/>
    <col min="7" max="7" width="34" customWidth="1"/>
    <col min="8" max="8" width="10" customWidth="1"/>
    <col min="9" max="9" width="40" customWidth="1"/>
    <col min="10" max="10" width="36" customWidth="1"/>
    <col min="11" max="11" width="18" customWidth="1"/>
    <col min="12" max="12" width="13" customWidth="1"/>
    <col min="13" max="13" width="26" customWidth="1"/>
    <col min="14" max="14" width="11" customWidth="1"/>
    <col min="15" max="15" width="22" customWidth="1"/>
    <col min="16" max="18" width="11" customWidth="1"/>
    <col min="19" max="19" width="22" customWidth="1"/>
  </cols>
  <sheetData>
    <row r="1" spans="1:19" ht="17.399999999999999" x14ac:dyDescent="0.3">
      <c r="A1" s="1" t="s">
        <v>764</v>
      </c>
    </row>
    <row r="2" spans="1:19" x14ac:dyDescent="0.3">
      <c r="A2" s="2" t="s">
        <v>765</v>
      </c>
    </row>
    <row r="4" spans="1:19" ht="39.6" x14ac:dyDescent="0.3">
      <c r="A4" s="8" t="s">
        <v>766</v>
      </c>
      <c r="B4" s="8" t="s">
        <v>213</v>
      </c>
      <c r="C4" s="8" t="s">
        <v>683</v>
      </c>
      <c r="D4" s="8" t="s">
        <v>767</v>
      </c>
      <c r="E4" s="8" t="s">
        <v>768</v>
      </c>
      <c r="F4" s="8" t="s">
        <v>769</v>
      </c>
      <c r="G4" s="8" t="s">
        <v>770</v>
      </c>
      <c r="H4" s="8" t="s">
        <v>771</v>
      </c>
      <c r="I4" s="8" t="s">
        <v>772</v>
      </c>
      <c r="J4" s="8" t="s">
        <v>773</v>
      </c>
      <c r="K4" s="8" t="s">
        <v>774</v>
      </c>
      <c r="L4" s="8" t="s">
        <v>704</v>
      </c>
      <c r="M4" s="8" t="s">
        <v>775</v>
      </c>
      <c r="N4" s="8" t="s">
        <v>776</v>
      </c>
      <c r="O4" s="8" t="s">
        <v>777</v>
      </c>
      <c r="P4" s="18" t="s">
        <v>778</v>
      </c>
      <c r="Q4" s="18" t="s">
        <v>779</v>
      </c>
      <c r="R4" s="18" t="s">
        <v>780</v>
      </c>
      <c r="S4" s="18" t="s">
        <v>14</v>
      </c>
    </row>
    <row r="5" spans="1:19" ht="60" customHeight="1" x14ac:dyDescent="0.3">
      <c r="A5" s="17" t="s">
        <v>781</v>
      </c>
      <c r="B5" s="17" t="s">
        <v>300</v>
      </c>
      <c r="C5" s="17" t="s">
        <v>722</v>
      </c>
      <c r="D5" s="17" t="s">
        <v>554</v>
      </c>
      <c r="E5" s="17" t="s">
        <v>782</v>
      </c>
      <c r="F5" s="17" t="s">
        <v>783</v>
      </c>
      <c r="G5" s="17" t="s">
        <v>784</v>
      </c>
      <c r="H5" s="17" t="s">
        <v>785</v>
      </c>
      <c r="I5" s="17" t="s">
        <v>786</v>
      </c>
      <c r="J5" s="17" t="s">
        <v>787</v>
      </c>
      <c r="K5" s="17" t="s">
        <v>788</v>
      </c>
      <c r="L5" s="17" t="s">
        <v>789</v>
      </c>
      <c r="M5" s="17" t="s">
        <v>790</v>
      </c>
      <c r="N5" s="21"/>
      <c r="O5" s="17" t="s">
        <v>791</v>
      </c>
      <c r="P5" s="24">
        <f>IF(A5="","",IFERROR(INDEX(tbl_fds[Data_Rececao],MATCH(C5,tbl_fds[ID_FDS],0)),""))</f>
        <v>46083</v>
      </c>
      <c r="Q5" s="24">
        <f t="shared" ref="Q5:Q34" si="0">IF(OR(A5="",P5=""),"",IF(L5="Coberto","",EDATE(P5,p_Meses_CE)))</f>
        <v>46448</v>
      </c>
      <c r="R5" s="24" t="str">
        <f t="shared" ref="R5:R34" si="1">IF(M5="Elaborar RSQ-UJ (art. 37.º, n.º 4)",EDATE(P5,p_Meses_RSQ),"")</f>
        <v/>
      </c>
      <c r="S5" s="23" t="str">
        <f t="shared" ref="S5:S34" si="2">IF(A5="","",IF(L5="Coberto","Conforme",IF(N5&lt;&gt;"","Implementado",IF(Q5&lt;DataRef,"Prazo legal ultrapassado","Em curso — "&amp;TEXT(Q5-DataRef,"0")&amp;" dias"))))</f>
        <v>Em curso — 61 dias</v>
      </c>
    </row>
    <row r="6" spans="1:19" ht="60" customHeight="1" x14ac:dyDescent="0.3">
      <c r="A6" s="17" t="s">
        <v>792</v>
      </c>
      <c r="B6" s="17" t="s">
        <v>289</v>
      </c>
      <c r="C6" s="17" t="s">
        <v>716</v>
      </c>
      <c r="D6" s="17" t="s">
        <v>548</v>
      </c>
      <c r="E6" s="17" t="s">
        <v>793</v>
      </c>
      <c r="F6" s="17" t="s">
        <v>794</v>
      </c>
      <c r="G6" s="17" t="s">
        <v>795</v>
      </c>
      <c r="H6" s="17" t="s">
        <v>796</v>
      </c>
      <c r="I6" s="17" t="s">
        <v>797</v>
      </c>
      <c r="J6" s="17" t="s">
        <v>798</v>
      </c>
      <c r="K6" s="17" t="s">
        <v>799</v>
      </c>
      <c r="L6" s="17" t="s">
        <v>800</v>
      </c>
      <c r="M6" s="17" t="s">
        <v>790</v>
      </c>
      <c r="N6" s="21"/>
      <c r="O6" s="17" t="s">
        <v>791</v>
      </c>
      <c r="P6" s="24">
        <f>IF(A6="","",IFERROR(INDEX(tbl_fds[Data_Rececao],MATCH(C6,tbl_fds[ID_FDS],0)),""))</f>
        <v>44348</v>
      </c>
      <c r="Q6" s="24">
        <f t="shared" si="0"/>
        <v>44713</v>
      </c>
      <c r="R6" s="24" t="str">
        <f t="shared" si="1"/>
        <v/>
      </c>
      <c r="S6" s="23" t="str">
        <f t="shared" si="2"/>
        <v>Prazo legal ultrapassado</v>
      </c>
    </row>
    <row r="7" spans="1:19" ht="60" customHeight="1" x14ac:dyDescent="0.3">
      <c r="A7" s="17" t="s">
        <v>801</v>
      </c>
      <c r="B7" s="17" t="s">
        <v>529</v>
      </c>
      <c r="C7" s="17" t="s">
        <v>763</v>
      </c>
      <c r="D7" s="17" t="s">
        <v>678</v>
      </c>
      <c r="E7" s="17" t="s">
        <v>802</v>
      </c>
      <c r="F7" s="17" t="s">
        <v>803</v>
      </c>
      <c r="G7" s="17" t="s">
        <v>804</v>
      </c>
      <c r="H7" s="17" t="s">
        <v>785</v>
      </c>
      <c r="I7" s="17" t="s">
        <v>805</v>
      </c>
      <c r="J7" s="17" t="s">
        <v>806</v>
      </c>
      <c r="K7" s="17" t="s">
        <v>788</v>
      </c>
      <c r="L7" s="17" t="s">
        <v>807</v>
      </c>
      <c r="M7" s="17" t="s">
        <v>808</v>
      </c>
      <c r="N7" s="21"/>
      <c r="O7" s="17" t="s">
        <v>791</v>
      </c>
      <c r="P7" s="24">
        <f>IF(A7="","",IFERROR(INDEX(tbl_fds[Data_Rececao],MATCH(C7,tbl_fds[ID_FDS],0)),""))</f>
        <v>46000</v>
      </c>
      <c r="Q7" s="24" t="str">
        <f t="shared" si="0"/>
        <v/>
      </c>
      <c r="R7" s="24" t="str">
        <f t="shared" si="1"/>
        <v/>
      </c>
      <c r="S7" s="23" t="str">
        <f t="shared" si="2"/>
        <v>Conforme</v>
      </c>
    </row>
    <row r="8" spans="1:19" ht="60" customHeight="1" x14ac:dyDescent="0.3">
      <c r="A8" s="17" t="s">
        <v>809</v>
      </c>
      <c r="B8" s="17" t="s">
        <v>516</v>
      </c>
      <c r="C8" s="17" t="s">
        <v>760</v>
      </c>
      <c r="D8" s="17" t="s">
        <v>669</v>
      </c>
      <c r="E8" s="17" t="s">
        <v>810</v>
      </c>
      <c r="F8" s="17" t="s">
        <v>811</v>
      </c>
      <c r="G8" s="17" t="s">
        <v>812</v>
      </c>
      <c r="H8" s="17" t="s">
        <v>813</v>
      </c>
      <c r="I8" s="17" t="s">
        <v>814</v>
      </c>
      <c r="J8" s="17" t="s">
        <v>815</v>
      </c>
      <c r="K8" s="17" t="s">
        <v>788</v>
      </c>
      <c r="L8" s="17" t="s">
        <v>807</v>
      </c>
      <c r="M8" s="17" t="s">
        <v>808</v>
      </c>
      <c r="N8" s="21"/>
      <c r="O8" s="17" t="s">
        <v>816</v>
      </c>
      <c r="P8" s="24">
        <f>IF(A8="","",IFERROR(INDEX(tbl_fds[Data_Rececao],MATCH(C8,tbl_fds[ID_FDS],0)),""))</f>
        <v>46144</v>
      </c>
      <c r="Q8" s="24" t="str">
        <f t="shared" si="0"/>
        <v/>
      </c>
      <c r="R8" s="24" t="str">
        <f t="shared" si="1"/>
        <v/>
      </c>
      <c r="S8" s="23" t="str">
        <f t="shared" si="2"/>
        <v>Conforme</v>
      </c>
    </row>
    <row r="9" spans="1:19" ht="60" customHeight="1" x14ac:dyDescent="0.3">
      <c r="A9" s="17" t="s">
        <v>817</v>
      </c>
      <c r="B9" s="17" t="s">
        <v>524</v>
      </c>
      <c r="C9" s="17" t="s">
        <v>762</v>
      </c>
      <c r="D9" s="17" t="s">
        <v>673</v>
      </c>
      <c r="E9" s="17" t="s">
        <v>810</v>
      </c>
      <c r="F9" s="17" t="s">
        <v>818</v>
      </c>
      <c r="G9" s="17" t="s">
        <v>819</v>
      </c>
      <c r="H9" s="17" t="s">
        <v>813</v>
      </c>
      <c r="I9" s="17" t="s">
        <v>820</v>
      </c>
      <c r="J9" s="17" t="s">
        <v>821</v>
      </c>
      <c r="K9" s="17" t="s">
        <v>788</v>
      </c>
      <c r="L9" s="17" t="s">
        <v>807</v>
      </c>
      <c r="M9" s="17" t="s">
        <v>808</v>
      </c>
      <c r="N9" s="21"/>
      <c r="O9" s="17" t="s">
        <v>816</v>
      </c>
      <c r="P9" s="24">
        <f>IF(A9="","",IFERROR(INDEX(tbl_fds[Data_Rececao],MATCH(C9,tbl_fds[ID_FDS],0)),""))</f>
        <v>46144</v>
      </c>
      <c r="Q9" s="24" t="str">
        <f t="shared" si="0"/>
        <v/>
      </c>
      <c r="R9" s="24" t="str">
        <f t="shared" si="1"/>
        <v/>
      </c>
      <c r="S9" s="23" t="str">
        <f t="shared" si="2"/>
        <v>Conforme</v>
      </c>
    </row>
    <row r="10" spans="1:19" ht="60" customHeight="1" x14ac:dyDescent="0.3">
      <c r="A10" s="17" t="s">
        <v>822</v>
      </c>
      <c r="B10" s="17" t="s">
        <v>464</v>
      </c>
      <c r="C10" s="17" t="s">
        <v>751</v>
      </c>
      <c r="D10" s="17" t="s">
        <v>651</v>
      </c>
      <c r="E10" s="17" t="s">
        <v>823</v>
      </c>
      <c r="F10" s="17" t="s">
        <v>824</v>
      </c>
      <c r="G10" s="17" t="s">
        <v>825</v>
      </c>
      <c r="H10" s="17" t="s">
        <v>826</v>
      </c>
      <c r="I10" s="17" t="s">
        <v>827</v>
      </c>
      <c r="J10" s="17" t="s">
        <v>828</v>
      </c>
      <c r="K10" s="17" t="s">
        <v>788</v>
      </c>
      <c r="L10" s="17" t="s">
        <v>807</v>
      </c>
      <c r="M10" s="17" t="s">
        <v>808</v>
      </c>
      <c r="N10" s="21"/>
      <c r="O10" s="17" t="s">
        <v>829</v>
      </c>
      <c r="P10" s="24">
        <f>IF(A10="","",IFERROR(INDEX(tbl_fds[Data_Rececao],MATCH(C10,tbl_fds[ID_FDS],0)),""))</f>
        <v>45839</v>
      </c>
      <c r="Q10" s="24" t="str">
        <f t="shared" si="0"/>
        <v/>
      </c>
      <c r="R10" s="24" t="str">
        <f t="shared" si="1"/>
        <v/>
      </c>
      <c r="S10" s="23" t="str">
        <f t="shared" si="2"/>
        <v>Conforme</v>
      </c>
    </row>
    <row r="11" spans="1:19" ht="60" customHeight="1" x14ac:dyDescent="0.3">
      <c r="A11" s="17" t="s">
        <v>830</v>
      </c>
      <c r="B11" s="17" t="s">
        <v>450</v>
      </c>
      <c r="C11" s="17" t="s">
        <v>748</v>
      </c>
      <c r="D11" s="17" t="s">
        <v>831</v>
      </c>
      <c r="E11" s="17" t="s">
        <v>832</v>
      </c>
      <c r="F11" s="17" t="s">
        <v>833</v>
      </c>
      <c r="G11" s="17" t="s">
        <v>834</v>
      </c>
      <c r="H11" s="17" t="s">
        <v>835</v>
      </c>
      <c r="I11" s="17" t="s">
        <v>836</v>
      </c>
      <c r="J11" s="17" t="s">
        <v>837</v>
      </c>
      <c r="K11" s="17" t="s">
        <v>788</v>
      </c>
      <c r="L11" s="17" t="s">
        <v>807</v>
      </c>
      <c r="M11" s="17" t="s">
        <v>808</v>
      </c>
      <c r="N11" s="21"/>
      <c r="O11" s="17" t="s">
        <v>829</v>
      </c>
      <c r="P11" s="24">
        <f>IF(A11="","",IFERROR(INDEX(tbl_fds[Data_Rececao],MATCH(C11,tbl_fds[ID_FDS],0)),""))</f>
        <v>45719</v>
      </c>
      <c r="Q11" s="24" t="str">
        <f t="shared" si="0"/>
        <v/>
      </c>
      <c r="R11" s="24" t="str">
        <f t="shared" si="1"/>
        <v/>
      </c>
      <c r="S11" s="23" t="str">
        <f t="shared" si="2"/>
        <v>Conforme</v>
      </c>
    </row>
    <row r="12" spans="1:19" ht="60" customHeight="1" x14ac:dyDescent="0.3">
      <c r="A12" s="17" t="s">
        <v>838</v>
      </c>
      <c r="B12" s="17" t="s">
        <v>484</v>
      </c>
      <c r="C12" s="17" t="s">
        <v>755</v>
      </c>
      <c r="D12" s="17" t="s">
        <v>655</v>
      </c>
      <c r="E12" s="17" t="s">
        <v>839</v>
      </c>
      <c r="F12" s="17" t="s">
        <v>840</v>
      </c>
      <c r="G12" s="17" t="s">
        <v>841</v>
      </c>
      <c r="H12" s="17" t="s">
        <v>842</v>
      </c>
      <c r="I12" s="17" t="s">
        <v>843</v>
      </c>
      <c r="J12" s="17" t="s">
        <v>844</v>
      </c>
      <c r="K12" s="17" t="s">
        <v>788</v>
      </c>
      <c r="L12" s="17" t="s">
        <v>800</v>
      </c>
      <c r="M12" s="17" t="s">
        <v>790</v>
      </c>
      <c r="N12" s="21"/>
      <c r="O12" s="17" t="s">
        <v>829</v>
      </c>
      <c r="P12" s="24">
        <f>IF(A12="","",IFERROR(INDEX(tbl_fds[Data_Rececao],MATCH(C12,tbl_fds[ID_FDS],0)),""))</f>
        <v>45699</v>
      </c>
      <c r="Q12" s="24">
        <f t="shared" si="0"/>
        <v>46064</v>
      </c>
      <c r="R12" s="24" t="str">
        <f t="shared" si="1"/>
        <v/>
      </c>
      <c r="S12" s="23" t="str">
        <f t="shared" si="2"/>
        <v>Prazo legal ultrapassado</v>
      </c>
    </row>
    <row r="13" spans="1:19" ht="60" customHeight="1" x14ac:dyDescent="0.3">
      <c r="A13" s="17" t="s">
        <v>845</v>
      </c>
      <c r="B13" s="17" t="s">
        <v>435</v>
      </c>
      <c r="C13" s="17" t="s">
        <v>745</v>
      </c>
      <c r="D13" s="17" t="s">
        <v>632</v>
      </c>
      <c r="E13" s="17" t="s">
        <v>846</v>
      </c>
      <c r="F13" s="17" t="s">
        <v>847</v>
      </c>
      <c r="G13" s="17" t="s">
        <v>848</v>
      </c>
      <c r="H13" s="17" t="s">
        <v>849</v>
      </c>
      <c r="I13" s="17" t="s">
        <v>850</v>
      </c>
      <c r="J13" s="17" t="s">
        <v>851</v>
      </c>
      <c r="K13" s="17" t="s">
        <v>852</v>
      </c>
      <c r="L13" s="17" t="s">
        <v>789</v>
      </c>
      <c r="M13" s="17" t="s">
        <v>853</v>
      </c>
      <c r="N13" s="21"/>
      <c r="O13" s="17" t="s">
        <v>829</v>
      </c>
      <c r="P13" s="24">
        <f>IF(A13="","",IFERROR(INDEX(tbl_fds[Data_Rececao],MATCH(C13,tbl_fds[ID_FDS],0)),""))</f>
        <v>46099</v>
      </c>
      <c r="Q13" s="24">
        <f t="shared" si="0"/>
        <v>46464</v>
      </c>
      <c r="R13" s="24" t="str">
        <f t="shared" si="1"/>
        <v/>
      </c>
      <c r="S13" s="23" t="str">
        <f t="shared" si="2"/>
        <v>Em curso — 77 dias</v>
      </c>
    </row>
    <row r="14" spans="1:19" ht="60" customHeight="1" x14ac:dyDescent="0.3">
      <c r="A14" s="17" t="s">
        <v>854</v>
      </c>
      <c r="B14" s="17" t="s">
        <v>322</v>
      </c>
      <c r="C14" s="17" t="s">
        <v>727</v>
      </c>
      <c r="D14" s="17" t="s">
        <v>611</v>
      </c>
      <c r="E14" s="17" t="s">
        <v>855</v>
      </c>
      <c r="F14" s="17" t="s">
        <v>856</v>
      </c>
      <c r="G14" s="17" t="s">
        <v>857</v>
      </c>
      <c r="H14" s="17" t="s">
        <v>858</v>
      </c>
      <c r="I14" s="17" t="s">
        <v>859</v>
      </c>
      <c r="J14" s="17" t="s">
        <v>860</v>
      </c>
      <c r="K14" s="17" t="s">
        <v>788</v>
      </c>
      <c r="L14" s="17" t="s">
        <v>807</v>
      </c>
      <c r="M14" s="17" t="s">
        <v>808</v>
      </c>
      <c r="N14" s="21"/>
      <c r="O14" s="17" t="s">
        <v>829</v>
      </c>
      <c r="P14" s="24">
        <f>IF(A14="","",IFERROR(INDEX(tbl_fds[Data_Rececao],MATCH(C14,tbl_fds[ID_FDS],0)),""))</f>
        <v>45677</v>
      </c>
      <c r="Q14" s="24" t="str">
        <f t="shared" si="0"/>
        <v/>
      </c>
      <c r="R14" s="24" t="str">
        <f t="shared" si="1"/>
        <v/>
      </c>
      <c r="S14" s="23" t="str">
        <f t="shared" si="2"/>
        <v>Conforme</v>
      </c>
    </row>
    <row r="15" spans="1:19" ht="60" customHeight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21"/>
      <c r="O15" s="17"/>
      <c r="P15" s="24" t="str">
        <f>IF(A15="","",IFERROR(INDEX(tbl_fds[Data_Rececao],MATCH(C15,tbl_fds[ID_FDS],0)),""))</f>
        <v/>
      </c>
      <c r="Q15" s="24" t="str">
        <f t="shared" si="0"/>
        <v/>
      </c>
      <c r="R15" s="24" t="str">
        <f t="shared" si="1"/>
        <v/>
      </c>
      <c r="S15" s="23" t="str">
        <f t="shared" si="2"/>
        <v/>
      </c>
    </row>
    <row r="16" spans="1:19" ht="60" customHeight="1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21"/>
      <c r="O16" s="17"/>
      <c r="P16" s="24" t="str">
        <f>IF(A16="","",IFERROR(INDEX(tbl_fds[Data_Rececao],MATCH(C16,tbl_fds[ID_FDS],0)),""))</f>
        <v/>
      </c>
      <c r="Q16" s="24" t="str">
        <f t="shared" si="0"/>
        <v/>
      </c>
      <c r="R16" s="24" t="str">
        <f t="shared" si="1"/>
        <v/>
      </c>
      <c r="S16" s="23" t="str">
        <f t="shared" si="2"/>
        <v/>
      </c>
    </row>
    <row r="17" spans="1:19" ht="60" customHeigh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1"/>
      <c r="O17" s="17"/>
      <c r="P17" s="24" t="str">
        <f>IF(A17="","",IFERROR(INDEX(tbl_fds[Data_Rececao],MATCH(C17,tbl_fds[ID_FDS],0)),""))</f>
        <v/>
      </c>
      <c r="Q17" s="24" t="str">
        <f t="shared" si="0"/>
        <v/>
      </c>
      <c r="R17" s="24" t="str">
        <f t="shared" si="1"/>
        <v/>
      </c>
      <c r="S17" s="23" t="str">
        <f t="shared" si="2"/>
        <v/>
      </c>
    </row>
    <row r="18" spans="1:19" ht="60" customHeight="1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21"/>
      <c r="O18" s="17"/>
      <c r="P18" s="24" t="str">
        <f>IF(A18="","",IFERROR(INDEX(tbl_fds[Data_Rececao],MATCH(C18,tbl_fds[ID_FDS],0)),""))</f>
        <v/>
      </c>
      <c r="Q18" s="24" t="str">
        <f t="shared" si="0"/>
        <v/>
      </c>
      <c r="R18" s="24" t="str">
        <f t="shared" si="1"/>
        <v/>
      </c>
      <c r="S18" s="23" t="str">
        <f t="shared" si="2"/>
        <v/>
      </c>
    </row>
    <row r="19" spans="1:19" ht="60" customHeight="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1"/>
      <c r="O19" s="17"/>
      <c r="P19" s="24" t="str">
        <f>IF(A19="","",IFERROR(INDEX(tbl_fds[Data_Rececao],MATCH(C19,tbl_fds[ID_FDS],0)),""))</f>
        <v/>
      </c>
      <c r="Q19" s="24" t="str">
        <f t="shared" si="0"/>
        <v/>
      </c>
      <c r="R19" s="24" t="str">
        <f t="shared" si="1"/>
        <v/>
      </c>
      <c r="S19" s="23" t="str">
        <f t="shared" si="2"/>
        <v/>
      </c>
    </row>
    <row r="20" spans="1:19" ht="60" customHeight="1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1"/>
      <c r="O20" s="17"/>
      <c r="P20" s="24" t="str">
        <f>IF(A20="","",IFERROR(INDEX(tbl_fds[Data_Rececao],MATCH(C20,tbl_fds[ID_FDS],0)),""))</f>
        <v/>
      </c>
      <c r="Q20" s="24" t="str">
        <f t="shared" si="0"/>
        <v/>
      </c>
      <c r="R20" s="24" t="str">
        <f t="shared" si="1"/>
        <v/>
      </c>
      <c r="S20" s="23" t="str">
        <f t="shared" si="2"/>
        <v/>
      </c>
    </row>
    <row r="21" spans="1:19" ht="60" customHeight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21"/>
      <c r="O21" s="17"/>
      <c r="P21" s="24" t="str">
        <f>IF(A21="","",IFERROR(INDEX(tbl_fds[Data_Rececao],MATCH(C21,tbl_fds[ID_FDS],0)),""))</f>
        <v/>
      </c>
      <c r="Q21" s="24" t="str">
        <f t="shared" si="0"/>
        <v/>
      </c>
      <c r="R21" s="24" t="str">
        <f t="shared" si="1"/>
        <v/>
      </c>
      <c r="S21" s="23" t="str">
        <f t="shared" si="2"/>
        <v/>
      </c>
    </row>
    <row r="22" spans="1:19" ht="60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21"/>
      <c r="O22" s="17"/>
      <c r="P22" s="24" t="str">
        <f>IF(A22="","",IFERROR(INDEX(tbl_fds[Data_Rececao],MATCH(C22,tbl_fds[ID_FDS],0)),""))</f>
        <v/>
      </c>
      <c r="Q22" s="24" t="str">
        <f t="shared" si="0"/>
        <v/>
      </c>
      <c r="R22" s="24" t="str">
        <f t="shared" si="1"/>
        <v/>
      </c>
      <c r="S22" s="23" t="str">
        <f t="shared" si="2"/>
        <v/>
      </c>
    </row>
    <row r="23" spans="1:19" ht="60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21"/>
      <c r="O23" s="17"/>
      <c r="P23" s="24" t="str">
        <f>IF(A23="","",IFERROR(INDEX(tbl_fds[Data_Rececao],MATCH(C23,tbl_fds[ID_FDS],0)),""))</f>
        <v/>
      </c>
      <c r="Q23" s="24" t="str">
        <f t="shared" si="0"/>
        <v/>
      </c>
      <c r="R23" s="24" t="str">
        <f t="shared" si="1"/>
        <v/>
      </c>
      <c r="S23" s="23" t="str">
        <f t="shared" si="2"/>
        <v/>
      </c>
    </row>
    <row r="24" spans="1:19" ht="60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21"/>
      <c r="O24" s="17"/>
      <c r="P24" s="24" t="str">
        <f>IF(A24="","",IFERROR(INDEX(tbl_fds[Data_Rececao],MATCH(C24,tbl_fds[ID_FDS],0)),""))</f>
        <v/>
      </c>
      <c r="Q24" s="24" t="str">
        <f t="shared" si="0"/>
        <v/>
      </c>
      <c r="R24" s="24" t="str">
        <f t="shared" si="1"/>
        <v/>
      </c>
      <c r="S24" s="23" t="str">
        <f t="shared" si="2"/>
        <v/>
      </c>
    </row>
    <row r="25" spans="1:19" ht="60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21"/>
      <c r="O25" s="17"/>
      <c r="P25" s="24" t="str">
        <f>IF(A25="","",IFERROR(INDEX(tbl_fds[Data_Rececao],MATCH(C25,tbl_fds[ID_FDS],0)),""))</f>
        <v/>
      </c>
      <c r="Q25" s="24" t="str">
        <f t="shared" si="0"/>
        <v/>
      </c>
      <c r="R25" s="24" t="str">
        <f t="shared" si="1"/>
        <v/>
      </c>
      <c r="S25" s="23" t="str">
        <f t="shared" si="2"/>
        <v/>
      </c>
    </row>
    <row r="26" spans="1:19" ht="60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21"/>
      <c r="O26" s="17"/>
      <c r="P26" s="24" t="str">
        <f>IF(A26="","",IFERROR(INDEX(tbl_fds[Data_Rececao],MATCH(C26,tbl_fds[ID_FDS],0)),""))</f>
        <v/>
      </c>
      <c r="Q26" s="24" t="str">
        <f t="shared" si="0"/>
        <v/>
      </c>
      <c r="R26" s="24" t="str">
        <f t="shared" si="1"/>
        <v/>
      </c>
      <c r="S26" s="23" t="str">
        <f t="shared" si="2"/>
        <v/>
      </c>
    </row>
    <row r="27" spans="1:19" ht="60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21"/>
      <c r="O27" s="17"/>
      <c r="P27" s="24" t="str">
        <f>IF(A27="","",IFERROR(INDEX(tbl_fds[Data_Rececao],MATCH(C27,tbl_fds[ID_FDS],0)),""))</f>
        <v/>
      </c>
      <c r="Q27" s="24" t="str">
        <f t="shared" si="0"/>
        <v/>
      </c>
      <c r="R27" s="24" t="str">
        <f t="shared" si="1"/>
        <v/>
      </c>
      <c r="S27" s="23" t="str">
        <f t="shared" si="2"/>
        <v/>
      </c>
    </row>
    <row r="28" spans="1:19" ht="60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21"/>
      <c r="O28" s="17"/>
      <c r="P28" s="24" t="str">
        <f>IF(A28="","",IFERROR(INDEX(tbl_fds[Data_Rececao],MATCH(C28,tbl_fds[ID_FDS],0)),""))</f>
        <v/>
      </c>
      <c r="Q28" s="24" t="str">
        <f t="shared" si="0"/>
        <v/>
      </c>
      <c r="R28" s="24" t="str">
        <f t="shared" si="1"/>
        <v/>
      </c>
      <c r="S28" s="23" t="str">
        <f t="shared" si="2"/>
        <v/>
      </c>
    </row>
    <row r="29" spans="1:19" ht="60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21"/>
      <c r="O29" s="17"/>
      <c r="P29" s="24" t="str">
        <f>IF(A29="","",IFERROR(INDEX(tbl_fds[Data_Rececao],MATCH(C29,tbl_fds[ID_FDS],0)),""))</f>
        <v/>
      </c>
      <c r="Q29" s="24" t="str">
        <f t="shared" si="0"/>
        <v/>
      </c>
      <c r="R29" s="24" t="str">
        <f t="shared" si="1"/>
        <v/>
      </c>
      <c r="S29" s="23" t="str">
        <f t="shared" si="2"/>
        <v/>
      </c>
    </row>
    <row r="30" spans="1:19" ht="60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21"/>
      <c r="O30" s="17"/>
      <c r="P30" s="24" t="str">
        <f>IF(A30="","",IFERROR(INDEX(tbl_fds[Data_Rececao],MATCH(C30,tbl_fds[ID_FDS],0)),""))</f>
        <v/>
      </c>
      <c r="Q30" s="24" t="str">
        <f t="shared" si="0"/>
        <v/>
      </c>
      <c r="R30" s="24" t="str">
        <f t="shared" si="1"/>
        <v/>
      </c>
      <c r="S30" s="23" t="str">
        <f t="shared" si="2"/>
        <v/>
      </c>
    </row>
    <row r="31" spans="1:19" ht="60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21"/>
      <c r="O31" s="17"/>
      <c r="P31" s="24" t="str">
        <f>IF(A31="","",IFERROR(INDEX(tbl_fds[Data_Rececao],MATCH(C31,tbl_fds[ID_FDS],0)),""))</f>
        <v/>
      </c>
      <c r="Q31" s="24" t="str">
        <f t="shared" si="0"/>
        <v/>
      </c>
      <c r="R31" s="24" t="str">
        <f t="shared" si="1"/>
        <v/>
      </c>
      <c r="S31" s="23" t="str">
        <f t="shared" si="2"/>
        <v/>
      </c>
    </row>
    <row r="32" spans="1:19" ht="60" customHeight="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21"/>
      <c r="O32" s="17"/>
      <c r="P32" s="24" t="str">
        <f>IF(A32="","",IFERROR(INDEX(tbl_fds[Data_Rececao],MATCH(C32,tbl_fds[ID_FDS],0)),""))</f>
        <v/>
      </c>
      <c r="Q32" s="24" t="str">
        <f t="shared" si="0"/>
        <v/>
      </c>
      <c r="R32" s="24" t="str">
        <f t="shared" si="1"/>
        <v/>
      </c>
      <c r="S32" s="23" t="str">
        <f t="shared" si="2"/>
        <v/>
      </c>
    </row>
    <row r="33" spans="1:19" ht="60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21"/>
      <c r="O33" s="17"/>
      <c r="P33" s="24" t="str">
        <f>IF(A33="","",IFERROR(INDEX(tbl_fds[Data_Rececao],MATCH(C33,tbl_fds[ID_FDS],0)),""))</f>
        <v/>
      </c>
      <c r="Q33" s="24" t="str">
        <f t="shared" si="0"/>
        <v/>
      </c>
      <c r="R33" s="24" t="str">
        <f t="shared" si="1"/>
        <v/>
      </c>
      <c r="S33" s="23" t="str">
        <f t="shared" si="2"/>
        <v/>
      </c>
    </row>
    <row r="34" spans="1:19" ht="60" customHeight="1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21"/>
      <c r="O34" s="17"/>
      <c r="P34" s="24" t="str">
        <f>IF(A34="","",IFERROR(INDEX(tbl_fds[Data_Rececao],MATCH(C34,tbl_fds[ID_FDS],0)),""))</f>
        <v/>
      </c>
      <c r="Q34" s="24" t="str">
        <f t="shared" si="0"/>
        <v/>
      </c>
      <c r="R34" s="24" t="str">
        <f t="shared" si="1"/>
        <v/>
      </c>
      <c r="S34" s="23" t="str">
        <f t="shared" si="2"/>
        <v/>
      </c>
    </row>
  </sheetData>
  <conditionalFormatting sqref="L5:L234">
    <cfRule type="expression" dxfId="49" priority="1">
      <formula>ISNUMBER(SEARCH("Não coberto",L5))</formula>
    </cfRule>
    <cfRule type="expression" dxfId="48" priority="2">
      <formula>ISNUMBER(SEARCH("Parcialmente",L5))</formula>
    </cfRule>
    <cfRule type="expression" dxfId="47" priority="3">
      <formula>ISNUMBER(SEARCH("Coberto",L5))</formula>
    </cfRule>
  </conditionalFormatting>
  <conditionalFormatting sqref="S5:S234">
    <cfRule type="expression" dxfId="46" priority="4">
      <formula>ISNUMBER(SEARCH("ultrapassado",S5))</formula>
    </cfRule>
    <cfRule type="expression" dxfId="45" priority="5">
      <formula>ISNUMBER(SEARCH("Em curso",S5))</formula>
    </cfRule>
    <cfRule type="expression" dxfId="44" priority="6">
      <formula>ISNUMBER(SEARCH("Conforme",S5))</formula>
    </cfRule>
    <cfRule type="expression" dxfId="43" priority="7">
      <formula>ISNUMBER(SEARCH("Implementado",S5))</formula>
    </cfRule>
  </conditionalFormatting>
  <dataValidations count="4">
    <dataValidation type="list" allowBlank="1" showErrorMessage="1" errorTitle="Valor inválido" error="Valor fora da lista controlada (ver folha Listas)." sqref="K5:K234" xr:uid="{00000000-0002-0000-0600-000000000000}">
      <formula1>lst_MetodoCE</formula1>
    </dataValidation>
    <dataValidation type="list" allowBlank="1" showErrorMessage="1" errorTitle="Valor inválido" error="Valor fora da lista controlada (ver folha Listas)." sqref="L5:L234" xr:uid="{00000000-0002-0000-0600-000001000000}">
      <formula1>lst_ResultadoCE</formula1>
    </dataValidation>
    <dataValidation type="list" allowBlank="1" showErrorMessage="1" errorTitle="Valor inválido" error="Valor fora da lista controlada (ver folha Listas)." sqref="M5:M234" xr:uid="{00000000-0002-0000-0600-000002000000}">
      <formula1>lst_AcaoCE</formula1>
    </dataValidation>
    <dataValidation type="list" allowBlank="1" showErrorMessage="1" errorTitle="Valor inválido" error="Valor fora da lista controlada (ver folha Listas)." sqref="O5:O234" xr:uid="{00000000-0002-0000-0600-000003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2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9" customWidth="1"/>
    <col min="3" max="3" width="26" customWidth="1"/>
    <col min="4" max="4" width="11" customWidth="1"/>
    <col min="5" max="5" width="7" customWidth="1"/>
    <col min="6" max="6" width="20" customWidth="1"/>
    <col min="7" max="7" width="8" customWidth="1"/>
    <col min="8" max="8" width="24" customWidth="1"/>
    <col min="9" max="9" width="26" customWidth="1"/>
    <col min="10" max="10" width="11" customWidth="1"/>
    <col min="11" max="11" width="8" customWidth="1"/>
    <col min="12" max="12" width="40" customWidth="1"/>
    <col min="13" max="13" width="44" customWidth="1"/>
    <col min="14" max="14" width="34" customWidth="1"/>
  </cols>
  <sheetData>
    <row r="1" spans="1:14" ht="17.399999999999999" x14ac:dyDescent="0.3">
      <c r="A1" s="1" t="s">
        <v>861</v>
      </c>
    </row>
    <row r="2" spans="1:14" x14ac:dyDescent="0.3">
      <c r="A2" s="2" t="s">
        <v>862</v>
      </c>
    </row>
    <row r="4" spans="1:14" ht="39.6" x14ac:dyDescent="0.3">
      <c r="A4" s="8" t="s">
        <v>863</v>
      </c>
      <c r="B4" s="8" t="s">
        <v>219</v>
      </c>
      <c r="C4" s="8" t="s">
        <v>218</v>
      </c>
      <c r="D4" s="8" t="s">
        <v>864</v>
      </c>
      <c r="E4" s="8" t="s">
        <v>221</v>
      </c>
      <c r="F4" s="8" t="s">
        <v>865</v>
      </c>
      <c r="G4" s="8" t="s">
        <v>866</v>
      </c>
      <c r="H4" s="8" t="s">
        <v>867</v>
      </c>
      <c r="I4" s="8" t="s">
        <v>868</v>
      </c>
      <c r="J4" s="8" t="s">
        <v>869</v>
      </c>
      <c r="K4" s="8" t="s">
        <v>870</v>
      </c>
      <c r="L4" s="8" t="s">
        <v>871</v>
      </c>
      <c r="M4" s="8" t="s">
        <v>872</v>
      </c>
      <c r="N4" s="18" t="s">
        <v>873</v>
      </c>
    </row>
    <row r="5" spans="1:14" ht="45" customHeight="1" x14ac:dyDescent="0.3">
      <c r="A5" s="17" t="s">
        <v>874</v>
      </c>
      <c r="B5" s="17" t="s">
        <v>358</v>
      </c>
      <c r="C5" s="17" t="s">
        <v>357</v>
      </c>
      <c r="D5" s="17" t="s">
        <v>359</v>
      </c>
      <c r="E5" s="17" t="s">
        <v>271</v>
      </c>
      <c r="F5" s="17" t="s">
        <v>875</v>
      </c>
      <c r="G5" s="25">
        <v>120</v>
      </c>
      <c r="H5" s="17" t="s">
        <v>876</v>
      </c>
      <c r="I5" s="17" t="s">
        <v>877</v>
      </c>
      <c r="J5" s="21">
        <v>46037</v>
      </c>
      <c r="K5" s="17" t="s">
        <v>263</v>
      </c>
      <c r="L5" s="17" t="s">
        <v>878</v>
      </c>
      <c r="M5" s="17" t="s">
        <v>879</v>
      </c>
      <c r="N5" s="23" t="str">
        <f t="shared" ref="N5:N29" si="0">IF(A5="","",IF(E5="Sim","N.A. — fornecedor no EEE (registo a montante)",IF(H5&lt;&gt;"Plasticom","Utilizador a jusante (importador: "&amp;H5&amp;")",IF(AND(J5&lt;&gt;"",K5="Sim"),"Coberto por RU — Plasticom = utilizador a jusante",IF(G5&lt;1,"Abaixo de 1 t/ano — sem registo","LACUNA — Plasticom é importador: RU ou registo próprio")))))</f>
        <v>Coberto por RU — Plasticom = utilizador a jusante</v>
      </c>
    </row>
    <row r="6" spans="1:14" ht="45" customHeight="1" x14ac:dyDescent="0.3">
      <c r="A6" s="17" t="s">
        <v>880</v>
      </c>
      <c r="B6" s="17" t="s">
        <v>365</v>
      </c>
      <c r="C6" s="17" t="s">
        <v>364</v>
      </c>
      <c r="D6" s="17" t="s">
        <v>359</v>
      </c>
      <c r="E6" s="17" t="s">
        <v>271</v>
      </c>
      <c r="F6" s="17" t="s">
        <v>881</v>
      </c>
      <c r="G6" s="25">
        <v>140</v>
      </c>
      <c r="H6" s="17" t="s">
        <v>882</v>
      </c>
      <c r="I6" s="17"/>
      <c r="J6" s="21"/>
      <c r="K6" s="17"/>
      <c r="L6" s="17" t="s">
        <v>883</v>
      </c>
      <c r="M6" s="17" t="s">
        <v>884</v>
      </c>
      <c r="N6" s="23" t="str">
        <f t="shared" si="0"/>
        <v>Utilizador a jusante (importador: NorthStar Polymer Europe B.V.)</v>
      </c>
    </row>
    <row r="7" spans="1:14" ht="45" customHeight="1" x14ac:dyDescent="0.3">
      <c r="A7" s="17" t="s">
        <v>885</v>
      </c>
      <c r="B7" s="17" t="s">
        <v>371</v>
      </c>
      <c r="C7" s="17" t="s">
        <v>370</v>
      </c>
      <c r="D7" s="17" t="s">
        <v>372</v>
      </c>
      <c r="E7" s="17" t="s">
        <v>271</v>
      </c>
      <c r="F7" s="17" t="s">
        <v>886</v>
      </c>
      <c r="G7" s="25">
        <v>60</v>
      </c>
      <c r="H7" s="17" t="s">
        <v>876</v>
      </c>
      <c r="I7" s="17"/>
      <c r="J7" s="21"/>
      <c r="K7" s="17" t="s">
        <v>271</v>
      </c>
      <c r="L7" s="17" t="s">
        <v>887</v>
      </c>
      <c r="M7" s="17" t="s">
        <v>888</v>
      </c>
      <c r="N7" s="23" t="str">
        <f t="shared" si="0"/>
        <v>LACUNA — Plasticom é importador: RU ou registo próprio</v>
      </c>
    </row>
    <row r="8" spans="1:14" ht="45" customHeight="1" x14ac:dyDescent="0.3">
      <c r="A8" s="17" t="s">
        <v>889</v>
      </c>
      <c r="B8" s="17" t="s">
        <v>378</v>
      </c>
      <c r="C8" s="17" t="s">
        <v>377</v>
      </c>
      <c r="D8" s="17" t="s">
        <v>379</v>
      </c>
      <c r="E8" s="17" t="s">
        <v>271</v>
      </c>
      <c r="F8" s="17" t="s">
        <v>890</v>
      </c>
      <c r="G8" s="25">
        <v>18</v>
      </c>
      <c r="H8" s="17" t="s">
        <v>876</v>
      </c>
      <c r="I8" s="17"/>
      <c r="J8" s="21"/>
      <c r="K8" s="17" t="s">
        <v>271</v>
      </c>
      <c r="L8" s="17" t="s">
        <v>891</v>
      </c>
      <c r="M8" s="17" t="s">
        <v>892</v>
      </c>
      <c r="N8" s="23" t="str">
        <f t="shared" si="0"/>
        <v>LACUNA — Plasticom é importador: RU ou registo próprio</v>
      </c>
    </row>
    <row r="9" spans="1:14" ht="45" customHeight="1" x14ac:dyDescent="0.3">
      <c r="A9" s="17" t="s">
        <v>893</v>
      </c>
      <c r="B9" s="17" t="s">
        <v>399</v>
      </c>
      <c r="C9" s="17" t="s">
        <v>398</v>
      </c>
      <c r="D9" s="17" t="s">
        <v>400</v>
      </c>
      <c r="E9" s="17" t="s">
        <v>271</v>
      </c>
      <c r="F9" s="17" t="s">
        <v>894</v>
      </c>
      <c r="G9" s="25">
        <v>25</v>
      </c>
      <c r="H9" s="17" t="s">
        <v>876</v>
      </c>
      <c r="I9" s="17" t="s">
        <v>895</v>
      </c>
      <c r="J9" s="21">
        <v>45964</v>
      </c>
      <c r="K9" s="17" t="s">
        <v>263</v>
      </c>
      <c r="L9" s="17" t="s">
        <v>896</v>
      </c>
      <c r="M9" s="17"/>
      <c r="N9" s="23" t="str">
        <f t="shared" si="0"/>
        <v>Coberto por RU — Plasticom = utilizador a jusante</v>
      </c>
    </row>
    <row r="10" spans="1:14" ht="45" customHeight="1" x14ac:dyDescent="0.3">
      <c r="A10" s="17" t="s">
        <v>897</v>
      </c>
      <c r="B10" s="17" t="s">
        <v>350</v>
      </c>
      <c r="C10" s="17" t="s">
        <v>349</v>
      </c>
      <c r="D10" s="17" t="s">
        <v>262</v>
      </c>
      <c r="E10" s="17" t="s">
        <v>263</v>
      </c>
      <c r="F10" s="17" t="s">
        <v>898</v>
      </c>
      <c r="G10" s="25">
        <v>180</v>
      </c>
      <c r="H10" s="17" t="s">
        <v>113</v>
      </c>
      <c r="I10" s="17"/>
      <c r="J10" s="21"/>
      <c r="K10" s="17"/>
      <c r="L10" s="17" t="s">
        <v>113</v>
      </c>
      <c r="M10" s="17"/>
      <c r="N10" s="23" t="str">
        <f t="shared" si="0"/>
        <v>N.A. — fornecedor no EEE (registo a montante)</v>
      </c>
    </row>
    <row r="11" spans="1:14" ht="45" customHeight="1" x14ac:dyDescent="0.3">
      <c r="A11" s="17" t="s">
        <v>899</v>
      </c>
      <c r="B11" s="17" t="s">
        <v>387</v>
      </c>
      <c r="C11" s="17" t="s">
        <v>386</v>
      </c>
      <c r="D11" s="17" t="s">
        <v>388</v>
      </c>
      <c r="E11" s="17" t="s">
        <v>263</v>
      </c>
      <c r="F11" s="17" t="s">
        <v>900</v>
      </c>
      <c r="G11" s="25">
        <v>150</v>
      </c>
      <c r="H11" s="17" t="s">
        <v>113</v>
      </c>
      <c r="I11" s="17"/>
      <c r="J11" s="21"/>
      <c r="K11" s="17"/>
      <c r="L11" s="17" t="s">
        <v>113</v>
      </c>
      <c r="M11" s="17"/>
      <c r="N11" s="23" t="str">
        <f t="shared" si="0"/>
        <v>N.A. — fornecedor no EEE (registo a montante)</v>
      </c>
    </row>
    <row r="12" spans="1:14" ht="45" customHeight="1" x14ac:dyDescent="0.3">
      <c r="A12" s="17" t="s">
        <v>901</v>
      </c>
      <c r="B12" s="17" t="s">
        <v>393</v>
      </c>
      <c r="C12" s="17" t="s">
        <v>392</v>
      </c>
      <c r="D12" s="17" t="s">
        <v>394</v>
      </c>
      <c r="E12" s="17" t="s">
        <v>263</v>
      </c>
      <c r="F12" s="17" t="s">
        <v>902</v>
      </c>
      <c r="G12" s="25">
        <v>110</v>
      </c>
      <c r="H12" s="17" t="s">
        <v>113</v>
      </c>
      <c r="I12" s="17"/>
      <c r="J12" s="21"/>
      <c r="K12" s="17"/>
      <c r="L12" s="17" t="s">
        <v>113</v>
      </c>
      <c r="M12" s="17"/>
      <c r="N12" s="23" t="str">
        <f t="shared" si="0"/>
        <v>N.A. — fornecedor no EEE (registo a montante)</v>
      </c>
    </row>
    <row r="13" spans="1:14" ht="45" customHeight="1" x14ac:dyDescent="0.3">
      <c r="A13" s="17" t="s">
        <v>903</v>
      </c>
      <c r="B13" s="17" t="s">
        <v>410</v>
      </c>
      <c r="C13" s="17" t="s">
        <v>409</v>
      </c>
      <c r="D13" s="17" t="s">
        <v>305</v>
      </c>
      <c r="E13" s="17" t="s">
        <v>263</v>
      </c>
      <c r="F13" s="17" t="s">
        <v>904</v>
      </c>
      <c r="G13" s="25">
        <v>17.2</v>
      </c>
      <c r="H13" s="17" t="s">
        <v>113</v>
      </c>
      <c r="I13" s="17"/>
      <c r="J13" s="21"/>
      <c r="K13" s="17"/>
      <c r="L13" s="17" t="s">
        <v>113</v>
      </c>
      <c r="M13" s="17"/>
      <c r="N13" s="23" t="str">
        <f t="shared" si="0"/>
        <v>N.A. — fornecedor no EEE (registo a montante)</v>
      </c>
    </row>
    <row r="14" spans="1:14" ht="45" customHeight="1" x14ac:dyDescent="0.3">
      <c r="A14" s="17" t="s">
        <v>905</v>
      </c>
      <c r="B14" s="17" t="s">
        <v>405</v>
      </c>
      <c r="C14" s="17" t="s">
        <v>404</v>
      </c>
      <c r="D14" s="17" t="s">
        <v>394</v>
      </c>
      <c r="E14" s="17" t="s">
        <v>263</v>
      </c>
      <c r="F14" s="17" t="s">
        <v>906</v>
      </c>
      <c r="G14" s="25">
        <v>45</v>
      </c>
      <c r="H14" s="17" t="s">
        <v>113</v>
      </c>
      <c r="I14" s="17"/>
      <c r="J14" s="21"/>
      <c r="K14" s="17"/>
      <c r="L14" s="17" t="s">
        <v>113</v>
      </c>
      <c r="M14" s="17"/>
      <c r="N14" s="23" t="str">
        <f t="shared" si="0"/>
        <v>N.A. — fornecedor no EEE (registo a montante)</v>
      </c>
    </row>
    <row r="15" spans="1:14" ht="45" customHeight="1" x14ac:dyDescent="0.3">
      <c r="A15" s="17"/>
      <c r="B15" s="17"/>
      <c r="C15" s="17"/>
      <c r="D15" s="17"/>
      <c r="E15" s="17"/>
      <c r="F15" s="17"/>
      <c r="G15" s="25"/>
      <c r="H15" s="17"/>
      <c r="I15" s="17"/>
      <c r="J15" s="21"/>
      <c r="K15" s="17"/>
      <c r="L15" s="17"/>
      <c r="M15" s="17"/>
      <c r="N15" s="23" t="str">
        <f t="shared" si="0"/>
        <v/>
      </c>
    </row>
    <row r="16" spans="1:14" ht="45" customHeight="1" x14ac:dyDescent="0.3">
      <c r="A16" s="17"/>
      <c r="B16" s="17"/>
      <c r="C16" s="17"/>
      <c r="D16" s="17"/>
      <c r="E16" s="17"/>
      <c r="F16" s="17"/>
      <c r="G16" s="25"/>
      <c r="H16" s="17"/>
      <c r="I16" s="17"/>
      <c r="J16" s="21"/>
      <c r="K16" s="17"/>
      <c r="L16" s="17"/>
      <c r="M16" s="17"/>
      <c r="N16" s="23" t="str">
        <f t="shared" si="0"/>
        <v/>
      </c>
    </row>
    <row r="17" spans="1:14" ht="45" customHeight="1" x14ac:dyDescent="0.3">
      <c r="A17" s="17"/>
      <c r="B17" s="17"/>
      <c r="C17" s="17"/>
      <c r="D17" s="17"/>
      <c r="E17" s="17"/>
      <c r="F17" s="17"/>
      <c r="G17" s="25"/>
      <c r="H17" s="17"/>
      <c r="I17" s="17"/>
      <c r="J17" s="21"/>
      <c r="K17" s="17"/>
      <c r="L17" s="17"/>
      <c r="M17" s="17"/>
      <c r="N17" s="23" t="str">
        <f t="shared" si="0"/>
        <v/>
      </c>
    </row>
    <row r="18" spans="1:14" ht="45" customHeight="1" x14ac:dyDescent="0.3">
      <c r="A18" s="17"/>
      <c r="B18" s="17"/>
      <c r="C18" s="17"/>
      <c r="D18" s="17"/>
      <c r="E18" s="17"/>
      <c r="F18" s="17"/>
      <c r="G18" s="25"/>
      <c r="H18" s="17"/>
      <c r="I18" s="17"/>
      <c r="J18" s="21"/>
      <c r="K18" s="17"/>
      <c r="L18" s="17"/>
      <c r="M18" s="17"/>
      <c r="N18" s="23" t="str">
        <f t="shared" si="0"/>
        <v/>
      </c>
    </row>
    <row r="19" spans="1:14" ht="45" customHeight="1" x14ac:dyDescent="0.3">
      <c r="A19" s="17"/>
      <c r="B19" s="17"/>
      <c r="C19" s="17"/>
      <c r="D19" s="17"/>
      <c r="E19" s="17"/>
      <c r="F19" s="17"/>
      <c r="G19" s="25"/>
      <c r="H19" s="17"/>
      <c r="I19" s="17"/>
      <c r="J19" s="21"/>
      <c r="K19" s="17"/>
      <c r="L19" s="17"/>
      <c r="M19" s="17"/>
      <c r="N19" s="23" t="str">
        <f t="shared" si="0"/>
        <v/>
      </c>
    </row>
    <row r="20" spans="1:14" ht="45" customHeight="1" x14ac:dyDescent="0.3">
      <c r="A20" s="17"/>
      <c r="B20" s="17"/>
      <c r="C20" s="17"/>
      <c r="D20" s="17"/>
      <c r="E20" s="17"/>
      <c r="F20" s="17"/>
      <c r="G20" s="25"/>
      <c r="H20" s="17"/>
      <c r="I20" s="17"/>
      <c r="J20" s="21"/>
      <c r="K20" s="17"/>
      <c r="L20" s="17"/>
      <c r="M20" s="17"/>
      <c r="N20" s="23" t="str">
        <f t="shared" si="0"/>
        <v/>
      </c>
    </row>
    <row r="21" spans="1:14" ht="45" customHeight="1" x14ac:dyDescent="0.3">
      <c r="A21" s="17"/>
      <c r="B21" s="17"/>
      <c r="C21" s="17"/>
      <c r="D21" s="17"/>
      <c r="E21" s="17"/>
      <c r="F21" s="17"/>
      <c r="G21" s="25"/>
      <c r="H21" s="17"/>
      <c r="I21" s="17"/>
      <c r="J21" s="21"/>
      <c r="K21" s="17"/>
      <c r="L21" s="17"/>
      <c r="M21" s="17"/>
      <c r="N21" s="23" t="str">
        <f t="shared" si="0"/>
        <v/>
      </c>
    </row>
    <row r="22" spans="1:14" ht="45" customHeight="1" x14ac:dyDescent="0.3">
      <c r="A22" s="17"/>
      <c r="B22" s="17"/>
      <c r="C22" s="17"/>
      <c r="D22" s="17"/>
      <c r="E22" s="17"/>
      <c r="F22" s="17"/>
      <c r="G22" s="25"/>
      <c r="H22" s="17"/>
      <c r="I22" s="17"/>
      <c r="J22" s="21"/>
      <c r="K22" s="17"/>
      <c r="L22" s="17"/>
      <c r="M22" s="17"/>
      <c r="N22" s="23" t="str">
        <f t="shared" si="0"/>
        <v/>
      </c>
    </row>
    <row r="23" spans="1:14" ht="45" customHeight="1" x14ac:dyDescent="0.3">
      <c r="A23" s="17"/>
      <c r="B23" s="17"/>
      <c r="C23" s="17"/>
      <c r="D23" s="17"/>
      <c r="E23" s="17"/>
      <c r="F23" s="17"/>
      <c r="G23" s="25"/>
      <c r="H23" s="17"/>
      <c r="I23" s="17"/>
      <c r="J23" s="21"/>
      <c r="K23" s="17"/>
      <c r="L23" s="17"/>
      <c r="M23" s="17"/>
      <c r="N23" s="23" t="str">
        <f t="shared" si="0"/>
        <v/>
      </c>
    </row>
    <row r="24" spans="1:14" ht="45" customHeight="1" x14ac:dyDescent="0.3">
      <c r="A24" s="17"/>
      <c r="B24" s="17"/>
      <c r="C24" s="17"/>
      <c r="D24" s="17"/>
      <c r="E24" s="17"/>
      <c r="F24" s="17"/>
      <c r="G24" s="25"/>
      <c r="H24" s="17"/>
      <c r="I24" s="17"/>
      <c r="J24" s="21"/>
      <c r="K24" s="17"/>
      <c r="L24" s="17"/>
      <c r="M24" s="17"/>
      <c r="N24" s="23" t="str">
        <f t="shared" si="0"/>
        <v/>
      </c>
    </row>
    <row r="25" spans="1:14" ht="45" customHeight="1" x14ac:dyDescent="0.3">
      <c r="A25" s="17"/>
      <c r="B25" s="17"/>
      <c r="C25" s="17"/>
      <c r="D25" s="17"/>
      <c r="E25" s="17"/>
      <c r="F25" s="17"/>
      <c r="G25" s="25"/>
      <c r="H25" s="17"/>
      <c r="I25" s="17"/>
      <c r="J25" s="21"/>
      <c r="K25" s="17"/>
      <c r="L25" s="17"/>
      <c r="M25" s="17"/>
      <c r="N25" s="23" t="str">
        <f t="shared" si="0"/>
        <v/>
      </c>
    </row>
    <row r="26" spans="1:14" ht="45" customHeight="1" x14ac:dyDescent="0.3">
      <c r="A26" s="17"/>
      <c r="B26" s="17"/>
      <c r="C26" s="17"/>
      <c r="D26" s="17"/>
      <c r="E26" s="17"/>
      <c r="F26" s="17"/>
      <c r="G26" s="25"/>
      <c r="H26" s="17"/>
      <c r="I26" s="17"/>
      <c r="J26" s="21"/>
      <c r="K26" s="17"/>
      <c r="L26" s="17"/>
      <c r="M26" s="17"/>
      <c r="N26" s="23" t="str">
        <f t="shared" si="0"/>
        <v/>
      </c>
    </row>
    <row r="27" spans="1:14" ht="45" customHeight="1" x14ac:dyDescent="0.3">
      <c r="A27" s="17"/>
      <c r="B27" s="17"/>
      <c r="C27" s="17"/>
      <c r="D27" s="17"/>
      <c r="E27" s="17"/>
      <c r="F27" s="17"/>
      <c r="G27" s="25"/>
      <c r="H27" s="17"/>
      <c r="I27" s="17"/>
      <c r="J27" s="21"/>
      <c r="K27" s="17"/>
      <c r="L27" s="17"/>
      <c r="M27" s="17"/>
      <c r="N27" s="23" t="str">
        <f t="shared" si="0"/>
        <v/>
      </c>
    </row>
    <row r="28" spans="1:14" ht="45" customHeight="1" x14ac:dyDescent="0.3">
      <c r="A28" s="17"/>
      <c r="B28" s="17"/>
      <c r="C28" s="17"/>
      <c r="D28" s="17"/>
      <c r="E28" s="17"/>
      <c r="F28" s="17"/>
      <c r="G28" s="25"/>
      <c r="H28" s="17"/>
      <c r="I28" s="17"/>
      <c r="J28" s="21"/>
      <c r="K28" s="17"/>
      <c r="L28" s="17"/>
      <c r="M28" s="17"/>
      <c r="N28" s="23" t="str">
        <f t="shared" si="0"/>
        <v/>
      </c>
    </row>
    <row r="29" spans="1:14" ht="45" customHeight="1" x14ac:dyDescent="0.3">
      <c r="A29" s="17"/>
      <c r="B29" s="17"/>
      <c r="C29" s="17"/>
      <c r="D29" s="17"/>
      <c r="E29" s="17"/>
      <c r="F29" s="17"/>
      <c r="G29" s="25"/>
      <c r="H29" s="17"/>
      <c r="I29" s="17"/>
      <c r="J29" s="21"/>
      <c r="K29" s="17"/>
      <c r="L29" s="17"/>
      <c r="M29" s="17"/>
      <c r="N29" s="23" t="str">
        <f t="shared" si="0"/>
        <v/>
      </c>
    </row>
  </sheetData>
  <conditionalFormatting sqref="N5:N229">
    <cfRule type="expression" dxfId="42" priority="1">
      <formula>ISNUMBER(SEARCH("LACUNA",N5))</formula>
    </cfRule>
    <cfRule type="expression" dxfId="41" priority="2">
      <formula>ISNUMBER(SEARCH("Coberto",N5))</formula>
    </cfRule>
    <cfRule type="expression" dxfId="40" priority="3">
      <formula>ISNUMBER(SEARCH("N.A.",N5))</formula>
    </cfRule>
    <cfRule type="expression" dxfId="39" priority="4">
      <formula>ISNUMBER(SEARCH("Utilizador",N5))</formula>
    </cfRule>
  </conditionalFormatting>
  <dataValidations count="1">
    <dataValidation type="list" allowBlank="1" showErrorMessage="1" errorTitle="Valor inválido" error="Valor fora da lista controlada (ver folha Listas)." sqref="E5:E229 K5:K229" xr:uid="{00000000-0002-0000-07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3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9" customWidth="1"/>
    <col min="3" max="3" width="26" customWidth="1"/>
    <col min="4" max="4" width="28" customWidth="1"/>
    <col min="5" max="5" width="11" customWidth="1"/>
    <col min="6" max="6" width="9" customWidth="1"/>
    <col min="7" max="7" width="18" customWidth="1"/>
    <col min="8" max="8" width="10" customWidth="1"/>
    <col min="9" max="9" width="12" customWidth="1"/>
    <col min="10" max="11" width="10" customWidth="1"/>
    <col min="12" max="12" width="8" customWidth="1"/>
    <col min="13" max="13" width="7" customWidth="1"/>
    <col min="14" max="14" width="24" customWidth="1"/>
  </cols>
  <sheetData>
    <row r="1" spans="1:14" ht="17.399999999999999" x14ac:dyDescent="0.3">
      <c r="A1" s="1" t="s">
        <v>907</v>
      </c>
    </row>
    <row r="2" spans="1:14" x14ac:dyDescent="0.3">
      <c r="A2" s="2" t="s">
        <v>908</v>
      </c>
    </row>
    <row r="4" spans="1:14" ht="39.6" x14ac:dyDescent="0.3">
      <c r="A4" s="8" t="s">
        <v>909</v>
      </c>
      <c r="B4" s="8" t="s">
        <v>219</v>
      </c>
      <c r="C4" s="8" t="s">
        <v>218</v>
      </c>
      <c r="D4" s="8" t="s">
        <v>865</v>
      </c>
      <c r="E4" s="8" t="s">
        <v>910</v>
      </c>
      <c r="F4" s="8" t="s">
        <v>911</v>
      </c>
      <c r="G4" s="8" t="s">
        <v>912</v>
      </c>
      <c r="H4" s="8" t="s">
        <v>913</v>
      </c>
      <c r="I4" s="8" t="s">
        <v>234</v>
      </c>
      <c r="J4" s="8" t="s">
        <v>914</v>
      </c>
      <c r="K4" s="8" t="s">
        <v>915</v>
      </c>
      <c r="L4" s="8" t="s">
        <v>916</v>
      </c>
      <c r="M4" s="18" t="s">
        <v>705</v>
      </c>
      <c r="N4" s="18" t="s">
        <v>14</v>
      </c>
    </row>
    <row r="5" spans="1:14" ht="30" customHeight="1" x14ac:dyDescent="0.3">
      <c r="A5" s="17" t="s">
        <v>917</v>
      </c>
      <c r="B5" s="17" t="s">
        <v>358</v>
      </c>
      <c r="C5" s="17" t="s">
        <v>357</v>
      </c>
      <c r="D5" s="17" t="s">
        <v>875</v>
      </c>
      <c r="E5" s="21">
        <v>46073</v>
      </c>
      <c r="F5" s="26">
        <v>253</v>
      </c>
      <c r="G5" s="17" t="s">
        <v>271</v>
      </c>
      <c r="H5" s="17" t="s">
        <v>263</v>
      </c>
      <c r="I5" s="17" t="s">
        <v>271</v>
      </c>
      <c r="J5" s="17" t="s">
        <v>271</v>
      </c>
      <c r="K5" s="17" t="s">
        <v>271</v>
      </c>
      <c r="L5" s="17" t="s">
        <v>263</v>
      </c>
      <c r="M5" s="10">
        <f t="shared" ref="M5:M38" si="0">IF(OR(A5="",E5=""),"",DATEDIF(E5,DataRef,"m"))</f>
        <v>10</v>
      </c>
      <c r="N5" s="23" t="str">
        <f t="shared" ref="N5:N38" si="1">IF(A5="","",IF(E5="","Em falta — pedir",IF(N(F5)&lt;p_SVHC_N,"Desatualizada — pedir nova",IF(OR(G5="Por confirmar",I5="Por confirmar"),"Incompleta",IF(M5&gt;12,"Renovar (&gt; 12 meses)","Atualizada")))))</f>
        <v>Atualizada</v>
      </c>
    </row>
    <row r="6" spans="1:14" ht="30" customHeight="1" x14ac:dyDescent="0.3">
      <c r="A6" s="17" t="s">
        <v>918</v>
      </c>
      <c r="B6" s="17" t="s">
        <v>350</v>
      </c>
      <c r="C6" s="17" t="s">
        <v>349</v>
      </c>
      <c r="D6" s="17" t="s">
        <v>898</v>
      </c>
      <c r="E6" s="21">
        <v>45848</v>
      </c>
      <c r="F6" s="26">
        <v>250</v>
      </c>
      <c r="G6" s="17" t="s">
        <v>271</v>
      </c>
      <c r="H6" s="17" t="s">
        <v>263</v>
      </c>
      <c r="I6" s="17" t="s">
        <v>271</v>
      </c>
      <c r="J6" s="17" t="s">
        <v>271</v>
      </c>
      <c r="K6" s="17" t="s">
        <v>271</v>
      </c>
      <c r="L6" s="17" t="s">
        <v>263</v>
      </c>
      <c r="M6" s="10">
        <f t="shared" si="0"/>
        <v>17</v>
      </c>
      <c r="N6" s="23" t="str">
        <f t="shared" si="1"/>
        <v>Desatualizada — pedir nova</v>
      </c>
    </row>
    <row r="7" spans="1:14" ht="30" customHeight="1" x14ac:dyDescent="0.3">
      <c r="A7" s="17" t="s">
        <v>919</v>
      </c>
      <c r="B7" s="17" t="s">
        <v>365</v>
      </c>
      <c r="C7" s="17" t="s">
        <v>364</v>
      </c>
      <c r="D7" s="17" t="s">
        <v>920</v>
      </c>
      <c r="E7" s="21">
        <v>46086</v>
      </c>
      <c r="F7" s="26">
        <v>253</v>
      </c>
      <c r="G7" s="17" t="s">
        <v>271</v>
      </c>
      <c r="H7" s="17" t="s">
        <v>263</v>
      </c>
      <c r="I7" s="17" t="s">
        <v>271</v>
      </c>
      <c r="J7" s="17" t="s">
        <v>271</v>
      </c>
      <c r="K7" s="17" t="s">
        <v>271</v>
      </c>
      <c r="L7" s="17" t="s">
        <v>263</v>
      </c>
      <c r="M7" s="10">
        <f t="shared" si="0"/>
        <v>9</v>
      </c>
      <c r="N7" s="23" t="str">
        <f t="shared" si="1"/>
        <v>Atualizada</v>
      </c>
    </row>
    <row r="8" spans="1:14" ht="30" customHeight="1" x14ac:dyDescent="0.3">
      <c r="A8" s="17" t="s">
        <v>921</v>
      </c>
      <c r="B8" s="17" t="s">
        <v>371</v>
      </c>
      <c r="C8" s="17" t="s">
        <v>370</v>
      </c>
      <c r="D8" s="17" t="s">
        <v>922</v>
      </c>
      <c r="E8" s="21">
        <v>45672</v>
      </c>
      <c r="F8" s="26">
        <v>247</v>
      </c>
      <c r="G8" s="17" t="s">
        <v>271</v>
      </c>
      <c r="H8" s="17" t="s">
        <v>263</v>
      </c>
      <c r="I8" s="17" t="s">
        <v>271</v>
      </c>
      <c r="J8" s="17" t="s">
        <v>271</v>
      </c>
      <c r="K8" s="17" t="s">
        <v>271</v>
      </c>
      <c r="L8" s="17" t="s">
        <v>710</v>
      </c>
      <c r="M8" s="10">
        <f t="shared" si="0"/>
        <v>23</v>
      </c>
      <c r="N8" s="23" t="str">
        <f t="shared" si="1"/>
        <v>Desatualizada — pedir nova</v>
      </c>
    </row>
    <row r="9" spans="1:14" ht="30" customHeight="1" x14ac:dyDescent="0.3">
      <c r="A9" s="17" t="s">
        <v>923</v>
      </c>
      <c r="B9" s="17" t="s">
        <v>378</v>
      </c>
      <c r="C9" s="17" t="s">
        <v>377</v>
      </c>
      <c r="D9" s="17" t="s">
        <v>924</v>
      </c>
      <c r="E9" s="21"/>
      <c r="F9" s="26"/>
      <c r="G9" s="17" t="s">
        <v>342</v>
      </c>
      <c r="H9" s="17" t="s">
        <v>342</v>
      </c>
      <c r="I9" s="17" t="s">
        <v>342</v>
      </c>
      <c r="J9" s="17" t="s">
        <v>342</v>
      </c>
      <c r="K9" s="17" t="s">
        <v>342</v>
      </c>
      <c r="L9" s="17" t="s">
        <v>710</v>
      </c>
      <c r="M9" s="10" t="str">
        <f t="shared" si="0"/>
        <v/>
      </c>
      <c r="N9" s="23" t="str">
        <f t="shared" si="1"/>
        <v>Em falta — pedir</v>
      </c>
    </row>
    <row r="10" spans="1:14" ht="30" customHeight="1" x14ac:dyDescent="0.3">
      <c r="A10" s="17" t="s">
        <v>925</v>
      </c>
      <c r="B10" s="17" t="s">
        <v>387</v>
      </c>
      <c r="C10" s="17" t="s">
        <v>386</v>
      </c>
      <c r="D10" s="17" t="s">
        <v>900</v>
      </c>
      <c r="E10" s="21">
        <v>46081</v>
      </c>
      <c r="F10" s="26">
        <v>253</v>
      </c>
      <c r="G10" s="17" t="s">
        <v>271</v>
      </c>
      <c r="H10" s="17" t="s">
        <v>263</v>
      </c>
      <c r="I10" s="17" t="s">
        <v>271</v>
      </c>
      <c r="J10" s="17" t="s">
        <v>271</v>
      </c>
      <c r="K10" s="17" t="s">
        <v>271</v>
      </c>
      <c r="L10" s="17" t="s">
        <v>263</v>
      </c>
      <c r="M10" s="10">
        <f t="shared" si="0"/>
        <v>10</v>
      </c>
      <c r="N10" s="23" t="str">
        <f t="shared" si="1"/>
        <v>Atualizada</v>
      </c>
    </row>
    <row r="11" spans="1:14" ht="30" customHeight="1" x14ac:dyDescent="0.3">
      <c r="A11" s="17" t="s">
        <v>926</v>
      </c>
      <c r="B11" s="17" t="s">
        <v>393</v>
      </c>
      <c r="C11" s="17" t="s">
        <v>392</v>
      </c>
      <c r="D11" s="17" t="s">
        <v>902</v>
      </c>
      <c r="E11" s="21">
        <v>45901</v>
      </c>
      <c r="F11" s="26">
        <v>250</v>
      </c>
      <c r="G11" s="17" t="s">
        <v>271</v>
      </c>
      <c r="H11" s="17" t="s">
        <v>263</v>
      </c>
      <c r="I11" s="17" t="s">
        <v>271</v>
      </c>
      <c r="J11" s="17" t="s">
        <v>271</v>
      </c>
      <c r="K11" s="17" t="s">
        <v>271</v>
      </c>
      <c r="L11" s="17" t="s">
        <v>263</v>
      </c>
      <c r="M11" s="10">
        <f t="shared" si="0"/>
        <v>15</v>
      </c>
      <c r="N11" s="23" t="str">
        <f t="shared" si="1"/>
        <v>Desatualizada — pedir nova</v>
      </c>
    </row>
    <row r="12" spans="1:14" ht="30" customHeight="1" x14ac:dyDescent="0.3">
      <c r="A12" s="17" t="s">
        <v>927</v>
      </c>
      <c r="B12" s="17" t="s">
        <v>410</v>
      </c>
      <c r="C12" s="17" t="s">
        <v>409</v>
      </c>
      <c r="D12" s="17" t="s">
        <v>928</v>
      </c>
      <c r="E12" s="21">
        <v>46042</v>
      </c>
      <c r="F12" s="26">
        <v>251</v>
      </c>
      <c r="G12" s="17" t="s">
        <v>271</v>
      </c>
      <c r="H12" s="17" t="s">
        <v>263</v>
      </c>
      <c r="I12" s="17" t="s">
        <v>271</v>
      </c>
      <c r="J12" s="17" t="s">
        <v>271</v>
      </c>
      <c r="K12" s="17" t="s">
        <v>271</v>
      </c>
      <c r="L12" s="17" t="s">
        <v>263</v>
      </c>
      <c r="M12" s="10">
        <f t="shared" si="0"/>
        <v>11</v>
      </c>
      <c r="N12" s="23" t="str">
        <f t="shared" si="1"/>
        <v>Desatualizada — pedir nova</v>
      </c>
    </row>
    <row r="13" spans="1:14" ht="30" customHeight="1" x14ac:dyDescent="0.3">
      <c r="A13" s="17" t="s">
        <v>929</v>
      </c>
      <c r="B13" s="17" t="s">
        <v>410</v>
      </c>
      <c r="C13" s="17" t="s">
        <v>409</v>
      </c>
      <c r="D13" s="17" t="s">
        <v>930</v>
      </c>
      <c r="E13" s="21"/>
      <c r="F13" s="26"/>
      <c r="G13" s="17" t="s">
        <v>342</v>
      </c>
      <c r="H13" s="17" t="s">
        <v>263</v>
      </c>
      <c r="I13" s="17" t="s">
        <v>342</v>
      </c>
      <c r="J13" s="17" t="s">
        <v>271</v>
      </c>
      <c r="K13" s="17" t="s">
        <v>271</v>
      </c>
      <c r="L13" s="17" t="s">
        <v>263</v>
      </c>
      <c r="M13" s="10" t="str">
        <f t="shared" si="0"/>
        <v/>
      </c>
      <c r="N13" s="23" t="str">
        <f t="shared" si="1"/>
        <v>Em falta — pedir</v>
      </c>
    </row>
    <row r="14" spans="1:14" ht="30" customHeight="1" x14ac:dyDescent="0.3">
      <c r="A14" s="17" t="s">
        <v>931</v>
      </c>
      <c r="B14" s="17" t="s">
        <v>410</v>
      </c>
      <c r="C14" s="17" t="s">
        <v>409</v>
      </c>
      <c r="D14" s="17" t="s">
        <v>932</v>
      </c>
      <c r="E14" s="21">
        <v>46124</v>
      </c>
      <c r="F14" s="26">
        <v>253</v>
      </c>
      <c r="G14" s="17" t="s">
        <v>271</v>
      </c>
      <c r="H14" s="17" t="s">
        <v>263</v>
      </c>
      <c r="I14" s="17" t="s">
        <v>271</v>
      </c>
      <c r="J14" s="17" t="s">
        <v>271</v>
      </c>
      <c r="K14" s="17" t="s">
        <v>271</v>
      </c>
      <c r="L14" s="17" t="s">
        <v>710</v>
      </c>
      <c r="M14" s="10">
        <f t="shared" si="0"/>
        <v>8</v>
      </c>
      <c r="N14" s="23" t="str">
        <f t="shared" si="1"/>
        <v>Atualizada</v>
      </c>
    </row>
    <row r="15" spans="1:14" ht="30" customHeight="1" x14ac:dyDescent="0.3">
      <c r="A15" s="17" t="s">
        <v>933</v>
      </c>
      <c r="B15" s="17" t="s">
        <v>399</v>
      </c>
      <c r="C15" s="17" t="s">
        <v>398</v>
      </c>
      <c r="D15" s="17" t="s">
        <v>934</v>
      </c>
      <c r="E15" s="21">
        <v>46101</v>
      </c>
      <c r="F15" s="26">
        <v>253</v>
      </c>
      <c r="G15" s="17" t="s">
        <v>271</v>
      </c>
      <c r="H15" s="17" t="s">
        <v>263</v>
      </c>
      <c r="I15" s="17" t="s">
        <v>271</v>
      </c>
      <c r="J15" s="17" t="s">
        <v>271</v>
      </c>
      <c r="K15" s="17" t="s">
        <v>271</v>
      </c>
      <c r="L15" s="17" t="s">
        <v>710</v>
      </c>
      <c r="M15" s="10">
        <f t="shared" si="0"/>
        <v>9</v>
      </c>
      <c r="N15" s="23" t="str">
        <f t="shared" si="1"/>
        <v>Atualizada</v>
      </c>
    </row>
    <row r="16" spans="1:14" ht="30" customHeight="1" x14ac:dyDescent="0.3">
      <c r="A16" s="17" t="s">
        <v>935</v>
      </c>
      <c r="B16" s="17" t="s">
        <v>405</v>
      </c>
      <c r="C16" s="17" t="s">
        <v>404</v>
      </c>
      <c r="D16" s="17" t="s">
        <v>906</v>
      </c>
      <c r="E16" s="21">
        <v>46204</v>
      </c>
      <c r="F16" s="26">
        <v>253</v>
      </c>
      <c r="G16" s="17" t="s">
        <v>271</v>
      </c>
      <c r="H16" s="17" t="s">
        <v>263</v>
      </c>
      <c r="I16" s="17" t="s">
        <v>271</v>
      </c>
      <c r="J16" s="17" t="s">
        <v>271</v>
      </c>
      <c r="K16" s="17" t="s">
        <v>271</v>
      </c>
      <c r="L16" s="17" t="s">
        <v>263</v>
      </c>
      <c r="M16" s="10">
        <f t="shared" si="0"/>
        <v>5</v>
      </c>
      <c r="N16" s="23" t="str">
        <f t="shared" si="1"/>
        <v>Atualizada</v>
      </c>
    </row>
    <row r="17" spans="1:14" ht="30" customHeight="1" x14ac:dyDescent="0.3">
      <c r="A17" s="17" t="s">
        <v>936</v>
      </c>
      <c r="B17" s="17" t="s">
        <v>338</v>
      </c>
      <c r="C17" s="17" t="s">
        <v>337</v>
      </c>
      <c r="D17" s="17" t="s">
        <v>937</v>
      </c>
      <c r="E17" s="21">
        <v>45979</v>
      </c>
      <c r="F17" s="26">
        <v>251</v>
      </c>
      <c r="G17" s="17" t="s">
        <v>271</v>
      </c>
      <c r="H17" s="17" t="s">
        <v>263</v>
      </c>
      <c r="I17" s="17" t="s">
        <v>342</v>
      </c>
      <c r="J17" s="17" t="s">
        <v>271</v>
      </c>
      <c r="K17" s="17" t="s">
        <v>271</v>
      </c>
      <c r="L17" s="17" t="s">
        <v>710</v>
      </c>
      <c r="M17" s="10">
        <f t="shared" si="0"/>
        <v>13</v>
      </c>
      <c r="N17" s="23" t="str">
        <f t="shared" si="1"/>
        <v>Desatualizada — pedir nova</v>
      </c>
    </row>
    <row r="18" spans="1:14" ht="30" customHeight="1" x14ac:dyDescent="0.3">
      <c r="A18" s="17" t="s">
        <v>938</v>
      </c>
      <c r="B18" s="17" t="s">
        <v>261</v>
      </c>
      <c r="C18" s="17" t="s">
        <v>260</v>
      </c>
      <c r="D18" s="17" t="s">
        <v>939</v>
      </c>
      <c r="E18" s="21">
        <v>46154</v>
      </c>
      <c r="F18" s="26">
        <v>253</v>
      </c>
      <c r="G18" s="17" t="s">
        <v>940</v>
      </c>
      <c r="H18" s="17" t="s">
        <v>263</v>
      </c>
      <c r="I18" s="17" t="s">
        <v>271</v>
      </c>
      <c r="J18" s="17" t="s">
        <v>271</v>
      </c>
      <c r="K18" s="17" t="s">
        <v>271</v>
      </c>
      <c r="L18" s="17" t="s">
        <v>710</v>
      </c>
      <c r="M18" s="10">
        <f t="shared" si="0"/>
        <v>7</v>
      </c>
      <c r="N18" s="23" t="str">
        <f t="shared" si="1"/>
        <v>Atualizada</v>
      </c>
    </row>
    <row r="19" spans="1:14" ht="30" customHeight="1" x14ac:dyDescent="0.3">
      <c r="A19" s="17"/>
      <c r="B19" s="17"/>
      <c r="C19" s="17"/>
      <c r="D19" s="17"/>
      <c r="E19" s="21"/>
      <c r="F19" s="26"/>
      <c r="G19" s="17"/>
      <c r="H19" s="17"/>
      <c r="I19" s="17"/>
      <c r="J19" s="17"/>
      <c r="K19" s="17"/>
      <c r="L19" s="17"/>
      <c r="M19" s="10" t="str">
        <f t="shared" si="0"/>
        <v/>
      </c>
      <c r="N19" s="23" t="str">
        <f t="shared" si="1"/>
        <v/>
      </c>
    </row>
    <row r="20" spans="1:14" ht="30" customHeight="1" x14ac:dyDescent="0.3">
      <c r="A20" s="17"/>
      <c r="B20" s="17"/>
      <c r="C20" s="17"/>
      <c r="D20" s="17"/>
      <c r="E20" s="21"/>
      <c r="F20" s="26"/>
      <c r="G20" s="17"/>
      <c r="H20" s="17"/>
      <c r="I20" s="17"/>
      <c r="J20" s="17"/>
      <c r="K20" s="17"/>
      <c r="L20" s="17"/>
      <c r="M20" s="10" t="str">
        <f t="shared" si="0"/>
        <v/>
      </c>
      <c r="N20" s="23" t="str">
        <f t="shared" si="1"/>
        <v/>
      </c>
    </row>
    <row r="21" spans="1:14" ht="30" customHeight="1" x14ac:dyDescent="0.3">
      <c r="A21" s="17"/>
      <c r="B21" s="17"/>
      <c r="C21" s="17"/>
      <c r="D21" s="17"/>
      <c r="E21" s="21"/>
      <c r="F21" s="26"/>
      <c r="G21" s="17"/>
      <c r="H21" s="17"/>
      <c r="I21" s="17"/>
      <c r="J21" s="17"/>
      <c r="K21" s="17"/>
      <c r="L21" s="17"/>
      <c r="M21" s="10" t="str">
        <f t="shared" si="0"/>
        <v/>
      </c>
      <c r="N21" s="23" t="str">
        <f t="shared" si="1"/>
        <v/>
      </c>
    </row>
    <row r="22" spans="1:14" ht="30" customHeight="1" x14ac:dyDescent="0.3">
      <c r="A22" s="17"/>
      <c r="B22" s="17"/>
      <c r="C22" s="17"/>
      <c r="D22" s="17"/>
      <c r="E22" s="21"/>
      <c r="F22" s="26"/>
      <c r="G22" s="17"/>
      <c r="H22" s="17"/>
      <c r="I22" s="17"/>
      <c r="J22" s="17"/>
      <c r="K22" s="17"/>
      <c r="L22" s="17"/>
      <c r="M22" s="10" t="str">
        <f t="shared" si="0"/>
        <v/>
      </c>
      <c r="N22" s="23" t="str">
        <f t="shared" si="1"/>
        <v/>
      </c>
    </row>
    <row r="23" spans="1:14" ht="30" customHeight="1" x14ac:dyDescent="0.3">
      <c r="A23" s="17"/>
      <c r="B23" s="17"/>
      <c r="C23" s="17"/>
      <c r="D23" s="17"/>
      <c r="E23" s="21"/>
      <c r="F23" s="26"/>
      <c r="G23" s="17"/>
      <c r="H23" s="17"/>
      <c r="I23" s="17"/>
      <c r="J23" s="17"/>
      <c r="K23" s="17"/>
      <c r="L23" s="17"/>
      <c r="M23" s="10" t="str">
        <f t="shared" si="0"/>
        <v/>
      </c>
      <c r="N23" s="23" t="str">
        <f t="shared" si="1"/>
        <v/>
      </c>
    </row>
    <row r="24" spans="1:14" ht="30" customHeight="1" x14ac:dyDescent="0.3">
      <c r="A24" s="17"/>
      <c r="B24" s="17"/>
      <c r="C24" s="17"/>
      <c r="D24" s="17"/>
      <c r="E24" s="21"/>
      <c r="F24" s="26"/>
      <c r="G24" s="17"/>
      <c r="H24" s="17"/>
      <c r="I24" s="17"/>
      <c r="J24" s="17"/>
      <c r="K24" s="17"/>
      <c r="L24" s="17"/>
      <c r="M24" s="10" t="str">
        <f t="shared" si="0"/>
        <v/>
      </c>
      <c r="N24" s="23" t="str">
        <f t="shared" si="1"/>
        <v/>
      </c>
    </row>
    <row r="25" spans="1:14" ht="30" customHeight="1" x14ac:dyDescent="0.3">
      <c r="A25" s="17"/>
      <c r="B25" s="17"/>
      <c r="C25" s="17"/>
      <c r="D25" s="17"/>
      <c r="E25" s="21"/>
      <c r="F25" s="26"/>
      <c r="G25" s="17"/>
      <c r="H25" s="17"/>
      <c r="I25" s="17"/>
      <c r="J25" s="17"/>
      <c r="K25" s="17"/>
      <c r="L25" s="17"/>
      <c r="M25" s="10" t="str">
        <f t="shared" si="0"/>
        <v/>
      </c>
      <c r="N25" s="23" t="str">
        <f t="shared" si="1"/>
        <v/>
      </c>
    </row>
    <row r="26" spans="1:14" ht="30" customHeight="1" x14ac:dyDescent="0.3">
      <c r="A26" s="17"/>
      <c r="B26" s="17"/>
      <c r="C26" s="17"/>
      <c r="D26" s="17"/>
      <c r="E26" s="21"/>
      <c r="F26" s="26"/>
      <c r="G26" s="17"/>
      <c r="H26" s="17"/>
      <c r="I26" s="17"/>
      <c r="J26" s="17"/>
      <c r="K26" s="17"/>
      <c r="L26" s="17"/>
      <c r="M26" s="10" t="str">
        <f t="shared" si="0"/>
        <v/>
      </c>
      <c r="N26" s="23" t="str">
        <f t="shared" si="1"/>
        <v/>
      </c>
    </row>
    <row r="27" spans="1:14" ht="30" customHeight="1" x14ac:dyDescent="0.3">
      <c r="A27" s="17"/>
      <c r="B27" s="17"/>
      <c r="C27" s="17"/>
      <c r="D27" s="17"/>
      <c r="E27" s="21"/>
      <c r="F27" s="26"/>
      <c r="G27" s="17"/>
      <c r="H27" s="17"/>
      <c r="I27" s="17"/>
      <c r="J27" s="17"/>
      <c r="K27" s="17"/>
      <c r="L27" s="17"/>
      <c r="M27" s="10" t="str">
        <f t="shared" si="0"/>
        <v/>
      </c>
      <c r="N27" s="23" t="str">
        <f t="shared" si="1"/>
        <v/>
      </c>
    </row>
    <row r="28" spans="1:14" ht="30" customHeight="1" x14ac:dyDescent="0.3">
      <c r="A28" s="17"/>
      <c r="B28" s="17"/>
      <c r="C28" s="17"/>
      <c r="D28" s="17"/>
      <c r="E28" s="21"/>
      <c r="F28" s="26"/>
      <c r="G28" s="17"/>
      <c r="H28" s="17"/>
      <c r="I28" s="17"/>
      <c r="J28" s="17"/>
      <c r="K28" s="17"/>
      <c r="L28" s="17"/>
      <c r="M28" s="10" t="str">
        <f t="shared" si="0"/>
        <v/>
      </c>
      <c r="N28" s="23" t="str">
        <f t="shared" si="1"/>
        <v/>
      </c>
    </row>
    <row r="29" spans="1:14" ht="30" customHeight="1" x14ac:dyDescent="0.3">
      <c r="A29" s="17"/>
      <c r="B29" s="17"/>
      <c r="C29" s="17"/>
      <c r="D29" s="17"/>
      <c r="E29" s="21"/>
      <c r="F29" s="26"/>
      <c r="G29" s="17"/>
      <c r="H29" s="17"/>
      <c r="I29" s="17"/>
      <c r="J29" s="17"/>
      <c r="K29" s="17"/>
      <c r="L29" s="17"/>
      <c r="M29" s="10" t="str">
        <f t="shared" si="0"/>
        <v/>
      </c>
      <c r="N29" s="23" t="str">
        <f t="shared" si="1"/>
        <v/>
      </c>
    </row>
    <row r="30" spans="1:14" ht="30" customHeight="1" x14ac:dyDescent="0.3">
      <c r="A30" s="17"/>
      <c r="B30" s="17"/>
      <c r="C30" s="17"/>
      <c r="D30" s="17"/>
      <c r="E30" s="21"/>
      <c r="F30" s="26"/>
      <c r="G30" s="17"/>
      <c r="H30" s="17"/>
      <c r="I30" s="17"/>
      <c r="J30" s="17"/>
      <c r="K30" s="17"/>
      <c r="L30" s="17"/>
      <c r="M30" s="10" t="str">
        <f t="shared" si="0"/>
        <v/>
      </c>
      <c r="N30" s="23" t="str">
        <f t="shared" si="1"/>
        <v/>
      </c>
    </row>
    <row r="31" spans="1:14" ht="30" customHeight="1" x14ac:dyDescent="0.3">
      <c r="A31" s="17"/>
      <c r="B31" s="17"/>
      <c r="C31" s="17"/>
      <c r="D31" s="17"/>
      <c r="E31" s="21"/>
      <c r="F31" s="26"/>
      <c r="G31" s="17"/>
      <c r="H31" s="17"/>
      <c r="I31" s="17"/>
      <c r="J31" s="17"/>
      <c r="K31" s="17"/>
      <c r="L31" s="17"/>
      <c r="M31" s="10" t="str">
        <f t="shared" si="0"/>
        <v/>
      </c>
      <c r="N31" s="23" t="str">
        <f t="shared" si="1"/>
        <v/>
      </c>
    </row>
    <row r="32" spans="1:14" ht="30" customHeight="1" x14ac:dyDescent="0.3">
      <c r="A32" s="17"/>
      <c r="B32" s="17"/>
      <c r="C32" s="17"/>
      <c r="D32" s="17"/>
      <c r="E32" s="21"/>
      <c r="F32" s="26"/>
      <c r="G32" s="17"/>
      <c r="H32" s="17"/>
      <c r="I32" s="17"/>
      <c r="J32" s="17"/>
      <c r="K32" s="17"/>
      <c r="L32" s="17"/>
      <c r="M32" s="10" t="str">
        <f t="shared" si="0"/>
        <v/>
      </c>
      <c r="N32" s="23" t="str">
        <f t="shared" si="1"/>
        <v/>
      </c>
    </row>
    <row r="33" spans="1:14" ht="30" customHeight="1" x14ac:dyDescent="0.3">
      <c r="A33" s="17"/>
      <c r="B33" s="17"/>
      <c r="C33" s="17"/>
      <c r="D33" s="17"/>
      <c r="E33" s="21"/>
      <c r="F33" s="26"/>
      <c r="G33" s="17"/>
      <c r="H33" s="17"/>
      <c r="I33" s="17"/>
      <c r="J33" s="17"/>
      <c r="K33" s="17"/>
      <c r="L33" s="17"/>
      <c r="M33" s="10" t="str">
        <f t="shared" si="0"/>
        <v/>
      </c>
      <c r="N33" s="23" t="str">
        <f t="shared" si="1"/>
        <v/>
      </c>
    </row>
    <row r="34" spans="1:14" ht="30" customHeight="1" x14ac:dyDescent="0.3">
      <c r="A34" s="17"/>
      <c r="B34" s="17"/>
      <c r="C34" s="17"/>
      <c r="D34" s="17"/>
      <c r="E34" s="21"/>
      <c r="F34" s="26"/>
      <c r="G34" s="17"/>
      <c r="H34" s="17"/>
      <c r="I34" s="17"/>
      <c r="J34" s="17"/>
      <c r="K34" s="17"/>
      <c r="L34" s="17"/>
      <c r="M34" s="10" t="str">
        <f t="shared" si="0"/>
        <v/>
      </c>
      <c r="N34" s="23" t="str">
        <f t="shared" si="1"/>
        <v/>
      </c>
    </row>
    <row r="35" spans="1:14" ht="30" customHeight="1" x14ac:dyDescent="0.3">
      <c r="A35" s="17"/>
      <c r="B35" s="17"/>
      <c r="C35" s="17"/>
      <c r="D35" s="17"/>
      <c r="E35" s="21"/>
      <c r="F35" s="26"/>
      <c r="G35" s="17"/>
      <c r="H35" s="17"/>
      <c r="I35" s="17"/>
      <c r="J35" s="17"/>
      <c r="K35" s="17"/>
      <c r="L35" s="17"/>
      <c r="M35" s="10" t="str">
        <f t="shared" si="0"/>
        <v/>
      </c>
      <c r="N35" s="23" t="str">
        <f t="shared" si="1"/>
        <v/>
      </c>
    </row>
    <row r="36" spans="1:14" ht="30" customHeight="1" x14ac:dyDescent="0.3">
      <c r="A36" s="17"/>
      <c r="B36" s="17"/>
      <c r="C36" s="17"/>
      <c r="D36" s="17"/>
      <c r="E36" s="21"/>
      <c r="F36" s="26"/>
      <c r="G36" s="17"/>
      <c r="H36" s="17"/>
      <c r="I36" s="17"/>
      <c r="J36" s="17"/>
      <c r="K36" s="17"/>
      <c r="L36" s="17"/>
      <c r="M36" s="10" t="str">
        <f t="shared" si="0"/>
        <v/>
      </c>
      <c r="N36" s="23" t="str">
        <f t="shared" si="1"/>
        <v/>
      </c>
    </row>
    <row r="37" spans="1:14" ht="30" customHeight="1" x14ac:dyDescent="0.3">
      <c r="A37" s="17"/>
      <c r="B37" s="17"/>
      <c r="C37" s="17"/>
      <c r="D37" s="17"/>
      <c r="E37" s="21"/>
      <c r="F37" s="26"/>
      <c r="G37" s="17"/>
      <c r="H37" s="17"/>
      <c r="I37" s="17"/>
      <c r="J37" s="17"/>
      <c r="K37" s="17"/>
      <c r="L37" s="17"/>
      <c r="M37" s="10" t="str">
        <f t="shared" si="0"/>
        <v/>
      </c>
      <c r="N37" s="23" t="str">
        <f t="shared" si="1"/>
        <v/>
      </c>
    </row>
    <row r="38" spans="1:14" ht="30" customHeight="1" x14ac:dyDescent="0.3">
      <c r="A38" s="17"/>
      <c r="B38" s="17"/>
      <c r="C38" s="17"/>
      <c r="D38" s="17"/>
      <c r="E38" s="21"/>
      <c r="F38" s="26"/>
      <c r="G38" s="17"/>
      <c r="H38" s="17"/>
      <c r="I38" s="17"/>
      <c r="J38" s="17"/>
      <c r="K38" s="17"/>
      <c r="L38" s="17"/>
      <c r="M38" s="10" t="str">
        <f t="shared" si="0"/>
        <v/>
      </c>
      <c r="N38" s="23" t="str">
        <f t="shared" si="1"/>
        <v/>
      </c>
    </row>
  </sheetData>
  <conditionalFormatting sqref="G5:G238">
    <cfRule type="expression" dxfId="38" priority="6">
      <formula>ISNUMBER(SEARCH("Sim",G5))</formula>
    </cfRule>
    <cfRule type="expression" dxfId="37" priority="7">
      <formula>ISNUMBER(SEARCH("Por confirmar",G5))</formula>
    </cfRule>
  </conditionalFormatting>
  <conditionalFormatting sqref="N5:N238">
    <cfRule type="expression" dxfId="36" priority="1">
      <formula>ISNUMBER(SEARCH("falta",N5))</formula>
    </cfRule>
    <cfRule type="expression" dxfId="35" priority="2">
      <formula>ISNUMBER(SEARCH("Desatualizada",N5))</formula>
    </cfRule>
    <cfRule type="expression" dxfId="34" priority="3">
      <formula>ISNUMBER(SEARCH("Incompleta",N5))</formula>
    </cfRule>
    <cfRule type="expression" dxfId="33" priority="4">
      <formula>ISNUMBER(SEARCH("Renovar",N5))</formula>
    </cfRule>
    <cfRule type="expression" dxfId="32" priority="5">
      <formula>ISNUMBER(SEARCH("Atualizada",N5))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392B"/>
    <pageSetUpPr fitToPage="1"/>
  </sheetPr>
  <dimension ref="A1:AH55"/>
  <sheetViews>
    <sheetView zoomScale="9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9" customWidth="1"/>
    <col min="3" max="3" width="24" customWidth="1"/>
    <col min="4" max="4" width="32" customWidth="1"/>
    <col min="5" max="5" width="7" customWidth="1"/>
    <col min="6" max="6" width="20" customWidth="1"/>
    <col min="7" max="8" width="7" customWidth="1"/>
    <col min="9" max="9" width="22" customWidth="1"/>
    <col min="10" max="10" width="20" customWidth="1"/>
    <col min="11" max="11" width="22" customWidth="1"/>
    <col min="12" max="12" width="14" customWidth="1"/>
    <col min="13" max="13" width="16" customWidth="1"/>
    <col min="14" max="14" width="24" customWidth="1"/>
    <col min="15" max="15" width="28" customWidth="1"/>
    <col min="16" max="16" width="14" customWidth="1"/>
    <col min="17" max="17" width="32" customWidth="1"/>
    <col min="18" max="18" width="8" customWidth="1"/>
    <col min="19" max="19" width="20" customWidth="1"/>
    <col min="20" max="21" width="11" customWidth="1"/>
    <col min="22" max="22" width="20" customWidth="1"/>
    <col min="23" max="23" width="26" customWidth="1"/>
    <col min="24" max="24" width="7" customWidth="1"/>
    <col min="25" max="25" width="10" customWidth="1"/>
    <col min="26" max="26" width="8" customWidth="1"/>
    <col min="27" max="27" width="9" customWidth="1"/>
    <col min="28" max="29" width="10" customWidth="1"/>
    <col min="30" max="30" width="12" customWidth="1"/>
    <col min="31" max="31" width="34" customWidth="1"/>
    <col min="32" max="32" width="12" customWidth="1"/>
    <col min="33" max="33" width="11" customWidth="1"/>
    <col min="34" max="34" width="14" customWidth="1"/>
  </cols>
  <sheetData>
    <row r="1" spans="1:34" ht="17.399999999999999" x14ac:dyDescent="0.3">
      <c r="A1" s="1" t="s">
        <v>941</v>
      </c>
    </row>
    <row r="2" spans="1:34" x14ac:dyDescent="0.3">
      <c r="A2" s="2" t="s">
        <v>942</v>
      </c>
    </row>
    <row r="4" spans="1:34" ht="39.6" x14ac:dyDescent="0.3">
      <c r="A4" s="8" t="s">
        <v>943</v>
      </c>
      <c r="B4" s="8" t="s">
        <v>213</v>
      </c>
      <c r="C4" s="8" t="s">
        <v>944</v>
      </c>
      <c r="D4" s="8" t="s">
        <v>945</v>
      </c>
      <c r="E4" s="8" t="s">
        <v>217</v>
      </c>
      <c r="F4" s="8" t="s">
        <v>946</v>
      </c>
      <c r="G4" s="8" t="s">
        <v>947</v>
      </c>
      <c r="H4" s="8" t="s">
        <v>948</v>
      </c>
      <c r="I4" s="8" t="s">
        <v>949</v>
      </c>
      <c r="J4" s="8" t="s">
        <v>950</v>
      </c>
      <c r="K4" s="8" t="s">
        <v>951</v>
      </c>
      <c r="L4" s="8" t="s">
        <v>952</v>
      </c>
      <c r="M4" s="8" t="s">
        <v>953</v>
      </c>
      <c r="N4" s="8" t="s">
        <v>954</v>
      </c>
      <c r="O4" s="8" t="s">
        <v>955</v>
      </c>
      <c r="P4" s="8" t="s">
        <v>956</v>
      </c>
      <c r="Q4" s="8" t="s">
        <v>957</v>
      </c>
      <c r="R4" s="8" t="s">
        <v>958</v>
      </c>
      <c r="S4" s="8" t="s">
        <v>777</v>
      </c>
      <c r="T4" s="8" t="s">
        <v>959</v>
      </c>
      <c r="U4" s="8" t="s">
        <v>960</v>
      </c>
      <c r="V4" s="8" t="s">
        <v>961</v>
      </c>
      <c r="W4" s="18" t="s">
        <v>684</v>
      </c>
      <c r="X4" s="18" t="s">
        <v>962</v>
      </c>
      <c r="Y4" s="18" t="s">
        <v>244</v>
      </c>
      <c r="Z4" s="18" t="s">
        <v>245</v>
      </c>
      <c r="AA4" s="18" t="s">
        <v>250</v>
      </c>
      <c r="AB4" s="18" t="s">
        <v>963</v>
      </c>
      <c r="AC4" s="18" t="s">
        <v>964</v>
      </c>
      <c r="AD4" s="18" t="s">
        <v>965</v>
      </c>
      <c r="AE4" s="18" t="s">
        <v>966</v>
      </c>
      <c r="AF4" s="18" t="s">
        <v>967</v>
      </c>
      <c r="AG4" s="18" t="s">
        <v>968</v>
      </c>
      <c r="AH4" s="18" t="s">
        <v>14</v>
      </c>
    </row>
    <row r="5" spans="1:34" ht="48" customHeight="1" x14ac:dyDescent="0.3">
      <c r="A5" s="17" t="s">
        <v>969</v>
      </c>
      <c r="B5" s="17" t="s">
        <v>255</v>
      </c>
      <c r="C5" s="17"/>
      <c r="D5" s="17" t="s">
        <v>970</v>
      </c>
      <c r="E5" s="17" t="s">
        <v>259</v>
      </c>
      <c r="F5" s="17" t="s">
        <v>971</v>
      </c>
      <c r="G5" s="26">
        <v>8</v>
      </c>
      <c r="H5" s="26"/>
      <c r="I5" s="17" t="s">
        <v>972</v>
      </c>
      <c r="J5" s="17" t="s">
        <v>973</v>
      </c>
      <c r="K5" s="17" t="s">
        <v>974</v>
      </c>
      <c r="L5" s="17" t="s">
        <v>975</v>
      </c>
      <c r="M5" s="17" t="s">
        <v>976</v>
      </c>
      <c r="N5" s="17" t="s">
        <v>977</v>
      </c>
      <c r="O5" s="17" t="s">
        <v>978</v>
      </c>
      <c r="P5" s="17" t="s">
        <v>979</v>
      </c>
      <c r="Q5" s="17"/>
      <c r="R5" s="17" t="s">
        <v>980</v>
      </c>
      <c r="S5" s="17" t="s">
        <v>791</v>
      </c>
      <c r="T5" s="21"/>
      <c r="U5" s="21">
        <v>46373</v>
      </c>
      <c r="V5" s="17" t="s">
        <v>981</v>
      </c>
      <c r="W5" s="23" t="str">
        <f>IF(A5="","",IF(B5="",C5,IFERROR(INDEX(tbl_quimicos[Nome_Comercial],MATCH(B5,tbl_quimicos[ID_Quimico],0)),"")))</f>
        <v>Tinta serigráfica base solvente (PP/PE)</v>
      </c>
      <c r="X5" s="10">
        <f>IF(A5="","",IF(B5="",H5,IFERROR(INDEX(tbl_quimicos[Classe_Perigo_Saude],MATCH(B5,tbl_quimicos[ID_Quimico],0)),"")))</f>
        <v>3</v>
      </c>
      <c r="Y5" s="23" t="str">
        <f>IF(OR(A5="",B5=""),"",IFERROR(INDEX(tbl_quimicos[CMR],MATCH(B5,tbl_quimicos[ID_Quimico],0)),""))</f>
        <v>Não</v>
      </c>
      <c r="Z5" s="23" t="str">
        <f>IF(OR(A5="",B5=""),"",IFERROR(INDEX(tbl_quimicos[Sensibilizante],MATCH(B5,tbl_quimicos[ID_Quimico],0)),""))</f>
        <v>Não</v>
      </c>
      <c r="AA5" s="23" t="str">
        <f>IF(OR(A5="",B5=""),"",IFERROR(INDEX(tbl_quimicos[Protecao_Maternidade],MATCH(B5,tbl_quimicos[ID_Quimico],0)),""))</f>
        <v>Não</v>
      </c>
      <c r="AB5" s="27">
        <f>IF(A5="","",10^(X5-1)*INDEX(tbl_m_volat[Score],MATCH(I5,tbl_m_volat[Volatilidade],0))*INDEX(tbl_m_proced[Score],MATCH(J5,tbl_m_proced[Procedimento],0))*INDEX(tbl_m_prot[Score],MATCH(K5,tbl_m_prot[Protecao],0)))</f>
        <v>50</v>
      </c>
      <c r="AC5" s="22">
        <f>IF(A5="","",10^(X5-1)*INDEX(tbl_m_superf[Score],MATCH(L5,tbl_m_superf[Superficie],0))*INDEX(tbl_m_freq[Score],MATCH(M5,tbl_m_freq[Frequencia],0)))</f>
        <v>1000</v>
      </c>
      <c r="AD5" s="23" t="str">
        <f t="shared" ref="AD5:AD36" si="0">IF(A5="","",IF(MAX(AB5,AC5)&gt;1000,"P1 — muito alta",IF(MAX(AB5,AC5)&gt;=100,"P2 — alta","P3 — moderada")))</f>
        <v>P2 — alta</v>
      </c>
      <c r="AE5" s="23" t="str">
        <f t="shared" ref="AE5:AE36" si="1">IF(A5="","",IF(Y5="Cat. 1A/1B","DL 301/2000: substituir; sistema fechado; lista de expostos; vigilância da saúde",IF(Z5="Sim","Sensibilizante: vigilância da saúde; luvas do material indicado na FDS",IF(X5&gt;=4,"Tóxico/corrosivo/CMR 2: acesso restrito; EPI obrigatório; formação","Medidas gerais do DL 24/2012"))))</f>
        <v>Medidas gerais do DL 24/2012</v>
      </c>
      <c r="AF5" s="23" t="str">
        <f t="shared" ref="AF5:AF36" si="2">IF(A5="","",IF(P5&lt;&gt;"","Sim — "&amp;P5,IF(AND(LEFT(AD5,2)&lt;&gt;"P3",AB5&gt;=100),"Avaliar medição","Não necessário")))</f>
        <v>Sim — MVLE-2025-02; MVLE-2025-03</v>
      </c>
      <c r="AG5" s="24">
        <f t="shared" ref="AG5:AG36" si="3">IF(OR(A5="",U5=""),"",EDATE(U5,p_Meses_ARQ))</f>
        <v>47469</v>
      </c>
      <c r="AH5" s="23" t="str">
        <f t="shared" ref="AH5:AH36" si="4">IF(A5="","",IF(AG5&lt;DataRef,"Revisão em atraso",IF(AND(T5&lt;&gt;"",T5&lt;DataRef),"Medidas em atraso","Em dia")))</f>
        <v>Em dia</v>
      </c>
    </row>
    <row r="6" spans="1:34" ht="48" customHeight="1" x14ac:dyDescent="0.3">
      <c r="A6" s="17" t="s">
        <v>982</v>
      </c>
      <c r="B6" s="17" t="s">
        <v>274</v>
      </c>
      <c r="C6" s="17"/>
      <c r="D6" s="17" t="s">
        <v>983</v>
      </c>
      <c r="E6" s="17" t="s">
        <v>259</v>
      </c>
      <c r="F6" s="17" t="s">
        <v>971</v>
      </c>
      <c r="G6" s="26">
        <v>3</v>
      </c>
      <c r="H6" s="26"/>
      <c r="I6" s="17" t="s">
        <v>984</v>
      </c>
      <c r="J6" s="17" t="s">
        <v>973</v>
      </c>
      <c r="K6" s="17" t="s">
        <v>974</v>
      </c>
      <c r="L6" s="17" t="s">
        <v>975</v>
      </c>
      <c r="M6" s="17" t="s">
        <v>985</v>
      </c>
      <c r="N6" s="17" t="s">
        <v>986</v>
      </c>
      <c r="O6" s="17" t="s">
        <v>987</v>
      </c>
      <c r="P6" s="17"/>
      <c r="Q6" s="17" t="s">
        <v>988</v>
      </c>
      <c r="R6" s="17" t="s">
        <v>989</v>
      </c>
      <c r="S6" s="17" t="s">
        <v>990</v>
      </c>
      <c r="T6" s="21">
        <v>46387</v>
      </c>
      <c r="U6" s="21">
        <v>46185</v>
      </c>
      <c r="V6" s="17" t="s">
        <v>981</v>
      </c>
      <c r="W6" s="23" t="str">
        <f>IF(A6="","",IF(B6="",C6,IFERROR(INDEX(tbl_quimicos[Nome_Comercial],MATCH(B6,tbl_quimicos[ID_Quimico],0)),"")))</f>
        <v>Tinta serigráfica UV (PET) — ensaio SS-002</v>
      </c>
      <c r="X6" s="10">
        <f>IF(A6="","",IF(B6="",H6,IFERROR(INDEX(tbl_quimicos[Classe_Perigo_Saude],MATCH(B6,tbl_quimicos[ID_Quimico],0)),"")))</f>
        <v>5</v>
      </c>
      <c r="Y6" s="23" t="str">
        <f>IF(OR(A6="",B6=""),"",IFERROR(INDEX(tbl_quimicos[CMR],MATCH(B6,tbl_quimicos[ID_Quimico],0)),""))</f>
        <v>Cat. 1A/1B</v>
      </c>
      <c r="Z6" s="23" t="str">
        <f>IF(OR(A6="",B6=""),"",IFERROR(INDEX(tbl_quimicos[Sensibilizante],MATCH(B6,tbl_quimicos[ID_Quimico],0)),""))</f>
        <v>Sim</v>
      </c>
      <c r="AA6" s="23" t="str">
        <f>IF(OR(A6="",B6=""),"",IFERROR(INDEX(tbl_quimicos[Protecao_Maternidade],MATCH(B6,tbl_quimicos[ID_Quimico],0)),""))</f>
        <v>Sim</v>
      </c>
      <c r="AB6" s="27">
        <f>IF(A6="","",10^(X6-1)*INDEX(tbl_m_volat[Score],MATCH(I6,tbl_m_volat[Volatilidade],0))*INDEX(tbl_m_proced[Score],MATCH(J6,tbl_m_proced[Procedimento],0))*INDEX(tbl_m_prot[Score],MATCH(K6,tbl_m_prot[Protecao],0)))</f>
        <v>500</v>
      </c>
      <c r="AC6" s="22">
        <f>IF(A6="","",10^(X6-1)*INDEX(tbl_m_superf[Score],MATCH(L6,tbl_m_superf[Superficie],0))*INDEX(tbl_m_freq[Score],MATCH(M6,tbl_m_freq[Frequencia],0)))</f>
        <v>40000</v>
      </c>
      <c r="AD6" s="23" t="str">
        <f t="shared" si="0"/>
        <v>P1 — muito alta</v>
      </c>
      <c r="AE6" s="23" t="str">
        <f t="shared" si="1"/>
        <v>DL 301/2000: substituir; sistema fechado; lista de expostos; vigilância da saúde</v>
      </c>
      <c r="AF6" s="23" t="str">
        <f t="shared" si="2"/>
        <v>Avaliar medição</v>
      </c>
      <c r="AG6" s="24">
        <f t="shared" si="3"/>
        <v>47281</v>
      </c>
      <c r="AH6" s="23" t="str">
        <f t="shared" si="4"/>
        <v>Em dia</v>
      </c>
    </row>
    <row r="7" spans="1:34" ht="48" customHeight="1" x14ac:dyDescent="0.3">
      <c r="A7" s="17" t="s">
        <v>991</v>
      </c>
      <c r="B7" s="17" t="s">
        <v>282</v>
      </c>
      <c r="C7" s="17"/>
      <c r="D7" s="17" t="s">
        <v>992</v>
      </c>
      <c r="E7" s="17" t="s">
        <v>259</v>
      </c>
      <c r="F7" s="17" t="s">
        <v>971</v>
      </c>
      <c r="G7" s="26">
        <v>8</v>
      </c>
      <c r="H7" s="26"/>
      <c r="I7" s="17" t="s">
        <v>972</v>
      </c>
      <c r="J7" s="17" t="s">
        <v>973</v>
      </c>
      <c r="K7" s="17" t="s">
        <v>974</v>
      </c>
      <c r="L7" s="17" t="s">
        <v>975</v>
      </c>
      <c r="M7" s="17" t="s">
        <v>993</v>
      </c>
      <c r="N7" s="17" t="s">
        <v>994</v>
      </c>
      <c r="O7" s="17" t="s">
        <v>995</v>
      </c>
      <c r="P7" s="17" t="s">
        <v>996</v>
      </c>
      <c r="Q7" s="17"/>
      <c r="R7" s="17" t="s">
        <v>980</v>
      </c>
      <c r="S7" s="17" t="s">
        <v>997</v>
      </c>
      <c r="T7" s="21"/>
      <c r="U7" s="21">
        <v>46322</v>
      </c>
      <c r="V7" s="17" t="s">
        <v>981</v>
      </c>
      <c r="W7" s="23" t="str">
        <f>IF(A7="","",IF(B7="",C7,IFERROR(INDEX(tbl_quimicos[Nome_Comercial],MATCH(B7,tbl_quimicos[ID_Quimico],0)),"")))</f>
        <v>Endurecedor poli-isocianato alifático (tinta 2K)</v>
      </c>
      <c r="X7" s="10">
        <f>IF(A7="","",IF(B7="",H7,IFERROR(INDEX(tbl_quimicos[Classe_Perigo_Saude],MATCH(B7,tbl_quimicos[ID_Quimico],0)),"")))</f>
        <v>3</v>
      </c>
      <c r="Y7" s="23" t="str">
        <f>IF(OR(A7="",B7=""),"",IFERROR(INDEX(tbl_quimicos[CMR],MATCH(B7,tbl_quimicos[ID_Quimico],0)),""))</f>
        <v>Não</v>
      </c>
      <c r="Z7" s="23" t="str">
        <f>IF(OR(A7="",B7=""),"",IFERROR(INDEX(tbl_quimicos[Sensibilizante],MATCH(B7,tbl_quimicos[ID_Quimico],0)),""))</f>
        <v>Sim</v>
      </c>
      <c r="AA7" s="23" t="str">
        <f>IF(OR(A7="",B7=""),"",IFERROR(INDEX(tbl_quimicos[Protecao_Maternidade],MATCH(B7,tbl_quimicos[ID_Quimico],0)),""))</f>
        <v>Não</v>
      </c>
      <c r="AB7" s="27">
        <f>IF(A7="","",10^(X7-1)*INDEX(tbl_m_volat[Score],MATCH(I7,tbl_m_volat[Volatilidade],0))*INDEX(tbl_m_proced[Score],MATCH(J7,tbl_m_proced[Procedimento],0))*INDEX(tbl_m_prot[Score],MATCH(K7,tbl_m_prot[Protecao],0)))</f>
        <v>50</v>
      </c>
      <c r="AC7" s="22">
        <f>IF(A7="","",10^(X7-1)*INDEX(tbl_m_superf[Score],MATCH(L7,tbl_m_superf[Superficie],0))*INDEX(tbl_m_freq[Score],MATCH(M7,tbl_m_freq[Frequencia],0)))</f>
        <v>200</v>
      </c>
      <c r="AD7" s="23" t="str">
        <f t="shared" si="0"/>
        <v>P2 — alta</v>
      </c>
      <c r="AE7" s="23" t="str">
        <f t="shared" si="1"/>
        <v>Sensibilizante: vigilância da saúde; luvas do material indicado na FDS</v>
      </c>
      <c r="AF7" s="23" t="str">
        <f t="shared" si="2"/>
        <v>Sim — MVLE-2026-01</v>
      </c>
      <c r="AG7" s="24">
        <f t="shared" si="3"/>
        <v>47418</v>
      </c>
      <c r="AH7" s="23" t="str">
        <f t="shared" si="4"/>
        <v>Em dia</v>
      </c>
    </row>
    <row r="8" spans="1:34" ht="48" customHeight="1" x14ac:dyDescent="0.3">
      <c r="A8" s="17" t="s">
        <v>998</v>
      </c>
      <c r="B8" s="17" t="s">
        <v>289</v>
      </c>
      <c r="C8" s="17"/>
      <c r="D8" s="17" t="s">
        <v>999</v>
      </c>
      <c r="E8" s="17" t="s">
        <v>259</v>
      </c>
      <c r="F8" s="17" t="s">
        <v>971</v>
      </c>
      <c r="G8" s="26">
        <v>8</v>
      </c>
      <c r="H8" s="26"/>
      <c r="I8" s="17" t="s">
        <v>972</v>
      </c>
      <c r="J8" s="17" t="s">
        <v>973</v>
      </c>
      <c r="K8" s="17" t="s">
        <v>1000</v>
      </c>
      <c r="L8" s="17" t="s">
        <v>1001</v>
      </c>
      <c r="M8" s="17" t="s">
        <v>993</v>
      </c>
      <c r="N8" s="17" t="s">
        <v>1002</v>
      </c>
      <c r="O8" s="17" t="s">
        <v>1003</v>
      </c>
      <c r="P8" s="17" t="s">
        <v>1004</v>
      </c>
      <c r="Q8" s="17" t="s">
        <v>1005</v>
      </c>
      <c r="R8" s="17" t="s">
        <v>1006</v>
      </c>
      <c r="S8" s="17" t="s">
        <v>791</v>
      </c>
      <c r="T8" s="21">
        <v>46387</v>
      </c>
      <c r="U8" s="21">
        <v>45366</v>
      </c>
      <c r="V8" s="17" t="s">
        <v>981</v>
      </c>
      <c r="W8" s="23" t="str">
        <f>IF(A8="","",IF(B8="",C8,IFERROR(INDEX(tbl_quimicos[Nome_Comercial],MATCH(B8,tbl_quimicos[ID_Quimico],0)),"")))</f>
        <v>Diluente serigráfico (ciclo-hexanona / acetato de metoxipropilo)</v>
      </c>
      <c r="X8" s="10">
        <f>IF(A8="","",IF(B8="",H8,IFERROR(INDEX(tbl_quimicos[Classe_Perigo_Saude],MATCH(B8,tbl_quimicos[ID_Quimico],0)),"")))</f>
        <v>3</v>
      </c>
      <c r="Y8" s="23" t="str">
        <f>IF(OR(A8="",B8=""),"",IFERROR(INDEX(tbl_quimicos[CMR],MATCH(B8,tbl_quimicos[ID_Quimico],0)),""))</f>
        <v>Não</v>
      </c>
      <c r="Z8" s="23" t="str">
        <f>IF(OR(A8="",B8=""),"",IFERROR(INDEX(tbl_quimicos[Sensibilizante],MATCH(B8,tbl_quimicos[ID_Quimico],0)),""))</f>
        <v>Não</v>
      </c>
      <c r="AA8" s="23" t="str">
        <f>IF(OR(A8="",B8=""),"",IFERROR(INDEX(tbl_quimicos[Protecao_Maternidade],MATCH(B8,tbl_quimicos[ID_Quimico],0)),""))</f>
        <v>Não</v>
      </c>
      <c r="AB8" s="27">
        <f>IF(A8="","",10^(X8-1)*INDEX(tbl_m_volat[Score],MATCH(I8,tbl_m_volat[Volatilidade],0))*INDEX(tbl_m_proced[Score],MATCH(J8,tbl_m_proced[Procedimento],0))*INDEX(tbl_m_prot[Score],MATCH(K8,tbl_m_prot[Protecao],0)))</f>
        <v>350</v>
      </c>
      <c r="AC8" s="22">
        <f>IF(A8="","",10^(X8-1)*INDEX(tbl_m_superf[Score],MATCH(L8,tbl_m_superf[Superficie],0))*INDEX(tbl_m_freq[Score],MATCH(M8,tbl_m_freq[Frequencia],0)))</f>
        <v>100</v>
      </c>
      <c r="AD8" s="23" t="str">
        <f t="shared" si="0"/>
        <v>P2 — alta</v>
      </c>
      <c r="AE8" s="23" t="str">
        <f t="shared" si="1"/>
        <v>Medidas gerais do DL 24/2012</v>
      </c>
      <c r="AF8" s="23" t="str">
        <f t="shared" si="2"/>
        <v>Sim — MVLE-2025-02</v>
      </c>
      <c r="AG8" s="24">
        <f t="shared" si="3"/>
        <v>46461</v>
      </c>
      <c r="AH8" s="23" t="str">
        <f t="shared" si="4"/>
        <v>Em dia</v>
      </c>
    </row>
    <row r="9" spans="1:34" ht="48" customHeight="1" x14ac:dyDescent="0.3">
      <c r="A9" s="17" t="s">
        <v>1007</v>
      </c>
      <c r="B9" s="17" t="s">
        <v>300</v>
      </c>
      <c r="C9" s="17"/>
      <c r="D9" s="17" t="s">
        <v>1008</v>
      </c>
      <c r="E9" s="17" t="s">
        <v>259</v>
      </c>
      <c r="F9" s="17" t="s">
        <v>971</v>
      </c>
      <c r="G9" s="26">
        <v>4</v>
      </c>
      <c r="H9" s="26"/>
      <c r="I9" s="17" t="s">
        <v>1009</v>
      </c>
      <c r="J9" s="17" t="s">
        <v>1010</v>
      </c>
      <c r="K9" s="17" t="s">
        <v>1000</v>
      </c>
      <c r="L9" s="17" t="s">
        <v>1011</v>
      </c>
      <c r="M9" s="17" t="s">
        <v>976</v>
      </c>
      <c r="N9" s="17" t="s">
        <v>1002</v>
      </c>
      <c r="O9" s="17" t="s">
        <v>1012</v>
      </c>
      <c r="P9" s="17" t="s">
        <v>1013</v>
      </c>
      <c r="Q9" s="17" t="s">
        <v>1014</v>
      </c>
      <c r="R9" s="17" t="s">
        <v>989</v>
      </c>
      <c r="S9" s="17" t="s">
        <v>791</v>
      </c>
      <c r="T9" s="21">
        <v>46448</v>
      </c>
      <c r="U9" s="21">
        <v>45366</v>
      </c>
      <c r="V9" s="17" t="s">
        <v>981</v>
      </c>
      <c r="W9" s="23" t="str">
        <f>IF(A9="","",IF(B9="",C9,IFERROR(INDEX(tbl_quimicos[Nome_Comercial],MATCH(B9,tbl_quimicos[ID_Quimico],0)),"")))</f>
        <v>Solvente de limpeza de ecrãs (ésteres e cetonas)</v>
      </c>
      <c r="X9" s="10">
        <f>IF(A9="","",IF(B9="",H9,IFERROR(INDEX(tbl_quimicos[Classe_Perigo_Saude],MATCH(B9,tbl_quimicos[ID_Quimico],0)),"")))</f>
        <v>2</v>
      </c>
      <c r="Y9" s="23" t="str">
        <f>IF(OR(A9="",B9=""),"",IFERROR(INDEX(tbl_quimicos[CMR],MATCH(B9,tbl_quimicos[ID_Quimico],0)),""))</f>
        <v>Não</v>
      </c>
      <c r="Z9" s="23" t="str">
        <f>IF(OR(A9="",B9=""),"",IFERROR(INDEX(tbl_quimicos[Sensibilizante],MATCH(B9,tbl_quimicos[ID_Quimico],0)),""))</f>
        <v>Não</v>
      </c>
      <c r="AA9" s="23" t="str">
        <f>IF(OR(A9="",B9=""),"",IFERROR(INDEX(tbl_quimicos[Protecao_Maternidade],MATCH(B9,tbl_quimicos[ID_Quimico],0)),""))</f>
        <v>Não</v>
      </c>
      <c r="AB9" s="27">
        <f>IF(A9="","",10^(X9-1)*INDEX(tbl_m_volat[Score],MATCH(I9,tbl_m_volat[Volatilidade],0))*INDEX(tbl_m_proced[Score],MATCH(J9,tbl_m_proced[Procedimento],0))*INDEX(tbl_m_prot[Score],MATCH(K9,tbl_m_prot[Protecao],0)))</f>
        <v>700</v>
      </c>
      <c r="AC9" s="22">
        <f>IF(A9="","",10^(X9-1)*INDEX(tbl_m_superf[Score],MATCH(L9,tbl_m_superf[Superficie],0))*INDEX(tbl_m_freq[Score],MATCH(M9,tbl_m_freq[Frequencia],0)))</f>
        <v>150</v>
      </c>
      <c r="AD9" s="23" t="str">
        <f t="shared" si="0"/>
        <v>P2 — alta</v>
      </c>
      <c r="AE9" s="23" t="str">
        <f t="shared" si="1"/>
        <v>Medidas gerais do DL 24/2012</v>
      </c>
      <c r="AF9" s="23" t="str">
        <f t="shared" si="2"/>
        <v>Sim — MVLE-2025-01</v>
      </c>
      <c r="AG9" s="24">
        <f t="shared" si="3"/>
        <v>46461</v>
      </c>
      <c r="AH9" s="23" t="str">
        <f t="shared" si="4"/>
        <v>Em dia</v>
      </c>
    </row>
    <row r="10" spans="1:34" ht="48" customHeight="1" x14ac:dyDescent="0.3">
      <c r="A10" s="17" t="s">
        <v>1015</v>
      </c>
      <c r="B10" s="17" t="s">
        <v>300</v>
      </c>
      <c r="C10" s="17"/>
      <c r="D10" s="17" t="s">
        <v>1016</v>
      </c>
      <c r="E10" s="17" t="s">
        <v>259</v>
      </c>
      <c r="F10" s="17" t="s">
        <v>971</v>
      </c>
      <c r="G10" s="26">
        <v>4</v>
      </c>
      <c r="H10" s="26"/>
      <c r="I10" s="17" t="s">
        <v>1009</v>
      </c>
      <c r="J10" s="17" t="s">
        <v>973</v>
      </c>
      <c r="K10" s="17" t="s">
        <v>974</v>
      </c>
      <c r="L10" s="17" t="s">
        <v>975</v>
      </c>
      <c r="M10" s="17" t="s">
        <v>985</v>
      </c>
      <c r="N10" s="17" t="s">
        <v>1017</v>
      </c>
      <c r="O10" s="17" t="s">
        <v>1018</v>
      </c>
      <c r="P10" s="17" t="s">
        <v>1019</v>
      </c>
      <c r="Q10" s="17"/>
      <c r="R10" s="17" t="s">
        <v>1006</v>
      </c>
      <c r="S10" s="17" t="s">
        <v>791</v>
      </c>
      <c r="T10" s="21"/>
      <c r="U10" s="21">
        <v>45366</v>
      </c>
      <c r="V10" s="17" t="s">
        <v>981</v>
      </c>
      <c r="W10" s="23" t="str">
        <f>IF(A10="","",IF(B10="",C10,IFERROR(INDEX(tbl_quimicos[Nome_Comercial],MATCH(B10,tbl_quimicos[ID_Quimico],0)),"")))</f>
        <v>Solvente de limpeza de ecrãs (ésteres e cetonas)</v>
      </c>
      <c r="X10" s="10">
        <f>IF(A10="","",IF(B10="",H10,IFERROR(INDEX(tbl_quimicos[Classe_Perigo_Saude],MATCH(B10,tbl_quimicos[ID_Quimico],0)),"")))</f>
        <v>2</v>
      </c>
      <c r="Y10" s="23" t="str">
        <f>IF(OR(A10="",B10=""),"",IFERROR(INDEX(tbl_quimicos[CMR],MATCH(B10,tbl_quimicos[ID_Quimico],0)),""))</f>
        <v>Não</v>
      </c>
      <c r="Z10" s="23" t="str">
        <f>IF(OR(A10="",B10=""),"",IFERROR(INDEX(tbl_quimicos[Sensibilizante],MATCH(B10,tbl_quimicos[ID_Quimico],0)),""))</f>
        <v>Não</v>
      </c>
      <c r="AA10" s="23" t="str">
        <f>IF(OR(A10="",B10=""),"",IFERROR(INDEX(tbl_quimicos[Protecao_Maternidade],MATCH(B10,tbl_quimicos[ID_Quimico],0)),""))</f>
        <v>Não</v>
      </c>
      <c r="AB10" s="27">
        <f>IF(A10="","",10^(X10-1)*INDEX(tbl_m_volat[Score],MATCH(I10,tbl_m_volat[Volatilidade],0))*INDEX(tbl_m_proced[Score],MATCH(J10,tbl_m_proced[Procedimento],0))*INDEX(tbl_m_prot[Score],MATCH(K10,tbl_m_prot[Protecao],0)))</f>
        <v>50</v>
      </c>
      <c r="AC10" s="22">
        <f>IF(A10="","",10^(X10-1)*INDEX(tbl_m_superf[Score],MATCH(L10,tbl_m_superf[Superficie],0))*INDEX(tbl_m_freq[Score],MATCH(M10,tbl_m_freq[Frequencia],0)))</f>
        <v>40</v>
      </c>
      <c r="AD10" s="23" t="str">
        <f t="shared" si="0"/>
        <v>P3 — moderada</v>
      </c>
      <c r="AE10" s="23" t="str">
        <f t="shared" si="1"/>
        <v>Medidas gerais do DL 24/2012</v>
      </c>
      <c r="AF10" s="23" t="str">
        <f t="shared" si="2"/>
        <v>Sim — MVLE-2025-04</v>
      </c>
      <c r="AG10" s="24">
        <f t="shared" si="3"/>
        <v>46461</v>
      </c>
      <c r="AH10" s="23" t="str">
        <f t="shared" si="4"/>
        <v>Em dia</v>
      </c>
    </row>
    <row r="11" spans="1:34" ht="48" customHeight="1" x14ac:dyDescent="0.3">
      <c r="A11" s="17" t="s">
        <v>1020</v>
      </c>
      <c r="B11" s="17" t="s">
        <v>318</v>
      </c>
      <c r="C11" s="17"/>
      <c r="D11" s="17" t="s">
        <v>1021</v>
      </c>
      <c r="E11" s="17" t="s">
        <v>259</v>
      </c>
      <c r="F11" s="17" t="s">
        <v>971</v>
      </c>
      <c r="G11" s="26">
        <v>2</v>
      </c>
      <c r="H11" s="26"/>
      <c r="I11" s="17" t="s">
        <v>984</v>
      </c>
      <c r="J11" s="17" t="s">
        <v>973</v>
      </c>
      <c r="K11" s="17" t="s">
        <v>1000</v>
      </c>
      <c r="L11" s="17" t="s">
        <v>975</v>
      </c>
      <c r="M11" s="17" t="s">
        <v>993</v>
      </c>
      <c r="N11" s="17" t="s">
        <v>1022</v>
      </c>
      <c r="O11" s="17" t="s">
        <v>1023</v>
      </c>
      <c r="P11" s="17"/>
      <c r="Q11" s="17"/>
      <c r="R11" s="17" t="s">
        <v>1006</v>
      </c>
      <c r="S11" s="17" t="s">
        <v>791</v>
      </c>
      <c r="T11" s="21"/>
      <c r="U11" s="21">
        <v>45366</v>
      </c>
      <c r="V11" s="17" t="s">
        <v>981</v>
      </c>
      <c r="W11" s="23" t="str">
        <f>IF(A11="","",IF(B11="",C11,IFERROR(INDEX(tbl_quimicos[Nome_Comercial],MATCH(B11,tbl_quimicos[ID_Quimico],0)),"")))</f>
        <v>Removedor de imagem fantasma (hidróxido de sódio 5–10%)</v>
      </c>
      <c r="X11" s="10">
        <f>IF(A11="","",IF(B11="",H11,IFERROR(INDEX(tbl_quimicos[Classe_Perigo_Saude],MATCH(B11,tbl_quimicos[ID_Quimico],0)),"")))</f>
        <v>4</v>
      </c>
      <c r="Y11" s="23" t="str">
        <f>IF(OR(A11="",B11=""),"",IFERROR(INDEX(tbl_quimicos[CMR],MATCH(B11,tbl_quimicos[ID_Quimico],0)),""))</f>
        <v>Não</v>
      </c>
      <c r="Z11" s="23" t="str">
        <f>IF(OR(A11="",B11=""),"",IFERROR(INDEX(tbl_quimicos[Sensibilizante],MATCH(B11,tbl_quimicos[ID_Quimico],0)),""))</f>
        <v>Não</v>
      </c>
      <c r="AA11" s="23" t="str">
        <f>IF(OR(A11="",B11=""),"",IFERROR(INDEX(tbl_quimicos[Protecao_Maternidade],MATCH(B11,tbl_quimicos[ID_Quimico],0)),""))</f>
        <v>Não</v>
      </c>
      <c r="AB11" s="27">
        <f>IF(A11="","",10^(X11-1)*INDEX(tbl_m_volat[Score],MATCH(I11,tbl_m_volat[Volatilidade],0))*INDEX(tbl_m_proced[Score],MATCH(J11,tbl_m_proced[Procedimento],0))*INDEX(tbl_m_prot[Score],MATCH(K11,tbl_m_prot[Protecao],0)))</f>
        <v>350</v>
      </c>
      <c r="AC11" s="22">
        <f>IF(A11="","",10^(X11-1)*INDEX(tbl_m_superf[Score],MATCH(L11,tbl_m_superf[Superficie],0))*INDEX(tbl_m_freq[Score],MATCH(M11,tbl_m_freq[Frequencia],0)))</f>
        <v>2000</v>
      </c>
      <c r="AD11" s="23" t="str">
        <f t="shared" si="0"/>
        <v>P1 — muito alta</v>
      </c>
      <c r="AE11" s="23" t="str">
        <f t="shared" si="1"/>
        <v>Tóxico/corrosivo/CMR 2: acesso restrito; EPI obrigatório; formação</v>
      </c>
      <c r="AF11" s="23" t="str">
        <f t="shared" si="2"/>
        <v>Avaliar medição</v>
      </c>
      <c r="AG11" s="24">
        <f t="shared" si="3"/>
        <v>46461</v>
      </c>
      <c r="AH11" s="23" t="str">
        <f t="shared" si="4"/>
        <v>Em dia</v>
      </c>
    </row>
    <row r="12" spans="1:34" ht="48" customHeight="1" x14ac:dyDescent="0.3">
      <c r="A12" s="17" t="s">
        <v>1024</v>
      </c>
      <c r="B12" s="17" t="s">
        <v>417</v>
      </c>
      <c r="C12" s="17"/>
      <c r="D12" s="17" t="s">
        <v>1025</v>
      </c>
      <c r="E12" s="17" t="s">
        <v>348</v>
      </c>
      <c r="F12" s="17" t="s">
        <v>1026</v>
      </c>
      <c r="G12" s="26">
        <v>12</v>
      </c>
      <c r="H12" s="26"/>
      <c r="I12" s="17" t="s">
        <v>1009</v>
      </c>
      <c r="J12" s="17" t="s">
        <v>1010</v>
      </c>
      <c r="K12" s="17" t="s">
        <v>1000</v>
      </c>
      <c r="L12" s="17" t="s">
        <v>1001</v>
      </c>
      <c r="M12" s="17" t="s">
        <v>993</v>
      </c>
      <c r="N12" s="17" t="s">
        <v>1027</v>
      </c>
      <c r="O12" s="17" t="s">
        <v>1028</v>
      </c>
      <c r="P12" s="17"/>
      <c r="Q12" s="17"/>
      <c r="R12" s="17" t="s">
        <v>980</v>
      </c>
      <c r="S12" s="17" t="s">
        <v>829</v>
      </c>
      <c r="T12" s="21"/>
      <c r="U12" s="21">
        <v>46353</v>
      </c>
      <c r="V12" s="17" t="s">
        <v>981</v>
      </c>
      <c r="W12" s="23" t="str">
        <f>IF(A12="","",IF(B12="",C12,IFERROR(INDEX(tbl_quimicos[Nome_Comercial],MATCH(B12,tbl_quimicos[ID_Quimico],0)),"")))</f>
        <v>Spray desmoldante de silicone</v>
      </c>
      <c r="X12" s="10">
        <f>IF(A12="","",IF(B12="",H12,IFERROR(INDEX(tbl_quimicos[Classe_Perigo_Saude],MATCH(B12,tbl_quimicos[ID_Quimico],0)),"")))</f>
        <v>2</v>
      </c>
      <c r="Y12" s="23" t="str">
        <f>IF(OR(A12="",B12=""),"",IFERROR(INDEX(tbl_quimicos[CMR],MATCH(B12,tbl_quimicos[ID_Quimico],0)),""))</f>
        <v>Não</v>
      </c>
      <c r="Z12" s="23" t="str">
        <f>IF(OR(A12="",B12=""),"",IFERROR(INDEX(tbl_quimicos[Sensibilizante],MATCH(B12,tbl_quimicos[ID_Quimico],0)),""))</f>
        <v>Não</v>
      </c>
      <c r="AA12" s="23" t="str">
        <f>IF(OR(A12="",B12=""),"",IFERROR(INDEX(tbl_quimicos[Protecao_Maternidade],MATCH(B12,tbl_quimicos[ID_Quimico],0)),""))</f>
        <v>Não</v>
      </c>
      <c r="AB12" s="27">
        <f>IF(A12="","",10^(X12-1)*INDEX(tbl_m_volat[Score],MATCH(I12,tbl_m_volat[Volatilidade],0))*INDEX(tbl_m_proced[Score],MATCH(J12,tbl_m_proced[Procedimento],0))*INDEX(tbl_m_prot[Score],MATCH(K12,tbl_m_prot[Protecao],0)))</f>
        <v>700</v>
      </c>
      <c r="AC12" s="22">
        <f>IF(A12="","",10^(X12-1)*INDEX(tbl_m_superf[Score],MATCH(L12,tbl_m_superf[Superficie],0))*INDEX(tbl_m_freq[Score],MATCH(M12,tbl_m_freq[Frequencia],0)))</f>
        <v>10</v>
      </c>
      <c r="AD12" s="23" t="str">
        <f t="shared" si="0"/>
        <v>P2 — alta</v>
      </c>
      <c r="AE12" s="23" t="str">
        <f t="shared" si="1"/>
        <v>Medidas gerais do DL 24/2012</v>
      </c>
      <c r="AF12" s="23" t="str">
        <f t="shared" si="2"/>
        <v>Avaliar medição</v>
      </c>
      <c r="AG12" s="24">
        <f t="shared" si="3"/>
        <v>47449</v>
      </c>
      <c r="AH12" s="23" t="str">
        <f t="shared" si="4"/>
        <v>Em dia</v>
      </c>
    </row>
    <row r="13" spans="1:34" ht="48" customHeight="1" x14ac:dyDescent="0.3">
      <c r="A13" s="17" t="s">
        <v>1029</v>
      </c>
      <c r="B13" s="17" t="s">
        <v>435</v>
      </c>
      <c r="C13" s="17"/>
      <c r="D13" s="17" t="s">
        <v>1030</v>
      </c>
      <c r="E13" s="17" t="s">
        <v>432</v>
      </c>
      <c r="F13" s="17" t="s">
        <v>1031</v>
      </c>
      <c r="G13" s="26">
        <v>6</v>
      </c>
      <c r="H13" s="26"/>
      <c r="I13" s="17" t="s">
        <v>1009</v>
      </c>
      <c r="J13" s="17" t="s">
        <v>1010</v>
      </c>
      <c r="K13" s="17" t="s">
        <v>1000</v>
      </c>
      <c r="L13" s="17" t="s">
        <v>975</v>
      </c>
      <c r="M13" s="17" t="s">
        <v>985</v>
      </c>
      <c r="N13" s="17" t="s">
        <v>1002</v>
      </c>
      <c r="O13" s="17" t="s">
        <v>1032</v>
      </c>
      <c r="P13" s="17" t="s">
        <v>1033</v>
      </c>
      <c r="Q13" s="17"/>
      <c r="R13" s="17" t="s">
        <v>989</v>
      </c>
      <c r="S13" s="17" t="s">
        <v>829</v>
      </c>
      <c r="T13" s="21"/>
      <c r="U13" s="21">
        <v>46366</v>
      </c>
      <c r="V13" s="17" t="s">
        <v>981</v>
      </c>
      <c r="W13" s="23" t="str">
        <f>IF(A13="","",IF(B13="",C13,IFERROR(INDEX(tbl_quimicos[Nome_Comercial],MATCH(B13,tbl_quimicos[ID_Quimico],0)),"")))</f>
        <v>Limpa-moldes desengordurante em aerossol (contém n-hexano)</v>
      </c>
      <c r="X13" s="10">
        <f>IF(A13="","",IF(B13="",H13,IFERROR(INDEX(tbl_quimicos[Classe_Perigo_Saude],MATCH(B13,tbl_quimicos[ID_Quimico],0)),"")))</f>
        <v>4</v>
      </c>
      <c r="Y13" s="23" t="str">
        <f>IF(OR(A13="",B13=""),"",IFERROR(INDEX(tbl_quimicos[CMR],MATCH(B13,tbl_quimicos[ID_Quimico],0)),""))</f>
        <v>Cat. 2</v>
      </c>
      <c r="Z13" s="23" t="str">
        <f>IF(OR(A13="",B13=""),"",IFERROR(INDEX(tbl_quimicos[Sensibilizante],MATCH(B13,tbl_quimicos[ID_Quimico],0)),""))</f>
        <v>Não</v>
      </c>
      <c r="AA13" s="23" t="str">
        <f>IF(OR(A13="",B13=""),"",IFERROR(INDEX(tbl_quimicos[Protecao_Maternidade],MATCH(B13,tbl_quimicos[ID_Quimico],0)),""))</f>
        <v>Sim</v>
      </c>
      <c r="AB13" s="27">
        <f>IF(A13="","",10^(X13-1)*INDEX(tbl_m_volat[Score],MATCH(I13,tbl_m_volat[Volatilidade],0))*INDEX(tbl_m_proced[Score],MATCH(J13,tbl_m_proced[Procedimento],0))*INDEX(tbl_m_prot[Score],MATCH(K13,tbl_m_prot[Protecao],0)))</f>
        <v>70000</v>
      </c>
      <c r="AC13" s="22">
        <f>IF(A13="","",10^(X13-1)*INDEX(tbl_m_superf[Score],MATCH(L13,tbl_m_superf[Superficie],0))*INDEX(tbl_m_freq[Score],MATCH(M13,tbl_m_freq[Frequencia],0)))</f>
        <v>4000</v>
      </c>
      <c r="AD13" s="23" t="str">
        <f t="shared" si="0"/>
        <v>P1 — muito alta</v>
      </c>
      <c r="AE13" s="23" t="str">
        <f t="shared" si="1"/>
        <v>Tóxico/corrosivo/CMR 2: acesso restrito; EPI obrigatório; formação</v>
      </c>
      <c r="AF13" s="23" t="str">
        <f t="shared" si="2"/>
        <v>Sim — MVLE-2026-03</v>
      </c>
      <c r="AG13" s="24">
        <f t="shared" si="3"/>
        <v>47462</v>
      </c>
      <c r="AH13" s="23" t="str">
        <f t="shared" si="4"/>
        <v>Em dia</v>
      </c>
    </row>
    <row r="14" spans="1:34" ht="48" customHeight="1" x14ac:dyDescent="0.3">
      <c r="A14" s="17" t="s">
        <v>1034</v>
      </c>
      <c r="B14" s="17" t="s">
        <v>464</v>
      </c>
      <c r="C14" s="17"/>
      <c r="D14" s="17" t="s">
        <v>1035</v>
      </c>
      <c r="E14" s="17" t="s">
        <v>467</v>
      </c>
      <c r="F14" s="17" t="s">
        <v>1036</v>
      </c>
      <c r="G14" s="26">
        <v>4</v>
      </c>
      <c r="H14" s="26"/>
      <c r="I14" s="17" t="s">
        <v>984</v>
      </c>
      <c r="J14" s="17" t="s">
        <v>973</v>
      </c>
      <c r="K14" s="17" t="s">
        <v>1037</v>
      </c>
      <c r="L14" s="17" t="s">
        <v>1001</v>
      </c>
      <c r="M14" s="17" t="s">
        <v>993</v>
      </c>
      <c r="N14" s="17" t="s">
        <v>1027</v>
      </c>
      <c r="O14" s="17" t="s">
        <v>1038</v>
      </c>
      <c r="P14" s="17"/>
      <c r="Q14" s="17"/>
      <c r="R14" s="17" t="s">
        <v>1006</v>
      </c>
      <c r="S14" s="17" t="s">
        <v>1039</v>
      </c>
      <c r="T14" s="21"/>
      <c r="U14" s="21">
        <v>45677</v>
      </c>
      <c r="V14" s="17" t="s">
        <v>981</v>
      </c>
      <c r="W14" s="23" t="str">
        <f>IF(A14="","",IF(B14="",C14,IFERROR(INDEX(tbl_quimicos[Nome_Comercial],MATCH(B14,tbl_quimicos[ID_Quimico],0)),"")))</f>
        <v>Gasóleo (gerador e viaturas)</v>
      </c>
      <c r="X14" s="10">
        <f>IF(A14="","",IF(B14="",H14,IFERROR(INDEX(tbl_quimicos[Classe_Perigo_Saude],MATCH(B14,tbl_quimicos[ID_Quimico],0)),"")))</f>
        <v>4</v>
      </c>
      <c r="Y14" s="23" t="str">
        <f>IF(OR(A14="",B14=""),"",IFERROR(INDEX(tbl_quimicos[CMR],MATCH(B14,tbl_quimicos[ID_Quimico],0)),""))</f>
        <v>Cat. 2</v>
      </c>
      <c r="Z14" s="23" t="str">
        <f>IF(OR(A14="",B14=""),"",IFERROR(INDEX(tbl_quimicos[Sensibilizante],MATCH(B14,tbl_quimicos[ID_Quimico],0)),""))</f>
        <v>Não</v>
      </c>
      <c r="AA14" s="23" t="str">
        <f>IF(OR(A14="",B14=""),"",IFERROR(INDEX(tbl_quimicos[Protecao_Maternidade],MATCH(B14,tbl_quimicos[ID_Quimico],0)),""))</f>
        <v>Sim</v>
      </c>
      <c r="AB14" s="27">
        <f>IF(A14="","",10^(X14-1)*INDEX(tbl_m_volat[Score],MATCH(I14,tbl_m_volat[Volatilidade],0))*INDEX(tbl_m_proced[Score],MATCH(J14,tbl_m_proced[Procedimento],0))*INDEX(tbl_m_prot[Score],MATCH(K14,tbl_m_prot[Protecao],0)))</f>
        <v>350</v>
      </c>
      <c r="AC14" s="22">
        <f>IF(A14="","",10^(X14-1)*INDEX(tbl_m_superf[Score],MATCH(L14,tbl_m_superf[Superficie],0))*INDEX(tbl_m_freq[Score],MATCH(M14,tbl_m_freq[Frequencia],0)))</f>
        <v>1000</v>
      </c>
      <c r="AD14" s="23" t="str">
        <f t="shared" si="0"/>
        <v>P2 — alta</v>
      </c>
      <c r="AE14" s="23" t="str">
        <f t="shared" si="1"/>
        <v>Tóxico/corrosivo/CMR 2: acesso restrito; EPI obrigatório; formação</v>
      </c>
      <c r="AF14" s="23" t="str">
        <f t="shared" si="2"/>
        <v>Avaliar medição</v>
      </c>
      <c r="AG14" s="24">
        <f t="shared" si="3"/>
        <v>46772</v>
      </c>
      <c r="AH14" s="23" t="str">
        <f t="shared" si="4"/>
        <v>Em dia</v>
      </c>
    </row>
    <row r="15" spans="1:34" ht="48" customHeight="1" x14ac:dyDescent="0.3">
      <c r="A15" s="17" t="s">
        <v>1040</v>
      </c>
      <c r="B15" s="17" t="s">
        <v>484</v>
      </c>
      <c r="C15" s="17"/>
      <c r="D15" s="17" t="s">
        <v>1041</v>
      </c>
      <c r="E15" s="17" t="s">
        <v>432</v>
      </c>
      <c r="F15" s="17" t="s">
        <v>1031</v>
      </c>
      <c r="G15" s="26">
        <v>3</v>
      </c>
      <c r="H15" s="26"/>
      <c r="I15" s="17" t="s">
        <v>984</v>
      </c>
      <c r="J15" s="17" t="s">
        <v>973</v>
      </c>
      <c r="K15" s="17" t="s">
        <v>1000</v>
      </c>
      <c r="L15" s="17" t="s">
        <v>1001</v>
      </c>
      <c r="M15" s="17" t="s">
        <v>993</v>
      </c>
      <c r="N15" s="17" t="s">
        <v>1042</v>
      </c>
      <c r="O15" s="17" t="s">
        <v>1043</v>
      </c>
      <c r="P15" s="17"/>
      <c r="Q15" s="17"/>
      <c r="R15" s="17" t="s">
        <v>980</v>
      </c>
      <c r="S15" s="17" t="s">
        <v>829</v>
      </c>
      <c r="T15" s="21"/>
      <c r="U15" s="21">
        <v>46325</v>
      </c>
      <c r="V15" s="17" t="s">
        <v>981</v>
      </c>
      <c r="W15" s="23" t="str">
        <f>IF(A15="","",IF(B15="",C15,IFERROR(INDEX(tbl_quimicos[Nome_Comercial],MATCH(B15,tbl_quimicos[ID_Quimico],0)),"")))</f>
        <v>Eletrólito de baterias (ácido sulfúrico 35–38%)</v>
      </c>
      <c r="X15" s="10">
        <f>IF(A15="","",IF(B15="",H15,IFERROR(INDEX(tbl_quimicos[Classe_Perigo_Saude],MATCH(B15,tbl_quimicos[ID_Quimico],0)),"")))</f>
        <v>4</v>
      </c>
      <c r="Y15" s="23" t="str">
        <f>IF(OR(A15="",B15=""),"",IFERROR(INDEX(tbl_quimicos[CMR],MATCH(B15,tbl_quimicos[ID_Quimico],0)),""))</f>
        <v>Não</v>
      </c>
      <c r="Z15" s="23" t="str">
        <f>IF(OR(A15="",B15=""),"",IFERROR(INDEX(tbl_quimicos[Sensibilizante],MATCH(B15,tbl_quimicos[ID_Quimico],0)),""))</f>
        <v>Não</v>
      </c>
      <c r="AA15" s="23" t="str">
        <f>IF(OR(A15="",B15=""),"",IFERROR(INDEX(tbl_quimicos[Protecao_Maternidade],MATCH(B15,tbl_quimicos[ID_Quimico],0)),""))</f>
        <v>Não</v>
      </c>
      <c r="AB15" s="27">
        <f>IF(A15="","",10^(X15-1)*INDEX(tbl_m_volat[Score],MATCH(I15,tbl_m_volat[Volatilidade],0))*INDEX(tbl_m_proced[Score],MATCH(J15,tbl_m_proced[Procedimento],0))*INDEX(tbl_m_prot[Score],MATCH(K15,tbl_m_prot[Protecao],0)))</f>
        <v>350</v>
      </c>
      <c r="AC15" s="22">
        <f>IF(A15="","",10^(X15-1)*INDEX(tbl_m_superf[Score],MATCH(L15,tbl_m_superf[Superficie],0))*INDEX(tbl_m_freq[Score],MATCH(M15,tbl_m_freq[Frequencia],0)))</f>
        <v>1000</v>
      </c>
      <c r="AD15" s="23" t="str">
        <f t="shared" si="0"/>
        <v>P2 — alta</v>
      </c>
      <c r="AE15" s="23" t="str">
        <f t="shared" si="1"/>
        <v>Tóxico/corrosivo/CMR 2: acesso restrito; EPI obrigatório; formação</v>
      </c>
      <c r="AF15" s="23" t="str">
        <f t="shared" si="2"/>
        <v>Avaliar medição</v>
      </c>
      <c r="AG15" s="24">
        <f t="shared" si="3"/>
        <v>47421</v>
      </c>
      <c r="AH15" s="23" t="str">
        <f t="shared" si="4"/>
        <v>Em dia</v>
      </c>
    </row>
    <row r="16" spans="1:34" ht="48" customHeight="1" x14ac:dyDescent="0.3">
      <c r="A16" s="17" t="s">
        <v>1044</v>
      </c>
      <c r="B16" s="17" t="s">
        <v>488</v>
      </c>
      <c r="C16" s="17"/>
      <c r="D16" s="17" t="s">
        <v>1045</v>
      </c>
      <c r="E16" s="17" t="s">
        <v>448</v>
      </c>
      <c r="F16" s="17" t="s">
        <v>1046</v>
      </c>
      <c r="G16" s="26">
        <v>3</v>
      </c>
      <c r="H16" s="26"/>
      <c r="I16" s="17" t="s">
        <v>984</v>
      </c>
      <c r="J16" s="17" t="s">
        <v>1047</v>
      </c>
      <c r="K16" s="17" t="s">
        <v>1037</v>
      </c>
      <c r="L16" s="17" t="s">
        <v>1001</v>
      </c>
      <c r="M16" s="17" t="s">
        <v>993</v>
      </c>
      <c r="N16" s="17" t="s">
        <v>1048</v>
      </c>
      <c r="O16" s="17" t="s">
        <v>1049</v>
      </c>
      <c r="P16" s="17"/>
      <c r="Q16" s="17"/>
      <c r="R16" s="17" t="s">
        <v>1006</v>
      </c>
      <c r="S16" s="17" t="s">
        <v>829</v>
      </c>
      <c r="T16" s="21"/>
      <c r="U16" s="21">
        <v>45818</v>
      </c>
      <c r="V16" s="17" t="s">
        <v>981</v>
      </c>
      <c r="W16" s="23" t="str">
        <f>IF(A16="","",IF(B16="",C16,IFERROR(INDEX(tbl_quimicos[Nome_Comercial],MATCH(B16,tbl_quimicos[ID_Quimico],0)),"")))</f>
        <v>Biocida da torre (isotiazolinonas CMIT/MIT) — TP11</v>
      </c>
      <c r="X16" s="10">
        <f>IF(A16="","",IF(B16="",H16,IFERROR(INDEX(tbl_quimicos[Classe_Perigo_Saude],MATCH(B16,tbl_quimicos[ID_Quimico],0)),"")))</f>
        <v>4</v>
      </c>
      <c r="Y16" s="23" t="str">
        <f>IF(OR(A16="",B16=""),"",IFERROR(INDEX(tbl_quimicos[CMR],MATCH(B16,tbl_quimicos[ID_Quimico],0)),""))</f>
        <v>Não</v>
      </c>
      <c r="Z16" s="23" t="str">
        <f>IF(OR(A16="",B16=""),"",IFERROR(INDEX(tbl_quimicos[Sensibilizante],MATCH(B16,tbl_quimicos[ID_Quimico],0)),""))</f>
        <v>Sim</v>
      </c>
      <c r="AA16" s="23" t="str">
        <f>IF(OR(A16="",B16=""),"",IFERROR(INDEX(tbl_quimicos[Protecao_Maternidade],MATCH(B16,tbl_quimicos[ID_Quimico],0)),""))</f>
        <v>Não</v>
      </c>
      <c r="AB16" s="27">
        <f>IF(A16="","",10^(X16-1)*INDEX(tbl_m_volat[Score],MATCH(I16,tbl_m_volat[Volatilidade],0))*INDEX(tbl_m_proced[Score],MATCH(J16,tbl_m_proced[Procedimento],0))*INDEX(tbl_m_prot[Score],MATCH(K16,tbl_m_prot[Protecao],0)))</f>
        <v>35</v>
      </c>
      <c r="AC16" s="22">
        <f>IF(A16="","",10^(X16-1)*INDEX(tbl_m_superf[Score],MATCH(L16,tbl_m_superf[Superficie],0))*INDEX(tbl_m_freq[Score],MATCH(M16,tbl_m_freq[Frequencia],0)))</f>
        <v>1000</v>
      </c>
      <c r="AD16" s="23" t="str">
        <f t="shared" si="0"/>
        <v>P2 — alta</v>
      </c>
      <c r="AE16" s="23" t="str">
        <f t="shared" si="1"/>
        <v>Sensibilizante: vigilância da saúde; luvas do material indicado na FDS</v>
      </c>
      <c r="AF16" s="23" t="str">
        <f t="shared" si="2"/>
        <v>Não necessário</v>
      </c>
      <c r="AG16" s="24">
        <f t="shared" si="3"/>
        <v>46914</v>
      </c>
      <c r="AH16" s="23" t="str">
        <f t="shared" si="4"/>
        <v>Em dia</v>
      </c>
    </row>
    <row r="17" spans="1:34" ht="48" customHeight="1" x14ac:dyDescent="0.3">
      <c r="A17" s="17" t="s">
        <v>1050</v>
      </c>
      <c r="B17" s="17" t="s">
        <v>501</v>
      </c>
      <c r="C17" s="17"/>
      <c r="D17" s="17" t="s">
        <v>1051</v>
      </c>
      <c r="E17" s="17" t="s">
        <v>448</v>
      </c>
      <c r="F17" s="17" t="s">
        <v>1046</v>
      </c>
      <c r="G17" s="26">
        <v>3</v>
      </c>
      <c r="H17" s="26"/>
      <c r="I17" s="17" t="s">
        <v>972</v>
      </c>
      <c r="J17" s="17" t="s">
        <v>973</v>
      </c>
      <c r="K17" s="17" t="s">
        <v>1037</v>
      </c>
      <c r="L17" s="17" t="s">
        <v>975</v>
      </c>
      <c r="M17" s="17" t="s">
        <v>993</v>
      </c>
      <c r="N17" s="17" t="s">
        <v>1002</v>
      </c>
      <c r="O17" s="17" t="s">
        <v>1052</v>
      </c>
      <c r="P17" s="17"/>
      <c r="Q17" s="17"/>
      <c r="R17" s="17" t="s">
        <v>989</v>
      </c>
      <c r="S17" s="17" t="s">
        <v>829</v>
      </c>
      <c r="T17" s="21"/>
      <c r="U17" s="21">
        <v>46341</v>
      </c>
      <c r="V17" s="17" t="s">
        <v>981</v>
      </c>
      <c r="W17" s="23" t="str">
        <f>IF(A17="","",IF(B17="",C17,IFERROR(INDEX(tbl_quimicos[Nome_Comercial],MATCH(B17,tbl_quimicos[ID_Quimico],0)),"")))</f>
        <v>Hipoclorito de sódio 12–14% (choque de Legionella)</v>
      </c>
      <c r="X17" s="10">
        <f>IF(A17="","",IF(B17="",H17,IFERROR(INDEX(tbl_quimicos[Classe_Perigo_Saude],MATCH(B17,tbl_quimicos[ID_Quimico],0)),"")))</f>
        <v>4</v>
      </c>
      <c r="Y17" s="23" t="str">
        <f>IF(OR(A17="",B17=""),"",IFERROR(INDEX(tbl_quimicos[CMR],MATCH(B17,tbl_quimicos[ID_Quimico],0)),""))</f>
        <v>Não</v>
      </c>
      <c r="Z17" s="23" t="str">
        <f>IF(OR(A17="",B17=""),"",IFERROR(INDEX(tbl_quimicos[Sensibilizante],MATCH(B17,tbl_quimicos[ID_Quimico],0)),""))</f>
        <v>Não</v>
      </c>
      <c r="AA17" s="23" t="str">
        <f>IF(OR(A17="",B17=""),"",IFERROR(INDEX(tbl_quimicos[Protecao_Maternidade],MATCH(B17,tbl_quimicos[ID_Quimico],0)),""))</f>
        <v>Não</v>
      </c>
      <c r="AB17" s="27">
        <f>IF(A17="","",10^(X17-1)*INDEX(tbl_m_volat[Score],MATCH(I17,tbl_m_volat[Volatilidade],0))*INDEX(tbl_m_proced[Score],MATCH(J17,tbl_m_proced[Procedimento],0))*INDEX(tbl_m_prot[Score],MATCH(K17,tbl_m_prot[Protecao],0)))</f>
        <v>3500</v>
      </c>
      <c r="AC17" s="22">
        <f>IF(A17="","",10^(X17-1)*INDEX(tbl_m_superf[Score],MATCH(L17,tbl_m_superf[Superficie],0))*INDEX(tbl_m_freq[Score],MATCH(M17,tbl_m_freq[Frequencia],0)))</f>
        <v>2000</v>
      </c>
      <c r="AD17" s="23" t="str">
        <f t="shared" si="0"/>
        <v>P1 — muito alta</v>
      </c>
      <c r="AE17" s="23" t="str">
        <f t="shared" si="1"/>
        <v>Tóxico/corrosivo/CMR 2: acesso restrito; EPI obrigatório; formação</v>
      </c>
      <c r="AF17" s="23" t="str">
        <f t="shared" si="2"/>
        <v>Avaliar medição</v>
      </c>
      <c r="AG17" s="24">
        <f t="shared" si="3"/>
        <v>47437</v>
      </c>
      <c r="AH17" s="23" t="str">
        <f t="shared" si="4"/>
        <v>Em dia</v>
      </c>
    </row>
    <row r="18" spans="1:34" ht="48" customHeight="1" x14ac:dyDescent="0.3">
      <c r="A18" s="17" t="s">
        <v>1053</v>
      </c>
      <c r="B18" s="17" t="s">
        <v>524</v>
      </c>
      <c r="C18" s="17"/>
      <c r="D18" s="17" t="s">
        <v>1054</v>
      </c>
      <c r="E18" s="17" t="s">
        <v>519</v>
      </c>
      <c r="F18" s="17" t="s">
        <v>711</v>
      </c>
      <c r="G18" s="26">
        <v>2</v>
      </c>
      <c r="H18" s="26"/>
      <c r="I18" s="17" t="s">
        <v>972</v>
      </c>
      <c r="J18" s="17" t="s">
        <v>973</v>
      </c>
      <c r="K18" s="17" t="s">
        <v>1055</v>
      </c>
      <c r="L18" s="17" t="s">
        <v>1001</v>
      </c>
      <c r="M18" s="17" t="s">
        <v>993</v>
      </c>
      <c r="N18" s="17" t="s">
        <v>1002</v>
      </c>
      <c r="O18" s="17" t="s">
        <v>1056</v>
      </c>
      <c r="P18" s="17"/>
      <c r="Q18" s="17"/>
      <c r="R18" s="17" t="s">
        <v>1006</v>
      </c>
      <c r="S18" s="17" t="s">
        <v>816</v>
      </c>
      <c r="T18" s="21"/>
      <c r="U18" s="21">
        <v>46152</v>
      </c>
      <c r="V18" s="17" t="s">
        <v>981</v>
      </c>
      <c r="W18" s="23" t="str">
        <f>IF(A18="","",IF(B18="",C18,IFERROR(INDEX(tbl_quimicos[Nome_Comercial],MATCH(B18,tbl_quimicos[ID_Quimico],0)),"")))</f>
        <v>Ácido acético glacial (simulante de migração 3%)</v>
      </c>
      <c r="X18" s="10">
        <f>IF(A18="","",IF(B18="",H18,IFERROR(INDEX(tbl_quimicos[Classe_Perigo_Saude],MATCH(B18,tbl_quimicos[ID_Quimico],0)),"")))</f>
        <v>4</v>
      </c>
      <c r="Y18" s="23" t="str">
        <f>IF(OR(A18="",B18=""),"",IFERROR(INDEX(tbl_quimicos[CMR],MATCH(B18,tbl_quimicos[ID_Quimico],0)),""))</f>
        <v>Não</v>
      </c>
      <c r="Z18" s="23" t="str">
        <f>IF(OR(A18="",B18=""),"",IFERROR(INDEX(tbl_quimicos[Sensibilizante],MATCH(B18,tbl_quimicos[ID_Quimico],0)),""))</f>
        <v>Não</v>
      </c>
      <c r="AA18" s="23" t="str">
        <f>IF(OR(A18="",B18=""),"",IFERROR(INDEX(tbl_quimicos[Protecao_Maternidade],MATCH(B18,tbl_quimicos[ID_Quimico],0)),""))</f>
        <v>Não</v>
      </c>
      <c r="AB18" s="27">
        <f>IF(A18="","",10^(X18-1)*INDEX(tbl_m_volat[Score],MATCH(I18,tbl_m_volat[Volatilidade],0))*INDEX(tbl_m_proced[Score],MATCH(J18,tbl_m_proced[Procedimento],0))*INDEX(tbl_m_prot[Score],MATCH(K18,tbl_m_prot[Protecao],0)))</f>
        <v>5</v>
      </c>
      <c r="AC18" s="22">
        <f>IF(A18="","",10^(X18-1)*INDEX(tbl_m_superf[Score],MATCH(L18,tbl_m_superf[Superficie],0))*INDEX(tbl_m_freq[Score],MATCH(M18,tbl_m_freq[Frequencia],0)))</f>
        <v>1000</v>
      </c>
      <c r="AD18" s="23" t="str">
        <f t="shared" si="0"/>
        <v>P2 — alta</v>
      </c>
      <c r="AE18" s="23" t="str">
        <f t="shared" si="1"/>
        <v>Tóxico/corrosivo/CMR 2: acesso restrito; EPI obrigatório; formação</v>
      </c>
      <c r="AF18" s="23" t="str">
        <f t="shared" si="2"/>
        <v>Não necessário</v>
      </c>
      <c r="AG18" s="24">
        <f t="shared" si="3"/>
        <v>47248</v>
      </c>
      <c r="AH18" s="23" t="str">
        <f t="shared" si="4"/>
        <v>Em dia</v>
      </c>
    </row>
    <row r="19" spans="1:34" ht="48" customHeight="1" x14ac:dyDescent="0.3">
      <c r="A19" s="17" t="s">
        <v>1057</v>
      </c>
      <c r="B19" s="17" t="s">
        <v>450</v>
      </c>
      <c r="C19" s="17"/>
      <c r="D19" s="17" t="s">
        <v>1058</v>
      </c>
      <c r="E19" s="17" t="s">
        <v>448</v>
      </c>
      <c r="F19" s="17" t="s">
        <v>1046</v>
      </c>
      <c r="G19" s="26">
        <v>3</v>
      </c>
      <c r="H19" s="26"/>
      <c r="I19" s="17" t="s">
        <v>984</v>
      </c>
      <c r="J19" s="17" t="s">
        <v>973</v>
      </c>
      <c r="K19" s="17" t="s">
        <v>1000</v>
      </c>
      <c r="L19" s="17" t="s">
        <v>1001</v>
      </c>
      <c r="M19" s="17" t="s">
        <v>993</v>
      </c>
      <c r="N19" s="17" t="s">
        <v>1027</v>
      </c>
      <c r="O19" s="17" t="s">
        <v>1059</v>
      </c>
      <c r="P19" s="17"/>
      <c r="Q19" s="17"/>
      <c r="R19" s="17" t="s">
        <v>1006</v>
      </c>
      <c r="S19" s="17" t="s">
        <v>829</v>
      </c>
      <c r="T19" s="21"/>
      <c r="U19" s="21">
        <v>45818</v>
      </c>
      <c r="V19" s="17" t="s">
        <v>981</v>
      </c>
      <c r="W19" s="23" t="str">
        <f>IF(A19="","",IF(B19="",C19,IFERROR(INDEX(tbl_quimicos[Nome_Comercial],MATCH(B19,tbl_quimicos[ID_Quimico],0)),"")))</f>
        <v>Fluido de arrefecimento (monoetilenoglicol 30–50%)</v>
      </c>
      <c r="X19" s="10">
        <f>IF(A19="","",IF(B19="",H19,IFERROR(INDEX(tbl_quimicos[Classe_Perigo_Saude],MATCH(B19,tbl_quimicos[ID_Quimico],0)),"")))</f>
        <v>4</v>
      </c>
      <c r="Y19" s="23" t="str">
        <f>IF(OR(A19="",B19=""),"",IFERROR(INDEX(tbl_quimicos[CMR],MATCH(B19,tbl_quimicos[ID_Quimico],0)),""))</f>
        <v>Não</v>
      </c>
      <c r="Z19" s="23" t="str">
        <f>IF(OR(A19="",B19=""),"",IFERROR(INDEX(tbl_quimicos[Sensibilizante],MATCH(B19,tbl_quimicos[ID_Quimico],0)),""))</f>
        <v>Não</v>
      </c>
      <c r="AA19" s="23" t="str">
        <f>IF(OR(A19="",B19=""),"",IFERROR(INDEX(tbl_quimicos[Protecao_Maternidade],MATCH(B19,tbl_quimicos[ID_Quimico],0)),""))</f>
        <v>Não</v>
      </c>
      <c r="AB19" s="27">
        <f>IF(A19="","",10^(X19-1)*INDEX(tbl_m_volat[Score],MATCH(I19,tbl_m_volat[Volatilidade],0))*INDEX(tbl_m_proced[Score],MATCH(J19,tbl_m_proced[Procedimento],0))*INDEX(tbl_m_prot[Score],MATCH(K19,tbl_m_prot[Protecao],0)))</f>
        <v>350</v>
      </c>
      <c r="AC19" s="22">
        <f>IF(A19="","",10^(X19-1)*INDEX(tbl_m_superf[Score],MATCH(L19,tbl_m_superf[Superficie],0))*INDEX(tbl_m_freq[Score],MATCH(M19,tbl_m_freq[Frequencia],0)))</f>
        <v>1000</v>
      </c>
      <c r="AD19" s="23" t="str">
        <f t="shared" si="0"/>
        <v>P2 — alta</v>
      </c>
      <c r="AE19" s="23" t="str">
        <f t="shared" si="1"/>
        <v>Tóxico/corrosivo/CMR 2: acesso restrito; EPI obrigatório; formação</v>
      </c>
      <c r="AF19" s="23" t="str">
        <f t="shared" si="2"/>
        <v>Avaliar medição</v>
      </c>
      <c r="AG19" s="24">
        <f t="shared" si="3"/>
        <v>46914</v>
      </c>
      <c r="AH19" s="23" t="str">
        <f t="shared" si="4"/>
        <v>Em dia</v>
      </c>
    </row>
    <row r="20" spans="1:34" ht="48" customHeight="1" x14ac:dyDescent="0.3">
      <c r="A20" s="17" t="s">
        <v>1060</v>
      </c>
      <c r="B20" s="17" t="s">
        <v>353</v>
      </c>
      <c r="C20" s="17"/>
      <c r="D20" s="17" t="s">
        <v>1061</v>
      </c>
      <c r="E20" s="17" t="s">
        <v>1062</v>
      </c>
      <c r="F20" s="17" t="s">
        <v>1036</v>
      </c>
      <c r="G20" s="26">
        <v>6</v>
      </c>
      <c r="H20" s="26"/>
      <c r="I20" s="17" t="s">
        <v>984</v>
      </c>
      <c r="J20" s="17" t="s">
        <v>1047</v>
      </c>
      <c r="K20" s="17" t="s">
        <v>1000</v>
      </c>
      <c r="L20" s="17" t="s">
        <v>1001</v>
      </c>
      <c r="M20" s="17" t="s">
        <v>976</v>
      </c>
      <c r="N20" s="17" t="s">
        <v>1063</v>
      </c>
      <c r="O20" s="17" t="s">
        <v>1064</v>
      </c>
      <c r="P20" s="17"/>
      <c r="Q20" s="17" t="s">
        <v>1065</v>
      </c>
      <c r="R20" s="17" t="s">
        <v>1006</v>
      </c>
      <c r="S20" s="17" t="s">
        <v>791</v>
      </c>
      <c r="T20" s="21"/>
      <c r="U20" s="21">
        <v>45677</v>
      </c>
      <c r="V20" s="17" t="s">
        <v>981</v>
      </c>
      <c r="W20" s="23" t="str">
        <f>IF(A20="","",IF(B20="",C20,IFERROR(INDEX(tbl_quimicos[Nome_Comercial],MATCH(B20,tbl_quimicos[ID_Quimico],0)),"")))</f>
        <v>HDPE / LDPE / MDPE (granulado)</v>
      </c>
      <c r="X20" s="10">
        <f>IF(A20="","",IF(B20="",H20,IFERROR(INDEX(tbl_quimicos[Classe_Perigo_Saude],MATCH(B20,tbl_quimicos[ID_Quimico],0)),"")))</f>
        <v>1</v>
      </c>
      <c r="Y20" s="23" t="str">
        <f>IF(OR(A20="",B20=""),"",IFERROR(INDEX(tbl_quimicos[CMR],MATCH(B20,tbl_quimicos[ID_Quimico],0)),""))</f>
        <v>Não</v>
      </c>
      <c r="Z20" s="23" t="str">
        <f>IF(OR(A20="",B20=""),"",IFERROR(INDEX(tbl_quimicos[Sensibilizante],MATCH(B20,tbl_quimicos[ID_Quimico],0)),""))</f>
        <v>Não</v>
      </c>
      <c r="AA20" s="23" t="str">
        <f>IF(OR(A20="",B20=""),"",IFERROR(INDEX(tbl_quimicos[Protecao_Maternidade],MATCH(B20,tbl_quimicos[ID_Quimico],0)),""))</f>
        <v>Não</v>
      </c>
      <c r="AB20" s="27">
        <f>IF(A20="","",10^(X20-1)*INDEX(tbl_m_volat[Score],MATCH(I20,tbl_m_volat[Volatilidade],0))*INDEX(tbl_m_proced[Score],MATCH(J20,tbl_m_proced[Procedimento],0))*INDEX(tbl_m_prot[Score],MATCH(K20,tbl_m_prot[Protecao],0)))</f>
        <v>3.4999999999999996E-2</v>
      </c>
      <c r="AC20" s="22">
        <f>IF(A20="","",10^(X20-1)*INDEX(tbl_m_superf[Score],MATCH(L20,tbl_m_superf[Superficie],0))*INDEX(tbl_m_freq[Score],MATCH(M20,tbl_m_freq[Frequencia],0)))</f>
        <v>5</v>
      </c>
      <c r="AD20" s="23" t="str">
        <f t="shared" si="0"/>
        <v>P3 — moderada</v>
      </c>
      <c r="AE20" s="23" t="str">
        <f t="shared" si="1"/>
        <v>Medidas gerais do DL 24/2012</v>
      </c>
      <c r="AF20" s="23" t="str">
        <f t="shared" si="2"/>
        <v>Não necessário</v>
      </c>
      <c r="AG20" s="24">
        <f t="shared" si="3"/>
        <v>46772</v>
      </c>
      <c r="AH20" s="23" t="str">
        <f t="shared" si="4"/>
        <v>Em dia</v>
      </c>
    </row>
    <row r="21" spans="1:34" ht="48" customHeight="1" x14ac:dyDescent="0.3">
      <c r="A21" s="17" t="s">
        <v>1066</v>
      </c>
      <c r="B21" s="17"/>
      <c r="C21" s="17" t="s">
        <v>1067</v>
      </c>
      <c r="D21" s="17" t="s">
        <v>1068</v>
      </c>
      <c r="E21" s="17" t="s">
        <v>356</v>
      </c>
      <c r="F21" s="17" t="s">
        <v>1069</v>
      </c>
      <c r="G21" s="26">
        <v>10</v>
      </c>
      <c r="H21" s="26">
        <v>4</v>
      </c>
      <c r="I21" s="17" t="s">
        <v>1009</v>
      </c>
      <c r="J21" s="17" t="s">
        <v>1047</v>
      </c>
      <c r="K21" s="17" t="s">
        <v>1000</v>
      </c>
      <c r="L21" s="17" t="s">
        <v>1070</v>
      </c>
      <c r="M21" s="17" t="s">
        <v>985</v>
      </c>
      <c r="N21" s="17" t="s">
        <v>113</v>
      </c>
      <c r="O21" s="17" t="s">
        <v>1071</v>
      </c>
      <c r="P21" s="17" t="s">
        <v>1072</v>
      </c>
      <c r="Q21" s="17" t="s">
        <v>1073</v>
      </c>
      <c r="R21" s="17" t="s">
        <v>980</v>
      </c>
      <c r="S21" s="17" t="s">
        <v>791</v>
      </c>
      <c r="T21" s="21">
        <v>46356</v>
      </c>
      <c r="U21" s="21">
        <v>46280</v>
      </c>
      <c r="V21" s="17" t="s">
        <v>981</v>
      </c>
      <c r="W21" s="23" t="str">
        <f>IF(A21="","",IF(B21="",C21,IFERROR(INDEX(tbl_quimicos[Nome_Comercial],MATCH(B21,tbl_quimicos[ID_Quimico],0)),"")))</f>
        <v>Fumos de moldação do PET (acetaldeído gerado no processo)</v>
      </c>
      <c r="X21" s="10">
        <f>IF(A21="","",IF(B21="",H21,IFERROR(INDEX(tbl_quimicos[Classe_Perigo_Saude],MATCH(B21,tbl_quimicos[ID_Quimico],0)),"")))</f>
        <v>4</v>
      </c>
      <c r="Y21" s="23" t="str">
        <f>IF(OR(A21="",B21=""),"",IFERROR(INDEX(tbl_quimicos[CMR],MATCH(B21,tbl_quimicos[ID_Quimico],0)),""))</f>
        <v/>
      </c>
      <c r="Z21" s="23" t="str">
        <f>IF(OR(A21="",B21=""),"",IFERROR(INDEX(tbl_quimicos[Sensibilizante],MATCH(B21,tbl_quimicos[ID_Quimico],0)),""))</f>
        <v/>
      </c>
      <c r="AA21" s="23" t="str">
        <f>IF(OR(A21="",B21=""),"",IFERROR(INDEX(tbl_quimicos[Protecao_Maternidade],MATCH(B21,tbl_quimicos[ID_Quimico],0)),""))</f>
        <v/>
      </c>
      <c r="AB21" s="27">
        <f>IF(A21="","",10^(X21-1)*INDEX(tbl_m_volat[Score],MATCH(I21,tbl_m_volat[Volatilidade],0))*INDEX(tbl_m_proced[Score],MATCH(J21,tbl_m_proced[Procedimento],0))*INDEX(tbl_m_prot[Score],MATCH(K21,tbl_m_prot[Protecao],0)))</f>
        <v>3500</v>
      </c>
      <c r="AC21" s="22">
        <f>IF(A21="","",10^(X21-1)*INDEX(tbl_m_superf[Score],MATCH(L21,tbl_m_superf[Superficie],0))*INDEX(tbl_m_freq[Score],MATCH(M21,tbl_m_freq[Frequencia],0)))</f>
        <v>0</v>
      </c>
      <c r="AD21" s="23" t="str">
        <f t="shared" si="0"/>
        <v>P1 — muito alta</v>
      </c>
      <c r="AE21" s="23" t="str">
        <f t="shared" si="1"/>
        <v>Tóxico/corrosivo/CMR 2: acesso restrito; EPI obrigatório; formação</v>
      </c>
      <c r="AF21" s="23" t="str">
        <f t="shared" si="2"/>
        <v>Sim — MVLE-2026-02</v>
      </c>
      <c r="AG21" s="24">
        <f t="shared" si="3"/>
        <v>47376</v>
      </c>
      <c r="AH21" s="23" t="str">
        <f t="shared" si="4"/>
        <v>Medidas em atraso</v>
      </c>
    </row>
    <row r="22" spans="1:34" ht="48" customHeight="1" x14ac:dyDescent="0.3">
      <c r="A22" s="17" t="s">
        <v>1074</v>
      </c>
      <c r="B22" s="17" t="s">
        <v>308</v>
      </c>
      <c r="C22" s="17"/>
      <c r="D22" s="17" t="s">
        <v>1075</v>
      </c>
      <c r="E22" s="17" t="s">
        <v>259</v>
      </c>
      <c r="F22" s="17" t="s">
        <v>971</v>
      </c>
      <c r="G22" s="26">
        <v>2</v>
      </c>
      <c r="H22" s="26"/>
      <c r="I22" s="17" t="s">
        <v>984</v>
      </c>
      <c r="J22" s="17" t="s">
        <v>973</v>
      </c>
      <c r="K22" s="17" t="s">
        <v>1000</v>
      </c>
      <c r="L22" s="17" t="s">
        <v>975</v>
      </c>
      <c r="M22" s="17" t="s">
        <v>993</v>
      </c>
      <c r="N22" s="17" t="s">
        <v>1002</v>
      </c>
      <c r="O22" s="17" t="s">
        <v>1076</v>
      </c>
      <c r="P22" s="17"/>
      <c r="Q22" s="17"/>
      <c r="R22" s="17" t="s">
        <v>1006</v>
      </c>
      <c r="S22" s="17" t="s">
        <v>791</v>
      </c>
      <c r="T22" s="21"/>
      <c r="U22" s="21">
        <v>45728</v>
      </c>
      <c r="V22" s="17" t="s">
        <v>981</v>
      </c>
      <c r="W22" s="23" t="str">
        <f>IF(A22="","",IF(B22="",C22,IFERROR(INDEX(tbl_quimicos[Nome_Comercial],MATCH(B22,tbl_quimicos[ID_Quimico],0)),"")))</f>
        <v>Emulsão fotossensível diazo</v>
      </c>
      <c r="X22" s="10">
        <f>IF(A22="","",IF(B22="",H22,IFERROR(INDEX(tbl_quimicos[Classe_Perigo_Saude],MATCH(B22,tbl_quimicos[ID_Quimico],0)),"")))</f>
        <v>3</v>
      </c>
      <c r="Y22" s="23" t="str">
        <f>IF(OR(A22="",B22=""),"",IFERROR(INDEX(tbl_quimicos[CMR],MATCH(B22,tbl_quimicos[ID_Quimico],0)),""))</f>
        <v>Não</v>
      </c>
      <c r="Z22" s="23" t="str">
        <f>IF(OR(A22="",B22=""),"",IFERROR(INDEX(tbl_quimicos[Sensibilizante],MATCH(B22,tbl_quimicos[ID_Quimico],0)),""))</f>
        <v>Sim</v>
      </c>
      <c r="AA22" s="23" t="str">
        <f>IF(OR(A22="",B22=""),"",IFERROR(INDEX(tbl_quimicos[Protecao_Maternidade],MATCH(B22,tbl_quimicos[ID_Quimico],0)),""))</f>
        <v>Não</v>
      </c>
      <c r="AB22" s="27">
        <f>IF(A22="","",10^(X22-1)*INDEX(tbl_m_volat[Score],MATCH(I22,tbl_m_volat[Volatilidade],0))*INDEX(tbl_m_proced[Score],MATCH(J22,tbl_m_proced[Procedimento],0))*INDEX(tbl_m_prot[Score],MATCH(K22,tbl_m_prot[Protecao],0)))</f>
        <v>35</v>
      </c>
      <c r="AC22" s="22">
        <f>IF(A22="","",10^(X22-1)*INDEX(tbl_m_superf[Score],MATCH(L22,tbl_m_superf[Superficie],0))*INDEX(tbl_m_freq[Score],MATCH(M22,tbl_m_freq[Frequencia],0)))</f>
        <v>200</v>
      </c>
      <c r="AD22" s="23" t="str">
        <f t="shared" si="0"/>
        <v>P2 — alta</v>
      </c>
      <c r="AE22" s="23" t="str">
        <f t="shared" si="1"/>
        <v>Sensibilizante: vigilância da saúde; luvas do material indicado na FDS</v>
      </c>
      <c r="AF22" s="23" t="str">
        <f t="shared" si="2"/>
        <v>Não necessário</v>
      </c>
      <c r="AG22" s="24">
        <f t="shared" si="3"/>
        <v>46824</v>
      </c>
      <c r="AH22" s="23" t="str">
        <f t="shared" si="4"/>
        <v>Em dia</v>
      </c>
    </row>
    <row r="23" spans="1:34" ht="48" customHeight="1" x14ac:dyDescent="0.3">
      <c r="A23" s="17" t="s">
        <v>1077</v>
      </c>
      <c r="B23" s="17" t="s">
        <v>429</v>
      </c>
      <c r="C23" s="17"/>
      <c r="D23" s="17" t="s">
        <v>1078</v>
      </c>
      <c r="E23" s="17" t="s">
        <v>432</v>
      </c>
      <c r="F23" s="17" t="s">
        <v>1031</v>
      </c>
      <c r="G23" s="26">
        <v>6</v>
      </c>
      <c r="H23" s="26"/>
      <c r="I23" s="17" t="s">
        <v>1009</v>
      </c>
      <c r="J23" s="17" t="s">
        <v>1010</v>
      </c>
      <c r="K23" s="17" t="s">
        <v>1000</v>
      </c>
      <c r="L23" s="17" t="s">
        <v>1001</v>
      </c>
      <c r="M23" s="17" t="s">
        <v>993</v>
      </c>
      <c r="N23" s="17" t="s">
        <v>1027</v>
      </c>
      <c r="O23" s="17" t="s">
        <v>1079</v>
      </c>
      <c r="P23" s="17"/>
      <c r="Q23" s="17" t="s">
        <v>1080</v>
      </c>
      <c r="R23" s="17" t="s">
        <v>980</v>
      </c>
      <c r="S23" s="17" t="s">
        <v>829</v>
      </c>
      <c r="T23" s="21">
        <v>46387</v>
      </c>
      <c r="U23" s="21">
        <v>45677</v>
      </c>
      <c r="V23" s="17" t="s">
        <v>981</v>
      </c>
      <c r="W23" s="23" t="str">
        <f>IF(A23="","",IF(B23="",C23,IFERROR(INDEX(tbl_quimicos[Nome_Comercial],MATCH(B23,tbl_quimicos[ID_Quimico],0)),"")))</f>
        <v>Spray antioxidante para moldes</v>
      </c>
      <c r="X23" s="10">
        <f>IF(A23="","",IF(B23="",H23,IFERROR(INDEX(tbl_quimicos[Classe_Perigo_Saude],MATCH(B23,tbl_quimicos[ID_Quimico],0)),"")))</f>
        <v>2</v>
      </c>
      <c r="Y23" s="23" t="str">
        <f>IF(OR(A23="",B23=""),"",IFERROR(INDEX(tbl_quimicos[CMR],MATCH(B23,tbl_quimicos[ID_Quimico],0)),""))</f>
        <v>Não</v>
      </c>
      <c r="Z23" s="23" t="str">
        <f>IF(OR(A23="",B23=""),"",IFERROR(INDEX(tbl_quimicos[Sensibilizante],MATCH(B23,tbl_quimicos[ID_Quimico],0)),""))</f>
        <v>Não</v>
      </c>
      <c r="AA23" s="23" t="str">
        <f>IF(OR(A23="",B23=""),"",IFERROR(INDEX(tbl_quimicos[Protecao_Maternidade],MATCH(B23,tbl_quimicos[ID_Quimico],0)),""))</f>
        <v>Não</v>
      </c>
      <c r="AB23" s="27">
        <f>IF(A23="","",10^(X23-1)*INDEX(tbl_m_volat[Score],MATCH(I23,tbl_m_volat[Volatilidade],0))*INDEX(tbl_m_proced[Score],MATCH(J23,tbl_m_proced[Procedimento],0))*INDEX(tbl_m_prot[Score],MATCH(K23,tbl_m_prot[Protecao],0)))</f>
        <v>700</v>
      </c>
      <c r="AC23" s="22">
        <f>IF(A23="","",10^(X23-1)*INDEX(tbl_m_superf[Score],MATCH(L23,tbl_m_superf[Superficie],0))*INDEX(tbl_m_freq[Score],MATCH(M23,tbl_m_freq[Frequencia],0)))</f>
        <v>10</v>
      </c>
      <c r="AD23" s="23" t="str">
        <f t="shared" si="0"/>
        <v>P2 — alta</v>
      </c>
      <c r="AE23" s="23" t="str">
        <f t="shared" si="1"/>
        <v>Medidas gerais do DL 24/2012</v>
      </c>
      <c r="AF23" s="23" t="str">
        <f t="shared" si="2"/>
        <v>Avaliar medição</v>
      </c>
      <c r="AG23" s="24">
        <f t="shared" si="3"/>
        <v>46772</v>
      </c>
      <c r="AH23" s="23" t="str">
        <f t="shared" si="4"/>
        <v>Em dia</v>
      </c>
    </row>
    <row r="24" spans="1:34" ht="48" customHeight="1" x14ac:dyDescent="0.3">
      <c r="A24" s="17" t="s">
        <v>1081</v>
      </c>
      <c r="B24" s="17" t="s">
        <v>529</v>
      </c>
      <c r="C24" s="17"/>
      <c r="D24" s="17" t="s">
        <v>1082</v>
      </c>
      <c r="E24" s="17" t="s">
        <v>259</v>
      </c>
      <c r="F24" s="17" t="s">
        <v>971</v>
      </c>
      <c r="G24" s="26">
        <v>8</v>
      </c>
      <c r="H24" s="26"/>
      <c r="I24" s="17" t="s">
        <v>1009</v>
      </c>
      <c r="J24" s="17" t="s">
        <v>973</v>
      </c>
      <c r="K24" s="17" t="s">
        <v>1000</v>
      </c>
      <c r="L24" s="17" t="s">
        <v>975</v>
      </c>
      <c r="M24" s="17" t="s">
        <v>993</v>
      </c>
      <c r="N24" s="17" t="s">
        <v>1027</v>
      </c>
      <c r="O24" s="17" t="s">
        <v>1083</v>
      </c>
      <c r="P24" s="17"/>
      <c r="Q24" s="17"/>
      <c r="R24" s="17" t="s">
        <v>1006</v>
      </c>
      <c r="S24" s="17" t="s">
        <v>791</v>
      </c>
      <c r="T24" s="21"/>
      <c r="U24" s="21">
        <v>45728</v>
      </c>
      <c r="V24" s="17" t="s">
        <v>981</v>
      </c>
      <c r="W24" s="23" t="str">
        <f>IF(A24="","",IF(B24="",C24,IFERROR(INDEX(tbl_quimicos[Nome_Comercial],MATCH(B24,tbl_quimicos[ID_Quimico],0)),"")))</f>
        <v>Isopropanol (limpeza técnica e laboratório)</v>
      </c>
      <c r="X24" s="10">
        <f>IF(A24="","",IF(B24="",H24,IFERROR(INDEX(tbl_quimicos[Classe_Perigo_Saude],MATCH(B24,tbl_quimicos[ID_Quimico],0)),"")))</f>
        <v>2</v>
      </c>
      <c r="Y24" s="23" t="str">
        <f>IF(OR(A24="",B24=""),"",IFERROR(INDEX(tbl_quimicos[CMR],MATCH(B24,tbl_quimicos[ID_Quimico],0)),""))</f>
        <v>Não</v>
      </c>
      <c r="Z24" s="23" t="str">
        <f>IF(OR(A24="",B24=""),"",IFERROR(INDEX(tbl_quimicos[Sensibilizante],MATCH(B24,tbl_quimicos[ID_Quimico],0)),""))</f>
        <v>Não</v>
      </c>
      <c r="AA24" s="23" t="str">
        <f>IF(OR(A24="",B24=""),"",IFERROR(INDEX(tbl_quimicos[Protecao_Maternidade],MATCH(B24,tbl_quimicos[ID_Quimico],0)),""))</f>
        <v>Não</v>
      </c>
      <c r="AB24" s="27">
        <f>IF(A24="","",10^(X24-1)*INDEX(tbl_m_volat[Score],MATCH(I24,tbl_m_volat[Volatilidade],0))*INDEX(tbl_m_proced[Score],MATCH(J24,tbl_m_proced[Procedimento],0))*INDEX(tbl_m_prot[Score],MATCH(K24,tbl_m_prot[Protecao],0)))</f>
        <v>350</v>
      </c>
      <c r="AC24" s="22">
        <f>IF(A24="","",10^(X24-1)*INDEX(tbl_m_superf[Score],MATCH(L24,tbl_m_superf[Superficie],0))*INDEX(tbl_m_freq[Score],MATCH(M24,tbl_m_freq[Frequencia],0)))</f>
        <v>20</v>
      </c>
      <c r="AD24" s="23" t="str">
        <f t="shared" si="0"/>
        <v>P2 — alta</v>
      </c>
      <c r="AE24" s="23" t="str">
        <f t="shared" si="1"/>
        <v>Medidas gerais do DL 24/2012</v>
      </c>
      <c r="AF24" s="23" t="str">
        <f t="shared" si="2"/>
        <v>Avaliar medição</v>
      </c>
      <c r="AG24" s="24">
        <f t="shared" si="3"/>
        <v>46824</v>
      </c>
      <c r="AH24" s="23" t="str">
        <f t="shared" si="4"/>
        <v>Em dia</v>
      </c>
    </row>
    <row r="25" spans="1:34" ht="48" customHeight="1" x14ac:dyDescent="0.3">
      <c r="A25" s="17" t="s">
        <v>1084</v>
      </c>
      <c r="B25" s="17" t="s">
        <v>516</v>
      </c>
      <c r="C25" s="17"/>
      <c r="D25" s="17" t="s">
        <v>1085</v>
      </c>
      <c r="E25" s="17" t="s">
        <v>519</v>
      </c>
      <c r="F25" s="17" t="s">
        <v>711</v>
      </c>
      <c r="G25" s="26">
        <v>2</v>
      </c>
      <c r="H25" s="26"/>
      <c r="I25" s="17" t="s">
        <v>1009</v>
      </c>
      <c r="J25" s="17" t="s">
        <v>973</v>
      </c>
      <c r="K25" s="17" t="s">
        <v>1055</v>
      </c>
      <c r="L25" s="17" t="s">
        <v>1001</v>
      </c>
      <c r="M25" s="17" t="s">
        <v>993</v>
      </c>
      <c r="N25" s="17" t="s">
        <v>1002</v>
      </c>
      <c r="O25" s="17" t="s">
        <v>1056</v>
      </c>
      <c r="P25" s="17"/>
      <c r="Q25" s="17"/>
      <c r="R25" s="17" t="s">
        <v>1006</v>
      </c>
      <c r="S25" s="17" t="s">
        <v>816</v>
      </c>
      <c r="T25" s="21"/>
      <c r="U25" s="21">
        <v>46152</v>
      </c>
      <c r="V25" s="17" t="s">
        <v>981</v>
      </c>
      <c r="W25" s="23" t="str">
        <f>IF(A25="","",IF(B25="",C25,IFERROR(INDEX(tbl_quimicos[Nome_Comercial],MATCH(B25,tbl_quimicos[ID_Quimico],0)),"")))</f>
        <v>Etanol 96% (laboratório)</v>
      </c>
      <c r="X25" s="10">
        <f>IF(A25="","",IF(B25="",H25,IFERROR(INDEX(tbl_quimicos[Classe_Perigo_Saude],MATCH(B25,tbl_quimicos[ID_Quimico],0)),"")))</f>
        <v>2</v>
      </c>
      <c r="Y25" s="23" t="str">
        <f>IF(OR(A25="",B25=""),"",IFERROR(INDEX(tbl_quimicos[CMR],MATCH(B25,tbl_quimicos[ID_Quimico],0)),""))</f>
        <v>Não</v>
      </c>
      <c r="Z25" s="23" t="str">
        <f>IF(OR(A25="",B25=""),"",IFERROR(INDEX(tbl_quimicos[Sensibilizante],MATCH(B25,tbl_quimicos[ID_Quimico],0)),""))</f>
        <v>Não</v>
      </c>
      <c r="AA25" s="23" t="str">
        <f>IF(OR(A25="",B25=""),"",IFERROR(INDEX(tbl_quimicos[Protecao_Maternidade],MATCH(B25,tbl_quimicos[ID_Quimico],0)),""))</f>
        <v>Não</v>
      </c>
      <c r="AB25" s="27">
        <f>IF(A25="","",10^(X25-1)*INDEX(tbl_m_volat[Score],MATCH(I25,tbl_m_volat[Volatilidade],0))*INDEX(tbl_m_proced[Score],MATCH(J25,tbl_m_proced[Procedimento],0))*INDEX(tbl_m_prot[Score],MATCH(K25,tbl_m_prot[Protecao],0)))</f>
        <v>0.5</v>
      </c>
      <c r="AC25" s="22">
        <f>IF(A25="","",10^(X25-1)*INDEX(tbl_m_superf[Score],MATCH(L25,tbl_m_superf[Superficie],0))*INDEX(tbl_m_freq[Score],MATCH(M25,tbl_m_freq[Frequencia],0)))</f>
        <v>10</v>
      </c>
      <c r="AD25" s="23" t="str">
        <f t="shared" si="0"/>
        <v>P3 — moderada</v>
      </c>
      <c r="AE25" s="23" t="str">
        <f t="shared" si="1"/>
        <v>Medidas gerais do DL 24/2012</v>
      </c>
      <c r="AF25" s="23" t="str">
        <f t="shared" si="2"/>
        <v>Não necessário</v>
      </c>
      <c r="AG25" s="24">
        <f t="shared" si="3"/>
        <v>47248</v>
      </c>
      <c r="AH25" s="23" t="str">
        <f t="shared" si="4"/>
        <v>Em dia</v>
      </c>
    </row>
    <row r="26" spans="1:34" ht="48" customHeight="1" x14ac:dyDescent="0.3">
      <c r="A26" s="17"/>
      <c r="B26" s="17"/>
      <c r="C26" s="17"/>
      <c r="D26" s="17"/>
      <c r="E26" s="17"/>
      <c r="F26" s="17"/>
      <c r="G26" s="26"/>
      <c r="H26" s="2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1"/>
      <c r="U26" s="21"/>
      <c r="V26" s="17"/>
      <c r="W26" s="23" t="str">
        <f>IF(A26="","",IF(B26="",C26,IFERROR(INDEX(tbl_quimicos[Nome_Comercial],MATCH(B26,tbl_quimicos[ID_Quimico],0)),"")))</f>
        <v/>
      </c>
      <c r="X26" s="10" t="str">
        <f>IF(A26="","",IF(B26="",H26,IFERROR(INDEX(tbl_quimicos[Classe_Perigo_Saude],MATCH(B26,tbl_quimicos[ID_Quimico],0)),"")))</f>
        <v/>
      </c>
      <c r="Y26" s="23" t="str">
        <f>IF(OR(A26="",B26=""),"",IFERROR(INDEX(tbl_quimicos[CMR],MATCH(B26,tbl_quimicos[ID_Quimico],0)),""))</f>
        <v/>
      </c>
      <c r="Z26" s="23" t="str">
        <f>IF(OR(A26="",B26=""),"",IFERROR(INDEX(tbl_quimicos[Sensibilizante],MATCH(B26,tbl_quimicos[ID_Quimico],0)),""))</f>
        <v/>
      </c>
      <c r="AA26" s="23" t="str">
        <f>IF(OR(A26="",B26=""),"",IFERROR(INDEX(tbl_quimicos[Protecao_Maternidade],MATCH(B26,tbl_quimicos[ID_Quimico],0)),""))</f>
        <v/>
      </c>
      <c r="AB26" s="27" t="str">
        <f>IF(A26="","",10^(X26-1)*INDEX(tbl_m_volat[Score],MATCH(I26,tbl_m_volat[Volatilidade],0))*INDEX(tbl_m_proced[Score],MATCH(J26,tbl_m_proced[Procedimento],0))*INDEX(tbl_m_prot[Score],MATCH(K26,tbl_m_prot[Protecao],0)))</f>
        <v/>
      </c>
      <c r="AC26" s="22" t="str">
        <f>IF(A26="","",10^(X26-1)*INDEX(tbl_m_superf[Score],MATCH(L26,tbl_m_superf[Superficie],0))*INDEX(tbl_m_freq[Score],MATCH(M26,tbl_m_freq[Frequencia],0)))</f>
        <v/>
      </c>
      <c r="AD26" s="23" t="str">
        <f t="shared" si="0"/>
        <v/>
      </c>
      <c r="AE26" s="23" t="str">
        <f t="shared" si="1"/>
        <v/>
      </c>
      <c r="AF26" s="23" t="str">
        <f t="shared" si="2"/>
        <v/>
      </c>
      <c r="AG26" s="24" t="str">
        <f t="shared" si="3"/>
        <v/>
      </c>
      <c r="AH26" s="23" t="str">
        <f t="shared" si="4"/>
        <v/>
      </c>
    </row>
    <row r="27" spans="1:34" ht="48" customHeight="1" x14ac:dyDescent="0.3">
      <c r="A27" s="17"/>
      <c r="B27" s="17"/>
      <c r="C27" s="17"/>
      <c r="D27" s="17"/>
      <c r="E27" s="17"/>
      <c r="F27" s="17"/>
      <c r="G27" s="26"/>
      <c r="H27" s="2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1"/>
      <c r="U27" s="21"/>
      <c r="V27" s="17"/>
      <c r="W27" s="23" t="str">
        <f>IF(A27="","",IF(B27="",C27,IFERROR(INDEX(tbl_quimicos[Nome_Comercial],MATCH(B27,tbl_quimicos[ID_Quimico],0)),"")))</f>
        <v/>
      </c>
      <c r="X27" s="10" t="str">
        <f>IF(A27="","",IF(B27="",H27,IFERROR(INDEX(tbl_quimicos[Classe_Perigo_Saude],MATCH(B27,tbl_quimicos[ID_Quimico],0)),"")))</f>
        <v/>
      </c>
      <c r="Y27" s="23" t="str">
        <f>IF(OR(A27="",B27=""),"",IFERROR(INDEX(tbl_quimicos[CMR],MATCH(B27,tbl_quimicos[ID_Quimico],0)),""))</f>
        <v/>
      </c>
      <c r="Z27" s="23" t="str">
        <f>IF(OR(A27="",B27=""),"",IFERROR(INDEX(tbl_quimicos[Sensibilizante],MATCH(B27,tbl_quimicos[ID_Quimico],0)),""))</f>
        <v/>
      </c>
      <c r="AA27" s="23" t="str">
        <f>IF(OR(A27="",B27=""),"",IFERROR(INDEX(tbl_quimicos[Protecao_Maternidade],MATCH(B27,tbl_quimicos[ID_Quimico],0)),""))</f>
        <v/>
      </c>
      <c r="AB27" s="27" t="str">
        <f>IF(A27="","",10^(X27-1)*INDEX(tbl_m_volat[Score],MATCH(I27,tbl_m_volat[Volatilidade],0))*INDEX(tbl_m_proced[Score],MATCH(J27,tbl_m_proced[Procedimento],0))*INDEX(tbl_m_prot[Score],MATCH(K27,tbl_m_prot[Protecao],0)))</f>
        <v/>
      </c>
      <c r="AC27" s="22" t="str">
        <f>IF(A27="","",10^(X27-1)*INDEX(tbl_m_superf[Score],MATCH(L27,tbl_m_superf[Superficie],0))*INDEX(tbl_m_freq[Score],MATCH(M27,tbl_m_freq[Frequencia],0)))</f>
        <v/>
      </c>
      <c r="AD27" s="23" t="str">
        <f t="shared" si="0"/>
        <v/>
      </c>
      <c r="AE27" s="23" t="str">
        <f t="shared" si="1"/>
        <v/>
      </c>
      <c r="AF27" s="23" t="str">
        <f t="shared" si="2"/>
        <v/>
      </c>
      <c r="AG27" s="24" t="str">
        <f t="shared" si="3"/>
        <v/>
      </c>
      <c r="AH27" s="23" t="str">
        <f t="shared" si="4"/>
        <v/>
      </c>
    </row>
    <row r="28" spans="1:34" ht="48" customHeight="1" x14ac:dyDescent="0.3">
      <c r="A28" s="17"/>
      <c r="B28" s="17"/>
      <c r="C28" s="17"/>
      <c r="D28" s="17"/>
      <c r="E28" s="17"/>
      <c r="F28" s="17"/>
      <c r="G28" s="26"/>
      <c r="H28" s="26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21"/>
      <c r="U28" s="21"/>
      <c r="V28" s="17"/>
      <c r="W28" s="23" t="str">
        <f>IF(A28="","",IF(B28="",C28,IFERROR(INDEX(tbl_quimicos[Nome_Comercial],MATCH(B28,tbl_quimicos[ID_Quimico],0)),"")))</f>
        <v/>
      </c>
      <c r="X28" s="10" t="str">
        <f>IF(A28="","",IF(B28="",H28,IFERROR(INDEX(tbl_quimicos[Classe_Perigo_Saude],MATCH(B28,tbl_quimicos[ID_Quimico],0)),"")))</f>
        <v/>
      </c>
      <c r="Y28" s="23" t="str">
        <f>IF(OR(A28="",B28=""),"",IFERROR(INDEX(tbl_quimicos[CMR],MATCH(B28,tbl_quimicos[ID_Quimico],0)),""))</f>
        <v/>
      </c>
      <c r="Z28" s="23" t="str">
        <f>IF(OR(A28="",B28=""),"",IFERROR(INDEX(tbl_quimicos[Sensibilizante],MATCH(B28,tbl_quimicos[ID_Quimico],0)),""))</f>
        <v/>
      </c>
      <c r="AA28" s="23" t="str">
        <f>IF(OR(A28="",B28=""),"",IFERROR(INDEX(tbl_quimicos[Protecao_Maternidade],MATCH(B28,tbl_quimicos[ID_Quimico],0)),""))</f>
        <v/>
      </c>
      <c r="AB28" s="27" t="str">
        <f>IF(A28="","",10^(X28-1)*INDEX(tbl_m_volat[Score],MATCH(I28,tbl_m_volat[Volatilidade],0))*INDEX(tbl_m_proced[Score],MATCH(J28,tbl_m_proced[Procedimento],0))*INDEX(tbl_m_prot[Score],MATCH(K28,tbl_m_prot[Protecao],0)))</f>
        <v/>
      </c>
      <c r="AC28" s="22" t="str">
        <f>IF(A28="","",10^(X28-1)*INDEX(tbl_m_superf[Score],MATCH(L28,tbl_m_superf[Superficie],0))*INDEX(tbl_m_freq[Score],MATCH(M28,tbl_m_freq[Frequencia],0)))</f>
        <v/>
      </c>
      <c r="AD28" s="23" t="str">
        <f t="shared" si="0"/>
        <v/>
      </c>
      <c r="AE28" s="23" t="str">
        <f t="shared" si="1"/>
        <v/>
      </c>
      <c r="AF28" s="23" t="str">
        <f t="shared" si="2"/>
        <v/>
      </c>
      <c r="AG28" s="24" t="str">
        <f t="shared" si="3"/>
        <v/>
      </c>
      <c r="AH28" s="23" t="str">
        <f t="shared" si="4"/>
        <v/>
      </c>
    </row>
    <row r="29" spans="1:34" ht="48" customHeight="1" x14ac:dyDescent="0.3">
      <c r="A29" s="17"/>
      <c r="B29" s="17"/>
      <c r="C29" s="17"/>
      <c r="D29" s="17"/>
      <c r="E29" s="17"/>
      <c r="F29" s="17"/>
      <c r="G29" s="26"/>
      <c r="H29" s="26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21"/>
      <c r="U29" s="21"/>
      <c r="V29" s="17"/>
      <c r="W29" s="23" t="str">
        <f>IF(A29="","",IF(B29="",C29,IFERROR(INDEX(tbl_quimicos[Nome_Comercial],MATCH(B29,tbl_quimicos[ID_Quimico],0)),"")))</f>
        <v/>
      </c>
      <c r="X29" s="10" t="str">
        <f>IF(A29="","",IF(B29="",H29,IFERROR(INDEX(tbl_quimicos[Classe_Perigo_Saude],MATCH(B29,tbl_quimicos[ID_Quimico],0)),"")))</f>
        <v/>
      </c>
      <c r="Y29" s="23" t="str">
        <f>IF(OR(A29="",B29=""),"",IFERROR(INDEX(tbl_quimicos[CMR],MATCH(B29,tbl_quimicos[ID_Quimico],0)),""))</f>
        <v/>
      </c>
      <c r="Z29" s="23" t="str">
        <f>IF(OR(A29="",B29=""),"",IFERROR(INDEX(tbl_quimicos[Sensibilizante],MATCH(B29,tbl_quimicos[ID_Quimico],0)),""))</f>
        <v/>
      </c>
      <c r="AA29" s="23" t="str">
        <f>IF(OR(A29="",B29=""),"",IFERROR(INDEX(tbl_quimicos[Protecao_Maternidade],MATCH(B29,tbl_quimicos[ID_Quimico],0)),""))</f>
        <v/>
      </c>
      <c r="AB29" s="27" t="str">
        <f>IF(A29="","",10^(X29-1)*INDEX(tbl_m_volat[Score],MATCH(I29,tbl_m_volat[Volatilidade],0))*INDEX(tbl_m_proced[Score],MATCH(J29,tbl_m_proced[Procedimento],0))*INDEX(tbl_m_prot[Score],MATCH(K29,tbl_m_prot[Protecao],0)))</f>
        <v/>
      </c>
      <c r="AC29" s="22" t="str">
        <f>IF(A29="","",10^(X29-1)*INDEX(tbl_m_superf[Score],MATCH(L29,tbl_m_superf[Superficie],0))*INDEX(tbl_m_freq[Score],MATCH(M29,tbl_m_freq[Frequencia],0)))</f>
        <v/>
      </c>
      <c r="AD29" s="23" t="str">
        <f t="shared" si="0"/>
        <v/>
      </c>
      <c r="AE29" s="23" t="str">
        <f t="shared" si="1"/>
        <v/>
      </c>
      <c r="AF29" s="23" t="str">
        <f t="shared" si="2"/>
        <v/>
      </c>
      <c r="AG29" s="24" t="str">
        <f t="shared" si="3"/>
        <v/>
      </c>
      <c r="AH29" s="23" t="str">
        <f t="shared" si="4"/>
        <v/>
      </c>
    </row>
    <row r="30" spans="1:34" ht="48" customHeight="1" x14ac:dyDescent="0.3">
      <c r="A30" s="17"/>
      <c r="B30" s="17"/>
      <c r="C30" s="17"/>
      <c r="D30" s="17"/>
      <c r="E30" s="17"/>
      <c r="F30" s="17"/>
      <c r="G30" s="26"/>
      <c r="H30" s="26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21"/>
      <c r="U30" s="21"/>
      <c r="V30" s="17"/>
      <c r="W30" s="23" t="str">
        <f>IF(A30="","",IF(B30="",C30,IFERROR(INDEX(tbl_quimicos[Nome_Comercial],MATCH(B30,tbl_quimicos[ID_Quimico],0)),"")))</f>
        <v/>
      </c>
      <c r="X30" s="10" t="str">
        <f>IF(A30="","",IF(B30="",H30,IFERROR(INDEX(tbl_quimicos[Classe_Perigo_Saude],MATCH(B30,tbl_quimicos[ID_Quimico],0)),"")))</f>
        <v/>
      </c>
      <c r="Y30" s="23" t="str">
        <f>IF(OR(A30="",B30=""),"",IFERROR(INDEX(tbl_quimicos[CMR],MATCH(B30,tbl_quimicos[ID_Quimico],0)),""))</f>
        <v/>
      </c>
      <c r="Z30" s="23" t="str">
        <f>IF(OR(A30="",B30=""),"",IFERROR(INDEX(tbl_quimicos[Sensibilizante],MATCH(B30,tbl_quimicos[ID_Quimico],0)),""))</f>
        <v/>
      </c>
      <c r="AA30" s="23" t="str">
        <f>IF(OR(A30="",B30=""),"",IFERROR(INDEX(tbl_quimicos[Protecao_Maternidade],MATCH(B30,tbl_quimicos[ID_Quimico],0)),""))</f>
        <v/>
      </c>
      <c r="AB30" s="27" t="str">
        <f>IF(A30="","",10^(X30-1)*INDEX(tbl_m_volat[Score],MATCH(I30,tbl_m_volat[Volatilidade],0))*INDEX(tbl_m_proced[Score],MATCH(J30,tbl_m_proced[Procedimento],0))*INDEX(tbl_m_prot[Score],MATCH(K30,tbl_m_prot[Protecao],0)))</f>
        <v/>
      </c>
      <c r="AC30" s="22" t="str">
        <f>IF(A30="","",10^(X30-1)*INDEX(tbl_m_superf[Score],MATCH(L30,tbl_m_superf[Superficie],0))*INDEX(tbl_m_freq[Score],MATCH(M30,tbl_m_freq[Frequencia],0)))</f>
        <v/>
      </c>
      <c r="AD30" s="23" t="str">
        <f t="shared" si="0"/>
        <v/>
      </c>
      <c r="AE30" s="23" t="str">
        <f t="shared" si="1"/>
        <v/>
      </c>
      <c r="AF30" s="23" t="str">
        <f t="shared" si="2"/>
        <v/>
      </c>
      <c r="AG30" s="24" t="str">
        <f t="shared" si="3"/>
        <v/>
      </c>
      <c r="AH30" s="23" t="str">
        <f t="shared" si="4"/>
        <v/>
      </c>
    </row>
    <row r="31" spans="1:34" ht="48" customHeight="1" x14ac:dyDescent="0.3">
      <c r="A31" s="17"/>
      <c r="B31" s="17"/>
      <c r="C31" s="17"/>
      <c r="D31" s="17"/>
      <c r="E31" s="17"/>
      <c r="F31" s="17"/>
      <c r="G31" s="26"/>
      <c r="H31" s="26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1"/>
      <c r="U31" s="21"/>
      <c r="V31" s="17"/>
      <c r="W31" s="23" t="str">
        <f>IF(A31="","",IF(B31="",C31,IFERROR(INDEX(tbl_quimicos[Nome_Comercial],MATCH(B31,tbl_quimicos[ID_Quimico],0)),"")))</f>
        <v/>
      </c>
      <c r="X31" s="10" t="str">
        <f>IF(A31="","",IF(B31="",H31,IFERROR(INDEX(tbl_quimicos[Classe_Perigo_Saude],MATCH(B31,tbl_quimicos[ID_Quimico],0)),"")))</f>
        <v/>
      </c>
      <c r="Y31" s="23" t="str">
        <f>IF(OR(A31="",B31=""),"",IFERROR(INDEX(tbl_quimicos[CMR],MATCH(B31,tbl_quimicos[ID_Quimico],0)),""))</f>
        <v/>
      </c>
      <c r="Z31" s="23" t="str">
        <f>IF(OR(A31="",B31=""),"",IFERROR(INDEX(tbl_quimicos[Sensibilizante],MATCH(B31,tbl_quimicos[ID_Quimico],0)),""))</f>
        <v/>
      </c>
      <c r="AA31" s="23" t="str">
        <f>IF(OR(A31="",B31=""),"",IFERROR(INDEX(tbl_quimicos[Protecao_Maternidade],MATCH(B31,tbl_quimicos[ID_Quimico],0)),""))</f>
        <v/>
      </c>
      <c r="AB31" s="27" t="str">
        <f>IF(A31="","",10^(X31-1)*INDEX(tbl_m_volat[Score],MATCH(I31,tbl_m_volat[Volatilidade],0))*INDEX(tbl_m_proced[Score],MATCH(J31,tbl_m_proced[Procedimento],0))*INDEX(tbl_m_prot[Score],MATCH(K31,tbl_m_prot[Protecao],0)))</f>
        <v/>
      </c>
      <c r="AC31" s="22" t="str">
        <f>IF(A31="","",10^(X31-1)*INDEX(tbl_m_superf[Score],MATCH(L31,tbl_m_superf[Superficie],0))*INDEX(tbl_m_freq[Score],MATCH(M31,tbl_m_freq[Frequencia],0)))</f>
        <v/>
      </c>
      <c r="AD31" s="23" t="str">
        <f t="shared" si="0"/>
        <v/>
      </c>
      <c r="AE31" s="23" t="str">
        <f t="shared" si="1"/>
        <v/>
      </c>
      <c r="AF31" s="23" t="str">
        <f t="shared" si="2"/>
        <v/>
      </c>
      <c r="AG31" s="24" t="str">
        <f t="shared" si="3"/>
        <v/>
      </c>
      <c r="AH31" s="23" t="str">
        <f t="shared" si="4"/>
        <v/>
      </c>
    </row>
    <row r="32" spans="1:34" ht="48" customHeight="1" x14ac:dyDescent="0.3">
      <c r="A32" s="17"/>
      <c r="B32" s="17"/>
      <c r="C32" s="17"/>
      <c r="D32" s="17"/>
      <c r="E32" s="17"/>
      <c r="F32" s="17"/>
      <c r="G32" s="26"/>
      <c r="H32" s="26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1"/>
      <c r="U32" s="21"/>
      <c r="V32" s="17"/>
      <c r="W32" s="23" t="str">
        <f>IF(A32="","",IF(B32="",C32,IFERROR(INDEX(tbl_quimicos[Nome_Comercial],MATCH(B32,tbl_quimicos[ID_Quimico],0)),"")))</f>
        <v/>
      </c>
      <c r="X32" s="10" t="str">
        <f>IF(A32="","",IF(B32="",H32,IFERROR(INDEX(tbl_quimicos[Classe_Perigo_Saude],MATCH(B32,tbl_quimicos[ID_Quimico],0)),"")))</f>
        <v/>
      </c>
      <c r="Y32" s="23" t="str">
        <f>IF(OR(A32="",B32=""),"",IFERROR(INDEX(tbl_quimicos[CMR],MATCH(B32,tbl_quimicos[ID_Quimico],0)),""))</f>
        <v/>
      </c>
      <c r="Z32" s="23" t="str">
        <f>IF(OR(A32="",B32=""),"",IFERROR(INDEX(tbl_quimicos[Sensibilizante],MATCH(B32,tbl_quimicos[ID_Quimico],0)),""))</f>
        <v/>
      </c>
      <c r="AA32" s="23" t="str">
        <f>IF(OR(A32="",B32=""),"",IFERROR(INDEX(tbl_quimicos[Protecao_Maternidade],MATCH(B32,tbl_quimicos[ID_Quimico],0)),""))</f>
        <v/>
      </c>
      <c r="AB32" s="27" t="str">
        <f>IF(A32="","",10^(X32-1)*INDEX(tbl_m_volat[Score],MATCH(I32,tbl_m_volat[Volatilidade],0))*INDEX(tbl_m_proced[Score],MATCH(J32,tbl_m_proced[Procedimento],0))*INDEX(tbl_m_prot[Score],MATCH(K32,tbl_m_prot[Protecao],0)))</f>
        <v/>
      </c>
      <c r="AC32" s="22" t="str">
        <f>IF(A32="","",10^(X32-1)*INDEX(tbl_m_superf[Score],MATCH(L32,tbl_m_superf[Superficie],0))*INDEX(tbl_m_freq[Score],MATCH(M32,tbl_m_freq[Frequencia],0)))</f>
        <v/>
      </c>
      <c r="AD32" s="23" t="str">
        <f t="shared" si="0"/>
        <v/>
      </c>
      <c r="AE32" s="23" t="str">
        <f t="shared" si="1"/>
        <v/>
      </c>
      <c r="AF32" s="23" t="str">
        <f t="shared" si="2"/>
        <v/>
      </c>
      <c r="AG32" s="24" t="str">
        <f t="shared" si="3"/>
        <v/>
      </c>
      <c r="AH32" s="23" t="str">
        <f t="shared" si="4"/>
        <v/>
      </c>
    </row>
    <row r="33" spans="1:34" ht="48" customHeight="1" x14ac:dyDescent="0.3">
      <c r="A33" s="17"/>
      <c r="B33" s="17"/>
      <c r="C33" s="17"/>
      <c r="D33" s="17"/>
      <c r="E33" s="17"/>
      <c r="F33" s="17"/>
      <c r="G33" s="26"/>
      <c r="H33" s="2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1"/>
      <c r="U33" s="21"/>
      <c r="V33" s="17"/>
      <c r="W33" s="23" t="str">
        <f>IF(A33="","",IF(B33="",C33,IFERROR(INDEX(tbl_quimicos[Nome_Comercial],MATCH(B33,tbl_quimicos[ID_Quimico],0)),"")))</f>
        <v/>
      </c>
      <c r="X33" s="10" t="str">
        <f>IF(A33="","",IF(B33="",H33,IFERROR(INDEX(tbl_quimicos[Classe_Perigo_Saude],MATCH(B33,tbl_quimicos[ID_Quimico],0)),"")))</f>
        <v/>
      </c>
      <c r="Y33" s="23" t="str">
        <f>IF(OR(A33="",B33=""),"",IFERROR(INDEX(tbl_quimicos[CMR],MATCH(B33,tbl_quimicos[ID_Quimico],0)),""))</f>
        <v/>
      </c>
      <c r="Z33" s="23" t="str">
        <f>IF(OR(A33="",B33=""),"",IFERROR(INDEX(tbl_quimicos[Sensibilizante],MATCH(B33,tbl_quimicos[ID_Quimico],0)),""))</f>
        <v/>
      </c>
      <c r="AA33" s="23" t="str">
        <f>IF(OR(A33="",B33=""),"",IFERROR(INDEX(tbl_quimicos[Protecao_Maternidade],MATCH(B33,tbl_quimicos[ID_Quimico],0)),""))</f>
        <v/>
      </c>
      <c r="AB33" s="27" t="str">
        <f>IF(A33="","",10^(X33-1)*INDEX(tbl_m_volat[Score],MATCH(I33,tbl_m_volat[Volatilidade],0))*INDEX(tbl_m_proced[Score],MATCH(J33,tbl_m_proced[Procedimento],0))*INDEX(tbl_m_prot[Score],MATCH(K33,tbl_m_prot[Protecao],0)))</f>
        <v/>
      </c>
      <c r="AC33" s="22" t="str">
        <f>IF(A33="","",10^(X33-1)*INDEX(tbl_m_superf[Score],MATCH(L33,tbl_m_superf[Superficie],0))*INDEX(tbl_m_freq[Score],MATCH(M33,tbl_m_freq[Frequencia],0)))</f>
        <v/>
      </c>
      <c r="AD33" s="23" t="str">
        <f t="shared" si="0"/>
        <v/>
      </c>
      <c r="AE33" s="23" t="str">
        <f t="shared" si="1"/>
        <v/>
      </c>
      <c r="AF33" s="23" t="str">
        <f t="shared" si="2"/>
        <v/>
      </c>
      <c r="AG33" s="24" t="str">
        <f t="shared" si="3"/>
        <v/>
      </c>
      <c r="AH33" s="23" t="str">
        <f t="shared" si="4"/>
        <v/>
      </c>
    </row>
    <row r="34" spans="1:34" ht="48" customHeight="1" x14ac:dyDescent="0.3">
      <c r="A34" s="17"/>
      <c r="B34" s="17"/>
      <c r="C34" s="17"/>
      <c r="D34" s="17"/>
      <c r="E34" s="17"/>
      <c r="F34" s="17"/>
      <c r="G34" s="26"/>
      <c r="H34" s="26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1"/>
      <c r="U34" s="21"/>
      <c r="V34" s="17"/>
      <c r="W34" s="23" t="str">
        <f>IF(A34="","",IF(B34="",C34,IFERROR(INDEX(tbl_quimicos[Nome_Comercial],MATCH(B34,tbl_quimicos[ID_Quimico],0)),"")))</f>
        <v/>
      </c>
      <c r="X34" s="10" t="str">
        <f>IF(A34="","",IF(B34="",H34,IFERROR(INDEX(tbl_quimicos[Classe_Perigo_Saude],MATCH(B34,tbl_quimicos[ID_Quimico],0)),"")))</f>
        <v/>
      </c>
      <c r="Y34" s="23" t="str">
        <f>IF(OR(A34="",B34=""),"",IFERROR(INDEX(tbl_quimicos[CMR],MATCH(B34,tbl_quimicos[ID_Quimico],0)),""))</f>
        <v/>
      </c>
      <c r="Z34" s="23" t="str">
        <f>IF(OR(A34="",B34=""),"",IFERROR(INDEX(tbl_quimicos[Sensibilizante],MATCH(B34,tbl_quimicos[ID_Quimico],0)),""))</f>
        <v/>
      </c>
      <c r="AA34" s="23" t="str">
        <f>IF(OR(A34="",B34=""),"",IFERROR(INDEX(tbl_quimicos[Protecao_Maternidade],MATCH(B34,tbl_quimicos[ID_Quimico],0)),""))</f>
        <v/>
      </c>
      <c r="AB34" s="27" t="str">
        <f>IF(A34="","",10^(X34-1)*INDEX(tbl_m_volat[Score],MATCH(I34,tbl_m_volat[Volatilidade],0))*INDEX(tbl_m_proced[Score],MATCH(J34,tbl_m_proced[Procedimento],0))*INDEX(tbl_m_prot[Score],MATCH(K34,tbl_m_prot[Protecao],0)))</f>
        <v/>
      </c>
      <c r="AC34" s="22" t="str">
        <f>IF(A34="","",10^(X34-1)*INDEX(tbl_m_superf[Score],MATCH(L34,tbl_m_superf[Superficie],0))*INDEX(tbl_m_freq[Score],MATCH(M34,tbl_m_freq[Frequencia],0)))</f>
        <v/>
      </c>
      <c r="AD34" s="23" t="str">
        <f t="shared" si="0"/>
        <v/>
      </c>
      <c r="AE34" s="23" t="str">
        <f t="shared" si="1"/>
        <v/>
      </c>
      <c r="AF34" s="23" t="str">
        <f t="shared" si="2"/>
        <v/>
      </c>
      <c r="AG34" s="24" t="str">
        <f t="shared" si="3"/>
        <v/>
      </c>
      <c r="AH34" s="23" t="str">
        <f t="shared" si="4"/>
        <v/>
      </c>
    </row>
    <row r="35" spans="1:34" ht="48" customHeight="1" x14ac:dyDescent="0.3">
      <c r="A35" s="17"/>
      <c r="B35" s="17"/>
      <c r="C35" s="17"/>
      <c r="D35" s="17"/>
      <c r="E35" s="17"/>
      <c r="F35" s="17"/>
      <c r="G35" s="26"/>
      <c r="H35" s="26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1"/>
      <c r="U35" s="21"/>
      <c r="V35" s="17"/>
      <c r="W35" s="23" t="str">
        <f>IF(A35="","",IF(B35="",C35,IFERROR(INDEX(tbl_quimicos[Nome_Comercial],MATCH(B35,tbl_quimicos[ID_Quimico],0)),"")))</f>
        <v/>
      </c>
      <c r="X35" s="10" t="str">
        <f>IF(A35="","",IF(B35="",H35,IFERROR(INDEX(tbl_quimicos[Classe_Perigo_Saude],MATCH(B35,tbl_quimicos[ID_Quimico],0)),"")))</f>
        <v/>
      </c>
      <c r="Y35" s="23" t="str">
        <f>IF(OR(A35="",B35=""),"",IFERROR(INDEX(tbl_quimicos[CMR],MATCH(B35,tbl_quimicos[ID_Quimico],0)),""))</f>
        <v/>
      </c>
      <c r="Z35" s="23" t="str">
        <f>IF(OR(A35="",B35=""),"",IFERROR(INDEX(tbl_quimicos[Sensibilizante],MATCH(B35,tbl_quimicos[ID_Quimico],0)),""))</f>
        <v/>
      </c>
      <c r="AA35" s="23" t="str">
        <f>IF(OR(A35="",B35=""),"",IFERROR(INDEX(tbl_quimicos[Protecao_Maternidade],MATCH(B35,tbl_quimicos[ID_Quimico],0)),""))</f>
        <v/>
      </c>
      <c r="AB35" s="27" t="str">
        <f>IF(A35="","",10^(X35-1)*INDEX(tbl_m_volat[Score],MATCH(I35,tbl_m_volat[Volatilidade],0))*INDEX(tbl_m_proced[Score],MATCH(J35,tbl_m_proced[Procedimento],0))*INDEX(tbl_m_prot[Score],MATCH(K35,tbl_m_prot[Protecao],0)))</f>
        <v/>
      </c>
      <c r="AC35" s="22" t="str">
        <f>IF(A35="","",10^(X35-1)*INDEX(tbl_m_superf[Score],MATCH(L35,tbl_m_superf[Superficie],0))*INDEX(tbl_m_freq[Score],MATCH(M35,tbl_m_freq[Frequencia],0)))</f>
        <v/>
      </c>
      <c r="AD35" s="23" t="str">
        <f t="shared" si="0"/>
        <v/>
      </c>
      <c r="AE35" s="23" t="str">
        <f t="shared" si="1"/>
        <v/>
      </c>
      <c r="AF35" s="23" t="str">
        <f t="shared" si="2"/>
        <v/>
      </c>
      <c r="AG35" s="24" t="str">
        <f t="shared" si="3"/>
        <v/>
      </c>
      <c r="AH35" s="23" t="str">
        <f t="shared" si="4"/>
        <v/>
      </c>
    </row>
    <row r="36" spans="1:34" ht="48" customHeight="1" x14ac:dyDescent="0.3">
      <c r="A36" s="17"/>
      <c r="B36" s="17"/>
      <c r="C36" s="17"/>
      <c r="D36" s="17"/>
      <c r="E36" s="17"/>
      <c r="F36" s="17"/>
      <c r="G36" s="26"/>
      <c r="H36" s="26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1"/>
      <c r="U36" s="21"/>
      <c r="V36" s="17"/>
      <c r="W36" s="23" t="str">
        <f>IF(A36="","",IF(B36="",C36,IFERROR(INDEX(tbl_quimicos[Nome_Comercial],MATCH(B36,tbl_quimicos[ID_Quimico],0)),"")))</f>
        <v/>
      </c>
      <c r="X36" s="10" t="str">
        <f>IF(A36="","",IF(B36="",H36,IFERROR(INDEX(tbl_quimicos[Classe_Perigo_Saude],MATCH(B36,tbl_quimicos[ID_Quimico],0)),"")))</f>
        <v/>
      </c>
      <c r="Y36" s="23" t="str">
        <f>IF(OR(A36="",B36=""),"",IFERROR(INDEX(tbl_quimicos[CMR],MATCH(B36,tbl_quimicos[ID_Quimico],0)),""))</f>
        <v/>
      </c>
      <c r="Z36" s="23" t="str">
        <f>IF(OR(A36="",B36=""),"",IFERROR(INDEX(tbl_quimicos[Sensibilizante],MATCH(B36,tbl_quimicos[ID_Quimico],0)),""))</f>
        <v/>
      </c>
      <c r="AA36" s="23" t="str">
        <f>IF(OR(A36="",B36=""),"",IFERROR(INDEX(tbl_quimicos[Protecao_Maternidade],MATCH(B36,tbl_quimicos[ID_Quimico],0)),""))</f>
        <v/>
      </c>
      <c r="AB36" s="27" t="str">
        <f>IF(A36="","",10^(X36-1)*INDEX(tbl_m_volat[Score],MATCH(I36,tbl_m_volat[Volatilidade],0))*INDEX(tbl_m_proced[Score],MATCH(J36,tbl_m_proced[Procedimento],0))*INDEX(tbl_m_prot[Score],MATCH(K36,tbl_m_prot[Protecao],0)))</f>
        <v/>
      </c>
      <c r="AC36" s="22" t="str">
        <f>IF(A36="","",10^(X36-1)*INDEX(tbl_m_superf[Score],MATCH(L36,tbl_m_superf[Superficie],0))*INDEX(tbl_m_freq[Score],MATCH(M36,tbl_m_freq[Frequencia],0)))</f>
        <v/>
      </c>
      <c r="AD36" s="23" t="str">
        <f t="shared" si="0"/>
        <v/>
      </c>
      <c r="AE36" s="23" t="str">
        <f t="shared" si="1"/>
        <v/>
      </c>
      <c r="AF36" s="23" t="str">
        <f t="shared" si="2"/>
        <v/>
      </c>
      <c r="AG36" s="24" t="str">
        <f t="shared" si="3"/>
        <v/>
      </c>
      <c r="AH36" s="23" t="str">
        <f t="shared" si="4"/>
        <v/>
      </c>
    </row>
    <row r="37" spans="1:34" ht="48" customHeight="1" x14ac:dyDescent="0.3">
      <c r="A37" s="17"/>
      <c r="B37" s="17"/>
      <c r="C37" s="17"/>
      <c r="D37" s="17"/>
      <c r="E37" s="17"/>
      <c r="F37" s="17"/>
      <c r="G37" s="26"/>
      <c r="H37" s="26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1"/>
      <c r="U37" s="21"/>
      <c r="V37" s="17"/>
      <c r="W37" s="23" t="str">
        <f>IF(A37="","",IF(B37="",C37,IFERROR(INDEX(tbl_quimicos[Nome_Comercial],MATCH(B37,tbl_quimicos[ID_Quimico],0)),"")))</f>
        <v/>
      </c>
      <c r="X37" s="10" t="str">
        <f>IF(A37="","",IF(B37="",H37,IFERROR(INDEX(tbl_quimicos[Classe_Perigo_Saude],MATCH(B37,tbl_quimicos[ID_Quimico],0)),"")))</f>
        <v/>
      </c>
      <c r="Y37" s="23" t="str">
        <f>IF(OR(A37="",B37=""),"",IFERROR(INDEX(tbl_quimicos[CMR],MATCH(B37,tbl_quimicos[ID_Quimico],0)),""))</f>
        <v/>
      </c>
      <c r="Z37" s="23" t="str">
        <f>IF(OR(A37="",B37=""),"",IFERROR(INDEX(tbl_quimicos[Sensibilizante],MATCH(B37,tbl_quimicos[ID_Quimico],0)),""))</f>
        <v/>
      </c>
      <c r="AA37" s="23" t="str">
        <f>IF(OR(A37="",B37=""),"",IFERROR(INDEX(tbl_quimicos[Protecao_Maternidade],MATCH(B37,tbl_quimicos[ID_Quimico],0)),""))</f>
        <v/>
      </c>
      <c r="AB37" s="27" t="str">
        <f>IF(A37="","",10^(X37-1)*INDEX(tbl_m_volat[Score],MATCH(I37,tbl_m_volat[Volatilidade],0))*INDEX(tbl_m_proced[Score],MATCH(J37,tbl_m_proced[Procedimento],0))*INDEX(tbl_m_prot[Score],MATCH(K37,tbl_m_prot[Protecao],0)))</f>
        <v/>
      </c>
      <c r="AC37" s="22" t="str">
        <f>IF(A37="","",10^(X37-1)*INDEX(tbl_m_superf[Score],MATCH(L37,tbl_m_superf[Superficie],0))*INDEX(tbl_m_freq[Score],MATCH(M37,tbl_m_freq[Frequencia],0)))</f>
        <v/>
      </c>
      <c r="AD37" s="23" t="str">
        <f t="shared" ref="AD37:AD68" si="5">IF(A37="","",IF(MAX(AB37,AC37)&gt;1000,"P1 — muito alta",IF(MAX(AB37,AC37)&gt;=100,"P2 — alta","P3 — moderada")))</f>
        <v/>
      </c>
      <c r="AE37" s="23" t="str">
        <f t="shared" ref="AE37:AE55" si="6">IF(A37="","",IF(Y37="Cat. 1A/1B","DL 301/2000: substituir; sistema fechado; lista de expostos; vigilância da saúde",IF(Z37="Sim","Sensibilizante: vigilância da saúde; luvas do material indicado na FDS",IF(X37&gt;=4,"Tóxico/corrosivo/CMR 2: acesso restrito; EPI obrigatório; formação","Medidas gerais do DL 24/2012"))))</f>
        <v/>
      </c>
      <c r="AF37" s="23" t="str">
        <f t="shared" ref="AF37:AF55" si="7">IF(A37="","",IF(P37&lt;&gt;"","Sim — "&amp;P37,IF(AND(LEFT(AD37,2)&lt;&gt;"P3",AB37&gt;=100),"Avaliar medição","Não necessário")))</f>
        <v/>
      </c>
      <c r="AG37" s="24" t="str">
        <f t="shared" ref="AG37:AG55" si="8">IF(OR(A37="",U37=""),"",EDATE(U37,p_Meses_ARQ))</f>
        <v/>
      </c>
      <c r="AH37" s="23" t="str">
        <f t="shared" ref="AH37:AH68" si="9">IF(A37="","",IF(AG37&lt;DataRef,"Revisão em atraso",IF(AND(T37&lt;&gt;"",T37&lt;DataRef),"Medidas em atraso","Em dia")))</f>
        <v/>
      </c>
    </row>
    <row r="38" spans="1:34" ht="48" customHeight="1" x14ac:dyDescent="0.3">
      <c r="A38" s="17"/>
      <c r="B38" s="17"/>
      <c r="C38" s="17"/>
      <c r="D38" s="17"/>
      <c r="E38" s="17"/>
      <c r="F38" s="17"/>
      <c r="G38" s="26"/>
      <c r="H38" s="2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21"/>
      <c r="U38" s="21"/>
      <c r="V38" s="17"/>
      <c r="W38" s="23" t="str">
        <f>IF(A38="","",IF(B38="",C38,IFERROR(INDEX(tbl_quimicos[Nome_Comercial],MATCH(B38,tbl_quimicos[ID_Quimico],0)),"")))</f>
        <v/>
      </c>
      <c r="X38" s="10" t="str">
        <f>IF(A38="","",IF(B38="",H38,IFERROR(INDEX(tbl_quimicos[Classe_Perigo_Saude],MATCH(B38,tbl_quimicos[ID_Quimico],0)),"")))</f>
        <v/>
      </c>
      <c r="Y38" s="23" t="str">
        <f>IF(OR(A38="",B38=""),"",IFERROR(INDEX(tbl_quimicos[CMR],MATCH(B38,tbl_quimicos[ID_Quimico],0)),""))</f>
        <v/>
      </c>
      <c r="Z38" s="23" t="str">
        <f>IF(OR(A38="",B38=""),"",IFERROR(INDEX(tbl_quimicos[Sensibilizante],MATCH(B38,tbl_quimicos[ID_Quimico],0)),""))</f>
        <v/>
      </c>
      <c r="AA38" s="23" t="str">
        <f>IF(OR(A38="",B38=""),"",IFERROR(INDEX(tbl_quimicos[Protecao_Maternidade],MATCH(B38,tbl_quimicos[ID_Quimico],0)),""))</f>
        <v/>
      </c>
      <c r="AB38" s="27" t="str">
        <f>IF(A38="","",10^(X38-1)*INDEX(tbl_m_volat[Score],MATCH(I38,tbl_m_volat[Volatilidade],0))*INDEX(tbl_m_proced[Score],MATCH(J38,tbl_m_proced[Procedimento],0))*INDEX(tbl_m_prot[Score],MATCH(K38,tbl_m_prot[Protecao],0)))</f>
        <v/>
      </c>
      <c r="AC38" s="22" t="str">
        <f>IF(A38="","",10^(X38-1)*INDEX(tbl_m_superf[Score],MATCH(L38,tbl_m_superf[Superficie],0))*INDEX(tbl_m_freq[Score],MATCH(M38,tbl_m_freq[Frequencia],0)))</f>
        <v/>
      </c>
      <c r="AD38" s="23" t="str">
        <f t="shared" si="5"/>
        <v/>
      </c>
      <c r="AE38" s="23" t="str">
        <f t="shared" si="6"/>
        <v/>
      </c>
      <c r="AF38" s="23" t="str">
        <f t="shared" si="7"/>
        <v/>
      </c>
      <c r="AG38" s="24" t="str">
        <f t="shared" si="8"/>
        <v/>
      </c>
      <c r="AH38" s="23" t="str">
        <f t="shared" si="9"/>
        <v/>
      </c>
    </row>
    <row r="39" spans="1:34" ht="48" customHeight="1" x14ac:dyDescent="0.3">
      <c r="A39" s="17"/>
      <c r="B39" s="17"/>
      <c r="C39" s="17"/>
      <c r="D39" s="17"/>
      <c r="E39" s="17"/>
      <c r="F39" s="17"/>
      <c r="G39" s="26"/>
      <c r="H39" s="26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1"/>
      <c r="U39" s="21"/>
      <c r="V39" s="17"/>
      <c r="W39" s="23" t="str">
        <f>IF(A39="","",IF(B39="",C39,IFERROR(INDEX(tbl_quimicos[Nome_Comercial],MATCH(B39,tbl_quimicos[ID_Quimico],0)),"")))</f>
        <v/>
      </c>
      <c r="X39" s="10" t="str">
        <f>IF(A39="","",IF(B39="",H39,IFERROR(INDEX(tbl_quimicos[Classe_Perigo_Saude],MATCH(B39,tbl_quimicos[ID_Quimico],0)),"")))</f>
        <v/>
      </c>
      <c r="Y39" s="23" t="str">
        <f>IF(OR(A39="",B39=""),"",IFERROR(INDEX(tbl_quimicos[CMR],MATCH(B39,tbl_quimicos[ID_Quimico],0)),""))</f>
        <v/>
      </c>
      <c r="Z39" s="23" t="str">
        <f>IF(OR(A39="",B39=""),"",IFERROR(INDEX(tbl_quimicos[Sensibilizante],MATCH(B39,tbl_quimicos[ID_Quimico],0)),""))</f>
        <v/>
      </c>
      <c r="AA39" s="23" t="str">
        <f>IF(OR(A39="",B39=""),"",IFERROR(INDEX(tbl_quimicos[Protecao_Maternidade],MATCH(B39,tbl_quimicos[ID_Quimico],0)),""))</f>
        <v/>
      </c>
      <c r="AB39" s="27" t="str">
        <f>IF(A39="","",10^(X39-1)*INDEX(tbl_m_volat[Score],MATCH(I39,tbl_m_volat[Volatilidade],0))*INDEX(tbl_m_proced[Score],MATCH(J39,tbl_m_proced[Procedimento],0))*INDEX(tbl_m_prot[Score],MATCH(K39,tbl_m_prot[Protecao],0)))</f>
        <v/>
      </c>
      <c r="AC39" s="22" t="str">
        <f>IF(A39="","",10^(X39-1)*INDEX(tbl_m_superf[Score],MATCH(L39,tbl_m_superf[Superficie],0))*INDEX(tbl_m_freq[Score],MATCH(M39,tbl_m_freq[Frequencia],0)))</f>
        <v/>
      </c>
      <c r="AD39" s="23" t="str">
        <f t="shared" si="5"/>
        <v/>
      </c>
      <c r="AE39" s="23" t="str">
        <f t="shared" si="6"/>
        <v/>
      </c>
      <c r="AF39" s="23" t="str">
        <f t="shared" si="7"/>
        <v/>
      </c>
      <c r="AG39" s="24" t="str">
        <f t="shared" si="8"/>
        <v/>
      </c>
      <c r="AH39" s="23" t="str">
        <f t="shared" si="9"/>
        <v/>
      </c>
    </row>
    <row r="40" spans="1:34" ht="48" customHeight="1" x14ac:dyDescent="0.3">
      <c r="A40" s="17"/>
      <c r="B40" s="17"/>
      <c r="C40" s="17"/>
      <c r="D40" s="17"/>
      <c r="E40" s="17"/>
      <c r="F40" s="17"/>
      <c r="G40" s="26"/>
      <c r="H40" s="26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1"/>
      <c r="U40" s="21"/>
      <c r="V40" s="17"/>
      <c r="W40" s="23" t="str">
        <f>IF(A40="","",IF(B40="",C40,IFERROR(INDEX(tbl_quimicos[Nome_Comercial],MATCH(B40,tbl_quimicos[ID_Quimico],0)),"")))</f>
        <v/>
      </c>
      <c r="X40" s="10" t="str">
        <f>IF(A40="","",IF(B40="",H40,IFERROR(INDEX(tbl_quimicos[Classe_Perigo_Saude],MATCH(B40,tbl_quimicos[ID_Quimico],0)),"")))</f>
        <v/>
      </c>
      <c r="Y40" s="23" t="str">
        <f>IF(OR(A40="",B40=""),"",IFERROR(INDEX(tbl_quimicos[CMR],MATCH(B40,tbl_quimicos[ID_Quimico],0)),""))</f>
        <v/>
      </c>
      <c r="Z40" s="23" t="str">
        <f>IF(OR(A40="",B40=""),"",IFERROR(INDEX(tbl_quimicos[Sensibilizante],MATCH(B40,tbl_quimicos[ID_Quimico],0)),""))</f>
        <v/>
      </c>
      <c r="AA40" s="23" t="str">
        <f>IF(OR(A40="",B40=""),"",IFERROR(INDEX(tbl_quimicos[Protecao_Maternidade],MATCH(B40,tbl_quimicos[ID_Quimico],0)),""))</f>
        <v/>
      </c>
      <c r="AB40" s="27" t="str">
        <f>IF(A40="","",10^(X40-1)*INDEX(tbl_m_volat[Score],MATCH(I40,tbl_m_volat[Volatilidade],0))*INDEX(tbl_m_proced[Score],MATCH(J40,tbl_m_proced[Procedimento],0))*INDEX(tbl_m_prot[Score],MATCH(K40,tbl_m_prot[Protecao],0)))</f>
        <v/>
      </c>
      <c r="AC40" s="22" t="str">
        <f>IF(A40="","",10^(X40-1)*INDEX(tbl_m_superf[Score],MATCH(L40,tbl_m_superf[Superficie],0))*INDEX(tbl_m_freq[Score],MATCH(M40,tbl_m_freq[Frequencia],0)))</f>
        <v/>
      </c>
      <c r="AD40" s="23" t="str">
        <f t="shared" si="5"/>
        <v/>
      </c>
      <c r="AE40" s="23" t="str">
        <f t="shared" si="6"/>
        <v/>
      </c>
      <c r="AF40" s="23" t="str">
        <f t="shared" si="7"/>
        <v/>
      </c>
      <c r="AG40" s="24" t="str">
        <f t="shared" si="8"/>
        <v/>
      </c>
      <c r="AH40" s="23" t="str">
        <f t="shared" si="9"/>
        <v/>
      </c>
    </row>
    <row r="41" spans="1:34" ht="48" customHeight="1" x14ac:dyDescent="0.3">
      <c r="A41" s="17"/>
      <c r="B41" s="17"/>
      <c r="C41" s="17"/>
      <c r="D41" s="17"/>
      <c r="E41" s="17"/>
      <c r="F41" s="17"/>
      <c r="G41" s="26"/>
      <c r="H41" s="26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1"/>
      <c r="U41" s="21"/>
      <c r="V41" s="17"/>
      <c r="W41" s="23" t="str">
        <f>IF(A41="","",IF(B41="",C41,IFERROR(INDEX(tbl_quimicos[Nome_Comercial],MATCH(B41,tbl_quimicos[ID_Quimico],0)),"")))</f>
        <v/>
      </c>
      <c r="X41" s="10" t="str">
        <f>IF(A41="","",IF(B41="",H41,IFERROR(INDEX(tbl_quimicos[Classe_Perigo_Saude],MATCH(B41,tbl_quimicos[ID_Quimico],0)),"")))</f>
        <v/>
      </c>
      <c r="Y41" s="23" t="str">
        <f>IF(OR(A41="",B41=""),"",IFERROR(INDEX(tbl_quimicos[CMR],MATCH(B41,tbl_quimicos[ID_Quimico],0)),""))</f>
        <v/>
      </c>
      <c r="Z41" s="23" t="str">
        <f>IF(OR(A41="",B41=""),"",IFERROR(INDEX(tbl_quimicos[Sensibilizante],MATCH(B41,tbl_quimicos[ID_Quimico],0)),""))</f>
        <v/>
      </c>
      <c r="AA41" s="23" t="str">
        <f>IF(OR(A41="",B41=""),"",IFERROR(INDEX(tbl_quimicos[Protecao_Maternidade],MATCH(B41,tbl_quimicos[ID_Quimico],0)),""))</f>
        <v/>
      </c>
      <c r="AB41" s="27" t="str">
        <f>IF(A41="","",10^(X41-1)*INDEX(tbl_m_volat[Score],MATCH(I41,tbl_m_volat[Volatilidade],0))*INDEX(tbl_m_proced[Score],MATCH(J41,tbl_m_proced[Procedimento],0))*INDEX(tbl_m_prot[Score],MATCH(K41,tbl_m_prot[Protecao],0)))</f>
        <v/>
      </c>
      <c r="AC41" s="22" t="str">
        <f>IF(A41="","",10^(X41-1)*INDEX(tbl_m_superf[Score],MATCH(L41,tbl_m_superf[Superficie],0))*INDEX(tbl_m_freq[Score],MATCH(M41,tbl_m_freq[Frequencia],0)))</f>
        <v/>
      </c>
      <c r="AD41" s="23" t="str">
        <f t="shared" si="5"/>
        <v/>
      </c>
      <c r="AE41" s="23" t="str">
        <f t="shared" si="6"/>
        <v/>
      </c>
      <c r="AF41" s="23" t="str">
        <f t="shared" si="7"/>
        <v/>
      </c>
      <c r="AG41" s="24" t="str">
        <f t="shared" si="8"/>
        <v/>
      </c>
      <c r="AH41" s="23" t="str">
        <f t="shared" si="9"/>
        <v/>
      </c>
    </row>
    <row r="42" spans="1:34" ht="48" customHeight="1" x14ac:dyDescent="0.3">
      <c r="A42" s="17"/>
      <c r="B42" s="17"/>
      <c r="C42" s="17"/>
      <c r="D42" s="17"/>
      <c r="E42" s="17"/>
      <c r="F42" s="17"/>
      <c r="G42" s="26"/>
      <c r="H42" s="26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1"/>
      <c r="U42" s="21"/>
      <c r="V42" s="17"/>
      <c r="W42" s="23" t="str">
        <f>IF(A42="","",IF(B42="",C42,IFERROR(INDEX(tbl_quimicos[Nome_Comercial],MATCH(B42,tbl_quimicos[ID_Quimico],0)),"")))</f>
        <v/>
      </c>
      <c r="X42" s="10" t="str">
        <f>IF(A42="","",IF(B42="",H42,IFERROR(INDEX(tbl_quimicos[Classe_Perigo_Saude],MATCH(B42,tbl_quimicos[ID_Quimico],0)),"")))</f>
        <v/>
      </c>
      <c r="Y42" s="23" t="str">
        <f>IF(OR(A42="",B42=""),"",IFERROR(INDEX(tbl_quimicos[CMR],MATCH(B42,tbl_quimicos[ID_Quimico],0)),""))</f>
        <v/>
      </c>
      <c r="Z42" s="23" t="str">
        <f>IF(OR(A42="",B42=""),"",IFERROR(INDEX(tbl_quimicos[Sensibilizante],MATCH(B42,tbl_quimicos[ID_Quimico],0)),""))</f>
        <v/>
      </c>
      <c r="AA42" s="23" t="str">
        <f>IF(OR(A42="",B42=""),"",IFERROR(INDEX(tbl_quimicos[Protecao_Maternidade],MATCH(B42,tbl_quimicos[ID_Quimico],0)),""))</f>
        <v/>
      </c>
      <c r="AB42" s="27" t="str">
        <f>IF(A42="","",10^(X42-1)*INDEX(tbl_m_volat[Score],MATCH(I42,tbl_m_volat[Volatilidade],0))*INDEX(tbl_m_proced[Score],MATCH(J42,tbl_m_proced[Procedimento],0))*INDEX(tbl_m_prot[Score],MATCH(K42,tbl_m_prot[Protecao],0)))</f>
        <v/>
      </c>
      <c r="AC42" s="22" t="str">
        <f>IF(A42="","",10^(X42-1)*INDEX(tbl_m_superf[Score],MATCH(L42,tbl_m_superf[Superficie],0))*INDEX(tbl_m_freq[Score],MATCH(M42,tbl_m_freq[Frequencia],0)))</f>
        <v/>
      </c>
      <c r="AD42" s="23" t="str">
        <f t="shared" si="5"/>
        <v/>
      </c>
      <c r="AE42" s="23" t="str">
        <f t="shared" si="6"/>
        <v/>
      </c>
      <c r="AF42" s="23" t="str">
        <f t="shared" si="7"/>
        <v/>
      </c>
      <c r="AG42" s="24" t="str">
        <f t="shared" si="8"/>
        <v/>
      </c>
      <c r="AH42" s="23" t="str">
        <f t="shared" si="9"/>
        <v/>
      </c>
    </row>
    <row r="43" spans="1:34" ht="48" customHeight="1" x14ac:dyDescent="0.3">
      <c r="A43" s="17"/>
      <c r="B43" s="17"/>
      <c r="C43" s="17"/>
      <c r="D43" s="17"/>
      <c r="E43" s="17"/>
      <c r="F43" s="17"/>
      <c r="G43" s="26"/>
      <c r="H43" s="26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1"/>
      <c r="U43" s="21"/>
      <c r="V43" s="17"/>
      <c r="W43" s="23" t="str">
        <f>IF(A43="","",IF(B43="",C43,IFERROR(INDEX(tbl_quimicos[Nome_Comercial],MATCH(B43,tbl_quimicos[ID_Quimico],0)),"")))</f>
        <v/>
      </c>
      <c r="X43" s="10" t="str">
        <f>IF(A43="","",IF(B43="",H43,IFERROR(INDEX(tbl_quimicos[Classe_Perigo_Saude],MATCH(B43,tbl_quimicos[ID_Quimico],0)),"")))</f>
        <v/>
      </c>
      <c r="Y43" s="23" t="str">
        <f>IF(OR(A43="",B43=""),"",IFERROR(INDEX(tbl_quimicos[CMR],MATCH(B43,tbl_quimicos[ID_Quimico],0)),""))</f>
        <v/>
      </c>
      <c r="Z43" s="23" t="str">
        <f>IF(OR(A43="",B43=""),"",IFERROR(INDEX(tbl_quimicos[Sensibilizante],MATCH(B43,tbl_quimicos[ID_Quimico],0)),""))</f>
        <v/>
      </c>
      <c r="AA43" s="23" t="str">
        <f>IF(OR(A43="",B43=""),"",IFERROR(INDEX(tbl_quimicos[Protecao_Maternidade],MATCH(B43,tbl_quimicos[ID_Quimico],0)),""))</f>
        <v/>
      </c>
      <c r="AB43" s="27" t="str">
        <f>IF(A43="","",10^(X43-1)*INDEX(tbl_m_volat[Score],MATCH(I43,tbl_m_volat[Volatilidade],0))*INDEX(tbl_m_proced[Score],MATCH(J43,tbl_m_proced[Procedimento],0))*INDEX(tbl_m_prot[Score],MATCH(K43,tbl_m_prot[Protecao],0)))</f>
        <v/>
      </c>
      <c r="AC43" s="22" t="str">
        <f>IF(A43="","",10^(X43-1)*INDEX(tbl_m_superf[Score],MATCH(L43,tbl_m_superf[Superficie],0))*INDEX(tbl_m_freq[Score],MATCH(M43,tbl_m_freq[Frequencia],0)))</f>
        <v/>
      </c>
      <c r="AD43" s="23" t="str">
        <f t="shared" si="5"/>
        <v/>
      </c>
      <c r="AE43" s="23" t="str">
        <f t="shared" si="6"/>
        <v/>
      </c>
      <c r="AF43" s="23" t="str">
        <f t="shared" si="7"/>
        <v/>
      </c>
      <c r="AG43" s="24" t="str">
        <f t="shared" si="8"/>
        <v/>
      </c>
      <c r="AH43" s="23" t="str">
        <f t="shared" si="9"/>
        <v/>
      </c>
    </row>
    <row r="44" spans="1:34" ht="48" customHeight="1" x14ac:dyDescent="0.3">
      <c r="A44" s="17"/>
      <c r="B44" s="17"/>
      <c r="C44" s="17"/>
      <c r="D44" s="17"/>
      <c r="E44" s="17"/>
      <c r="F44" s="17"/>
      <c r="G44" s="26"/>
      <c r="H44" s="26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1"/>
      <c r="U44" s="21"/>
      <c r="V44" s="17"/>
      <c r="W44" s="23" t="str">
        <f>IF(A44="","",IF(B44="",C44,IFERROR(INDEX(tbl_quimicos[Nome_Comercial],MATCH(B44,tbl_quimicos[ID_Quimico],0)),"")))</f>
        <v/>
      </c>
      <c r="X44" s="10" t="str">
        <f>IF(A44="","",IF(B44="",H44,IFERROR(INDEX(tbl_quimicos[Classe_Perigo_Saude],MATCH(B44,tbl_quimicos[ID_Quimico],0)),"")))</f>
        <v/>
      </c>
      <c r="Y44" s="23" t="str">
        <f>IF(OR(A44="",B44=""),"",IFERROR(INDEX(tbl_quimicos[CMR],MATCH(B44,tbl_quimicos[ID_Quimico],0)),""))</f>
        <v/>
      </c>
      <c r="Z44" s="23" t="str">
        <f>IF(OR(A44="",B44=""),"",IFERROR(INDEX(tbl_quimicos[Sensibilizante],MATCH(B44,tbl_quimicos[ID_Quimico],0)),""))</f>
        <v/>
      </c>
      <c r="AA44" s="23" t="str">
        <f>IF(OR(A44="",B44=""),"",IFERROR(INDEX(tbl_quimicos[Protecao_Maternidade],MATCH(B44,tbl_quimicos[ID_Quimico],0)),""))</f>
        <v/>
      </c>
      <c r="AB44" s="27" t="str">
        <f>IF(A44="","",10^(X44-1)*INDEX(tbl_m_volat[Score],MATCH(I44,tbl_m_volat[Volatilidade],0))*INDEX(tbl_m_proced[Score],MATCH(J44,tbl_m_proced[Procedimento],0))*INDEX(tbl_m_prot[Score],MATCH(K44,tbl_m_prot[Protecao],0)))</f>
        <v/>
      </c>
      <c r="AC44" s="22" t="str">
        <f>IF(A44="","",10^(X44-1)*INDEX(tbl_m_superf[Score],MATCH(L44,tbl_m_superf[Superficie],0))*INDEX(tbl_m_freq[Score],MATCH(M44,tbl_m_freq[Frequencia],0)))</f>
        <v/>
      </c>
      <c r="AD44" s="23" t="str">
        <f t="shared" si="5"/>
        <v/>
      </c>
      <c r="AE44" s="23" t="str">
        <f t="shared" si="6"/>
        <v/>
      </c>
      <c r="AF44" s="23" t="str">
        <f t="shared" si="7"/>
        <v/>
      </c>
      <c r="AG44" s="24" t="str">
        <f t="shared" si="8"/>
        <v/>
      </c>
      <c r="AH44" s="23" t="str">
        <f t="shared" si="9"/>
        <v/>
      </c>
    </row>
    <row r="45" spans="1:34" ht="48" customHeight="1" x14ac:dyDescent="0.3">
      <c r="A45" s="17"/>
      <c r="B45" s="17"/>
      <c r="C45" s="17"/>
      <c r="D45" s="17"/>
      <c r="E45" s="17"/>
      <c r="F45" s="17"/>
      <c r="G45" s="26"/>
      <c r="H45" s="26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1"/>
      <c r="U45" s="21"/>
      <c r="V45" s="17"/>
      <c r="W45" s="23" t="str">
        <f>IF(A45="","",IF(B45="",C45,IFERROR(INDEX(tbl_quimicos[Nome_Comercial],MATCH(B45,tbl_quimicos[ID_Quimico],0)),"")))</f>
        <v/>
      </c>
      <c r="X45" s="10" t="str">
        <f>IF(A45="","",IF(B45="",H45,IFERROR(INDEX(tbl_quimicos[Classe_Perigo_Saude],MATCH(B45,tbl_quimicos[ID_Quimico],0)),"")))</f>
        <v/>
      </c>
      <c r="Y45" s="23" t="str">
        <f>IF(OR(A45="",B45=""),"",IFERROR(INDEX(tbl_quimicos[CMR],MATCH(B45,tbl_quimicos[ID_Quimico],0)),""))</f>
        <v/>
      </c>
      <c r="Z45" s="23" t="str">
        <f>IF(OR(A45="",B45=""),"",IFERROR(INDEX(tbl_quimicos[Sensibilizante],MATCH(B45,tbl_quimicos[ID_Quimico],0)),""))</f>
        <v/>
      </c>
      <c r="AA45" s="23" t="str">
        <f>IF(OR(A45="",B45=""),"",IFERROR(INDEX(tbl_quimicos[Protecao_Maternidade],MATCH(B45,tbl_quimicos[ID_Quimico],0)),""))</f>
        <v/>
      </c>
      <c r="AB45" s="27" t="str">
        <f>IF(A45="","",10^(X45-1)*INDEX(tbl_m_volat[Score],MATCH(I45,tbl_m_volat[Volatilidade],0))*INDEX(tbl_m_proced[Score],MATCH(J45,tbl_m_proced[Procedimento],0))*INDEX(tbl_m_prot[Score],MATCH(K45,tbl_m_prot[Protecao],0)))</f>
        <v/>
      </c>
      <c r="AC45" s="22" t="str">
        <f>IF(A45="","",10^(X45-1)*INDEX(tbl_m_superf[Score],MATCH(L45,tbl_m_superf[Superficie],0))*INDEX(tbl_m_freq[Score],MATCH(M45,tbl_m_freq[Frequencia],0)))</f>
        <v/>
      </c>
      <c r="AD45" s="23" t="str">
        <f t="shared" si="5"/>
        <v/>
      </c>
      <c r="AE45" s="23" t="str">
        <f t="shared" si="6"/>
        <v/>
      </c>
      <c r="AF45" s="23" t="str">
        <f t="shared" si="7"/>
        <v/>
      </c>
      <c r="AG45" s="24" t="str">
        <f t="shared" si="8"/>
        <v/>
      </c>
      <c r="AH45" s="23" t="str">
        <f t="shared" si="9"/>
        <v/>
      </c>
    </row>
    <row r="46" spans="1:34" ht="48" customHeight="1" x14ac:dyDescent="0.3">
      <c r="A46" s="17"/>
      <c r="B46" s="17"/>
      <c r="C46" s="17"/>
      <c r="D46" s="17"/>
      <c r="E46" s="17"/>
      <c r="F46" s="17"/>
      <c r="G46" s="26"/>
      <c r="H46" s="26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1"/>
      <c r="U46" s="21"/>
      <c r="V46" s="17"/>
      <c r="W46" s="23" t="str">
        <f>IF(A46="","",IF(B46="",C46,IFERROR(INDEX(tbl_quimicos[Nome_Comercial],MATCH(B46,tbl_quimicos[ID_Quimico],0)),"")))</f>
        <v/>
      </c>
      <c r="X46" s="10" t="str">
        <f>IF(A46="","",IF(B46="",H46,IFERROR(INDEX(tbl_quimicos[Classe_Perigo_Saude],MATCH(B46,tbl_quimicos[ID_Quimico],0)),"")))</f>
        <v/>
      </c>
      <c r="Y46" s="23" t="str">
        <f>IF(OR(A46="",B46=""),"",IFERROR(INDEX(tbl_quimicos[CMR],MATCH(B46,tbl_quimicos[ID_Quimico],0)),""))</f>
        <v/>
      </c>
      <c r="Z46" s="23" t="str">
        <f>IF(OR(A46="",B46=""),"",IFERROR(INDEX(tbl_quimicos[Sensibilizante],MATCH(B46,tbl_quimicos[ID_Quimico],0)),""))</f>
        <v/>
      </c>
      <c r="AA46" s="23" t="str">
        <f>IF(OR(A46="",B46=""),"",IFERROR(INDEX(tbl_quimicos[Protecao_Maternidade],MATCH(B46,tbl_quimicos[ID_Quimico],0)),""))</f>
        <v/>
      </c>
      <c r="AB46" s="27" t="str">
        <f>IF(A46="","",10^(X46-1)*INDEX(tbl_m_volat[Score],MATCH(I46,tbl_m_volat[Volatilidade],0))*INDEX(tbl_m_proced[Score],MATCH(J46,tbl_m_proced[Procedimento],0))*INDEX(tbl_m_prot[Score],MATCH(K46,tbl_m_prot[Protecao],0)))</f>
        <v/>
      </c>
      <c r="AC46" s="22" t="str">
        <f>IF(A46="","",10^(X46-1)*INDEX(tbl_m_superf[Score],MATCH(L46,tbl_m_superf[Superficie],0))*INDEX(tbl_m_freq[Score],MATCH(M46,tbl_m_freq[Frequencia],0)))</f>
        <v/>
      </c>
      <c r="AD46" s="23" t="str">
        <f t="shared" si="5"/>
        <v/>
      </c>
      <c r="AE46" s="23" t="str">
        <f t="shared" si="6"/>
        <v/>
      </c>
      <c r="AF46" s="23" t="str">
        <f t="shared" si="7"/>
        <v/>
      </c>
      <c r="AG46" s="24" t="str">
        <f t="shared" si="8"/>
        <v/>
      </c>
      <c r="AH46" s="23" t="str">
        <f t="shared" si="9"/>
        <v/>
      </c>
    </row>
    <row r="47" spans="1:34" ht="48" customHeight="1" x14ac:dyDescent="0.3">
      <c r="A47" s="17"/>
      <c r="B47" s="17"/>
      <c r="C47" s="17"/>
      <c r="D47" s="17"/>
      <c r="E47" s="17"/>
      <c r="F47" s="17"/>
      <c r="G47" s="26"/>
      <c r="H47" s="26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1"/>
      <c r="U47" s="21"/>
      <c r="V47" s="17"/>
      <c r="W47" s="23" t="str">
        <f>IF(A47="","",IF(B47="",C47,IFERROR(INDEX(tbl_quimicos[Nome_Comercial],MATCH(B47,tbl_quimicos[ID_Quimico],0)),"")))</f>
        <v/>
      </c>
      <c r="X47" s="10" t="str">
        <f>IF(A47="","",IF(B47="",H47,IFERROR(INDEX(tbl_quimicos[Classe_Perigo_Saude],MATCH(B47,tbl_quimicos[ID_Quimico],0)),"")))</f>
        <v/>
      </c>
      <c r="Y47" s="23" t="str">
        <f>IF(OR(A47="",B47=""),"",IFERROR(INDEX(tbl_quimicos[CMR],MATCH(B47,tbl_quimicos[ID_Quimico],0)),""))</f>
        <v/>
      </c>
      <c r="Z47" s="23" t="str">
        <f>IF(OR(A47="",B47=""),"",IFERROR(INDEX(tbl_quimicos[Sensibilizante],MATCH(B47,tbl_quimicos[ID_Quimico],0)),""))</f>
        <v/>
      </c>
      <c r="AA47" s="23" t="str">
        <f>IF(OR(A47="",B47=""),"",IFERROR(INDEX(tbl_quimicos[Protecao_Maternidade],MATCH(B47,tbl_quimicos[ID_Quimico],0)),""))</f>
        <v/>
      </c>
      <c r="AB47" s="27" t="str">
        <f>IF(A47="","",10^(X47-1)*INDEX(tbl_m_volat[Score],MATCH(I47,tbl_m_volat[Volatilidade],0))*INDEX(tbl_m_proced[Score],MATCH(J47,tbl_m_proced[Procedimento],0))*INDEX(tbl_m_prot[Score],MATCH(K47,tbl_m_prot[Protecao],0)))</f>
        <v/>
      </c>
      <c r="AC47" s="22" t="str">
        <f>IF(A47="","",10^(X47-1)*INDEX(tbl_m_superf[Score],MATCH(L47,tbl_m_superf[Superficie],0))*INDEX(tbl_m_freq[Score],MATCH(M47,tbl_m_freq[Frequencia],0)))</f>
        <v/>
      </c>
      <c r="AD47" s="23" t="str">
        <f t="shared" si="5"/>
        <v/>
      </c>
      <c r="AE47" s="23" t="str">
        <f t="shared" si="6"/>
        <v/>
      </c>
      <c r="AF47" s="23" t="str">
        <f t="shared" si="7"/>
        <v/>
      </c>
      <c r="AG47" s="24" t="str">
        <f t="shared" si="8"/>
        <v/>
      </c>
      <c r="AH47" s="23" t="str">
        <f t="shared" si="9"/>
        <v/>
      </c>
    </row>
    <row r="48" spans="1:34" ht="48" customHeight="1" x14ac:dyDescent="0.3">
      <c r="A48" s="17"/>
      <c r="B48" s="17"/>
      <c r="C48" s="17"/>
      <c r="D48" s="17"/>
      <c r="E48" s="17"/>
      <c r="F48" s="17"/>
      <c r="G48" s="26"/>
      <c r="H48" s="26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1"/>
      <c r="U48" s="21"/>
      <c r="V48" s="17"/>
      <c r="W48" s="23" t="str">
        <f>IF(A48="","",IF(B48="",C48,IFERROR(INDEX(tbl_quimicos[Nome_Comercial],MATCH(B48,tbl_quimicos[ID_Quimico],0)),"")))</f>
        <v/>
      </c>
      <c r="X48" s="10" t="str">
        <f>IF(A48="","",IF(B48="",H48,IFERROR(INDEX(tbl_quimicos[Classe_Perigo_Saude],MATCH(B48,tbl_quimicos[ID_Quimico],0)),"")))</f>
        <v/>
      </c>
      <c r="Y48" s="23" t="str">
        <f>IF(OR(A48="",B48=""),"",IFERROR(INDEX(tbl_quimicos[CMR],MATCH(B48,tbl_quimicos[ID_Quimico],0)),""))</f>
        <v/>
      </c>
      <c r="Z48" s="23" t="str">
        <f>IF(OR(A48="",B48=""),"",IFERROR(INDEX(tbl_quimicos[Sensibilizante],MATCH(B48,tbl_quimicos[ID_Quimico],0)),""))</f>
        <v/>
      </c>
      <c r="AA48" s="23" t="str">
        <f>IF(OR(A48="",B48=""),"",IFERROR(INDEX(tbl_quimicos[Protecao_Maternidade],MATCH(B48,tbl_quimicos[ID_Quimico],0)),""))</f>
        <v/>
      </c>
      <c r="AB48" s="27" t="str">
        <f>IF(A48="","",10^(X48-1)*INDEX(tbl_m_volat[Score],MATCH(I48,tbl_m_volat[Volatilidade],0))*INDEX(tbl_m_proced[Score],MATCH(J48,tbl_m_proced[Procedimento],0))*INDEX(tbl_m_prot[Score],MATCH(K48,tbl_m_prot[Protecao],0)))</f>
        <v/>
      </c>
      <c r="AC48" s="22" t="str">
        <f>IF(A48="","",10^(X48-1)*INDEX(tbl_m_superf[Score],MATCH(L48,tbl_m_superf[Superficie],0))*INDEX(tbl_m_freq[Score],MATCH(M48,tbl_m_freq[Frequencia],0)))</f>
        <v/>
      </c>
      <c r="AD48" s="23" t="str">
        <f t="shared" si="5"/>
        <v/>
      </c>
      <c r="AE48" s="23" t="str">
        <f t="shared" si="6"/>
        <v/>
      </c>
      <c r="AF48" s="23" t="str">
        <f t="shared" si="7"/>
        <v/>
      </c>
      <c r="AG48" s="24" t="str">
        <f t="shared" si="8"/>
        <v/>
      </c>
      <c r="AH48" s="23" t="str">
        <f t="shared" si="9"/>
        <v/>
      </c>
    </row>
    <row r="49" spans="1:34" ht="48" customHeight="1" x14ac:dyDescent="0.3">
      <c r="A49" s="17"/>
      <c r="B49" s="17"/>
      <c r="C49" s="17"/>
      <c r="D49" s="17"/>
      <c r="E49" s="17"/>
      <c r="F49" s="17"/>
      <c r="G49" s="26"/>
      <c r="H49" s="26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1"/>
      <c r="U49" s="21"/>
      <c r="V49" s="17"/>
      <c r="W49" s="23" t="str">
        <f>IF(A49="","",IF(B49="",C49,IFERROR(INDEX(tbl_quimicos[Nome_Comercial],MATCH(B49,tbl_quimicos[ID_Quimico],0)),"")))</f>
        <v/>
      </c>
      <c r="X49" s="10" t="str">
        <f>IF(A49="","",IF(B49="",H49,IFERROR(INDEX(tbl_quimicos[Classe_Perigo_Saude],MATCH(B49,tbl_quimicos[ID_Quimico],0)),"")))</f>
        <v/>
      </c>
      <c r="Y49" s="23" t="str">
        <f>IF(OR(A49="",B49=""),"",IFERROR(INDEX(tbl_quimicos[CMR],MATCH(B49,tbl_quimicos[ID_Quimico],0)),""))</f>
        <v/>
      </c>
      <c r="Z49" s="23" t="str">
        <f>IF(OR(A49="",B49=""),"",IFERROR(INDEX(tbl_quimicos[Sensibilizante],MATCH(B49,tbl_quimicos[ID_Quimico],0)),""))</f>
        <v/>
      </c>
      <c r="AA49" s="23" t="str">
        <f>IF(OR(A49="",B49=""),"",IFERROR(INDEX(tbl_quimicos[Protecao_Maternidade],MATCH(B49,tbl_quimicos[ID_Quimico],0)),""))</f>
        <v/>
      </c>
      <c r="AB49" s="27" t="str">
        <f>IF(A49="","",10^(X49-1)*INDEX(tbl_m_volat[Score],MATCH(I49,tbl_m_volat[Volatilidade],0))*INDEX(tbl_m_proced[Score],MATCH(J49,tbl_m_proced[Procedimento],0))*INDEX(tbl_m_prot[Score],MATCH(K49,tbl_m_prot[Protecao],0)))</f>
        <v/>
      </c>
      <c r="AC49" s="22" t="str">
        <f>IF(A49="","",10^(X49-1)*INDEX(tbl_m_superf[Score],MATCH(L49,tbl_m_superf[Superficie],0))*INDEX(tbl_m_freq[Score],MATCH(M49,tbl_m_freq[Frequencia],0)))</f>
        <v/>
      </c>
      <c r="AD49" s="23" t="str">
        <f t="shared" si="5"/>
        <v/>
      </c>
      <c r="AE49" s="23" t="str">
        <f t="shared" si="6"/>
        <v/>
      </c>
      <c r="AF49" s="23" t="str">
        <f t="shared" si="7"/>
        <v/>
      </c>
      <c r="AG49" s="24" t="str">
        <f t="shared" si="8"/>
        <v/>
      </c>
      <c r="AH49" s="23" t="str">
        <f t="shared" si="9"/>
        <v/>
      </c>
    </row>
    <row r="50" spans="1:34" ht="48" customHeight="1" x14ac:dyDescent="0.3">
      <c r="A50" s="17"/>
      <c r="B50" s="17"/>
      <c r="C50" s="17"/>
      <c r="D50" s="17"/>
      <c r="E50" s="17"/>
      <c r="F50" s="17"/>
      <c r="G50" s="26"/>
      <c r="H50" s="26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1"/>
      <c r="U50" s="21"/>
      <c r="V50" s="17"/>
      <c r="W50" s="23" t="str">
        <f>IF(A50="","",IF(B50="",C50,IFERROR(INDEX(tbl_quimicos[Nome_Comercial],MATCH(B50,tbl_quimicos[ID_Quimico],0)),"")))</f>
        <v/>
      </c>
      <c r="X50" s="10" t="str">
        <f>IF(A50="","",IF(B50="",H50,IFERROR(INDEX(tbl_quimicos[Classe_Perigo_Saude],MATCH(B50,tbl_quimicos[ID_Quimico],0)),"")))</f>
        <v/>
      </c>
      <c r="Y50" s="23" t="str">
        <f>IF(OR(A50="",B50=""),"",IFERROR(INDEX(tbl_quimicos[CMR],MATCH(B50,tbl_quimicos[ID_Quimico],0)),""))</f>
        <v/>
      </c>
      <c r="Z50" s="23" t="str">
        <f>IF(OR(A50="",B50=""),"",IFERROR(INDEX(tbl_quimicos[Sensibilizante],MATCH(B50,tbl_quimicos[ID_Quimico],0)),""))</f>
        <v/>
      </c>
      <c r="AA50" s="23" t="str">
        <f>IF(OR(A50="",B50=""),"",IFERROR(INDEX(tbl_quimicos[Protecao_Maternidade],MATCH(B50,tbl_quimicos[ID_Quimico],0)),""))</f>
        <v/>
      </c>
      <c r="AB50" s="27" t="str">
        <f>IF(A50="","",10^(X50-1)*INDEX(tbl_m_volat[Score],MATCH(I50,tbl_m_volat[Volatilidade],0))*INDEX(tbl_m_proced[Score],MATCH(J50,tbl_m_proced[Procedimento],0))*INDEX(tbl_m_prot[Score],MATCH(K50,tbl_m_prot[Protecao],0)))</f>
        <v/>
      </c>
      <c r="AC50" s="22" t="str">
        <f>IF(A50="","",10^(X50-1)*INDEX(tbl_m_superf[Score],MATCH(L50,tbl_m_superf[Superficie],0))*INDEX(tbl_m_freq[Score],MATCH(M50,tbl_m_freq[Frequencia],0)))</f>
        <v/>
      </c>
      <c r="AD50" s="23" t="str">
        <f t="shared" si="5"/>
        <v/>
      </c>
      <c r="AE50" s="23" t="str">
        <f t="shared" si="6"/>
        <v/>
      </c>
      <c r="AF50" s="23" t="str">
        <f t="shared" si="7"/>
        <v/>
      </c>
      <c r="AG50" s="24" t="str">
        <f t="shared" si="8"/>
        <v/>
      </c>
      <c r="AH50" s="23" t="str">
        <f t="shared" si="9"/>
        <v/>
      </c>
    </row>
    <row r="51" spans="1:34" ht="48" customHeight="1" x14ac:dyDescent="0.3">
      <c r="A51" s="17"/>
      <c r="B51" s="17"/>
      <c r="C51" s="17"/>
      <c r="D51" s="17"/>
      <c r="E51" s="17"/>
      <c r="F51" s="17"/>
      <c r="G51" s="26"/>
      <c r="H51" s="26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1"/>
      <c r="U51" s="21"/>
      <c r="V51" s="17"/>
      <c r="W51" s="23" t="str">
        <f>IF(A51="","",IF(B51="",C51,IFERROR(INDEX(tbl_quimicos[Nome_Comercial],MATCH(B51,tbl_quimicos[ID_Quimico],0)),"")))</f>
        <v/>
      </c>
      <c r="X51" s="10" t="str">
        <f>IF(A51="","",IF(B51="",H51,IFERROR(INDEX(tbl_quimicos[Classe_Perigo_Saude],MATCH(B51,tbl_quimicos[ID_Quimico],0)),"")))</f>
        <v/>
      </c>
      <c r="Y51" s="23" t="str">
        <f>IF(OR(A51="",B51=""),"",IFERROR(INDEX(tbl_quimicos[CMR],MATCH(B51,tbl_quimicos[ID_Quimico],0)),""))</f>
        <v/>
      </c>
      <c r="Z51" s="23" t="str">
        <f>IF(OR(A51="",B51=""),"",IFERROR(INDEX(tbl_quimicos[Sensibilizante],MATCH(B51,tbl_quimicos[ID_Quimico],0)),""))</f>
        <v/>
      </c>
      <c r="AA51" s="23" t="str">
        <f>IF(OR(A51="",B51=""),"",IFERROR(INDEX(tbl_quimicos[Protecao_Maternidade],MATCH(B51,tbl_quimicos[ID_Quimico],0)),""))</f>
        <v/>
      </c>
      <c r="AB51" s="27" t="str">
        <f>IF(A51="","",10^(X51-1)*INDEX(tbl_m_volat[Score],MATCH(I51,tbl_m_volat[Volatilidade],0))*INDEX(tbl_m_proced[Score],MATCH(J51,tbl_m_proced[Procedimento],0))*INDEX(tbl_m_prot[Score],MATCH(K51,tbl_m_prot[Protecao],0)))</f>
        <v/>
      </c>
      <c r="AC51" s="22" t="str">
        <f>IF(A51="","",10^(X51-1)*INDEX(tbl_m_superf[Score],MATCH(L51,tbl_m_superf[Superficie],0))*INDEX(tbl_m_freq[Score],MATCH(M51,tbl_m_freq[Frequencia],0)))</f>
        <v/>
      </c>
      <c r="AD51" s="23" t="str">
        <f t="shared" si="5"/>
        <v/>
      </c>
      <c r="AE51" s="23" t="str">
        <f t="shared" si="6"/>
        <v/>
      </c>
      <c r="AF51" s="23" t="str">
        <f t="shared" si="7"/>
        <v/>
      </c>
      <c r="AG51" s="24" t="str">
        <f t="shared" si="8"/>
        <v/>
      </c>
      <c r="AH51" s="23" t="str">
        <f t="shared" si="9"/>
        <v/>
      </c>
    </row>
    <row r="52" spans="1:34" ht="48" customHeight="1" x14ac:dyDescent="0.3">
      <c r="A52" s="17"/>
      <c r="B52" s="17"/>
      <c r="C52" s="17"/>
      <c r="D52" s="17"/>
      <c r="E52" s="17"/>
      <c r="F52" s="17"/>
      <c r="G52" s="26"/>
      <c r="H52" s="26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1"/>
      <c r="U52" s="21"/>
      <c r="V52" s="17"/>
      <c r="W52" s="23" t="str">
        <f>IF(A52="","",IF(B52="",C52,IFERROR(INDEX(tbl_quimicos[Nome_Comercial],MATCH(B52,tbl_quimicos[ID_Quimico],0)),"")))</f>
        <v/>
      </c>
      <c r="X52" s="10" t="str">
        <f>IF(A52="","",IF(B52="",H52,IFERROR(INDEX(tbl_quimicos[Classe_Perigo_Saude],MATCH(B52,tbl_quimicos[ID_Quimico],0)),"")))</f>
        <v/>
      </c>
      <c r="Y52" s="23" t="str">
        <f>IF(OR(A52="",B52=""),"",IFERROR(INDEX(tbl_quimicos[CMR],MATCH(B52,tbl_quimicos[ID_Quimico],0)),""))</f>
        <v/>
      </c>
      <c r="Z52" s="23" t="str">
        <f>IF(OR(A52="",B52=""),"",IFERROR(INDEX(tbl_quimicos[Sensibilizante],MATCH(B52,tbl_quimicos[ID_Quimico],0)),""))</f>
        <v/>
      </c>
      <c r="AA52" s="23" t="str">
        <f>IF(OR(A52="",B52=""),"",IFERROR(INDEX(tbl_quimicos[Protecao_Maternidade],MATCH(B52,tbl_quimicos[ID_Quimico],0)),""))</f>
        <v/>
      </c>
      <c r="AB52" s="27" t="str">
        <f>IF(A52="","",10^(X52-1)*INDEX(tbl_m_volat[Score],MATCH(I52,tbl_m_volat[Volatilidade],0))*INDEX(tbl_m_proced[Score],MATCH(J52,tbl_m_proced[Procedimento],0))*INDEX(tbl_m_prot[Score],MATCH(K52,tbl_m_prot[Protecao],0)))</f>
        <v/>
      </c>
      <c r="AC52" s="22" t="str">
        <f>IF(A52="","",10^(X52-1)*INDEX(tbl_m_superf[Score],MATCH(L52,tbl_m_superf[Superficie],0))*INDEX(tbl_m_freq[Score],MATCH(M52,tbl_m_freq[Frequencia],0)))</f>
        <v/>
      </c>
      <c r="AD52" s="23" t="str">
        <f t="shared" si="5"/>
        <v/>
      </c>
      <c r="AE52" s="23" t="str">
        <f t="shared" si="6"/>
        <v/>
      </c>
      <c r="AF52" s="23" t="str">
        <f t="shared" si="7"/>
        <v/>
      </c>
      <c r="AG52" s="24" t="str">
        <f t="shared" si="8"/>
        <v/>
      </c>
      <c r="AH52" s="23" t="str">
        <f t="shared" si="9"/>
        <v/>
      </c>
    </row>
    <row r="53" spans="1:34" ht="48" customHeight="1" x14ac:dyDescent="0.3">
      <c r="A53" s="17"/>
      <c r="B53" s="17"/>
      <c r="C53" s="17"/>
      <c r="D53" s="17"/>
      <c r="E53" s="17"/>
      <c r="F53" s="17"/>
      <c r="G53" s="26"/>
      <c r="H53" s="26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1"/>
      <c r="U53" s="21"/>
      <c r="V53" s="17"/>
      <c r="W53" s="23" t="str">
        <f>IF(A53="","",IF(B53="",C53,IFERROR(INDEX(tbl_quimicos[Nome_Comercial],MATCH(B53,tbl_quimicos[ID_Quimico],0)),"")))</f>
        <v/>
      </c>
      <c r="X53" s="10" t="str">
        <f>IF(A53="","",IF(B53="",H53,IFERROR(INDEX(tbl_quimicos[Classe_Perigo_Saude],MATCH(B53,tbl_quimicos[ID_Quimico],0)),"")))</f>
        <v/>
      </c>
      <c r="Y53" s="23" t="str">
        <f>IF(OR(A53="",B53=""),"",IFERROR(INDEX(tbl_quimicos[CMR],MATCH(B53,tbl_quimicos[ID_Quimico],0)),""))</f>
        <v/>
      </c>
      <c r="Z53" s="23" t="str">
        <f>IF(OR(A53="",B53=""),"",IFERROR(INDEX(tbl_quimicos[Sensibilizante],MATCH(B53,tbl_quimicos[ID_Quimico],0)),""))</f>
        <v/>
      </c>
      <c r="AA53" s="23" t="str">
        <f>IF(OR(A53="",B53=""),"",IFERROR(INDEX(tbl_quimicos[Protecao_Maternidade],MATCH(B53,tbl_quimicos[ID_Quimico],0)),""))</f>
        <v/>
      </c>
      <c r="AB53" s="27" t="str">
        <f>IF(A53="","",10^(X53-1)*INDEX(tbl_m_volat[Score],MATCH(I53,tbl_m_volat[Volatilidade],0))*INDEX(tbl_m_proced[Score],MATCH(J53,tbl_m_proced[Procedimento],0))*INDEX(tbl_m_prot[Score],MATCH(K53,tbl_m_prot[Protecao],0)))</f>
        <v/>
      </c>
      <c r="AC53" s="22" t="str">
        <f>IF(A53="","",10^(X53-1)*INDEX(tbl_m_superf[Score],MATCH(L53,tbl_m_superf[Superficie],0))*INDEX(tbl_m_freq[Score],MATCH(M53,tbl_m_freq[Frequencia],0)))</f>
        <v/>
      </c>
      <c r="AD53" s="23" t="str">
        <f t="shared" si="5"/>
        <v/>
      </c>
      <c r="AE53" s="23" t="str">
        <f t="shared" si="6"/>
        <v/>
      </c>
      <c r="AF53" s="23" t="str">
        <f t="shared" si="7"/>
        <v/>
      </c>
      <c r="AG53" s="24" t="str">
        <f t="shared" si="8"/>
        <v/>
      </c>
      <c r="AH53" s="23" t="str">
        <f t="shared" si="9"/>
        <v/>
      </c>
    </row>
    <row r="54" spans="1:34" ht="48" customHeight="1" x14ac:dyDescent="0.3">
      <c r="A54" s="17"/>
      <c r="B54" s="17"/>
      <c r="C54" s="17"/>
      <c r="D54" s="17"/>
      <c r="E54" s="17"/>
      <c r="F54" s="17"/>
      <c r="G54" s="26"/>
      <c r="H54" s="26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1"/>
      <c r="U54" s="21"/>
      <c r="V54" s="17"/>
      <c r="W54" s="23" t="str">
        <f>IF(A54="","",IF(B54="",C54,IFERROR(INDEX(tbl_quimicos[Nome_Comercial],MATCH(B54,tbl_quimicos[ID_Quimico],0)),"")))</f>
        <v/>
      </c>
      <c r="X54" s="10" t="str">
        <f>IF(A54="","",IF(B54="",H54,IFERROR(INDEX(tbl_quimicos[Classe_Perigo_Saude],MATCH(B54,tbl_quimicos[ID_Quimico],0)),"")))</f>
        <v/>
      </c>
      <c r="Y54" s="23" t="str">
        <f>IF(OR(A54="",B54=""),"",IFERROR(INDEX(tbl_quimicos[CMR],MATCH(B54,tbl_quimicos[ID_Quimico],0)),""))</f>
        <v/>
      </c>
      <c r="Z54" s="23" t="str">
        <f>IF(OR(A54="",B54=""),"",IFERROR(INDEX(tbl_quimicos[Sensibilizante],MATCH(B54,tbl_quimicos[ID_Quimico],0)),""))</f>
        <v/>
      </c>
      <c r="AA54" s="23" t="str">
        <f>IF(OR(A54="",B54=""),"",IFERROR(INDEX(tbl_quimicos[Protecao_Maternidade],MATCH(B54,tbl_quimicos[ID_Quimico],0)),""))</f>
        <v/>
      </c>
      <c r="AB54" s="27" t="str">
        <f>IF(A54="","",10^(X54-1)*INDEX(tbl_m_volat[Score],MATCH(I54,tbl_m_volat[Volatilidade],0))*INDEX(tbl_m_proced[Score],MATCH(J54,tbl_m_proced[Procedimento],0))*INDEX(tbl_m_prot[Score],MATCH(K54,tbl_m_prot[Protecao],0)))</f>
        <v/>
      </c>
      <c r="AC54" s="22" t="str">
        <f>IF(A54="","",10^(X54-1)*INDEX(tbl_m_superf[Score],MATCH(L54,tbl_m_superf[Superficie],0))*INDEX(tbl_m_freq[Score],MATCH(M54,tbl_m_freq[Frequencia],0)))</f>
        <v/>
      </c>
      <c r="AD54" s="23" t="str">
        <f t="shared" si="5"/>
        <v/>
      </c>
      <c r="AE54" s="23" t="str">
        <f t="shared" si="6"/>
        <v/>
      </c>
      <c r="AF54" s="23" t="str">
        <f t="shared" si="7"/>
        <v/>
      </c>
      <c r="AG54" s="24" t="str">
        <f t="shared" si="8"/>
        <v/>
      </c>
      <c r="AH54" s="23" t="str">
        <f t="shared" si="9"/>
        <v/>
      </c>
    </row>
    <row r="55" spans="1:34" ht="48" customHeight="1" x14ac:dyDescent="0.3">
      <c r="A55" s="17"/>
      <c r="B55" s="17"/>
      <c r="C55" s="17"/>
      <c r="D55" s="17"/>
      <c r="E55" s="17"/>
      <c r="F55" s="17"/>
      <c r="G55" s="26"/>
      <c r="H55" s="26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1"/>
      <c r="U55" s="21"/>
      <c r="V55" s="17"/>
      <c r="W55" s="23" t="str">
        <f>IF(A55="","",IF(B55="",C55,IFERROR(INDEX(tbl_quimicos[Nome_Comercial],MATCH(B55,tbl_quimicos[ID_Quimico],0)),"")))</f>
        <v/>
      </c>
      <c r="X55" s="10" t="str">
        <f>IF(A55="","",IF(B55="",H55,IFERROR(INDEX(tbl_quimicos[Classe_Perigo_Saude],MATCH(B55,tbl_quimicos[ID_Quimico],0)),"")))</f>
        <v/>
      </c>
      <c r="Y55" s="23" t="str">
        <f>IF(OR(A55="",B55=""),"",IFERROR(INDEX(tbl_quimicos[CMR],MATCH(B55,tbl_quimicos[ID_Quimico],0)),""))</f>
        <v/>
      </c>
      <c r="Z55" s="23" t="str">
        <f>IF(OR(A55="",B55=""),"",IFERROR(INDEX(tbl_quimicos[Sensibilizante],MATCH(B55,tbl_quimicos[ID_Quimico],0)),""))</f>
        <v/>
      </c>
      <c r="AA55" s="23" t="str">
        <f>IF(OR(A55="",B55=""),"",IFERROR(INDEX(tbl_quimicos[Protecao_Maternidade],MATCH(B55,tbl_quimicos[ID_Quimico],0)),""))</f>
        <v/>
      </c>
      <c r="AB55" s="27" t="str">
        <f>IF(A55="","",10^(X55-1)*INDEX(tbl_m_volat[Score],MATCH(I55,tbl_m_volat[Volatilidade],0))*INDEX(tbl_m_proced[Score],MATCH(J55,tbl_m_proced[Procedimento],0))*INDEX(tbl_m_prot[Score],MATCH(K55,tbl_m_prot[Protecao],0)))</f>
        <v/>
      </c>
      <c r="AC55" s="22" t="str">
        <f>IF(A55="","",10^(X55-1)*INDEX(tbl_m_superf[Score],MATCH(L55,tbl_m_superf[Superficie],0))*INDEX(tbl_m_freq[Score],MATCH(M55,tbl_m_freq[Frequencia],0)))</f>
        <v/>
      </c>
      <c r="AD55" s="23" t="str">
        <f t="shared" si="5"/>
        <v/>
      </c>
      <c r="AE55" s="23" t="str">
        <f t="shared" si="6"/>
        <v/>
      </c>
      <c r="AF55" s="23" t="str">
        <f t="shared" si="7"/>
        <v/>
      </c>
      <c r="AG55" s="24" t="str">
        <f t="shared" si="8"/>
        <v/>
      </c>
      <c r="AH55" s="23" t="str">
        <f t="shared" si="9"/>
        <v/>
      </c>
    </row>
  </sheetData>
  <conditionalFormatting sqref="R5:R255">
    <cfRule type="expression" dxfId="31" priority="6">
      <formula>ISNUMBER(SEARCH("Alto",R5))</formula>
    </cfRule>
    <cfRule type="expression" dxfId="30" priority="7">
      <formula>ISNUMBER(SEARCH("Médio",R5))</formula>
    </cfRule>
    <cfRule type="expression" dxfId="29" priority="8">
      <formula>ISNUMBER(SEARCH("Baixo",R5))</formula>
    </cfRule>
  </conditionalFormatting>
  <conditionalFormatting sqref="Y5:Y255">
    <cfRule type="expression" dxfId="28" priority="4">
      <formula>ISNUMBER(SEARCH("1A/1B",Y5))</formula>
    </cfRule>
    <cfRule type="expression" dxfId="27" priority="5">
      <formula>ISNUMBER(SEARCH("Cat. 2",Y5))</formula>
    </cfRule>
  </conditionalFormatting>
  <conditionalFormatting sqref="AD5:AD255">
    <cfRule type="expression" dxfId="26" priority="1">
      <formula>ISNUMBER(SEARCH("P1",AD5))</formula>
    </cfRule>
    <cfRule type="expression" dxfId="25" priority="2">
      <formula>ISNUMBER(SEARCH("P2",AD5))</formula>
    </cfRule>
    <cfRule type="expression" dxfId="24" priority="3">
      <formula>ISNUMBER(SEARCH("P3",AD5))</formula>
    </cfRule>
  </conditionalFormatting>
  <conditionalFormatting sqref="AH5:AH255">
    <cfRule type="expression" dxfId="23" priority="9">
      <formula>ISNUMBER(SEARCH("atraso",AH5))</formula>
    </cfRule>
    <cfRule type="expression" dxfId="22" priority="10">
      <formula>ISNUMBER(SEARCH("Em dia",AH5))</formula>
    </cfRule>
  </conditionalFormatting>
  <dataValidations count="8">
    <dataValidation type="list" allowBlank="1" showErrorMessage="1" errorTitle="Valor inválido" error="Valor fora da lista controlada (ver folha Listas)." sqref="E5:E255" xr:uid="{00000000-0002-0000-0900-000000000000}">
      <formula1>lst_Processo</formula1>
    </dataValidation>
    <dataValidation type="list" allowBlank="1" showErrorMessage="1" errorTitle="Valor inválido" error="Valor fora da lista controlada (ver folha Listas)." sqref="F5:F255 V5:V255 S5:S255" xr:uid="{00000000-0002-0000-0900-000001000000}">
      <formula1>lst_Funcao</formula1>
    </dataValidation>
    <dataValidation type="list" allowBlank="1" showErrorMessage="1" errorTitle="Valor inválido" error="Valor fora da lista controlada (ver folha Listas)." sqref="I5:I255" xr:uid="{00000000-0002-0000-0900-000002000000}">
      <formula1>lst_Volatilidade</formula1>
    </dataValidation>
    <dataValidation type="list" allowBlank="1" showErrorMessage="1" errorTitle="Valor inválido" error="Valor fora da lista controlada (ver folha Listas)." sqref="J5:J255" xr:uid="{00000000-0002-0000-0900-000003000000}">
      <formula1>lst_Procedimento</formula1>
    </dataValidation>
    <dataValidation type="list" allowBlank="1" showErrorMessage="1" errorTitle="Valor inválido" error="Valor fora da lista controlada (ver folha Listas)." sqref="K5:K255" xr:uid="{00000000-0002-0000-0900-000004000000}">
      <formula1>lst_ProtColetiva</formula1>
    </dataValidation>
    <dataValidation type="list" allowBlank="1" showErrorMessage="1" errorTitle="Valor inválido" error="Valor fora da lista controlada (ver folha Listas)." sqref="L5:L255" xr:uid="{00000000-0002-0000-0900-000005000000}">
      <formula1>lst_Superficie</formula1>
    </dataValidation>
    <dataValidation type="list" allowBlank="1" showErrorMessage="1" errorTitle="Valor inválido" error="Valor fora da lista controlada (ver folha Listas)." sqref="M5:M255" xr:uid="{00000000-0002-0000-0900-000006000000}">
      <formula1>lst_Frequencia</formula1>
    </dataValidation>
    <dataValidation type="list" allowBlank="1" showErrorMessage="1" errorTitle="Valor inválido" error="Valor fora da lista controlada (ver folha Listas)." sqref="R5:R255" xr:uid="{00000000-0002-0000-0900-000007000000}">
      <formula1>lst_RiscoResidual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31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11" customWidth="1"/>
    <col min="3" max="3" width="28" customWidth="1"/>
    <col min="4" max="4" width="24" customWidth="1"/>
    <col min="5" max="5" width="10" customWidth="1"/>
    <col min="6" max="6" width="26" customWidth="1"/>
    <col min="7" max="7" width="20" customWidth="1"/>
    <col min="8" max="8" width="7" customWidth="1"/>
    <col min="9" max="9" width="9" customWidth="1"/>
    <col min="10" max="10" width="8" customWidth="1"/>
    <col min="11" max="11" width="30" customWidth="1"/>
    <col min="12" max="13" width="8" customWidth="1"/>
    <col min="14" max="14" width="24" customWidth="1"/>
    <col min="15" max="15" width="11" customWidth="1"/>
  </cols>
  <sheetData>
    <row r="1" spans="1:15" ht="17.399999999999999" x14ac:dyDescent="0.3">
      <c r="A1" s="1" t="s">
        <v>1086</v>
      </c>
    </row>
    <row r="2" spans="1:15" x14ac:dyDescent="0.3">
      <c r="A2" s="2" t="s">
        <v>1087</v>
      </c>
    </row>
    <row r="4" spans="1:15" ht="52.8" x14ac:dyDescent="0.3">
      <c r="A4" s="8" t="s">
        <v>956</v>
      </c>
      <c r="B4" s="8" t="s">
        <v>1088</v>
      </c>
      <c r="C4" s="8" t="s">
        <v>1089</v>
      </c>
      <c r="D4" s="8" t="s">
        <v>1090</v>
      </c>
      <c r="E4" s="8" t="s">
        <v>538</v>
      </c>
      <c r="F4" s="8" t="s">
        <v>1091</v>
      </c>
      <c r="G4" s="8" t="s">
        <v>1092</v>
      </c>
      <c r="H4" s="8" t="s">
        <v>1093</v>
      </c>
      <c r="I4" s="8" t="s">
        <v>1094</v>
      </c>
      <c r="J4" s="8" t="s">
        <v>1095</v>
      </c>
      <c r="K4" s="8" t="s">
        <v>872</v>
      </c>
      <c r="L4" s="18" t="s">
        <v>1096</v>
      </c>
      <c r="M4" s="18" t="s">
        <v>1097</v>
      </c>
      <c r="N4" s="18" t="s">
        <v>873</v>
      </c>
      <c r="O4" s="18" t="s">
        <v>1098</v>
      </c>
    </row>
    <row r="5" spans="1:15" ht="30" customHeight="1" x14ac:dyDescent="0.3">
      <c r="A5" s="17" t="s">
        <v>1013</v>
      </c>
      <c r="B5" s="21">
        <v>45981</v>
      </c>
      <c r="C5" s="17" t="s">
        <v>1099</v>
      </c>
      <c r="D5" s="17" t="s">
        <v>1100</v>
      </c>
      <c r="E5" s="17" t="s">
        <v>555</v>
      </c>
      <c r="F5" s="17" t="s">
        <v>1101</v>
      </c>
      <c r="G5" s="17" t="s">
        <v>1102</v>
      </c>
      <c r="H5" s="26">
        <v>3</v>
      </c>
      <c r="I5" s="28">
        <v>9.5</v>
      </c>
      <c r="J5" s="28">
        <v>50</v>
      </c>
      <c r="K5" s="17"/>
      <c r="L5" s="12">
        <f t="shared" ref="L5:L31" si="0">IF(OR(I5="",N(J5)=0),"",I5/J5)</f>
        <v>0.19</v>
      </c>
      <c r="M5" s="12">
        <f t="shared" ref="M5:M31" si="1">IF(H5="","",IF(H5=3,0.1,IF(H5=4,0.15,IF(H5&gt;=5,0.2,""))))</f>
        <v>0.1</v>
      </c>
      <c r="N5" s="23" t="str">
        <f t="shared" ref="N5:N31" si="2">IF(A5="","",IF(I5="",IF(B5&gt;DataRef,"Planeada","Resultado em falta"),IF(L5&gt;1,"Não conforme — ação imediata",IF(AND(M5&lt;&gt;"",L5&lt;M5),"Conforme (teste preliminar)","Inconclusivo — medição periódica"))))</f>
        <v>Inconclusivo — medição periódica</v>
      </c>
      <c r="O5" s="24">
        <f t="shared" ref="O5:O31" si="3">IF(A5="","",IF(I5="","",IF(ISNUMBER(SEARCH("Não conforme",N5)),EDATE(B5,3),IF(ISNUMBER(SEARCH("Inconclusivo",N5)),EDATE(B5,12),EDATE(B5,36)))))</f>
        <v>46346</v>
      </c>
    </row>
    <row r="6" spans="1:15" ht="30" customHeight="1" x14ac:dyDescent="0.3">
      <c r="A6" s="17" t="s">
        <v>1004</v>
      </c>
      <c r="B6" s="21">
        <v>45981</v>
      </c>
      <c r="C6" s="17" t="s">
        <v>1103</v>
      </c>
      <c r="D6" s="17" t="s">
        <v>548</v>
      </c>
      <c r="E6" s="17" t="s">
        <v>549</v>
      </c>
      <c r="F6" s="17" t="s">
        <v>1101</v>
      </c>
      <c r="G6" s="17" t="s">
        <v>1102</v>
      </c>
      <c r="H6" s="26">
        <v>3</v>
      </c>
      <c r="I6" s="28">
        <v>2.8</v>
      </c>
      <c r="J6" s="28">
        <v>10</v>
      </c>
      <c r="K6" s="17"/>
      <c r="L6" s="12">
        <f t="shared" si="0"/>
        <v>0.27999999999999997</v>
      </c>
      <c r="M6" s="12">
        <f t="shared" si="1"/>
        <v>0.1</v>
      </c>
      <c r="N6" s="23" t="str">
        <f t="shared" si="2"/>
        <v>Inconclusivo — medição periódica</v>
      </c>
      <c r="O6" s="24">
        <f t="shared" si="3"/>
        <v>46346</v>
      </c>
    </row>
    <row r="7" spans="1:15" ht="30" customHeight="1" x14ac:dyDescent="0.3">
      <c r="A7" s="17" t="s">
        <v>1104</v>
      </c>
      <c r="B7" s="21">
        <v>45981</v>
      </c>
      <c r="C7" s="17" t="s">
        <v>1105</v>
      </c>
      <c r="D7" s="17" t="s">
        <v>548</v>
      </c>
      <c r="E7" s="17" t="s">
        <v>549</v>
      </c>
      <c r="F7" s="17" t="s">
        <v>1101</v>
      </c>
      <c r="G7" s="17" t="s">
        <v>1102</v>
      </c>
      <c r="H7" s="26">
        <v>3</v>
      </c>
      <c r="I7" s="28">
        <v>0.6</v>
      </c>
      <c r="J7" s="28">
        <v>10</v>
      </c>
      <c r="K7" s="17"/>
      <c r="L7" s="12">
        <f t="shared" si="0"/>
        <v>0.06</v>
      </c>
      <c r="M7" s="12">
        <f t="shared" si="1"/>
        <v>0.1</v>
      </c>
      <c r="N7" s="23" t="str">
        <f t="shared" si="2"/>
        <v>Conforme (teste preliminar)</v>
      </c>
      <c r="O7" s="24">
        <f t="shared" si="3"/>
        <v>47077</v>
      </c>
    </row>
    <row r="8" spans="1:15" ht="30" customHeight="1" x14ac:dyDescent="0.3">
      <c r="A8" s="17" t="s">
        <v>1019</v>
      </c>
      <c r="B8" s="21">
        <v>45981</v>
      </c>
      <c r="C8" s="17" t="s">
        <v>1106</v>
      </c>
      <c r="D8" s="17" t="s">
        <v>595</v>
      </c>
      <c r="E8" s="17" t="s">
        <v>596</v>
      </c>
      <c r="F8" s="17" t="s">
        <v>1101</v>
      </c>
      <c r="G8" s="17" t="s">
        <v>1102</v>
      </c>
      <c r="H8" s="26">
        <v>3</v>
      </c>
      <c r="I8" s="28">
        <v>12</v>
      </c>
      <c r="J8" s="28">
        <v>200</v>
      </c>
      <c r="K8" s="17"/>
      <c r="L8" s="12">
        <f t="shared" si="0"/>
        <v>0.06</v>
      </c>
      <c r="M8" s="12">
        <f t="shared" si="1"/>
        <v>0.1</v>
      </c>
      <c r="N8" s="23" t="str">
        <f t="shared" si="2"/>
        <v>Conforme (teste preliminar)</v>
      </c>
      <c r="O8" s="24">
        <f t="shared" si="3"/>
        <v>47077</v>
      </c>
    </row>
    <row r="9" spans="1:15" ht="30" customHeight="1" x14ac:dyDescent="0.3">
      <c r="A9" s="17" t="s">
        <v>996</v>
      </c>
      <c r="B9" s="21">
        <v>46099</v>
      </c>
      <c r="C9" s="17" t="s">
        <v>1107</v>
      </c>
      <c r="D9" s="17" t="s">
        <v>1108</v>
      </c>
      <c r="E9" s="17" t="s">
        <v>579</v>
      </c>
      <c r="F9" s="17" t="s">
        <v>1109</v>
      </c>
      <c r="G9" s="17" t="s">
        <v>1102</v>
      </c>
      <c r="H9" s="26">
        <v>3</v>
      </c>
      <c r="I9" s="28">
        <v>4.0000000000000002E-4</v>
      </c>
      <c r="J9" s="28">
        <v>5.0000000000000001E-3</v>
      </c>
      <c r="K9" s="17" t="s">
        <v>1110</v>
      </c>
      <c r="L9" s="12">
        <f t="shared" si="0"/>
        <v>0.08</v>
      </c>
      <c r="M9" s="12">
        <f t="shared" si="1"/>
        <v>0.1</v>
      </c>
      <c r="N9" s="23" t="str">
        <f t="shared" si="2"/>
        <v>Conforme (teste preliminar)</v>
      </c>
      <c r="O9" s="24">
        <f t="shared" si="3"/>
        <v>47195</v>
      </c>
    </row>
    <row r="10" spans="1:15" ht="30" customHeight="1" x14ac:dyDescent="0.3">
      <c r="A10" s="17" t="s">
        <v>1072</v>
      </c>
      <c r="B10" s="21">
        <v>46341</v>
      </c>
      <c r="C10" s="17" t="s">
        <v>1111</v>
      </c>
      <c r="D10" s="17" t="s">
        <v>1112</v>
      </c>
      <c r="E10" s="17" t="s">
        <v>1113</v>
      </c>
      <c r="F10" s="17" t="s">
        <v>1101</v>
      </c>
      <c r="G10" s="17" t="s">
        <v>1102</v>
      </c>
      <c r="H10" s="26"/>
      <c r="I10" s="28"/>
      <c r="J10" s="28"/>
      <c r="K10" s="17" t="s">
        <v>1114</v>
      </c>
      <c r="L10" s="12" t="str">
        <f t="shared" si="0"/>
        <v/>
      </c>
      <c r="M10" s="12" t="str">
        <f t="shared" si="1"/>
        <v/>
      </c>
      <c r="N10" s="23" t="str">
        <f t="shared" si="2"/>
        <v>Resultado em falta</v>
      </c>
      <c r="O10" s="24" t="str">
        <f t="shared" si="3"/>
        <v/>
      </c>
    </row>
    <row r="11" spans="1:15" ht="30" customHeight="1" x14ac:dyDescent="0.3">
      <c r="A11" s="17" t="s">
        <v>1033</v>
      </c>
      <c r="B11" s="21">
        <v>46315</v>
      </c>
      <c r="C11" s="17" t="s">
        <v>1115</v>
      </c>
      <c r="D11" s="17" t="s">
        <v>632</v>
      </c>
      <c r="E11" s="17" t="s">
        <v>633</v>
      </c>
      <c r="F11" s="17" t="s">
        <v>1116</v>
      </c>
      <c r="G11" s="17" t="s">
        <v>1102</v>
      </c>
      <c r="H11" s="26"/>
      <c r="I11" s="28"/>
      <c r="J11" s="28">
        <v>20</v>
      </c>
      <c r="K11" s="17" t="s">
        <v>1117</v>
      </c>
      <c r="L11" s="12" t="str">
        <f t="shared" si="0"/>
        <v/>
      </c>
      <c r="M11" s="12" t="str">
        <f t="shared" si="1"/>
        <v/>
      </c>
      <c r="N11" s="23" t="str">
        <f t="shared" si="2"/>
        <v>Resultado em falta</v>
      </c>
      <c r="O11" s="24" t="str">
        <f t="shared" si="3"/>
        <v/>
      </c>
    </row>
    <row r="12" spans="1:15" ht="30" customHeight="1" x14ac:dyDescent="0.3">
      <c r="A12" s="17"/>
      <c r="B12" s="21"/>
      <c r="C12" s="17"/>
      <c r="D12" s="17"/>
      <c r="E12" s="17"/>
      <c r="F12" s="17"/>
      <c r="G12" s="17"/>
      <c r="H12" s="26"/>
      <c r="I12" s="28"/>
      <c r="J12" s="28"/>
      <c r="K12" s="17"/>
      <c r="L12" s="12" t="str">
        <f t="shared" si="0"/>
        <v/>
      </c>
      <c r="M12" s="12" t="str">
        <f t="shared" si="1"/>
        <v/>
      </c>
      <c r="N12" s="23" t="str">
        <f t="shared" si="2"/>
        <v/>
      </c>
      <c r="O12" s="24" t="str">
        <f t="shared" si="3"/>
        <v/>
      </c>
    </row>
    <row r="13" spans="1:15" ht="30" customHeight="1" x14ac:dyDescent="0.3">
      <c r="A13" s="17"/>
      <c r="B13" s="21"/>
      <c r="C13" s="17"/>
      <c r="D13" s="17"/>
      <c r="E13" s="17"/>
      <c r="F13" s="17"/>
      <c r="G13" s="17"/>
      <c r="H13" s="26"/>
      <c r="I13" s="28"/>
      <c r="J13" s="28"/>
      <c r="K13" s="17"/>
      <c r="L13" s="12" t="str">
        <f t="shared" si="0"/>
        <v/>
      </c>
      <c r="M13" s="12" t="str">
        <f t="shared" si="1"/>
        <v/>
      </c>
      <c r="N13" s="23" t="str">
        <f t="shared" si="2"/>
        <v/>
      </c>
      <c r="O13" s="24" t="str">
        <f t="shared" si="3"/>
        <v/>
      </c>
    </row>
    <row r="14" spans="1:15" ht="30" customHeight="1" x14ac:dyDescent="0.3">
      <c r="A14" s="17"/>
      <c r="B14" s="21"/>
      <c r="C14" s="17"/>
      <c r="D14" s="17"/>
      <c r="E14" s="17"/>
      <c r="F14" s="17"/>
      <c r="G14" s="17"/>
      <c r="H14" s="26"/>
      <c r="I14" s="28"/>
      <c r="J14" s="28"/>
      <c r="K14" s="17"/>
      <c r="L14" s="12" t="str">
        <f t="shared" si="0"/>
        <v/>
      </c>
      <c r="M14" s="12" t="str">
        <f t="shared" si="1"/>
        <v/>
      </c>
      <c r="N14" s="23" t="str">
        <f t="shared" si="2"/>
        <v/>
      </c>
      <c r="O14" s="24" t="str">
        <f t="shared" si="3"/>
        <v/>
      </c>
    </row>
    <row r="15" spans="1:15" ht="30" customHeight="1" x14ac:dyDescent="0.3">
      <c r="A15" s="17"/>
      <c r="B15" s="21"/>
      <c r="C15" s="17"/>
      <c r="D15" s="17"/>
      <c r="E15" s="17"/>
      <c r="F15" s="17"/>
      <c r="G15" s="17"/>
      <c r="H15" s="26"/>
      <c r="I15" s="28"/>
      <c r="J15" s="28"/>
      <c r="K15" s="17"/>
      <c r="L15" s="12" t="str">
        <f t="shared" si="0"/>
        <v/>
      </c>
      <c r="M15" s="12" t="str">
        <f t="shared" si="1"/>
        <v/>
      </c>
      <c r="N15" s="23" t="str">
        <f t="shared" si="2"/>
        <v/>
      </c>
      <c r="O15" s="24" t="str">
        <f t="shared" si="3"/>
        <v/>
      </c>
    </row>
    <row r="16" spans="1:15" ht="30" customHeight="1" x14ac:dyDescent="0.3">
      <c r="A16" s="17"/>
      <c r="B16" s="21"/>
      <c r="C16" s="17"/>
      <c r="D16" s="17"/>
      <c r="E16" s="17"/>
      <c r="F16" s="17"/>
      <c r="G16" s="17"/>
      <c r="H16" s="26"/>
      <c r="I16" s="28"/>
      <c r="J16" s="28"/>
      <c r="K16" s="17"/>
      <c r="L16" s="12" t="str">
        <f t="shared" si="0"/>
        <v/>
      </c>
      <c r="M16" s="12" t="str">
        <f t="shared" si="1"/>
        <v/>
      </c>
      <c r="N16" s="23" t="str">
        <f t="shared" si="2"/>
        <v/>
      </c>
      <c r="O16" s="24" t="str">
        <f t="shared" si="3"/>
        <v/>
      </c>
    </row>
    <row r="17" spans="1:15" ht="30" customHeight="1" x14ac:dyDescent="0.3">
      <c r="A17" s="17"/>
      <c r="B17" s="21"/>
      <c r="C17" s="17"/>
      <c r="D17" s="17"/>
      <c r="E17" s="17"/>
      <c r="F17" s="17"/>
      <c r="G17" s="17"/>
      <c r="H17" s="26"/>
      <c r="I17" s="28"/>
      <c r="J17" s="28"/>
      <c r="K17" s="17"/>
      <c r="L17" s="12" t="str">
        <f t="shared" si="0"/>
        <v/>
      </c>
      <c r="M17" s="12" t="str">
        <f t="shared" si="1"/>
        <v/>
      </c>
      <c r="N17" s="23" t="str">
        <f t="shared" si="2"/>
        <v/>
      </c>
      <c r="O17" s="24" t="str">
        <f t="shared" si="3"/>
        <v/>
      </c>
    </row>
    <row r="18" spans="1:15" ht="30" customHeight="1" x14ac:dyDescent="0.3">
      <c r="A18" s="17"/>
      <c r="B18" s="21"/>
      <c r="C18" s="17"/>
      <c r="D18" s="17"/>
      <c r="E18" s="17"/>
      <c r="F18" s="17"/>
      <c r="G18" s="17"/>
      <c r="H18" s="26"/>
      <c r="I18" s="28"/>
      <c r="J18" s="28"/>
      <c r="K18" s="17"/>
      <c r="L18" s="12" t="str">
        <f t="shared" si="0"/>
        <v/>
      </c>
      <c r="M18" s="12" t="str">
        <f t="shared" si="1"/>
        <v/>
      </c>
      <c r="N18" s="23" t="str">
        <f t="shared" si="2"/>
        <v/>
      </c>
      <c r="O18" s="24" t="str">
        <f t="shared" si="3"/>
        <v/>
      </c>
    </row>
    <row r="19" spans="1:15" ht="30" customHeight="1" x14ac:dyDescent="0.3">
      <c r="A19" s="17"/>
      <c r="B19" s="21"/>
      <c r="C19" s="17"/>
      <c r="D19" s="17"/>
      <c r="E19" s="17"/>
      <c r="F19" s="17"/>
      <c r="G19" s="17"/>
      <c r="H19" s="26"/>
      <c r="I19" s="28"/>
      <c r="J19" s="28"/>
      <c r="K19" s="17"/>
      <c r="L19" s="12" t="str">
        <f t="shared" si="0"/>
        <v/>
      </c>
      <c r="M19" s="12" t="str">
        <f t="shared" si="1"/>
        <v/>
      </c>
      <c r="N19" s="23" t="str">
        <f t="shared" si="2"/>
        <v/>
      </c>
      <c r="O19" s="24" t="str">
        <f t="shared" si="3"/>
        <v/>
      </c>
    </row>
    <row r="20" spans="1:15" ht="30" customHeight="1" x14ac:dyDescent="0.3">
      <c r="A20" s="17"/>
      <c r="B20" s="21"/>
      <c r="C20" s="17"/>
      <c r="D20" s="17"/>
      <c r="E20" s="17"/>
      <c r="F20" s="17"/>
      <c r="G20" s="17"/>
      <c r="H20" s="26"/>
      <c r="I20" s="28"/>
      <c r="J20" s="28"/>
      <c r="K20" s="17"/>
      <c r="L20" s="12" t="str">
        <f t="shared" si="0"/>
        <v/>
      </c>
      <c r="M20" s="12" t="str">
        <f t="shared" si="1"/>
        <v/>
      </c>
      <c r="N20" s="23" t="str">
        <f t="shared" si="2"/>
        <v/>
      </c>
      <c r="O20" s="24" t="str">
        <f t="shared" si="3"/>
        <v/>
      </c>
    </row>
    <row r="21" spans="1:15" ht="30" customHeight="1" x14ac:dyDescent="0.3">
      <c r="A21" s="17"/>
      <c r="B21" s="21"/>
      <c r="C21" s="17"/>
      <c r="D21" s="17"/>
      <c r="E21" s="17"/>
      <c r="F21" s="17"/>
      <c r="G21" s="17"/>
      <c r="H21" s="26"/>
      <c r="I21" s="28"/>
      <c r="J21" s="28"/>
      <c r="K21" s="17"/>
      <c r="L21" s="12" t="str">
        <f t="shared" si="0"/>
        <v/>
      </c>
      <c r="M21" s="12" t="str">
        <f t="shared" si="1"/>
        <v/>
      </c>
      <c r="N21" s="23" t="str">
        <f t="shared" si="2"/>
        <v/>
      </c>
      <c r="O21" s="24" t="str">
        <f t="shared" si="3"/>
        <v/>
      </c>
    </row>
    <row r="22" spans="1:15" ht="30" customHeight="1" x14ac:dyDescent="0.3">
      <c r="A22" s="17"/>
      <c r="B22" s="21"/>
      <c r="C22" s="17"/>
      <c r="D22" s="17"/>
      <c r="E22" s="17"/>
      <c r="F22" s="17"/>
      <c r="G22" s="17"/>
      <c r="H22" s="26"/>
      <c r="I22" s="28"/>
      <c r="J22" s="28"/>
      <c r="K22" s="17"/>
      <c r="L22" s="12" t="str">
        <f t="shared" si="0"/>
        <v/>
      </c>
      <c r="M22" s="12" t="str">
        <f t="shared" si="1"/>
        <v/>
      </c>
      <c r="N22" s="23" t="str">
        <f t="shared" si="2"/>
        <v/>
      </c>
      <c r="O22" s="24" t="str">
        <f t="shared" si="3"/>
        <v/>
      </c>
    </row>
    <row r="23" spans="1:15" ht="30" customHeight="1" x14ac:dyDescent="0.3">
      <c r="A23" s="17"/>
      <c r="B23" s="21"/>
      <c r="C23" s="17"/>
      <c r="D23" s="17"/>
      <c r="E23" s="17"/>
      <c r="F23" s="17"/>
      <c r="G23" s="17"/>
      <c r="H23" s="26"/>
      <c r="I23" s="28"/>
      <c r="J23" s="28"/>
      <c r="K23" s="17"/>
      <c r="L23" s="12" t="str">
        <f t="shared" si="0"/>
        <v/>
      </c>
      <c r="M23" s="12" t="str">
        <f t="shared" si="1"/>
        <v/>
      </c>
      <c r="N23" s="23" t="str">
        <f t="shared" si="2"/>
        <v/>
      </c>
      <c r="O23" s="24" t="str">
        <f t="shared" si="3"/>
        <v/>
      </c>
    </row>
    <row r="24" spans="1:15" ht="30" customHeight="1" x14ac:dyDescent="0.3">
      <c r="A24" s="17"/>
      <c r="B24" s="21"/>
      <c r="C24" s="17"/>
      <c r="D24" s="17"/>
      <c r="E24" s="17"/>
      <c r="F24" s="17"/>
      <c r="G24" s="17"/>
      <c r="H24" s="26"/>
      <c r="I24" s="28"/>
      <c r="J24" s="28"/>
      <c r="K24" s="17"/>
      <c r="L24" s="12" t="str">
        <f t="shared" si="0"/>
        <v/>
      </c>
      <c r="M24" s="12" t="str">
        <f t="shared" si="1"/>
        <v/>
      </c>
      <c r="N24" s="23" t="str">
        <f t="shared" si="2"/>
        <v/>
      </c>
      <c r="O24" s="24" t="str">
        <f t="shared" si="3"/>
        <v/>
      </c>
    </row>
    <row r="25" spans="1:15" ht="30" customHeight="1" x14ac:dyDescent="0.3">
      <c r="A25" s="17"/>
      <c r="B25" s="21"/>
      <c r="C25" s="17"/>
      <c r="D25" s="17"/>
      <c r="E25" s="17"/>
      <c r="F25" s="17"/>
      <c r="G25" s="17"/>
      <c r="H25" s="26"/>
      <c r="I25" s="28"/>
      <c r="J25" s="28"/>
      <c r="K25" s="17"/>
      <c r="L25" s="12" t="str">
        <f t="shared" si="0"/>
        <v/>
      </c>
      <c r="M25" s="12" t="str">
        <f t="shared" si="1"/>
        <v/>
      </c>
      <c r="N25" s="23" t="str">
        <f t="shared" si="2"/>
        <v/>
      </c>
      <c r="O25" s="24" t="str">
        <f t="shared" si="3"/>
        <v/>
      </c>
    </row>
    <row r="26" spans="1:15" ht="30" customHeight="1" x14ac:dyDescent="0.3">
      <c r="A26" s="17"/>
      <c r="B26" s="21"/>
      <c r="C26" s="17"/>
      <c r="D26" s="17"/>
      <c r="E26" s="17"/>
      <c r="F26" s="17"/>
      <c r="G26" s="17"/>
      <c r="H26" s="26"/>
      <c r="I26" s="28"/>
      <c r="J26" s="28"/>
      <c r="K26" s="17"/>
      <c r="L26" s="12" t="str">
        <f t="shared" si="0"/>
        <v/>
      </c>
      <c r="M26" s="12" t="str">
        <f t="shared" si="1"/>
        <v/>
      </c>
      <c r="N26" s="23" t="str">
        <f t="shared" si="2"/>
        <v/>
      </c>
      <c r="O26" s="24" t="str">
        <f t="shared" si="3"/>
        <v/>
      </c>
    </row>
    <row r="27" spans="1:15" ht="30" customHeight="1" x14ac:dyDescent="0.3">
      <c r="A27" s="17"/>
      <c r="B27" s="21"/>
      <c r="C27" s="17"/>
      <c r="D27" s="17"/>
      <c r="E27" s="17"/>
      <c r="F27" s="17"/>
      <c r="G27" s="17"/>
      <c r="H27" s="26"/>
      <c r="I27" s="28"/>
      <c r="J27" s="28"/>
      <c r="K27" s="17"/>
      <c r="L27" s="12" t="str">
        <f t="shared" si="0"/>
        <v/>
      </c>
      <c r="M27" s="12" t="str">
        <f t="shared" si="1"/>
        <v/>
      </c>
      <c r="N27" s="23" t="str">
        <f t="shared" si="2"/>
        <v/>
      </c>
      <c r="O27" s="24" t="str">
        <f t="shared" si="3"/>
        <v/>
      </c>
    </row>
    <row r="28" spans="1:15" ht="30" customHeight="1" x14ac:dyDescent="0.3">
      <c r="A28" s="17"/>
      <c r="B28" s="21"/>
      <c r="C28" s="17"/>
      <c r="D28" s="17"/>
      <c r="E28" s="17"/>
      <c r="F28" s="17"/>
      <c r="G28" s="17"/>
      <c r="H28" s="26"/>
      <c r="I28" s="28"/>
      <c r="J28" s="28"/>
      <c r="K28" s="17"/>
      <c r="L28" s="12" t="str">
        <f t="shared" si="0"/>
        <v/>
      </c>
      <c r="M28" s="12" t="str">
        <f t="shared" si="1"/>
        <v/>
      </c>
      <c r="N28" s="23" t="str">
        <f t="shared" si="2"/>
        <v/>
      </c>
      <c r="O28" s="24" t="str">
        <f t="shared" si="3"/>
        <v/>
      </c>
    </row>
    <row r="29" spans="1:15" ht="30" customHeight="1" x14ac:dyDescent="0.3">
      <c r="A29" s="17"/>
      <c r="B29" s="21"/>
      <c r="C29" s="17"/>
      <c r="D29" s="17"/>
      <c r="E29" s="17"/>
      <c r="F29" s="17"/>
      <c r="G29" s="17"/>
      <c r="H29" s="26"/>
      <c r="I29" s="28"/>
      <c r="J29" s="28"/>
      <c r="K29" s="17"/>
      <c r="L29" s="12" t="str">
        <f t="shared" si="0"/>
        <v/>
      </c>
      <c r="M29" s="12" t="str">
        <f t="shared" si="1"/>
        <v/>
      </c>
      <c r="N29" s="23" t="str">
        <f t="shared" si="2"/>
        <v/>
      </c>
      <c r="O29" s="24" t="str">
        <f t="shared" si="3"/>
        <v/>
      </c>
    </row>
    <row r="30" spans="1:15" ht="30" customHeight="1" x14ac:dyDescent="0.3">
      <c r="A30" s="17"/>
      <c r="B30" s="21"/>
      <c r="C30" s="17"/>
      <c r="D30" s="17"/>
      <c r="E30" s="17"/>
      <c r="F30" s="17"/>
      <c r="G30" s="17"/>
      <c r="H30" s="26"/>
      <c r="I30" s="28"/>
      <c r="J30" s="28"/>
      <c r="K30" s="17"/>
      <c r="L30" s="12" t="str">
        <f t="shared" si="0"/>
        <v/>
      </c>
      <c r="M30" s="12" t="str">
        <f t="shared" si="1"/>
        <v/>
      </c>
      <c r="N30" s="23" t="str">
        <f t="shared" si="2"/>
        <v/>
      </c>
      <c r="O30" s="24" t="str">
        <f t="shared" si="3"/>
        <v/>
      </c>
    </row>
    <row r="31" spans="1:15" ht="30" customHeight="1" x14ac:dyDescent="0.3">
      <c r="A31" s="17"/>
      <c r="B31" s="21"/>
      <c r="C31" s="17"/>
      <c r="D31" s="17"/>
      <c r="E31" s="17"/>
      <c r="F31" s="17"/>
      <c r="G31" s="17"/>
      <c r="H31" s="26"/>
      <c r="I31" s="28"/>
      <c r="J31" s="28"/>
      <c r="K31" s="17"/>
      <c r="L31" s="12" t="str">
        <f t="shared" si="0"/>
        <v/>
      </c>
      <c r="M31" s="12" t="str">
        <f t="shared" si="1"/>
        <v/>
      </c>
      <c r="N31" s="23" t="str">
        <f t="shared" si="2"/>
        <v/>
      </c>
      <c r="O31" s="24" t="str">
        <f t="shared" si="3"/>
        <v/>
      </c>
    </row>
  </sheetData>
  <conditionalFormatting sqref="N5:N231">
    <cfRule type="expression" dxfId="21" priority="1">
      <formula>ISNUMBER(SEARCH("Não conforme",N5))</formula>
    </cfRule>
    <cfRule type="expression" dxfId="20" priority="2">
      <formula>ISNUMBER(SEARCH("Inconclusivo",N5))</formula>
    </cfRule>
    <cfRule type="expression" dxfId="19" priority="3">
      <formula>ISNUMBER(SEARCH("Conforme",N5))</formula>
    </cfRule>
    <cfRule type="expression" dxfId="18" priority="4">
      <formula>ISNUMBER(SEARCH("Planeada",N5))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2" customWidth="1"/>
    <col min="2" max="2" width="9" customWidth="1"/>
    <col min="3" max="3" width="3" customWidth="1"/>
    <col min="4" max="4" width="52" customWidth="1"/>
    <col min="5" max="5" width="9" customWidth="1"/>
    <col min="6" max="6" width="3" customWidth="1"/>
    <col min="7" max="7" width="52" customWidth="1"/>
    <col min="8" max="8" width="12" customWidth="1"/>
    <col min="9" max="9" width="50" customWidth="1"/>
  </cols>
  <sheetData>
    <row r="1" spans="1:9" ht="17.399999999999999" x14ac:dyDescent="0.3">
      <c r="A1" s="1" t="s">
        <v>1118</v>
      </c>
    </row>
    <row r="2" spans="1:9" x14ac:dyDescent="0.3">
      <c r="A2" s="2" t="s">
        <v>1119</v>
      </c>
    </row>
    <row r="4" spans="1:9" x14ac:dyDescent="0.3">
      <c r="A4" s="8" t="s">
        <v>949</v>
      </c>
      <c r="B4" s="8" t="s">
        <v>1120</v>
      </c>
      <c r="D4" s="8" t="s">
        <v>950</v>
      </c>
      <c r="E4" s="8" t="s">
        <v>1120</v>
      </c>
      <c r="G4" s="8" t="s">
        <v>1121</v>
      </c>
      <c r="H4" s="8" t="s">
        <v>1120</v>
      </c>
    </row>
    <row r="5" spans="1:9" ht="26.4" x14ac:dyDescent="0.3">
      <c r="A5" s="17" t="s">
        <v>984</v>
      </c>
      <c r="B5" s="28">
        <v>1</v>
      </c>
      <c r="D5" s="9" t="s">
        <v>1122</v>
      </c>
      <c r="E5" s="9">
        <v>1E-3</v>
      </c>
      <c r="G5" s="9" t="s">
        <v>1055</v>
      </c>
      <c r="H5" s="9">
        <v>1E-3</v>
      </c>
    </row>
    <row r="6" spans="1:9" x14ac:dyDescent="0.3">
      <c r="A6" s="17" t="s">
        <v>972</v>
      </c>
      <c r="B6" s="28">
        <v>10</v>
      </c>
      <c r="D6" s="9" t="s">
        <v>1047</v>
      </c>
      <c r="E6" s="9">
        <v>0.05</v>
      </c>
      <c r="G6" s="9" t="s">
        <v>974</v>
      </c>
      <c r="H6" s="9">
        <v>0.1</v>
      </c>
    </row>
    <row r="7" spans="1:9" x14ac:dyDescent="0.3">
      <c r="A7" s="17" t="s">
        <v>1009</v>
      </c>
      <c r="B7" s="28">
        <v>100</v>
      </c>
      <c r="D7" s="9" t="s">
        <v>973</v>
      </c>
      <c r="E7" s="9">
        <v>0.5</v>
      </c>
      <c r="G7" s="9" t="s">
        <v>1000</v>
      </c>
      <c r="H7" s="9">
        <v>0.7</v>
      </c>
    </row>
    <row r="8" spans="1:9" x14ac:dyDescent="0.3">
      <c r="D8" s="9" t="s">
        <v>1010</v>
      </c>
      <c r="E8" s="9">
        <v>1</v>
      </c>
      <c r="G8" s="9" t="s">
        <v>1123</v>
      </c>
      <c r="H8" s="9">
        <v>1</v>
      </c>
    </row>
    <row r="9" spans="1:9" x14ac:dyDescent="0.3">
      <c r="G9" s="9" t="s">
        <v>1037</v>
      </c>
      <c r="H9" s="9">
        <v>0.7</v>
      </c>
    </row>
    <row r="12" spans="1:9" ht="26.4" x14ac:dyDescent="0.3">
      <c r="A12" s="8" t="s">
        <v>1124</v>
      </c>
      <c r="B12" s="8" t="s">
        <v>1120</v>
      </c>
      <c r="D12" s="8" t="s">
        <v>953</v>
      </c>
      <c r="E12" s="8" t="s">
        <v>1120</v>
      </c>
      <c r="G12" s="8" t="s">
        <v>1125</v>
      </c>
      <c r="H12" s="8" t="s">
        <v>1126</v>
      </c>
      <c r="I12" s="8" t="s">
        <v>1127</v>
      </c>
    </row>
    <row r="13" spans="1:9" x14ac:dyDescent="0.3">
      <c r="A13" s="9" t="s">
        <v>1070</v>
      </c>
      <c r="B13" s="9">
        <v>0</v>
      </c>
      <c r="D13" s="9" t="s">
        <v>993</v>
      </c>
      <c r="E13" s="9">
        <v>1</v>
      </c>
      <c r="G13" s="9">
        <v>1</v>
      </c>
      <c r="H13" s="9">
        <v>1</v>
      </c>
      <c r="I13" s="9" t="s">
        <v>1128</v>
      </c>
    </row>
    <row r="14" spans="1:9" x14ac:dyDescent="0.3">
      <c r="A14" s="9" t="s">
        <v>1001</v>
      </c>
      <c r="B14" s="9">
        <v>1</v>
      </c>
      <c r="D14" s="9" t="s">
        <v>985</v>
      </c>
      <c r="E14" s="9">
        <v>2</v>
      </c>
      <c r="G14" s="9">
        <v>2</v>
      </c>
      <c r="H14" s="9">
        <v>10</v>
      </c>
      <c r="I14" s="9" t="s">
        <v>1129</v>
      </c>
    </row>
    <row r="15" spans="1:9" x14ac:dyDescent="0.3">
      <c r="A15" s="9" t="s">
        <v>975</v>
      </c>
      <c r="B15" s="9">
        <v>2</v>
      </c>
      <c r="D15" s="9" t="s">
        <v>976</v>
      </c>
      <c r="E15" s="9">
        <v>5</v>
      </c>
      <c r="G15" s="9">
        <v>3</v>
      </c>
      <c r="H15" s="9">
        <v>100</v>
      </c>
      <c r="I15" s="9" t="s">
        <v>1130</v>
      </c>
    </row>
    <row r="16" spans="1:9" x14ac:dyDescent="0.3">
      <c r="A16" s="9" t="s">
        <v>1011</v>
      </c>
      <c r="B16" s="9">
        <v>3</v>
      </c>
      <c r="D16" s="9" t="s">
        <v>1131</v>
      </c>
      <c r="E16" s="9">
        <v>10</v>
      </c>
      <c r="G16" s="9">
        <v>4</v>
      </c>
      <c r="H16" s="9">
        <v>1000</v>
      </c>
      <c r="I16" s="9" t="s">
        <v>1132</v>
      </c>
    </row>
    <row r="17" spans="1:9" x14ac:dyDescent="0.3">
      <c r="A17" s="9" t="s">
        <v>1133</v>
      </c>
      <c r="B17" s="9">
        <v>10</v>
      </c>
      <c r="G17" s="9">
        <v>5</v>
      </c>
      <c r="H17" s="9">
        <v>10000</v>
      </c>
      <c r="I17" s="9" t="s">
        <v>1134</v>
      </c>
    </row>
    <row r="20" spans="1:9" x14ac:dyDescent="0.3">
      <c r="A20" s="29" t="s">
        <v>1135</v>
      </c>
    </row>
    <row r="21" spans="1:9" x14ac:dyDescent="0.3">
      <c r="A21" s="30" t="s">
        <v>1136</v>
      </c>
    </row>
    <row r="22" spans="1:9" x14ac:dyDescent="0.3">
      <c r="A22" s="30" t="s">
        <v>1137</v>
      </c>
    </row>
    <row r="23" spans="1:9" x14ac:dyDescent="0.3">
      <c r="A23" s="30" t="s">
        <v>1138</v>
      </c>
    </row>
    <row r="24" spans="1:9" x14ac:dyDescent="0.3">
      <c r="A24" s="30" t="s">
        <v>1139</v>
      </c>
    </row>
    <row r="25" spans="1:9" x14ac:dyDescent="0.3">
      <c r="A25" s="30" t="s">
        <v>1140</v>
      </c>
    </row>
    <row r="26" spans="1:9" x14ac:dyDescent="0.3">
      <c r="A26" s="30" t="s">
        <v>1141</v>
      </c>
    </row>
  </sheetData>
  <pageMargins left="0.75" right="0.75" top="1" bottom="1" header="0.5" footer="0.5"/>
  <pageSetup fitToHeight="0" orientation="landscape"/>
  <tableParts count="6">
    <tablePart r:id="rId1"/>
    <tablePart r:id="rId2"/>
    <tablePart r:id="rId3"/>
    <tablePart r:id="rId4"/>
    <tablePart r:id="rId5"/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2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4" customWidth="1"/>
    <col min="3" max="3" width="12" customWidth="1"/>
    <col min="4" max="5" width="10" customWidth="1"/>
    <col min="6" max="6" width="9" customWidth="1"/>
    <col min="7" max="7" width="11" customWidth="1"/>
    <col min="8" max="8" width="9" customWidth="1"/>
    <col min="9" max="9" width="40" customWidth="1"/>
    <col min="10" max="10" width="7" customWidth="1"/>
    <col min="11" max="12" width="9" customWidth="1"/>
    <col min="13" max="13" width="10" customWidth="1"/>
    <col min="14" max="14" width="22" customWidth="1"/>
  </cols>
  <sheetData>
    <row r="1" spans="1:14" ht="17.399999999999999" x14ac:dyDescent="0.3">
      <c r="A1" s="1" t="s">
        <v>1142</v>
      </c>
    </row>
    <row r="2" spans="1:14" x14ac:dyDescent="0.3">
      <c r="A2" s="2" t="s">
        <v>1143</v>
      </c>
    </row>
    <row r="4" spans="1:14" ht="39.6" x14ac:dyDescent="0.3">
      <c r="A4" s="8" t="s">
        <v>1144</v>
      </c>
      <c r="B4" s="8" t="s">
        <v>1145</v>
      </c>
      <c r="C4" s="8" t="s">
        <v>1146</v>
      </c>
      <c r="D4" s="8" t="s">
        <v>1147</v>
      </c>
      <c r="E4" s="8" t="s">
        <v>1148</v>
      </c>
      <c r="F4" s="8" t="s">
        <v>1149</v>
      </c>
      <c r="G4" s="8" t="s">
        <v>1150</v>
      </c>
      <c r="H4" s="8" t="s">
        <v>1151</v>
      </c>
      <c r="I4" s="8" t="s">
        <v>872</v>
      </c>
      <c r="J4" s="18" t="s">
        <v>1152</v>
      </c>
      <c r="K4" s="18" t="s">
        <v>223</v>
      </c>
      <c r="L4" s="18" t="s">
        <v>1153</v>
      </c>
      <c r="M4" s="18" t="s">
        <v>1154</v>
      </c>
      <c r="N4" s="18" t="s">
        <v>14</v>
      </c>
    </row>
    <row r="5" spans="1:14" ht="36" customHeight="1" x14ac:dyDescent="0.3">
      <c r="A5" s="17" t="s">
        <v>265</v>
      </c>
      <c r="B5" s="17" t="s">
        <v>1155</v>
      </c>
      <c r="C5" s="17" t="s">
        <v>1156</v>
      </c>
      <c r="D5" s="19">
        <v>400</v>
      </c>
      <c r="E5" s="17" t="s">
        <v>1157</v>
      </c>
      <c r="F5" s="17" t="s">
        <v>1158</v>
      </c>
      <c r="G5" s="17" t="s">
        <v>263</v>
      </c>
      <c r="H5" s="17" t="s">
        <v>1159</v>
      </c>
      <c r="I5" s="17" t="s">
        <v>1160</v>
      </c>
      <c r="J5" s="10">
        <f>IF(A5="","",COUNTIF(tbl_quimicos[Local_Armazenagem],A5))</f>
        <v>8</v>
      </c>
      <c r="K5" s="22">
        <f>IF(A5="","",SUMIFS(tbl_quimicos[Stock_Max_kg],tbl_quimicos[Local_Armazenagem],A5))</f>
        <v>460</v>
      </c>
      <c r="L5" s="22">
        <f>IF(A5="","",_xlfn.MAXIFS(tbl_quimicos[Volume_Embalagem_L],tbl_quimicos[Local_Armazenagem],A5))</f>
        <v>25</v>
      </c>
      <c r="M5" s="22">
        <f t="shared" ref="M5:M26" si="0">IF(OR(A5="",D5=""),"",MAX(L5,p_Fator_Retencao*K5))</f>
        <v>230</v>
      </c>
      <c r="N5" s="23" t="str">
        <f t="shared" ref="N5:N26" si="1">IF(A5="","",IF(G5="Não","Incompatibilidade — separar",IF(D5="","N.A. (sem líquidos a reter)",IF(D5&lt;M5,"Retenção insuficiente",IF(OR(H5="",H5="—"),"Sem ponto de ronda","Conforme")))))</f>
        <v>Conforme</v>
      </c>
    </row>
    <row r="6" spans="1:14" ht="36" customHeight="1" x14ac:dyDescent="0.3">
      <c r="A6" s="17" t="s">
        <v>443</v>
      </c>
      <c r="B6" s="17" t="s">
        <v>1161</v>
      </c>
      <c r="C6" s="17" t="s">
        <v>1156</v>
      </c>
      <c r="D6" s="19">
        <v>440</v>
      </c>
      <c r="E6" s="17" t="s">
        <v>1162</v>
      </c>
      <c r="F6" s="17" t="s">
        <v>1158</v>
      </c>
      <c r="G6" s="17" t="s">
        <v>263</v>
      </c>
      <c r="H6" s="17" t="s">
        <v>1159</v>
      </c>
      <c r="I6" s="17" t="s">
        <v>1163</v>
      </c>
      <c r="J6" s="10">
        <f>IF(A6="","",COUNTIF(tbl_quimicos[Local_Armazenagem],A6))</f>
        <v>3</v>
      </c>
      <c r="K6" s="22">
        <f>IF(A6="","",SUMIFS(tbl_quimicos[Stock_Max_kg],tbl_quimicos[Local_Armazenagem],A6))</f>
        <v>1600</v>
      </c>
      <c r="L6" s="22">
        <f>IF(A6="","",_xlfn.MAXIFS(tbl_quimicos[Volume_Embalagem_L],tbl_quimicos[Local_Armazenagem],A6))</f>
        <v>200</v>
      </c>
      <c r="M6" s="22">
        <f t="shared" si="0"/>
        <v>800</v>
      </c>
      <c r="N6" s="23" t="str">
        <f t="shared" si="1"/>
        <v>Retenção insuficiente</v>
      </c>
    </row>
    <row r="7" spans="1:14" ht="36" customHeight="1" x14ac:dyDescent="0.3">
      <c r="A7" s="17" t="s">
        <v>316</v>
      </c>
      <c r="B7" s="17" t="s">
        <v>1164</v>
      </c>
      <c r="C7" s="17" t="s">
        <v>1156</v>
      </c>
      <c r="D7" s="19">
        <v>60</v>
      </c>
      <c r="E7" s="17" t="s">
        <v>1157</v>
      </c>
      <c r="F7" s="17" t="s">
        <v>1165</v>
      </c>
      <c r="G7" s="17" t="s">
        <v>263</v>
      </c>
      <c r="H7" s="17" t="s">
        <v>1166</v>
      </c>
      <c r="I7" s="17"/>
      <c r="J7" s="10">
        <f>IF(A7="","",COUNTIF(tbl_quimicos[Local_Armazenagem],A7))</f>
        <v>2</v>
      </c>
      <c r="K7" s="22">
        <f>IF(A7="","",SUMIFS(tbl_quimicos[Stock_Max_kg],tbl_quimicos[Local_Armazenagem],A7))</f>
        <v>30</v>
      </c>
      <c r="L7" s="22">
        <f>IF(A7="","",_xlfn.MAXIFS(tbl_quimicos[Volume_Embalagem_L],tbl_quimicos[Local_Armazenagem],A7))</f>
        <v>5</v>
      </c>
      <c r="M7" s="22">
        <f t="shared" si="0"/>
        <v>15</v>
      </c>
      <c r="N7" s="23" t="str">
        <f t="shared" si="1"/>
        <v>Conforme</v>
      </c>
    </row>
    <row r="8" spans="1:14" ht="36" customHeight="1" x14ac:dyDescent="0.3">
      <c r="A8" s="17" t="s">
        <v>493</v>
      </c>
      <c r="B8" s="17" t="s">
        <v>1167</v>
      </c>
      <c r="C8" s="17" t="s">
        <v>1168</v>
      </c>
      <c r="D8" s="19">
        <v>1100</v>
      </c>
      <c r="E8" s="17" t="s">
        <v>1162</v>
      </c>
      <c r="F8" s="17" t="s">
        <v>1169</v>
      </c>
      <c r="G8" s="17" t="s">
        <v>271</v>
      </c>
      <c r="H8" s="17" t="s">
        <v>1170</v>
      </c>
      <c r="I8" s="17" t="s">
        <v>1171</v>
      </c>
      <c r="J8" s="10">
        <f>IF(A8="","",COUNTIF(tbl_quimicos[Local_Armazenagem],A8))</f>
        <v>3</v>
      </c>
      <c r="K8" s="22">
        <f>IF(A8="","",SUMIFS(tbl_quimicos[Stock_Max_kg],tbl_quimicos[Local_Armazenagem],A8))</f>
        <v>1450</v>
      </c>
      <c r="L8" s="22">
        <f>IF(A8="","",_xlfn.MAXIFS(tbl_quimicos[Volume_Embalagem_L],tbl_quimicos[Local_Armazenagem],A8))</f>
        <v>1000</v>
      </c>
      <c r="M8" s="22">
        <f t="shared" si="0"/>
        <v>1000</v>
      </c>
      <c r="N8" s="23" t="str">
        <f t="shared" si="1"/>
        <v>Incompatibilidade — separar</v>
      </c>
    </row>
    <row r="9" spans="1:14" ht="36" customHeight="1" x14ac:dyDescent="0.3">
      <c r="A9" s="17" t="s">
        <v>423</v>
      </c>
      <c r="B9" s="17" t="s">
        <v>1172</v>
      </c>
      <c r="C9" s="17" t="s">
        <v>1156</v>
      </c>
      <c r="D9" s="19">
        <v>30</v>
      </c>
      <c r="E9" s="17" t="s">
        <v>1162</v>
      </c>
      <c r="F9" s="17" t="s">
        <v>1173</v>
      </c>
      <c r="G9" s="17" t="s">
        <v>263</v>
      </c>
      <c r="H9" s="17" t="s">
        <v>1170</v>
      </c>
      <c r="I9" s="17"/>
      <c r="J9" s="10">
        <f>IF(A9="","",COUNTIF(tbl_quimicos[Local_Armazenagem],A9))</f>
        <v>5</v>
      </c>
      <c r="K9" s="22">
        <f>IF(A9="","",SUMIFS(tbl_quimicos[Stock_Max_kg],tbl_quimicos[Local_Armazenagem],A9))</f>
        <v>38.5</v>
      </c>
      <c r="L9" s="22">
        <f>IF(A9="","",_xlfn.MAXIFS(tbl_quimicos[Volume_Embalagem_L],tbl_quimicos[Local_Armazenagem],A9))</f>
        <v>0.5</v>
      </c>
      <c r="M9" s="22">
        <f t="shared" si="0"/>
        <v>19.25</v>
      </c>
      <c r="N9" s="23" t="str">
        <f t="shared" si="1"/>
        <v>Conforme</v>
      </c>
    </row>
    <row r="10" spans="1:14" ht="36" customHeight="1" x14ac:dyDescent="0.3">
      <c r="A10" s="17" t="s">
        <v>328</v>
      </c>
      <c r="B10" s="17" t="s">
        <v>1174</v>
      </c>
      <c r="C10" s="17" t="s">
        <v>1175</v>
      </c>
      <c r="D10" s="19"/>
      <c r="E10" s="17" t="s">
        <v>1162</v>
      </c>
      <c r="F10" s="17" t="s">
        <v>113</v>
      </c>
      <c r="G10" s="17" t="s">
        <v>263</v>
      </c>
      <c r="H10" s="17" t="s">
        <v>1170</v>
      </c>
      <c r="I10" s="17" t="s">
        <v>1176</v>
      </c>
      <c r="J10" s="10">
        <f>IF(A10="","",COUNTIF(tbl_quimicos[Local_Armazenagem],A10))</f>
        <v>3</v>
      </c>
      <c r="K10" s="22">
        <f>IF(A10="","",SUMIFS(tbl_quimicos[Stock_Max_kg],tbl_quimicos[Local_Armazenagem],A10))</f>
        <v>216</v>
      </c>
      <c r="L10" s="22">
        <f>IF(A10="","",_xlfn.MAXIFS(tbl_quimicos[Volume_Embalagem_L],tbl_quimicos[Local_Armazenagem],A10))</f>
        <v>0</v>
      </c>
      <c r="M10" s="22" t="str">
        <f t="shared" si="0"/>
        <v/>
      </c>
      <c r="N10" s="23" t="str">
        <f t="shared" si="1"/>
        <v>N.A. (sem líquidos a reter)</v>
      </c>
    </row>
    <row r="11" spans="1:14" ht="36" customHeight="1" x14ac:dyDescent="0.3">
      <c r="A11" s="17" t="s">
        <v>470</v>
      </c>
      <c r="B11" s="17" t="s">
        <v>1177</v>
      </c>
      <c r="C11" s="17" t="s">
        <v>1175</v>
      </c>
      <c r="D11" s="19">
        <v>3000</v>
      </c>
      <c r="E11" s="17" t="s">
        <v>1162</v>
      </c>
      <c r="F11" s="17" t="s">
        <v>1169</v>
      </c>
      <c r="G11" s="17" t="s">
        <v>263</v>
      </c>
      <c r="H11" s="17" t="s">
        <v>1170</v>
      </c>
      <c r="I11" s="17" t="s">
        <v>1178</v>
      </c>
      <c r="J11" s="10">
        <f>IF(A11="","",COUNTIF(tbl_quimicos[Local_Armazenagem],A11))</f>
        <v>1</v>
      </c>
      <c r="K11" s="22">
        <f>IF(A11="","",SUMIFS(tbl_quimicos[Stock_Max_kg],tbl_quimicos[Local_Armazenagem],A11))</f>
        <v>2500</v>
      </c>
      <c r="L11" s="22">
        <f>IF(A11="","",_xlfn.MAXIFS(tbl_quimicos[Volume_Embalagem_L],tbl_quimicos[Local_Armazenagem],A11))</f>
        <v>3000</v>
      </c>
      <c r="M11" s="22">
        <f t="shared" si="0"/>
        <v>3000</v>
      </c>
      <c r="N11" s="23" t="str">
        <f t="shared" si="1"/>
        <v>Conforme</v>
      </c>
    </row>
    <row r="12" spans="1:14" ht="36" customHeight="1" x14ac:dyDescent="0.3">
      <c r="A12" s="17" t="s">
        <v>522</v>
      </c>
      <c r="B12" s="17" t="s">
        <v>1179</v>
      </c>
      <c r="C12" s="17" t="s">
        <v>1156</v>
      </c>
      <c r="D12" s="19">
        <v>20</v>
      </c>
      <c r="E12" s="17" t="s">
        <v>1157</v>
      </c>
      <c r="F12" s="17" t="s">
        <v>1158</v>
      </c>
      <c r="G12" s="17" t="s">
        <v>263</v>
      </c>
      <c r="H12" s="17" t="s">
        <v>1170</v>
      </c>
      <c r="I12" s="17"/>
      <c r="J12" s="10">
        <f>IF(A12="","",COUNTIF(tbl_quimicos[Local_Armazenagem],A12))</f>
        <v>2</v>
      </c>
      <c r="K12" s="22">
        <f>IF(A12="","",SUMIFS(tbl_quimicos[Stock_Max_kg],tbl_quimicos[Local_Armazenagem],A12))</f>
        <v>25</v>
      </c>
      <c r="L12" s="22">
        <f>IF(A12="","",_xlfn.MAXIFS(tbl_quimicos[Volume_Embalagem_L],tbl_quimicos[Local_Armazenagem],A12))</f>
        <v>5</v>
      </c>
      <c r="M12" s="22">
        <f t="shared" si="0"/>
        <v>12.5</v>
      </c>
      <c r="N12" s="23" t="str">
        <f t="shared" si="1"/>
        <v>Conforme</v>
      </c>
    </row>
    <row r="13" spans="1:14" ht="36" customHeight="1" x14ac:dyDescent="0.3">
      <c r="A13" s="17" t="s">
        <v>487</v>
      </c>
      <c r="B13" s="17" t="s">
        <v>1180</v>
      </c>
      <c r="C13" s="17" t="s">
        <v>1156</v>
      </c>
      <c r="D13" s="19">
        <v>50</v>
      </c>
      <c r="E13" s="17" t="s">
        <v>1157</v>
      </c>
      <c r="F13" s="17" t="s">
        <v>1173</v>
      </c>
      <c r="G13" s="17" t="s">
        <v>263</v>
      </c>
      <c r="H13" s="17" t="s">
        <v>1170</v>
      </c>
      <c r="I13" s="17" t="s">
        <v>1181</v>
      </c>
      <c r="J13" s="10">
        <f>IF(A13="","",COUNTIF(tbl_quimicos[Local_Armazenagem],A13))</f>
        <v>1</v>
      </c>
      <c r="K13" s="22">
        <f>IF(A13="","",SUMIFS(tbl_quimicos[Stock_Max_kg],tbl_quimicos[Local_Armazenagem],A13))</f>
        <v>50</v>
      </c>
      <c r="L13" s="22">
        <f>IF(A13="","",_xlfn.MAXIFS(tbl_quimicos[Volume_Embalagem_L],tbl_quimicos[Local_Armazenagem],A13))</f>
        <v>25</v>
      </c>
      <c r="M13" s="22">
        <f t="shared" si="0"/>
        <v>25</v>
      </c>
      <c r="N13" s="23" t="str">
        <f t="shared" si="1"/>
        <v>Conforme</v>
      </c>
    </row>
    <row r="14" spans="1:14" ht="36" customHeight="1" x14ac:dyDescent="0.3">
      <c r="A14" s="17" t="s">
        <v>351</v>
      </c>
      <c r="B14" s="17" t="s">
        <v>1182</v>
      </c>
      <c r="C14" s="17" t="s">
        <v>1183</v>
      </c>
      <c r="D14" s="19"/>
      <c r="E14" s="17" t="s">
        <v>710</v>
      </c>
      <c r="F14" s="17" t="s">
        <v>1184</v>
      </c>
      <c r="G14" s="17" t="s">
        <v>263</v>
      </c>
      <c r="H14" s="17" t="s">
        <v>1185</v>
      </c>
      <c r="I14" s="17" t="s">
        <v>1186</v>
      </c>
      <c r="J14" s="10">
        <f>IF(A14="","",COUNTIF(tbl_quimicos[Local_Armazenagem],A14))</f>
        <v>12</v>
      </c>
      <c r="K14" s="22">
        <f>IF(A14="","",SUMIFS(tbl_quimicos[Stock_Max_kg],tbl_quimicos[Local_Armazenagem],A14))</f>
        <v>152300</v>
      </c>
      <c r="L14" s="22">
        <f>IF(A14="","",_xlfn.MAXIFS(tbl_quimicos[Volume_Embalagem_L],tbl_quimicos[Local_Armazenagem],A14))</f>
        <v>0</v>
      </c>
      <c r="M14" s="22" t="str">
        <f t="shared" si="0"/>
        <v/>
      </c>
      <c r="N14" s="23" t="str">
        <f t="shared" si="1"/>
        <v>N.A. (sem líquidos a reter)</v>
      </c>
    </row>
    <row r="15" spans="1:14" ht="36" customHeight="1" x14ac:dyDescent="0.3">
      <c r="A15" s="17" t="s">
        <v>511</v>
      </c>
      <c r="B15" s="17" t="s">
        <v>1187</v>
      </c>
      <c r="C15" s="17" t="s">
        <v>1188</v>
      </c>
      <c r="D15" s="19"/>
      <c r="E15" s="17" t="s">
        <v>710</v>
      </c>
      <c r="F15" s="17" t="s">
        <v>113</v>
      </c>
      <c r="G15" s="17" t="s">
        <v>710</v>
      </c>
      <c r="H15" s="17" t="s">
        <v>113</v>
      </c>
      <c r="I15" s="17" t="s">
        <v>1189</v>
      </c>
      <c r="J15" s="10">
        <f>IF(A15="","",COUNTIF(tbl_quimicos[Local_Armazenagem],A15))</f>
        <v>1</v>
      </c>
      <c r="K15" s="22">
        <f>IF(A15="","",SUMIFS(tbl_quimicos[Stock_Max_kg],tbl_quimicos[Local_Armazenagem],A15))</f>
        <v>30</v>
      </c>
      <c r="L15" s="22">
        <f>IF(A15="","",_xlfn.MAXIFS(tbl_quimicos[Volume_Embalagem_L],tbl_quimicos[Local_Armazenagem],A15))</f>
        <v>0</v>
      </c>
      <c r="M15" s="22" t="str">
        <f t="shared" si="0"/>
        <v/>
      </c>
      <c r="N15" s="23" t="str">
        <f t="shared" si="1"/>
        <v>N.A. (sem líquidos a reter)</v>
      </c>
    </row>
    <row r="16" spans="1:14" ht="36" customHeight="1" x14ac:dyDescent="0.3">
      <c r="A16" s="17" t="s">
        <v>341</v>
      </c>
      <c r="B16" s="17" t="s">
        <v>1190</v>
      </c>
      <c r="C16" s="17" t="s">
        <v>1156</v>
      </c>
      <c r="D16" s="19"/>
      <c r="E16" s="17" t="s">
        <v>1162</v>
      </c>
      <c r="F16" s="17" t="s">
        <v>113</v>
      </c>
      <c r="G16" s="17" t="s">
        <v>710</v>
      </c>
      <c r="H16" s="17" t="s">
        <v>113</v>
      </c>
      <c r="I16" s="17"/>
      <c r="J16" s="10">
        <f>IF(A16="","",COUNTIF(tbl_quimicos[Local_Armazenagem],A16))</f>
        <v>1</v>
      </c>
      <c r="K16" s="22">
        <f>IF(A16="","",SUMIFS(tbl_quimicos[Stock_Max_kg],tbl_quimicos[Local_Armazenagem],A16))</f>
        <v>2000</v>
      </c>
      <c r="L16" s="22">
        <f>IF(A16="","",_xlfn.MAXIFS(tbl_quimicos[Volume_Embalagem_L],tbl_quimicos[Local_Armazenagem],A16))</f>
        <v>0</v>
      </c>
      <c r="M16" s="22" t="str">
        <f t="shared" si="0"/>
        <v/>
      </c>
      <c r="N16" s="23" t="str">
        <f t="shared" si="1"/>
        <v>N.A. (sem líquidos a reter)</v>
      </c>
    </row>
    <row r="17" spans="1:14" ht="36" customHeight="1" x14ac:dyDescent="0.3">
      <c r="A17" s="17"/>
      <c r="B17" s="17"/>
      <c r="C17" s="17"/>
      <c r="D17" s="19"/>
      <c r="E17" s="17"/>
      <c r="F17" s="17"/>
      <c r="G17" s="17"/>
      <c r="H17" s="17"/>
      <c r="I17" s="17"/>
      <c r="J17" s="10" t="str">
        <f>IF(A17="","",COUNTIF(tbl_quimicos[Local_Armazenagem],A17))</f>
        <v/>
      </c>
      <c r="K17" s="22" t="str">
        <f>IF(A17="","",SUMIFS(tbl_quimicos[Stock_Max_kg],tbl_quimicos[Local_Armazenagem],A17))</f>
        <v/>
      </c>
      <c r="L17" s="22" t="str">
        <f>IF(A17="","",_xlfn.MAXIFS(tbl_quimicos[Volume_Embalagem_L],tbl_quimicos[Local_Armazenagem],A17))</f>
        <v/>
      </c>
      <c r="M17" s="22" t="str">
        <f t="shared" si="0"/>
        <v/>
      </c>
      <c r="N17" s="23" t="str">
        <f t="shared" si="1"/>
        <v/>
      </c>
    </row>
    <row r="18" spans="1:14" ht="36" customHeight="1" x14ac:dyDescent="0.3">
      <c r="A18" s="17"/>
      <c r="B18" s="17"/>
      <c r="C18" s="17"/>
      <c r="D18" s="19"/>
      <c r="E18" s="17"/>
      <c r="F18" s="17"/>
      <c r="G18" s="17"/>
      <c r="H18" s="17"/>
      <c r="I18" s="17"/>
      <c r="J18" s="10" t="str">
        <f>IF(A18="","",COUNTIF(tbl_quimicos[Local_Armazenagem],A18))</f>
        <v/>
      </c>
      <c r="K18" s="22" t="str">
        <f>IF(A18="","",SUMIFS(tbl_quimicos[Stock_Max_kg],tbl_quimicos[Local_Armazenagem],A18))</f>
        <v/>
      </c>
      <c r="L18" s="22" t="str">
        <f>IF(A18="","",_xlfn.MAXIFS(tbl_quimicos[Volume_Embalagem_L],tbl_quimicos[Local_Armazenagem],A18))</f>
        <v/>
      </c>
      <c r="M18" s="22" t="str">
        <f t="shared" si="0"/>
        <v/>
      </c>
      <c r="N18" s="23" t="str">
        <f t="shared" si="1"/>
        <v/>
      </c>
    </row>
    <row r="19" spans="1:14" ht="36" customHeight="1" x14ac:dyDescent="0.3">
      <c r="A19" s="17"/>
      <c r="B19" s="17"/>
      <c r="C19" s="17"/>
      <c r="D19" s="19"/>
      <c r="E19" s="17"/>
      <c r="F19" s="17"/>
      <c r="G19" s="17"/>
      <c r="H19" s="17"/>
      <c r="I19" s="17"/>
      <c r="J19" s="10" t="str">
        <f>IF(A19="","",COUNTIF(tbl_quimicos[Local_Armazenagem],A19))</f>
        <v/>
      </c>
      <c r="K19" s="22" t="str">
        <f>IF(A19="","",SUMIFS(tbl_quimicos[Stock_Max_kg],tbl_quimicos[Local_Armazenagem],A19))</f>
        <v/>
      </c>
      <c r="L19" s="22" t="str">
        <f>IF(A19="","",_xlfn.MAXIFS(tbl_quimicos[Volume_Embalagem_L],tbl_quimicos[Local_Armazenagem],A19))</f>
        <v/>
      </c>
      <c r="M19" s="22" t="str">
        <f t="shared" si="0"/>
        <v/>
      </c>
      <c r="N19" s="23" t="str">
        <f t="shared" si="1"/>
        <v/>
      </c>
    </row>
    <row r="20" spans="1:14" ht="36" customHeight="1" x14ac:dyDescent="0.3">
      <c r="A20" s="17"/>
      <c r="B20" s="17"/>
      <c r="C20" s="17"/>
      <c r="D20" s="19"/>
      <c r="E20" s="17"/>
      <c r="F20" s="17"/>
      <c r="G20" s="17"/>
      <c r="H20" s="17"/>
      <c r="I20" s="17"/>
      <c r="J20" s="10" t="str">
        <f>IF(A20="","",COUNTIF(tbl_quimicos[Local_Armazenagem],A20))</f>
        <v/>
      </c>
      <c r="K20" s="22" t="str">
        <f>IF(A20="","",SUMIFS(tbl_quimicos[Stock_Max_kg],tbl_quimicos[Local_Armazenagem],A20))</f>
        <v/>
      </c>
      <c r="L20" s="22" t="str">
        <f>IF(A20="","",_xlfn.MAXIFS(tbl_quimicos[Volume_Embalagem_L],tbl_quimicos[Local_Armazenagem],A20))</f>
        <v/>
      </c>
      <c r="M20" s="22" t="str">
        <f t="shared" si="0"/>
        <v/>
      </c>
      <c r="N20" s="23" t="str">
        <f t="shared" si="1"/>
        <v/>
      </c>
    </row>
    <row r="21" spans="1:14" ht="36" customHeight="1" x14ac:dyDescent="0.3">
      <c r="A21" s="17"/>
      <c r="B21" s="17"/>
      <c r="C21" s="17"/>
      <c r="D21" s="19"/>
      <c r="E21" s="17"/>
      <c r="F21" s="17"/>
      <c r="G21" s="17"/>
      <c r="H21" s="17"/>
      <c r="I21" s="17"/>
      <c r="J21" s="10" t="str">
        <f>IF(A21="","",COUNTIF(tbl_quimicos[Local_Armazenagem],A21))</f>
        <v/>
      </c>
      <c r="K21" s="22" t="str">
        <f>IF(A21="","",SUMIFS(tbl_quimicos[Stock_Max_kg],tbl_quimicos[Local_Armazenagem],A21))</f>
        <v/>
      </c>
      <c r="L21" s="22" t="str">
        <f>IF(A21="","",_xlfn.MAXIFS(tbl_quimicos[Volume_Embalagem_L],tbl_quimicos[Local_Armazenagem],A21))</f>
        <v/>
      </c>
      <c r="M21" s="22" t="str">
        <f t="shared" si="0"/>
        <v/>
      </c>
      <c r="N21" s="23" t="str">
        <f t="shared" si="1"/>
        <v/>
      </c>
    </row>
    <row r="22" spans="1:14" ht="36" customHeight="1" x14ac:dyDescent="0.3">
      <c r="A22" s="17"/>
      <c r="B22" s="17"/>
      <c r="C22" s="17"/>
      <c r="D22" s="19"/>
      <c r="E22" s="17"/>
      <c r="F22" s="17"/>
      <c r="G22" s="17"/>
      <c r="H22" s="17"/>
      <c r="I22" s="17"/>
      <c r="J22" s="10" t="str">
        <f>IF(A22="","",COUNTIF(tbl_quimicos[Local_Armazenagem],A22))</f>
        <v/>
      </c>
      <c r="K22" s="22" t="str">
        <f>IF(A22="","",SUMIFS(tbl_quimicos[Stock_Max_kg],tbl_quimicos[Local_Armazenagem],A22))</f>
        <v/>
      </c>
      <c r="L22" s="22" t="str">
        <f>IF(A22="","",_xlfn.MAXIFS(tbl_quimicos[Volume_Embalagem_L],tbl_quimicos[Local_Armazenagem],A22))</f>
        <v/>
      </c>
      <c r="M22" s="22" t="str">
        <f t="shared" si="0"/>
        <v/>
      </c>
      <c r="N22" s="23" t="str">
        <f t="shared" si="1"/>
        <v/>
      </c>
    </row>
    <row r="23" spans="1:14" ht="36" customHeight="1" x14ac:dyDescent="0.3">
      <c r="A23" s="17"/>
      <c r="B23" s="17"/>
      <c r="C23" s="17"/>
      <c r="D23" s="19"/>
      <c r="E23" s="17"/>
      <c r="F23" s="17"/>
      <c r="G23" s="17"/>
      <c r="H23" s="17"/>
      <c r="I23" s="17"/>
      <c r="J23" s="10" t="str">
        <f>IF(A23="","",COUNTIF(tbl_quimicos[Local_Armazenagem],A23))</f>
        <v/>
      </c>
      <c r="K23" s="22" t="str">
        <f>IF(A23="","",SUMIFS(tbl_quimicos[Stock_Max_kg],tbl_quimicos[Local_Armazenagem],A23))</f>
        <v/>
      </c>
      <c r="L23" s="22" t="str">
        <f>IF(A23="","",_xlfn.MAXIFS(tbl_quimicos[Volume_Embalagem_L],tbl_quimicos[Local_Armazenagem],A23))</f>
        <v/>
      </c>
      <c r="M23" s="22" t="str">
        <f t="shared" si="0"/>
        <v/>
      </c>
      <c r="N23" s="23" t="str">
        <f t="shared" si="1"/>
        <v/>
      </c>
    </row>
    <row r="24" spans="1:14" ht="36" customHeight="1" x14ac:dyDescent="0.3">
      <c r="A24" s="17"/>
      <c r="B24" s="17"/>
      <c r="C24" s="17"/>
      <c r="D24" s="19"/>
      <c r="E24" s="17"/>
      <c r="F24" s="17"/>
      <c r="G24" s="17"/>
      <c r="H24" s="17"/>
      <c r="I24" s="17"/>
      <c r="J24" s="10" t="str">
        <f>IF(A24="","",COUNTIF(tbl_quimicos[Local_Armazenagem],A24))</f>
        <v/>
      </c>
      <c r="K24" s="22" t="str">
        <f>IF(A24="","",SUMIFS(tbl_quimicos[Stock_Max_kg],tbl_quimicos[Local_Armazenagem],A24))</f>
        <v/>
      </c>
      <c r="L24" s="22" t="str">
        <f>IF(A24="","",_xlfn.MAXIFS(tbl_quimicos[Volume_Embalagem_L],tbl_quimicos[Local_Armazenagem],A24))</f>
        <v/>
      </c>
      <c r="M24" s="22" t="str">
        <f t="shared" si="0"/>
        <v/>
      </c>
      <c r="N24" s="23" t="str">
        <f t="shared" si="1"/>
        <v/>
      </c>
    </row>
    <row r="25" spans="1:14" ht="36" customHeight="1" x14ac:dyDescent="0.3">
      <c r="A25" s="17"/>
      <c r="B25" s="17"/>
      <c r="C25" s="17"/>
      <c r="D25" s="19"/>
      <c r="E25" s="17"/>
      <c r="F25" s="17"/>
      <c r="G25" s="17"/>
      <c r="H25" s="17"/>
      <c r="I25" s="17"/>
      <c r="J25" s="10" t="str">
        <f>IF(A25="","",COUNTIF(tbl_quimicos[Local_Armazenagem],A25))</f>
        <v/>
      </c>
      <c r="K25" s="22" t="str">
        <f>IF(A25="","",SUMIFS(tbl_quimicos[Stock_Max_kg],tbl_quimicos[Local_Armazenagem],A25))</f>
        <v/>
      </c>
      <c r="L25" s="22" t="str">
        <f>IF(A25="","",_xlfn.MAXIFS(tbl_quimicos[Volume_Embalagem_L],tbl_quimicos[Local_Armazenagem],A25))</f>
        <v/>
      </c>
      <c r="M25" s="22" t="str">
        <f t="shared" si="0"/>
        <v/>
      </c>
      <c r="N25" s="23" t="str">
        <f t="shared" si="1"/>
        <v/>
      </c>
    </row>
    <row r="26" spans="1:14" ht="36" customHeight="1" x14ac:dyDescent="0.3">
      <c r="A26" s="17"/>
      <c r="B26" s="17"/>
      <c r="C26" s="17"/>
      <c r="D26" s="19"/>
      <c r="E26" s="17"/>
      <c r="F26" s="17"/>
      <c r="G26" s="17"/>
      <c r="H26" s="17"/>
      <c r="I26" s="17"/>
      <c r="J26" s="10" t="str">
        <f>IF(A26="","",COUNTIF(tbl_quimicos[Local_Armazenagem],A26))</f>
        <v/>
      </c>
      <c r="K26" s="22" t="str">
        <f>IF(A26="","",SUMIFS(tbl_quimicos[Stock_Max_kg],tbl_quimicos[Local_Armazenagem],A26))</f>
        <v/>
      </c>
      <c r="L26" s="22" t="str">
        <f>IF(A26="","",_xlfn.MAXIFS(tbl_quimicos[Volume_Embalagem_L],tbl_quimicos[Local_Armazenagem],A26))</f>
        <v/>
      </c>
      <c r="M26" s="22" t="str">
        <f t="shared" si="0"/>
        <v/>
      </c>
      <c r="N26" s="23" t="str">
        <f t="shared" si="1"/>
        <v/>
      </c>
    </row>
  </sheetData>
  <conditionalFormatting sqref="N5:N226">
    <cfRule type="expression" dxfId="17" priority="1">
      <formula>ISNUMBER(SEARCH("Incompatibilidade",N5))</formula>
    </cfRule>
    <cfRule type="expression" dxfId="16" priority="2">
      <formula>ISNUMBER(SEARCH("insuficiente",N5))</formula>
    </cfRule>
    <cfRule type="expression" dxfId="15" priority="3">
      <formula>ISNUMBER(SEARCH("Sem ponto",N5))</formula>
    </cfRule>
    <cfRule type="expression" dxfId="14" priority="4">
      <formula>ISNUMBER(SEARCH("Conforme",N5))</formula>
    </cfRule>
    <cfRule type="expression" dxfId="13" priority="5">
      <formula>ISNUMBER(SEARCH("N.A.",N5))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9"/>
  <sheetViews>
    <sheetView showGridLines="0" workbookViewId="0"/>
  </sheetViews>
  <sheetFormatPr defaultRowHeight="14.4" x14ac:dyDescent="0.3"/>
  <cols>
    <col min="1" max="1" width="34" customWidth="1"/>
    <col min="2" max="9" width="15" customWidth="1"/>
  </cols>
  <sheetData>
    <row r="1" spans="1:9" ht="17.399999999999999" x14ac:dyDescent="0.3">
      <c r="A1" s="1" t="s">
        <v>1191</v>
      </c>
    </row>
    <row r="2" spans="1:9" x14ac:dyDescent="0.3">
      <c r="A2" s="2" t="s">
        <v>1192</v>
      </c>
    </row>
    <row r="4" spans="1:9" ht="45" customHeight="1" x14ac:dyDescent="0.3">
      <c r="B4" s="8" t="s">
        <v>1193</v>
      </c>
      <c r="C4" s="8" t="s">
        <v>1194</v>
      </c>
      <c r="D4" s="8" t="s">
        <v>1195</v>
      </c>
      <c r="E4" s="8" t="s">
        <v>1196</v>
      </c>
      <c r="F4" s="8" t="s">
        <v>1197</v>
      </c>
      <c r="G4" s="8" t="s">
        <v>1198</v>
      </c>
      <c r="H4" s="8" t="s">
        <v>1199</v>
      </c>
      <c r="I4" s="8" t="s">
        <v>1200</v>
      </c>
    </row>
    <row r="5" spans="1:9" ht="15.6" x14ac:dyDescent="0.3">
      <c r="A5" s="31" t="s">
        <v>1193</v>
      </c>
      <c r="B5" s="32" t="s">
        <v>1201</v>
      </c>
      <c r="C5" s="33" t="s">
        <v>1202</v>
      </c>
      <c r="D5" s="34" t="s">
        <v>1203</v>
      </c>
      <c r="E5" s="34" t="s">
        <v>1203</v>
      </c>
      <c r="F5" s="34" t="s">
        <v>1203</v>
      </c>
      <c r="G5" s="34" t="s">
        <v>1203</v>
      </c>
      <c r="H5" s="32" t="s">
        <v>1201</v>
      </c>
      <c r="I5" s="32" t="s">
        <v>1201</v>
      </c>
    </row>
    <row r="6" spans="1:9" ht="15.6" x14ac:dyDescent="0.3">
      <c r="A6" s="31" t="s">
        <v>1194</v>
      </c>
      <c r="B6" s="33" t="s">
        <v>1202</v>
      </c>
      <c r="C6" s="32" t="s">
        <v>1201</v>
      </c>
      <c r="D6" s="34" t="s">
        <v>1203</v>
      </c>
      <c r="E6" s="34" t="s">
        <v>1203</v>
      </c>
      <c r="F6" s="34" t="s">
        <v>1203</v>
      </c>
      <c r="G6" s="34" t="s">
        <v>1203</v>
      </c>
      <c r="H6" s="34" t="s">
        <v>1203</v>
      </c>
      <c r="I6" s="34" t="s">
        <v>1203</v>
      </c>
    </row>
    <row r="7" spans="1:9" ht="15.6" x14ac:dyDescent="0.3">
      <c r="A7" s="31" t="s">
        <v>1195</v>
      </c>
      <c r="B7" s="34" t="s">
        <v>1203</v>
      </c>
      <c r="C7" s="34" t="s">
        <v>1203</v>
      </c>
      <c r="D7" s="32" t="s">
        <v>1201</v>
      </c>
      <c r="E7" s="34" t="s">
        <v>1203</v>
      </c>
      <c r="F7" s="34" t="s">
        <v>1203</v>
      </c>
      <c r="G7" s="34" t="s">
        <v>1203</v>
      </c>
      <c r="H7" s="34" t="s">
        <v>1203</v>
      </c>
      <c r="I7" s="34" t="s">
        <v>1203</v>
      </c>
    </row>
    <row r="8" spans="1:9" ht="15.6" x14ac:dyDescent="0.3">
      <c r="A8" s="31" t="s">
        <v>1196</v>
      </c>
      <c r="B8" s="34" t="s">
        <v>1203</v>
      </c>
      <c r="C8" s="34" t="s">
        <v>1203</v>
      </c>
      <c r="D8" s="34" t="s">
        <v>1203</v>
      </c>
      <c r="E8" s="32" t="s">
        <v>1201</v>
      </c>
      <c r="F8" s="33" t="s">
        <v>1202</v>
      </c>
      <c r="G8" s="34" t="s">
        <v>1203</v>
      </c>
      <c r="H8" s="32" t="s">
        <v>1201</v>
      </c>
      <c r="I8" s="32" t="s">
        <v>1201</v>
      </c>
    </row>
    <row r="9" spans="1:9" ht="15.6" x14ac:dyDescent="0.3">
      <c r="A9" s="31" t="s">
        <v>1197</v>
      </c>
      <c r="B9" s="34" t="s">
        <v>1203</v>
      </c>
      <c r="C9" s="34" t="s">
        <v>1203</v>
      </c>
      <c r="D9" s="34" t="s">
        <v>1203</v>
      </c>
      <c r="E9" s="33" t="s">
        <v>1202</v>
      </c>
      <c r="F9" s="32" t="s">
        <v>1201</v>
      </c>
      <c r="G9" s="34" t="s">
        <v>1203</v>
      </c>
      <c r="H9" s="32" t="s">
        <v>1201</v>
      </c>
      <c r="I9" s="32" t="s">
        <v>1201</v>
      </c>
    </row>
    <row r="10" spans="1:9" ht="15.6" x14ac:dyDescent="0.3">
      <c r="A10" s="31" t="s">
        <v>1198</v>
      </c>
      <c r="B10" s="34" t="s">
        <v>1203</v>
      </c>
      <c r="C10" s="34" t="s">
        <v>1203</v>
      </c>
      <c r="D10" s="34" t="s">
        <v>1203</v>
      </c>
      <c r="E10" s="34" t="s">
        <v>1203</v>
      </c>
      <c r="F10" s="34" t="s">
        <v>1203</v>
      </c>
      <c r="G10" s="32" t="s">
        <v>1201</v>
      </c>
      <c r="H10" s="32" t="s">
        <v>1201</v>
      </c>
      <c r="I10" s="32" t="s">
        <v>1201</v>
      </c>
    </row>
    <row r="11" spans="1:9" ht="15.6" x14ac:dyDescent="0.3">
      <c r="A11" s="31" t="s">
        <v>1199</v>
      </c>
      <c r="B11" s="32" t="s">
        <v>1201</v>
      </c>
      <c r="C11" s="34" t="s">
        <v>1203</v>
      </c>
      <c r="D11" s="34" t="s">
        <v>1203</v>
      </c>
      <c r="E11" s="32" t="s">
        <v>1201</v>
      </c>
      <c r="F11" s="32" t="s">
        <v>1201</v>
      </c>
      <c r="G11" s="32" t="s">
        <v>1201</v>
      </c>
      <c r="H11" s="32" t="s">
        <v>1201</v>
      </c>
      <c r="I11" s="32" t="s">
        <v>1201</v>
      </c>
    </row>
    <row r="12" spans="1:9" ht="15.6" x14ac:dyDescent="0.3">
      <c r="A12" s="31" t="s">
        <v>1200</v>
      </c>
      <c r="B12" s="32" t="s">
        <v>1201</v>
      </c>
      <c r="C12" s="34" t="s">
        <v>1203</v>
      </c>
      <c r="D12" s="34" t="s">
        <v>1203</v>
      </c>
      <c r="E12" s="32" t="s">
        <v>1201</v>
      </c>
      <c r="F12" s="32" t="s">
        <v>1201</v>
      </c>
      <c r="G12" s="32" t="s">
        <v>1201</v>
      </c>
      <c r="H12" s="32" t="s">
        <v>1201</v>
      </c>
      <c r="I12" s="32" t="s">
        <v>1201</v>
      </c>
    </row>
    <row r="15" spans="1:9" x14ac:dyDescent="0.3">
      <c r="A15" s="15" t="s">
        <v>1204</v>
      </c>
    </row>
    <row r="16" spans="1:9" x14ac:dyDescent="0.3">
      <c r="A16" s="16" t="s">
        <v>1205</v>
      </c>
    </row>
    <row r="17" spans="1:1" x14ac:dyDescent="0.3">
      <c r="A17" s="16" t="s">
        <v>1206</v>
      </c>
    </row>
    <row r="18" spans="1:1" x14ac:dyDescent="0.3">
      <c r="A18" s="16" t="s">
        <v>1207</v>
      </c>
    </row>
    <row r="19" spans="1:1" x14ac:dyDescent="0.3">
      <c r="A19" s="16" t="s">
        <v>1208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24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50" customWidth="1"/>
    <col min="3" max="4" width="10" customWidth="1"/>
    <col min="5" max="5" width="14" customWidth="1"/>
    <col min="6" max="8" width="10" customWidth="1"/>
    <col min="10" max="12" width="12" customWidth="1"/>
    <col min="13" max="13" width="24" customWidth="1"/>
  </cols>
  <sheetData>
    <row r="1" spans="1:13" ht="17.399999999999999" x14ac:dyDescent="0.3">
      <c r="A1" s="1" t="s">
        <v>1209</v>
      </c>
    </row>
    <row r="2" spans="1:13" x14ac:dyDescent="0.3">
      <c r="A2" s="2" t="s">
        <v>1210</v>
      </c>
    </row>
    <row r="4" spans="1:13" ht="26.4" x14ac:dyDescent="0.3">
      <c r="A4" s="8" t="s">
        <v>1211</v>
      </c>
      <c r="B4" s="8" t="s">
        <v>1212</v>
      </c>
      <c r="C4" s="8" t="s">
        <v>1213</v>
      </c>
      <c r="D4" s="8" t="s">
        <v>1214</v>
      </c>
      <c r="E4" s="8" t="s">
        <v>1215</v>
      </c>
      <c r="F4" s="18" t="s">
        <v>1216</v>
      </c>
      <c r="G4" s="18" t="s">
        <v>1217</v>
      </c>
      <c r="H4" s="18" t="s">
        <v>1218</v>
      </c>
      <c r="J4" s="8" t="s">
        <v>1219</v>
      </c>
      <c r="K4" s="8" t="s">
        <v>1220</v>
      </c>
      <c r="L4" s="8" t="s">
        <v>1221</v>
      </c>
      <c r="M4" s="8" t="s">
        <v>873</v>
      </c>
    </row>
    <row r="5" spans="1:13" ht="18" customHeight="1" x14ac:dyDescent="0.3">
      <c r="A5" s="17" t="s">
        <v>1222</v>
      </c>
      <c r="B5" s="17" t="s">
        <v>1223</v>
      </c>
      <c r="C5" s="19">
        <v>5</v>
      </c>
      <c r="D5" s="19">
        <v>20</v>
      </c>
      <c r="E5" s="17" t="s">
        <v>1224</v>
      </c>
      <c r="F5" s="35">
        <f>IF(A5="","",(SUMIFS(tbl_quimicos[Stock_Max_kg],tbl_quimicos[Categoria_Seveso],A5)+SUMIFS(tbl_quimicos[Stock_Max_kg],tbl_quimicos[Categoria_Seveso_2],A5))/1000)</f>
        <v>0</v>
      </c>
      <c r="G5" s="35">
        <f t="shared" ref="G5:G24" si="0">IF(A5="","",F5/C5)</f>
        <v>0</v>
      </c>
      <c r="H5" s="35">
        <f t="shared" ref="H5:H24" si="1">IF(A5="","",F5/D5)</f>
        <v>0</v>
      </c>
      <c r="J5" s="9" t="s">
        <v>1224</v>
      </c>
      <c r="K5" s="36">
        <f>SUMPRODUCT(ISNUMBER(SEARCH("Saúde",tbl_seveso[Grupo_Soma]))*tbl_seveso[Racio_Inferior])</f>
        <v>0</v>
      </c>
      <c r="L5" s="36">
        <f>SUMPRODUCT(ISNUMBER(SEARCH("Saúde",tbl_seveso[Grupo_Soma]))*tbl_seveso[Racio_Superior])</f>
        <v>0</v>
      </c>
      <c r="M5" s="11" t="str">
        <f>IF(SUMPRODUCT(ISNUMBER(SEARCH("Saúde",tbl_seveso[Grupo_Soma]))*tbl_seveso[Racio_Superior])&gt;=1,"Nível superior",IF(SUMPRODUCT(ISNUMBER(SEARCH("Saúde",tbl_seveso[Grupo_Soma]))*tbl_seveso[Racio_Inferior])&gt;=1,"Nível inferior","Não abrangido (Σ &lt; 1)"))</f>
        <v>Não abrangido (Σ &lt; 1)</v>
      </c>
    </row>
    <row r="6" spans="1:13" ht="18" customHeight="1" x14ac:dyDescent="0.3">
      <c r="A6" s="17" t="s">
        <v>1225</v>
      </c>
      <c r="B6" s="17" t="s">
        <v>1226</v>
      </c>
      <c r="C6" s="19">
        <v>50</v>
      </c>
      <c r="D6" s="19">
        <v>200</v>
      </c>
      <c r="E6" s="17" t="s">
        <v>1224</v>
      </c>
      <c r="F6" s="35">
        <f>IF(A6="","",(SUMIFS(tbl_quimicos[Stock_Max_kg],tbl_quimicos[Categoria_Seveso],A6)+SUMIFS(tbl_quimicos[Stock_Max_kg],tbl_quimicos[Categoria_Seveso_2],A6))/1000)</f>
        <v>0</v>
      </c>
      <c r="G6" s="35">
        <f t="shared" si="0"/>
        <v>0</v>
      </c>
      <c r="H6" s="35">
        <f t="shared" si="1"/>
        <v>0</v>
      </c>
      <c r="J6" s="9" t="s">
        <v>1227</v>
      </c>
      <c r="K6" s="36">
        <f>SUMPRODUCT(ISNUMBER(SEARCH("Físico",tbl_seveso[Grupo_Soma]))*tbl_seveso[Racio_Inferior])</f>
        <v>8.2296666666666664E-3</v>
      </c>
      <c r="L6" s="36">
        <f>SUMPRODUCT(ISNUMBER(SEARCH("Físico",tbl_seveso[Grupo_Soma]))*tbl_seveso[Racio_Superior])</f>
        <v>1.4123E-3</v>
      </c>
      <c r="M6" s="11" t="str">
        <f>IF(SUMPRODUCT(ISNUMBER(SEARCH("Físico",tbl_seveso[Grupo_Soma]))*tbl_seveso[Racio_Superior])&gt;=1,"Nível superior",IF(SUMPRODUCT(ISNUMBER(SEARCH("Físico",tbl_seveso[Grupo_Soma]))*tbl_seveso[Racio_Inferior])&gt;=1,"Nível inferior","Não abrangido (Σ &lt; 1)"))</f>
        <v>Não abrangido (Σ &lt; 1)</v>
      </c>
    </row>
    <row r="7" spans="1:13" ht="18" customHeight="1" x14ac:dyDescent="0.3">
      <c r="A7" s="17" t="s">
        <v>1228</v>
      </c>
      <c r="B7" s="17" t="s">
        <v>1229</v>
      </c>
      <c r="C7" s="19">
        <v>50</v>
      </c>
      <c r="D7" s="19">
        <v>200</v>
      </c>
      <c r="E7" s="17" t="s">
        <v>1224</v>
      </c>
      <c r="F7" s="35">
        <f>IF(A7="","",(SUMIFS(tbl_quimicos[Stock_Max_kg],tbl_quimicos[Categoria_Seveso],A7)+SUMIFS(tbl_quimicos[Stock_Max_kg],tbl_quimicos[Categoria_Seveso_2],A7))/1000)</f>
        <v>0</v>
      </c>
      <c r="G7" s="35">
        <f t="shared" si="0"/>
        <v>0</v>
      </c>
      <c r="H7" s="35">
        <f t="shared" si="1"/>
        <v>0</v>
      </c>
      <c r="J7" s="9" t="s">
        <v>1230</v>
      </c>
      <c r="K7" s="36">
        <f>SUMPRODUCT(ISNUMBER(SEARCH("Ambiente",tbl_seveso[Grupo_Soma]))*tbl_seveso[Racio_Inferior])</f>
        <v>1.4350000000000002E-2</v>
      </c>
      <c r="L7" s="36">
        <f>SUMPRODUCT(ISNUMBER(SEARCH("Ambiente",tbl_seveso[Grupo_Soma]))*tbl_seveso[Racio_Superior])</f>
        <v>6.6900000000000006E-3</v>
      </c>
      <c r="M7" s="11" t="str">
        <f>IF(SUMPRODUCT(ISNUMBER(SEARCH("Ambiente",tbl_seveso[Grupo_Soma]))*tbl_seveso[Racio_Superior])&gt;=1,"Nível superior",IF(SUMPRODUCT(ISNUMBER(SEARCH("Ambiente",tbl_seveso[Grupo_Soma]))*tbl_seveso[Racio_Inferior])&gt;=1,"Nível inferior","Não abrangido (Σ &lt; 1)"))</f>
        <v>Não abrangido (Σ &lt; 1)</v>
      </c>
    </row>
    <row r="8" spans="1:13" ht="18" customHeight="1" x14ac:dyDescent="0.3">
      <c r="A8" s="17" t="s">
        <v>1231</v>
      </c>
      <c r="B8" s="17" t="s">
        <v>1232</v>
      </c>
      <c r="C8" s="19">
        <v>10</v>
      </c>
      <c r="D8" s="19">
        <v>50</v>
      </c>
      <c r="E8" s="17" t="s">
        <v>1227</v>
      </c>
      <c r="F8" s="35">
        <f>IF(A8="","",(SUMIFS(tbl_quimicos[Stock_Max_kg],tbl_quimicos[Categoria_Seveso],A8)+SUMIFS(tbl_quimicos[Stock_Max_kg],tbl_quimicos[Categoria_Seveso_2],A8))/1000)</f>
        <v>0</v>
      </c>
      <c r="G8" s="35">
        <f t="shared" si="0"/>
        <v>0</v>
      </c>
      <c r="H8" s="35">
        <f t="shared" si="1"/>
        <v>0</v>
      </c>
    </row>
    <row r="9" spans="1:13" ht="18" customHeight="1" x14ac:dyDescent="0.3">
      <c r="A9" s="17" t="s">
        <v>426</v>
      </c>
      <c r="B9" s="17" t="s">
        <v>1233</v>
      </c>
      <c r="C9" s="19">
        <v>150</v>
      </c>
      <c r="D9" s="19">
        <v>500</v>
      </c>
      <c r="E9" s="17" t="s">
        <v>1227</v>
      </c>
      <c r="F9" s="35">
        <f>IF(A9="","",(SUMIFS(tbl_quimicos[Stock_Max_kg],tbl_quimicos[Categoria_Seveso],A9)+SUMIFS(tbl_quimicos[Stock_Max_kg],tbl_quimicos[Categoria_Seveso_2],A9))/1000)</f>
        <v>3.6999999999999998E-2</v>
      </c>
      <c r="G9" s="35">
        <f t="shared" si="0"/>
        <v>2.4666666666666668E-4</v>
      </c>
      <c r="H9" s="35">
        <f t="shared" si="1"/>
        <v>7.3999999999999996E-5</v>
      </c>
    </row>
    <row r="10" spans="1:13" ht="18" customHeight="1" x14ac:dyDescent="0.3">
      <c r="A10" s="17" t="s">
        <v>1234</v>
      </c>
      <c r="B10" s="17" t="s">
        <v>1235</v>
      </c>
      <c r="C10" s="19">
        <v>5000</v>
      </c>
      <c r="D10" s="19">
        <v>50000</v>
      </c>
      <c r="E10" s="17" t="s">
        <v>1227</v>
      </c>
      <c r="F10" s="35">
        <f>IF(A10="","",(SUMIFS(tbl_quimicos[Stock_Max_kg],tbl_quimicos[Categoria_Seveso],A10)+SUMIFS(tbl_quimicos[Stock_Max_kg],tbl_quimicos[Categoria_Seveso_2],A10))/1000)</f>
        <v>0</v>
      </c>
      <c r="G10" s="35">
        <f t="shared" si="0"/>
        <v>0</v>
      </c>
      <c r="H10" s="35">
        <f t="shared" si="1"/>
        <v>0</v>
      </c>
    </row>
    <row r="11" spans="1:13" ht="18" customHeight="1" x14ac:dyDescent="0.3">
      <c r="A11" s="17" t="s">
        <v>1236</v>
      </c>
      <c r="B11" s="17" t="s">
        <v>1237</v>
      </c>
      <c r="C11" s="19">
        <v>50</v>
      </c>
      <c r="D11" s="19">
        <v>200</v>
      </c>
      <c r="E11" s="17" t="s">
        <v>1227</v>
      </c>
      <c r="F11" s="35">
        <f>IF(A11="","",(SUMIFS(tbl_quimicos[Stock_Max_kg],tbl_quimicos[Categoria_Seveso],A11)+SUMIFS(tbl_quimicos[Stock_Max_kg],tbl_quimicos[Categoria_Seveso_2],A11))/1000)</f>
        <v>0</v>
      </c>
      <c r="G11" s="35">
        <f t="shared" si="0"/>
        <v>0</v>
      </c>
      <c r="H11" s="35">
        <f t="shared" si="1"/>
        <v>0</v>
      </c>
    </row>
    <row r="12" spans="1:13" ht="18" customHeight="1" x14ac:dyDescent="0.3">
      <c r="A12" s="17" t="s">
        <v>1238</v>
      </c>
      <c r="B12" s="17" t="s">
        <v>1239</v>
      </c>
      <c r="C12" s="19">
        <v>10</v>
      </c>
      <c r="D12" s="19">
        <v>50</v>
      </c>
      <c r="E12" s="17" t="s">
        <v>1227</v>
      </c>
      <c r="F12" s="35">
        <f>IF(A12="","",(SUMIFS(tbl_quimicos[Stock_Max_kg],tbl_quimicos[Categoria_Seveso],A12)+SUMIFS(tbl_quimicos[Stock_Max_kg],tbl_quimicos[Categoria_Seveso_2],A12))/1000)</f>
        <v>0</v>
      </c>
      <c r="G12" s="35">
        <f t="shared" si="0"/>
        <v>0</v>
      </c>
      <c r="H12" s="35">
        <f t="shared" si="1"/>
        <v>0</v>
      </c>
    </row>
    <row r="13" spans="1:13" ht="18" customHeight="1" x14ac:dyDescent="0.3">
      <c r="A13" s="17" t="s">
        <v>1240</v>
      </c>
      <c r="B13" s="17" t="s">
        <v>1241</v>
      </c>
      <c r="C13" s="19">
        <v>50</v>
      </c>
      <c r="D13" s="19">
        <v>200</v>
      </c>
      <c r="E13" s="17" t="s">
        <v>1227</v>
      </c>
      <c r="F13" s="35">
        <f>IF(A13="","",(SUMIFS(tbl_quimicos[Stock_Max_kg],tbl_quimicos[Categoria_Seveso],A13)+SUMIFS(tbl_quimicos[Stock_Max_kg],tbl_quimicos[Categoria_Seveso_2],A13))/1000)</f>
        <v>0</v>
      </c>
      <c r="G13" s="35">
        <f t="shared" si="0"/>
        <v>0</v>
      </c>
      <c r="H13" s="35">
        <f t="shared" si="1"/>
        <v>0</v>
      </c>
    </row>
    <row r="14" spans="1:13" ht="18" customHeight="1" x14ac:dyDescent="0.3">
      <c r="A14" s="17" t="s">
        <v>269</v>
      </c>
      <c r="B14" s="17" t="s">
        <v>1242</v>
      </c>
      <c r="C14" s="19">
        <v>5000</v>
      </c>
      <c r="D14" s="19">
        <v>50000</v>
      </c>
      <c r="E14" s="17" t="s">
        <v>1227</v>
      </c>
      <c r="F14" s="35">
        <f>IF(A14="","",(SUMIFS(tbl_quimicos[Stock_Max_kg],tbl_quimicos[Categoria_Seveso],A14)+SUMIFS(tbl_quimicos[Stock_Max_kg],tbl_quimicos[Categoria_Seveso_2],A14))/1000)</f>
        <v>0.41499999999999998</v>
      </c>
      <c r="G14" s="35">
        <f t="shared" si="0"/>
        <v>8.2999999999999998E-5</v>
      </c>
      <c r="H14" s="35">
        <f t="shared" si="1"/>
        <v>8.3000000000000002E-6</v>
      </c>
    </row>
    <row r="15" spans="1:13" ht="18" customHeight="1" x14ac:dyDescent="0.3">
      <c r="A15" s="17" t="s">
        <v>1243</v>
      </c>
      <c r="B15" s="17" t="s">
        <v>1244</v>
      </c>
      <c r="C15" s="19">
        <v>50</v>
      </c>
      <c r="D15" s="19">
        <v>200</v>
      </c>
      <c r="E15" s="17" t="s">
        <v>1227</v>
      </c>
      <c r="F15" s="35">
        <f>IF(A15="","",(SUMIFS(tbl_quimicos[Stock_Max_kg],tbl_quimicos[Categoria_Seveso],A15)+SUMIFS(tbl_quimicos[Stock_Max_kg],tbl_quimicos[Categoria_Seveso_2],A15))/1000)</f>
        <v>0</v>
      </c>
      <c r="G15" s="35">
        <f t="shared" si="0"/>
        <v>0</v>
      </c>
      <c r="H15" s="35">
        <f t="shared" si="1"/>
        <v>0</v>
      </c>
    </row>
    <row r="16" spans="1:13" ht="18" customHeight="1" x14ac:dyDescent="0.3">
      <c r="A16" s="17" t="s">
        <v>496</v>
      </c>
      <c r="B16" s="17" t="s">
        <v>1245</v>
      </c>
      <c r="C16" s="19">
        <v>100</v>
      </c>
      <c r="D16" s="19">
        <v>200</v>
      </c>
      <c r="E16" s="17" t="s">
        <v>1230</v>
      </c>
      <c r="F16" s="35">
        <f>IF(A16="","",(SUMIFS(tbl_quimicos[Stock_Max_kg],tbl_quimicos[Categoria_Seveso],A16)+SUMIFS(tbl_quimicos[Stock_Max_kg],tbl_quimicos[Categoria_Seveso_2],A16))/1000)</f>
        <v>1.25</v>
      </c>
      <c r="G16" s="35">
        <f t="shared" si="0"/>
        <v>1.2500000000000001E-2</v>
      </c>
      <c r="H16" s="35">
        <f t="shared" si="1"/>
        <v>6.2500000000000003E-3</v>
      </c>
    </row>
    <row r="17" spans="1:8" ht="18" customHeight="1" x14ac:dyDescent="0.3">
      <c r="A17" s="17" t="s">
        <v>270</v>
      </c>
      <c r="B17" s="17" t="s">
        <v>1246</v>
      </c>
      <c r="C17" s="19">
        <v>200</v>
      </c>
      <c r="D17" s="19">
        <v>500</v>
      </c>
      <c r="E17" s="17" t="s">
        <v>1230</v>
      </c>
      <c r="F17" s="35">
        <f>IF(A17="","",(SUMIFS(tbl_quimicos[Stock_Max_kg],tbl_quimicos[Categoria_Seveso],A17)+SUMIFS(tbl_quimicos[Stock_Max_kg],tbl_quimicos[Categoria_Seveso_2],A17))/1000)</f>
        <v>0.17</v>
      </c>
      <c r="G17" s="35">
        <f t="shared" si="0"/>
        <v>8.5000000000000006E-4</v>
      </c>
      <c r="H17" s="35">
        <f t="shared" si="1"/>
        <v>3.4000000000000002E-4</v>
      </c>
    </row>
    <row r="18" spans="1:8" ht="18" customHeight="1" x14ac:dyDescent="0.3">
      <c r="A18" s="17" t="s">
        <v>1247</v>
      </c>
      <c r="B18" s="17" t="s">
        <v>1248</v>
      </c>
      <c r="C18" s="19">
        <v>100</v>
      </c>
      <c r="D18" s="19">
        <v>500</v>
      </c>
      <c r="E18" s="17" t="s">
        <v>1227</v>
      </c>
      <c r="F18" s="35">
        <f>IF(A18="","",(SUMIFS(tbl_quimicos[Stock_Max_kg],tbl_quimicos[Categoria_Seveso],A18)+SUMIFS(tbl_quimicos[Stock_Max_kg],tbl_quimicos[Categoria_Seveso_2],A18))/1000)</f>
        <v>0</v>
      </c>
      <c r="G18" s="35">
        <f t="shared" si="0"/>
        <v>0</v>
      </c>
      <c r="H18" s="35">
        <f t="shared" si="1"/>
        <v>0</v>
      </c>
    </row>
    <row r="19" spans="1:8" ht="18" customHeight="1" x14ac:dyDescent="0.3">
      <c r="A19" s="17" t="s">
        <v>1249</v>
      </c>
      <c r="B19" s="17" t="s">
        <v>1250</v>
      </c>
      <c r="C19" s="19">
        <v>100</v>
      </c>
      <c r="D19" s="19">
        <v>500</v>
      </c>
      <c r="E19" s="17" t="s">
        <v>1227</v>
      </c>
      <c r="F19" s="35">
        <f>IF(A19="","",(SUMIFS(tbl_quimicos[Stock_Max_kg],tbl_quimicos[Categoria_Seveso],A19)+SUMIFS(tbl_quimicos[Stock_Max_kg],tbl_quimicos[Categoria_Seveso_2],A19))/1000)</f>
        <v>0</v>
      </c>
      <c r="G19" s="35">
        <f t="shared" si="0"/>
        <v>0</v>
      </c>
      <c r="H19" s="35">
        <f t="shared" si="1"/>
        <v>0</v>
      </c>
    </row>
    <row r="20" spans="1:8" ht="18" customHeight="1" x14ac:dyDescent="0.3">
      <c r="A20" s="17" t="s">
        <v>1251</v>
      </c>
      <c r="B20" s="17" t="s">
        <v>1252</v>
      </c>
      <c r="C20" s="19">
        <v>50</v>
      </c>
      <c r="D20" s="19">
        <v>200</v>
      </c>
      <c r="E20" s="17" t="s">
        <v>1224</v>
      </c>
      <c r="F20" s="35">
        <f>IF(A20="","",(SUMIFS(tbl_quimicos[Stock_Max_kg],tbl_quimicos[Categoria_Seveso],A20)+SUMIFS(tbl_quimicos[Stock_Max_kg],tbl_quimicos[Categoria_Seveso_2],A20))/1000)</f>
        <v>0</v>
      </c>
      <c r="G20" s="35">
        <f t="shared" si="0"/>
        <v>0</v>
      </c>
      <c r="H20" s="35">
        <f t="shared" si="1"/>
        <v>0</v>
      </c>
    </row>
    <row r="21" spans="1:8" ht="18" customHeight="1" x14ac:dyDescent="0.3">
      <c r="A21" s="17" t="s">
        <v>331</v>
      </c>
      <c r="B21" s="17" t="s">
        <v>1253</v>
      </c>
      <c r="C21" s="19">
        <v>50</v>
      </c>
      <c r="D21" s="19">
        <v>200</v>
      </c>
      <c r="E21" s="17" t="s">
        <v>1227</v>
      </c>
      <c r="F21" s="35">
        <f>IF(A21="","",(SUMIFS(tbl_quimicos[Stock_Max_kg],tbl_quimicos[Categoria_Seveso],A21)+SUMIFS(tbl_quimicos[Stock_Max_kg],tbl_quimicos[Categoria_Seveso_2],A21))/1000)</f>
        <v>0.18</v>
      </c>
      <c r="G21" s="35">
        <f t="shared" si="0"/>
        <v>3.5999999999999999E-3</v>
      </c>
      <c r="H21" s="35">
        <f t="shared" si="1"/>
        <v>8.9999999999999998E-4</v>
      </c>
    </row>
    <row r="22" spans="1:8" ht="18" customHeight="1" x14ac:dyDescent="0.3">
      <c r="A22" s="17" t="s">
        <v>478</v>
      </c>
      <c r="B22" s="17" t="s">
        <v>1254</v>
      </c>
      <c r="C22" s="19">
        <v>5</v>
      </c>
      <c r="D22" s="19">
        <v>50</v>
      </c>
      <c r="E22" s="17" t="s">
        <v>1227</v>
      </c>
      <c r="F22" s="35">
        <f>IF(A22="","",(SUMIFS(tbl_quimicos[Stock_Max_kg],tbl_quimicos[Categoria_Seveso],A22)+SUMIFS(tbl_quimicos[Stock_Max_kg],tbl_quimicos[Categoria_Seveso_2],A22))/1000)</f>
        <v>1.6E-2</v>
      </c>
      <c r="G22" s="35">
        <f t="shared" si="0"/>
        <v>3.2000000000000002E-3</v>
      </c>
      <c r="H22" s="35">
        <f t="shared" si="1"/>
        <v>3.2000000000000003E-4</v>
      </c>
    </row>
    <row r="23" spans="1:8" ht="18" customHeight="1" x14ac:dyDescent="0.3">
      <c r="A23" s="17" t="s">
        <v>483</v>
      </c>
      <c r="B23" s="17" t="s">
        <v>1255</v>
      </c>
      <c r="C23" s="19">
        <v>200</v>
      </c>
      <c r="D23" s="19">
        <v>2000</v>
      </c>
      <c r="E23" s="17" t="s">
        <v>1227</v>
      </c>
      <c r="F23" s="35">
        <f>IF(A23="","",(SUMIFS(tbl_quimicos[Stock_Max_kg],tbl_quimicos[Categoria_Seveso],A23)+SUMIFS(tbl_quimicos[Stock_Max_kg],tbl_quimicos[Categoria_Seveso_2],A23))/1000)</f>
        <v>0.02</v>
      </c>
      <c r="G23" s="35">
        <f t="shared" si="0"/>
        <v>1E-4</v>
      </c>
      <c r="H23" s="35">
        <f t="shared" si="1"/>
        <v>1.0000000000000001E-5</v>
      </c>
    </row>
    <row r="24" spans="1:8" ht="18" customHeight="1" x14ac:dyDescent="0.3">
      <c r="A24" s="17" t="s">
        <v>472</v>
      </c>
      <c r="B24" s="17" t="s">
        <v>1256</v>
      </c>
      <c r="C24" s="19">
        <v>2500</v>
      </c>
      <c r="D24" s="19">
        <v>25000</v>
      </c>
      <c r="E24" s="17" t="s">
        <v>1257</v>
      </c>
      <c r="F24" s="35">
        <f>IF(A24="","",(SUMIFS(tbl_quimicos[Stock_Max_kg],tbl_quimicos[Categoria_Seveso],A24)+SUMIFS(tbl_quimicos[Stock_Max_kg],tbl_quimicos[Categoria_Seveso_2],A24))/1000)</f>
        <v>2.5</v>
      </c>
      <c r="G24" s="35">
        <f t="shared" si="0"/>
        <v>1E-3</v>
      </c>
      <c r="H24" s="35">
        <f t="shared" si="1"/>
        <v>1E-4</v>
      </c>
    </row>
  </sheetData>
  <conditionalFormatting sqref="G5:G224">
    <cfRule type="expression" dxfId="12" priority="1">
      <formula>G5&gt;=1</formula>
    </cfRule>
    <cfRule type="expression" dxfId="11" priority="2">
      <formula>G5&gt;=0.1</formula>
    </cfRule>
  </conditionalFormatting>
  <pageMargins left="0.75" right="0.75" top="1" bottom="1" header="0.5" footer="0.5"/>
  <pageSetup fitToHeight="0" orientation="landscape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50"/>
  <sheetViews>
    <sheetView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7" customWidth="1"/>
    <col min="3" max="3" width="22" customWidth="1"/>
    <col min="4" max="4" width="34" customWidth="1"/>
    <col min="5" max="5" width="30" customWidth="1"/>
    <col min="6" max="6" width="16" customWidth="1"/>
    <col min="7" max="7" width="60" customWidth="1"/>
    <col min="8" max="8" width="10" customWidth="1"/>
    <col min="9" max="9" width="34" customWidth="1"/>
    <col min="10" max="10" width="26" customWidth="1"/>
    <col min="11" max="11" width="14" customWidth="1"/>
    <col min="12" max="12" width="13" customWidth="1"/>
    <col min="13" max="13" width="8" customWidth="1"/>
    <col min="14" max="14" width="16" customWidth="1"/>
    <col min="15" max="15" width="20" customWidth="1"/>
    <col min="16" max="16" width="30" customWidth="1"/>
  </cols>
  <sheetData>
    <row r="1" spans="1:16" ht="17.399999999999999" x14ac:dyDescent="0.3">
      <c r="A1" s="1" t="s">
        <v>1258</v>
      </c>
    </row>
    <row r="2" spans="1:16" x14ac:dyDescent="0.3">
      <c r="A2" s="2" t="s">
        <v>1259</v>
      </c>
    </row>
    <row r="4" spans="1:16" ht="26.4" x14ac:dyDescent="0.3">
      <c r="A4" s="8" t="s">
        <v>1260</v>
      </c>
      <c r="B4" s="8" t="s">
        <v>1261</v>
      </c>
      <c r="C4" s="8" t="s">
        <v>1262</v>
      </c>
      <c r="D4" s="8" t="s">
        <v>1263</v>
      </c>
      <c r="E4" s="8" t="s">
        <v>1264</v>
      </c>
      <c r="F4" s="8" t="s">
        <v>1265</v>
      </c>
      <c r="G4" s="8" t="s">
        <v>1266</v>
      </c>
      <c r="H4" s="8" t="s">
        <v>1267</v>
      </c>
      <c r="I4" s="8" t="s">
        <v>159</v>
      </c>
      <c r="J4" s="8" t="s">
        <v>161</v>
      </c>
      <c r="K4" s="8" t="s">
        <v>953</v>
      </c>
      <c r="L4" s="8" t="s">
        <v>14</v>
      </c>
      <c r="M4" s="8" t="s">
        <v>1268</v>
      </c>
      <c r="N4" s="8" t="s">
        <v>1269</v>
      </c>
      <c r="O4" s="8" t="s">
        <v>777</v>
      </c>
      <c r="P4" s="8" t="s">
        <v>1270</v>
      </c>
    </row>
    <row r="5" spans="1:16" ht="60" customHeight="1" x14ac:dyDescent="0.3">
      <c r="A5" s="17" t="s">
        <v>1271</v>
      </c>
      <c r="B5" s="17" t="s">
        <v>1272</v>
      </c>
      <c r="C5" s="17" t="s">
        <v>1273</v>
      </c>
      <c r="D5" s="17" t="s">
        <v>1274</v>
      </c>
      <c r="E5" s="17" t="s">
        <v>1275</v>
      </c>
      <c r="F5" s="17" t="s">
        <v>1276</v>
      </c>
      <c r="G5" s="17" t="s">
        <v>1277</v>
      </c>
      <c r="H5" s="17" t="s">
        <v>1278</v>
      </c>
      <c r="I5" s="17" t="s">
        <v>1279</v>
      </c>
      <c r="J5" s="17" t="s">
        <v>179</v>
      </c>
      <c r="K5" s="17" t="s">
        <v>1280</v>
      </c>
      <c r="L5" s="17" t="s">
        <v>1281</v>
      </c>
      <c r="M5" s="17" t="s">
        <v>1282</v>
      </c>
      <c r="N5" s="17" t="s">
        <v>1283</v>
      </c>
      <c r="O5" s="17" t="s">
        <v>1284</v>
      </c>
      <c r="P5" s="17" t="s">
        <v>1285</v>
      </c>
    </row>
    <row r="6" spans="1:16" ht="60" customHeight="1" x14ac:dyDescent="0.3">
      <c r="A6" s="17" t="s">
        <v>1286</v>
      </c>
      <c r="B6" s="17" t="s">
        <v>1272</v>
      </c>
      <c r="C6" s="17" t="s">
        <v>1273</v>
      </c>
      <c r="D6" s="17" t="s">
        <v>1274</v>
      </c>
      <c r="E6" s="17" t="s">
        <v>1287</v>
      </c>
      <c r="F6" s="17" t="s">
        <v>1276</v>
      </c>
      <c r="G6" s="17" t="s">
        <v>1288</v>
      </c>
      <c r="H6" s="17" t="s">
        <v>263</v>
      </c>
      <c r="I6" s="17" t="s">
        <v>1289</v>
      </c>
      <c r="J6" s="17" t="s">
        <v>179</v>
      </c>
      <c r="K6" s="17" t="s">
        <v>1290</v>
      </c>
      <c r="L6" s="17" t="s">
        <v>1281</v>
      </c>
      <c r="M6" s="17" t="s">
        <v>1282</v>
      </c>
      <c r="N6" s="17" t="s">
        <v>1283</v>
      </c>
      <c r="O6" s="17" t="s">
        <v>1284</v>
      </c>
      <c r="P6" s="17" t="s">
        <v>1285</v>
      </c>
    </row>
    <row r="7" spans="1:16" ht="60" customHeight="1" x14ac:dyDescent="0.3">
      <c r="A7" s="17" t="s">
        <v>1291</v>
      </c>
      <c r="B7" s="17" t="s">
        <v>1272</v>
      </c>
      <c r="C7" s="17" t="s">
        <v>1292</v>
      </c>
      <c r="D7" s="17" t="s">
        <v>1293</v>
      </c>
      <c r="E7" s="17" t="s">
        <v>1294</v>
      </c>
      <c r="F7" s="17" t="s">
        <v>264</v>
      </c>
      <c r="G7" s="17" t="s">
        <v>1295</v>
      </c>
      <c r="H7" s="17" t="s">
        <v>263</v>
      </c>
      <c r="I7" s="17" t="s">
        <v>1296</v>
      </c>
      <c r="J7" s="17" t="s">
        <v>1297</v>
      </c>
      <c r="K7" s="17" t="s">
        <v>1298</v>
      </c>
      <c r="L7" s="17" t="s">
        <v>1281</v>
      </c>
      <c r="M7" s="17" t="s">
        <v>1282</v>
      </c>
      <c r="N7" s="17" t="s">
        <v>1299</v>
      </c>
      <c r="O7" s="17" t="s">
        <v>711</v>
      </c>
      <c r="P7" s="17" t="s">
        <v>1300</v>
      </c>
    </row>
    <row r="8" spans="1:16" ht="60" customHeight="1" x14ac:dyDescent="0.3">
      <c r="A8" s="17" t="s">
        <v>1301</v>
      </c>
      <c r="B8" s="17" t="s">
        <v>1272</v>
      </c>
      <c r="C8" s="17" t="s">
        <v>1302</v>
      </c>
      <c r="D8" s="17" t="s">
        <v>1274</v>
      </c>
      <c r="E8" s="17" t="s">
        <v>1303</v>
      </c>
      <c r="F8" s="17" t="s">
        <v>264</v>
      </c>
      <c r="G8" s="17" t="s">
        <v>1304</v>
      </c>
      <c r="H8" s="17" t="s">
        <v>263</v>
      </c>
      <c r="I8" s="17" t="s">
        <v>1305</v>
      </c>
      <c r="J8" s="17" t="s">
        <v>1306</v>
      </c>
      <c r="K8" s="17" t="s">
        <v>1290</v>
      </c>
      <c r="L8" s="17" t="s">
        <v>1307</v>
      </c>
      <c r="M8" s="17" t="s">
        <v>1282</v>
      </c>
      <c r="N8" s="17"/>
      <c r="O8" s="17" t="s">
        <v>1284</v>
      </c>
      <c r="P8" s="17" t="s">
        <v>1285</v>
      </c>
    </row>
    <row r="9" spans="1:16" ht="60" customHeight="1" x14ac:dyDescent="0.3">
      <c r="A9" s="17" t="s">
        <v>1308</v>
      </c>
      <c r="B9" s="17" t="s">
        <v>1272</v>
      </c>
      <c r="C9" s="17" t="s">
        <v>1309</v>
      </c>
      <c r="D9" s="17" t="s">
        <v>1274</v>
      </c>
      <c r="E9" s="17" t="s">
        <v>1310</v>
      </c>
      <c r="F9" s="17" t="s">
        <v>264</v>
      </c>
      <c r="G9" s="17" t="s">
        <v>1311</v>
      </c>
      <c r="H9" s="17" t="s">
        <v>263</v>
      </c>
      <c r="I9" s="17" t="s">
        <v>1312</v>
      </c>
      <c r="J9" s="17" t="s">
        <v>1313</v>
      </c>
      <c r="K9" s="17" t="s">
        <v>1314</v>
      </c>
      <c r="L9" s="17" t="s">
        <v>1315</v>
      </c>
      <c r="M9" s="17" t="s">
        <v>1282</v>
      </c>
      <c r="N9" s="17" t="s">
        <v>1316</v>
      </c>
      <c r="O9" s="17" t="s">
        <v>791</v>
      </c>
      <c r="P9" s="17" t="s">
        <v>1317</v>
      </c>
    </row>
    <row r="10" spans="1:16" ht="60" customHeight="1" x14ac:dyDescent="0.3">
      <c r="A10" s="17" t="s">
        <v>1318</v>
      </c>
      <c r="B10" s="17" t="s">
        <v>1272</v>
      </c>
      <c r="C10" s="17" t="s">
        <v>1309</v>
      </c>
      <c r="D10" s="17" t="s">
        <v>1274</v>
      </c>
      <c r="E10" s="17" t="s">
        <v>1319</v>
      </c>
      <c r="F10" s="17" t="s">
        <v>264</v>
      </c>
      <c r="G10" s="17" t="s">
        <v>1320</v>
      </c>
      <c r="H10" s="17" t="s">
        <v>1278</v>
      </c>
      <c r="I10" s="17" t="s">
        <v>1321</v>
      </c>
      <c r="J10" s="17" t="s">
        <v>1313</v>
      </c>
      <c r="K10" s="17" t="s">
        <v>1322</v>
      </c>
      <c r="L10" s="17" t="s">
        <v>194</v>
      </c>
      <c r="M10" s="17" t="s">
        <v>1282</v>
      </c>
      <c r="N10" s="17"/>
      <c r="O10" s="17" t="s">
        <v>981</v>
      </c>
      <c r="P10" s="17" t="s">
        <v>1323</v>
      </c>
    </row>
    <row r="11" spans="1:16" ht="60" customHeight="1" x14ac:dyDescent="0.3">
      <c r="A11" s="17" t="s">
        <v>1324</v>
      </c>
      <c r="B11" s="17" t="s">
        <v>1272</v>
      </c>
      <c r="C11" s="17" t="s">
        <v>1325</v>
      </c>
      <c r="D11" s="17" t="s">
        <v>1274</v>
      </c>
      <c r="E11" s="17" t="s">
        <v>1326</v>
      </c>
      <c r="F11" s="17" t="s">
        <v>264</v>
      </c>
      <c r="G11" s="17" t="s">
        <v>1327</v>
      </c>
      <c r="H11" s="17" t="s">
        <v>263</v>
      </c>
      <c r="I11" s="17" t="s">
        <v>1328</v>
      </c>
      <c r="J11" s="17" t="s">
        <v>1329</v>
      </c>
      <c r="K11" s="17" t="s">
        <v>1322</v>
      </c>
      <c r="L11" s="17" t="s">
        <v>1307</v>
      </c>
      <c r="M11" s="17" t="s">
        <v>1282</v>
      </c>
      <c r="N11" s="17"/>
      <c r="O11" s="17" t="s">
        <v>711</v>
      </c>
      <c r="P11" s="17" t="s">
        <v>1285</v>
      </c>
    </row>
    <row r="12" spans="1:16" ht="60" customHeight="1" x14ac:dyDescent="0.3">
      <c r="A12" s="17" t="s">
        <v>1330</v>
      </c>
      <c r="B12" s="17" t="s">
        <v>1272</v>
      </c>
      <c r="C12" s="17" t="s">
        <v>1331</v>
      </c>
      <c r="D12" s="17" t="s">
        <v>1274</v>
      </c>
      <c r="E12" s="17" t="s">
        <v>1332</v>
      </c>
      <c r="F12" s="17" t="s">
        <v>264</v>
      </c>
      <c r="G12" s="17" t="s">
        <v>1333</v>
      </c>
      <c r="H12" s="17" t="s">
        <v>263</v>
      </c>
      <c r="I12" s="17" t="s">
        <v>1334</v>
      </c>
      <c r="J12" s="17" t="s">
        <v>1335</v>
      </c>
      <c r="K12" s="17" t="s">
        <v>1336</v>
      </c>
      <c r="L12" s="17" t="s">
        <v>1307</v>
      </c>
      <c r="M12" s="17" t="s">
        <v>1282</v>
      </c>
      <c r="N12" s="17"/>
      <c r="O12" s="17" t="s">
        <v>1039</v>
      </c>
      <c r="P12" s="17" t="s">
        <v>1285</v>
      </c>
    </row>
    <row r="13" spans="1:16" ht="60" customHeight="1" x14ac:dyDescent="0.3">
      <c r="A13" s="17" t="s">
        <v>1337</v>
      </c>
      <c r="B13" s="17" t="s">
        <v>1272</v>
      </c>
      <c r="C13" s="17" t="s">
        <v>1338</v>
      </c>
      <c r="D13" s="17" t="s">
        <v>1274</v>
      </c>
      <c r="E13" s="17" t="s">
        <v>1339</v>
      </c>
      <c r="F13" s="17" t="s">
        <v>264</v>
      </c>
      <c r="G13" s="17" t="s">
        <v>1340</v>
      </c>
      <c r="H13" s="17" t="s">
        <v>263</v>
      </c>
      <c r="I13" s="17" t="s">
        <v>1341</v>
      </c>
      <c r="J13" s="17" t="s">
        <v>1342</v>
      </c>
      <c r="K13" s="17" t="s">
        <v>1336</v>
      </c>
      <c r="L13" s="17" t="s">
        <v>1307</v>
      </c>
      <c r="M13" s="17" t="s">
        <v>1282</v>
      </c>
      <c r="N13" s="17"/>
      <c r="O13" s="17" t="s">
        <v>981</v>
      </c>
      <c r="P13" s="17" t="s">
        <v>1285</v>
      </c>
    </row>
    <row r="14" spans="1:16" ht="60" customHeight="1" x14ac:dyDescent="0.3">
      <c r="A14" s="17" t="s">
        <v>1343</v>
      </c>
      <c r="B14" s="17" t="s">
        <v>1272</v>
      </c>
      <c r="C14" s="17" t="s">
        <v>1344</v>
      </c>
      <c r="D14" s="17" t="s">
        <v>1274</v>
      </c>
      <c r="E14" s="17" t="s">
        <v>1345</v>
      </c>
      <c r="F14" s="17" t="s">
        <v>264</v>
      </c>
      <c r="G14" s="17" t="s">
        <v>1346</v>
      </c>
      <c r="H14" s="17" t="s">
        <v>263</v>
      </c>
      <c r="I14" s="17" t="s">
        <v>1347</v>
      </c>
      <c r="J14" s="17" t="s">
        <v>1348</v>
      </c>
      <c r="K14" s="17" t="s">
        <v>1290</v>
      </c>
      <c r="L14" s="17" t="s">
        <v>1307</v>
      </c>
      <c r="M14" s="17" t="s">
        <v>1282</v>
      </c>
      <c r="N14" s="17"/>
      <c r="O14" s="17" t="s">
        <v>981</v>
      </c>
      <c r="P14" s="17" t="s">
        <v>1285</v>
      </c>
    </row>
    <row r="15" spans="1:16" ht="60" customHeight="1" x14ac:dyDescent="0.3">
      <c r="A15" s="17" t="s">
        <v>1349</v>
      </c>
      <c r="B15" s="17" t="s">
        <v>1272</v>
      </c>
      <c r="C15" s="17" t="s">
        <v>1350</v>
      </c>
      <c r="D15" s="17" t="s">
        <v>1351</v>
      </c>
      <c r="E15" s="17" t="s">
        <v>1352</v>
      </c>
      <c r="F15" s="17" t="s">
        <v>1353</v>
      </c>
      <c r="G15" s="17" t="s">
        <v>1354</v>
      </c>
      <c r="H15" s="17" t="s">
        <v>263</v>
      </c>
      <c r="I15" s="17" t="s">
        <v>1355</v>
      </c>
      <c r="J15" s="17" t="s">
        <v>1356</v>
      </c>
      <c r="K15" s="17" t="s">
        <v>1290</v>
      </c>
      <c r="L15" s="17" t="s">
        <v>1281</v>
      </c>
      <c r="M15" s="17" t="s">
        <v>1282</v>
      </c>
      <c r="N15" s="17" t="s">
        <v>1357</v>
      </c>
      <c r="O15" s="17" t="s">
        <v>990</v>
      </c>
      <c r="P15" s="17" t="s">
        <v>1358</v>
      </c>
    </row>
    <row r="16" spans="1:16" ht="60" customHeight="1" x14ac:dyDescent="0.3">
      <c r="A16" s="17" t="s">
        <v>1359</v>
      </c>
      <c r="B16" s="17" t="s">
        <v>1272</v>
      </c>
      <c r="C16" s="17" t="s">
        <v>1350</v>
      </c>
      <c r="D16" s="17" t="s">
        <v>1360</v>
      </c>
      <c r="E16" s="17" t="s">
        <v>1361</v>
      </c>
      <c r="F16" s="17" t="s">
        <v>1362</v>
      </c>
      <c r="G16" s="17" t="s">
        <v>1363</v>
      </c>
      <c r="H16" s="17" t="s">
        <v>263</v>
      </c>
      <c r="I16" s="17" t="s">
        <v>1364</v>
      </c>
      <c r="J16" s="17" t="s">
        <v>1365</v>
      </c>
      <c r="K16" s="17" t="s">
        <v>1366</v>
      </c>
      <c r="L16" s="17" t="s">
        <v>1315</v>
      </c>
      <c r="M16" s="17" t="s">
        <v>1282</v>
      </c>
      <c r="N16" s="17" t="s">
        <v>1367</v>
      </c>
      <c r="O16" s="17" t="s">
        <v>997</v>
      </c>
      <c r="P16" s="17" t="s">
        <v>1368</v>
      </c>
    </row>
    <row r="17" spans="1:16" ht="60" customHeight="1" x14ac:dyDescent="0.3">
      <c r="A17" s="17" t="s">
        <v>1369</v>
      </c>
      <c r="B17" s="17" t="s">
        <v>1272</v>
      </c>
      <c r="C17" s="17" t="s">
        <v>1370</v>
      </c>
      <c r="D17" s="17" t="s">
        <v>1371</v>
      </c>
      <c r="E17" s="17" t="s">
        <v>1372</v>
      </c>
      <c r="F17" s="17" t="s">
        <v>1373</v>
      </c>
      <c r="G17" s="17" t="s">
        <v>1374</v>
      </c>
      <c r="H17" s="17" t="s">
        <v>263</v>
      </c>
      <c r="I17" s="17" t="s">
        <v>1375</v>
      </c>
      <c r="J17" s="17" t="s">
        <v>151</v>
      </c>
      <c r="K17" s="17" t="s">
        <v>1376</v>
      </c>
      <c r="L17" s="17" t="s">
        <v>1307</v>
      </c>
      <c r="M17" s="17" t="s">
        <v>1377</v>
      </c>
      <c r="N17" s="17"/>
      <c r="O17" s="17" t="s">
        <v>981</v>
      </c>
      <c r="P17" s="17" t="s">
        <v>1378</v>
      </c>
    </row>
    <row r="18" spans="1:16" ht="60" customHeight="1" x14ac:dyDescent="0.3">
      <c r="A18" s="17" t="s">
        <v>1379</v>
      </c>
      <c r="B18" s="17" t="s">
        <v>1272</v>
      </c>
      <c r="C18" s="17" t="s">
        <v>1380</v>
      </c>
      <c r="D18" s="17" t="s">
        <v>1381</v>
      </c>
      <c r="E18" s="17" t="s">
        <v>1382</v>
      </c>
      <c r="F18" s="17" t="s">
        <v>264</v>
      </c>
      <c r="G18" s="17" t="s">
        <v>1383</v>
      </c>
      <c r="H18" s="17" t="s">
        <v>263</v>
      </c>
      <c r="I18" s="17" t="s">
        <v>1384</v>
      </c>
      <c r="J18" s="17" t="s">
        <v>1385</v>
      </c>
      <c r="K18" s="17" t="s">
        <v>1386</v>
      </c>
      <c r="L18" s="17" t="s">
        <v>1307</v>
      </c>
      <c r="M18" s="17" t="s">
        <v>1282</v>
      </c>
      <c r="N18" s="17"/>
      <c r="O18" s="17" t="s">
        <v>1039</v>
      </c>
      <c r="P18" s="17" t="s">
        <v>1387</v>
      </c>
    </row>
    <row r="19" spans="1:16" ht="60" customHeight="1" x14ac:dyDescent="0.3">
      <c r="A19" s="17" t="s">
        <v>1388</v>
      </c>
      <c r="B19" s="17" t="s">
        <v>1272</v>
      </c>
      <c r="C19" s="17" t="s">
        <v>1389</v>
      </c>
      <c r="D19" s="17" t="s">
        <v>1390</v>
      </c>
      <c r="E19" s="17" t="s">
        <v>1391</v>
      </c>
      <c r="F19" s="17" t="s">
        <v>264</v>
      </c>
      <c r="G19" s="17" t="s">
        <v>1392</v>
      </c>
      <c r="H19" s="17" t="s">
        <v>263</v>
      </c>
      <c r="I19" s="17" t="s">
        <v>1393</v>
      </c>
      <c r="J19" s="17" t="s">
        <v>1394</v>
      </c>
      <c r="K19" s="17" t="s">
        <v>1395</v>
      </c>
      <c r="L19" s="17" t="s">
        <v>1396</v>
      </c>
      <c r="M19" s="17" t="s">
        <v>1282</v>
      </c>
      <c r="N19" s="17"/>
      <c r="O19" s="17" t="s">
        <v>981</v>
      </c>
      <c r="P19" s="17" t="s">
        <v>1397</v>
      </c>
    </row>
    <row r="20" spans="1:16" ht="60" customHeight="1" x14ac:dyDescent="0.3">
      <c r="A20" s="17" t="s">
        <v>1398</v>
      </c>
      <c r="B20" s="17" t="s">
        <v>1272</v>
      </c>
      <c r="C20" s="17" t="s">
        <v>1399</v>
      </c>
      <c r="D20" s="17" t="s">
        <v>1400</v>
      </c>
      <c r="E20" s="17" t="s">
        <v>1401</v>
      </c>
      <c r="F20" s="17" t="s">
        <v>264</v>
      </c>
      <c r="G20" s="17" t="s">
        <v>1402</v>
      </c>
      <c r="H20" s="17" t="s">
        <v>271</v>
      </c>
      <c r="I20" s="17" t="s">
        <v>1403</v>
      </c>
      <c r="J20" s="17" t="s">
        <v>113</v>
      </c>
      <c r="K20" s="17" t="s">
        <v>113</v>
      </c>
      <c r="L20" s="17" t="s">
        <v>194</v>
      </c>
      <c r="M20" s="17" t="s">
        <v>1282</v>
      </c>
      <c r="N20" s="17"/>
      <c r="O20" s="17" t="s">
        <v>981</v>
      </c>
      <c r="P20" s="17" t="s">
        <v>1404</v>
      </c>
    </row>
    <row r="21" spans="1:16" ht="60" customHeight="1" x14ac:dyDescent="0.3">
      <c r="A21" s="17" t="s">
        <v>1405</v>
      </c>
      <c r="B21" s="17" t="s">
        <v>1272</v>
      </c>
      <c r="C21" s="17" t="s">
        <v>1406</v>
      </c>
      <c r="D21" s="17" t="s">
        <v>1407</v>
      </c>
      <c r="E21" s="17" t="s">
        <v>1408</v>
      </c>
      <c r="F21" s="17" t="s">
        <v>1409</v>
      </c>
      <c r="G21" s="17" t="s">
        <v>1410</v>
      </c>
      <c r="H21" s="17" t="s">
        <v>271</v>
      </c>
      <c r="I21" s="17" t="s">
        <v>1411</v>
      </c>
      <c r="J21" s="17" t="s">
        <v>1412</v>
      </c>
      <c r="K21" s="17" t="s">
        <v>113</v>
      </c>
      <c r="L21" s="17" t="s">
        <v>194</v>
      </c>
      <c r="M21" s="17" t="s">
        <v>1282</v>
      </c>
      <c r="N21" s="17"/>
      <c r="O21" s="17" t="s">
        <v>981</v>
      </c>
      <c r="P21" s="17" t="s">
        <v>1387</v>
      </c>
    </row>
    <row r="22" spans="1:16" ht="60" customHeight="1" x14ac:dyDescent="0.3">
      <c r="A22" s="17" t="s">
        <v>1413</v>
      </c>
      <c r="B22" s="17" t="s">
        <v>1272</v>
      </c>
      <c r="C22" s="17" t="s">
        <v>1414</v>
      </c>
      <c r="D22" s="17" t="s">
        <v>1415</v>
      </c>
      <c r="E22" s="17" t="s">
        <v>1416</v>
      </c>
      <c r="F22" s="17" t="s">
        <v>1417</v>
      </c>
      <c r="G22" s="17" t="s">
        <v>1418</v>
      </c>
      <c r="H22" s="17" t="s">
        <v>263</v>
      </c>
      <c r="I22" s="17" t="s">
        <v>1419</v>
      </c>
      <c r="J22" s="17" t="s">
        <v>1420</v>
      </c>
      <c r="K22" s="17" t="s">
        <v>1290</v>
      </c>
      <c r="L22" s="17" t="s">
        <v>1307</v>
      </c>
      <c r="M22" s="17" t="s">
        <v>1282</v>
      </c>
      <c r="N22" s="17"/>
      <c r="O22" s="17" t="s">
        <v>1284</v>
      </c>
      <c r="P22" s="17" t="s">
        <v>1421</v>
      </c>
    </row>
    <row r="23" spans="1:16" ht="60" customHeight="1" x14ac:dyDescent="0.3">
      <c r="A23" s="17" t="s">
        <v>1422</v>
      </c>
      <c r="B23" s="17" t="s">
        <v>1423</v>
      </c>
      <c r="C23" s="17" t="s">
        <v>1424</v>
      </c>
      <c r="D23" s="17" t="s">
        <v>1425</v>
      </c>
      <c r="E23" s="17" t="s">
        <v>1426</v>
      </c>
      <c r="F23" s="17" t="s">
        <v>1427</v>
      </c>
      <c r="G23" s="17" t="s">
        <v>1428</v>
      </c>
      <c r="H23" s="17" t="s">
        <v>263</v>
      </c>
      <c r="I23" s="17" t="s">
        <v>1429</v>
      </c>
      <c r="J23" s="17" t="s">
        <v>151</v>
      </c>
      <c r="K23" s="17" t="s">
        <v>1290</v>
      </c>
      <c r="L23" s="17" t="s">
        <v>1307</v>
      </c>
      <c r="M23" s="17" t="s">
        <v>1430</v>
      </c>
      <c r="N23" s="17"/>
      <c r="O23" s="17" t="s">
        <v>829</v>
      </c>
      <c r="P23" s="17" t="s">
        <v>1431</v>
      </c>
    </row>
    <row r="24" spans="1:16" ht="60" customHeight="1" x14ac:dyDescent="0.3">
      <c r="A24" s="17" t="s">
        <v>1432</v>
      </c>
      <c r="B24" s="17" t="s">
        <v>1423</v>
      </c>
      <c r="C24" s="17" t="s">
        <v>1433</v>
      </c>
      <c r="D24" s="17" t="s">
        <v>1434</v>
      </c>
      <c r="E24" s="17" t="s">
        <v>1435</v>
      </c>
      <c r="F24" s="17" t="s">
        <v>1436</v>
      </c>
      <c r="G24" s="17" t="s">
        <v>1437</v>
      </c>
      <c r="H24" s="17" t="s">
        <v>1438</v>
      </c>
      <c r="I24" s="17" t="s">
        <v>1439</v>
      </c>
      <c r="J24" s="17" t="s">
        <v>1440</v>
      </c>
      <c r="K24" s="17" t="s">
        <v>1441</v>
      </c>
      <c r="L24" s="17" t="s">
        <v>194</v>
      </c>
      <c r="M24" s="17" t="s">
        <v>1442</v>
      </c>
      <c r="N24" s="17"/>
      <c r="O24" s="17" t="s">
        <v>981</v>
      </c>
      <c r="P24" s="17" t="s">
        <v>1443</v>
      </c>
    </row>
    <row r="25" spans="1:16" ht="60" customHeight="1" x14ac:dyDescent="0.3">
      <c r="A25" s="17" t="s">
        <v>1444</v>
      </c>
      <c r="B25" s="17" t="s">
        <v>1445</v>
      </c>
      <c r="C25" s="17" t="s">
        <v>1446</v>
      </c>
      <c r="D25" s="17" t="s">
        <v>1447</v>
      </c>
      <c r="E25" s="17" t="s">
        <v>1448</v>
      </c>
      <c r="F25" s="17" t="s">
        <v>1449</v>
      </c>
      <c r="G25" s="17" t="s">
        <v>1450</v>
      </c>
      <c r="H25" s="17" t="s">
        <v>263</v>
      </c>
      <c r="I25" s="17" t="s">
        <v>1451</v>
      </c>
      <c r="J25" s="17" t="s">
        <v>1342</v>
      </c>
      <c r="K25" s="17" t="s">
        <v>113</v>
      </c>
      <c r="L25" s="17" t="s">
        <v>1307</v>
      </c>
      <c r="M25" s="17" t="s">
        <v>1282</v>
      </c>
      <c r="N25" s="17"/>
      <c r="O25" s="17" t="s">
        <v>981</v>
      </c>
      <c r="P25" s="17" t="s">
        <v>1452</v>
      </c>
    </row>
    <row r="26" spans="1:16" ht="60" customHeight="1" x14ac:dyDescent="0.3">
      <c r="A26" s="17" t="s">
        <v>1453</v>
      </c>
      <c r="B26" s="17" t="s">
        <v>1445</v>
      </c>
      <c r="C26" s="17" t="s">
        <v>1454</v>
      </c>
      <c r="D26" s="17" t="s">
        <v>1455</v>
      </c>
      <c r="E26" s="17" t="s">
        <v>1456</v>
      </c>
      <c r="F26" s="17" t="s">
        <v>1449</v>
      </c>
      <c r="G26" s="17" t="s">
        <v>1457</v>
      </c>
      <c r="H26" s="17" t="s">
        <v>263</v>
      </c>
      <c r="I26" s="17" t="s">
        <v>1451</v>
      </c>
      <c r="J26" s="17" t="s">
        <v>1458</v>
      </c>
      <c r="K26" s="17" t="s">
        <v>113</v>
      </c>
      <c r="L26" s="17" t="s">
        <v>1307</v>
      </c>
      <c r="M26" s="17" t="s">
        <v>1282</v>
      </c>
      <c r="N26" s="17"/>
      <c r="O26" s="17" t="s">
        <v>981</v>
      </c>
      <c r="P26" s="17" t="s">
        <v>1459</v>
      </c>
    </row>
    <row r="27" spans="1:16" ht="60" customHeight="1" x14ac:dyDescent="0.3">
      <c r="A27" s="17" t="s">
        <v>1460</v>
      </c>
      <c r="B27" s="17" t="s">
        <v>1445</v>
      </c>
      <c r="C27" s="17" t="s">
        <v>1461</v>
      </c>
      <c r="D27" s="17" t="s">
        <v>1462</v>
      </c>
      <c r="E27" s="17" t="s">
        <v>1463</v>
      </c>
      <c r="F27" s="17" t="s">
        <v>1464</v>
      </c>
      <c r="G27" s="17" t="s">
        <v>1465</v>
      </c>
      <c r="H27" s="17" t="s">
        <v>263</v>
      </c>
      <c r="I27" s="17" t="s">
        <v>1466</v>
      </c>
      <c r="J27" s="17" t="s">
        <v>1467</v>
      </c>
      <c r="K27" s="17" t="s">
        <v>1468</v>
      </c>
      <c r="L27" s="17" t="s">
        <v>1281</v>
      </c>
      <c r="M27" s="17"/>
      <c r="N27" s="17" t="s">
        <v>1469</v>
      </c>
      <c r="O27" s="17" t="s">
        <v>981</v>
      </c>
      <c r="P27" s="17" t="s">
        <v>1470</v>
      </c>
    </row>
    <row r="28" spans="1:16" ht="60" customHeight="1" x14ac:dyDescent="0.3">
      <c r="A28" s="17" t="s">
        <v>1471</v>
      </c>
      <c r="B28" s="17" t="s">
        <v>1445</v>
      </c>
      <c r="C28" s="17" t="s">
        <v>1472</v>
      </c>
      <c r="D28" s="17" t="s">
        <v>1473</v>
      </c>
      <c r="E28" s="17" t="s">
        <v>1474</v>
      </c>
      <c r="F28" s="17" t="s">
        <v>1464</v>
      </c>
      <c r="G28" s="17" t="s">
        <v>1475</v>
      </c>
      <c r="H28" s="17" t="s">
        <v>263</v>
      </c>
      <c r="I28" s="17" t="s">
        <v>1476</v>
      </c>
      <c r="J28" s="17" t="s">
        <v>1477</v>
      </c>
      <c r="K28" s="17" t="s">
        <v>1336</v>
      </c>
      <c r="L28" s="17" t="s">
        <v>1315</v>
      </c>
      <c r="M28" s="17"/>
      <c r="N28" s="17" t="s">
        <v>1478</v>
      </c>
      <c r="O28" s="17" t="s">
        <v>981</v>
      </c>
      <c r="P28" s="17" t="s">
        <v>1479</v>
      </c>
    </row>
    <row r="29" spans="1:16" ht="60" customHeight="1" x14ac:dyDescent="0.3">
      <c r="A29" s="17" t="s">
        <v>1480</v>
      </c>
      <c r="B29" s="17" t="s">
        <v>1445</v>
      </c>
      <c r="C29" s="17" t="s">
        <v>1481</v>
      </c>
      <c r="D29" s="17" t="s">
        <v>1482</v>
      </c>
      <c r="E29" s="17" t="s">
        <v>1483</v>
      </c>
      <c r="F29" s="17" t="s">
        <v>1464</v>
      </c>
      <c r="G29" s="17" t="s">
        <v>1484</v>
      </c>
      <c r="H29" s="17" t="s">
        <v>263</v>
      </c>
      <c r="I29" s="17" t="s">
        <v>1485</v>
      </c>
      <c r="J29" s="17" t="s">
        <v>1486</v>
      </c>
      <c r="K29" s="17" t="s">
        <v>1322</v>
      </c>
      <c r="L29" s="17" t="s">
        <v>1281</v>
      </c>
      <c r="M29" s="17"/>
      <c r="N29" s="17" t="s">
        <v>1478</v>
      </c>
      <c r="O29" s="17" t="s">
        <v>997</v>
      </c>
      <c r="P29" s="17" t="s">
        <v>1487</v>
      </c>
    </row>
    <row r="30" spans="1:16" ht="60" customHeight="1" x14ac:dyDescent="0.3">
      <c r="A30" s="17" t="s">
        <v>1488</v>
      </c>
      <c r="B30" s="17" t="s">
        <v>1445</v>
      </c>
      <c r="C30" s="17" t="s">
        <v>1489</v>
      </c>
      <c r="D30" s="17" t="s">
        <v>1490</v>
      </c>
      <c r="E30" s="17" t="s">
        <v>1491</v>
      </c>
      <c r="F30" s="17" t="s">
        <v>1464</v>
      </c>
      <c r="G30" s="17" t="s">
        <v>1492</v>
      </c>
      <c r="H30" s="17" t="s">
        <v>263</v>
      </c>
      <c r="I30" s="17" t="s">
        <v>1493</v>
      </c>
      <c r="J30" s="17" t="s">
        <v>1494</v>
      </c>
      <c r="K30" s="17" t="s">
        <v>1495</v>
      </c>
      <c r="L30" s="17" t="s">
        <v>1496</v>
      </c>
      <c r="M30" s="17" t="s">
        <v>1497</v>
      </c>
      <c r="N30" s="17"/>
      <c r="O30" s="17" t="s">
        <v>829</v>
      </c>
      <c r="P30" s="17" t="s">
        <v>1498</v>
      </c>
    </row>
    <row r="31" spans="1:16" ht="60" customHeight="1" x14ac:dyDescent="0.3">
      <c r="A31" s="17" t="s">
        <v>1499</v>
      </c>
      <c r="B31" s="17" t="s">
        <v>1445</v>
      </c>
      <c r="C31" s="17" t="s">
        <v>1500</v>
      </c>
      <c r="D31" s="17" t="s">
        <v>1501</v>
      </c>
      <c r="E31" s="17" t="s">
        <v>1502</v>
      </c>
      <c r="F31" s="17" t="s">
        <v>1464</v>
      </c>
      <c r="G31" s="17" t="s">
        <v>1503</v>
      </c>
      <c r="H31" s="17" t="s">
        <v>263</v>
      </c>
      <c r="I31" s="17"/>
      <c r="J31" s="17" t="s">
        <v>1385</v>
      </c>
      <c r="K31" s="17" t="s">
        <v>1386</v>
      </c>
      <c r="L31" s="17" t="s">
        <v>1307</v>
      </c>
      <c r="M31" s="17"/>
      <c r="N31" s="17"/>
      <c r="O31" s="17" t="s">
        <v>1039</v>
      </c>
      <c r="P31" s="17" t="s">
        <v>1504</v>
      </c>
    </row>
    <row r="32" spans="1:16" ht="60" customHeight="1" x14ac:dyDescent="0.3">
      <c r="A32" s="17" t="s">
        <v>1505</v>
      </c>
      <c r="B32" s="17" t="s">
        <v>1423</v>
      </c>
      <c r="C32" s="17" t="s">
        <v>1506</v>
      </c>
      <c r="D32" s="17" t="s">
        <v>1507</v>
      </c>
      <c r="E32" s="17" t="s">
        <v>1508</v>
      </c>
      <c r="F32" s="17" t="s">
        <v>1464</v>
      </c>
      <c r="G32" s="17" t="s">
        <v>1509</v>
      </c>
      <c r="H32" s="17" t="s">
        <v>263</v>
      </c>
      <c r="I32" s="17"/>
      <c r="J32" s="17" t="s">
        <v>1510</v>
      </c>
      <c r="K32" s="17" t="s">
        <v>1290</v>
      </c>
      <c r="L32" s="17" t="s">
        <v>1281</v>
      </c>
      <c r="M32" s="17"/>
      <c r="N32" s="17" t="s">
        <v>1511</v>
      </c>
      <c r="O32" s="17" t="s">
        <v>981</v>
      </c>
      <c r="P32" s="17" t="s">
        <v>1512</v>
      </c>
    </row>
    <row r="33" spans="1:16" ht="60" customHeight="1" x14ac:dyDescent="0.3">
      <c r="A33" s="17" t="s">
        <v>1513</v>
      </c>
      <c r="B33" s="17" t="s">
        <v>1272</v>
      </c>
      <c r="C33" s="17" t="s">
        <v>1514</v>
      </c>
      <c r="D33" s="17" t="s">
        <v>1515</v>
      </c>
      <c r="E33" s="17" t="s">
        <v>1516</v>
      </c>
      <c r="F33" s="17" t="s">
        <v>1436</v>
      </c>
      <c r="G33" s="17" t="s">
        <v>1517</v>
      </c>
      <c r="H33" s="17" t="s">
        <v>271</v>
      </c>
      <c r="I33" s="17" t="s">
        <v>1518</v>
      </c>
      <c r="J33" s="17" t="s">
        <v>1519</v>
      </c>
      <c r="K33" s="17" t="s">
        <v>113</v>
      </c>
      <c r="L33" s="17" t="s">
        <v>194</v>
      </c>
      <c r="M33" s="17" t="s">
        <v>1520</v>
      </c>
      <c r="N33" s="17"/>
      <c r="O33" s="17" t="s">
        <v>829</v>
      </c>
      <c r="P33" s="17" t="s">
        <v>1521</v>
      </c>
    </row>
    <row r="34" spans="1:16" ht="60" customHeight="1" x14ac:dyDescent="0.3">
      <c r="A34" s="17" t="s">
        <v>1522</v>
      </c>
      <c r="B34" s="17" t="s">
        <v>1272</v>
      </c>
      <c r="C34" s="17" t="s">
        <v>1523</v>
      </c>
      <c r="D34" s="17" t="s">
        <v>1524</v>
      </c>
      <c r="E34" s="17" t="s">
        <v>1525</v>
      </c>
      <c r="F34" s="17" t="s">
        <v>1526</v>
      </c>
      <c r="G34" s="17" t="s">
        <v>1527</v>
      </c>
      <c r="H34" s="17" t="s">
        <v>271</v>
      </c>
      <c r="I34" s="17"/>
      <c r="J34" s="17" t="s">
        <v>113</v>
      </c>
      <c r="K34" s="17" t="s">
        <v>113</v>
      </c>
      <c r="L34" s="17" t="s">
        <v>194</v>
      </c>
      <c r="M34" s="17"/>
      <c r="N34" s="17"/>
      <c r="O34" s="17" t="s">
        <v>981</v>
      </c>
      <c r="P34" s="17" t="s">
        <v>1528</v>
      </c>
    </row>
    <row r="35" spans="1:16" ht="60" customHeight="1" x14ac:dyDescent="0.3">
      <c r="A35" s="17" t="s">
        <v>1529</v>
      </c>
      <c r="B35" s="17" t="s">
        <v>1272</v>
      </c>
      <c r="C35" s="17" t="s">
        <v>1530</v>
      </c>
      <c r="D35" s="17" t="s">
        <v>1531</v>
      </c>
      <c r="E35" s="17" t="s">
        <v>1532</v>
      </c>
      <c r="F35" s="17" t="s">
        <v>1533</v>
      </c>
      <c r="G35" s="17" t="s">
        <v>1534</v>
      </c>
      <c r="H35" s="17" t="s">
        <v>271</v>
      </c>
      <c r="I35" s="17"/>
      <c r="J35" s="17" t="s">
        <v>99</v>
      </c>
      <c r="K35" s="17" t="s">
        <v>113</v>
      </c>
      <c r="L35" s="17" t="s">
        <v>194</v>
      </c>
      <c r="M35" s="17"/>
      <c r="N35" s="17"/>
      <c r="O35" s="17" t="s">
        <v>981</v>
      </c>
      <c r="P35" s="17" t="s">
        <v>1535</v>
      </c>
    </row>
    <row r="36" spans="1:16" ht="60" customHeigh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ht="60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ht="60" customHeight="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ht="60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16" ht="60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spans="1:16" ht="60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spans="1:16" ht="60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spans="1:16" ht="60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1:16" ht="60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spans="1:16" ht="60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spans="1:16" ht="60" customHeight="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spans="1:16" ht="60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spans="1:16" ht="60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spans="1:16" ht="60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1:16" ht="60" customHeight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</sheetData>
  <conditionalFormatting sqref="L5:L250">
    <cfRule type="expression" dxfId="10" priority="1">
      <formula>ISNUMBER(SEARCH("Não conforme",L5))</formula>
    </cfRule>
    <cfRule type="expression" dxfId="9" priority="2">
      <formula>ISNUMBER(SEARCH("Parcial",L5))</formula>
    </cfRule>
    <cfRule type="expression" dxfId="8" priority="3">
      <formula>ISNUMBER(SEARCH("Por avaliar",L5))</formula>
    </cfRule>
    <cfRule type="expression" dxfId="7" priority="4">
      <formula>ISNUMBER(SEARCH("implementação",L5))</formula>
    </cfRule>
    <cfRule type="expression" dxfId="6" priority="5">
      <formula>ISNUMBER(SEARCH("acompanhamento",L5))</formula>
    </cfRule>
    <cfRule type="expression" dxfId="5" priority="6">
      <formula>ISNUMBER(SEARCH("Conforme",L5))</formula>
    </cfRule>
    <cfRule type="expression" dxfId="4" priority="7">
      <formula>ISNUMBER(SEARCH("Não aplicável",L5))</formula>
    </cfRule>
  </conditionalFormatting>
  <dataValidations count="3">
    <dataValidation type="list" allowBlank="1" showErrorMessage="1" errorTitle="Valor inválido" error="Valor fora da lista controlada (ver folha Listas)." sqref="H5:H250" xr:uid="{00000000-0002-0000-0F00-000000000000}">
      <formula1>lst_Aplicavel</formula1>
    </dataValidation>
    <dataValidation type="list" allowBlank="1" showErrorMessage="1" errorTitle="Valor inválido" error="Valor fora da lista controlada (ver folha Listas)." sqref="L5:L250" xr:uid="{00000000-0002-0000-0F00-000001000000}">
      <formula1>lst_EstadoConf</formula1>
    </dataValidation>
    <dataValidation type="list" allowBlank="1" showErrorMessage="1" errorTitle="Valor inválido" error="Valor fora da lista controlada (ver folha Listas)." sqref="O5:O250" xr:uid="{00000000-0002-0000-0F00-000002000000}">
      <formula1>lst_Funcao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25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26" customWidth="1"/>
    <col min="3" max="5" width="50" customWidth="1"/>
    <col min="6" max="6" width="26" customWidth="1"/>
  </cols>
  <sheetData>
    <row r="1" spans="1:6" ht="17.399999999999999" x14ac:dyDescent="0.3">
      <c r="A1" s="1" t="s">
        <v>1536</v>
      </c>
    </row>
    <row r="2" spans="1:6" x14ac:dyDescent="0.3">
      <c r="A2" s="2" t="s">
        <v>1537</v>
      </c>
    </row>
    <row r="4" spans="1:6" x14ac:dyDescent="0.3">
      <c r="A4" s="8" t="s">
        <v>1538</v>
      </c>
      <c r="B4" s="8" t="s">
        <v>1270</v>
      </c>
      <c r="C4" s="8" t="s">
        <v>1539</v>
      </c>
      <c r="D4" s="8" t="s">
        <v>1540</v>
      </c>
      <c r="E4" s="8" t="s">
        <v>1541</v>
      </c>
      <c r="F4" s="8" t="s">
        <v>1542</v>
      </c>
    </row>
    <row r="5" spans="1:6" ht="60" customHeight="1" x14ac:dyDescent="0.3">
      <c r="A5" s="17" t="s">
        <v>1543</v>
      </c>
      <c r="B5" s="17" t="s">
        <v>1544</v>
      </c>
      <c r="C5" s="17" t="s">
        <v>1545</v>
      </c>
      <c r="D5" s="17" t="s">
        <v>1546</v>
      </c>
      <c r="E5" s="17" t="s">
        <v>1547</v>
      </c>
      <c r="F5" s="17" t="s">
        <v>1548</v>
      </c>
    </row>
    <row r="6" spans="1:6" ht="60" customHeight="1" x14ac:dyDescent="0.3">
      <c r="A6" s="17" t="s">
        <v>1549</v>
      </c>
      <c r="B6" s="17" t="s">
        <v>1544</v>
      </c>
      <c r="C6" s="17" t="s">
        <v>1550</v>
      </c>
      <c r="D6" s="17" t="s">
        <v>1551</v>
      </c>
      <c r="E6" s="17" t="s">
        <v>1552</v>
      </c>
      <c r="F6" s="17" t="s">
        <v>1553</v>
      </c>
    </row>
    <row r="7" spans="1:6" ht="60" customHeight="1" x14ac:dyDescent="0.3">
      <c r="A7" s="17" t="s">
        <v>1554</v>
      </c>
      <c r="B7" s="17" t="s">
        <v>1544</v>
      </c>
      <c r="C7" s="17" t="s">
        <v>1555</v>
      </c>
      <c r="D7" s="17" t="s">
        <v>1556</v>
      </c>
      <c r="E7" s="17" t="s">
        <v>1557</v>
      </c>
      <c r="F7" s="17" t="s">
        <v>36</v>
      </c>
    </row>
    <row r="8" spans="1:6" ht="60" customHeight="1" x14ac:dyDescent="0.3">
      <c r="A8" s="17" t="s">
        <v>1558</v>
      </c>
      <c r="B8" s="17" t="s">
        <v>1544</v>
      </c>
      <c r="C8" s="17" t="s">
        <v>1559</v>
      </c>
      <c r="D8" s="17" t="s">
        <v>1560</v>
      </c>
      <c r="E8" s="17" t="s">
        <v>1561</v>
      </c>
      <c r="F8" s="17" t="s">
        <v>36</v>
      </c>
    </row>
    <row r="9" spans="1:6" ht="60" customHeight="1" x14ac:dyDescent="0.3">
      <c r="A9" s="17" t="s">
        <v>1562</v>
      </c>
      <c r="B9" s="17" t="s">
        <v>1544</v>
      </c>
      <c r="C9" s="17" t="s">
        <v>1563</v>
      </c>
      <c r="D9" s="17" t="s">
        <v>1564</v>
      </c>
      <c r="E9" s="17" t="s">
        <v>1565</v>
      </c>
      <c r="F9" s="17" t="s">
        <v>38</v>
      </c>
    </row>
    <row r="10" spans="1:6" ht="60" customHeight="1" x14ac:dyDescent="0.3">
      <c r="A10" s="17" t="s">
        <v>1566</v>
      </c>
      <c r="B10" s="17" t="s">
        <v>1544</v>
      </c>
      <c r="C10" s="17" t="s">
        <v>1567</v>
      </c>
      <c r="D10" s="17" t="s">
        <v>1568</v>
      </c>
      <c r="E10" s="17" t="s">
        <v>1569</v>
      </c>
      <c r="F10" s="17" t="s">
        <v>136</v>
      </c>
    </row>
    <row r="11" spans="1:6" ht="60" customHeight="1" x14ac:dyDescent="0.3">
      <c r="A11" s="17" t="s">
        <v>1570</v>
      </c>
      <c r="B11" s="17" t="s">
        <v>1544</v>
      </c>
      <c r="C11" s="17" t="s">
        <v>1571</v>
      </c>
      <c r="D11" s="17" t="s">
        <v>1572</v>
      </c>
      <c r="E11" s="17" t="s">
        <v>1573</v>
      </c>
      <c r="F11" s="17" t="s">
        <v>1574</v>
      </c>
    </row>
    <row r="12" spans="1:6" ht="60" customHeight="1" x14ac:dyDescent="0.3">
      <c r="A12" s="17" t="s">
        <v>1575</v>
      </c>
      <c r="B12" s="17" t="s">
        <v>1544</v>
      </c>
      <c r="C12" s="17" t="s">
        <v>1576</v>
      </c>
      <c r="D12" s="17" t="s">
        <v>1577</v>
      </c>
      <c r="E12" s="17" t="s">
        <v>1578</v>
      </c>
      <c r="F12" s="17" t="s">
        <v>1579</v>
      </c>
    </row>
    <row r="13" spans="1:6" ht="60" customHeight="1" x14ac:dyDescent="0.3">
      <c r="A13" s="17" t="s">
        <v>1580</v>
      </c>
      <c r="B13" s="17" t="s">
        <v>1544</v>
      </c>
      <c r="C13" s="17" t="s">
        <v>1581</v>
      </c>
      <c r="D13" s="17" t="s">
        <v>1582</v>
      </c>
      <c r="E13" s="17" t="s">
        <v>1583</v>
      </c>
      <c r="F13" s="17" t="s">
        <v>1584</v>
      </c>
    </row>
    <row r="14" spans="1:6" ht="60" customHeight="1" x14ac:dyDescent="0.3">
      <c r="A14" s="17" t="s">
        <v>1585</v>
      </c>
      <c r="B14" s="17" t="s">
        <v>1544</v>
      </c>
      <c r="C14" s="17" t="s">
        <v>1586</v>
      </c>
      <c r="D14" s="17" t="s">
        <v>1587</v>
      </c>
      <c r="E14" s="17" t="s">
        <v>1588</v>
      </c>
      <c r="F14" s="17" t="s">
        <v>93</v>
      </c>
    </row>
    <row r="15" spans="1:6" ht="60" customHeight="1" x14ac:dyDescent="0.3">
      <c r="A15" s="17" t="s">
        <v>1589</v>
      </c>
      <c r="B15" s="17" t="s">
        <v>1590</v>
      </c>
      <c r="C15" s="17" t="s">
        <v>1591</v>
      </c>
      <c r="D15" s="17" t="s">
        <v>1592</v>
      </c>
      <c r="E15" s="17" t="s">
        <v>1593</v>
      </c>
      <c r="F15" s="17" t="s">
        <v>1594</v>
      </c>
    </row>
    <row r="16" spans="1:6" ht="60" customHeight="1" x14ac:dyDescent="0.3">
      <c r="A16" s="17" t="s">
        <v>1595</v>
      </c>
      <c r="B16" s="17" t="s">
        <v>1596</v>
      </c>
      <c r="C16" s="17" t="s">
        <v>1597</v>
      </c>
      <c r="D16" s="17" t="s">
        <v>1598</v>
      </c>
      <c r="E16" s="17" t="s">
        <v>1599</v>
      </c>
      <c r="F16" s="17" t="s">
        <v>40</v>
      </c>
    </row>
    <row r="17" spans="1:6" ht="60" customHeight="1" x14ac:dyDescent="0.3">
      <c r="A17" s="17" t="s">
        <v>1600</v>
      </c>
      <c r="B17" s="17" t="s">
        <v>1601</v>
      </c>
      <c r="C17" s="17" t="s">
        <v>1602</v>
      </c>
      <c r="D17" s="17" t="s">
        <v>1603</v>
      </c>
      <c r="E17" s="17" t="s">
        <v>1604</v>
      </c>
      <c r="F17" s="17" t="s">
        <v>56</v>
      </c>
    </row>
    <row r="18" spans="1:6" ht="60" customHeight="1" x14ac:dyDescent="0.3">
      <c r="A18" s="17" t="s">
        <v>1605</v>
      </c>
      <c r="B18" s="17" t="s">
        <v>1606</v>
      </c>
      <c r="C18" s="17" t="s">
        <v>1607</v>
      </c>
      <c r="D18" s="17" t="s">
        <v>1608</v>
      </c>
      <c r="E18" s="17" t="s">
        <v>1609</v>
      </c>
      <c r="F18" s="17" t="s">
        <v>1610</v>
      </c>
    </row>
    <row r="19" spans="1:6" ht="60" customHeight="1" x14ac:dyDescent="0.3">
      <c r="A19" s="17" t="s">
        <v>1611</v>
      </c>
      <c r="B19" s="17" t="s">
        <v>1612</v>
      </c>
      <c r="C19" s="17" t="s">
        <v>1613</v>
      </c>
      <c r="D19" s="17" t="s">
        <v>1614</v>
      </c>
      <c r="E19" s="17" t="s">
        <v>1615</v>
      </c>
      <c r="F19" s="17" t="s">
        <v>1616</v>
      </c>
    </row>
    <row r="20" spans="1:6" ht="60" customHeight="1" x14ac:dyDescent="0.3">
      <c r="A20" s="17" t="s">
        <v>1617</v>
      </c>
      <c r="B20" s="17" t="s">
        <v>1618</v>
      </c>
      <c r="C20" s="17" t="s">
        <v>1619</v>
      </c>
      <c r="D20" s="17" t="s">
        <v>1620</v>
      </c>
      <c r="E20" s="17" t="s">
        <v>1621</v>
      </c>
      <c r="F20" s="17" t="s">
        <v>54</v>
      </c>
    </row>
    <row r="21" spans="1:6" ht="60" customHeight="1" x14ac:dyDescent="0.3">
      <c r="A21" s="17" t="s">
        <v>1622</v>
      </c>
      <c r="B21" s="17" t="s">
        <v>1623</v>
      </c>
      <c r="C21" s="17" t="s">
        <v>1624</v>
      </c>
      <c r="D21" s="17" t="s">
        <v>1625</v>
      </c>
      <c r="E21" s="17" t="s">
        <v>1626</v>
      </c>
      <c r="F21" s="17" t="s">
        <v>1627</v>
      </c>
    </row>
    <row r="22" spans="1:6" ht="60" customHeight="1" x14ac:dyDescent="0.3">
      <c r="A22" s="17" t="s">
        <v>1628</v>
      </c>
      <c r="B22" s="17" t="s">
        <v>1629</v>
      </c>
      <c r="C22" s="17" t="s">
        <v>1630</v>
      </c>
      <c r="D22" s="17" t="s">
        <v>1631</v>
      </c>
      <c r="E22" s="17" t="s">
        <v>1632</v>
      </c>
      <c r="F22" s="17" t="s">
        <v>1633</v>
      </c>
    </row>
    <row r="23" spans="1:6" ht="60" customHeight="1" x14ac:dyDescent="0.3">
      <c r="A23" s="17" t="s">
        <v>1634</v>
      </c>
      <c r="B23" s="17" t="s">
        <v>1635</v>
      </c>
      <c r="C23" s="17" t="s">
        <v>1636</v>
      </c>
      <c r="D23" s="17" t="s">
        <v>1637</v>
      </c>
      <c r="E23" s="17" t="s">
        <v>1638</v>
      </c>
      <c r="F23" s="17" t="s">
        <v>1639</v>
      </c>
    </row>
    <row r="24" spans="1:6" ht="60" customHeight="1" x14ac:dyDescent="0.3">
      <c r="A24" s="17" t="s">
        <v>1640</v>
      </c>
      <c r="B24" s="17" t="s">
        <v>1641</v>
      </c>
      <c r="C24" s="17" t="s">
        <v>1642</v>
      </c>
      <c r="D24" s="17" t="s">
        <v>1643</v>
      </c>
      <c r="E24" s="17" t="s">
        <v>1644</v>
      </c>
      <c r="F24" s="17" t="s">
        <v>1645</v>
      </c>
    </row>
    <row r="25" spans="1:6" ht="60" customHeight="1" x14ac:dyDescent="0.3">
      <c r="A25" s="17" t="s">
        <v>1646</v>
      </c>
      <c r="B25" s="17" t="s">
        <v>1647</v>
      </c>
      <c r="C25" s="17" t="s">
        <v>1648</v>
      </c>
      <c r="D25" s="17" t="s">
        <v>1649</v>
      </c>
      <c r="E25" s="17" t="s">
        <v>1650</v>
      </c>
      <c r="F25" s="17" t="s">
        <v>1651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11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58" customWidth="1"/>
    <col min="3" max="4" width="12" customWidth="1"/>
    <col min="5" max="5" width="80" customWidth="1"/>
  </cols>
  <sheetData>
    <row r="1" spans="1:5" ht="17.399999999999999" x14ac:dyDescent="0.3">
      <c r="A1" s="1" t="s">
        <v>1652</v>
      </c>
    </row>
    <row r="2" spans="1:5" x14ac:dyDescent="0.3">
      <c r="A2" s="2" t="s">
        <v>1653</v>
      </c>
    </row>
    <row r="4" spans="1:5" ht="26.4" x14ac:dyDescent="0.3">
      <c r="A4" s="8" t="s">
        <v>1654</v>
      </c>
      <c r="B4" s="8" t="s">
        <v>1655</v>
      </c>
      <c r="C4" s="8" t="s">
        <v>108</v>
      </c>
      <c r="D4" s="8" t="s">
        <v>1656</v>
      </c>
      <c r="E4" s="8" t="s">
        <v>1270</v>
      </c>
    </row>
    <row r="5" spans="1:5" ht="30" customHeight="1" x14ac:dyDescent="0.3">
      <c r="A5" s="17" t="s">
        <v>1657</v>
      </c>
      <c r="B5" s="17" t="s">
        <v>1658</v>
      </c>
      <c r="C5" s="28">
        <v>253</v>
      </c>
      <c r="D5" s="17" t="s">
        <v>1659</v>
      </c>
      <c r="E5" s="17" t="s">
        <v>1660</v>
      </c>
    </row>
    <row r="6" spans="1:5" ht="30" customHeight="1" x14ac:dyDescent="0.3">
      <c r="A6" s="17" t="s">
        <v>1661</v>
      </c>
      <c r="B6" s="17" t="s">
        <v>1662</v>
      </c>
      <c r="C6" s="28">
        <v>36</v>
      </c>
      <c r="D6" s="17" t="s">
        <v>1663</v>
      </c>
      <c r="E6" s="17" t="s">
        <v>1664</v>
      </c>
    </row>
    <row r="7" spans="1:5" ht="30" customHeight="1" x14ac:dyDescent="0.3">
      <c r="A7" s="17" t="s">
        <v>1665</v>
      </c>
      <c r="B7" s="17" t="s">
        <v>1666</v>
      </c>
      <c r="C7" s="28">
        <v>12</v>
      </c>
      <c r="D7" s="17" t="s">
        <v>1663</v>
      </c>
      <c r="E7" s="17" t="s">
        <v>1667</v>
      </c>
    </row>
    <row r="8" spans="1:5" ht="30" customHeight="1" x14ac:dyDescent="0.3">
      <c r="A8" s="17" t="s">
        <v>1668</v>
      </c>
      <c r="B8" s="17" t="s">
        <v>1669</v>
      </c>
      <c r="C8" s="28">
        <v>6</v>
      </c>
      <c r="D8" s="17" t="s">
        <v>1663</v>
      </c>
      <c r="E8" s="17" t="s">
        <v>1670</v>
      </c>
    </row>
    <row r="9" spans="1:5" ht="30" customHeight="1" x14ac:dyDescent="0.3">
      <c r="A9" s="17" t="s">
        <v>1671</v>
      </c>
      <c r="B9" s="17" t="s">
        <v>1672</v>
      </c>
      <c r="C9" s="28">
        <v>1E-3</v>
      </c>
      <c r="D9" s="17" t="s">
        <v>1673</v>
      </c>
      <c r="E9" s="17" t="s">
        <v>1674</v>
      </c>
    </row>
    <row r="10" spans="1:5" ht="30" customHeight="1" x14ac:dyDescent="0.3">
      <c r="A10" s="17" t="s">
        <v>1675</v>
      </c>
      <c r="B10" s="17" t="s">
        <v>1676</v>
      </c>
      <c r="C10" s="28">
        <v>36</v>
      </c>
      <c r="D10" s="17" t="s">
        <v>1663</v>
      </c>
      <c r="E10" s="17" t="s">
        <v>1677</v>
      </c>
    </row>
    <row r="11" spans="1:5" ht="30" customHeight="1" x14ac:dyDescent="0.3">
      <c r="A11" s="17" t="s">
        <v>1678</v>
      </c>
      <c r="B11" s="17" t="s">
        <v>1679</v>
      </c>
      <c r="C11" s="28">
        <v>0.5</v>
      </c>
      <c r="D11" s="17" t="s">
        <v>1680</v>
      </c>
      <c r="E11" s="17" t="s">
        <v>1681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9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62" customWidth="1"/>
    <col min="3" max="3" width="11" customWidth="1"/>
    <col min="4" max="4" width="30" customWidth="1"/>
    <col min="5" max="5" width="9" customWidth="1"/>
    <col min="6" max="6" width="8" customWidth="1"/>
    <col min="7" max="7" width="10" customWidth="1"/>
  </cols>
  <sheetData>
    <row r="1" spans="1:7" ht="17.399999999999999" x14ac:dyDescent="0.3">
      <c r="A1" s="1" t="s">
        <v>1682</v>
      </c>
    </row>
    <row r="2" spans="1:7" x14ac:dyDescent="0.3">
      <c r="A2" s="2" t="s">
        <v>1683</v>
      </c>
    </row>
    <row r="4" spans="1:7" ht="39.6" x14ac:dyDescent="0.3">
      <c r="A4" s="8" t="s">
        <v>1684</v>
      </c>
      <c r="B4" s="8" t="s">
        <v>1685</v>
      </c>
      <c r="C4" s="8" t="s">
        <v>1146</v>
      </c>
      <c r="D4" s="8" t="s">
        <v>1219</v>
      </c>
      <c r="E4" s="8" t="s">
        <v>243</v>
      </c>
      <c r="F4" s="8" t="s">
        <v>1686</v>
      </c>
      <c r="G4" s="8" t="s">
        <v>250</v>
      </c>
    </row>
    <row r="5" spans="1:7" ht="18" customHeight="1" x14ac:dyDescent="0.3">
      <c r="A5" s="17" t="s">
        <v>1687</v>
      </c>
      <c r="B5" s="17" t="s">
        <v>1688</v>
      </c>
      <c r="C5" s="17" t="s">
        <v>1227</v>
      </c>
      <c r="D5" s="17" t="s">
        <v>1689</v>
      </c>
      <c r="E5" s="26">
        <v>0</v>
      </c>
      <c r="F5" s="17"/>
      <c r="G5" s="17"/>
    </row>
    <row r="6" spans="1:7" ht="18" customHeight="1" x14ac:dyDescent="0.3">
      <c r="A6" s="17" t="s">
        <v>1690</v>
      </c>
      <c r="B6" s="17" t="s">
        <v>1691</v>
      </c>
      <c r="C6" s="17" t="s">
        <v>1227</v>
      </c>
      <c r="D6" s="17" t="s">
        <v>1689</v>
      </c>
      <c r="E6" s="26">
        <v>0</v>
      </c>
      <c r="F6" s="17"/>
      <c r="G6" s="17"/>
    </row>
    <row r="7" spans="1:7" ht="18" customHeight="1" x14ac:dyDescent="0.3">
      <c r="A7" s="17" t="s">
        <v>1692</v>
      </c>
      <c r="B7" s="17" t="s">
        <v>1693</v>
      </c>
      <c r="C7" s="17" t="s">
        <v>1227</v>
      </c>
      <c r="D7" s="17" t="s">
        <v>1689</v>
      </c>
      <c r="E7" s="26">
        <v>0</v>
      </c>
      <c r="F7" s="17"/>
      <c r="G7" s="17"/>
    </row>
    <row r="8" spans="1:7" ht="18" customHeight="1" x14ac:dyDescent="0.3">
      <c r="A8" s="17" t="s">
        <v>1694</v>
      </c>
      <c r="B8" s="17" t="s">
        <v>1695</v>
      </c>
      <c r="C8" s="17" t="s">
        <v>1227</v>
      </c>
      <c r="D8" s="17" t="s">
        <v>1689</v>
      </c>
      <c r="E8" s="26">
        <v>0</v>
      </c>
      <c r="F8" s="17"/>
      <c r="G8" s="17"/>
    </row>
    <row r="9" spans="1:7" ht="18" customHeight="1" x14ac:dyDescent="0.3">
      <c r="A9" s="17" t="s">
        <v>1696</v>
      </c>
      <c r="B9" s="17" t="s">
        <v>1697</v>
      </c>
      <c r="C9" s="17" t="s">
        <v>1227</v>
      </c>
      <c r="D9" s="17" t="s">
        <v>1689</v>
      </c>
      <c r="E9" s="26">
        <v>0</v>
      </c>
      <c r="F9" s="17"/>
      <c r="G9" s="17"/>
    </row>
    <row r="10" spans="1:7" ht="18" customHeight="1" x14ac:dyDescent="0.3">
      <c r="A10" s="17" t="s">
        <v>1698</v>
      </c>
      <c r="B10" s="17" t="s">
        <v>1699</v>
      </c>
      <c r="C10" s="17" t="s">
        <v>1227</v>
      </c>
      <c r="D10" s="17" t="s">
        <v>1689</v>
      </c>
      <c r="E10" s="26">
        <v>0</v>
      </c>
      <c r="F10" s="17"/>
      <c r="G10" s="17"/>
    </row>
    <row r="11" spans="1:7" ht="18" customHeight="1" x14ac:dyDescent="0.3">
      <c r="A11" s="17" t="s">
        <v>1700</v>
      </c>
      <c r="B11" s="17" t="s">
        <v>1701</v>
      </c>
      <c r="C11" s="17" t="s">
        <v>1227</v>
      </c>
      <c r="D11" s="17" t="s">
        <v>1702</v>
      </c>
      <c r="E11" s="26">
        <v>0</v>
      </c>
      <c r="F11" s="17"/>
      <c r="G11" s="17"/>
    </row>
    <row r="12" spans="1:7" ht="18" customHeight="1" x14ac:dyDescent="0.3">
      <c r="A12" s="17" t="s">
        <v>1703</v>
      </c>
      <c r="B12" s="17" t="s">
        <v>1704</v>
      </c>
      <c r="C12" s="17" t="s">
        <v>1227</v>
      </c>
      <c r="D12" s="17" t="s">
        <v>1702</v>
      </c>
      <c r="E12" s="26">
        <v>0</v>
      </c>
      <c r="F12" s="17"/>
      <c r="G12" s="17"/>
    </row>
    <row r="13" spans="1:7" ht="18" customHeight="1" x14ac:dyDescent="0.3">
      <c r="A13" s="17" t="s">
        <v>1705</v>
      </c>
      <c r="B13" s="17" t="s">
        <v>1706</v>
      </c>
      <c r="C13" s="17" t="s">
        <v>1227</v>
      </c>
      <c r="D13" s="17" t="s">
        <v>1702</v>
      </c>
      <c r="E13" s="26">
        <v>0</v>
      </c>
      <c r="F13" s="17"/>
      <c r="G13" s="17"/>
    </row>
    <row r="14" spans="1:7" ht="18" customHeight="1" x14ac:dyDescent="0.3">
      <c r="A14" s="17" t="s">
        <v>1707</v>
      </c>
      <c r="B14" s="17" t="s">
        <v>1708</v>
      </c>
      <c r="C14" s="17" t="s">
        <v>1227</v>
      </c>
      <c r="D14" s="17" t="s">
        <v>1702</v>
      </c>
      <c r="E14" s="26">
        <v>0</v>
      </c>
      <c r="F14" s="17"/>
      <c r="G14" s="17"/>
    </row>
    <row r="15" spans="1:7" ht="18" customHeight="1" x14ac:dyDescent="0.3">
      <c r="A15" s="17" t="s">
        <v>1709</v>
      </c>
      <c r="B15" s="17" t="s">
        <v>1710</v>
      </c>
      <c r="C15" s="17" t="s">
        <v>1227</v>
      </c>
      <c r="D15" s="17" t="s">
        <v>1702</v>
      </c>
      <c r="E15" s="26">
        <v>0</v>
      </c>
      <c r="F15" s="17"/>
      <c r="G15" s="17"/>
    </row>
    <row r="16" spans="1:7" ht="18" customHeight="1" x14ac:dyDescent="0.3">
      <c r="A16" s="17" t="s">
        <v>1711</v>
      </c>
      <c r="B16" s="17" t="s">
        <v>1712</v>
      </c>
      <c r="C16" s="17" t="s">
        <v>1227</v>
      </c>
      <c r="D16" s="17" t="s">
        <v>1702</v>
      </c>
      <c r="E16" s="26">
        <v>0</v>
      </c>
      <c r="F16" s="17"/>
      <c r="G16" s="17"/>
    </row>
    <row r="17" spans="1:7" ht="18" customHeight="1" x14ac:dyDescent="0.3">
      <c r="A17" s="17" t="s">
        <v>1713</v>
      </c>
      <c r="B17" s="17" t="s">
        <v>1714</v>
      </c>
      <c r="C17" s="17" t="s">
        <v>1227</v>
      </c>
      <c r="D17" s="17" t="s">
        <v>1702</v>
      </c>
      <c r="E17" s="26">
        <v>0</v>
      </c>
      <c r="F17" s="17"/>
      <c r="G17" s="17"/>
    </row>
    <row r="18" spans="1:7" ht="18" customHeight="1" x14ac:dyDescent="0.3">
      <c r="A18" s="17" t="s">
        <v>1715</v>
      </c>
      <c r="B18" s="17" t="s">
        <v>1716</v>
      </c>
      <c r="C18" s="17" t="s">
        <v>1227</v>
      </c>
      <c r="D18" s="17" t="s">
        <v>1702</v>
      </c>
      <c r="E18" s="26">
        <v>0</v>
      </c>
      <c r="F18" s="17"/>
      <c r="G18" s="17"/>
    </row>
    <row r="19" spans="1:7" ht="18" customHeight="1" x14ac:dyDescent="0.3">
      <c r="A19" s="17" t="s">
        <v>1717</v>
      </c>
      <c r="B19" s="17" t="s">
        <v>1718</v>
      </c>
      <c r="C19" s="17" t="s">
        <v>1227</v>
      </c>
      <c r="D19" s="17" t="s">
        <v>1719</v>
      </c>
      <c r="E19" s="26">
        <v>0</v>
      </c>
      <c r="F19" s="17"/>
      <c r="G19" s="17"/>
    </row>
    <row r="20" spans="1:7" ht="18" customHeight="1" x14ac:dyDescent="0.3">
      <c r="A20" s="17" t="s">
        <v>1720</v>
      </c>
      <c r="B20" s="17" t="s">
        <v>1721</v>
      </c>
      <c r="C20" s="17" t="s">
        <v>1227</v>
      </c>
      <c r="D20" s="17" t="s">
        <v>1702</v>
      </c>
      <c r="E20" s="26">
        <v>0</v>
      </c>
      <c r="F20" s="17"/>
      <c r="G20" s="17"/>
    </row>
    <row r="21" spans="1:7" ht="18" customHeight="1" x14ac:dyDescent="0.3">
      <c r="A21" s="17" t="s">
        <v>1722</v>
      </c>
      <c r="B21" s="17" t="s">
        <v>1723</v>
      </c>
      <c r="C21" s="17" t="s">
        <v>1227</v>
      </c>
      <c r="D21" s="17" t="s">
        <v>1724</v>
      </c>
      <c r="E21" s="26">
        <v>0</v>
      </c>
      <c r="F21" s="17"/>
      <c r="G21" s="17"/>
    </row>
    <row r="22" spans="1:7" ht="18" customHeight="1" x14ac:dyDescent="0.3">
      <c r="A22" s="17" t="s">
        <v>1725</v>
      </c>
      <c r="B22" s="17" t="s">
        <v>1726</v>
      </c>
      <c r="C22" s="17" t="s">
        <v>1227</v>
      </c>
      <c r="D22" s="17" t="s">
        <v>1724</v>
      </c>
      <c r="E22" s="26">
        <v>0</v>
      </c>
      <c r="F22" s="17"/>
      <c r="G22" s="17"/>
    </row>
    <row r="23" spans="1:7" ht="18" customHeight="1" x14ac:dyDescent="0.3">
      <c r="A23" s="17" t="s">
        <v>1727</v>
      </c>
      <c r="B23" s="17" t="s">
        <v>1728</v>
      </c>
      <c r="C23" s="17" t="s">
        <v>1227</v>
      </c>
      <c r="D23" s="17" t="s">
        <v>1724</v>
      </c>
      <c r="E23" s="26">
        <v>0</v>
      </c>
      <c r="F23" s="17"/>
      <c r="G23" s="17"/>
    </row>
    <row r="24" spans="1:7" ht="18" customHeight="1" x14ac:dyDescent="0.3">
      <c r="A24" s="17" t="s">
        <v>1729</v>
      </c>
      <c r="B24" s="17" t="s">
        <v>1730</v>
      </c>
      <c r="C24" s="17" t="s">
        <v>1227</v>
      </c>
      <c r="D24" s="17" t="s">
        <v>1731</v>
      </c>
      <c r="E24" s="26">
        <v>0</v>
      </c>
      <c r="F24" s="17"/>
      <c r="G24" s="17"/>
    </row>
    <row r="25" spans="1:7" ht="18" customHeight="1" x14ac:dyDescent="0.3">
      <c r="A25" s="17" t="s">
        <v>1732</v>
      </c>
      <c r="B25" s="17" t="s">
        <v>1733</v>
      </c>
      <c r="C25" s="17" t="s">
        <v>1227</v>
      </c>
      <c r="D25" s="17" t="s">
        <v>1734</v>
      </c>
      <c r="E25" s="26">
        <v>0</v>
      </c>
      <c r="F25" s="17"/>
      <c r="G25" s="17"/>
    </row>
    <row r="26" spans="1:7" ht="18" customHeight="1" x14ac:dyDescent="0.3">
      <c r="A26" s="17" t="s">
        <v>1735</v>
      </c>
      <c r="B26" s="17" t="s">
        <v>1736</v>
      </c>
      <c r="C26" s="17" t="s">
        <v>1227</v>
      </c>
      <c r="D26" s="17" t="s">
        <v>1734</v>
      </c>
      <c r="E26" s="26">
        <v>0</v>
      </c>
      <c r="F26" s="17"/>
      <c r="G26" s="17"/>
    </row>
    <row r="27" spans="1:7" ht="18" customHeight="1" x14ac:dyDescent="0.3">
      <c r="A27" s="17" t="s">
        <v>1737</v>
      </c>
      <c r="B27" s="17" t="s">
        <v>1738</v>
      </c>
      <c r="C27" s="17" t="s">
        <v>1227</v>
      </c>
      <c r="D27" s="17" t="s">
        <v>1739</v>
      </c>
      <c r="E27" s="26">
        <v>0</v>
      </c>
      <c r="F27" s="17"/>
      <c r="G27" s="17"/>
    </row>
    <row r="28" spans="1:7" ht="18" customHeight="1" x14ac:dyDescent="0.3">
      <c r="A28" s="17" t="s">
        <v>1740</v>
      </c>
      <c r="B28" s="17" t="s">
        <v>1741</v>
      </c>
      <c r="C28" s="17" t="s">
        <v>1227</v>
      </c>
      <c r="D28" s="17" t="s">
        <v>1739</v>
      </c>
      <c r="E28" s="26">
        <v>0</v>
      </c>
      <c r="F28" s="17"/>
      <c r="G28" s="17"/>
    </row>
    <row r="29" spans="1:7" ht="18" customHeight="1" x14ac:dyDescent="0.3">
      <c r="A29" s="17" t="s">
        <v>1742</v>
      </c>
      <c r="B29" s="17" t="s">
        <v>1743</v>
      </c>
      <c r="C29" s="17" t="s">
        <v>1227</v>
      </c>
      <c r="D29" s="17" t="s">
        <v>1744</v>
      </c>
      <c r="E29" s="26">
        <v>0</v>
      </c>
      <c r="F29" s="17"/>
      <c r="G29" s="17"/>
    </row>
    <row r="30" spans="1:7" ht="18" customHeight="1" x14ac:dyDescent="0.3">
      <c r="A30" s="17" t="s">
        <v>1745</v>
      </c>
      <c r="B30" s="17" t="s">
        <v>1746</v>
      </c>
      <c r="C30" s="17" t="s">
        <v>1227</v>
      </c>
      <c r="D30" s="17" t="s">
        <v>1744</v>
      </c>
      <c r="E30" s="26">
        <v>0</v>
      </c>
      <c r="F30" s="17"/>
      <c r="G30" s="17"/>
    </row>
    <row r="31" spans="1:7" ht="18" customHeight="1" x14ac:dyDescent="0.3">
      <c r="A31" s="17" t="s">
        <v>1747</v>
      </c>
      <c r="B31" s="17" t="s">
        <v>1748</v>
      </c>
      <c r="C31" s="17" t="s">
        <v>1227</v>
      </c>
      <c r="D31" s="17" t="s">
        <v>1744</v>
      </c>
      <c r="E31" s="26">
        <v>0</v>
      </c>
      <c r="F31" s="17"/>
      <c r="G31" s="17"/>
    </row>
    <row r="32" spans="1:7" ht="18" customHeight="1" x14ac:dyDescent="0.3">
      <c r="A32" s="17" t="s">
        <v>512</v>
      </c>
      <c r="B32" s="17" t="s">
        <v>1749</v>
      </c>
      <c r="C32" s="17" t="s">
        <v>1227</v>
      </c>
      <c r="D32" s="17" t="s">
        <v>1719</v>
      </c>
      <c r="E32" s="26">
        <v>0</v>
      </c>
      <c r="F32" s="17"/>
      <c r="G32" s="17"/>
    </row>
    <row r="33" spans="1:7" ht="18" customHeight="1" x14ac:dyDescent="0.3">
      <c r="A33" s="17" t="s">
        <v>1750</v>
      </c>
      <c r="B33" s="17" t="s">
        <v>1751</v>
      </c>
      <c r="C33" s="17" t="s">
        <v>1227</v>
      </c>
      <c r="D33" s="17" t="s">
        <v>1719</v>
      </c>
      <c r="E33" s="26">
        <v>0</v>
      </c>
      <c r="F33" s="17"/>
      <c r="G33" s="17"/>
    </row>
    <row r="34" spans="1:7" ht="18" customHeight="1" x14ac:dyDescent="0.3">
      <c r="A34" s="17" t="s">
        <v>1752</v>
      </c>
      <c r="B34" s="17" t="s">
        <v>1753</v>
      </c>
      <c r="C34" s="17" t="s">
        <v>1227</v>
      </c>
      <c r="D34" s="17" t="s">
        <v>1754</v>
      </c>
      <c r="E34" s="26">
        <v>0</v>
      </c>
      <c r="F34" s="17"/>
      <c r="G34" s="17"/>
    </row>
    <row r="35" spans="1:7" ht="18" customHeight="1" x14ac:dyDescent="0.3">
      <c r="A35" s="17" t="s">
        <v>1755</v>
      </c>
      <c r="B35" s="17" t="s">
        <v>1756</v>
      </c>
      <c r="C35" s="17" t="s">
        <v>1224</v>
      </c>
      <c r="D35" s="17" t="s">
        <v>1757</v>
      </c>
      <c r="E35" s="26">
        <v>5</v>
      </c>
      <c r="F35" s="17"/>
      <c r="G35" s="17"/>
    </row>
    <row r="36" spans="1:7" ht="18" customHeight="1" x14ac:dyDescent="0.3">
      <c r="A36" s="17" t="s">
        <v>1758</v>
      </c>
      <c r="B36" s="17" t="s">
        <v>1759</v>
      </c>
      <c r="C36" s="17" t="s">
        <v>1224</v>
      </c>
      <c r="D36" s="17" t="s">
        <v>1757</v>
      </c>
      <c r="E36" s="26">
        <v>4</v>
      </c>
      <c r="F36" s="17"/>
      <c r="G36" s="17"/>
    </row>
    <row r="37" spans="1:7" ht="18" customHeight="1" x14ac:dyDescent="0.3">
      <c r="A37" s="17" t="s">
        <v>1760</v>
      </c>
      <c r="B37" s="17" t="s">
        <v>1761</v>
      </c>
      <c r="C37" s="17" t="s">
        <v>1224</v>
      </c>
      <c r="D37" s="17" t="s">
        <v>1762</v>
      </c>
      <c r="E37" s="26">
        <v>3</v>
      </c>
      <c r="F37" s="17"/>
      <c r="G37" s="17"/>
    </row>
    <row r="38" spans="1:7" ht="18" customHeight="1" x14ac:dyDescent="0.3">
      <c r="A38" s="17" t="s">
        <v>1763</v>
      </c>
      <c r="B38" s="17" t="s">
        <v>1764</v>
      </c>
      <c r="C38" s="17" t="s">
        <v>1224</v>
      </c>
      <c r="D38" s="17" t="s">
        <v>1765</v>
      </c>
      <c r="E38" s="26">
        <v>2</v>
      </c>
      <c r="F38" s="17"/>
      <c r="G38" s="17"/>
    </row>
    <row r="39" spans="1:7" ht="18" customHeight="1" x14ac:dyDescent="0.3">
      <c r="A39" s="17" t="s">
        <v>1766</v>
      </c>
      <c r="B39" s="17" t="s">
        <v>1767</v>
      </c>
      <c r="C39" s="17" t="s">
        <v>1224</v>
      </c>
      <c r="D39" s="17" t="s">
        <v>1757</v>
      </c>
      <c r="E39" s="26">
        <v>5</v>
      </c>
      <c r="F39" s="17"/>
      <c r="G39" s="17"/>
    </row>
    <row r="40" spans="1:7" ht="18" customHeight="1" x14ac:dyDescent="0.3">
      <c r="A40" s="17" t="s">
        <v>1768</v>
      </c>
      <c r="B40" s="17" t="s">
        <v>1769</v>
      </c>
      <c r="C40" s="17" t="s">
        <v>1224</v>
      </c>
      <c r="D40" s="17" t="s">
        <v>1757</v>
      </c>
      <c r="E40" s="26">
        <v>4</v>
      </c>
      <c r="F40" s="17"/>
      <c r="G40" s="17"/>
    </row>
    <row r="41" spans="1:7" ht="18" customHeight="1" x14ac:dyDescent="0.3">
      <c r="A41" s="17" t="s">
        <v>1770</v>
      </c>
      <c r="B41" s="17" t="s">
        <v>1771</v>
      </c>
      <c r="C41" s="17" t="s">
        <v>1224</v>
      </c>
      <c r="D41" s="17" t="s">
        <v>1762</v>
      </c>
      <c r="E41" s="26">
        <v>3</v>
      </c>
      <c r="F41" s="17"/>
      <c r="G41" s="17"/>
    </row>
    <row r="42" spans="1:7" ht="18" customHeight="1" x14ac:dyDescent="0.3">
      <c r="A42" s="17" t="s">
        <v>1772</v>
      </c>
      <c r="B42" s="17" t="s">
        <v>1773</v>
      </c>
      <c r="C42" s="17" t="s">
        <v>1224</v>
      </c>
      <c r="D42" s="17" t="s">
        <v>1774</v>
      </c>
      <c r="E42" s="26">
        <v>4</v>
      </c>
      <c r="F42" s="17"/>
      <c r="G42" s="17"/>
    </row>
    <row r="43" spans="1:7" ht="18" customHeight="1" x14ac:dyDescent="0.3">
      <c r="A43" s="17" t="s">
        <v>1775</v>
      </c>
      <c r="B43" s="17" t="s">
        <v>1776</v>
      </c>
      <c r="C43" s="17" t="s">
        <v>1224</v>
      </c>
      <c r="D43" s="17" t="s">
        <v>1774</v>
      </c>
      <c r="E43" s="26">
        <v>2</v>
      </c>
      <c r="F43" s="17"/>
      <c r="G43" s="17"/>
    </row>
    <row r="44" spans="1:7" ht="18" customHeight="1" x14ac:dyDescent="0.3">
      <c r="A44" s="17" t="s">
        <v>1777</v>
      </c>
      <c r="B44" s="17" t="s">
        <v>1778</v>
      </c>
      <c r="C44" s="17" t="s">
        <v>1224</v>
      </c>
      <c r="D44" s="17" t="s">
        <v>245</v>
      </c>
      <c r="E44" s="26">
        <v>3</v>
      </c>
      <c r="F44" s="17"/>
      <c r="G44" s="17"/>
    </row>
    <row r="45" spans="1:7" ht="18" customHeight="1" x14ac:dyDescent="0.3">
      <c r="A45" s="17" t="s">
        <v>1779</v>
      </c>
      <c r="B45" s="17" t="s">
        <v>1780</v>
      </c>
      <c r="C45" s="17" t="s">
        <v>1224</v>
      </c>
      <c r="D45" s="17" t="s">
        <v>1774</v>
      </c>
      <c r="E45" s="26">
        <v>3</v>
      </c>
      <c r="F45" s="17"/>
      <c r="G45" s="17"/>
    </row>
    <row r="46" spans="1:7" ht="18" customHeight="1" x14ac:dyDescent="0.3">
      <c r="A46" s="17" t="s">
        <v>500</v>
      </c>
      <c r="B46" s="17" t="s">
        <v>1781</v>
      </c>
      <c r="C46" s="17" t="s">
        <v>1224</v>
      </c>
      <c r="D46" s="17" t="s">
        <v>1774</v>
      </c>
      <c r="E46" s="26">
        <v>2</v>
      </c>
      <c r="F46" s="17"/>
      <c r="G46" s="17"/>
    </row>
    <row r="47" spans="1:7" ht="18" customHeight="1" x14ac:dyDescent="0.3">
      <c r="A47" s="17" t="s">
        <v>1782</v>
      </c>
      <c r="B47" s="17" t="s">
        <v>1783</v>
      </c>
      <c r="C47" s="17" t="s">
        <v>1224</v>
      </c>
      <c r="D47" s="17" t="s">
        <v>1757</v>
      </c>
      <c r="E47" s="26">
        <v>5</v>
      </c>
      <c r="F47" s="17"/>
      <c r="G47" s="17"/>
    </row>
    <row r="48" spans="1:7" ht="18" customHeight="1" x14ac:dyDescent="0.3">
      <c r="A48" s="17" t="s">
        <v>1784</v>
      </c>
      <c r="B48" s="17" t="s">
        <v>1785</v>
      </c>
      <c r="C48" s="17" t="s">
        <v>1224</v>
      </c>
      <c r="D48" s="17" t="s">
        <v>1757</v>
      </c>
      <c r="E48" s="26">
        <v>4</v>
      </c>
      <c r="F48" s="17"/>
      <c r="G48" s="17"/>
    </row>
    <row r="49" spans="1:7" ht="18" customHeight="1" x14ac:dyDescent="0.3">
      <c r="A49" s="17" t="s">
        <v>1786</v>
      </c>
      <c r="B49" s="17" t="s">
        <v>1787</v>
      </c>
      <c r="C49" s="17" t="s">
        <v>1224</v>
      </c>
      <c r="D49" s="17" t="s">
        <v>1762</v>
      </c>
      <c r="E49" s="26">
        <v>3</v>
      </c>
      <c r="F49" s="17"/>
      <c r="G49" s="17"/>
    </row>
    <row r="50" spans="1:7" ht="18" customHeight="1" x14ac:dyDescent="0.3">
      <c r="A50" s="17" t="s">
        <v>1788</v>
      </c>
      <c r="B50" s="17" t="s">
        <v>1789</v>
      </c>
      <c r="C50" s="17" t="s">
        <v>1224</v>
      </c>
      <c r="D50" s="17" t="s">
        <v>245</v>
      </c>
      <c r="E50" s="26">
        <v>5</v>
      </c>
      <c r="F50" s="17"/>
      <c r="G50" s="17"/>
    </row>
    <row r="51" spans="1:7" ht="18" customHeight="1" x14ac:dyDescent="0.3">
      <c r="A51" s="17" t="s">
        <v>1790</v>
      </c>
      <c r="B51" s="17" t="s">
        <v>1791</v>
      </c>
      <c r="C51" s="17" t="s">
        <v>1224</v>
      </c>
      <c r="D51" s="17" t="s">
        <v>1792</v>
      </c>
      <c r="E51" s="26">
        <v>3</v>
      </c>
      <c r="F51" s="17"/>
      <c r="G51" s="17"/>
    </row>
    <row r="52" spans="1:7" ht="18" customHeight="1" x14ac:dyDescent="0.3">
      <c r="A52" s="17" t="s">
        <v>1793</v>
      </c>
      <c r="B52" s="17" t="s">
        <v>1794</v>
      </c>
      <c r="C52" s="17" t="s">
        <v>1224</v>
      </c>
      <c r="D52" s="17" t="s">
        <v>1792</v>
      </c>
      <c r="E52" s="26">
        <v>2</v>
      </c>
      <c r="F52" s="17"/>
      <c r="G52" s="17"/>
    </row>
    <row r="53" spans="1:7" ht="18" customHeight="1" x14ac:dyDescent="0.3">
      <c r="A53" s="17" t="s">
        <v>1795</v>
      </c>
      <c r="B53" s="17" t="s">
        <v>1796</v>
      </c>
      <c r="C53" s="17" t="s">
        <v>1224</v>
      </c>
      <c r="D53" s="17" t="s">
        <v>244</v>
      </c>
      <c r="E53" s="26">
        <v>5</v>
      </c>
      <c r="F53" s="17" t="s">
        <v>1797</v>
      </c>
      <c r="G53" s="17" t="s">
        <v>1798</v>
      </c>
    </row>
    <row r="54" spans="1:7" ht="18" customHeight="1" x14ac:dyDescent="0.3">
      <c r="A54" s="17" t="s">
        <v>1799</v>
      </c>
      <c r="B54" s="17" t="s">
        <v>1800</v>
      </c>
      <c r="C54" s="17" t="s">
        <v>1224</v>
      </c>
      <c r="D54" s="17" t="s">
        <v>244</v>
      </c>
      <c r="E54" s="26">
        <v>4</v>
      </c>
      <c r="F54" s="17" t="s">
        <v>1801</v>
      </c>
      <c r="G54" s="17" t="s">
        <v>1798</v>
      </c>
    </row>
    <row r="55" spans="1:7" ht="18" customHeight="1" x14ac:dyDescent="0.3">
      <c r="A55" s="17" t="s">
        <v>1802</v>
      </c>
      <c r="B55" s="17" t="s">
        <v>1803</v>
      </c>
      <c r="C55" s="17" t="s">
        <v>1224</v>
      </c>
      <c r="D55" s="17" t="s">
        <v>244</v>
      </c>
      <c r="E55" s="26">
        <v>5</v>
      </c>
      <c r="F55" s="17" t="s">
        <v>1797</v>
      </c>
      <c r="G55" s="17" t="s">
        <v>1798</v>
      </c>
    </row>
    <row r="56" spans="1:7" ht="18" customHeight="1" x14ac:dyDescent="0.3">
      <c r="A56" s="17" t="s">
        <v>1804</v>
      </c>
      <c r="B56" s="17" t="s">
        <v>1805</v>
      </c>
      <c r="C56" s="17" t="s">
        <v>1224</v>
      </c>
      <c r="D56" s="17" t="s">
        <v>244</v>
      </c>
      <c r="E56" s="26">
        <v>5</v>
      </c>
      <c r="F56" s="17" t="s">
        <v>1797</v>
      </c>
      <c r="G56" s="17" t="s">
        <v>1798</v>
      </c>
    </row>
    <row r="57" spans="1:7" ht="18" customHeight="1" x14ac:dyDescent="0.3">
      <c r="A57" s="17" t="s">
        <v>1806</v>
      </c>
      <c r="B57" s="17" t="s">
        <v>1807</v>
      </c>
      <c r="C57" s="17" t="s">
        <v>1224</v>
      </c>
      <c r="D57" s="17" t="s">
        <v>244</v>
      </c>
      <c r="E57" s="26">
        <v>4</v>
      </c>
      <c r="F57" s="17" t="s">
        <v>1801</v>
      </c>
      <c r="G57" s="17" t="s">
        <v>1798</v>
      </c>
    </row>
    <row r="58" spans="1:7" ht="18" customHeight="1" x14ac:dyDescent="0.3">
      <c r="A58" s="17" t="s">
        <v>1808</v>
      </c>
      <c r="B58" s="17" t="s">
        <v>1809</v>
      </c>
      <c r="C58" s="17" t="s">
        <v>1224</v>
      </c>
      <c r="D58" s="17" t="s">
        <v>244</v>
      </c>
      <c r="E58" s="26">
        <v>5</v>
      </c>
      <c r="F58" s="17" t="s">
        <v>1797</v>
      </c>
      <c r="G58" s="17" t="s">
        <v>1798</v>
      </c>
    </row>
    <row r="59" spans="1:7" ht="18" customHeight="1" x14ac:dyDescent="0.3">
      <c r="A59" s="17" t="s">
        <v>1810</v>
      </c>
      <c r="B59" s="17" t="s">
        <v>1811</v>
      </c>
      <c r="C59" s="17" t="s">
        <v>1224</v>
      </c>
      <c r="D59" s="17" t="s">
        <v>244</v>
      </c>
      <c r="E59" s="26">
        <v>5</v>
      </c>
      <c r="F59" s="17" t="s">
        <v>1797</v>
      </c>
      <c r="G59" s="17" t="s">
        <v>1798</v>
      </c>
    </row>
    <row r="60" spans="1:7" ht="18" customHeight="1" x14ac:dyDescent="0.3">
      <c r="A60" s="17" t="s">
        <v>1812</v>
      </c>
      <c r="B60" s="17" t="s">
        <v>1813</v>
      </c>
      <c r="C60" s="17" t="s">
        <v>1224</v>
      </c>
      <c r="D60" s="17" t="s">
        <v>244</v>
      </c>
      <c r="E60" s="26">
        <v>5</v>
      </c>
      <c r="F60" s="17" t="s">
        <v>1797</v>
      </c>
      <c r="G60" s="17" t="s">
        <v>1798</v>
      </c>
    </row>
    <row r="61" spans="1:7" ht="18" customHeight="1" x14ac:dyDescent="0.3">
      <c r="A61" s="17" t="s">
        <v>1814</v>
      </c>
      <c r="B61" s="17" t="s">
        <v>1815</v>
      </c>
      <c r="C61" s="17" t="s">
        <v>1224</v>
      </c>
      <c r="D61" s="17" t="s">
        <v>244</v>
      </c>
      <c r="E61" s="26">
        <v>5</v>
      </c>
      <c r="F61" s="17" t="s">
        <v>1797</v>
      </c>
      <c r="G61" s="17" t="s">
        <v>1798</v>
      </c>
    </row>
    <row r="62" spans="1:7" ht="18" customHeight="1" x14ac:dyDescent="0.3">
      <c r="A62" s="17" t="s">
        <v>1816</v>
      </c>
      <c r="B62" s="17" t="s">
        <v>1817</v>
      </c>
      <c r="C62" s="17" t="s">
        <v>1224</v>
      </c>
      <c r="D62" s="17" t="s">
        <v>244</v>
      </c>
      <c r="E62" s="26">
        <v>5</v>
      </c>
      <c r="F62" s="17" t="s">
        <v>1797</v>
      </c>
      <c r="G62" s="17" t="s">
        <v>1798</v>
      </c>
    </row>
    <row r="63" spans="1:7" ht="18" customHeight="1" x14ac:dyDescent="0.3">
      <c r="A63" s="17" t="s">
        <v>1818</v>
      </c>
      <c r="B63" s="17" t="s">
        <v>1819</v>
      </c>
      <c r="C63" s="17" t="s">
        <v>1224</v>
      </c>
      <c r="D63" s="17" t="s">
        <v>244</v>
      </c>
      <c r="E63" s="26">
        <v>5</v>
      </c>
      <c r="F63" s="17" t="s">
        <v>1797</v>
      </c>
      <c r="G63" s="17" t="s">
        <v>1798</v>
      </c>
    </row>
    <row r="64" spans="1:7" ht="18" customHeight="1" x14ac:dyDescent="0.3">
      <c r="A64" s="17" t="s">
        <v>1820</v>
      </c>
      <c r="B64" s="17" t="s">
        <v>1821</v>
      </c>
      <c r="C64" s="17" t="s">
        <v>1224</v>
      </c>
      <c r="D64" s="17" t="s">
        <v>244</v>
      </c>
      <c r="E64" s="26">
        <v>4</v>
      </c>
      <c r="F64" s="17" t="s">
        <v>1801</v>
      </c>
      <c r="G64" s="17" t="s">
        <v>1798</v>
      </c>
    </row>
    <row r="65" spans="1:7" ht="18" customHeight="1" x14ac:dyDescent="0.3">
      <c r="A65" s="17" t="s">
        <v>1822</v>
      </c>
      <c r="B65" s="17" t="s">
        <v>1823</v>
      </c>
      <c r="C65" s="17" t="s">
        <v>1224</v>
      </c>
      <c r="D65" s="17" t="s">
        <v>244</v>
      </c>
      <c r="E65" s="26">
        <v>4</v>
      </c>
      <c r="F65" s="17" t="s">
        <v>1801</v>
      </c>
      <c r="G65" s="17" t="s">
        <v>1798</v>
      </c>
    </row>
    <row r="66" spans="1:7" ht="18" customHeight="1" x14ac:dyDescent="0.3">
      <c r="A66" s="17" t="s">
        <v>1824</v>
      </c>
      <c r="B66" s="17" t="s">
        <v>1825</v>
      </c>
      <c r="C66" s="17" t="s">
        <v>1224</v>
      </c>
      <c r="D66" s="17" t="s">
        <v>244</v>
      </c>
      <c r="E66" s="26">
        <v>4</v>
      </c>
      <c r="F66" s="17" t="s">
        <v>1801</v>
      </c>
      <c r="G66" s="17" t="s">
        <v>1798</v>
      </c>
    </row>
    <row r="67" spans="1:7" ht="18" customHeight="1" x14ac:dyDescent="0.3">
      <c r="A67" s="17" t="s">
        <v>1826</v>
      </c>
      <c r="B67" s="17" t="s">
        <v>1827</v>
      </c>
      <c r="C67" s="17" t="s">
        <v>1224</v>
      </c>
      <c r="D67" s="17" t="s">
        <v>244</v>
      </c>
      <c r="E67" s="26">
        <v>4</v>
      </c>
      <c r="F67" s="17" t="s">
        <v>1801</v>
      </c>
      <c r="G67" s="17" t="s">
        <v>1798</v>
      </c>
    </row>
    <row r="68" spans="1:7" ht="18" customHeight="1" x14ac:dyDescent="0.3">
      <c r="A68" s="17" t="s">
        <v>1828</v>
      </c>
      <c r="B68" s="17" t="s">
        <v>1829</v>
      </c>
      <c r="C68" s="17" t="s">
        <v>1224</v>
      </c>
      <c r="D68" s="17" t="s">
        <v>1830</v>
      </c>
      <c r="E68" s="26">
        <v>3</v>
      </c>
      <c r="F68" s="17"/>
      <c r="G68" s="17" t="s">
        <v>1798</v>
      </c>
    </row>
    <row r="69" spans="1:7" ht="18" customHeight="1" x14ac:dyDescent="0.3">
      <c r="A69" s="17" t="s">
        <v>1831</v>
      </c>
      <c r="B69" s="17" t="s">
        <v>1832</v>
      </c>
      <c r="C69" s="17" t="s">
        <v>1224</v>
      </c>
      <c r="D69" s="17" t="s">
        <v>1792</v>
      </c>
      <c r="E69" s="26">
        <v>5</v>
      </c>
      <c r="F69" s="17"/>
      <c r="G69" s="17"/>
    </row>
    <row r="70" spans="1:7" ht="18" customHeight="1" x14ac:dyDescent="0.3">
      <c r="A70" s="17" t="s">
        <v>1833</v>
      </c>
      <c r="B70" s="17" t="s">
        <v>1834</v>
      </c>
      <c r="C70" s="17" t="s">
        <v>1224</v>
      </c>
      <c r="D70" s="17" t="s">
        <v>1792</v>
      </c>
      <c r="E70" s="26">
        <v>4</v>
      </c>
      <c r="F70" s="17"/>
      <c r="G70" s="17"/>
    </row>
    <row r="71" spans="1:7" ht="18" customHeight="1" x14ac:dyDescent="0.3">
      <c r="A71" s="17" t="s">
        <v>1835</v>
      </c>
      <c r="B71" s="17" t="s">
        <v>1836</v>
      </c>
      <c r="C71" s="17" t="s">
        <v>1224</v>
      </c>
      <c r="D71" s="17" t="s">
        <v>1837</v>
      </c>
      <c r="E71" s="26">
        <v>5</v>
      </c>
      <c r="F71" s="17"/>
      <c r="G71" s="17"/>
    </row>
    <row r="72" spans="1:7" ht="18" customHeight="1" x14ac:dyDescent="0.3">
      <c r="A72" s="17" t="s">
        <v>1838</v>
      </c>
      <c r="B72" s="17" t="s">
        <v>1839</v>
      </c>
      <c r="C72" s="17" t="s">
        <v>1224</v>
      </c>
      <c r="D72" s="17" t="s">
        <v>1837</v>
      </c>
      <c r="E72" s="26">
        <v>4</v>
      </c>
      <c r="F72" s="17"/>
      <c r="G72" s="17"/>
    </row>
    <row r="73" spans="1:7" ht="18" customHeight="1" x14ac:dyDescent="0.3">
      <c r="A73" s="17" t="s">
        <v>1840</v>
      </c>
      <c r="B73" s="17" t="s">
        <v>1841</v>
      </c>
      <c r="C73" s="17" t="s">
        <v>1230</v>
      </c>
      <c r="D73" s="17" t="s">
        <v>1842</v>
      </c>
      <c r="E73" s="26">
        <v>0</v>
      </c>
      <c r="F73" s="17"/>
      <c r="G73" s="17"/>
    </row>
    <row r="74" spans="1:7" ht="18" customHeight="1" x14ac:dyDescent="0.3">
      <c r="A74" s="17" t="s">
        <v>1843</v>
      </c>
      <c r="B74" s="17" t="s">
        <v>1844</v>
      </c>
      <c r="C74" s="17" t="s">
        <v>1230</v>
      </c>
      <c r="D74" s="17" t="s">
        <v>1842</v>
      </c>
      <c r="E74" s="26">
        <v>0</v>
      </c>
      <c r="F74" s="17"/>
      <c r="G74" s="17"/>
    </row>
    <row r="75" spans="1:7" ht="18" customHeight="1" x14ac:dyDescent="0.3">
      <c r="A75" s="17" t="s">
        <v>1845</v>
      </c>
      <c r="B75" s="17" t="s">
        <v>1846</v>
      </c>
      <c r="C75" s="17" t="s">
        <v>1230</v>
      </c>
      <c r="D75" s="17" t="s">
        <v>1842</v>
      </c>
      <c r="E75" s="26">
        <v>0</v>
      </c>
      <c r="F75" s="17"/>
      <c r="G75" s="17"/>
    </row>
    <row r="76" spans="1:7" ht="18" customHeight="1" x14ac:dyDescent="0.3">
      <c r="A76" s="17" t="s">
        <v>1847</v>
      </c>
      <c r="B76" s="17" t="s">
        <v>1848</v>
      </c>
      <c r="C76" s="17" t="s">
        <v>1230</v>
      </c>
      <c r="D76" s="17" t="s">
        <v>1842</v>
      </c>
      <c r="E76" s="26">
        <v>0</v>
      </c>
      <c r="F76" s="17"/>
      <c r="G76" s="17"/>
    </row>
    <row r="77" spans="1:7" ht="18" customHeight="1" x14ac:dyDescent="0.3">
      <c r="A77" s="17" t="s">
        <v>1849</v>
      </c>
      <c r="B77" s="17" t="s">
        <v>1850</v>
      </c>
      <c r="C77" s="17" t="s">
        <v>1230</v>
      </c>
      <c r="D77" s="17" t="s">
        <v>1842</v>
      </c>
      <c r="E77" s="26">
        <v>0</v>
      </c>
      <c r="F77" s="17"/>
      <c r="G77" s="17"/>
    </row>
    <row r="78" spans="1:7" ht="18" customHeight="1" x14ac:dyDescent="0.3">
      <c r="A78" s="17" t="s">
        <v>1851</v>
      </c>
      <c r="B78" s="17" t="s">
        <v>1852</v>
      </c>
      <c r="C78" s="17" t="s">
        <v>1230</v>
      </c>
      <c r="D78" s="17" t="s">
        <v>1853</v>
      </c>
      <c r="E78" s="26">
        <v>0</v>
      </c>
      <c r="F78" s="17"/>
      <c r="G78" s="17"/>
    </row>
    <row r="79" spans="1:7" ht="18" customHeight="1" x14ac:dyDescent="0.3">
      <c r="A79" s="17" t="s">
        <v>1854</v>
      </c>
      <c r="B79" s="17" t="s">
        <v>1855</v>
      </c>
      <c r="C79" s="17" t="s">
        <v>1856</v>
      </c>
      <c r="D79" s="17" t="s">
        <v>1857</v>
      </c>
      <c r="E79" s="26">
        <v>0</v>
      </c>
      <c r="F79" s="17"/>
      <c r="G79" s="17"/>
    </row>
    <row r="80" spans="1:7" ht="18" customHeight="1" x14ac:dyDescent="0.3">
      <c r="A80" s="17" t="s">
        <v>1858</v>
      </c>
      <c r="B80" s="17" t="s">
        <v>1859</v>
      </c>
      <c r="C80" s="17" t="s">
        <v>1856</v>
      </c>
      <c r="D80" s="17" t="s">
        <v>1857</v>
      </c>
      <c r="E80" s="26">
        <v>3</v>
      </c>
      <c r="F80" s="17"/>
      <c r="G80" s="17"/>
    </row>
    <row r="81" spans="1:7" ht="18" customHeight="1" x14ac:dyDescent="0.3">
      <c r="A81" s="17" t="s">
        <v>1860</v>
      </c>
      <c r="B81" s="17" t="s">
        <v>1861</v>
      </c>
      <c r="C81" s="17" t="s">
        <v>1856</v>
      </c>
      <c r="D81" s="17" t="s">
        <v>1857</v>
      </c>
      <c r="E81" s="26">
        <v>3</v>
      </c>
      <c r="F81" s="17"/>
      <c r="G81" s="17"/>
    </row>
    <row r="82" spans="1:7" ht="18" customHeight="1" x14ac:dyDescent="0.3">
      <c r="A82" s="17" t="s">
        <v>1862</v>
      </c>
      <c r="B82" s="17" t="s">
        <v>1863</v>
      </c>
      <c r="C82" s="17" t="s">
        <v>1856</v>
      </c>
      <c r="D82" s="17" t="s">
        <v>1857</v>
      </c>
      <c r="E82" s="26">
        <v>4</v>
      </c>
      <c r="F82" s="17"/>
      <c r="G82" s="17"/>
    </row>
    <row r="83" spans="1:7" ht="18" customHeight="1" x14ac:dyDescent="0.3">
      <c r="A83" s="17" t="s">
        <v>1864</v>
      </c>
      <c r="B83" s="17" t="s">
        <v>1865</v>
      </c>
      <c r="C83" s="17" t="s">
        <v>1856</v>
      </c>
      <c r="D83" s="17" t="s">
        <v>1774</v>
      </c>
      <c r="E83" s="26">
        <v>2</v>
      </c>
      <c r="F83" s="17"/>
      <c r="G83" s="17"/>
    </row>
    <row r="84" spans="1:7" ht="18" customHeight="1" x14ac:dyDescent="0.3">
      <c r="A84" s="17" t="s">
        <v>1866</v>
      </c>
      <c r="B84" s="17" t="s">
        <v>1867</v>
      </c>
      <c r="C84" s="17" t="s">
        <v>1856</v>
      </c>
      <c r="D84" s="17" t="s">
        <v>1757</v>
      </c>
      <c r="E84" s="26">
        <v>4</v>
      </c>
      <c r="F84" s="17"/>
      <c r="G84" s="17"/>
    </row>
    <row r="85" spans="1:7" ht="18" customHeight="1" x14ac:dyDescent="0.3">
      <c r="A85" s="17" t="s">
        <v>1868</v>
      </c>
      <c r="B85" s="17" t="s">
        <v>1869</v>
      </c>
      <c r="C85" s="17" t="s">
        <v>1856</v>
      </c>
      <c r="D85" s="17" t="s">
        <v>1774</v>
      </c>
      <c r="E85" s="26">
        <v>3</v>
      </c>
      <c r="F85" s="17"/>
      <c r="G85" s="17"/>
    </row>
    <row r="86" spans="1:7" ht="18" customHeight="1" x14ac:dyDescent="0.3">
      <c r="A86" s="17" t="s">
        <v>1870</v>
      </c>
      <c r="B86" s="17" t="s">
        <v>1871</v>
      </c>
      <c r="C86" s="17" t="s">
        <v>1856</v>
      </c>
      <c r="D86" s="17" t="s">
        <v>1774</v>
      </c>
      <c r="E86" s="26">
        <v>2</v>
      </c>
      <c r="F86" s="17"/>
      <c r="G86" s="17"/>
    </row>
    <row r="87" spans="1:7" ht="18" customHeight="1" x14ac:dyDescent="0.3">
      <c r="A87" s="17" t="s">
        <v>1872</v>
      </c>
      <c r="B87" s="17" t="s">
        <v>1873</v>
      </c>
      <c r="C87" s="17" t="s">
        <v>1856</v>
      </c>
      <c r="D87" s="17" t="s">
        <v>245</v>
      </c>
      <c r="E87" s="26">
        <v>3</v>
      </c>
      <c r="F87" s="17"/>
      <c r="G87" s="17"/>
    </row>
    <row r="88" spans="1:7" ht="18" customHeight="1" x14ac:dyDescent="0.3">
      <c r="A88" s="17" t="s">
        <v>1874</v>
      </c>
      <c r="B88" s="17" t="s">
        <v>1875</v>
      </c>
      <c r="C88" s="17" t="s">
        <v>1856</v>
      </c>
      <c r="D88" s="17" t="s">
        <v>245</v>
      </c>
      <c r="E88" s="26">
        <v>2</v>
      </c>
      <c r="F88" s="17"/>
      <c r="G88" s="17"/>
    </row>
    <row r="89" spans="1:7" ht="18" customHeight="1" x14ac:dyDescent="0.3">
      <c r="A89" s="17" t="s">
        <v>1876</v>
      </c>
      <c r="B89" s="17" t="s">
        <v>1877</v>
      </c>
      <c r="C89" s="17" t="s">
        <v>1224</v>
      </c>
      <c r="D89" s="17" t="s">
        <v>1878</v>
      </c>
      <c r="E89" s="26">
        <v>5</v>
      </c>
      <c r="F89" s="17"/>
      <c r="G89" s="17" t="s">
        <v>1798</v>
      </c>
    </row>
    <row r="90" spans="1:7" ht="18" customHeight="1" x14ac:dyDescent="0.3">
      <c r="A90" s="17" t="s">
        <v>1879</v>
      </c>
      <c r="B90" s="17" t="s">
        <v>1880</v>
      </c>
      <c r="C90" s="17" t="s">
        <v>1224</v>
      </c>
      <c r="D90" s="17" t="s">
        <v>1878</v>
      </c>
      <c r="E90" s="26">
        <v>4</v>
      </c>
      <c r="F90" s="17"/>
      <c r="G90" s="17" t="s">
        <v>1798</v>
      </c>
    </row>
    <row r="91" spans="1:7" ht="18" customHeight="1" x14ac:dyDescent="0.3">
      <c r="A91" s="17" t="s">
        <v>1881</v>
      </c>
      <c r="B91" s="17" t="s">
        <v>1882</v>
      </c>
      <c r="C91" s="17" t="s">
        <v>1230</v>
      </c>
      <c r="D91" s="17" t="s">
        <v>1878</v>
      </c>
      <c r="E91" s="26">
        <v>0</v>
      </c>
      <c r="F91" s="17"/>
      <c r="G91" s="17"/>
    </row>
    <row r="92" spans="1:7" ht="18" customHeight="1" x14ac:dyDescent="0.3">
      <c r="A92" s="17" t="s">
        <v>1883</v>
      </c>
      <c r="B92" s="17" t="s">
        <v>1884</v>
      </c>
      <c r="C92" s="17" t="s">
        <v>1230</v>
      </c>
      <c r="D92" s="17" t="s">
        <v>1878</v>
      </c>
      <c r="E92" s="26">
        <v>0</v>
      </c>
      <c r="F92" s="17"/>
      <c r="G92" s="17"/>
    </row>
    <row r="93" spans="1:7" ht="18" customHeight="1" x14ac:dyDescent="0.3">
      <c r="A93" s="17" t="s">
        <v>1885</v>
      </c>
      <c r="B93" s="17" t="s">
        <v>1886</v>
      </c>
      <c r="C93" s="17" t="s">
        <v>1230</v>
      </c>
      <c r="D93" s="17" t="s">
        <v>1887</v>
      </c>
      <c r="E93" s="26">
        <v>0</v>
      </c>
      <c r="F93" s="17"/>
      <c r="G93" s="17"/>
    </row>
    <row r="94" spans="1:7" ht="18" customHeight="1" x14ac:dyDescent="0.3">
      <c r="A94" s="17" t="s">
        <v>1888</v>
      </c>
      <c r="B94" s="17" t="s">
        <v>1889</v>
      </c>
      <c r="C94" s="17" t="s">
        <v>1230</v>
      </c>
      <c r="D94" s="17" t="s">
        <v>1887</v>
      </c>
      <c r="E94" s="26">
        <v>0</v>
      </c>
      <c r="F94" s="17"/>
      <c r="G94" s="17"/>
    </row>
    <row r="95" spans="1:7" ht="18" customHeight="1" x14ac:dyDescent="0.3">
      <c r="A95" s="17" t="s">
        <v>1890</v>
      </c>
      <c r="B95" s="17" t="s">
        <v>1891</v>
      </c>
      <c r="C95" s="17" t="s">
        <v>1230</v>
      </c>
      <c r="D95" s="17" t="s">
        <v>1892</v>
      </c>
      <c r="E95" s="26">
        <v>0</v>
      </c>
      <c r="F95" s="17"/>
      <c r="G95" s="17"/>
    </row>
    <row r="96" spans="1:7" ht="18" customHeight="1" x14ac:dyDescent="0.3">
      <c r="A96" s="17" t="s">
        <v>1893</v>
      </c>
      <c r="B96" s="17" t="s">
        <v>1894</v>
      </c>
      <c r="C96" s="17" t="s">
        <v>1230</v>
      </c>
      <c r="D96" s="17" t="s">
        <v>1892</v>
      </c>
      <c r="E96" s="26">
        <v>0</v>
      </c>
      <c r="F96" s="17"/>
      <c r="G96" s="17"/>
    </row>
  </sheetData>
  <conditionalFormatting sqref="D5:D296">
    <cfRule type="expression" dxfId="3" priority="1">
      <formula>ISNUMBER(SEARCH("CMR",D5))</formula>
    </cfRule>
    <cfRule type="expression" dxfId="2" priority="2">
      <formula>ISNUMBER(SEARCH("Sensibilizante",D5))</formula>
    </cfRule>
    <cfRule type="expression" dxfId="1" priority="3">
      <formula>ISNUMBER(SEARCH("cat. 1-3",D5))</formula>
    </cfRule>
    <cfRule type="expression" dxfId="0" priority="4">
      <formula>ISNUMBER(SEARCH("aquático",D5))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E2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" customWidth="1"/>
    <col min="2" max="2" width="13" customWidth="1"/>
    <col min="3" max="3" width="40" customWidth="1"/>
    <col min="4" max="4" width="34" customWidth="1"/>
    <col min="5" max="5" width="44" customWidth="1"/>
  </cols>
  <sheetData>
    <row r="1" spans="1:5" ht="17.399999999999999" x14ac:dyDescent="0.3">
      <c r="A1" s="1" t="s">
        <v>1895</v>
      </c>
    </row>
    <row r="2" spans="1:5" x14ac:dyDescent="0.3">
      <c r="A2" s="2" t="s">
        <v>1896</v>
      </c>
    </row>
    <row r="4" spans="1:5" x14ac:dyDescent="0.3">
      <c r="A4" s="8" t="s">
        <v>1897</v>
      </c>
      <c r="B4" s="8" t="s">
        <v>538</v>
      </c>
      <c r="C4" s="8" t="s">
        <v>1898</v>
      </c>
      <c r="D4" s="8" t="s">
        <v>1899</v>
      </c>
      <c r="E4" s="8" t="s">
        <v>1900</v>
      </c>
    </row>
    <row r="5" spans="1:5" ht="30" customHeight="1" x14ac:dyDescent="0.3">
      <c r="A5" s="17" t="s">
        <v>1901</v>
      </c>
      <c r="B5" s="17" t="s">
        <v>1902</v>
      </c>
      <c r="C5" s="17" t="s">
        <v>1903</v>
      </c>
      <c r="D5" s="17" t="s">
        <v>1904</v>
      </c>
      <c r="E5" s="17" t="s">
        <v>1905</v>
      </c>
    </row>
    <row r="6" spans="1:5" ht="30" customHeight="1" x14ac:dyDescent="0.3">
      <c r="A6" s="17" t="s">
        <v>1906</v>
      </c>
      <c r="B6" s="17" t="s">
        <v>1907</v>
      </c>
      <c r="C6" s="17" t="s">
        <v>1903</v>
      </c>
      <c r="D6" s="17" t="s">
        <v>1908</v>
      </c>
      <c r="E6" s="17" t="s">
        <v>1905</v>
      </c>
    </row>
    <row r="7" spans="1:5" ht="30" customHeight="1" x14ac:dyDescent="0.3">
      <c r="A7" s="17" t="s">
        <v>1909</v>
      </c>
      <c r="B7" s="17" t="s">
        <v>1910</v>
      </c>
      <c r="C7" s="17" t="s">
        <v>1903</v>
      </c>
      <c r="D7" s="17" t="s">
        <v>1904</v>
      </c>
      <c r="E7" s="17" t="s">
        <v>1905</v>
      </c>
    </row>
    <row r="8" spans="1:5" ht="30" customHeight="1" x14ac:dyDescent="0.3">
      <c r="A8" s="17" t="s">
        <v>1911</v>
      </c>
      <c r="B8" s="17" t="s">
        <v>1912</v>
      </c>
      <c r="C8" s="17" t="s">
        <v>1903</v>
      </c>
      <c r="D8" s="17" t="s">
        <v>1913</v>
      </c>
      <c r="E8" s="17" t="s">
        <v>1905</v>
      </c>
    </row>
    <row r="9" spans="1:5" ht="30" customHeight="1" x14ac:dyDescent="0.3">
      <c r="A9" s="17" t="s">
        <v>1914</v>
      </c>
      <c r="B9" s="17" t="s">
        <v>1915</v>
      </c>
      <c r="C9" s="17" t="s">
        <v>1903</v>
      </c>
      <c r="D9" s="17" t="s">
        <v>1916</v>
      </c>
      <c r="E9" s="17" t="s">
        <v>1917</v>
      </c>
    </row>
    <row r="10" spans="1:5" ht="30" customHeight="1" x14ac:dyDescent="0.3">
      <c r="A10" s="17" t="s">
        <v>1918</v>
      </c>
      <c r="B10" s="17" t="s">
        <v>1919</v>
      </c>
      <c r="C10" s="17" t="s">
        <v>1903</v>
      </c>
      <c r="D10" s="17" t="s">
        <v>1920</v>
      </c>
      <c r="E10" s="17" t="s">
        <v>1921</v>
      </c>
    </row>
    <row r="11" spans="1:5" ht="30" customHeight="1" x14ac:dyDescent="0.3">
      <c r="A11" s="17" t="s">
        <v>632</v>
      </c>
      <c r="B11" s="17" t="s">
        <v>633</v>
      </c>
      <c r="C11" s="17" t="s">
        <v>1922</v>
      </c>
      <c r="D11" s="17" t="s">
        <v>1923</v>
      </c>
      <c r="E11" s="17" t="s">
        <v>1921</v>
      </c>
    </row>
    <row r="12" spans="1:5" ht="30" customHeight="1" x14ac:dyDescent="0.3">
      <c r="A12" s="17" t="s">
        <v>1924</v>
      </c>
      <c r="B12" s="17" t="s">
        <v>1925</v>
      </c>
      <c r="C12" s="17" t="s">
        <v>1926</v>
      </c>
      <c r="D12" s="17" t="s">
        <v>1927</v>
      </c>
      <c r="E12" s="17" t="s">
        <v>1928</v>
      </c>
    </row>
    <row r="13" spans="1:5" ht="30" customHeight="1" x14ac:dyDescent="0.3">
      <c r="A13" s="17" t="s">
        <v>1929</v>
      </c>
      <c r="B13" s="17" t="s">
        <v>629</v>
      </c>
      <c r="C13" s="17" t="s">
        <v>1926</v>
      </c>
      <c r="D13" s="17" t="s">
        <v>1927</v>
      </c>
      <c r="E13" s="17" t="s">
        <v>1928</v>
      </c>
    </row>
    <row r="14" spans="1:5" ht="30" customHeight="1" x14ac:dyDescent="0.3">
      <c r="A14" s="17" t="s">
        <v>1930</v>
      </c>
      <c r="B14" s="17" t="s">
        <v>1931</v>
      </c>
      <c r="C14" s="17" t="s">
        <v>1926</v>
      </c>
      <c r="D14" s="17" t="s">
        <v>1927</v>
      </c>
      <c r="E14" s="17" t="s">
        <v>1928</v>
      </c>
    </row>
    <row r="15" spans="1:5" ht="30" customHeight="1" x14ac:dyDescent="0.3">
      <c r="A15" s="17" t="s">
        <v>1932</v>
      </c>
      <c r="B15" s="17" t="s">
        <v>562</v>
      </c>
      <c r="C15" s="17" t="s">
        <v>1933</v>
      </c>
      <c r="D15" s="17" t="s">
        <v>1934</v>
      </c>
      <c r="E15" s="17"/>
    </row>
    <row r="16" spans="1:5" ht="30" customHeight="1" x14ac:dyDescent="0.3">
      <c r="A16" s="17" t="s">
        <v>1935</v>
      </c>
      <c r="B16" s="17" t="s">
        <v>1936</v>
      </c>
      <c r="C16" s="17" t="s">
        <v>1933</v>
      </c>
      <c r="D16" s="17" t="s">
        <v>1937</v>
      </c>
      <c r="E16" s="17"/>
    </row>
    <row r="17" spans="1:5" ht="30" customHeight="1" x14ac:dyDescent="0.3">
      <c r="A17" s="17" t="s">
        <v>1938</v>
      </c>
      <c r="B17" s="17" t="s">
        <v>1939</v>
      </c>
      <c r="C17" s="17" t="s">
        <v>1926</v>
      </c>
      <c r="D17" s="17" t="s">
        <v>1940</v>
      </c>
      <c r="E17" s="17" t="s">
        <v>1941</v>
      </c>
    </row>
    <row r="18" spans="1:5" ht="30" customHeight="1" x14ac:dyDescent="0.3">
      <c r="A18" s="17" t="s">
        <v>1942</v>
      </c>
      <c r="B18" s="17" t="s">
        <v>1943</v>
      </c>
      <c r="C18" s="17" t="s">
        <v>1944</v>
      </c>
      <c r="D18" s="17" t="s">
        <v>1940</v>
      </c>
      <c r="E18" s="17"/>
    </row>
    <row r="19" spans="1:5" ht="30" customHeight="1" x14ac:dyDescent="0.3">
      <c r="A19" s="17" t="s">
        <v>1945</v>
      </c>
      <c r="B19" s="17" t="s">
        <v>1946</v>
      </c>
      <c r="C19" s="17" t="s">
        <v>1926</v>
      </c>
      <c r="D19" s="17" t="s">
        <v>1940</v>
      </c>
      <c r="E19" s="17"/>
    </row>
    <row r="20" spans="1:5" ht="30" customHeight="1" x14ac:dyDescent="0.3">
      <c r="A20" s="17" t="s">
        <v>1947</v>
      </c>
      <c r="B20" s="17" t="s">
        <v>1948</v>
      </c>
      <c r="C20" s="17" t="s">
        <v>1944</v>
      </c>
      <c r="D20" s="17" t="s">
        <v>1940</v>
      </c>
      <c r="E20" s="17"/>
    </row>
    <row r="21" spans="1:5" ht="30" customHeight="1" x14ac:dyDescent="0.3">
      <c r="A21" s="17" t="s">
        <v>1949</v>
      </c>
      <c r="B21" s="17" t="s">
        <v>1950</v>
      </c>
      <c r="C21" s="17" t="s">
        <v>1926</v>
      </c>
      <c r="D21" s="17" t="s">
        <v>1951</v>
      </c>
      <c r="E21" s="17"/>
    </row>
    <row r="22" spans="1:5" ht="30" customHeight="1" x14ac:dyDescent="0.3">
      <c r="A22" s="17" t="s">
        <v>1952</v>
      </c>
      <c r="B22" s="17" t="s">
        <v>1953</v>
      </c>
      <c r="C22" s="17" t="s">
        <v>1944</v>
      </c>
      <c r="D22" s="17" t="s">
        <v>1954</v>
      </c>
      <c r="E22" s="17"/>
    </row>
    <row r="23" spans="1:5" ht="30" customHeight="1" x14ac:dyDescent="0.3">
      <c r="A23" s="17" t="s">
        <v>1955</v>
      </c>
      <c r="B23" s="17" t="s">
        <v>1956</v>
      </c>
      <c r="C23" s="17" t="s">
        <v>1957</v>
      </c>
      <c r="D23" s="17" t="s">
        <v>1958</v>
      </c>
      <c r="E23" s="17" t="s">
        <v>1959</v>
      </c>
    </row>
    <row r="24" spans="1:5" ht="30" customHeight="1" x14ac:dyDescent="0.3">
      <c r="A24" s="17" t="s">
        <v>1960</v>
      </c>
      <c r="B24" s="17" t="s">
        <v>1961</v>
      </c>
      <c r="C24" s="17" t="s">
        <v>1962</v>
      </c>
      <c r="D24" s="17" t="s">
        <v>1963</v>
      </c>
      <c r="E24" s="17" t="s">
        <v>1964</v>
      </c>
    </row>
    <row r="25" spans="1:5" ht="30" customHeight="1" x14ac:dyDescent="0.3">
      <c r="A25" s="17" t="s">
        <v>1965</v>
      </c>
      <c r="B25" s="17" t="s">
        <v>1966</v>
      </c>
      <c r="C25" s="17" t="s">
        <v>1962</v>
      </c>
      <c r="D25" s="17" t="s">
        <v>1967</v>
      </c>
      <c r="E25" s="17" t="s">
        <v>1968</v>
      </c>
    </row>
    <row r="26" spans="1:5" ht="30" customHeight="1" x14ac:dyDescent="0.3">
      <c r="A26" s="17" t="s">
        <v>1969</v>
      </c>
      <c r="B26" s="17" t="s">
        <v>1970</v>
      </c>
      <c r="C26" s="17" t="s">
        <v>1962</v>
      </c>
      <c r="D26" s="17" t="s">
        <v>1971</v>
      </c>
      <c r="E26" s="17" t="s">
        <v>1968</v>
      </c>
    </row>
    <row r="27" spans="1:5" ht="30" customHeight="1" x14ac:dyDescent="0.3">
      <c r="A27" s="17" t="s">
        <v>1972</v>
      </c>
      <c r="B27" s="17" t="s">
        <v>1973</v>
      </c>
      <c r="C27" s="17" t="s">
        <v>1944</v>
      </c>
      <c r="D27" s="17" t="s">
        <v>1974</v>
      </c>
      <c r="E27" s="17" t="s">
        <v>1975</v>
      </c>
    </row>
    <row r="28" spans="1:5" ht="30" customHeight="1" x14ac:dyDescent="0.3">
      <c r="A28" s="17" t="s">
        <v>1976</v>
      </c>
      <c r="B28" s="17" t="s">
        <v>1977</v>
      </c>
      <c r="C28" s="17" t="s">
        <v>1978</v>
      </c>
      <c r="D28" s="17" t="s">
        <v>1979</v>
      </c>
      <c r="E28" s="17" t="s">
        <v>1980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4" width="16" customWidth="1"/>
    <col min="5" max="5" width="20" customWidth="1"/>
    <col min="6" max="6" width="16" customWidth="1"/>
    <col min="7" max="7" width="46" customWidth="1"/>
    <col min="8" max="8" width="23" customWidth="1"/>
    <col min="9" max="9" width="33" customWidth="1"/>
    <col min="10" max="10" width="16" customWidth="1"/>
    <col min="11" max="13" width="48" customWidth="1"/>
    <col min="14" max="14" width="37" customWidth="1"/>
    <col min="15" max="15" width="31" customWidth="1"/>
    <col min="16" max="16" width="16" customWidth="1"/>
    <col min="17" max="17" width="39" customWidth="1"/>
    <col min="18" max="18" width="22" customWidth="1"/>
    <col min="19" max="20" width="48" customWidth="1"/>
    <col min="21" max="22" width="19" customWidth="1"/>
    <col min="23" max="26" width="16" customWidth="1"/>
  </cols>
  <sheetData>
    <row r="1" spans="1:26" x14ac:dyDescent="0.3">
      <c r="A1" s="15" t="s">
        <v>1981</v>
      </c>
    </row>
    <row r="2" spans="1:26" x14ac:dyDescent="0.3">
      <c r="A2" s="37" t="s">
        <v>1982</v>
      </c>
      <c r="B2" s="37" t="s">
        <v>1983</v>
      </c>
      <c r="C2" s="37" t="s">
        <v>1984</v>
      </c>
      <c r="D2" s="37" t="s">
        <v>1985</v>
      </c>
      <c r="E2" s="37" t="s">
        <v>1986</v>
      </c>
      <c r="F2" s="37" t="s">
        <v>217</v>
      </c>
      <c r="G2" s="37" t="s">
        <v>1987</v>
      </c>
      <c r="H2" s="37" t="s">
        <v>1988</v>
      </c>
      <c r="I2" s="37" t="s">
        <v>54</v>
      </c>
      <c r="J2" s="37" t="s">
        <v>1145</v>
      </c>
      <c r="K2" s="37" t="s">
        <v>949</v>
      </c>
      <c r="L2" s="37" t="s">
        <v>950</v>
      </c>
      <c r="M2" s="37" t="s">
        <v>1989</v>
      </c>
      <c r="N2" s="37" t="s">
        <v>1124</v>
      </c>
      <c r="O2" s="37" t="s">
        <v>953</v>
      </c>
      <c r="P2" s="37" t="s">
        <v>1990</v>
      </c>
      <c r="Q2" s="37" t="s">
        <v>1991</v>
      </c>
      <c r="R2" s="37" t="s">
        <v>1992</v>
      </c>
      <c r="S2" s="37" t="s">
        <v>1993</v>
      </c>
      <c r="T2" s="37" t="s">
        <v>1994</v>
      </c>
      <c r="U2" s="37" t="s">
        <v>1267</v>
      </c>
      <c r="V2" s="37" t="s">
        <v>1995</v>
      </c>
      <c r="W2" s="37" t="s">
        <v>1996</v>
      </c>
      <c r="X2" s="37" t="s">
        <v>1997</v>
      </c>
      <c r="Y2" s="37" t="s">
        <v>1998</v>
      </c>
      <c r="Z2" s="37" t="s">
        <v>1999</v>
      </c>
    </row>
    <row r="3" spans="1:26" ht="26.4" x14ac:dyDescent="0.3">
      <c r="A3" s="38">
        <v>46387</v>
      </c>
      <c r="B3" s="6" t="s">
        <v>263</v>
      </c>
      <c r="C3" s="6" t="s">
        <v>263</v>
      </c>
      <c r="D3" s="6" t="s">
        <v>263</v>
      </c>
      <c r="E3" s="6" t="s">
        <v>296</v>
      </c>
      <c r="F3" s="6" t="s">
        <v>1062</v>
      </c>
      <c r="G3" s="6" t="s">
        <v>264</v>
      </c>
      <c r="H3" s="6" t="s">
        <v>2000</v>
      </c>
      <c r="I3" s="6" t="s">
        <v>1222</v>
      </c>
      <c r="J3" s="6" t="s">
        <v>265</v>
      </c>
      <c r="K3" s="6" t="s">
        <v>984</v>
      </c>
      <c r="L3" s="6" t="s">
        <v>1122</v>
      </c>
      <c r="M3" s="6" t="s">
        <v>1055</v>
      </c>
      <c r="N3" s="6" t="s">
        <v>1070</v>
      </c>
      <c r="O3" s="6" t="s">
        <v>993</v>
      </c>
      <c r="P3" s="6" t="s">
        <v>1006</v>
      </c>
      <c r="Q3" s="6" t="s">
        <v>788</v>
      </c>
      <c r="R3" s="6" t="s">
        <v>807</v>
      </c>
      <c r="S3" s="6" t="s">
        <v>808</v>
      </c>
      <c r="T3" s="6" t="s">
        <v>981</v>
      </c>
      <c r="U3" s="6" t="s">
        <v>263</v>
      </c>
      <c r="V3" s="6" t="s">
        <v>1307</v>
      </c>
      <c r="W3" s="6" t="s">
        <v>2001</v>
      </c>
      <c r="X3" s="6" t="s">
        <v>2002</v>
      </c>
      <c r="Y3" s="6" t="s">
        <v>2003</v>
      </c>
      <c r="Z3" s="6" t="s">
        <v>2004</v>
      </c>
    </row>
    <row r="4" spans="1:26" x14ac:dyDescent="0.3">
      <c r="B4" s="6" t="s">
        <v>271</v>
      </c>
      <c r="C4" s="6" t="s">
        <v>271</v>
      </c>
      <c r="D4" s="6" t="s">
        <v>271</v>
      </c>
      <c r="E4" s="6" t="s">
        <v>257</v>
      </c>
      <c r="F4" s="6" t="s">
        <v>2005</v>
      </c>
      <c r="G4" s="6" t="s">
        <v>360</v>
      </c>
      <c r="H4" s="6" t="s">
        <v>273</v>
      </c>
      <c r="I4" s="6" t="s">
        <v>1225</v>
      </c>
      <c r="J4" s="6" t="s">
        <v>443</v>
      </c>
      <c r="K4" s="6" t="s">
        <v>972</v>
      </c>
      <c r="L4" s="6" t="s">
        <v>1047</v>
      </c>
      <c r="M4" s="6" t="s">
        <v>974</v>
      </c>
      <c r="N4" s="6" t="s">
        <v>1001</v>
      </c>
      <c r="O4" s="6" t="s">
        <v>985</v>
      </c>
      <c r="P4" s="6" t="s">
        <v>980</v>
      </c>
      <c r="Q4" s="6" t="s">
        <v>799</v>
      </c>
      <c r="R4" s="6" t="s">
        <v>800</v>
      </c>
      <c r="S4" s="6" t="s">
        <v>790</v>
      </c>
      <c r="T4" s="6" t="s">
        <v>2006</v>
      </c>
      <c r="U4" s="6" t="s">
        <v>271</v>
      </c>
      <c r="V4" s="6" t="s">
        <v>1281</v>
      </c>
      <c r="W4" s="6" t="s">
        <v>2007</v>
      </c>
      <c r="X4" s="6" t="s">
        <v>2008</v>
      </c>
      <c r="Y4" s="6" t="s">
        <v>2009</v>
      </c>
      <c r="Z4" s="6" t="s">
        <v>342</v>
      </c>
    </row>
    <row r="5" spans="1:26" x14ac:dyDescent="0.3">
      <c r="C5" s="6" t="s">
        <v>342</v>
      </c>
      <c r="D5" s="6" t="s">
        <v>710</v>
      </c>
      <c r="E5" s="6" t="s">
        <v>419</v>
      </c>
      <c r="F5" s="6" t="s">
        <v>348</v>
      </c>
      <c r="G5" s="6" t="s">
        <v>366</v>
      </c>
      <c r="H5" s="6" t="s">
        <v>281</v>
      </c>
      <c r="I5" s="6" t="s">
        <v>1228</v>
      </c>
      <c r="J5" s="6" t="s">
        <v>316</v>
      </c>
      <c r="K5" s="6" t="s">
        <v>1009</v>
      </c>
      <c r="L5" s="6" t="s">
        <v>973</v>
      </c>
      <c r="M5" s="6" t="s">
        <v>1000</v>
      </c>
      <c r="N5" s="6" t="s">
        <v>975</v>
      </c>
      <c r="O5" s="6" t="s">
        <v>976</v>
      </c>
      <c r="P5" s="6" t="s">
        <v>989</v>
      </c>
      <c r="Q5" s="6" t="s">
        <v>2010</v>
      </c>
      <c r="R5" s="6" t="s">
        <v>789</v>
      </c>
      <c r="S5" s="6" t="s">
        <v>2011</v>
      </c>
      <c r="T5" s="6" t="s">
        <v>2012</v>
      </c>
      <c r="U5" s="6" t="s">
        <v>1278</v>
      </c>
      <c r="V5" s="6" t="s">
        <v>1315</v>
      </c>
      <c r="W5" s="6" t="s">
        <v>2013</v>
      </c>
      <c r="X5" s="6" t="s">
        <v>2014</v>
      </c>
      <c r="Y5" s="6" t="s">
        <v>2004</v>
      </c>
    </row>
    <row r="6" spans="1:26" ht="26.4" x14ac:dyDescent="0.3">
      <c r="E6" s="6" t="s">
        <v>324</v>
      </c>
      <c r="F6" s="6" t="s">
        <v>356</v>
      </c>
      <c r="G6" s="6" t="s">
        <v>373</v>
      </c>
      <c r="H6" s="6" t="s">
        <v>382</v>
      </c>
      <c r="I6" s="6" t="s">
        <v>1231</v>
      </c>
      <c r="J6" s="6" t="s">
        <v>493</v>
      </c>
      <c r="L6" s="6" t="s">
        <v>1010</v>
      </c>
      <c r="M6" s="6" t="s">
        <v>1123</v>
      </c>
      <c r="N6" s="6" t="s">
        <v>1011</v>
      </c>
      <c r="O6" s="6" t="s">
        <v>1131</v>
      </c>
      <c r="Q6" s="6" t="s">
        <v>852</v>
      </c>
      <c r="S6" s="6" t="s">
        <v>2015</v>
      </c>
      <c r="T6" s="6" t="s">
        <v>791</v>
      </c>
      <c r="U6" s="6" t="s">
        <v>1438</v>
      </c>
      <c r="V6" s="6" t="s">
        <v>2016</v>
      </c>
      <c r="X6" s="6" t="s">
        <v>2017</v>
      </c>
      <c r="Y6" s="6" t="s">
        <v>2018</v>
      </c>
    </row>
    <row r="7" spans="1:26" x14ac:dyDescent="0.3">
      <c r="E7" s="6" t="s">
        <v>346</v>
      </c>
      <c r="F7" s="6" t="s">
        <v>259</v>
      </c>
      <c r="G7" s="6" t="s">
        <v>340</v>
      </c>
      <c r="H7" s="6" t="s">
        <v>2019</v>
      </c>
      <c r="I7" s="6" t="s">
        <v>426</v>
      </c>
      <c r="J7" s="6" t="s">
        <v>423</v>
      </c>
      <c r="M7" s="6" t="s">
        <v>1037</v>
      </c>
      <c r="N7" s="6" t="s">
        <v>1133</v>
      </c>
      <c r="S7" s="6" t="s">
        <v>853</v>
      </c>
      <c r="T7" s="6" t="s">
        <v>829</v>
      </c>
      <c r="V7" s="6" t="s">
        <v>1396</v>
      </c>
      <c r="X7" s="6" t="s">
        <v>954</v>
      </c>
    </row>
    <row r="8" spans="1:26" x14ac:dyDescent="0.3">
      <c r="E8" s="6" t="s">
        <v>334</v>
      </c>
      <c r="F8" s="6" t="s">
        <v>336</v>
      </c>
      <c r="G8" s="6" t="s">
        <v>2020</v>
      </c>
      <c r="H8" s="6" t="s">
        <v>2021</v>
      </c>
      <c r="I8" s="6" t="s">
        <v>1234</v>
      </c>
      <c r="J8" s="6" t="s">
        <v>328</v>
      </c>
      <c r="S8" s="6" t="s">
        <v>2022</v>
      </c>
      <c r="T8" s="6" t="s">
        <v>816</v>
      </c>
      <c r="V8" s="6" t="s">
        <v>1496</v>
      </c>
    </row>
    <row r="9" spans="1:26" x14ac:dyDescent="0.3">
      <c r="F9" s="6" t="s">
        <v>2023</v>
      </c>
      <c r="G9" s="6" t="s">
        <v>1409</v>
      </c>
      <c r="I9" s="6" t="s">
        <v>1236</v>
      </c>
      <c r="J9" s="6" t="s">
        <v>470</v>
      </c>
      <c r="T9" s="6" t="s">
        <v>1039</v>
      </c>
      <c r="V9" s="6" t="s">
        <v>194</v>
      </c>
    </row>
    <row r="10" spans="1:26" x14ac:dyDescent="0.3">
      <c r="F10" s="6" t="s">
        <v>448</v>
      </c>
      <c r="G10" s="6" t="s">
        <v>2024</v>
      </c>
      <c r="I10" s="6" t="s">
        <v>1238</v>
      </c>
      <c r="J10" s="6" t="s">
        <v>522</v>
      </c>
      <c r="T10" s="6" t="s">
        <v>1284</v>
      </c>
    </row>
    <row r="11" spans="1:26" x14ac:dyDescent="0.3">
      <c r="F11" s="6" t="s">
        <v>432</v>
      </c>
      <c r="I11" s="6" t="s">
        <v>1240</v>
      </c>
      <c r="J11" s="6" t="s">
        <v>487</v>
      </c>
      <c r="T11" s="6" t="s">
        <v>990</v>
      </c>
    </row>
    <row r="12" spans="1:26" x14ac:dyDescent="0.3">
      <c r="F12" s="6" t="s">
        <v>2025</v>
      </c>
      <c r="I12" s="6" t="s">
        <v>269</v>
      </c>
      <c r="J12" s="6" t="s">
        <v>351</v>
      </c>
      <c r="T12" s="6" t="s">
        <v>997</v>
      </c>
    </row>
    <row r="13" spans="1:26" x14ac:dyDescent="0.3">
      <c r="F13" s="6" t="s">
        <v>2026</v>
      </c>
      <c r="I13" s="6" t="s">
        <v>1243</v>
      </c>
      <c r="J13" s="6" t="s">
        <v>511</v>
      </c>
      <c r="T13" s="6" t="s">
        <v>2027</v>
      </c>
    </row>
    <row r="14" spans="1:26" x14ac:dyDescent="0.3">
      <c r="F14" s="6" t="s">
        <v>519</v>
      </c>
      <c r="I14" s="6" t="s">
        <v>496</v>
      </c>
      <c r="J14" s="6" t="s">
        <v>341</v>
      </c>
      <c r="T14" s="6" t="s">
        <v>971</v>
      </c>
    </row>
    <row r="15" spans="1:26" x14ac:dyDescent="0.3">
      <c r="F15" s="6" t="s">
        <v>2028</v>
      </c>
      <c r="I15" s="6" t="s">
        <v>270</v>
      </c>
      <c r="T15" s="6" t="s">
        <v>1026</v>
      </c>
    </row>
    <row r="16" spans="1:26" x14ac:dyDescent="0.3">
      <c r="F16" s="6" t="s">
        <v>2029</v>
      </c>
      <c r="I16" s="6" t="s">
        <v>1247</v>
      </c>
      <c r="T16" s="6" t="s">
        <v>1069</v>
      </c>
    </row>
    <row r="17" spans="6:20" x14ac:dyDescent="0.3">
      <c r="F17" s="6" t="s">
        <v>2030</v>
      </c>
      <c r="I17" s="6" t="s">
        <v>1249</v>
      </c>
      <c r="T17" s="6" t="s">
        <v>2031</v>
      </c>
    </row>
    <row r="18" spans="6:20" x14ac:dyDescent="0.3">
      <c r="F18" s="6" t="s">
        <v>467</v>
      </c>
      <c r="I18" s="6" t="s">
        <v>1251</v>
      </c>
      <c r="T18" s="6" t="s">
        <v>1031</v>
      </c>
    </row>
    <row r="19" spans="6:20" x14ac:dyDescent="0.3">
      <c r="I19" s="6" t="s">
        <v>331</v>
      </c>
      <c r="T19" s="6" t="s">
        <v>1046</v>
      </c>
    </row>
    <row r="20" spans="6:20" x14ac:dyDescent="0.3">
      <c r="I20" s="6" t="s">
        <v>478</v>
      </c>
      <c r="T20" s="6" t="s">
        <v>1036</v>
      </c>
    </row>
    <row r="21" spans="6:20" x14ac:dyDescent="0.3">
      <c r="I21" s="6" t="s">
        <v>483</v>
      </c>
      <c r="T21" s="6" t="s">
        <v>2032</v>
      </c>
    </row>
    <row r="22" spans="6:20" x14ac:dyDescent="0.3">
      <c r="I22" s="6" t="s">
        <v>472</v>
      </c>
      <c r="T22" s="6" t="s">
        <v>2033</v>
      </c>
    </row>
    <row r="23" spans="6:20" x14ac:dyDescent="0.3">
      <c r="I23" s="6" t="s">
        <v>113</v>
      </c>
      <c r="T23" s="6" t="s">
        <v>2034</v>
      </c>
    </row>
    <row r="24" spans="6:20" x14ac:dyDescent="0.3">
      <c r="T24" s="6" t="s">
        <v>711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4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111</v>
      </c>
      <c r="B1" s="8" t="s">
        <v>2035</v>
      </c>
      <c r="C1" s="8" t="s">
        <v>2036</v>
      </c>
      <c r="D1" s="8" t="s">
        <v>1146</v>
      </c>
      <c r="E1" s="8" t="s">
        <v>2037</v>
      </c>
      <c r="F1" s="8" t="s">
        <v>2038</v>
      </c>
      <c r="G1" s="8" t="s">
        <v>2039</v>
      </c>
      <c r="H1" s="8" t="s">
        <v>2040</v>
      </c>
      <c r="I1" s="8" t="s">
        <v>2041</v>
      </c>
    </row>
    <row r="2" spans="1:9" x14ac:dyDescent="0.3">
      <c r="A2" s="9" t="s">
        <v>60</v>
      </c>
      <c r="B2" s="9" t="s">
        <v>2042</v>
      </c>
      <c r="C2" s="9" t="s">
        <v>1654</v>
      </c>
      <c r="D2" s="9" t="s">
        <v>2043</v>
      </c>
      <c r="E2" s="9" t="s">
        <v>2044</v>
      </c>
      <c r="F2" s="9"/>
      <c r="G2" s="9"/>
      <c r="H2" s="9" t="s">
        <v>263</v>
      </c>
      <c r="I2" s="9" t="s">
        <v>2045</v>
      </c>
    </row>
    <row r="3" spans="1:9" x14ac:dyDescent="0.3">
      <c r="A3" s="9" t="s">
        <v>60</v>
      </c>
      <c r="B3" s="9" t="s">
        <v>2042</v>
      </c>
      <c r="C3" s="9" t="s">
        <v>1655</v>
      </c>
      <c r="D3" s="9" t="s">
        <v>2043</v>
      </c>
      <c r="E3" s="9" t="s">
        <v>2044</v>
      </c>
      <c r="F3" s="9" t="s">
        <v>2046</v>
      </c>
      <c r="G3" s="9"/>
      <c r="H3" s="9" t="s">
        <v>263</v>
      </c>
      <c r="I3" s="9"/>
    </row>
    <row r="4" spans="1:9" x14ac:dyDescent="0.3">
      <c r="A4" s="9" t="s">
        <v>60</v>
      </c>
      <c r="B4" s="9" t="s">
        <v>2042</v>
      </c>
      <c r="C4" s="9" t="s">
        <v>108</v>
      </c>
      <c r="D4" s="9" t="s">
        <v>2047</v>
      </c>
      <c r="E4" s="9" t="s">
        <v>2044</v>
      </c>
      <c r="F4" s="9" t="s">
        <v>2048</v>
      </c>
      <c r="G4" s="9"/>
      <c r="H4" s="9" t="s">
        <v>263</v>
      </c>
      <c r="I4" s="9"/>
    </row>
    <row r="5" spans="1:9" x14ac:dyDescent="0.3">
      <c r="A5" s="9" t="s">
        <v>60</v>
      </c>
      <c r="B5" s="9" t="s">
        <v>2042</v>
      </c>
      <c r="C5" s="9" t="s">
        <v>1656</v>
      </c>
      <c r="D5" s="9" t="s">
        <v>2043</v>
      </c>
      <c r="E5" s="9" t="s">
        <v>2044</v>
      </c>
      <c r="F5" s="9" t="s">
        <v>2049</v>
      </c>
      <c r="G5" s="9"/>
      <c r="H5" s="9" t="s">
        <v>263</v>
      </c>
      <c r="I5" s="9"/>
    </row>
    <row r="6" spans="1:9" x14ac:dyDescent="0.3">
      <c r="A6" s="9" t="s">
        <v>60</v>
      </c>
      <c r="B6" s="9" t="s">
        <v>2042</v>
      </c>
      <c r="C6" s="9" t="s">
        <v>1270</v>
      </c>
      <c r="D6" s="9" t="s">
        <v>2043</v>
      </c>
      <c r="E6" s="9" t="s">
        <v>2044</v>
      </c>
      <c r="F6" s="9" t="s">
        <v>2050</v>
      </c>
      <c r="G6" s="9"/>
      <c r="H6" s="9" t="s">
        <v>263</v>
      </c>
      <c r="I6" s="9"/>
    </row>
    <row r="7" spans="1:9" x14ac:dyDescent="0.3">
      <c r="A7" s="9" t="s">
        <v>30</v>
      </c>
      <c r="B7" s="9" t="s">
        <v>2051</v>
      </c>
      <c r="C7" s="9" t="s">
        <v>156</v>
      </c>
      <c r="D7" s="9" t="s">
        <v>2043</v>
      </c>
      <c r="E7" s="9" t="s">
        <v>2044</v>
      </c>
      <c r="F7" s="9"/>
      <c r="G7" s="9"/>
      <c r="H7" s="9" t="s">
        <v>263</v>
      </c>
      <c r="I7" s="9" t="s">
        <v>2045</v>
      </c>
    </row>
    <row r="8" spans="1:9" x14ac:dyDescent="0.3">
      <c r="A8" s="9" t="s">
        <v>30</v>
      </c>
      <c r="B8" s="9" t="s">
        <v>2051</v>
      </c>
      <c r="C8" s="9" t="s">
        <v>157</v>
      </c>
      <c r="D8" s="9" t="s">
        <v>2043</v>
      </c>
      <c r="E8" s="9" t="s">
        <v>2044</v>
      </c>
      <c r="F8" s="9"/>
      <c r="G8" s="9"/>
      <c r="H8" s="9" t="s">
        <v>263</v>
      </c>
      <c r="I8" s="9"/>
    </row>
    <row r="9" spans="1:9" x14ac:dyDescent="0.3">
      <c r="A9" s="9" t="s">
        <v>30</v>
      </c>
      <c r="B9" s="9" t="s">
        <v>2051</v>
      </c>
      <c r="C9" s="9" t="s">
        <v>158</v>
      </c>
      <c r="D9" s="9" t="s">
        <v>2043</v>
      </c>
      <c r="E9" s="9" t="s">
        <v>2044</v>
      </c>
      <c r="F9" s="9" t="s">
        <v>2052</v>
      </c>
      <c r="G9" s="9"/>
      <c r="H9" s="9" t="s">
        <v>263</v>
      </c>
      <c r="I9" s="9"/>
    </row>
    <row r="10" spans="1:9" x14ac:dyDescent="0.3">
      <c r="A10" s="9" t="s">
        <v>30</v>
      </c>
      <c r="B10" s="9" t="s">
        <v>2051</v>
      </c>
      <c r="C10" s="9" t="s">
        <v>159</v>
      </c>
      <c r="D10" s="9" t="s">
        <v>2043</v>
      </c>
      <c r="E10" s="9" t="s">
        <v>2044</v>
      </c>
      <c r="F10" s="9"/>
      <c r="G10" s="9"/>
      <c r="H10" s="9" t="s">
        <v>263</v>
      </c>
      <c r="I10" s="9"/>
    </row>
    <row r="11" spans="1:9" x14ac:dyDescent="0.3">
      <c r="A11" s="9" t="s">
        <v>30</v>
      </c>
      <c r="B11" s="9" t="s">
        <v>2051</v>
      </c>
      <c r="C11" s="9" t="s">
        <v>160</v>
      </c>
      <c r="D11" s="9" t="s">
        <v>2043</v>
      </c>
      <c r="E11" s="9" t="s">
        <v>2044</v>
      </c>
      <c r="F11" s="9"/>
      <c r="G11" s="9"/>
      <c r="H11" s="9" t="s">
        <v>263</v>
      </c>
      <c r="I11" s="9"/>
    </row>
    <row r="12" spans="1:9" x14ac:dyDescent="0.3">
      <c r="A12" s="9" t="s">
        <v>30</v>
      </c>
      <c r="B12" s="9" t="s">
        <v>2051</v>
      </c>
      <c r="C12" s="9" t="s">
        <v>161</v>
      </c>
      <c r="D12" s="9" t="s">
        <v>2043</v>
      </c>
      <c r="E12" s="9" t="s">
        <v>2044</v>
      </c>
      <c r="F12" s="9"/>
      <c r="G12" s="9"/>
      <c r="H12" s="9" t="s">
        <v>263</v>
      </c>
      <c r="I12" s="9"/>
    </row>
    <row r="13" spans="1:9" x14ac:dyDescent="0.3">
      <c r="A13" s="9" t="s">
        <v>62</v>
      </c>
      <c r="B13" s="9" t="s">
        <v>2053</v>
      </c>
      <c r="C13" s="9" t="s">
        <v>1684</v>
      </c>
      <c r="D13" s="9" t="s">
        <v>2043</v>
      </c>
      <c r="E13" s="9" t="s">
        <v>2044</v>
      </c>
      <c r="F13" s="9" t="s">
        <v>2054</v>
      </c>
      <c r="G13" s="9"/>
      <c r="H13" s="9" t="s">
        <v>263</v>
      </c>
      <c r="I13" s="9" t="s">
        <v>2045</v>
      </c>
    </row>
    <row r="14" spans="1:9" x14ac:dyDescent="0.3">
      <c r="A14" s="9" t="s">
        <v>62</v>
      </c>
      <c r="B14" s="9" t="s">
        <v>2053</v>
      </c>
      <c r="C14" s="9" t="s">
        <v>1685</v>
      </c>
      <c r="D14" s="9" t="s">
        <v>2043</v>
      </c>
      <c r="E14" s="9" t="s">
        <v>2044</v>
      </c>
      <c r="F14" s="9"/>
      <c r="G14" s="9"/>
      <c r="H14" s="9" t="s">
        <v>263</v>
      </c>
      <c r="I14" s="9"/>
    </row>
    <row r="15" spans="1:9" x14ac:dyDescent="0.3">
      <c r="A15" s="9" t="s">
        <v>62</v>
      </c>
      <c r="B15" s="9" t="s">
        <v>2053</v>
      </c>
      <c r="C15" s="9" t="s">
        <v>1146</v>
      </c>
      <c r="D15" s="9" t="s">
        <v>2043</v>
      </c>
      <c r="E15" s="9" t="s">
        <v>2044</v>
      </c>
      <c r="F15" s="9" t="s">
        <v>2055</v>
      </c>
      <c r="G15" s="9"/>
      <c r="H15" s="9" t="s">
        <v>263</v>
      </c>
      <c r="I15" s="9"/>
    </row>
    <row r="16" spans="1:9" x14ac:dyDescent="0.3">
      <c r="A16" s="9" t="s">
        <v>62</v>
      </c>
      <c r="B16" s="9" t="s">
        <v>2053</v>
      </c>
      <c r="C16" s="9" t="s">
        <v>1219</v>
      </c>
      <c r="D16" s="9" t="s">
        <v>2043</v>
      </c>
      <c r="E16" s="9" t="s">
        <v>2044</v>
      </c>
      <c r="F16" s="9" t="s">
        <v>2056</v>
      </c>
      <c r="G16" s="9"/>
      <c r="H16" s="9" t="s">
        <v>263</v>
      </c>
      <c r="I16" s="9"/>
    </row>
    <row r="17" spans="1:9" ht="26.4" x14ac:dyDescent="0.3">
      <c r="A17" s="9" t="s">
        <v>62</v>
      </c>
      <c r="B17" s="9" t="s">
        <v>2053</v>
      </c>
      <c r="C17" s="9" t="s">
        <v>243</v>
      </c>
      <c r="D17" s="9" t="s">
        <v>2057</v>
      </c>
      <c r="E17" s="9" t="s">
        <v>2044</v>
      </c>
      <c r="F17" s="9" t="s">
        <v>2058</v>
      </c>
      <c r="G17" s="9"/>
      <c r="H17" s="9" t="s">
        <v>263</v>
      </c>
      <c r="I17" s="9"/>
    </row>
    <row r="18" spans="1:9" x14ac:dyDescent="0.3">
      <c r="A18" s="9" t="s">
        <v>62</v>
      </c>
      <c r="B18" s="9" t="s">
        <v>2053</v>
      </c>
      <c r="C18" s="9" t="s">
        <v>1686</v>
      </c>
      <c r="D18" s="9" t="s">
        <v>2043</v>
      </c>
      <c r="E18" s="9" t="s">
        <v>2044</v>
      </c>
      <c r="F18" s="9" t="s">
        <v>2059</v>
      </c>
      <c r="G18" s="9"/>
      <c r="H18" s="9" t="s">
        <v>263</v>
      </c>
      <c r="I18" s="9"/>
    </row>
    <row r="19" spans="1:9" x14ac:dyDescent="0.3">
      <c r="A19" s="9" t="s">
        <v>62</v>
      </c>
      <c r="B19" s="9" t="s">
        <v>2053</v>
      </c>
      <c r="C19" s="9" t="s">
        <v>250</v>
      </c>
      <c r="D19" s="9" t="s">
        <v>2043</v>
      </c>
      <c r="E19" s="9" t="s">
        <v>2044</v>
      </c>
      <c r="F19" s="9" t="s">
        <v>2060</v>
      </c>
      <c r="G19" s="9"/>
      <c r="H19" s="9" t="s">
        <v>263</v>
      </c>
      <c r="I19" s="9"/>
    </row>
    <row r="20" spans="1:9" x14ac:dyDescent="0.3">
      <c r="A20" s="9" t="s">
        <v>64</v>
      </c>
      <c r="B20" s="9" t="s">
        <v>2061</v>
      </c>
      <c r="C20" s="9" t="s">
        <v>1897</v>
      </c>
      <c r="D20" s="9" t="s">
        <v>2043</v>
      </c>
      <c r="E20" s="9" t="s">
        <v>2044</v>
      </c>
      <c r="F20" s="9"/>
      <c r="G20" s="9"/>
      <c r="H20" s="9" t="s">
        <v>263</v>
      </c>
      <c r="I20" s="9"/>
    </row>
    <row r="21" spans="1:9" x14ac:dyDescent="0.3">
      <c r="A21" s="9" t="s">
        <v>64</v>
      </c>
      <c r="B21" s="9" t="s">
        <v>2061</v>
      </c>
      <c r="C21" s="9" t="s">
        <v>538</v>
      </c>
      <c r="D21" s="9" t="s">
        <v>2043</v>
      </c>
      <c r="E21" s="9" t="s">
        <v>2044</v>
      </c>
      <c r="F21" s="9"/>
      <c r="G21" s="9"/>
      <c r="H21" s="9" t="s">
        <v>263</v>
      </c>
      <c r="I21" s="9" t="s">
        <v>2045</v>
      </c>
    </row>
    <row r="22" spans="1:9" x14ac:dyDescent="0.3">
      <c r="A22" s="9" t="s">
        <v>64</v>
      </c>
      <c r="B22" s="9" t="s">
        <v>2061</v>
      </c>
      <c r="C22" s="9" t="s">
        <v>1898</v>
      </c>
      <c r="D22" s="9" t="s">
        <v>2043</v>
      </c>
      <c r="E22" s="9" t="s">
        <v>2044</v>
      </c>
      <c r="F22" s="9"/>
      <c r="G22" s="9"/>
      <c r="H22" s="9" t="s">
        <v>263</v>
      </c>
      <c r="I22" s="9"/>
    </row>
    <row r="23" spans="1:9" x14ac:dyDescent="0.3">
      <c r="A23" s="9" t="s">
        <v>64</v>
      </c>
      <c r="B23" s="9" t="s">
        <v>2061</v>
      </c>
      <c r="C23" s="9" t="s">
        <v>1899</v>
      </c>
      <c r="D23" s="9" t="s">
        <v>2043</v>
      </c>
      <c r="E23" s="9" t="s">
        <v>2044</v>
      </c>
      <c r="F23" s="9"/>
      <c r="G23" s="9"/>
      <c r="H23" s="9" t="s">
        <v>263</v>
      </c>
      <c r="I23" s="9"/>
    </row>
    <row r="24" spans="1:9" x14ac:dyDescent="0.3">
      <c r="A24" s="9" t="s">
        <v>64</v>
      </c>
      <c r="B24" s="9" t="s">
        <v>2061</v>
      </c>
      <c r="C24" s="9" t="s">
        <v>1900</v>
      </c>
      <c r="D24" s="9" t="s">
        <v>2043</v>
      </c>
      <c r="E24" s="9" t="s">
        <v>2044</v>
      </c>
      <c r="F24" s="9"/>
      <c r="G24" s="9"/>
      <c r="H24" s="9" t="s">
        <v>271</v>
      </c>
      <c r="I24" s="9"/>
    </row>
    <row r="25" spans="1:9" x14ac:dyDescent="0.3">
      <c r="A25" s="9" t="s">
        <v>32</v>
      </c>
      <c r="B25" s="9" t="s">
        <v>2062</v>
      </c>
      <c r="C25" s="9" t="s">
        <v>213</v>
      </c>
      <c r="D25" s="9" t="s">
        <v>2043</v>
      </c>
      <c r="E25" s="9" t="s">
        <v>2044</v>
      </c>
      <c r="F25" s="9" t="s">
        <v>2063</v>
      </c>
      <c r="G25" s="9"/>
      <c r="H25" s="9" t="s">
        <v>263</v>
      </c>
      <c r="I25" s="9" t="s">
        <v>2045</v>
      </c>
    </row>
    <row r="26" spans="1:9" x14ac:dyDescent="0.3">
      <c r="A26" s="9" t="s">
        <v>32</v>
      </c>
      <c r="B26" s="9" t="s">
        <v>2062</v>
      </c>
      <c r="C26" s="9" t="s">
        <v>214</v>
      </c>
      <c r="D26" s="9" t="s">
        <v>2043</v>
      </c>
      <c r="E26" s="9" t="s">
        <v>2044</v>
      </c>
      <c r="F26" s="9"/>
      <c r="G26" s="9"/>
      <c r="H26" s="9" t="s">
        <v>263</v>
      </c>
      <c r="I26" s="9"/>
    </row>
    <row r="27" spans="1:9" x14ac:dyDescent="0.3">
      <c r="A27" s="9" t="s">
        <v>32</v>
      </c>
      <c r="B27" s="9" t="s">
        <v>2062</v>
      </c>
      <c r="C27" s="9" t="s">
        <v>215</v>
      </c>
      <c r="D27" s="9" t="s">
        <v>2043</v>
      </c>
      <c r="E27" s="9" t="s">
        <v>2044</v>
      </c>
      <c r="F27" s="9" t="s">
        <v>2064</v>
      </c>
      <c r="G27" s="9" t="s">
        <v>2065</v>
      </c>
      <c r="H27" s="9" t="s">
        <v>263</v>
      </c>
      <c r="I27" s="9"/>
    </row>
    <row r="28" spans="1:9" x14ac:dyDescent="0.3">
      <c r="A28" s="9" t="s">
        <v>32</v>
      </c>
      <c r="B28" s="9" t="s">
        <v>2062</v>
      </c>
      <c r="C28" s="9" t="s">
        <v>216</v>
      </c>
      <c r="D28" s="9" t="s">
        <v>2043</v>
      </c>
      <c r="E28" s="9" t="s">
        <v>2044</v>
      </c>
      <c r="F28" s="9"/>
      <c r="G28" s="9"/>
      <c r="H28" s="9" t="s">
        <v>263</v>
      </c>
      <c r="I28" s="9"/>
    </row>
    <row r="29" spans="1:9" ht="39.6" x14ac:dyDescent="0.3">
      <c r="A29" s="9" t="s">
        <v>32</v>
      </c>
      <c r="B29" s="9" t="s">
        <v>2062</v>
      </c>
      <c r="C29" s="9" t="s">
        <v>217</v>
      </c>
      <c r="D29" s="9" t="s">
        <v>2043</v>
      </c>
      <c r="E29" s="9" t="s">
        <v>2044</v>
      </c>
      <c r="F29" s="9"/>
      <c r="G29" s="9" t="s">
        <v>2066</v>
      </c>
      <c r="H29" s="9" t="s">
        <v>263</v>
      </c>
      <c r="I29" s="9" t="s">
        <v>2067</v>
      </c>
    </row>
    <row r="30" spans="1:9" x14ac:dyDescent="0.3">
      <c r="A30" s="9" t="s">
        <v>32</v>
      </c>
      <c r="B30" s="9" t="s">
        <v>2062</v>
      </c>
      <c r="C30" s="9" t="s">
        <v>218</v>
      </c>
      <c r="D30" s="9" t="s">
        <v>2043</v>
      </c>
      <c r="E30" s="9" t="s">
        <v>2044</v>
      </c>
      <c r="F30" s="9" t="s">
        <v>2068</v>
      </c>
      <c r="G30" s="9"/>
      <c r="H30" s="9" t="s">
        <v>263</v>
      </c>
      <c r="I30" s="9"/>
    </row>
    <row r="31" spans="1:9" ht="52.8" x14ac:dyDescent="0.3">
      <c r="A31" s="9" t="s">
        <v>32</v>
      </c>
      <c r="B31" s="9" t="s">
        <v>2062</v>
      </c>
      <c r="C31" s="9" t="s">
        <v>219</v>
      </c>
      <c r="D31" s="9" t="s">
        <v>2043</v>
      </c>
      <c r="E31" s="9" t="s">
        <v>2044</v>
      </c>
      <c r="F31" s="9"/>
      <c r="G31" s="9"/>
      <c r="H31" s="9" t="s">
        <v>263</v>
      </c>
      <c r="I31" s="9" t="s">
        <v>2069</v>
      </c>
    </row>
    <row r="32" spans="1:9" x14ac:dyDescent="0.3">
      <c r="A32" s="9" t="s">
        <v>32</v>
      </c>
      <c r="B32" s="9" t="s">
        <v>2062</v>
      </c>
      <c r="C32" s="9" t="s">
        <v>220</v>
      </c>
      <c r="D32" s="9" t="s">
        <v>2043</v>
      </c>
      <c r="E32" s="9" t="s">
        <v>2044</v>
      </c>
      <c r="F32" s="9"/>
      <c r="G32" s="9"/>
      <c r="H32" s="9" t="s">
        <v>263</v>
      </c>
      <c r="I32" s="9"/>
    </row>
    <row r="33" spans="1:9" x14ac:dyDescent="0.3">
      <c r="A33" s="9" t="s">
        <v>32</v>
      </c>
      <c r="B33" s="9" t="s">
        <v>2062</v>
      </c>
      <c r="C33" s="9" t="s">
        <v>221</v>
      </c>
      <c r="D33" s="9" t="s">
        <v>2043</v>
      </c>
      <c r="E33" s="9" t="s">
        <v>2044</v>
      </c>
      <c r="F33" s="9" t="s">
        <v>2070</v>
      </c>
      <c r="G33" s="9" t="s">
        <v>2071</v>
      </c>
      <c r="H33" s="9" t="s">
        <v>263</v>
      </c>
      <c r="I33" s="9"/>
    </row>
    <row r="34" spans="1:9" x14ac:dyDescent="0.3">
      <c r="A34" s="9" t="s">
        <v>32</v>
      </c>
      <c r="B34" s="9" t="s">
        <v>2062</v>
      </c>
      <c r="C34" s="9" t="s">
        <v>30</v>
      </c>
      <c r="D34" s="9" t="s">
        <v>2043</v>
      </c>
      <c r="E34" s="9" t="s">
        <v>2044</v>
      </c>
      <c r="F34" s="9"/>
      <c r="G34" s="9" t="s">
        <v>2072</v>
      </c>
      <c r="H34" s="9" t="s">
        <v>263</v>
      </c>
      <c r="I34" s="9"/>
    </row>
    <row r="35" spans="1:9" x14ac:dyDescent="0.3">
      <c r="A35" s="9" t="s">
        <v>32</v>
      </c>
      <c r="B35" s="9" t="s">
        <v>2062</v>
      </c>
      <c r="C35" s="9" t="s">
        <v>222</v>
      </c>
      <c r="D35" s="9" t="s">
        <v>2047</v>
      </c>
      <c r="E35" s="9" t="s">
        <v>2044</v>
      </c>
      <c r="F35" s="9" t="s">
        <v>2073</v>
      </c>
      <c r="G35" s="9"/>
      <c r="H35" s="9" t="s">
        <v>263</v>
      </c>
      <c r="I35" s="9"/>
    </row>
    <row r="36" spans="1:9" x14ac:dyDescent="0.3">
      <c r="A36" s="9" t="s">
        <v>32</v>
      </c>
      <c r="B36" s="9" t="s">
        <v>2062</v>
      </c>
      <c r="C36" s="9" t="s">
        <v>223</v>
      </c>
      <c r="D36" s="9" t="s">
        <v>2047</v>
      </c>
      <c r="E36" s="9" t="s">
        <v>2044</v>
      </c>
      <c r="F36" s="9" t="s">
        <v>2074</v>
      </c>
      <c r="G36" s="9"/>
      <c r="H36" s="9" t="s">
        <v>263</v>
      </c>
      <c r="I36" s="9"/>
    </row>
    <row r="37" spans="1:9" x14ac:dyDescent="0.3">
      <c r="A37" s="9" t="s">
        <v>32</v>
      </c>
      <c r="B37" s="9" t="s">
        <v>2062</v>
      </c>
      <c r="C37" s="9" t="s">
        <v>224</v>
      </c>
      <c r="D37" s="9" t="s">
        <v>2047</v>
      </c>
      <c r="E37" s="9" t="s">
        <v>2044</v>
      </c>
      <c r="F37" s="9" t="s">
        <v>2075</v>
      </c>
      <c r="G37" s="9"/>
      <c r="H37" s="9" t="s">
        <v>271</v>
      </c>
      <c r="I37" s="9"/>
    </row>
    <row r="38" spans="1:9" ht="39.6" x14ac:dyDescent="0.3">
      <c r="A38" s="9" t="s">
        <v>32</v>
      </c>
      <c r="B38" s="9" t="s">
        <v>2062</v>
      </c>
      <c r="C38" s="9" t="s">
        <v>225</v>
      </c>
      <c r="D38" s="9" t="s">
        <v>2043</v>
      </c>
      <c r="E38" s="9" t="s">
        <v>2044</v>
      </c>
      <c r="F38" s="9"/>
      <c r="G38" s="9" t="s">
        <v>2076</v>
      </c>
      <c r="H38" s="9" t="s">
        <v>263</v>
      </c>
      <c r="I38" s="9" t="s">
        <v>2077</v>
      </c>
    </row>
    <row r="39" spans="1:9" x14ac:dyDescent="0.3">
      <c r="A39" s="9" t="s">
        <v>32</v>
      </c>
      <c r="B39" s="9" t="s">
        <v>2062</v>
      </c>
      <c r="C39" s="9" t="s">
        <v>226</v>
      </c>
      <c r="D39" s="9" t="s">
        <v>2043</v>
      </c>
      <c r="E39" s="9" t="s">
        <v>2044</v>
      </c>
      <c r="F39" s="9" t="s">
        <v>2078</v>
      </c>
      <c r="G39" s="9"/>
      <c r="H39" s="9" t="s">
        <v>263</v>
      </c>
      <c r="I39" s="9"/>
    </row>
    <row r="40" spans="1:9" x14ac:dyDescent="0.3">
      <c r="A40" s="9" t="s">
        <v>32</v>
      </c>
      <c r="B40" s="9" t="s">
        <v>2062</v>
      </c>
      <c r="C40" s="9" t="s">
        <v>227</v>
      </c>
      <c r="D40" s="9" t="s">
        <v>2043</v>
      </c>
      <c r="E40" s="9" t="s">
        <v>2044</v>
      </c>
      <c r="F40" s="9"/>
      <c r="G40" s="9"/>
      <c r="H40" s="9" t="s">
        <v>271</v>
      </c>
      <c r="I40" s="9"/>
    </row>
    <row r="41" spans="1:9" x14ac:dyDescent="0.3">
      <c r="A41" s="9" t="s">
        <v>32</v>
      </c>
      <c r="B41" s="9" t="s">
        <v>2062</v>
      </c>
      <c r="C41" s="9" t="s">
        <v>228</v>
      </c>
      <c r="D41" s="9" t="s">
        <v>2043</v>
      </c>
      <c r="E41" s="9" t="s">
        <v>2044</v>
      </c>
      <c r="F41" s="9"/>
      <c r="G41" s="9"/>
      <c r="H41" s="9" t="s">
        <v>271</v>
      </c>
      <c r="I41" s="9"/>
    </row>
    <row r="42" spans="1:9" x14ac:dyDescent="0.3">
      <c r="A42" s="9" t="s">
        <v>32</v>
      </c>
      <c r="B42" s="9" t="s">
        <v>2062</v>
      </c>
      <c r="C42" s="9" t="s">
        <v>229</v>
      </c>
      <c r="D42" s="9" t="s">
        <v>2043</v>
      </c>
      <c r="E42" s="9" t="s">
        <v>2044</v>
      </c>
      <c r="F42" s="9" t="s">
        <v>2079</v>
      </c>
      <c r="G42" s="9" t="s">
        <v>2080</v>
      </c>
      <c r="H42" s="9" t="s">
        <v>263</v>
      </c>
      <c r="I42" s="9"/>
    </row>
    <row r="43" spans="1:9" x14ac:dyDescent="0.3">
      <c r="A43" s="9" t="s">
        <v>32</v>
      </c>
      <c r="B43" s="9" t="s">
        <v>2062</v>
      </c>
      <c r="C43" s="9" t="s">
        <v>230</v>
      </c>
      <c r="D43" s="9" t="s">
        <v>2043</v>
      </c>
      <c r="E43" s="9" t="s">
        <v>2044</v>
      </c>
      <c r="F43" s="9"/>
      <c r="G43" s="9" t="s">
        <v>2080</v>
      </c>
      <c r="H43" s="9" t="s">
        <v>271</v>
      </c>
      <c r="I43" s="9"/>
    </row>
    <row r="44" spans="1:9" x14ac:dyDescent="0.3">
      <c r="A44" s="9" t="s">
        <v>32</v>
      </c>
      <c r="B44" s="9" t="s">
        <v>2062</v>
      </c>
      <c r="C44" s="9" t="s">
        <v>231</v>
      </c>
      <c r="D44" s="9" t="s">
        <v>2043</v>
      </c>
      <c r="E44" s="9" t="s">
        <v>2044</v>
      </c>
      <c r="F44" s="9" t="s">
        <v>2081</v>
      </c>
      <c r="G44" s="9" t="s">
        <v>2082</v>
      </c>
      <c r="H44" s="9" t="s">
        <v>263</v>
      </c>
      <c r="I44" s="9"/>
    </row>
    <row r="45" spans="1:9" x14ac:dyDescent="0.3">
      <c r="A45" s="9" t="s">
        <v>32</v>
      </c>
      <c r="B45" s="9" t="s">
        <v>2062</v>
      </c>
      <c r="C45" s="9" t="s">
        <v>232</v>
      </c>
      <c r="D45" s="9" t="s">
        <v>2043</v>
      </c>
      <c r="E45" s="9" t="s">
        <v>2044</v>
      </c>
      <c r="F45" s="9" t="s">
        <v>2083</v>
      </c>
      <c r="G45" s="9"/>
      <c r="H45" s="9" t="s">
        <v>263</v>
      </c>
      <c r="I45" s="9"/>
    </row>
    <row r="46" spans="1:9" x14ac:dyDescent="0.3">
      <c r="A46" s="9" t="s">
        <v>32</v>
      </c>
      <c r="B46" s="9" t="s">
        <v>2062</v>
      </c>
      <c r="C46" s="9" t="s">
        <v>233</v>
      </c>
      <c r="D46" s="9" t="s">
        <v>2043</v>
      </c>
      <c r="E46" s="9" t="s">
        <v>2044</v>
      </c>
      <c r="F46" s="9" t="s">
        <v>2084</v>
      </c>
      <c r="G46" s="9" t="s">
        <v>2071</v>
      </c>
      <c r="H46" s="9" t="s">
        <v>263</v>
      </c>
      <c r="I46" s="9"/>
    </row>
    <row r="47" spans="1:9" x14ac:dyDescent="0.3">
      <c r="A47" s="9" t="s">
        <v>32</v>
      </c>
      <c r="B47" s="9" t="s">
        <v>2062</v>
      </c>
      <c r="C47" s="9" t="s">
        <v>234</v>
      </c>
      <c r="D47" s="9" t="s">
        <v>2043</v>
      </c>
      <c r="E47" s="9" t="s">
        <v>2044</v>
      </c>
      <c r="F47" s="9" t="s">
        <v>2085</v>
      </c>
      <c r="G47" s="9"/>
      <c r="H47" s="9" t="s">
        <v>263</v>
      </c>
      <c r="I47" s="9"/>
    </row>
    <row r="48" spans="1:9" x14ac:dyDescent="0.3">
      <c r="A48" s="9" t="s">
        <v>32</v>
      </c>
      <c r="B48" s="9" t="s">
        <v>2062</v>
      </c>
      <c r="C48" s="9" t="s">
        <v>235</v>
      </c>
      <c r="D48" s="9" t="s">
        <v>2043</v>
      </c>
      <c r="E48" s="9" t="s">
        <v>2044</v>
      </c>
      <c r="F48" s="9" t="s">
        <v>2086</v>
      </c>
      <c r="G48" s="9" t="s">
        <v>2071</v>
      </c>
      <c r="H48" s="9" t="s">
        <v>263</v>
      </c>
      <c r="I48" s="9"/>
    </row>
    <row r="49" spans="1:9" ht="26.4" x14ac:dyDescent="0.3">
      <c r="A49" s="9" t="s">
        <v>32</v>
      </c>
      <c r="B49" s="9" t="s">
        <v>2062</v>
      </c>
      <c r="C49" s="9" t="s">
        <v>236</v>
      </c>
      <c r="D49" s="9" t="s">
        <v>2043</v>
      </c>
      <c r="E49" s="9" t="s">
        <v>2044</v>
      </c>
      <c r="F49" s="9"/>
      <c r="G49" s="9"/>
      <c r="H49" s="9" t="s">
        <v>271</v>
      </c>
      <c r="I49" s="9" t="s">
        <v>2087</v>
      </c>
    </row>
    <row r="50" spans="1:9" x14ac:dyDescent="0.3">
      <c r="A50" s="9" t="s">
        <v>32</v>
      </c>
      <c r="B50" s="9" t="s">
        <v>2062</v>
      </c>
      <c r="C50" s="9" t="s">
        <v>237</v>
      </c>
      <c r="D50" s="9" t="s">
        <v>2043</v>
      </c>
      <c r="E50" s="9" t="s">
        <v>2044</v>
      </c>
      <c r="F50" s="9"/>
      <c r="G50" s="9" t="s">
        <v>2088</v>
      </c>
      <c r="H50" s="9" t="s">
        <v>263</v>
      </c>
      <c r="I50" s="9"/>
    </row>
    <row r="51" spans="1:9" ht="26.4" x14ac:dyDescent="0.3">
      <c r="A51" s="9" t="s">
        <v>32</v>
      </c>
      <c r="B51" s="9" t="s">
        <v>2062</v>
      </c>
      <c r="C51" s="9" t="s">
        <v>238</v>
      </c>
      <c r="D51" s="9" t="s">
        <v>2089</v>
      </c>
      <c r="E51" s="9" t="s">
        <v>2044</v>
      </c>
      <c r="F51" s="9"/>
      <c r="G51" s="9"/>
      <c r="H51" s="9" t="s">
        <v>271</v>
      </c>
      <c r="I51" s="9"/>
    </row>
    <row r="52" spans="1:9" ht="26.4" x14ac:dyDescent="0.3">
      <c r="A52" s="9" t="s">
        <v>32</v>
      </c>
      <c r="B52" s="9" t="s">
        <v>2062</v>
      </c>
      <c r="C52" s="9" t="s">
        <v>239</v>
      </c>
      <c r="D52" s="9" t="s">
        <v>2090</v>
      </c>
      <c r="E52" s="9" t="s">
        <v>2044</v>
      </c>
      <c r="F52" s="9" t="s">
        <v>2091</v>
      </c>
      <c r="G52" s="9"/>
      <c r="H52" s="9" t="s">
        <v>263</v>
      </c>
      <c r="I52" s="9"/>
    </row>
    <row r="53" spans="1:9" x14ac:dyDescent="0.3">
      <c r="A53" s="9" t="s">
        <v>32</v>
      </c>
      <c r="B53" s="9" t="s">
        <v>2062</v>
      </c>
      <c r="C53" s="9" t="s">
        <v>240</v>
      </c>
      <c r="D53" s="9" t="s">
        <v>2047</v>
      </c>
      <c r="E53" s="9" t="s">
        <v>2092</v>
      </c>
      <c r="F53" s="9" t="s">
        <v>2093</v>
      </c>
      <c r="G53" s="9"/>
      <c r="H53" s="9" t="s">
        <v>263</v>
      </c>
      <c r="I53" s="9"/>
    </row>
    <row r="54" spans="1:9" x14ac:dyDescent="0.3">
      <c r="A54" s="9" t="s">
        <v>32</v>
      </c>
      <c r="B54" s="9" t="s">
        <v>2062</v>
      </c>
      <c r="C54" s="9" t="s">
        <v>241</v>
      </c>
      <c r="D54" s="9" t="s">
        <v>2043</v>
      </c>
      <c r="E54" s="9" t="s">
        <v>2092</v>
      </c>
      <c r="F54" s="9" t="s">
        <v>2094</v>
      </c>
      <c r="G54" s="9"/>
      <c r="H54" s="9" t="s">
        <v>263</v>
      </c>
      <c r="I54" s="9"/>
    </row>
    <row r="55" spans="1:9" x14ac:dyDescent="0.3">
      <c r="A55" s="9" t="s">
        <v>32</v>
      </c>
      <c r="B55" s="9" t="s">
        <v>2062</v>
      </c>
      <c r="C55" s="9" t="s">
        <v>242</v>
      </c>
      <c r="D55" s="9" t="s">
        <v>2043</v>
      </c>
      <c r="E55" s="9" t="s">
        <v>2092</v>
      </c>
      <c r="F55" s="9" t="s">
        <v>2095</v>
      </c>
      <c r="G55" s="9"/>
      <c r="H55" s="9" t="s">
        <v>263</v>
      </c>
      <c r="I55" s="9"/>
    </row>
    <row r="56" spans="1:9" x14ac:dyDescent="0.3">
      <c r="A56" s="9" t="s">
        <v>32</v>
      </c>
      <c r="B56" s="9" t="s">
        <v>2062</v>
      </c>
      <c r="C56" s="9" t="s">
        <v>243</v>
      </c>
      <c r="D56" s="9" t="s">
        <v>2057</v>
      </c>
      <c r="E56" s="9" t="s">
        <v>2092</v>
      </c>
      <c r="F56" s="9" t="s">
        <v>2096</v>
      </c>
      <c r="G56" s="9"/>
      <c r="H56" s="9" t="s">
        <v>263</v>
      </c>
      <c r="I56" s="9"/>
    </row>
    <row r="57" spans="1:9" x14ac:dyDescent="0.3">
      <c r="A57" s="9" t="s">
        <v>32</v>
      </c>
      <c r="B57" s="9" t="s">
        <v>2062</v>
      </c>
      <c r="C57" s="9" t="s">
        <v>244</v>
      </c>
      <c r="D57" s="9" t="s">
        <v>2043</v>
      </c>
      <c r="E57" s="9" t="s">
        <v>2092</v>
      </c>
      <c r="F57" s="9" t="s">
        <v>2097</v>
      </c>
      <c r="G57" s="9"/>
      <c r="H57" s="9" t="s">
        <v>263</v>
      </c>
      <c r="I57" s="9"/>
    </row>
    <row r="58" spans="1:9" x14ac:dyDescent="0.3">
      <c r="A58" s="9" t="s">
        <v>32</v>
      </c>
      <c r="B58" s="9" t="s">
        <v>2062</v>
      </c>
      <c r="C58" s="9" t="s">
        <v>245</v>
      </c>
      <c r="D58" s="9" t="s">
        <v>2043</v>
      </c>
      <c r="E58" s="9" t="s">
        <v>2092</v>
      </c>
      <c r="F58" s="9"/>
      <c r="G58" s="9"/>
      <c r="H58" s="9" t="s">
        <v>263</v>
      </c>
      <c r="I58" s="9"/>
    </row>
    <row r="59" spans="1:9" x14ac:dyDescent="0.3">
      <c r="A59" s="9" t="s">
        <v>32</v>
      </c>
      <c r="B59" s="9" t="s">
        <v>2062</v>
      </c>
      <c r="C59" s="9" t="s">
        <v>246</v>
      </c>
      <c r="D59" s="9" t="s">
        <v>2043</v>
      </c>
      <c r="E59" s="9" t="s">
        <v>2092</v>
      </c>
      <c r="F59" s="9" t="s">
        <v>2098</v>
      </c>
      <c r="G59" s="9"/>
      <c r="H59" s="9" t="s">
        <v>263</v>
      </c>
      <c r="I59" s="9"/>
    </row>
    <row r="60" spans="1:9" x14ac:dyDescent="0.3">
      <c r="A60" s="9" t="s">
        <v>32</v>
      </c>
      <c r="B60" s="9" t="s">
        <v>2062</v>
      </c>
      <c r="C60" s="9" t="s">
        <v>247</v>
      </c>
      <c r="D60" s="9" t="s">
        <v>2043</v>
      </c>
      <c r="E60" s="9" t="s">
        <v>2092</v>
      </c>
      <c r="F60" s="9" t="s">
        <v>2099</v>
      </c>
      <c r="G60" s="9"/>
      <c r="H60" s="9" t="s">
        <v>263</v>
      </c>
      <c r="I60" s="9"/>
    </row>
    <row r="61" spans="1:9" x14ac:dyDescent="0.3">
      <c r="A61" s="9" t="s">
        <v>32</v>
      </c>
      <c r="B61" s="9" t="s">
        <v>2062</v>
      </c>
      <c r="C61" s="9" t="s">
        <v>248</v>
      </c>
      <c r="D61" s="9" t="s">
        <v>2043</v>
      </c>
      <c r="E61" s="9" t="s">
        <v>2092</v>
      </c>
      <c r="F61" s="9"/>
      <c r="G61" s="9"/>
      <c r="H61" s="9" t="s">
        <v>263</v>
      </c>
      <c r="I61" s="9"/>
    </row>
    <row r="62" spans="1:9" x14ac:dyDescent="0.3">
      <c r="A62" s="9" t="s">
        <v>32</v>
      </c>
      <c r="B62" s="9" t="s">
        <v>2062</v>
      </c>
      <c r="C62" s="9" t="s">
        <v>249</v>
      </c>
      <c r="D62" s="9" t="s">
        <v>2043</v>
      </c>
      <c r="E62" s="9" t="s">
        <v>2092</v>
      </c>
      <c r="F62" s="9"/>
      <c r="G62" s="9"/>
      <c r="H62" s="9" t="s">
        <v>263</v>
      </c>
      <c r="I62" s="9"/>
    </row>
    <row r="63" spans="1:9" x14ac:dyDescent="0.3">
      <c r="A63" s="9" t="s">
        <v>32</v>
      </c>
      <c r="B63" s="9" t="s">
        <v>2062</v>
      </c>
      <c r="C63" s="9" t="s">
        <v>250</v>
      </c>
      <c r="D63" s="9" t="s">
        <v>2043</v>
      </c>
      <c r="E63" s="9" t="s">
        <v>2092</v>
      </c>
      <c r="F63" s="9" t="s">
        <v>2100</v>
      </c>
      <c r="G63" s="9"/>
      <c r="H63" s="9" t="s">
        <v>263</v>
      </c>
      <c r="I63" s="9"/>
    </row>
    <row r="64" spans="1:9" x14ac:dyDescent="0.3">
      <c r="A64" s="9" t="s">
        <v>32</v>
      </c>
      <c r="B64" s="9" t="s">
        <v>2062</v>
      </c>
      <c r="C64" s="9" t="s">
        <v>251</v>
      </c>
      <c r="D64" s="9" t="s">
        <v>2043</v>
      </c>
      <c r="E64" s="9" t="s">
        <v>2092</v>
      </c>
      <c r="F64" s="9" t="s">
        <v>2101</v>
      </c>
      <c r="G64" s="9"/>
      <c r="H64" s="9" t="s">
        <v>263</v>
      </c>
      <c r="I64" s="9"/>
    </row>
    <row r="65" spans="1:9" ht="26.4" x14ac:dyDescent="0.3">
      <c r="A65" s="9" t="s">
        <v>32</v>
      </c>
      <c r="B65" s="9" t="s">
        <v>2062</v>
      </c>
      <c r="C65" s="9" t="s">
        <v>252</v>
      </c>
      <c r="D65" s="9" t="s">
        <v>2089</v>
      </c>
      <c r="E65" s="9" t="s">
        <v>2092</v>
      </c>
      <c r="F65" s="9" t="s">
        <v>2102</v>
      </c>
      <c r="G65" s="9"/>
      <c r="H65" s="9" t="s">
        <v>263</v>
      </c>
      <c r="I65" s="9"/>
    </row>
    <row r="66" spans="1:9" x14ac:dyDescent="0.3">
      <c r="A66" s="9" t="s">
        <v>32</v>
      </c>
      <c r="B66" s="9" t="s">
        <v>2062</v>
      </c>
      <c r="C66" s="9" t="s">
        <v>253</v>
      </c>
      <c r="D66" s="9" t="s">
        <v>2043</v>
      </c>
      <c r="E66" s="9" t="s">
        <v>2092</v>
      </c>
      <c r="F66" s="9" t="s">
        <v>2103</v>
      </c>
      <c r="G66" s="9"/>
      <c r="H66" s="9" t="s">
        <v>263</v>
      </c>
      <c r="I66" s="9"/>
    </row>
    <row r="67" spans="1:9" x14ac:dyDescent="0.3">
      <c r="A67" s="9" t="s">
        <v>32</v>
      </c>
      <c r="B67" s="9" t="s">
        <v>2062</v>
      </c>
      <c r="C67" s="9" t="s">
        <v>44</v>
      </c>
      <c r="D67" s="9" t="s">
        <v>2043</v>
      </c>
      <c r="E67" s="9" t="s">
        <v>2092</v>
      </c>
      <c r="F67" s="9" t="s">
        <v>2104</v>
      </c>
      <c r="G67" s="9"/>
      <c r="H67" s="9" t="s">
        <v>263</v>
      </c>
      <c r="I67" s="9"/>
    </row>
    <row r="68" spans="1:9" x14ac:dyDescent="0.3">
      <c r="A68" s="9" t="s">
        <v>32</v>
      </c>
      <c r="B68" s="9" t="s">
        <v>2062</v>
      </c>
      <c r="C68" s="9" t="s">
        <v>254</v>
      </c>
      <c r="D68" s="9" t="s">
        <v>2043</v>
      </c>
      <c r="E68" s="9" t="s">
        <v>2092</v>
      </c>
      <c r="F68" s="9" t="s">
        <v>2105</v>
      </c>
      <c r="G68" s="9"/>
      <c r="H68" s="9" t="s">
        <v>263</v>
      </c>
      <c r="I68" s="9"/>
    </row>
    <row r="69" spans="1:9" x14ac:dyDescent="0.3">
      <c r="A69" s="9" t="s">
        <v>34</v>
      </c>
      <c r="B69" s="9" t="s">
        <v>2106</v>
      </c>
      <c r="C69" s="9" t="s">
        <v>536</v>
      </c>
      <c r="D69" s="9" t="s">
        <v>2043</v>
      </c>
      <c r="E69" s="9" t="s">
        <v>2044</v>
      </c>
      <c r="F69" s="9"/>
      <c r="G69" s="9"/>
      <c r="H69" s="9" t="s">
        <v>263</v>
      </c>
      <c r="I69" s="9" t="s">
        <v>2045</v>
      </c>
    </row>
    <row r="70" spans="1:9" ht="26.4" x14ac:dyDescent="0.3">
      <c r="A70" s="9" t="s">
        <v>34</v>
      </c>
      <c r="B70" s="9" t="s">
        <v>2106</v>
      </c>
      <c r="C70" s="9" t="s">
        <v>213</v>
      </c>
      <c r="D70" s="9" t="s">
        <v>2043</v>
      </c>
      <c r="E70" s="9" t="s">
        <v>2044</v>
      </c>
      <c r="F70" s="9"/>
      <c r="G70" s="9"/>
      <c r="H70" s="9" t="s">
        <v>263</v>
      </c>
      <c r="I70" s="9" t="s">
        <v>2107</v>
      </c>
    </row>
    <row r="71" spans="1:9" x14ac:dyDescent="0.3">
      <c r="A71" s="9" t="s">
        <v>34</v>
      </c>
      <c r="B71" s="9" t="s">
        <v>2106</v>
      </c>
      <c r="C71" s="9" t="s">
        <v>537</v>
      </c>
      <c r="D71" s="9" t="s">
        <v>2043</v>
      </c>
      <c r="E71" s="9" t="s">
        <v>2044</v>
      </c>
      <c r="F71" s="9"/>
      <c r="G71" s="9"/>
      <c r="H71" s="9" t="s">
        <v>263</v>
      </c>
      <c r="I71" s="9"/>
    </row>
    <row r="72" spans="1:9" x14ac:dyDescent="0.3">
      <c r="A72" s="9" t="s">
        <v>34</v>
      </c>
      <c r="B72" s="9" t="s">
        <v>2106</v>
      </c>
      <c r="C72" s="9" t="s">
        <v>538</v>
      </c>
      <c r="D72" s="9" t="s">
        <v>2043</v>
      </c>
      <c r="E72" s="9" t="s">
        <v>2044</v>
      </c>
      <c r="F72" s="9"/>
      <c r="G72" s="9"/>
      <c r="H72" s="9" t="s">
        <v>263</v>
      </c>
      <c r="I72" s="9"/>
    </row>
    <row r="73" spans="1:9" x14ac:dyDescent="0.3">
      <c r="A73" s="9" t="s">
        <v>34</v>
      </c>
      <c r="B73" s="9" t="s">
        <v>2106</v>
      </c>
      <c r="C73" s="9" t="s">
        <v>539</v>
      </c>
      <c r="D73" s="9" t="s">
        <v>2043</v>
      </c>
      <c r="E73" s="9" t="s">
        <v>2044</v>
      </c>
      <c r="F73" s="9"/>
      <c r="G73" s="9"/>
      <c r="H73" s="9" t="s">
        <v>271</v>
      </c>
      <c r="I73" s="9"/>
    </row>
    <row r="74" spans="1:9" x14ac:dyDescent="0.3">
      <c r="A74" s="9" t="s">
        <v>34</v>
      </c>
      <c r="B74" s="9" t="s">
        <v>2106</v>
      </c>
      <c r="C74" s="9" t="s">
        <v>540</v>
      </c>
      <c r="D74" s="9" t="s">
        <v>2047</v>
      </c>
      <c r="E74" s="9" t="s">
        <v>2044</v>
      </c>
      <c r="F74" s="9" t="s">
        <v>2108</v>
      </c>
      <c r="G74" s="9"/>
      <c r="H74" s="9" t="s">
        <v>263</v>
      </c>
      <c r="I74" s="9"/>
    </row>
    <row r="75" spans="1:9" x14ac:dyDescent="0.3">
      <c r="A75" s="9" t="s">
        <v>34</v>
      </c>
      <c r="B75" s="9" t="s">
        <v>2106</v>
      </c>
      <c r="C75" s="9" t="s">
        <v>541</v>
      </c>
      <c r="D75" s="9" t="s">
        <v>2047</v>
      </c>
      <c r="E75" s="9" t="s">
        <v>2044</v>
      </c>
      <c r="F75" s="9" t="s">
        <v>2109</v>
      </c>
      <c r="G75" s="9"/>
      <c r="H75" s="9" t="s">
        <v>263</v>
      </c>
      <c r="I75" s="9"/>
    </row>
    <row r="76" spans="1:9" x14ac:dyDescent="0.3">
      <c r="A76" s="9" t="s">
        <v>34</v>
      </c>
      <c r="B76" s="9" t="s">
        <v>2106</v>
      </c>
      <c r="C76" s="9" t="s">
        <v>542</v>
      </c>
      <c r="D76" s="9" t="s">
        <v>2043</v>
      </c>
      <c r="E76" s="9" t="s">
        <v>2044</v>
      </c>
      <c r="F76" s="9" t="s">
        <v>2110</v>
      </c>
      <c r="G76" s="9"/>
      <c r="H76" s="9" t="s">
        <v>263</v>
      </c>
      <c r="I76" s="9"/>
    </row>
    <row r="77" spans="1:9" x14ac:dyDescent="0.3">
      <c r="A77" s="9" t="s">
        <v>34</v>
      </c>
      <c r="B77" s="9" t="s">
        <v>2106</v>
      </c>
      <c r="C77" s="9" t="s">
        <v>543</v>
      </c>
      <c r="D77" s="9" t="s">
        <v>2043</v>
      </c>
      <c r="E77" s="9" t="s">
        <v>2044</v>
      </c>
      <c r="F77" s="9" t="s">
        <v>2111</v>
      </c>
      <c r="G77" s="9"/>
      <c r="H77" s="9" t="s">
        <v>271</v>
      </c>
      <c r="I77" s="9"/>
    </row>
    <row r="78" spans="1:9" x14ac:dyDescent="0.3">
      <c r="A78" s="9" t="s">
        <v>34</v>
      </c>
      <c r="B78" s="9" t="s">
        <v>2106</v>
      </c>
      <c r="C78" s="9" t="s">
        <v>544</v>
      </c>
      <c r="D78" s="9" t="s">
        <v>2043</v>
      </c>
      <c r="E78" s="9" t="s">
        <v>2092</v>
      </c>
      <c r="F78" s="9" t="s">
        <v>2112</v>
      </c>
      <c r="G78" s="9"/>
      <c r="H78" s="9" t="s">
        <v>263</v>
      </c>
      <c r="I78" s="9"/>
    </row>
    <row r="79" spans="1:9" x14ac:dyDescent="0.3">
      <c r="A79" s="9" t="s">
        <v>34</v>
      </c>
      <c r="B79" s="9" t="s">
        <v>2106</v>
      </c>
      <c r="C79" s="9" t="s">
        <v>545</v>
      </c>
      <c r="D79" s="9" t="s">
        <v>2043</v>
      </c>
      <c r="E79" s="9" t="s">
        <v>2092</v>
      </c>
      <c r="F79" s="9" t="s">
        <v>2113</v>
      </c>
      <c r="G79" s="9"/>
      <c r="H79" s="9" t="s">
        <v>263</v>
      </c>
      <c r="I79" s="9"/>
    </row>
    <row r="80" spans="1:9" x14ac:dyDescent="0.3">
      <c r="A80" s="9" t="s">
        <v>34</v>
      </c>
      <c r="B80" s="9" t="s">
        <v>2106</v>
      </c>
      <c r="C80" s="9" t="s">
        <v>546</v>
      </c>
      <c r="D80" s="9" t="s">
        <v>2043</v>
      </c>
      <c r="E80" s="9" t="s">
        <v>2092</v>
      </c>
      <c r="F80" s="9" t="s">
        <v>2114</v>
      </c>
      <c r="G80" s="9"/>
      <c r="H80" s="9" t="s">
        <v>263</v>
      </c>
      <c r="I80" s="9"/>
    </row>
    <row r="81" spans="1:9" x14ac:dyDescent="0.3">
      <c r="A81" s="9" t="s">
        <v>36</v>
      </c>
      <c r="B81" s="9" t="s">
        <v>1297</v>
      </c>
      <c r="C81" s="9" t="s">
        <v>683</v>
      </c>
      <c r="D81" s="9" t="s">
        <v>2043</v>
      </c>
      <c r="E81" s="9" t="s">
        <v>2044</v>
      </c>
      <c r="F81" s="9"/>
      <c r="G81" s="9"/>
      <c r="H81" s="9" t="s">
        <v>263</v>
      </c>
      <c r="I81" s="9" t="s">
        <v>2045</v>
      </c>
    </row>
    <row r="82" spans="1:9" ht="26.4" x14ac:dyDescent="0.3">
      <c r="A82" s="9" t="s">
        <v>36</v>
      </c>
      <c r="B82" s="9" t="s">
        <v>1297</v>
      </c>
      <c r="C82" s="9" t="s">
        <v>213</v>
      </c>
      <c r="D82" s="9" t="s">
        <v>2043</v>
      </c>
      <c r="E82" s="9" t="s">
        <v>2044</v>
      </c>
      <c r="F82" s="9"/>
      <c r="G82" s="9"/>
      <c r="H82" s="9" t="s">
        <v>263</v>
      </c>
      <c r="I82" s="9" t="s">
        <v>2107</v>
      </c>
    </row>
    <row r="83" spans="1:9" x14ac:dyDescent="0.3">
      <c r="A83" s="9" t="s">
        <v>36</v>
      </c>
      <c r="B83" s="9" t="s">
        <v>1297</v>
      </c>
      <c r="C83" s="9" t="s">
        <v>684</v>
      </c>
      <c r="D83" s="9" t="s">
        <v>2043</v>
      </c>
      <c r="E83" s="9" t="s">
        <v>2092</v>
      </c>
      <c r="F83" s="9"/>
      <c r="G83" s="9"/>
      <c r="H83" s="9" t="s">
        <v>263</v>
      </c>
      <c r="I83" s="9"/>
    </row>
    <row r="84" spans="1:9" ht="26.4" x14ac:dyDescent="0.3">
      <c r="A84" s="9" t="s">
        <v>36</v>
      </c>
      <c r="B84" s="9" t="s">
        <v>1297</v>
      </c>
      <c r="C84" s="9" t="s">
        <v>685</v>
      </c>
      <c r="D84" s="9" t="s">
        <v>2089</v>
      </c>
      <c r="E84" s="9" t="s">
        <v>2044</v>
      </c>
      <c r="F84" s="9"/>
      <c r="G84" s="9"/>
      <c r="H84" s="9" t="s">
        <v>263</v>
      </c>
      <c r="I84" s="9"/>
    </row>
    <row r="85" spans="1:9" ht="26.4" x14ac:dyDescent="0.3">
      <c r="A85" s="9" t="s">
        <v>36</v>
      </c>
      <c r="B85" s="9" t="s">
        <v>1297</v>
      </c>
      <c r="C85" s="9" t="s">
        <v>686</v>
      </c>
      <c r="D85" s="9" t="s">
        <v>2089</v>
      </c>
      <c r="E85" s="9" t="s">
        <v>2044</v>
      </c>
      <c r="F85" s="9" t="s">
        <v>2115</v>
      </c>
      <c r="G85" s="9"/>
      <c r="H85" s="9" t="s">
        <v>263</v>
      </c>
      <c r="I85" s="9"/>
    </row>
    <row r="86" spans="1:9" x14ac:dyDescent="0.3">
      <c r="A86" s="9" t="s">
        <v>36</v>
      </c>
      <c r="B86" s="9" t="s">
        <v>1297</v>
      </c>
      <c r="C86" s="9" t="s">
        <v>687</v>
      </c>
      <c r="D86" s="9" t="s">
        <v>2043</v>
      </c>
      <c r="E86" s="9" t="s">
        <v>2044</v>
      </c>
      <c r="F86" s="9"/>
      <c r="G86" s="9"/>
      <c r="H86" s="9" t="s">
        <v>263</v>
      </c>
      <c r="I86" s="9"/>
    </row>
    <row r="87" spans="1:9" x14ac:dyDescent="0.3">
      <c r="A87" s="9" t="s">
        <v>36</v>
      </c>
      <c r="B87" s="9" t="s">
        <v>1297</v>
      </c>
      <c r="C87" s="9" t="s">
        <v>688</v>
      </c>
      <c r="D87" s="9" t="s">
        <v>2043</v>
      </c>
      <c r="E87" s="9" t="s">
        <v>2044</v>
      </c>
      <c r="F87" s="9" t="s">
        <v>2116</v>
      </c>
      <c r="G87" s="9" t="s">
        <v>2117</v>
      </c>
      <c r="H87" s="9" t="s">
        <v>263</v>
      </c>
      <c r="I87" s="9"/>
    </row>
    <row r="88" spans="1:9" ht="26.4" x14ac:dyDescent="0.3">
      <c r="A88" s="9" t="s">
        <v>36</v>
      </c>
      <c r="B88" s="9" t="s">
        <v>1297</v>
      </c>
      <c r="C88" s="9" t="s">
        <v>689</v>
      </c>
      <c r="D88" s="9" t="s">
        <v>2043</v>
      </c>
      <c r="E88" s="9" t="s">
        <v>2044</v>
      </c>
      <c r="F88" s="9" t="s">
        <v>2118</v>
      </c>
      <c r="G88" s="9" t="s">
        <v>2117</v>
      </c>
      <c r="H88" s="9" t="s">
        <v>263</v>
      </c>
      <c r="I88" s="9"/>
    </row>
    <row r="89" spans="1:9" ht="26.4" x14ac:dyDescent="0.3">
      <c r="A89" s="9" t="s">
        <v>36</v>
      </c>
      <c r="B89" s="9" t="s">
        <v>1297</v>
      </c>
      <c r="C89" s="9" t="s">
        <v>690</v>
      </c>
      <c r="D89" s="9" t="s">
        <v>2043</v>
      </c>
      <c r="E89" s="9" t="s">
        <v>2044</v>
      </c>
      <c r="F89" s="9" t="s">
        <v>2119</v>
      </c>
      <c r="G89" s="9" t="s">
        <v>2117</v>
      </c>
      <c r="H89" s="9" t="s">
        <v>263</v>
      </c>
      <c r="I89" s="9"/>
    </row>
    <row r="90" spans="1:9" x14ac:dyDescent="0.3">
      <c r="A90" s="9" t="s">
        <v>36</v>
      </c>
      <c r="B90" s="9" t="s">
        <v>1297</v>
      </c>
      <c r="C90" s="9" t="s">
        <v>691</v>
      </c>
      <c r="D90" s="9" t="s">
        <v>2043</v>
      </c>
      <c r="E90" s="9" t="s">
        <v>2044</v>
      </c>
      <c r="F90" s="9" t="s">
        <v>2120</v>
      </c>
      <c r="G90" s="9" t="s">
        <v>2117</v>
      </c>
      <c r="H90" s="9" t="s">
        <v>263</v>
      </c>
      <c r="I90" s="9"/>
    </row>
    <row r="91" spans="1:9" ht="26.4" x14ac:dyDescent="0.3">
      <c r="A91" s="9" t="s">
        <v>36</v>
      </c>
      <c r="B91" s="9" t="s">
        <v>1297</v>
      </c>
      <c r="C91" s="9" t="s">
        <v>692</v>
      </c>
      <c r="D91" s="9" t="s">
        <v>2043</v>
      </c>
      <c r="E91" s="9" t="s">
        <v>2044</v>
      </c>
      <c r="F91" s="9" t="s">
        <v>2121</v>
      </c>
      <c r="G91" s="9" t="s">
        <v>2117</v>
      </c>
      <c r="H91" s="9" t="s">
        <v>263</v>
      </c>
      <c r="I91" s="9"/>
    </row>
    <row r="92" spans="1:9" ht="26.4" x14ac:dyDescent="0.3">
      <c r="A92" s="9" t="s">
        <v>36</v>
      </c>
      <c r="B92" s="9" t="s">
        <v>1297</v>
      </c>
      <c r="C92" s="9" t="s">
        <v>693</v>
      </c>
      <c r="D92" s="9" t="s">
        <v>2043</v>
      </c>
      <c r="E92" s="9" t="s">
        <v>2044</v>
      </c>
      <c r="F92" s="9" t="s">
        <v>2122</v>
      </c>
      <c r="G92" s="9" t="s">
        <v>2117</v>
      </c>
      <c r="H92" s="9" t="s">
        <v>263</v>
      </c>
      <c r="I92" s="9"/>
    </row>
    <row r="93" spans="1:9" x14ac:dyDescent="0.3">
      <c r="A93" s="9" t="s">
        <v>36</v>
      </c>
      <c r="B93" s="9" t="s">
        <v>1297</v>
      </c>
      <c r="C93" s="9" t="s">
        <v>694</v>
      </c>
      <c r="D93" s="9" t="s">
        <v>2043</v>
      </c>
      <c r="E93" s="9" t="s">
        <v>2044</v>
      </c>
      <c r="F93" s="9" t="s">
        <v>2123</v>
      </c>
      <c r="G93" s="9" t="s">
        <v>2117</v>
      </c>
      <c r="H93" s="9" t="s">
        <v>263</v>
      </c>
      <c r="I93" s="9"/>
    </row>
    <row r="94" spans="1:9" x14ac:dyDescent="0.3">
      <c r="A94" s="9" t="s">
        <v>36</v>
      </c>
      <c r="B94" s="9" t="s">
        <v>1297</v>
      </c>
      <c r="C94" s="9" t="s">
        <v>695</v>
      </c>
      <c r="D94" s="9" t="s">
        <v>2043</v>
      </c>
      <c r="E94" s="9" t="s">
        <v>2044</v>
      </c>
      <c r="F94" s="9" t="s">
        <v>2124</v>
      </c>
      <c r="G94" s="9" t="s">
        <v>2117</v>
      </c>
      <c r="H94" s="9" t="s">
        <v>263</v>
      </c>
      <c r="I94" s="9"/>
    </row>
    <row r="95" spans="1:9" x14ac:dyDescent="0.3">
      <c r="A95" s="9" t="s">
        <v>36</v>
      </c>
      <c r="B95" s="9" t="s">
        <v>1297</v>
      </c>
      <c r="C95" s="9" t="s">
        <v>696</v>
      </c>
      <c r="D95" s="9" t="s">
        <v>2043</v>
      </c>
      <c r="E95" s="9" t="s">
        <v>2044</v>
      </c>
      <c r="F95" s="9" t="s">
        <v>2125</v>
      </c>
      <c r="G95" s="9" t="s">
        <v>2117</v>
      </c>
      <c r="H95" s="9" t="s">
        <v>263</v>
      </c>
      <c r="I95" s="9"/>
    </row>
    <row r="96" spans="1:9" ht="26.4" x14ac:dyDescent="0.3">
      <c r="A96" s="9" t="s">
        <v>36</v>
      </c>
      <c r="B96" s="9" t="s">
        <v>1297</v>
      </c>
      <c r="C96" s="9" t="s">
        <v>697</v>
      </c>
      <c r="D96" s="9" t="s">
        <v>2043</v>
      </c>
      <c r="E96" s="9" t="s">
        <v>2044</v>
      </c>
      <c r="F96" s="9" t="s">
        <v>2126</v>
      </c>
      <c r="G96" s="9" t="s">
        <v>2117</v>
      </c>
      <c r="H96" s="9" t="s">
        <v>263</v>
      </c>
      <c r="I96" s="9"/>
    </row>
    <row r="97" spans="1:9" ht="26.4" x14ac:dyDescent="0.3">
      <c r="A97" s="9" t="s">
        <v>36</v>
      </c>
      <c r="B97" s="9" t="s">
        <v>1297</v>
      </c>
      <c r="C97" s="9" t="s">
        <v>698</v>
      </c>
      <c r="D97" s="9" t="s">
        <v>2043</v>
      </c>
      <c r="E97" s="9" t="s">
        <v>2044</v>
      </c>
      <c r="F97" s="9" t="s">
        <v>2127</v>
      </c>
      <c r="G97" s="9" t="s">
        <v>2117</v>
      </c>
      <c r="H97" s="9" t="s">
        <v>263</v>
      </c>
      <c r="I97" s="9"/>
    </row>
    <row r="98" spans="1:9" ht="26.4" x14ac:dyDescent="0.3">
      <c r="A98" s="9" t="s">
        <v>36</v>
      </c>
      <c r="B98" s="9" t="s">
        <v>1297</v>
      </c>
      <c r="C98" s="9" t="s">
        <v>699</v>
      </c>
      <c r="D98" s="9" t="s">
        <v>2043</v>
      </c>
      <c r="E98" s="9" t="s">
        <v>2044</v>
      </c>
      <c r="F98" s="9" t="s">
        <v>2128</v>
      </c>
      <c r="G98" s="9" t="s">
        <v>2117</v>
      </c>
      <c r="H98" s="9" t="s">
        <v>263</v>
      </c>
      <c r="I98" s="9"/>
    </row>
    <row r="99" spans="1:9" x14ac:dyDescent="0.3">
      <c r="A99" s="9" t="s">
        <v>36</v>
      </c>
      <c r="B99" s="9" t="s">
        <v>1297</v>
      </c>
      <c r="C99" s="9" t="s">
        <v>700</v>
      </c>
      <c r="D99" s="9" t="s">
        <v>2043</v>
      </c>
      <c r="E99" s="9" t="s">
        <v>2044</v>
      </c>
      <c r="F99" s="9" t="s">
        <v>2129</v>
      </c>
      <c r="G99" s="9" t="s">
        <v>2071</v>
      </c>
      <c r="H99" s="9" t="s">
        <v>263</v>
      </c>
      <c r="I99" s="9"/>
    </row>
    <row r="100" spans="1:9" ht="26.4" x14ac:dyDescent="0.3">
      <c r="A100" s="9" t="s">
        <v>36</v>
      </c>
      <c r="B100" s="9" t="s">
        <v>1297</v>
      </c>
      <c r="C100" s="9" t="s">
        <v>701</v>
      </c>
      <c r="D100" s="9" t="s">
        <v>2089</v>
      </c>
      <c r="E100" s="9" t="s">
        <v>2044</v>
      </c>
      <c r="F100" s="9" t="s">
        <v>2130</v>
      </c>
      <c r="G100" s="9"/>
      <c r="H100" s="9" t="s">
        <v>271</v>
      </c>
      <c r="I100" s="9"/>
    </row>
    <row r="101" spans="1:9" x14ac:dyDescent="0.3">
      <c r="A101" s="9" t="s">
        <v>36</v>
      </c>
      <c r="B101" s="9" t="s">
        <v>1297</v>
      </c>
      <c r="C101" s="9" t="s">
        <v>702</v>
      </c>
      <c r="D101" s="9" t="s">
        <v>2043</v>
      </c>
      <c r="E101" s="9" t="s">
        <v>2044</v>
      </c>
      <c r="F101" s="9"/>
      <c r="G101" s="9" t="s">
        <v>2131</v>
      </c>
      <c r="H101" s="9" t="s">
        <v>263</v>
      </c>
      <c r="I101" s="9"/>
    </row>
    <row r="102" spans="1:9" x14ac:dyDescent="0.3">
      <c r="A102" s="9" t="s">
        <v>36</v>
      </c>
      <c r="B102" s="9" t="s">
        <v>1297</v>
      </c>
      <c r="C102" s="9" t="s">
        <v>703</v>
      </c>
      <c r="D102" s="9" t="s">
        <v>2057</v>
      </c>
      <c r="E102" s="9" t="s">
        <v>2092</v>
      </c>
      <c r="F102" s="9" t="s">
        <v>2132</v>
      </c>
      <c r="G102" s="9"/>
      <c r="H102" s="9" t="s">
        <v>263</v>
      </c>
      <c r="I102" s="9"/>
    </row>
    <row r="103" spans="1:9" x14ac:dyDescent="0.3">
      <c r="A103" s="9" t="s">
        <v>36</v>
      </c>
      <c r="B103" s="9" t="s">
        <v>1297</v>
      </c>
      <c r="C103" s="9" t="s">
        <v>704</v>
      </c>
      <c r="D103" s="9" t="s">
        <v>2043</v>
      </c>
      <c r="E103" s="9" t="s">
        <v>2092</v>
      </c>
      <c r="F103" s="9"/>
      <c r="G103" s="9"/>
      <c r="H103" s="9" t="s">
        <v>263</v>
      </c>
      <c r="I103" s="9"/>
    </row>
    <row r="104" spans="1:9" x14ac:dyDescent="0.3">
      <c r="A104" s="9" t="s">
        <v>36</v>
      </c>
      <c r="B104" s="9" t="s">
        <v>1297</v>
      </c>
      <c r="C104" s="9" t="s">
        <v>705</v>
      </c>
      <c r="D104" s="9" t="s">
        <v>2057</v>
      </c>
      <c r="E104" s="9" t="s">
        <v>2092</v>
      </c>
      <c r="F104" s="9" t="s">
        <v>2133</v>
      </c>
      <c r="G104" s="9"/>
      <c r="H104" s="9" t="s">
        <v>263</v>
      </c>
      <c r="I104" s="9"/>
    </row>
    <row r="105" spans="1:9" x14ac:dyDescent="0.3">
      <c r="A105" s="9" t="s">
        <v>36</v>
      </c>
      <c r="B105" s="9" t="s">
        <v>1297</v>
      </c>
      <c r="C105" s="9" t="s">
        <v>706</v>
      </c>
      <c r="D105" s="9" t="s">
        <v>2043</v>
      </c>
      <c r="E105" s="9" t="s">
        <v>2092</v>
      </c>
      <c r="F105" s="9" t="s">
        <v>2134</v>
      </c>
      <c r="G105" s="9"/>
      <c r="H105" s="9" t="s">
        <v>263</v>
      </c>
      <c r="I105" s="9"/>
    </row>
    <row r="106" spans="1:9" x14ac:dyDescent="0.3">
      <c r="A106" s="9" t="s">
        <v>36</v>
      </c>
      <c r="B106" s="9" t="s">
        <v>1297</v>
      </c>
      <c r="C106" s="9" t="s">
        <v>707</v>
      </c>
      <c r="D106" s="9" t="s">
        <v>2043</v>
      </c>
      <c r="E106" s="9" t="s">
        <v>2092</v>
      </c>
      <c r="F106" s="9" t="s">
        <v>2135</v>
      </c>
      <c r="G106" s="9"/>
      <c r="H106" s="9" t="s">
        <v>263</v>
      </c>
      <c r="I106" s="9"/>
    </row>
    <row r="107" spans="1:9" x14ac:dyDescent="0.3">
      <c r="A107" s="9" t="s">
        <v>36</v>
      </c>
      <c r="B107" s="9" t="s">
        <v>1297</v>
      </c>
      <c r="C107" s="9" t="s">
        <v>253</v>
      </c>
      <c r="D107" s="9" t="s">
        <v>2043</v>
      </c>
      <c r="E107" s="9" t="s">
        <v>2092</v>
      </c>
      <c r="F107" s="9"/>
      <c r="G107" s="9"/>
      <c r="H107" s="9" t="s">
        <v>263</v>
      </c>
      <c r="I107" s="9"/>
    </row>
    <row r="108" spans="1:9" x14ac:dyDescent="0.3">
      <c r="A108" s="9" t="s">
        <v>38</v>
      </c>
      <c r="B108" s="9" t="s">
        <v>1313</v>
      </c>
      <c r="C108" s="9" t="s">
        <v>766</v>
      </c>
      <c r="D108" s="9" t="s">
        <v>2043</v>
      </c>
      <c r="E108" s="9" t="s">
        <v>2044</v>
      </c>
      <c r="F108" s="9"/>
      <c r="G108" s="9"/>
      <c r="H108" s="9" t="s">
        <v>263</v>
      </c>
      <c r="I108" s="9" t="s">
        <v>2045</v>
      </c>
    </row>
    <row r="109" spans="1:9" ht="26.4" x14ac:dyDescent="0.3">
      <c r="A109" s="9" t="s">
        <v>38</v>
      </c>
      <c r="B109" s="9" t="s">
        <v>1313</v>
      </c>
      <c r="C109" s="9" t="s">
        <v>213</v>
      </c>
      <c r="D109" s="9" t="s">
        <v>2043</v>
      </c>
      <c r="E109" s="9" t="s">
        <v>2044</v>
      </c>
      <c r="F109" s="9"/>
      <c r="G109" s="9"/>
      <c r="H109" s="9" t="s">
        <v>263</v>
      </c>
      <c r="I109" s="9" t="s">
        <v>2107</v>
      </c>
    </row>
    <row r="110" spans="1:9" x14ac:dyDescent="0.3">
      <c r="A110" s="9" t="s">
        <v>38</v>
      </c>
      <c r="B110" s="9" t="s">
        <v>1313</v>
      </c>
      <c r="C110" s="9" t="s">
        <v>683</v>
      </c>
      <c r="D110" s="9" t="s">
        <v>2043</v>
      </c>
      <c r="E110" s="9" t="s">
        <v>2044</v>
      </c>
      <c r="F110" s="9"/>
      <c r="G110" s="9"/>
      <c r="H110" s="9" t="s">
        <v>263</v>
      </c>
      <c r="I110" s="9" t="s">
        <v>2136</v>
      </c>
    </row>
    <row r="111" spans="1:9" x14ac:dyDescent="0.3">
      <c r="A111" s="9" t="s">
        <v>38</v>
      </c>
      <c r="B111" s="9" t="s">
        <v>1313</v>
      </c>
      <c r="C111" s="9" t="s">
        <v>767</v>
      </c>
      <c r="D111" s="9" t="s">
        <v>2043</v>
      </c>
      <c r="E111" s="9" t="s">
        <v>2044</v>
      </c>
      <c r="F111" s="9"/>
      <c r="G111" s="9"/>
      <c r="H111" s="9" t="s">
        <v>263</v>
      </c>
      <c r="I111" s="9"/>
    </row>
    <row r="112" spans="1:9" x14ac:dyDescent="0.3">
      <c r="A112" s="9" t="s">
        <v>38</v>
      </c>
      <c r="B112" s="9" t="s">
        <v>1313</v>
      </c>
      <c r="C112" s="9" t="s">
        <v>768</v>
      </c>
      <c r="D112" s="9" t="s">
        <v>2043</v>
      </c>
      <c r="E112" s="9" t="s">
        <v>2044</v>
      </c>
      <c r="F112" s="9"/>
      <c r="G112" s="9"/>
      <c r="H112" s="9" t="s">
        <v>263</v>
      </c>
      <c r="I112" s="9"/>
    </row>
    <row r="113" spans="1:9" x14ac:dyDescent="0.3">
      <c r="A113" s="9" t="s">
        <v>38</v>
      </c>
      <c r="B113" s="9" t="s">
        <v>1313</v>
      </c>
      <c r="C113" s="9" t="s">
        <v>769</v>
      </c>
      <c r="D113" s="9" t="s">
        <v>2043</v>
      </c>
      <c r="E113" s="9" t="s">
        <v>2044</v>
      </c>
      <c r="F113" s="9" t="s">
        <v>2137</v>
      </c>
      <c r="G113" s="9"/>
      <c r="H113" s="9" t="s">
        <v>263</v>
      </c>
      <c r="I113" s="9"/>
    </row>
    <row r="114" spans="1:9" x14ac:dyDescent="0.3">
      <c r="A114" s="9" t="s">
        <v>38</v>
      </c>
      <c r="B114" s="9" t="s">
        <v>1313</v>
      </c>
      <c r="C114" s="9" t="s">
        <v>770</v>
      </c>
      <c r="D114" s="9" t="s">
        <v>2043</v>
      </c>
      <c r="E114" s="9" t="s">
        <v>2044</v>
      </c>
      <c r="F114" s="9" t="s">
        <v>2138</v>
      </c>
      <c r="G114" s="9"/>
      <c r="H114" s="9" t="s">
        <v>263</v>
      </c>
      <c r="I114" s="9"/>
    </row>
    <row r="115" spans="1:9" x14ac:dyDescent="0.3">
      <c r="A115" s="9" t="s">
        <v>38</v>
      </c>
      <c r="B115" s="9" t="s">
        <v>1313</v>
      </c>
      <c r="C115" s="9" t="s">
        <v>771</v>
      </c>
      <c r="D115" s="9" t="s">
        <v>2043</v>
      </c>
      <c r="E115" s="9" t="s">
        <v>2044</v>
      </c>
      <c r="F115" s="9" t="s">
        <v>2139</v>
      </c>
      <c r="G115" s="9"/>
      <c r="H115" s="9" t="s">
        <v>263</v>
      </c>
      <c r="I115" s="9"/>
    </row>
    <row r="116" spans="1:9" x14ac:dyDescent="0.3">
      <c r="A116" s="9" t="s">
        <v>38</v>
      </c>
      <c r="B116" s="9" t="s">
        <v>1313</v>
      </c>
      <c r="C116" s="9" t="s">
        <v>772</v>
      </c>
      <c r="D116" s="9" t="s">
        <v>2043</v>
      </c>
      <c r="E116" s="9" t="s">
        <v>2044</v>
      </c>
      <c r="F116" s="9" t="s">
        <v>2140</v>
      </c>
      <c r="G116" s="9"/>
      <c r="H116" s="9" t="s">
        <v>263</v>
      </c>
      <c r="I116" s="9"/>
    </row>
    <row r="117" spans="1:9" x14ac:dyDescent="0.3">
      <c r="A117" s="9" t="s">
        <v>38</v>
      </c>
      <c r="B117" s="9" t="s">
        <v>1313</v>
      </c>
      <c r="C117" s="9" t="s">
        <v>773</v>
      </c>
      <c r="D117" s="9" t="s">
        <v>2043</v>
      </c>
      <c r="E117" s="9" t="s">
        <v>2044</v>
      </c>
      <c r="F117" s="9"/>
      <c r="G117" s="9"/>
      <c r="H117" s="9" t="s">
        <v>263</v>
      </c>
      <c r="I117" s="9"/>
    </row>
    <row r="118" spans="1:9" x14ac:dyDescent="0.3">
      <c r="A118" s="9" t="s">
        <v>38</v>
      </c>
      <c r="B118" s="9" t="s">
        <v>1313</v>
      </c>
      <c r="C118" s="9" t="s">
        <v>774</v>
      </c>
      <c r="D118" s="9" t="s">
        <v>2043</v>
      </c>
      <c r="E118" s="9" t="s">
        <v>2044</v>
      </c>
      <c r="F118" s="9"/>
      <c r="G118" s="9" t="s">
        <v>2141</v>
      </c>
      <c r="H118" s="9" t="s">
        <v>263</v>
      </c>
      <c r="I118" s="9"/>
    </row>
    <row r="119" spans="1:9" x14ac:dyDescent="0.3">
      <c r="A119" s="9" t="s">
        <v>38</v>
      </c>
      <c r="B119" s="9" t="s">
        <v>1313</v>
      </c>
      <c r="C119" s="9" t="s">
        <v>704</v>
      </c>
      <c r="D119" s="9" t="s">
        <v>2043</v>
      </c>
      <c r="E119" s="9" t="s">
        <v>2044</v>
      </c>
      <c r="F119" s="9"/>
      <c r="G119" s="9" t="s">
        <v>2142</v>
      </c>
      <c r="H119" s="9" t="s">
        <v>263</v>
      </c>
      <c r="I119" s="9"/>
    </row>
    <row r="120" spans="1:9" x14ac:dyDescent="0.3">
      <c r="A120" s="9" t="s">
        <v>38</v>
      </c>
      <c r="B120" s="9" t="s">
        <v>1313</v>
      </c>
      <c r="C120" s="9" t="s">
        <v>775</v>
      </c>
      <c r="D120" s="9" t="s">
        <v>2043</v>
      </c>
      <c r="E120" s="9" t="s">
        <v>2044</v>
      </c>
      <c r="F120" s="9" t="s">
        <v>2143</v>
      </c>
      <c r="G120" s="9" t="s">
        <v>2144</v>
      </c>
      <c r="H120" s="9" t="s">
        <v>263</v>
      </c>
      <c r="I120" s="9"/>
    </row>
    <row r="121" spans="1:9" ht="26.4" x14ac:dyDescent="0.3">
      <c r="A121" s="9" t="s">
        <v>38</v>
      </c>
      <c r="B121" s="9" t="s">
        <v>1313</v>
      </c>
      <c r="C121" s="9" t="s">
        <v>776</v>
      </c>
      <c r="D121" s="9" t="s">
        <v>2089</v>
      </c>
      <c r="E121" s="9" t="s">
        <v>2044</v>
      </c>
      <c r="F121" s="9"/>
      <c r="G121" s="9"/>
      <c r="H121" s="9" t="s">
        <v>271</v>
      </c>
      <c r="I121" s="9"/>
    </row>
    <row r="122" spans="1:9" x14ac:dyDescent="0.3">
      <c r="A122" s="9" t="s">
        <v>38</v>
      </c>
      <c r="B122" s="9" t="s">
        <v>1313</v>
      </c>
      <c r="C122" s="9" t="s">
        <v>777</v>
      </c>
      <c r="D122" s="9" t="s">
        <v>2043</v>
      </c>
      <c r="E122" s="9" t="s">
        <v>2044</v>
      </c>
      <c r="F122" s="9"/>
      <c r="G122" s="9" t="s">
        <v>2131</v>
      </c>
      <c r="H122" s="9" t="s">
        <v>263</v>
      </c>
      <c r="I122" s="9"/>
    </row>
    <row r="123" spans="1:9" ht="26.4" x14ac:dyDescent="0.3">
      <c r="A123" s="9" t="s">
        <v>38</v>
      </c>
      <c r="B123" s="9" t="s">
        <v>1313</v>
      </c>
      <c r="C123" s="9" t="s">
        <v>778</v>
      </c>
      <c r="D123" s="9" t="s">
        <v>2089</v>
      </c>
      <c r="E123" s="9" t="s">
        <v>2092</v>
      </c>
      <c r="F123" s="9"/>
      <c r="G123" s="9"/>
      <c r="H123" s="9" t="s">
        <v>263</v>
      </c>
      <c r="I123" s="9"/>
    </row>
    <row r="124" spans="1:9" ht="26.4" x14ac:dyDescent="0.3">
      <c r="A124" s="9" t="s">
        <v>38</v>
      </c>
      <c r="B124" s="9" t="s">
        <v>1313</v>
      </c>
      <c r="C124" s="9" t="s">
        <v>779</v>
      </c>
      <c r="D124" s="9" t="s">
        <v>2089</v>
      </c>
      <c r="E124" s="9" t="s">
        <v>2092</v>
      </c>
      <c r="F124" s="9" t="s">
        <v>2145</v>
      </c>
      <c r="G124" s="9"/>
      <c r="H124" s="9" t="s">
        <v>263</v>
      </c>
      <c r="I124" s="9"/>
    </row>
    <row r="125" spans="1:9" ht="26.4" x14ac:dyDescent="0.3">
      <c r="A125" s="9" t="s">
        <v>38</v>
      </c>
      <c r="B125" s="9" t="s">
        <v>1313</v>
      </c>
      <c r="C125" s="9" t="s">
        <v>780</v>
      </c>
      <c r="D125" s="9" t="s">
        <v>2089</v>
      </c>
      <c r="E125" s="9" t="s">
        <v>2092</v>
      </c>
      <c r="F125" s="9" t="s">
        <v>2146</v>
      </c>
      <c r="G125" s="9"/>
      <c r="H125" s="9" t="s">
        <v>263</v>
      </c>
      <c r="I125" s="9"/>
    </row>
    <row r="126" spans="1:9" x14ac:dyDescent="0.3">
      <c r="A126" s="9" t="s">
        <v>38</v>
      </c>
      <c r="B126" s="9" t="s">
        <v>1313</v>
      </c>
      <c r="C126" s="9" t="s">
        <v>14</v>
      </c>
      <c r="D126" s="9" t="s">
        <v>2043</v>
      </c>
      <c r="E126" s="9" t="s">
        <v>2092</v>
      </c>
      <c r="F126" s="9"/>
      <c r="G126" s="9"/>
      <c r="H126" s="9" t="s">
        <v>263</v>
      </c>
      <c r="I126" s="9"/>
    </row>
    <row r="127" spans="1:9" x14ac:dyDescent="0.3">
      <c r="A127" s="9" t="s">
        <v>40</v>
      </c>
      <c r="B127" s="9" t="s">
        <v>179</v>
      </c>
      <c r="C127" s="9" t="s">
        <v>863</v>
      </c>
      <c r="D127" s="9" t="s">
        <v>2043</v>
      </c>
      <c r="E127" s="9" t="s">
        <v>2044</v>
      </c>
      <c r="F127" s="9"/>
      <c r="G127" s="9"/>
      <c r="H127" s="9" t="s">
        <v>263</v>
      </c>
      <c r="I127" s="9" t="s">
        <v>2045</v>
      </c>
    </row>
    <row r="128" spans="1:9" ht="39.6" x14ac:dyDescent="0.3">
      <c r="A128" s="9" t="s">
        <v>40</v>
      </c>
      <c r="B128" s="9" t="s">
        <v>179</v>
      </c>
      <c r="C128" s="9" t="s">
        <v>219</v>
      </c>
      <c r="D128" s="9" t="s">
        <v>2043</v>
      </c>
      <c r="E128" s="9" t="s">
        <v>2044</v>
      </c>
      <c r="F128" s="9"/>
      <c r="G128" s="9"/>
      <c r="H128" s="9" t="s">
        <v>263</v>
      </c>
      <c r="I128" s="9" t="s">
        <v>2147</v>
      </c>
    </row>
    <row r="129" spans="1:9" x14ac:dyDescent="0.3">
      <c r="A129" s="9" t="s">
        <v>40</v>
      </c>
      <c r="B129" s="9" t="s">
        <v>179</v>
      </c>
      <c r="C129" s="9" t="s">
        <v>218</v>
      </c>
      <c r="D129" s="9" t="s">
        <v>2043</v>
      </c>
      <c r="E129" s="9" t="s">
        <v>2044</v>
      </c>
      <c r="F129" s="9"/>
      <c r="G129" s="9"/>
      <c r="H129" s="9" t="s">
        <v>263</v>
      </c>
      <c r="I129" s="9"/>
    </row>
    <row r="130" spans="1:9" x14ac:dyDescent="0.3">
      <c r="A130" s="9" t="s">
        <v>40</v>
      </c>
      <c r="B130" s="9" t="s">
        <v>179</v>
      </c>
      <c r="C130" s="9" t="s">
        <v>864</v>
      </c>
      <c r="D130" s="9" t="s">
        <v>2043</v>
      </c>
      <c r="E130" s="9" t="s">
        <v>2044</v>
      </c>
      <c r="F130" s="9"/>
      <c r="G130" s="9"/>
      <c r="H130" s="9" t="s">
        <v>263</v>
      </c>
      <c r="I130" s="9"/>
    </row>
    <row r="131" spans="1:9" x14ac:dyDescent="0.3">
      <c r="A131" s="9" t="s">
        <v>40</v>
      </c>
      <c r="B131" s="9" t="s">
        <v>179</v>
      </c>
      <c r="C131" s="9" t="s">
        <v>221</v>
      </c>
      <c r="D131" s="9" t="s">
        <v>2043</v>
      </c>
      <c r="E131" s="9" t="s">
        <v>2044</v>
      </c>
      <c r="F131" s="9"/>
      <c r="G131" s="9" t="s">
        <v>2071</v>
      </c>
      <c r="H131" s="9" t="s">
        <v>263</v>
      </c>
      <c r="I131" s="9"/>
    </row>
    <row r="132" spans="1:9" x14ac:dyDescent="0.3">
      <c r="A132" s="9" t="s">
        <v>40</v>
      </c>
      <c r="B132" s="9" t="s">
        <v>179</v>
      </c>
      <c r="C132" s="9" t="s">
        <v>865</v>
      </c>
      <c r="D132" s="9" t="s">
        <v>2043</v>
      </c>
      <c r="E132" s="9" t="s">
        <v>2044</v>
      </c>
      <c r="F132" s="9"/>
      <c r="G132" s="9"/>
      <c r="H132" s="9" t="s">
        <v>263</v>
      </c>
      <c r="I132" s="9"/>
    </row>
    <row r="133" spans="1:9" x14ac:dyDescent="0.3">
      <c r="A133" s="9" t="s">
        <v>40</v>
      </c>
      <c r="B133" s="9" t="s">
        <v>179</v>
      </c>
      <c r="C133" s="9" t="s">
        <v>866</v>
      </c>
      <c r="D133" s="9" t="s">
        <v>2047</v>
      </c>
      <c r="E133" s="9" t="s">
        <v>2044</v>
      </c>
      <c r="F133" s="9"/>
      <c r="G133" s="9"/>
      <c r="H133" s="9" t="s">
        <v>263</v>
      </c>
      <c r="I133" s="9"/>
    </row>
    <row r="134" spans="1:9" x14ac:dyDescent="0.3">
      <c r="A134" s="9" t="s">
        <v>40</v>
      </c>
      <c r="B134" s="9" t="s">
        <v>179</v>
      </c>
      <c r="C134" s="9" t="s">
        <v>867</v>
      </c>
      <c r="D134" s="9" t="s">
        <v>2043</v>
      </c>
      <c r="E134" s="9" t="s">
        <v>2044</v>
      </c>
      <c r="F134" s="9" t="s">
        <v>2148</v>
      </c>
      <c r="G134" s="9"/>
      <c r="H134" s="9" t="s">
        <v>263</v>
      </c>
      <c r="I134" s="9"/>
    </row>
    <row r="135" spans="1:9" x14ac:dyDescent="0.3">
      <c r="A135" s="9" t="s">
        <v>40</v>
      </c>
      <c r="B135" s="9" t="s">
        <v>179</v>
      </c>
      <c r="C135" s="9" t="s">
        <v>868</v>
      </c>
      <c r="D135" s="9" t="s">
        <v>2043</v>
      </c>
      <c r="E135" s="9" t="s">
        <v>2044</v>
      </c>
      <c r="F135" s="9"/>
      <c r="G135" s="9"/>
      <c r="H135" s="9" t="s">
        <v>271</v>
      </c>
      <c r="I135" s="9"/>
    </row>
    <row r="136" spans="1:9" ht="26.4" x14ac:dyDescent="0.3">
      <c r="A136" s="9" t="s">
        <v>40</v>
      </c>
      <c r="B136" s="9" t="s">
        <v>179</v>
      </c>
      <c r="C136" s="9" t="s">
        <v>869</v>
      </c>
      <c r="D136" s="9" t="s">
        <v>2089</v>
      </c>
      <c r="E136" s="9" t="s">
        <v>2044</v>
      </c>
      <c r="F136" s="9"/>
      <c r="G136" s="9"/>
      <c r="H136" s="9" t="s">
        <v>271</v>
      </c>
      <c r="I136" s="9"/>
    </row>
    <row r="137" spans="1:9" x14ac:dyDescent="0.3">
      <c r="A137" s="9" t="s">
        <v>40</v>
      </c>
      <c r="B137" s="9" t="s">
        <v>179</v>
      </c>
      <c r="C137" s="9" t="s">
        <v>870</v>
      </c>
      <c r="D137" s="9" t="s">
        <v>2043</v>
      </c>
      <c r="E137" s="9" t="s">
        <v>2044</v>
      </c>
      <c r="F137" s="9" t="s">
        <v>2149</v>
      </c>
      <c r="G137" s="9" t="s">
        <v>2071</v>
      </c>
      <c r="H137" s="9" t="s">
        <v>271</v>
      </c>
      <c r="I137" s="9"/>
    </row>
    <row r="138" spans="1:9" x14ac:dyDescent="0.3">
      <c r="A138" s="9" t="s">
        <v>40</v>
      </c>
      <c r="B138" s="9" t="s">
        <v>179</v>
      </c>
      <c r="C138" s="9" t="s">
        <v>871</v>
      </c>
      <c r="D138" s="9" t="s">
        <v>2043</v>
      </c>
      <c r="E138" s="9" t="s">
        <v>2044</v>
      </c>
      <c r="F138" s="9" t="s">
        <v>2150</v>
      </c>
      <c r="G138" s="9"/>
      <c r="H138" s="9" t="s">
        <v>263</v>
      </c>
      <c r="I138" s="9"/>
    </row>
    <row r="139" spans="1:9" x14ac:dyDescent="0.3">
      <c r="A139" s="9" t="s">
        <v>40</v>
      </c>
      <c r="B139" s="9" t="s">
        <v>179</v>
      </c>
      <c r="C139" s="9" t="s">
        <v>872</v>
      </c>
      <c r="D139" s="9" t="s">
        <v>2043</v>
      </c>
      <c r="E139" s="9" t="s">
        <v>2044</v>
      </c>
      <c r="F139" s="9"/>
      <c r="G139" s="9"/>
      <c r="H139" s="9" t="s">
        <v>271</v>
      </c>
      <c r="I139" s="9"/>
    </row>
    <row r="140" spans="1:9" x14ac:dyDescent="0.3">
      <c r="A140" s="9" t="s">
        <v>40</v>
      </c>
      <c r="B140" s="9" t="s">
        <v>179</v>
      </c>
      <c r="C140" s="9" t="s">
        <v>873</v>
      </c>
      <c r="D140" s="9" t="s">
        <v>2043</v>
      </c>
      <c r="E140" s="9" t="s">
        <v>2092</v>
      </c>
      <c r="F140" s="9"/>
      <c r="G140" s="9"/>
      <c r="H140" s="9" t="s">
        <v>263</v>
      </c>
      <c r="I140" s="9"/>
    </row>
    <row r="141" spans="1:9" x14ac:dyDescent="0.3">
      <c r="A141" s="9" t="s">
        <v>42</v>
      </c>
      <c r="B141" s="9" t="s">
        <v>2151</v>
      </c>
      <c r="C141" s="9" t="s">
        <v>909</v>
      </c>
      <c r="D141" s="9" t="s">
        <v>2043</v>
      </c>
      <c r="E141" s="9" t="s">
        <v>2044</v>
      </c>
      <c r="F141" s="9"/>
      <c r="G141" s="9"/>
      <c r="H141" s="9" t="s">
        <v>263</v>
      </c>
      <c r="I141" s="9" t="s">
        <v>2045</v>
      </c>
    </row>
    <row r="142" spans="1:9" ht="26.4" x14ac:dyDescent="0.3">
      <c r="A142" s="9" t="s">
        <v>42</v>
      </c>
      <c r="B142" s="9" t="s">
        <v>2151</v>
      </c>
      <c r="C142" s="9" t="s">
        <v>219</v>
      </c>
      <c r="D142" s="9" t="s">
        <v>2043</v>
      </c>
      <c r="E142" s="9" t="s">
        <v>2044</v>
      </c>
      <c r="F142" s="9"/>
      <c r="G142" s="9"/>
      <c r="H142" s="9" t="s">
        <v>263</v>
      </c>
      <c r="I142" s="9" t="s">
        <v>2152</v>
      </c>
    </row>
    <row r="143" spans="1:9" x14ac:dyDescent="0.3">
      <c r="A143" s="9" t="s">
        <v>42</v>
      </c>
      <c r="B143" s="9" t="s">
        <v>2151</v>
      </c>
      <c r="C143" s="9" t="s">
        <v>218</v>
      </c>
      <c r="D143" s="9" t="s">
        <v>2043</v>
      </c>
      <c r="E143" s="9" t="s">
        <v>2044</v>
      </c>
      <c r="F143" s="9"/>
      <c r="G143" s="9"/>
      <c r="H143" s="9" t="s">
        <v>263</v>
      </c>
      <c r="I143" s="9"/>
    </row>
    <row r="144" spans="1:9" x14ac:dyDescent="0.3">
      <c r="A144" s="9" t="s">
        <v>42</v>
      </c>
      <c r="B144" s="9" t="s">
        <v>2151</v>
      </c>
      <c r="C144" s="9" t="s">
        <v>865</v>
      </c>
      <c r="D144" s="9" t="s">
        <v>2043</v>
      </c>
      <c r="E144" s="9" t="s">
        <v>2044</v>
      </c>
      <c r="F144" s="9"/>
      <c r="G144" s="9"/>
      <c r="H144" s="9" t="s">
        <v>263</v>
      </c>
      <c r="I144" s="9"/>
    </row>
    <row r="145" spans="1:9" ht="26.4" x14ac:dyDescent="0.3">
      <c r="A145" s="9" t="s">
        <v>42</v>
      </c>
      <c r="B145" s="9" t="s">
        <v>2151</v>
      </c>
      <c r="C145" s="9" t="s">
        <v>910</v>
      </c>
      <c r="D145" s="9" t="s">
        <v>2089</v>
      </c>
      <c r="E145" s="9" t="s">
        <v>2044</v>
      </c>
      <c r="F145" s="9"/>
      <c r="G145" s="9"/>
      <c r="H145" s="9" t="s">
        <v>271</v>
      </c>
      <c r="I145" s="9"/>
    </row>
    <row r="146" spans="1:9" x14ac:dyDescent="0.3">
      <c r="A146" s="9" t="s">
        <v>42</v>
      </c>
      <c r="B146" s="9" t="s">
        <v>2151</v>
      </c>
      <c r="C146" s="9" t="s">
        <v>911</v>
      </c>
      <c r="D146" s="9" t="s">
        <v>2057</v>
      </c>
      <c r="E146" s="9" t="s">
        <v>2044</v>
      </c>
      <c r="F146" s="9" t="s">
        <v>2153</v>
      </c>
      <c r="G146" s="9"/>
      <c r="H146" s="9" t="s">
        <v>271</v>
      </c>
      <c r="I146" s="9"/>
    </row>
    <row r="147" spans="1:9" x14ac:dyDescent="0.3">
      <c r="A147" s="9" t="s">
        <v>42</v>
      </c>
      <c r="B147" s="9" t="s">
        <v>2151</v>
      </c>
      <c r="C147" s="9" t="s">
        <v>912</v>
      </c>
      <c r="D147" s="9" t="s">
        <v>2043</v>
      </c>
      <c r="E147" s="9" t="s">
        <v>2044</v>
      </c>
      <c r="F147" s="9" t="s">
        <v>2154</v>
      </c>
      <c r="G147" s="9"/>
      <c r="H147" s="9" t="s">
        <v>263</v>
      </c>
      <c r="I147" s="9"/>
    </row>
    <row r="148" spans="1:9" x14ac:dyDescent="0.3">
      <c r="A148" s="9" t="s">
        <v>42</v>
      </c>
      <c r="B148" s="9" t="s">
        <v>2151</v>
      </c>
      <c r="C148" s="9" t="s">
        <v>913</v>
      </c>
      <c r="D148" s="9" t="s">
        <v>2043</v>
      </c>
      <c r="E148" s="9" t="s">
        <v>2044</v>
      </c>
      <c r="F148" s="9" t="s">
        <v>2155</v>
      </c>
      <c r="G148" s="9"/>
      <c r="H148" s="9" t="s">
        <v>263</v>
      </c>
      <c r="I148" s="9"/>
    </row>
    <row r="149" spans="1:9" x14ac:dyDescent="0.3">
      <c r="A149" s="9" t="s">
        <v>42</v>
      </c>
      <c r="B149" s="9" t="s">
        <v>2151</v>
      </c>
      <c r="C149" s="9" t="s">
        <v>234</v>
      </c>
      <c r="D149" s="9" t="s">
        <v>2043</v>
      </c>
      <c r="E149" s="9" t="s">
        <v>2044</v>
      </c>
      <c r="F149" s="9"/>
      <c r="G149" s="9"/>
      <c r="H149" s="9" t="s">
        <v>263</v>
      </c>
      <c r="I149" s="9"/>
    </row>
    <row r="150" spans="1:9" x14ac:dyDescent="0.3">
      <c r="A150" s="9" t="s">
        <v>42</v>
      </c>
      <c r="B150" s="9" t="s">
        <v>2151</v>
      </c>
      <c r="C150" s="9" t="s">
        <v>914</v>
      </c>
      <c r="D150" s="9" t="s">
        <v>2043</v>
      </c>
      <c r="E150" s="9" t="s">
        <v>2044</v>
      </c>
      <c r="F150" s="9"/>
      <c r="G150" s="9"/>
      <c r="H150" s="9" t="s">
        <v>263</v>
      </c>
      <c r="I150" s="9"/>
    </row>
    <row r="151" spans="1:9" x14ac:dyDescent="0.3">
      <c r="A151" s="9" t="s">
        <v>42</v>
      </c>
      <c r="B151" s="9" t="s">
        <v>2151</v>
      </c>
      <c r="C151" s="9" t="s">
        <v>915</v>
      </c>
      <c r="D151" s="9" t="s">
        <v>2043</v>
      </c>
      <c r="E151" s="9" t="s">
        <v>2044</v>
      </c>
      <c r="F151" s="9"/>
      <c r="G151" s="9"/>
      <c r="H151" s="9" t="s">
        <v>263</v>
      </c>
      <c r="I151" s="9"/>
    </row>
    <row r="152" spans="1:9" x14ac:dyDescent="0.3">
      <c r="A152" s="9" t="s">
        <v>42</v>
      </c>
      <c r="B152" s="9" t="s">
        <v>2151</v>
      </c>
      <c r="C152" s="9" t="s">
        <v>916</v>
      </c>
      <c r="D152" s="9" t="s">
        <v>2043</v>
      </c>
      <c r="E152" s="9" t="s">
        <v>2044</v>
      </c>
      <c r="F152" s="9" t="s">
        <v>2156</v>
      </c>
      <c r="G152" s="9"/>
      <c r="H152" s="9" t="s">
        <v>263</v>
      </c>
      <c r="I152" s="9"/>
    </row>
    <row r="153" spans="1:9" x14ac:dyDescent="0.3">
      <c r="A153" s="9" t="s">
        <v>42</v>
      </c>
      <c r="B153" s="9" t="s">
        <v>2151</v>
      </c>
      <c r="C153" s="9" t="s">
        <v>705</v>
      </c>
      <c r="D153" s="9" t="s">
        <v>2057</v>
      </c>
      <c r="E153" s="9" t="s">
        <v>2092</v>
      </c>
      <c r="F153" s="9"/>
      <c r="G153" s="9"/>
      <c r="H153" s="9" t="s">
        <v>263</v>
      </c>
      <c r="I153" s="9"/>
    </row>
    <row r="154" spans="1:9" x14ac:dyDescent="0.3">
      <c r="A154" s="9" t="s">
        <v>42</v>
      </c>
      <c r="B154" s="9" t="s">
        <v>2151</v>
      </c>
      <c r="C154" s="9" t="s">
        <v>14</v>
      </c>
      <c r="D154" s="9" t="s">
        <v>2043</v>
      </c>
      <c r="E154" s="9" t="s">
        <v>2092</v>
      </c>
      <c r="F154" s="9"/>
      <c r="G154" s="9"/>
      <c r="H154" s="9" t="s">
        <v>263</v>
      </c>
      <c r="I154" s="9"/>
    </row>
    <row r="155" spans="1:9" x14ac:dyDescent="0.3">
      <c r="A155" s="9" t="s">
        <v>48</v>
      </c>
      <c r="B155" s="9" t="s">
        <v>2157</v>
      </c>
      <c r="C155" s="9" t="s">
        <v>949</v>
      </c>
      <c r="D155" s="9" t="s">
        <v>2043</v>
      </c>
      <c r="E155" s="9" t="s">
        <v>2044</v>
      </c>
      <c r="F155" s="9"/>
      <c r="G155" s="9"/>
      <c r="H155" s="9" t="s">
        <v>263</v>
      </c>
      <c r="I155" s="9" t="s">
        <v>2045</v>
      </c>
    </row>
    <row r="156" spans="1:9" x14ac:dyDescent="0.3">
      <c r="A156" s="9" t="s">
        <v>48</v>
      </c>
      <c r="B156" s="9" t="s">
        <v>2157</v>
      </c>
      <c r="C156" s="9" t="s">
        <v>1120</v>
      </c>
      <c r="D156" s="9" t="s">
        <v>2047</v>
      </c>
      <c r="E156" s="9" t="s">
        <v>2044</v>
      </c>
      <c r="F156" s="9"/>
      <c r="G156" s="9"/>
      <c r="H156" s="9" t="s">
        <v>263</v>
      </c>
      <c r="I156" s="9"/>
    </row>
    <row r="157" spans="1:9" x14ac:dyDescent="0.3">
      <c r="A157" s="9" t="s">
        <v>44</v>
      </c>
      <c r="B157" s="9" t="s">
        <v>2158</v>
      </c>
      <c r="C157" s="9" t="s">
        <v>943</v>
      </c>
      <c r="D157" s="9" t="s">
        <v>2043</v>
      </c>
      <c r="E157" s="9" t="s">
        <v>2044</v>
      </c>
      <c r="F157" s="9"/>
      <c r="G157" s="9"/>
      <c r="H157" s="9" t="s">
        <v>263</v>
      </c>
      <c r="I157" s="9" t="s">
        <v>2045</v>
      </c>
    </row>
    <row r="158" spans="1:9" ht="26.4" x14ac:dyDescent="0.3">
      <c r="A158" s="9" t="s">
        <v>44</v>
      </c>
      <c r="B158" s="9" t="s">
        <v>2158</v>
      </c>
      <c r="C158" s="9" t="s">
        <v>213</v>
      </c>
      <c r="D158" s="9" t="s">
        <v>2043</v>
      </c>
      <c r="E158" s="9" t="s">
        <v>2044</v>
      </c>
      <c r="F158" s="9"/>
      <c r="G158" s="9"/>
      <c r="H158" s="9" t="s">
        <v>271</v>
      </c>
      <c r="I158" s="9" t="s">
        <v>2107</v>
      </c>
    </row>
    <row r="159" spans="1:9" x14ac:dyDescent="0.3">
      <c r="A159" s="9" t="s">
        <v>44</v>
      </c>
      <c r="B159" s="9" t="s">
        <v>2158</v>
      </c>
      <c r="C159" s="9" t="s">
        <v>944</v>
      </c>
      <c r="D159" s="9" t="s">
        <v>2043</v>
      </c>
      <c r="E159" s="9" t="s">
        <v>2044</v>
      </c>
      <c r="F159" s="9" t="s">
        <v>2159</v>
      </c>
      <c r="G159" s="9"/>
      <c r="H159" s="9" t="s">
        <v>271</v>
      </c>
      <c r="I159" s="9"/>
    </row>
    <row r="160" spans="1:9" x14ac:dyDescent="0.3">
      <c r="A160" s="9" t="s">
        <v>44</v>
      </c>
      <c r="B160" s="9" t="s">
        <v>2158</v>
      </c>
      <c r="C160" s="9" t="s">
        <v>945</v>
      </c>
      <c r="D160" s="9" t="s">
        <v>2043</v>
      </c>
      <c r="E160" s="9" t="s">
        <v>2044</v>
      </c>
      <c r="F160" s="9"/>
      <c r="G160" s="9"/>
      <c r="H160" s="9" t="s">
        <v>263</v>
      </c>
      <c r="I160" s="9"/>
    </row>
    <row r="161" spans="1:9" x14ac:dyDescent="0.3">
      <c r="A161" s="9" t="s">
        <v>44</v>
      </c>
      <c r="B161" s="9" t="s">
        <v>2158</v>
      </c>
      <c r="C161" s="9" t="s">
        <v>217</v>
      </c>
      <c r="D161" s="9" t="s">
        <v>2043</v>
      </c>
      <c r="E161" s="9" t="s">
        <v>2044</v>
      </c>
      <c r="F161" s="9"/>
      <c r="G161" s="9" t="s">
        <v>2066</v>
      </c>
      <c r="H161" s="9" t="s">
        <v>263</v>
      </c>
      <c r="I161" s="9"/>
    </row>
    <row r="162" spans="1:9" x14ac:dyDescent="0.3">
      <c r="A162" s="9" t="s">
        <v>44</v>
      </c>
      <c r="B162" s="9" t="s">
        <v>2158</v>
      </c>
      <c r="C162" s="9" t="s">
        <v>946</v>
      </c>
      <c r="D162" s="9" t="s">
        <v>2043</v>
      </c>
      <c r="E162" s="9" t="s">
        <v>2044</v>
      </c>
      <c r="F162" s="9"/>
      <c r="G162" s="9" t="s">
        <v>2131</v>
      </c>
      <c r="H162" s="9" t="s">
        <v>263</v>
      </c>
      <c r="I162" s="9"/>
    </row>
    <row r="163" spans="1:9" x14ac:dyDescent="0.3">
      <c r="A163" s="9" t="s">
        <v>44</v>
      </c>
      <c r="B163" s="9" t="s">
        <v>2158</v>
      </c>
      <c r="C163" s="9" t="s">
        <v>947</v>
      </c>
      <c r="D163" s="9" t="s">
        <v>2057</v>
      </c>
      <c r="E163" s="9" t="s">
        <v>2044</v>
      </c>
      <c r="F163" s="9"/>
      <c r="G163" s="9"/>
      <c r="H163" s="9" t="s">
        <v>263</v>
      </c>
      <c r="I163" s="9"/>
    </row>
    <row r="164" spans="1:9" x14ac:dyDescent="0.3">
      <c r="A164" s="9" t="s">
        <v>44</v>
      </c>
      <c r="B164" s="9" t="s">
        <v>2158</v>
      </c>
      <c r="C164" s="9" t="s">
        <v>948</v>
      </c>
      <c r="D164" s="9" t="s">
        <v>2057</v>
      </c>
      <c r="E164" s="9" t="s">
        <v>2044</v>
      </c>
      <c r="F164" s="9" t="s">
        <v>2160</v>
      </c>
      <c r="G164" s="9"/>
      <c r="H164" s="9" t="s">
        <v>271</v>
      </c>
      <c r="I164" s="9"/>
    </row>
    <row r="165" spans="1:9" x14ac:dyDescent="0.3">
      <c r="A165" s="9" t="s">
        <v>44</v>
      </c>
      <c r="B165" s="9" t="s">
        <v>2158</v>
      </c>
      <c r="C165" s="9" t="s">
        <v>949</v>
      </c>
      <c r="D165" s="9" t="s">
        <v>2043</v>
      </c>
      <c r="E165" s="9" t="s">
        <v>2044</v>
      </c>
      <c r="F165" s="9"/>
      <c r="G165" s="9" t="s">
        <v>2161</v>
      </c>
      <c r="H165" s="9" t="s">
        <v>263</v>
      </c>
      <c r="I165" s="9"/>
    </row>
    <row r="166" spans="1:9" x14ac:dyDescent="0.3">
      <c r="A166" s="9" t="s">
        <v>44</v>
      </c>
      <c r="B166" s="9" t="s">
        <v>2158</v>
      </c>
      <c r="C166" s="9" t="s">
        <v>950</v>
      </c>
      <c r="D166" s="9" t="s">
        <v>2043</v>
      </c>
      <c r="E166" s="9" t="s">
        <v>2044</v>
      </c>
      <c r="F166" s="9"/>
      <c r="G166" s="9" t="s">
        <v>2162</v>
      </c>
      <c r="H166" s="9" t="s">
        <v>263</v>
      </c>
      <c r="I166" s="9"/>
    </row>
    <row r="167" spans="1:9" x14ac:dyDescent="0.3">
      <c r="A167" s="9" t="s">
        <v>44</v>
      </c>
      <c r="B167" s="9" t="s">
        <v>2158</v>
      </c>
      <c r="C167" s="9" t="s">
        <v>951</v>
      </c>
      <c r="D167" s="9" t="s">
        <v>2043</v>
      </c>
      <c r="E167" s="9" t="s">
        <v>2044</v>
      </c>
      <c r="F167" s="9"/>
      <c r="G167" s="9" t="s">
        <v>2163</v>
      </c>
      <c r="H167" s="9" t="s">
        <v>263</v>
      </c>
      <c r="I167" s="9"/>
    </row>
    <row r="168" spans="1:9" x14ac:dyDescent="0.3">
      <c r="A168" s="9" t="s">
        <v>44</v>
      </c>
      <c r="B168" s="9" t="s">
        <v>2158</v>
      </c>
      <c r="C168" s="9" t="s">
        <v>952</v>
      </c>
      <c r="D168" s="9" t="s">
        <v>2043</v>
      </c>
      <c r="E168" s="9" t="s">
        <v>2044</v>
      </c>
      <c r="F168" s="9"/>
      <c r="G168" s="9" t="s">
        <v>2164</v>
      </c>
      <c r="H168" s="9" t="s">
        <v>263</v>
      </c>
      <c r="I168" s="9"/>
    </row>
    <row r="169" spans="1:9" x14ac:dyDescent="0.3">
      <c r="A169" s="9" t="s">
        <v>44</v>
      </c>
      <c r="B169" s="9" t="s">
        <v>2158</v>
      </c>
      <c r="C169" s="9" t="s">
        <v>953</v>
      </c>
      <c r="D169" s="9" t="s">
        <v>2043</v>
      </c>
      <c r="E169" s="9" t="s">
        <v>2044</v>
      </c>
      <c r="F169" s="9"/>
      <c r="G169" s="9" t="s">
        <v>2165</v>
      </c>
      <c r="H169" s="9" t="s">
        <v>263</v>
      </c>
      <c r="I169" s="9"/>
    </row>
    <row r="170" spans="1:9" x14ac:dyDescent="0.3">
      <c r="A170" s="9" t="s">
        <v>44</v>
      </c>
      <c r="B170" s="9" t="s">
        <v>2158</v>
      </c>
      <c r="C170" s="9" t="s">
        <v>954</v>
      </c>
      <c r="D170" s="9" t="s">
        <v>2043</v>
      </c>
      <c r="E170" s="9" t="s">
        <v>2044</v>
      </c>
      <c r="F170" s="9"/>
      <c r="G170" s="9"/>
      <c r="H170" s="9" t="s">
        <v>263</v>
      </c>
      <c r="I170" s="9"/>
    </row>
    <row r="171" spans="1:9" x14ac:dyDescent="0.3">
      <c r="A171" s="9" t="s">
        <v>44</v>
      </c>
      <c r="B171" s="9" t="s">
        <v>2158</v>
      </c>
      <c r="C171" s="9" t="s">
        <v>955</v>
      </c>
      <c r="D171" s="9" t="s">
        <v>2043</v>
      </c>
      <c r="E171" s="9" t="s">
        <v>2044</v>
      </c>
      <c r="F171" s="9"/>
      <c r="G171" s="9"/>
      <c r="H171" s="9" t="s">
        <v>263</v>
      </c>
      <c r="I171" s="9"/>
    </row>
    <row r="172" spans="1:9" ht="39.6" x14ac:dyDescent="0.3">
      <c r="A172" s="9" t="s">
        <v>44</v>
      </c>
      <c r="B172" s="9" t="s">
        <v>2158</v>
      </c>
      <c r="C172" s="9" t="s">
        <v>956</v>
      </c>
      <c r="D172" s="9" t="s">
        <v>2043</v>
      </c>
      <c r="E172" s="9" t="s">
        <v>2044</v>
      </c>
      <c r="F172" s="9"/>
      <c r="G172" s="9"/>
      <c r="H172" s="9" t="s">
        <v>271</v>
      </c>
      <c r="I172" s="9" t="s">
        <v>2166</v>
      </c>
    </row>
    <row r="173" spans="1:9" x14ac:dyDescent="0.3">
      <c r="A173" s="9" t="s">
        <v>44</v>
      </c>
      <c r="B173" s="9" t="s">
        <v>2158</v>
      </c>
      <c r="C173" s="9" t="s">
        <v>957</v>
      </c>
      <c r="D173" s="9" t="s">
        <v>2043</v>
      </c>
      <c r="E173" s="9" t="s">
        <v>2044</v>
      </c>
      <c r="F173" s="9"/>
      <c r="G173" s="9"/>
      <c r="H173" s="9" t="s">
        <v>271</v>
      </c>
      <c r="I173" s="9"/>
    </row>
    <row r="174" spans="1:9" x14ac:dyDescent="0.3">
      <c r="A174" s="9" t="s">
        <v>44</v>
      </c>
      <c r="B174" s="9" t="s">
        <v>2158</v>
      </c>
      <c r="C174" s="9" t="s">
        <v>958</v>
      </c>
      <c r="D174" s="9" t="s">
        <v>2043</v>
      </c>
      <c r="E174" s="9" t="s">
        <v>2044</v>
      </c>
      <c r="F174" s="9" t="s">
        <v>2167</v>
      </c>
      <c r="G174" s="9" t="s">
        <v>2168</v>
      </c>
      <c r="H174" s="9" t="s">
        <v>263</v>
      </c>
      <c r="I174" s="9"/>
    </row>
    <row r="175" spans="1:9" x14ac:dyDescent="0.3">
      <c r="A175" s="9" t="s">
        <v>44</v>
      </c>
      <c r="B175" s="9" t="s">
        <v>2158</v>
      </c>
      <c r="C175" s="9" t="s">
        <v>777</v>
      </c>
      <c r="D175" s="9" t="s">
        <v>2043</v>
      </c>
      <c r="E175" s="9" t="s">
        <v>2044</v>
      </c>
      <c r="F175" s="9"/>
      <c r="G175" s="9" t="s">
        <v>2131</v>
      </c>
      <c r="H175" s="9" t="s">
        <v>263</v>
      </c>
      <c r="I175" s="9"/>
    </row>
    <row r="176" spans="1:9" ht="26.4" x14ac:dyDescent="0.3">
      <c r="A176" s="9" t="s">
        <v>44</v>
      </c>
      <c r="B176" s="9" t="s">
        <v>2158</v>
      </c>
      <c r="C176" s="9" t="s">
        <v>959</v>
      </c>
      <c r="D176" s="9" t="s">
        <v>2089</v>
      </c>
      <c r="E176" s="9" t="s">
        <v>2044</v>
      </c>
      <c r="F176" s="9"/>
      <c r="G176" s="9"/>
      <c r="H176" s="9" t="s">
        <v>271</v>
      </c>
      <c r="I176" s="9"/>
    </row>
    <row r="177" spans="1:9" ht="26.4" x14ac:dyDescent="0.3">
      <c r="A177" s="9" t="s">
        <v>44</v>
      </c>
      <c r="B177" s="9" t="s">
        <v>2158</v>
      </c>
      <c r="C177" s="9" t="s">
        <v>960</v>
      </c>
      <c r="D177" s="9" t="s">
        <v>2089</v>
      </c>
      <c r="E177" s="9" t="s">
        <v>2044</v>
      </c>
      <c r="F177" s="9"/>
      <c r="G177" s="9"/>
      <c r="H177" s="9" t="s">
        <v>263</v>
      </c>
      <c r="I177" s="9"/>
    </row>
    <row r="178" spans="1:9" x14ac:dyDescent="0.3">
      <c r="A178" s="9" t="s">
        <v>44</v>
      </c>
      <c r="B178" s="9" t="s">
        <v>2158</v>
      </c>
      <c r="C178" s="9" t="s">
        <v>961</v>
      </c>
      <c r="D178" s="9" t="s">
        <v>2043</v>
      </c>
      <c r="E178" s="9" t="s">
        <v>2044</v>
      </c>
      <c r="F178" s="9"/>
      <c r="G178" s="9" t="s">
        <v>2131</v>
      </c>
      <c r="H178" s="9" t="s">
        <v>263</v>
      </c>
      <c r="I178" s="9"/>
    </row>
    <row r="179" spans="1:9" x14ac:dyDescent="0.3">
      <c r="A179" s="9" t="s">
        <v>44</v>
      </c>
      <c r="B179" s="9" t="s">
        <v>2158</v>
      </c>
      <c r="C179" s="9" t="s">
        <v>684</v>
      </c>
      <c r="D179" s="9" t="s">
        <v>2043</v>
      </c>
      <c r="E179" s="9" t="s">
        <v>2092</v>
      </c>
      <c r="F179" s="9"/>
      <c r="G179" s="9"/>
      <c r="H179" s="9" t="s">
        <v>263</v>
      </c>
      <c r="I179" s="9"/>
    </row>
    <row r="180" spans="1:9" x14ac:dyDescent="0.3">
      <c r="A180" s="9" t="s">
        <v>44</v>
      </c>
      <c r="B180" s="9" t="s">
        <v>2158</v>
      </c>
      <c r="C180" s="9" t="s">
        <v>962</v>
      </c>
      <c r="D180" s="9" t="s">
        <v>2057</v>
      </c>
      <c r="E180" s="9" t="s">
        <v>2092</v>
      </c>
      <c r="F180" s="9"/>
      <c r="G180" s="9"/>
      <c r="H180" s="9" t="s">
        <v>263</v>
      </c>
      <c r="I180" s="9"/>
    </row>
    <row r="181" spans="1:9" x14ac:dyDescent="0.3">
      <c r="A181" s="9" t="s">
        <v>44</v>
      </c>
      <c r="B181" s="9" t="s">
        <v>2158</v>
      </c>
      <c r="C181" s="9" t="s">
        <v>244</v>
      </c>
      <c r="D181" s="9" t="s">
        <v>2043</v>
      </c>
      <c r="E181" s="9" t="s">
        <v>2092</v>
      </c>
      <c r="F181" s="9"/>
      <c r="G181" s="9"/>
      <c r="H181" s="9" t="s">
        <v>263</v>
      </c>
      <c r="I181" s="9"/>
    </row>
    <row r="182" spans="1:9" x14ac:dyDescent="0.3">
      <c r="A182" s="9" t="s">
        <v>44</v>
      </c>
      <c r="B182" s="9" t="s">
        <v>2158</v>
      </c>
      <c r="C182" s="9" t="s">
        <v>245</v>
      </c>
      <c r="D182" s="9" t="s">
        <v>2043</v>
      </c>
      <c r="E182" s="9" t="s">
        <v>2092</v>
      </c>
      <c r="F182" s="9"/>
      <c r="G182" s="9"/>
      <c r="H182" s="9" t="s">
        <v>263</v>
      </c>
      <c r="I182" s="9"/>
    </row>
    <row r="183" spans="1:9" x14ac:dyDescent="0.3">
      <c r="A183" s="9" t="s">
        <v>44</v>
      </c>
      <c r="B183" s="9" t="s">
        <v>2158</v>
      </c>
      <c r="C183" s="9" t="s">
        <v>250</v>
      </c>
      <c r="D183" s="9" t="s">
        <v>2043</v>
      </c>
      <c r="E183" s="9" t="s">
        <v>2092</v>
      </c>
      <c r="F183" s="9"/>
      <c r="G183" s="9"/>
      <c r="H183" s="9" t="s">
        <v>263</v>
      </c>
      <c r="I183" s="9"/>
    </row>
    <row r="184" spans="1:9" x14ac:dyDescent="0.3">
      <c r="A184" s="9" t="s">
        <v>44</v>
      </c>
      <c r="B184" s="9" t="s">
        <v>2158</v>
      </c>
      <c r="C184" s="9" t="s">
        <v>963</v>
      </c>
      <c r="D184" s="9" t="s">
        <v>2047</v>
      </c>
      <c r="E184" s="9" t="s">
        <v>2092</v>
      </c>
      <c r="F184" s="9"/>
      <c r="G184" s="9"/>
      <c r="H184" s="9" t="s">
        <v>263</v>
      </c>
      <c r="I184" s="9"/>
    </row>
    <row r="185" spans="1:9" x14ac:dyDescent="0.3">
      <c r="A185" s="9" t="s">
        <v>44</v>
      </c>
      <c r="B185" s="9" t="s">
        <v>2158</v>
      </c>
      <c r="C185" s="9" t="s">
        <v>964</v>
      </c>
      <c r="D185" s="9" t="s">
        <v>2047</v>
      </c>
      <c r="E185" s="9" t="s">
        <v>2092</v>
      </c>
      <c r="F185" s="9"/>
      <c r="G185" s="9"/>
      <c r="H185" s="9" t="s">
        <v>263</v>
      </c>
      <c r="I185" s="9"/>
    </row>
    <row r="186" spans="1:9" x14ac:dyDescent="0.3">
      <c r="A186" s="9" t="s">
        <v>44</v>
      </c>
      <c r="B186" s="9" t="s">
        <v>2158</v>
      </c>
      <c r="C186" s="9" t="s">
        <v>965</v>
      </c>
      <c r="D186" s="9" t="s">
        <v>2043</v>
      </c>
      <c r="E186" s="9" t="s">
        <v>2092</v>
      </c>
      <c r="F186" s="9"/>
      <c r="G186" s="9"/>
      <c r="H186" s="9" t="s">
        <v>263</v>
      </c>
      <c r="I186" s="9"/>
    </row>
    <row r="187" spans="1:9" x14ac:dyDescent="0.3">
      <c r="A187" s="9" t="s">
        <v>44</v>
      </c>
      <c r="B187" s="9" t="s">
        <v>2158</v>
      </c>
      <c r="C187" s="9" t="s">
        <v>966</v>
      </c>
      <c r="D187" s="9" t="s">
        <v>2043</v>
      </c>
      <c r="E187" s="9" t="s">
        <v>2092</v>
      </c>
      <c r="F187" s="9"/>
      <c r="G187" s="9"/>
      <c r="H187" s="9" t="s">
        <v>263</v>
      </c>
      <c r="I187" s="9"/>
    </row>
    <row r="188" spans="1:9" x14ac:dyDescent="0.3">
      <c r="A188" s="9" t="s">
        <v>44</v>
      </c>
      <c r="B188" s="9" t="s">
        <v>2158</v>
      </c>
      <c r="C188" s="9" t="s">
        <v>967</v>
      </c>
      <c r="D188" s="9" t="s">
        <v>2043</v>
      </c>
      <c r="E188" s="9" t="s">
        <v>2092</v>
      </c>
      <c r="F188" s="9"/>
      <c r="G188" s="9"/>
      <c r="H188" s="9" t="s">
        <v>263</v>
      </c>
      <c r="I188" s="9"/>
    </row>
    <row r="189" spans="1:9" ht="26.4" x14ac:dyDescent="0.3">
      <c r="A189" s="9" t="s">
        <v>44</v>
      </c>
      <c r="B189" s="9" t="s">
        <v>2158</v>
      </c>
      <c r="C189" s="9" t="s">
        <v>968</v>
      </c>
      <c r="D189" s="9" t="s">
        <v>2089</v>
      </c>
      <c r="E189" s="9" t="s">
        <v>2092</v>
      </c>
      <c r="F189" s="9"/>
      <c r="G189" s="9"/>
      <c r="H189" s="9" t="s">
        <v>263</v>
      </c>
      <c r="I189" s="9"/>
    </row>
    <row r="190" spans="1:9" x14ac:dyDescent="0.3">
      <c r="A190" s="9" t="s">
        <v>44</v>
      </c>
      <c r="B190" s="9" t="s">
        <v>2158</v>
      </c>
      <c r="C190" s="9" t="s">
        <v>14</v>
      </c>
      <c r="D190" s="9" t="s">
        <v>2043</v>
      </c>
      <c r="E190" s="9" t="s">
        <v>2092</v>
      </c>
      <c r="F190" s="9"/>
      <c r="G190" s="9"/>
      <c r="H190" s="9" t="s">
        <v>263</v>
      </c>
      <c r="I190" s="9"/>
    </row>
    <row r="191" spans="1:9" x14ac:dyDescent="0.3">
      <c r="A191" s="9" t="s">
        <v>46</v>
      </c>
      <c r="B191" s="9" t="s">
        <v>1510</v>
      </c>
      <c r="C191" s="9" t="s">
        <v>956</v>
      </c>
      <c r="D191" s="9" t="s">
        <v>2043</v>
      </c>
      <c r="E191" s="9" t="s">
        <v>2044</v>
      </c>
      <c r="F191" s="9"/>
      <c r="G191" s="9"/>
      <c r="H191" s="9" t="s">
        <v>263</v>
      </c>
      <c r="I191" s="9" t="s">
        <v>2045</v>
      </c>
    </row>
    <row r="192" spans="1:9" ht="26.4" x14ac:dyDescent="0.3">
      <c r="A192" s="9" t="s">
        <v>46</v>
      </c>
      <c r="B192" s="9" t="s">
        <v>1510</v>
      </c>
      <c r="C192" s="9" t="s">
        <v>1088</v>
      </c>
      <c r="D192" s="9" t="s">
        <v>2089</v>
      </c>
      <c r="E192" s="9" t="s">
        <v>2044</v>
      </c>
      <c r="F192" s="9"/>
      <c r="G192" s="9"/>
      <c r="H192" s="9" t="s">
        <v>263</v>
      </c>
      <c r="I192" s="9"/>
    </row>
    <row r="193" spans="1:9" x14ac:dyDescent="0.3">
      <c r="A193" s="9" t="s">
        <v>46</v>
      </c>
      <c r="B193" s="9" t="s">
        <v>1510</v>
      </c>
      <c r="C193" s="9" t="s">
        <v>1089</v>
      </c>
      <c r="D193" s="9" t="s">
        <v>2043</v>
      </c>
      <c r="E193" s="9" t="s">
        <v>2044</v>
      </c>
      <c r="F193" s="9"/>
      <c r="G193" s="9"/>
      <c r="H193" s="9" t="s">
        <v>263</v>
      </c>
      <c r="I193" s="9"/>
    </row>
    <row r="194" spans="1:9" x14ac:dyDescent="0.3">
      <c r="A194" s="9" t="s">
        <v>46</v>
      </c>
      <c r="B194" s="9" t="s">
        <v>1510</v>
      </c>
      <c r="C194" s="9" t="s">
        <v>1090</v>
      </c>
      <c r="D194" s="9" t="s">
        <v>2043</v>
      </c>
      <c r="E194" s="9" t="s">
        <v>2044</v>
      </c>
      <c r="F194" s="9"/>
      <c r="G194" s="9"/>
      <c r="H194" s="9" t="s">
        <v>263</v>
      </c>
      <c r="I194" s="9"/>
    </row>
    <row r="195" spans="1:9" x14ac:dyDescent="0.3">
      <c r="A195" s="9" t="s">
        <v>46</v>
      </c>
      <c r="B195" s="9" t="s">
        <v>1510</v>
      </c>
      <c r="C195" s="9" t="s">
        <v>538</v>
      </c>
      <c r="D195" s="9" t="s">
        <v>2043</v>
      </c>
      <c r="E195" s="9" t="s">
        <v>2044</v>
      </c>
      <c r="F195" s="9"/>
      <c r="G195" s="9"/>
      <c r="H195" s="9" t="s">
        <v>263</v>
      </c>
      <c r="I195" s="9"/>
    </row>
    <row r="196" spans="1:9" x14ac:dyDescent="0.3">
      <c r="A196" s="9" t="s">
        <v>46</v>
      </c>
      <c r="B196" s="9" t="s">
        <v>1510</v>
      </c>
      <c r="C196" s="9" t="s">
        <v>1091</v>
      </c>
      <c r="D196" s="9" t="s">
        <v>2043</v>
      </c>
      <c r="E196" s="9" t="s">
        <v>2044</v>
      </c>
      <c r="F196" s="9"/>
      <c r="G196" s="9"/>
      <c r="H196" s="9" t="s">
        <v>263</v>
      </c>
      <c r="I196" s="9"/>
    </row>
    <row r="197" spans="1:9" x14ac:dyDescent="0.3">
      <c r="A197" s="9" t="s">
        <v>46</v>
      </c>
      <c r="B197" s="9" t="s">
        <v>1510</v>
      </c>
      <c r="C197" s="9" t="s">
        <v>1092</v>
      </c>
      <c r="D197" s="9" t="s">
        <v>2043</v>
      </c>
      <c r="E197" s="9" t="s">
        <v>2044</v>
      </c>
      <c r="F197" s="9"/>
      <c r="G197" s="9"/>
      <c r="H197" s="9" t="s">
        <v>263</v>
      </c>
      <c r="I197" s="9"/>
    </row>
    <row r="198" spans="1:9" x14ac:dyDescent="0.3">
      <c r="A198" s="9" t="s">
        <v>46</v>
      </c>
      <c r="B198" s="9" t="s">
        <v>1510</v>
      </c>
      <c r="C198" s="9" t="s">
        <v>1093</v>
      </c>
      <c r="D198" s="9" t="s">
        <v>2057</v>
      </c>
      <c r="E198" s="9" t="s">
        <v>2044</v>
      </c>
      <c r="F198" s="9"/>
      <c r="G198" s="9"/>
      <c r="H198" s="9" t="s">
        <v>271</v>
      </c>
      <c r="I198" s="9"/>
    </row>
    <row r="199" spans="1:9" x14ac:dyDescent="0.3">
      <c r="A199" s="9" t="s">
        <v>46</v>
      </c>
      <c r="B199" s="9" t="s">
        <v>1510</v>
      </c>
      <c r="C199" s="9" t="s">
        <v>1094</v>
      </c>
      <c r="D199" s="9" t="s">
        <v>2047</v>
      </c>
      <c r="E199" s="9" t="s">
        <v>2044</v>
      </c>
      <c r="F199" s="9"/>
      <c r="G199" s="9"/>
      <c r="H199" s="9" t="s">
        <v>271</v>
      </c>
      <c r="I199" s="9"/>
    </row>
    <row r="200" spans="1:9" x14ac:dyDescent="0.3">
      <c r="A200" s="9" t="s">
        <v>46</v>
      </c>
      <c r="B200" s="9" t="s">
        <v>1510</v>
      </c>
      <c r="C200" s="9" t="s">
        <v>1095</v>
      </c>
      <c r="D200" s="9" t="s">
        <v>2047</v>
      </c>
      <c r="E200" s="9" t="s">
        <v>2044</v>
      </c>
      <c r="F200" s="9"/>
      <c r="G200" s="9"/>
      <c r="H200" s="9" t="s">
        <v>271</v>
      </c>
      <c r="I200" s="9"/>
    </row>
    <row r="201" spans="1:9" x14ac:dyDescent="0.3">
      <c r="A201" s="9" t="s">
        <v>46</v>
      </c>
      <c r="B201" s="9" t="s">
        <v>1510</v>
      </c>
      <c r="C201" s="9" t="s">
        <v>872</v>
      </c>
      <c r="D201" s="9" t="s">
        <v>2043</v>
      </c>
      <c r="E201" s="9" t="s">
        <v>2044</v>
      </c>
      <c r="F201" s="9"/>
      <c r="G201" s="9"/>
      <c r="H201" s="9" t="s">
        <v>271</v>
      </c>
      <c r="I201" s="9"/>
    </row>
    <row r="202" spans="1:9" ht="26.4" x14ac:dyDescent="0.3">
      <c r="A202" s="9" t="s">
        <v>46</v>
      </c>
      <c r="B202" s="9" t="s">
        <v>1510</v>
      </c>
      <c r="C202" s="9" t="s">
        <v>1096</v>
      </c>
      <c r="D202" s="9" t="s">
        <v>2090</v>
      </c>
      <c r="E202" s="9" t="s">
        <v>2092</v>
      </c>
      <c r="F202" s="9" t="s">
        <v>2169</v>
      </c>
      <c r="G202" s="9"/>
      <c r="H202" s="9" t="s">
        <v>263</v>
      </c>
      <c r="I202" s="9"/>
    </row>
    <row r="203" spans="1:9" ht="26.4" x14ac:dyDescent="0.3">
      <c r="A203" s="9" t="s">
        <v>46</v>
      </c>
      <c r="B203" s="9" t="s">
        <v>1510</v>
      </c>
      <c r="C203" s="9" t="s">
        <v>1097</v>
      </c>
      <c r="D203" s="9" t="s">
        <v>2090</v>
      </c>
      <c r="E203" s="9" t="s">
        <v>2092</v>
      </c>
      <c r="F203" s="9" t="s">
        <v>2170</v>
      </c>
      <c r="G203" s="9"/>
      <c r="H203" s="9" t="s">
        <v>263</v>
      </c>
      <c r="I203" s="9"/>
    </row>
    <row r="204" spans="1:9" x14ac:dyDescent="0.3">
      <c r="A204" s="9" t="s">
        <v>46</v>
      </c>
      <c r="B204" s="9" t="s">
        <v>1510</v>
      </c>
      <c r="C204" s="9" t="s">
        <v>873</v>
      </c>
      <c r="D204" s="9" t="s">
        <v>2043</v>
      </c>
      <c r="E204" s="9" t="s">
        <v>2092</v>
      </c>
      <c r="F204" s="9"/>
      <c r="G204" s="9"/>
      <c r="H204" s="9" t="s">
        <v>263</v>
      </c>
      <c r="I204" s="9"/>
    </row>
    <row r="205" spans="1:9" ht="26.4" x14ac:dyDescent="0.3">
      <c r="A205" s="9" t="s">
        <v>46</v>
      </c>
      <c r="B205" s="9" t="s">
        <v>1510</v>
      </c>
      <c r="C205" s="9" t="s">
        <v>1098</v>
      </c>
      <c r="D205" s="9" t="s">
        <v>2089</v>
      </c>
      <c r="E205" s="9" t="s">
        <v>2092</v>
      </c>
      <c r="F205" s="9"/>
      <c r="G205" s="9"/>
      <c r="H205" s="9" t="s">
        <v>263</v>
      </c>
      <c r="I205" s="9"/>
    </row>
    <row r="206" spans="1:9" x14ac:dyDescent="0.3">
      <c r="A206" s="9" t="s">
        <v>50</v>
      </c>
      <c r="B206" s="9" t="s">
        <v>2171</v>
      </c>
      <c r="C206" s="9" t="s">
        <v>1144</v>
      </c>
      <c r="D206" s="9" t="s">
        <v>2043</v>
      </c>
      <c r="E206" s="9" t="s">
        <v>2044</v>
      </c>
      <c r="F206" s="9"/>
      <c r="G206" s="9"/>
      <c r="H206" s="9" t="s">
        <v>263</v>
      </c>
      <c r="I206" s="9" t="s">
        <v>2045</v>
      </c>
    </row>
    <row r="207" spans="1:9" x14ac:dyDescent="0.3">
      <c r="A207" s="9" t="s">
        <v>50</v>
      </c>
      <c r="B207" s="9" t="s">
        <v>2171</v>
      </c>
      <c r="C207" s="9" t="s">
        <v>1145</v>
      </c>
      <c r="D207" s="9" t="s">
        <v>2043</v>
      </c>
      <c r="E207" s="9" t="s">
        <v>2044</v>
      </c>
      <c r="F207" s="9"/>
      <c r="G207" s="9"/>
      <c r="H207" s="9" t="s">
        <v>263</v>
      </c>
      <c r="I207" s="9"/>
    </row>
    <row r="208" spans="1:9" x14ac:dyDescent="0.3">
      <c r="A208" s="9" t="s">
        <v>50</v>
      </c>
      <c r="B208" s="9" t="s">
        <v>2171</v>
      </c>
      <c r="C208" s="9" t="s">
        <v>1146</v>
      </c>
      <c r="D208" s="9" t="s">
        <v>2043</v>
      </c>
      <c r="E208" s="9" t="s">
        <v>2044</v>
      </c>
      <c r="F208" s="9"/>
      <c r="G208" s="9"/>
      <c r="H208" s="9" t="s">
        <v>263</v>
      </c>
      <c r="I208" s="9"/>
    </row>
    <row r="209" spans="1:9" x14ac:dyDescent="0.3">
      <c r="A209" s="9" t="s">
        <v>50</v>
      </c>
      <c r="B209" s="9" t="s">
        <v>2171</v>
      </c>
      <c r="C209" s="9" t="s">
        <v>1147</v>
      </c>
      <c r="D209" s="9" t="s">
        <v>2047</v>
      </c>
      <c r="E209" s="9" t="s">
        <v>2044</v>
      </c>
      <c r="F209" s="9"/>
      <c r="G209" s="9"/>
      <c r="H209" s="9" t="s">
        <v>271</v>
      </c>
      <c r="I209" s="9"/>
    </row>
    <row r="210" spans="1:9" x14ac:dyDescent="0.3">
      <c r="A210" s="9" t="s">
        <v>50</v>
      </c>
      <c r="B210" s="9" t="s">
        <v>2171</v>
      </c>
      <c r="C210" s="9" t="s">
        <v>1148</v>
      </c>
      <c r="D210" s="9" t="s">
        <v>2043</v>
      </c>
      <c r="E210" s="9" t="s">
        <v>2044</v>
      </c>
      <c r="F210" s="9"/>
      <c r="G210" s="9"/>
      <c r="H210" s="9" t="s">
        <v>263</v>
      </c>
      <c r="I210" s="9"/>
    </row>
    <row r="211" spans="1:9" ht="39.6" x14ac:dyDescent="0.3">
      <c r="A211" s="9" t="s">
        <v>50</v>
      </c>
      <c r="B211" s="9" t="s">
        <v>2171</v>
      </c>
      <c r="C211" s="9" t="s">
        <v>1149</v>
      </c>
      <c r="D211" s="9" t="s">
        <v>2043</v>
      </c>
      <c r="E211" s="9" t="s">
        <v>2044</v>
      </c>
      <c r="F211" s="9" t="s">
        <v>2172</v>
      </c>
      <c r="G211" s="9"/>
      <c r="H211" s="9" t="s">
        <v>263</v>
      </c>
      <c r="I211" s="9" t="s">
        <v>2173</v>
      </c>
    </row>
    <row r="212" spans="1:9" x14ac:dyDescent="0.3">
      <c r="A212" s="9" t="s">
        <v>50</v>
      </c>
      <c r="B212" s="9" t="s">
        <v>2171</v>
      </c>
      <c r="C212" s="9" t="s">
        <v>1150</v>
      </c>
      <c r="D212" s="9" t="s">
        <v>2043</v>
      </c>
      <c r="E212" s="9" t="s">
        <v>2044</v>
      </c>
      <c r="F212" s="9" t="s">
        <v>2174</v>
      </c>
      <c r="G212" s="9"/>
      <c r="H212" s="9" t="s">
        <v>263</v>
      </c>
      <c r="I212" s="9"/>
    </row>
    <row r="213" spans="1:9" ht="39.6" x14ac:dyDescent="0.3">
      <c r="A213" s="9" t="s">
        <v>50</v>
      </c>
      <c r="B213" s="9" t="s">
        <v>2171</v>
      </c>
      <c r="C213" s="9" t="s">
        <v>1151</v>
      </c>
      <c r="D213" s="9" t="s">
        <v>2043</v>
      </c>
      <c r="E213" s="9" t="s">
        <v>2044</v>
      </c>
      <c r="F213" s="9" t="s">
        <v>2175</v>
      </c>
      <c r="G213" s="9"/>
      <c r="H213" s="9" t="s">
        <v>263</v>
      </c>
      <c r="I213" s="9" t="s">
        <v>2176</v>
      </c>
    </row>
    <row r="214" spans="1:9" x14ac:dyDescent="0.3">
      <c r="A214" s="9" t="s">
        <v>50</v>
      </c>
      <c r="B214" s="9" t="s">
        <v>2171</v>
      </c>
      <c r="C214" s="9" t="s">
        <v>872</v>
      </c>
      <c r="D214" s="9" t="s">
        <v>2043</v>
      </c>
      <c r="E214" s="9" t="s">
        <v>2044</v>
      </c>
      <c r="F214" s="9"/>
      <c r="G214" s="9"/>
      <c r="H214" s="9" t="s">
        <v>271</v>
      </c>
      <c r="I214" s="9"/>
    </row>
    <row r="215" spans="1:9" x14ac:dyDescent="0.3">
      <c r="A215" s="9" t="s">
        <v>50</v>
      </c>
      <c r="B215" s="9" t="s">
        <v>2171</v>
      </c>
      <c r="C215" s="9" t="s">
        <v>1152</v>
      </c>
      <c r="D215" s="9" t="s">
        <v>2057</v>
      </c>
      <c r="E215" s="9" t="s">
        <v>2092</v>
      </c>
      <c r="F215" s="9"/>
      <c r="G215" s="9"/>
      <c r="H215" s="9" t="s">
        <v>263</v>
      </c>
      <c r="I215" s="9"/>
    </row>
    <row r="216" spans="1:9" x14ac:dyDescent="0.3">
      <c r="A216" s="9" t="s">
        <v>50</v>
      </c>
      <c r="B216" s="9" t="s">
        <v>2171</v>
      </c>
      <c r="C216" s="9" t="s">
        <v>223</v>
      </c>
      <c r="D216" s="9" t="s">
        <v>2047</v>
      </c>
      <c r="E216" s="9" t="s">
        <v>2092</v>
      </c>
      <c r="F216" s="9" t="s">
        <v>2177</v>
      </c>
      <c r="G216" s="9"/>
      <c r="H216" s="9" t="s">
        <v>263</v>
      </c>
      <c r="I216" s="9"/>
    </row>
    <row r="217" spans="1:9" x14ac:dyDescent="0.3">
      <c r="A217" s="9" t="s">
        <v>50</v>
      </c>
      <c r="B217" s="9" t="s">
        <v>2171</v>
      </c>
      <c r="C217" s="9" t="s">
        <v>1153</v>
      </c>
      <c r="D217" s="9" t="s">
        <v>2047</v>
      </c>
      <c r="E217" s="9" t="s">
        <v>2092</v>
      </c>
      <c r="F217" s="9"/>
      <c r="G217" s="9"/>
      <c r="H217" s="9" t="s">
        <v>263</v>
      </c>
      <c r="I217" s="9"/>
    </row>
    <row r="218" spans="1:9" x14ac:dyDescent="0.3">
      <c r="A218" s="9" t="s">
        <v>50</v>
      </c>
      <c r="B218" s="9" t="s">
        <v>2171</v>
      </c>
      <c r="C218" s="9" t="s">
        <v>1154</v>
      </c>
      <c r="D218" s="9" t="s">
        <v>2047</v>
      </c>
      <c r="E218" s="9" t="s">
        <v>2092</v>
      </c>
      <c r="F218" s="9" t="s">
        <v>2178</v>
      </c>
      <c r="G218" s="9"/>
      <c r="H218" s="9" t="s">
        <v>263</v>
      </c>
      <c r="I218" s="9"/>
    </row>
    <row r="219" spans="1:9" x14ac:dyDescent="0.3">
      <c r="A219" s="9" t="s">
        <v>50</v>
      </c>
      <c r="B219" s="9" t="s">
        <v>2171</v>
      </c>
      <c r="C219" s="9" t="s">
        <v>14</v>
      </c>
      <c r="D219" s="9" t="s">
        <v>2043</v>
      </c>
      <c r="E219" s="9" t="s">
        <v>2092</v>
      </c>
      <c r="F219" s="9"/>
      <c r="G219" s="9"/>
      <c r="H219" s="9" t="s">
        <v>263</v>
      </c>
      <c r="I219" s="9"/>
    </row>
    <row r="220" spans="1:9" x14ac:dyDescent="0.3">
      <c r="A220" s="9" t="s">
        <v>54</v>
      </c>
      <c r="B220" s="9" t="s">
        <v>2179</v>
      </c>
      <c r="C220" s="9" t="s">
        <v>1211</v>
      </c>
      <c r="D220" s="9" t="s">
        <v>2043</v>
      </c>
      <c r="E220" s="9" t="s">
        <v>2044</v>
      </c>
      <c r="F220" s="9"/>
      <c r="G220" s="9"/>
      <c r="H220" s="9" t="s">
        <v>263</v>
      </c>
      <c r="I220" s="9" t="s">
        <v>2045</v>
      </c>
    </row>
    <row r="221" spans="1:9" x14ac:dyDescent="0.3">
      <c r="A221" s="9" t="s">
        <v>54</v>
      </c>
      <c r="B221" s="9" t="s">
        <v>2179</v>
      </c>
      <c r="C221" s="9" t="s">
        <v>1212</v>
      </c>
      <c r="D221" s="9" t="s">
        <v>2043</v>
      </c>
      <c r="E221" s="9" t="s">
        <v>2044</v>
      </c>
      <c r="F221" s="9"/>
      <c r="G221" s="9"/>
      <c r="H221" s="9" t="s">
        <v>263</v>
      </c>
      <c r="I221" s="9"/>
    </row>
    <row r="222" spans="1:9" x14ac:dyDescent="0.3">
      <c r="A222" s="9" t="s">
        <v>54</v>
      </c>
      <c r="B222" s="9" t="s">
        <v>2179</v>
      </c>
      <c r="C222" s="9" t="s">
        <v>1213</v>
      </c>
      <c r="D222" s="9" t="s">
        <v>2047</v>
      </c>
      <c r="E222" s="9" t="s">
        <v>2044</v>
      </c>
      <c r="F222" s="9"/>
      <c r="G222" s="9"/>
      <c r="H222" s="9" t="s">
        <v>263</v>
      </c>
      <c r="I222" s="9"/>
    </row>
    <row r="223" spans="1:9" x14ac:dyDescent="0.3">
      <c r="A223" s="9" t="s">
        <v>54</v>
      </c>
      <c r="B223" s="9" t="s">
        <v>2179</v>
      </c>
      <c r="C223" s="9" t="s">
        <v>1214</v>
      </c>
      <c r="D223" s="9" t="s">
        <v>2047</v>
      </c>
      <c r="E223" s="9" t="s">
        <v>2044</v>
      </c>
      <c r="F223" s="9"/>
      <c r="G223" s="9"/>
      <c r="H223" s="9" t="s">
        <v>263</v>
      </c>
      <c r="I223" s="9"/>
    </row>
    <row r="224" spans="1:9" x14ac:dyDescent="0.3">
      <c r="A224" s="9" t="s">
        <v>54</v>
      </c>
      <c r="B224" s="9" t="s">
        <v>2179</v>
      </c>
      <c r="C224" s="9" t="s">
        <v>1215</v>
      </c>
      <c r="D224" s="9" t="s">
        <v>2043</v>
      </c>
      <c r="E224" s="9" t="s">
        <v>2044</v>
      </c>
      <c r="F224" s="9"/>
      <c r="G224" s="9"/>
      <c r="H224" s="9" t="s">
        <v>263</v>
      </c>
      <c r="I224" s="9"/>
    </row>
    <row r="225" spans="1:9" x14ac:dyDescent="0.3">
      <c r="A225" s="9" t="s">
        <v>54</v>
      </c>
      <c r="B225" s="9" t="s">
        <v>2179</v>
      </c>
      <c r="C225" s="9" t="s">
        <v>1216</v>
      </c>
      <c r="D225" s="9" t="s">
        <v>2047</v>
      </c>
      <c r="E225" s="9" t="s">
        <v>2092</v>
      </c>
      <c r="F225" s="9"/>
      <c r="G225" s="9"/>
      <c r="H225" s="9" t="s">
        <v>263</v>
      </c>
      <c r="I225" s="9"/>
    </row>
    <row r="226" spans="1:9" x14ac:dyDescent="0.3">
      <c r="A226" s="9" t="s">
        <v>54</v>
      </c>
      <c r="B226" s="9" t="s">
        <v>2179</v>
      </c>
      <c r="C226" s="9" t="s">
        <v>1217</v>
      </c>
      <c r="D226" s="9" t="s">
        <v>2047</v>
      </c>
      <c r="E226" s="9" t="s">
        <v>2092</v>
      </c>
      <c r="F226" s="9"/>
      <c r="G226" s="9"/>
      <c r="H226" s="9" t="s">
        <v>263</v>
      </c>
      <c r="I226" s="9"/>
    </row>
    <row r="227" spans="1:9" x14ac:dyDescent="0.3">
      <c r="A227" s="9" t="s">
        <v>54</v>
      </c>
      <c r="B227" s="9" t="s">
        <v>2179</v>
      </c>
      <c r="C227" s="9" t="s">
        <v>1218</v>
      </c>
      <c r="D227" s="9" t="s">
        <v>2047</v>
      </c>
      <c r="E227" s="9" t="s">
        <v>2092</v>
      </c>
      <c r="F227" s="9"/>
      <c r="G227" s="9"/>
      <c r="H227" s="9" t="s">
        <v>263</v>
      </c>
      <c r="I227" s="9"/>
    </row>
    <row r="228" spans="1:9" x14ac:dyDescent="0.3">
      <c r="A228" s="9" t="s">
        <v>56</v>
      </c>
      <c r="B228" s="9" t="s">
        <v>2180</v>
      </c>
      <c r="C228" s="9" t="s">
        <v>1260</v>
      </c>
      <c r="D228" s="9" t="s">
        <v>2043</v>
      </c>
      <c r="E228" s="9" t="s">
        <v>2044</v>
      </c>
      <c r="F228" s="9"/>
      <c r="G228" s="9"/>
      <c r="H228" s="9" t="s">
        <v>263</v>
      </c>
      <c r="I228" s="9" t="s">
        <v>2045</v>
      </c>
    </row>
    <row r="229" spans="1:9" x14ac:dyDescent="0.3">
      <c r="A229" s="9" t="s">
        <v>56</v>
      </c>
      <c r="B229" s="9" t="s">
        <v>2180</v>
      </c>
      <c r="C229" s="9" t="s">
        <v>1261</v>
      </c>
      <c r="D229" s="9" t="s">
        <v>2043</v>
      </c>
      <c r="E229" s="9" t="s">
        <v>2044</v>
      </c>
      <c r="F229" s="9"/>
      <c r="G229" s="9"/>
      <c r="H229" s="9" t="s">
        <v>263</v>
      </c>
      <c r="I229" s="9"/>
    </row>
    <row r="230" spans="1:9" x14ac:dyDescent="0.3">
      <c r="A230" s="9" t="s">
        <v>56</v>
      </c>
      <c r="B230" s="9" t="s">
        <v>2180</v>
      </c>
      <c r="C230" s="9" t="s">
        <v>1262</v>
      </c>
      <c r="D230" s="9" t="s">
        <v>2043</v>
      </c>
      <c r="E230" s="9" t="s">
        <v>2044</v>
      </c>
      <c r="F230" s="9"/>
      <c r="G230" s="9"/>
      <c r="H230" s="9" t="s">
        <v>263</v>
      </c>
      <c r="I230" s="9"/>
    </row>
    <row r="231" spans="1:9" x14ac:dyDescent="0.3">
      <c r="A231" s="9" t="s">
        <v>56</v>
      </c>
      <c r="B231" s="9" t="s">
        <v>2180</v>
      </c>
      <c r="C231" s="9" t="s">
        <v>1263</v>
      </c>
      <c r="D231" s="9" t="s">
        <v>2043</v>
      </c>
      <c r="E231" s="9" t="s">
        <v>2044</v>
      </c>
      <c r="F231" s="9"/>
      <c r="G231" s="9"/>
      <c r="H231" s="9" t="s">
        <v>263</v>
      </c>
      <c r="I231" s="9"/>
    </row>
    <row r="232" spans="1:9" x14ac:dyDescent="0.3">
      <c r="A232" s="9" t="s">
        <v>56</v>
      </c>
      <c r="B232" s="9" t="s">
        <v>2180</v>
      </c>
      <c r="C232" s="9" t="s">
        <v>1264</v>
      </c>
      <c r="D232" s="9" t="s">
        <v>2043</v>
      </c>
      <c r="E232" s="9" t="s">
        <v>2044</v>
      </c>
      <c r="F232" s="9"/>
      <c r="G232" s="9"/>
      <c r="H232" s="9" t="s">
        <v>263</v>
      </c>
      <c r="I232" s="9"/>
    </row>
    <row r="233" spans="1:9" x14ac:dyDescent="0.3">
      <c r="A233" s="9" t="s">
        <v>56</v>
      </c>
      <c r="B233" s="9" t="s">
        <v>2180</v>
      </c>
      <c r="C233" s="9" t="s">
        <v>1265</v>
      </c>
      <c r="D233" s="9" t="s">
        <v>2043</v>
      </c>
      <c r="E233" s="9" t="s">
        <v>2044</v>
      </c>
      <c r="F233" s="9"/>
      <c r="G233" s="9"/>
      <c r="H233" s="9" t="s">
        <v>263</v>
      </c>
      <c r="I233" s="9"/>
    </row>
    <row r="234" spans="1:9" x14ac:dyDescent="0.3">
      <c r="A234" s="9" t="s">
        <v>56</v>
      </c>
      <c r="B234" s="9" t="s">
        <v>2180</v>
      </c>
      <c r="C234" s="9" t="s">
        <v>1266</v>
      </c>
      <c r="D234" s="9" t="s">
        <v>2043</v>
      </c>
      <c r="E234" s="9" t="s">
        <v>2044</v>
      </c>
      <c r="F234" s="9"/>
      <c r="G234" s="9"/>
      <c r="H234" s="9" t="s">
        <v>263</v>
      </c>
      <c r="I234" s="9"/>
    </row>
    <row r="235" spans="1:9" x14ac:dyDescent="0.3">
      <c r="A235" s="9" t="s">
        <v>56</v>
      </c>
      <c r="B235" s="9" t="s">
        <v>2180</v>
      </c>
      <c r="C235" s="9" t="s">
        <v>1267</v>
      </c>
      <c r="D235" s="9" t="s">
        <v>2043</v>
      </c>
      <c r="E235" s="9" t="s">
        <v>2044</v>
      </c>
      <c r="F235" s="9"/>
      <c r="G235" s="9" t="s">
        <v>2181</v>
      </c>
      <c r="H235" s="9" t="s">
        <v>263</v>
      </c>
      <c r="I235" s="9"/>
    </row>
    <row r="236" spans="1:9" x14ac:dyDescent="0.3">
      <c r="A236" s="9" t="s">
        <v>56</v>
      </c>
      <c r="B236" s="9" t="s">
        <v>2180</v>
      </c>
      <c r="C236" s="9" t="s">
        <v>159</v>
      </c>
      <c r="D236" s="9" t="s">
        <v>2043</v>
      </c>
      <c r="E236" s="9" t="s">
        <v>2044</v>
      </c>
      <c r="F236" s="9"/>
      <c r="G236" s="9"/>
      <c r="H236" s="9" t="s">
        <v>271</v>
      </c>
      <c r="I236" s="9"/>
    </row>
    <row r="237" spans="1:9" x14ac:dyDescent="0.3">
      <c r="A237" s="9" t="s">
        <v>56</v>
      </c>
      <c r="B237" s="9" t="s">
        <v>2180</v>
      </c>
      <c r="C237" s="9" t="s">
        <v>161</v>
      </c>
      <c r="D237" s="9" t="s">
        <v>2043</v>
      </c>
      <c r="E237" s="9" t="s">
        <v>2044</v>
      </c>
      <c r="F237" s="9"/>
      <c r="G237" s="9"/>
      <c r="H237" s="9" t="s">
        <v>263</v>
      </c>
      <c r="I237" s="9"/>
    </row>
    <row r="238" spans="1:9" x14ac:dyDescent="0.3">
      <c r="A238" s="9" t="s">
        <v>56</v>
      </c>
      <c r="B238" s="9" t="s">
        <v>2180</v>
      </c>
      <c r="C238" s="9" t="s">
        <v>953</v>
      </c>
      <c r="D238" s="9" t="s">
        <v>2043</v>
      </c>
      <c r="E238" s="9" t="s">
        <v>2044</v>
      </c>
      <c r="F238" s="9"/>
      <c r="G238" s="9"/>
      <c r="H238" s="9" t="s">
        <v>263</v>
      </c>
      <c r="I238" s="9"/>
    </row>
    <row r="239" spans="1:9" x14ac:dyDescent="0.3">
      <c r="A239" s="9" t="s">
        <v>56</v>
      </c>
      <c r="B239" s="9" t="s">
        <v>2180</v>
      </c>
      <c r="C239" s="9" t="s">
        <v>14</v>
      </c>
      <c r="D239" s="9" t="s">
        <v>2043</v>
      </c>
      <c r="E239" s="9" t="s">
        <v>2044</v>
      </c>
      <c r="F239" s="9"/>
      <c r="G239" s="9" t="s">
        <v>2182</v>
      </c>
      <c r="H239" s="9" t="s">
        <v>263</v>
      </c>
      <c r="I239" s="9"/>
    </row>
    <row r="240" spans="1:9" ht="26.4" x14ac:dyDescent="0.3">
      <c r="A240" s="9" t="s">
        <v>56</v>
      </c>
      <c r="B240" s="9" t="s">
        <v>2180</v>
      </c>
      <c r="C240" s="9" t="s">
        <v>1268</v>
      </c>
      <c r="D240" s="9" t="s">
        <v>2043</v>
      </c>
      <c r="E240" s="9" t="s">
        <v>2044</v>
      </c>
      <c r="F240" s="9"/>
      <c r="G240" s="9"/>
      <c r="H240" s="9" t="s">
        <v>271</v>
      </c>
      <c r="I240" s="9" t="s">
        <v>2183</v>
      </c>
    </row>
    <row r="241" spans="1:9" ht="39.6" x14ac:dyDescent="0.3">
      <c r="A241" s="9" t="s">
        <v>56</v>
      </c>
      <c r="B241" s="9" t="s">
        <v>2180</v>
      </c>
      <c r="C241" s="9" t="s">
        <v>1269</v>
      </c>
      <c r="D241" s="9" t="s">
        <v>2043</v>
      </c>
      <c r="E241" s="9" t="s">
        <v>2044</v>
      </c>
      <c r="F241" s="9"/>
      <c r="G241" s="9"/>
      <c r="H241" s="9" t="s">
        <v>271</v>
      </c>
      <c r="I241" s="9" t="s">
        <v>2184</v>
      </c>
    </row>
    <row r="242" spans="1:9" x14ac:dyDescent="0.3">
      <c r="A242" s="9" t="s">
        <v>56</v>
      </c>
      <c r="B242" s="9" t="s">
        <v>2180</v>
      </c>
      <c r="C242" s="9" t="s">
        <v>777</v>
      </c>
      <c r="D242" s="9" t="s">
        <v>2043</v>
      </c>
      <c r="E242" s="9" t="s">
        <v>2044</v>
      </c>
      <c r="F242" s="9"/>
      <c r="G242" s="9" t="s">
        <v>2131</v>
      </c>
      <c r="H242" s="9" t="s">
        <v>263</v>
      </c>
      <c r="I242" s="9"/>
    </row>
    <row r="243" spans="1:9" x14ac:dyDescent="0.3">
      <c r="A243" s="9" t="s">
        <v>56</v>
      </c>
      <c r="B243" s="9" t="s">
        <v>2180</v>
      </c>
      <c r="C243" s="9" t="s">
        <v>1270</v>
      </c>
      <c r="D243" s="9" t="s">
        <v>2043</v>
      </c>
      <c r="E243" s="9" t="s">
        <v>2044</v>
      </c>
      <c r="F243" s="9"/>
      <c r="G243" s="9"/>
      <c r="H243" s="9" t="s">
        <v>263</v>
      </c>
      <c r="I243" s="9"/>
    </row>
    <row r="244" spans="1:9" x14ac:dyDescent="0.3">
      <c r="A244" s="9" t="s">
        <v>58</v>
      </c>
      <c r="B244" s="9" t="s">
        <v>2185</v>
      </c>
      <c r="C244" s="9" t="s">
        <v>1538</v>
      </c>
      <c r="D244" s="9" t="s">
        <v>2043</v>
      </c>
      <c r="E244" s="9" t="s">
        <v>2044</v>
      </c>
      <c r="F244" s="9"/>
      <c r="G244" s="9"/>
      <c r="H244" s="9" t="s">
        <v>263</v>
      </c>
      <c r="I244" s="9" t="s">
        <v>2045</v>
      </c>
    </row>
    <row r="245" spans="1:9" x14ac:dyDescent="0.3">
      <c r="A245" s="9" t="s">
        <v>58</v>
      </c>
      <c r="B245" s="9" t="s">
        <v>2185</v>
      </c>
      <c r="C245" s="9" t="s">
        <v>1270</v>
      </c>
      <c r="D245" s="9" t="s">
        <v>2043</v>
      </c>
      <c r="E245" s="9" t="s">
        <v>2044</v>
      </c>
      <c r="F245" s="9"/>
      <c r="G245" s="9"/>
      <c r="H245" s="9" t="s">
        <v>263</v>
      </c>
      <c r="I245" s="9"/>
    </row>
    <row r="246" spans="1:9" x14ac:dyDescent="0.3">
      <c r="A246" s="9" t="s">
        <v>58</v>
      </c>
      <c r="B246" s="9" t="s">
        <v>2185</v>
      </c>
      <c r="C246" s="9" t="s">
        <v>1539</v>
      </c>
      <c r="D246" s="9" t="s">
        <v>2043</v>
      </c>
      <c r="E246" s="9" t="s">
        <v>2044</v>
      </c>
      <c r="F246" s="9"/>
      <c r="G246" s="9"/>
      <c r="H246" s="9" t="s">
        <v>263</v>
      </c>
      <c r="I246" s="9"/>
    </row>
    <row r="247" spans="1:9" x14ac:dyDescent="0.3">
      <c r="A247" s="9" t="s">
        <v>58</v>
      </c>
      <c r="B247" s="9" t="s">
        <v>2185</v>
      </c>
      <c r="C247" s="9" t="s">
        <v>1540</v>
      </c>
      <c r="D247" s="9" t="s">
        <v>2043</v>
      </c>
      <c r="E247" s="9" t="s">
        <v>2044</v>
      </c>
      <c r="F247" s="9"/>
      <c r="G247" s="9"/>
      <c r="H247" s="9" t="s">
        <v>263</v>
      </c>
      <c r="I247" s="9"/>
    </row>
    <row r="248" spans="1:9" x14ac:dyDescent="0.3">
      <c r="A248" s="9" t="s">
        <v>58</v>
      </c>
      <c r="B248" s="9" t="s">
        <v>2185</v>
      </c>
      <c r="C248" s="9" t="s">
        <v>1541</v>
      </c>
      <c r="D248" s="9" t="s">
        <v>2043</v>
      </c>
      <c r="E248" s="9" t="s">
        <v>2044</v>
      </c>
      <c r="F248" s="9"/>
      <c r="G248" s="9"/>
      <c r="H248" s="9" t="s">
        <v>263</v>
      </c>
      <c r="I248" s="9"/>
    </row>
    <row r="249" spans="1:9" x14ac:dyDescent="0.3">
      <c r="A249" s="9" t="s">
        <v>58</v>
      </c>
      <c r="B249" s="9" t="s">
        <v>2185</v>
      </c>
      <c r="C249" s="9" t="s">
        <v>1542</v>
      </c>
      <c r="D249" s="9" t="s">
        <v>2043</v>
      </c>
      <c r="E249" s="9" t="s">
        <v>2044</v>
      </c>
      <c r="F249" s="9"/>
      <c r="G249" s="9"/>
      <c r="H249" s="9" t="s">
        <v>263</v>
      </c>
      <c r="I249" s="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22</vt:i4>
      </vt:variant>
      <vt:variant>
        <vt:lpstr>Intervalos com Nome</vt:lpstr>
      </vt:variant>
      <vt:variant>
        <vt:i4>51</vt:i4>
      </vt:variant>
    </vt:vector>
  </HeadingPairs>
  <TitlesOfParts>
    <vt:vector size="73" baseType="lpstr">
      <vt:lpstr>00_LEIA-ME</vt:lpstr>
      <vt:lpstr>Painel</vt:lpstr>
      <vt:lpstr>Papel_REACH</vt:lpstr>
      <vt:lpstr>Inventario</vt:lpstr>
      <vt:lpstr>Componentes</vt:lpstr>
      <vt:lpstr>FDS_Verificacao</vt:lpstr>
      <vt:lpstr>Cenarios_Exposicao</vt:lpstr>
      <vt:lpstr>Registo_Importacao</vt:lpstr>
      <vt:lpstr>Declaracoes_SVHC</vt:lpstr>
      <vt:lpstr>Avaliacao_Risco</vt:lpstr>
      <vt:lpstr>Medicoes_VLE</vt:lpstr>
      <vt:lpstr>Metodologia</vt:lpstr>
      <vt:lpstr>Armazenagem</vt:lpstr>
      <vt:lpstr>Matriz_Compatibilidade</vt:lpstr>
      <vt:lpstr>Seveso</vt:lpstr>
      <vt:lpstr>Requisitos_Legais</vt:lpstr>
      <vt:lpstr>Analise_Critica</vt:lpstr>
      <vt:lpstr>Parametros</vt:lpstr>
      <vt:lpstr>Ref_Frases_H</vt:lpstr>
      <vt:lpstr>Ref_SVHC_Vigiadas</vt:lpstr>
      <vt:lpstr>Listas</vt:lpstr>
      <vt:lpstr>Dicionario_Dados</vt:lpstr>
      <vt:lpstr>DataRef</vt:lpstr>
      <vt:lpstr>lst_AcaoCE</vt:lpstr>
      <vt:lpstr>lst_Aplicavel</vt:lpstr>
      <vt:lpstr>lst_DataReferencia</vt:lpstr>
      <vt:lpstr>lst_EstadoAcao</vt:lpstr>
      <vt:lpstr>lst_EstadoAprov</vt:lpstr>
      <vt:lpstr>lst_EstadoConf</vt:lpstr>
      <vt:lpstr>lst_Frequencia</vt:lpstr>
      <vt:lpstr>lst_Funcao</vt:lpstr>
      <vt:lpstr>lst_Hierarquia</vt:lpstr>
      <vt:lpstr>lst_Local</vt:lpstr>
      <vt:lpstr>lst_MetodoCE</vt:lpstr>
      <vt:lpstr>lst_PapelREACH</vt:lpstr>
      <vt:lpstr>lst_Procedimento</vt:lpstr>
      <vt:lpstr>lst_Processo</vt:lpstr>
      <vt:lpstr>lst_ProtColetiva</vt:lpstr>
      <vt:lpstr>lst_ResultadoCE</vt:lpstr>
      <vt:lpstr>lst_RiscoResidual</vt:lpstr>
      <vt:lpstr>lst_Seveso</vt:lpstr>
      <vt:lpstr>lst_SimNao</vt:lpstr>
      <vt:lpstr>lst_SimNaoNA</vt:lpstr>
      <vt:lpstr>lst_SimNaoPC</vt:lpstr>
      <vt:lpstr>lst_Superficie</vt:lpstr>
      <vt:lpstr>lst_TipoAcaoQ</vt:lpstr>
      <vt:lpstr>lst_TipoProduto</vt:lpstr>
      <vt:lpstr>lst_Triagem</vt:lpstr>
      <vt:lpstr>lst_Volatilidade</vt:lpstr>
      <vt:lpstr>p_Fator_Retencao</vt:lpstr>
      <vt:lpstr>p_Limiar_SVHC</vt:lpstr>
      <vt:lpstr>p_Meses_ARQ</vt:lpstr>
      <vt:lpstr>p_Meses_CE</vt:lpstr>
      <vt:lpstr>p_Meses_FDS</vt:lpstr>
      <vt:lpstr>p_Meses_RSQ</vt:lpstr>
      <vt:lpstr>p_SVHC_N</vt:lpstr>
      <vt:lpstr>Analise_Critica!Títulos_de_Impressão</vt:lpstr>
      <vt:lpstr>Armazenagem!Títulos_de_Impressão</vt:lpstr>
      <vt:lpstr>Avaliacao_Risco!Títulos_de_Impressão</vt:lpstr>
      <vt:lpstr>Cenarios_Exposicao!Títulos_de_Impressão</vt:lpstr>
      <vt:lpstr>Componentes!Títulos_de_Impressão</vt:lpstr>
      <vt:lpstr>Declaracoes_SVHC!Títulos_de_Impressão</vt:lpstr>
      <vt:lpstr>FDS_Verificacao!Títulos_de_Impressão</vt:lpstr>
      <vt:lpstr>Inventario!Títulos_de_Impressão</vt:lpstr>
      <vt:lpstr>Medicoes_VLE!Títulos_de_Impressão</vt:lpstr>
      <vt:lpstr>Metodologia!Títulos_de_Impressão</vt:lpstr>
      <vt:lpstr>Papel_REACH!Títulos_de_Impressão</vt:lpstr>
      <vt:lpstr>Parametros!Títulos_de_Impressão</vt:lpstr>
      <vt:lpstr>Ref_Frases_H!Títulos_de_Impressão</vt:lpstr>
      <vt:lpstr>Ref_SVHC_Vigiadas!Títulos_de_Impressão</vt:lpstr>
      <vt:lpstr>Registo_Importacao!Títulos_de_Impressão</vt:lpstr>
      <vt:lpstr>Requisitos_Legais!Títulos_de_Impressão</vt:lpstr>
      <vt:lpstr>Seveso!Títulos_de_Impressão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RG-SGA-21 Gestão de Produtos Químicos (REACH, CLP, SVHC e Risco Químico)</dc:title>
  <dc:subject>SGA NP EN ISO 14001:2026 — Plasticom</dc:subject>
  <dc:creator>Gestor(a) do SGA / EHS</dc:creator>
  <cp:lastModifiedBy>Aline Meireles</cp:lastModifiedBy>
  <dcterms:created xsi:type="dcterms:W3CDTF">2026-09-30T16:48:54Z</dcterms:created>
  <dcterms:modified xsi:type="dcterms:W3CDTF">2026-09-30T16:49:02Z</dcterms:modified>
</cp:coreProperties>
</file>